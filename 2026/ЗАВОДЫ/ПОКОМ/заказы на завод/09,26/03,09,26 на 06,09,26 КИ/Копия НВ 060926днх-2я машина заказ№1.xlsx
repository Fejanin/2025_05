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E01DAA-D9C3-42A8-86F4-61D807D993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AC569" i="1" s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Z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BN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Z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BN460" i="1" s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P431" i="1" s="1"/>
  <c r="P431" i="1"/>
  <c r="X427" i="1"/>
  <c r="X426" i="1"/>
  <c r="BO425" i="1"/>
  <c r="BM425" i="1"/>
  <c r="Y425" i="1"/>
  <c r="BN425" i="1" s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Z418" i="1"/>
  <c r="Y418" i="1"/>
  <c r="BN418" i="1" s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BP367" i="1" s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X342" i="1"/>
  <c r="X341" i="1"/>
  <c r="BO340" i="1"/>
  <c r="BM340" i="1"/>
  <c r="Y340" i="1"/>
  <c r="BN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N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N329" i="1" s="1"/>
  <c r="P329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20" i="1"/>
  <c r="X319" i="1"/>
  <c r="BO318" i="1"/>
  <c r="BM318" i="1"/>
  <c r="Z318" i="1"/>
  <c r="Z319" i="1" s="1"/>
  <c r="Y318" i="1"/>
  <c r="Y320" i="1" s="1"/>
  <c r="P318" i="1"/>
  <c r="X316" i="1"/>
  <c r="X315" i="1"/>
  <c r="BO314" i="1"/>
  <c r="BM314" i="1"/>
  <c r="Y314" i="1"/>
  <c r="Y316" i="1" s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BN304" i="1" s="1"/>
  <c r="P304" i="1"/>
  <c r="X301" i="1"/>
  <c r="X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Z291" i="1" s="1"/>
  <c r="P291" i="1"/>
  <c r="BO290" i="1"/>
  <c r="BM290" i="1"/>
  <c r="Y290" i="1"/>
  <c r="P290" i="1"/>
  <c r="BO289" i="1"/>
  <c r="BM289" i="1"/>
  <c r="Z289" i="1"/>
  <c r="Y289" i="1"/>
  <c r="BN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BN273" i="1" s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O267" i="1"/>
  <c r="BM267" i="1"/>
  <c r="Z267" i="1"/>
  <c r="Y267" i="1"/>
  <c r="P267" i="1"/>
  <c r="X265" i="1"/>
  <c r="X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O252" i="1"/>
  <c r="BM252" i="1"/>
  <c r="Y252" i="1"/>
  <c r="BN252" i="1" s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BP245" i="1" s="1"/>
  <c r="P245" i="1"/>
  <c r="BO244" i="1"/>
  <c r="BM244" i="1"/>
  <c r="Y244" i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BN236" i="1" s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Z230" i="1" s="1"/>
  <c r="P230" i="1"/>
  <c r="BO229" i="1"/>
  <c r="BM229" i="1"/>
  <c r="Y229" i="1"/>
  <c r="BP229" i="1" s="1"/>
  <c r="P229" i="1"/>
  <c r="BO228" i="1"/>
  <c r="BM228" i="1"/>
  <c r="Z228" i="1"/>
  <c r="Y228" i="1"/>
  <c r="BN228" i="1" s="1"/>
  <c r="P228" i="1"/>
  <c r="BO227" i="1"/>
  <c r="BM227" i="1"/>
  <c r="Y227" i="1"/>
  <c r="BP227" i="1" s="1"/>
  <c r="P227" i="1"/>
  <c r="BO226" i="1"/>
  <c r="BM226" i="1"/>
  <c r="Y226" i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Z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BN211" i="1" s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O201" i="1"/>
  <c r="BM201" i="1"/>
  <c r="Y201" i="1"/>
  <c r="Z201" i="1" s="1"/>
  <c r="Z202" i="1" s="1"/>
  <c r="P201" i="1"/>
  <c r="X199" i="1"/>
  <c r="X198" i="1"/>
  <c r="BO197" i="1"/>
  <c r="BM197" i="1"/>
  <c r="Y197" i="1"/>
  <c r="BN197" i="1" s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BN191" i="1" s="1"/>
  <c r="P191" i="1"/>
  <c r="BO190" i="1"/>
  <c r="BM190" i="1"/>
  <c r="Y190" i="1"/>
  <c r="BP190" i="1" s="1"/>
  <c r="P190" i="1"/>
  <c r="BO189" i="1"/>
  <c r="BM189" i="1"/>
  <c r="Y189" i="1"/>
  <c r="BP189" i="1" s="1"/>
  <c r="P189" i="1"/>
  <c r="BO188" i="1"/>
  <c r="BM188" i="1"/>
  <c r="Y188" i="1"/>
  <c r="BP188" i="1" s="1"/>
  <c r="P188" i="1"/>
  <c r="BO187" i="1"/>
  <c r="BM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O184" i="1"/>
  <c r="BM184" i="1"/>
  <c r="Y184" i="1"/>
  <c r="BN184" i="1" s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N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P169" i="1"/>
  <c r="X166" i="1"/>
  <c r="X165" i="1"/>
  <c r="BO164" i="1"/>
  <c r="BM164" i="1"/>
  <c r="Y164" i="1"/>
  <c r="Z164" i="1" s="1"/>
  <c r="Z165" i="1" s="1"/>
  <c r="P164" i="1"/>
  <c r="X162" i="1"/>
  <c r="X161" i="1"/>
  <c r="BO160" i="1"/>
  <c r="BM160" i="1"/>
  <c r="Y160" i="1"/>
  <c r="BN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N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X112" i="1"/>
  <c r="X111" i="1"/>
  <c r="BO110" i="1"/>
  <c r="BM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Z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Y315" i="1" l="1"/>
  <c r="Y557" i="1"/>
  <c r="Z31" i="1"/>
  <c r="BN31" i="1"/>
  <c r="Z66" i="1"/>
  <c r="Z105" i="1"/>
  <c r="BN105" i="1"/>
  <c r="Z114" i="1"/>
  <c r="BN114" i="1"/>
  <c r="Z118" i="1"/>
  <c r="BN118" i="1"/>
  <c r="Z125" i="1"/>
  <c r="BN125" i="1"/>
  <c r="Z126" i="1"/>
  <c r="BN126" i="1"/>
  <c r="Z184" i="1"/>
  <c r="Z197" i="1"/>
  <c r="Z215" i="1"/>
  <c r="BN215" i="1"/>
  <c r="Z236" i="1"/>
  <c r="BP252" i="1"/>
  <c r="Y269" i="1"/>
  <c r="Z273" i="1"/>
  <c r="Z304" i="1"/>
  <c r="Z333" i="1"/>
  <c r="BP425" i="1"/>
  <c r="Z480" i="1"/>
  <c r="BN480" i="1"/>
  <c r="Z511" i="1"/>
  <c r="BP27" i="1"/>
  <c r="BN27" i="1"/>
  <c r="Z27" i="1"/>
  <c r="BP88" i="1"/>
  <c r="BN88" i="1"/>
  <c r="Z88" i="1"/>
  <c r="BP98" i="1"/>
  <c r="BN98" i="1"/>
  <c r="Z98" i="1"/>
  <c r="BP158" i="1"/>
  <c r="BN158" i="1"/>
  <c r="Z158" i="1"/>
  <c r="BN244" i="1"/>
  <c r="Z244" i="1"/>
  <c r="BP263" i="1"/>
  <c r="BN263" i="1"/>
  <c r="Z263" i="1"/>
  <c r="BN283" i="1"/>
  <c r="Z283" i="1"/>
  <c r="BN291" i="1"/>
  <c r="BP291" i="1"/>
  <c r="BP299" i="1"/>
  <c r="BN299" i="1"/>
  <c r="Z299" i="1"/>
  <c r="BN308" i="1"/>
  <c r="BP39" i="1"/>
  <c r="BN39" i="1"/>
  <c r="Z39" i="1"/>
  <c r="BP78" i="1"/>
  <c r="BN78" i="1"/>
  <c r="Z78" i="1"/>
  <c r="BP95" i="1"/>
  <c r="BN95" i="1"/>
  <c r="Z95" i="1"/>
  <c r="BP143" i="1"/>
  <c r="BN143" i="1"/>
  <c r="Z143" i="1"/>
  <c r="BP181" i="1"/>
  <c r="BN181" i="1"/>
  <c r="Z181" i="1"/>
  <c r="BN230" i="1"/>
  <c r="BP230" i="1"/>
  <c r="BP244" i="1"/>
  <c r="BP246" i="1"/>
  <c r="BN246" i="1"/>
  <c r="Z246" i="1"/>
  <c r="BP283" i="1"/>
  <c r="BN287" i="1"/>
  <c r="Z287" i="1"/>
  <c r="BN349" i="1"/>
  <c r="Z349" i="1"/>
  <c r="BP349" i="1"/>
  <c r="BN385" i="1"/>
  <c r="BN411" i="1"/>
  <c r="BN431" i="1"/>
  <c r="BP443" i="1"/>
  <c r="BN455" i="1"/>
  <c r="BP460" i="1"/>
  <c r="BN470" i="1"/>
  <c r="BN482" i="1"/>
  <c r="BN497" i="1"/>
  <c r="BN507" i="1"/>
  <c r="BP60" i="1"/>
  <c r="Y100" i="1"/>
  <c r="BP197" i="1"/>
  <c r="BP213" i="1"/>
  <c r="BP236" i="1"/>
  <c r="BP267" i="1"/>
  <c r="BP304" i="1"/>
  <c r="BN314" i="1"/>
  <c r="BP318" i="1"/>
  <c r="BN322" i="1"/>
  <c r="BP333" i="1"/>
  <c r="BN345" i="1"/>
  <c r="Z367" i="1"/>
  <c r="BN367" i="1"/>
  <c r="BN369" i="1"/>
  <c r="Z375" i="1"/>
  <c r="BN375" i="1"/>
  <c r="BN377" i="1"/>
  <c r="BN391" i="1"/>
  <c r="BN405" i="1"/>
  <c r="BP418" i="1"/>
  <c r="BN437" i="1"/>
  <c r="Z443" i="1"/>
  <c r="Z460" i="1"/>
  <c r="BP478" i="1"/>
  <c r="BN505" i="1"/>
  <c r="BP511" i="1"/>
  <c r="BP527" i="1"/>
  <c r="BN556" i="1"/>
  <c r="Z85" i="1"/>
  <c r="BN85" i="1"/>
  <c r="BP435" i="1"/>
  <c r="Z435" i="1"/>
  <c r="BN523" i="1"/>
  <c r="Z425" i="1"/>
  <c r="BN360" i="1"/>
  <c r="Z340" i="1"/>
  <c r="BP340" i="1"/>
  <c r="BN293" i="1"/>
  <c r="BP289" i="1"/>
  <c r="Z277" i="1"/>
  <c r="BN277" i="1"/>
  <c r="Z275" i="1"/>
  <c r="BP275" i="1"/>
  <c r="Y254" i="1"/>
  <c r="Z252" i="1"/>
  <c r="BP228" i="1"/>
  <c r="Z191" i="1"/>
  <c r="BP191" i="1"/>
  <c r="Z189" i="1"/>
  <c r="BN189" i="1"/>
  <c r="BN66" i="1"/>
  <c r="Y68" i="1"/>
  <c r="BP56" i="1"/>
  <c r="Z56" i="1"/>
  <c r="Z47" i="1"/>
  <c r="BN47" i="1"/>
  <c r="B569" i="1"/>
  <c r="X563" i="1"/>
  <c r="X561" i="1"/>
  <c r="X560" i="1"/>
  <c r="Z23" i="1"/>
  <c r="BP23" i="1"/>
  <c r="Y33" i="1"/>
  <c r="Z29" i="1"/>
  <c r="BP29" i="1"/>
  <c r="Z37" i="1"/>
  <c r="BP37" i="1"/>
  <c r="BN41" i="1"/>
  <c r="BN49" i="1"/>
  <c r="BN58" i="1"/>
  <c r="BN64" i="1"/>
  <c r="BN72" i="1"/>
  <c r="BN80" i="1"/>
  <c r="Z103" i="1"/>
  <c r="BP103" i="1"/>
  <c r="BN107" i="1"/>
  <c r="Z110" i="1"/>
  <c r="BP110" i="1"/>
  <c r="Y120" i="1"/>
  <c r="Z116" i="1"/>
  <c r="BP116" i="1"/>
  <c r="Z122" i="1"/>
  <c r="BP122" i="1"/>
  <c r="BN123" i="1"/>
  <c r="Z139" i="1"/>
  <c r="BP139" i="1"/>
  <c r="Y145" i="1"/>
  <c r="BN149" i="1"/>
  <c r="BN156" i="1"/>
  <c r="Z160" i="1"/>
  <c r="BP160" i="1"/>
  <c r="Y166" i="1"/>
  <c r="Y165" i="1"/>
  <c r="BN164" i="1"/>
  <c r="BP164" i="1"/>
  <c r="BP169" i="1"/>
  <c r="Z169" i="1"/>
  <c r="BN171" i="1"/>
  <c r="BP183" i="1"/>
  <c r="Z183" i="1"/>
  <c r="BP184" i="1"/>
  <c r="BP217" i="1"/>
  <c r="Z217" i="1"/>
  <c r="BP232" i="1"/>
  <c r="Z232" i="1"/>
  <c r="Y281" i="1"/>
  <c r="BP273" i="1"/>
  <c r="BN387" i="1"/>
  <c r="BP387" i="1"/>
  <c r="Z387" i="1"/>
  <c r="BN449" i="1"/>
  <c r="BP449" i="1"/>
  <c r="Z449" i="1"/>
  <c r="BN517" i="1"/>
  <c r="BP517" i="1"/>
  <c r="Z517" i="1"/>
  <c r="BP187" i="1"/>
  <c r="Z187" i="1"/>
  <c r="Y199" i="1"/>
  <c r="BN195" i="1"/>
  <c r="BP195" i="1"/>
  <c r="BP211" i="1"/>
  <c r="Y240" i="1"/>
  <c r="BN226" i="1"/>
  <c r="BP226" i="1"/>
  <c r="BP234" i="1"/>
  <c r="BP285" i="1"/>
  <c r="Z285" i="1"/>
  <c r="BN331" i="1"/>
  <c r="BP331" i="1"/>
  <c r="Z331" i="1"/>
  <c r="BN338" i="1"/>
  <c r="Y341" i="1"/>
  <c r="BP338" i="1"/>
  <c r="Z338" i="1"/>
  <c r="BN379" i="1"/>
  <c r="BP379" i="1"/>
  <c r="Z379" i="1"/>
  <c r="X559" i="1"/>
  <c r="Z41" i="1"/>
  <c r="Z49" i="1"/>
  <c r="E569" i="1"/>
  <c r="Z58" i="1"/>
  <c r="Z64" i="1"/>
  <c r="BP64" i="1"/>
  <c r="Z72" i="1"/>
  <c r="Y82" i="1"/>
  <c r="Z80" i="1"/>
  <c r="Z107" i="1"/>
  <c r="Z123" i="1"/>
  <c r="Y134" i="1"/>
  <c r="Z149" i="1"/>
  <c r="Z156" i="1"/>
  <c r="BN169" i="1"/>
  <c r="Z171" i="1"/>
  <c r="Y177" i="1"/>
  <c r="BP175" i="1"/>
  <c r="Z175" i="1"/>
  <c r="Z195" i="1"/>
  <c r="Z211" i="1"/>
  <c r="Z226" i="1"/>
  <c r="Z234" i="1"/>
  <c r="BP287" i="1"/>
  <c r="BN324" i="1"/>
  <c r="BP324" i="1"/>
  <c r="Z324" i="1"/>
  <c r="BN347" i="1"/>
  <c r="BP347" i="1"/>
  <c r="Z347" i="1"/>
  <c r="BN353" i="1"/>
  <c r="BP353" i="1"/>
  <c r="Z353" i="1"/>
  <c r="BN399" i="1"/>
  <c r="BP399" i="1"/>
  <c r="Z399" i="1"/>
  <c r="BN423" i="1"/>
  <c r="Y426" i="1"/>
  <c r="BP423" i="1"/>
  <c r="Z423" i="1"/>
  <c r="Y112" i="1"/>
  <c r="Y129" i="1"/>
  <c r="H569" i="1"/>
  <c r="BN187" i="1"/>
  <c r="Y203" i="1"/>
  <c r="Y202" i="1"/>
  <c r="BN201" i="1"/>
  <c r="BP201" i="1"/>
  <c r="BP279" i="1"/>
  <c r="Z279" i="1"/>
  <c r="BN285" i="1"/>
  <c r="BN310" i="1"/>
  <c r="BP310" i="1"/>
  <c r="Z310" i="1"/>
  <c r="BN393" i="1"/>
  <c r="BP393" i="1"/>
  <c r="Z393" i="1"/>
  <c r="BN433" i="1"/>
  <c r="BP433" i="1"/>
  <c r="Z433" i="1"/>
  <c r="BN509" i="1"/>
  <c r="BP509" i="1"/>
  <c r="Z509" i="1"/>
  <c r="BN525" i="1"/>
  <c r="BP525" i="1"/>
  <c r="Z525" i="1"/>
  <c r="BN551" i="1"/>
  <c r="BP551" i="1"/>
  <c r="Z551" i="1"/>
  <c r="Y335" i="1"/>
  <c r="Y401" i="1"/>
  <c r="Y193" i="1"/>
  <c r="M569" i="1"/>
  <c r="BN267" i="1"/>
  <c r="Y295" i="1"/>
  <c r="Z293" i="1"/>
  <c r="Z308" i="1"/>
  <c r="Z314" i="1"/>
  <c r="Z315" i="1" s="1"/>
  <c r="BP314" i="1"/>
  <c r="BN318" i="1"/>
  <c r="Y319" i="1"/>
  <c r="Z322" i="1"/>
  <c r="Z329" i="1"/>
  <c r="BP329" i="1"/>
  <c r="Z345" i="1"/>
  <c r="Z360" i="1"/>
  <c r="Z369" i="1"/>
  <c r="Z377" i="1"/>
  <c r="Z385" i="1"/>
  <c r="Z391" i="1"/>
  <c r="Z397" i="1"/>
  <c r="BP397" i="1"/>
  <c r="Z405" i="1"/>
  <c r="Z431" i="1"/>
  <c r="Z455" i="1"/>
  <c r="Z482" i="1"/>
  <c r="Z497" i="1"/>
  <c r="Z507" i="1"/>
  <c r="Z523" i="1"/>
  <c r="Y248" i="1"/>
  <c r="Z411" i="1"/>
  <c r="Z437" i="1"/>
  <c r="Z470" i="1"/>
  <c r="Z505" i="1"/>
  <c r="Z556" i="1"/>
  <c r="Z557" i="1" s="1"/>
  <c r="BP556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3" i="1"/>
  <c r="BN323" i="1"/>
  <c r="Z323" i="1"/>
  <c r="Z325" i="1" s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BN104" i="1"/>
  <c r="Z106" i="1"/>
  <c r="BN106" i="1"/>
  <c r="Z108" i="1"/>
  <c r="BN108" i="1"/>
  <c r="Z109" i="1"/>
  <c r="BN109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Z170" i="1"/>
  <c r="BN170" i="1"/>
  <c r="Y173" i="1"/>
  <c r="Z176" i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BN212" i="1"/>
  <c r="Z214" i="1"/>
  <c r="BN214" i="1"/>
  <c r="Z216" i="1"/>
  <c r="BN216" i="1"/>
  <c r="Y219" i="1"/>
  <c r="L569" i="1"/>
  <c r="Y224" i="1"/>
  <c r="Z227" i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BP309" i="1"/>
  <c r="BN309" i="1"/>
  <c r="Z309" i="1"/>
  <c r="Y326" i="1"/>
  <c r="Y325" i="1"/>
  <c r="BP330" i="1"/>
  <c r="BN330" i="1"/>
  <c r="Z330" i="1"/>
  <c r="Z334" i="1" s="1"/>
  <c r="Y334" i="1"/>
  <c r="BP339" i="1"/>
  <c r="BN339" i="1"/>
  <c r="Z339" i="1"/>
  <c r="BP348" i="1"/>
  <c r="BN348" i="1"/>
  <c r="Z348" i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BP406" i="1"/>
  <c r="BN406" i="1"/>
  <c r="Z406" i="1"/>
  <c r="Y408" i="1"/>
  <c r="Y413" i="1"/>
  <c r="BP410" i="1"/>
  <c r="BN410" i="1"/>
  <c r="Z410" i="1"/>
  <c r="Z413" i="1" s="1"/>
  <c r="Y419" i="1"/>
  <c r="BP424" i="1"/>
  <c r="BN424" i="1"/>
  <c r="Z424" i="1"/>
  <c r="Z426" i="1" s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Y558" i="1"/>
  <c r="Z552" i="1" l="1"/>
  <c r="Z456" i="1"/>
  <c r="Z381" i="1"/>
  <c r="Z371" i="1"/>
  <c r="Z264" i="1"/>
  <c r="Z177" i="1"/>
  <c r="Z119" i="1"/>
  <c r="Z51" i="1"/>
  <c r="Z32" i="1"/>
  <c r="Z519" i="1"/>
  <c r="Z401" i="1"/>
  <c r="Z341" i="1"/>
  <c r="Z172" i="1"/>
  <c r="Z68" i="1"/>
  <c r="X562" i="1"/>
  <c r="Z240" i="1"/>
  <c r="Z99" i="1"/>
  <c r="Z483" i="1"/>
  <c r="Z311" i="1"/>
  <c r="Z218" i="1"/>
  <c r="Z42" i="1"/>
  <c r="Z248" i="1"/>
  <c r="Z161" i="1"/>
  <c r="Z74" i="1"/>
  <c r="Z61" i="1"/>
  <c r="Z439" i="1"/>
  <c r="Z129" i="1"/>
  <c r="Z111" i="1"/>
  <c r="Z90" i="1"/>
  <c r="Z350" i="1"/>
  <c r="Z513" i="1"/>
  <c r="Z295" i="1"/>
  <c r="Y561" i="1"/>
  <c r="Z499" i="1"/>
  <c r="Z388" i="1"/>
  <c r="Z362" i="1"/>
  <c r="Y563" i="1"/>
  <c r="Z280" i="1"/>
  <c r="Z254" i="1"/>
  <c r="Z192" i="1"/>
  <c r="Z134" i="1"/>
  <c r="Z81" i="1"/>
  <c r="Y559" i="1"/>
  <c r="Y560" i="1"/>
  <c r="Z529" i="1"/>
  <c r="Z472" i="1"/>
  <c r="Z451" i="1"/>
  <c r="Z407" i="1"/>
  <c r="Y562" i="1" l="1"/>
  <c r="Z564" i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<sst xmlns="http://schemas.openxmlformats.org/spreadsheetml/2006/main" count="2558" uniqueCount="917">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</sst>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71" sqref="AA71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7" t="s">
        <v>0</v>
      </c>
      <c r="E1" s="692"/>
      <c r="F1" s="692"/>
      <c r="G1" s="12" t="s">
        <v>1</v>
      </c>
      <c r="H1" s="737" t="s">
        <v>2</v>
      </c>
      <c r="I1" s="692"/>
      <c r="J1" s="692"/>
      <c r="K1" s="692"/>
      <c r="L1" s="692"/>
      <c r="M1" s="692"/>
      <c r="N1" s="692"/>
      <c r="O1" s="692"/>
      <c r="P1" s="692"/>
      <c r="Q1" s="692"/>
      <c r="R1" s="691" t="s">
        <v>3</v>
      </c>
      <c r="S1" s="692"/>
      <c r="T1" s="6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0"/>
      <c r="Q3" s="650"/>
      <c r="R3" s="650"/>
      <c r="S3" s="650"/>
      <c r="T3" s="650"/>
      <c r="U3" s="650"/>
      <c r="V3" s="650"/>
      <c r="W3" s="650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0" t="s">
        <v>8</v>
      </c>
      <c r="B5" s="688"/>
      <c r="C5" s="689"/>
      <c r="D5" s="724"/>
      <c r="E5" s="725"/>
      <c r="F5" s="959" t="s">
        <v>9</v>
      </c>
      <c r="G5" s="689"/>
      <c r="H5" s="724" t="s">
        <v>916</v>
      </c>
      <c r="I5" s="901"/>
      <c r="J5" s="901"/>
      <c r="K5" s="901"/>
      <c r="L5" s="901"/>
      <c r="M5" s="725"/>
      <c r="N5" s="58"/>
      <c r="P5" s="24" t="s">
        <v>10</v>
      </c>
      <c r="Q5" s="982">
        <v>46271</v>
      </c>
      <c r="R5" s="759"/>
      <c r="T5" s="833" t="s">
        <v>11</v>
      </c>
      <c r="U5" s="834"/>
      <c r="V5" s="837" t="s">
        <v>12</v>
      </c>
      <c r="W5" s="759"/>
      <c r="AB5" s="51"/>
      <c r="AC5" s="51"/>
      <c r="AD5" s="51"/>
      <c r="AE5" s="51"/>
    </row>
    <row r="6" spans="1:32" s="637" customFormat="1" ht="24" customHeight="1" x14ac:dyDescent="0.2">
      <c r="A6" s="760" t="s">
        <v>13</v>
      </c>
      <c r="B6" s="688"/>
      <c r="C6" s="689"/>
      <c r="D6" s="903" t="s">
        <v>889</v>
      </c>
      <c r="E6" s="904"/>
      <c r="F6" s="904"/>
      <c r="G6" s="904"/>
      <c r="H6" s="904"/>
      <c r="I6" s="904"/>
      <c r="J6" s="904"/>
      <c r="K6" s="904"/>
      <c r="L6" s="904"/>
      <c r="M6" s="759"/>
      <c r="N6" s="59"/>
      <c r="P6" s="24" t="s">
        <v>14</v>
      </c>
      <c r="Q6" s="992" t="str">
        <f>IF(Q5=0," ",CHOOSE(WEEKDAY(Q5,2),"Понедельник","Вторник","Среда","Четверг","Пятница","Суббота","Воскресенье"))</f>
        <v>Воскресенье</v>
      </c>
      <c r="R6" s="662"/>
      <c r="T6" s="844" t="s">
        <v>15</v>
      </c>
      <c r="U6" s="834"/>
      <c r="V6" s="888" t="s">
        <v>16</v>
      </c>
      <c r="W6" s="708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6" t="str">
        <f>IFERROR(VLOOKUP(DeliveryAddress,Table,3,0),1)</f>
        <v>5</v>
      </c>
      <c r="E7" s="727"/>
      <c r="F7" s="727"/>
      <c r="G7" s="727"/>
      <c r="H7" s="727"/>
      <c r="I7" s="727"/>
      <c r="J7" s="727"/>
      <c r="K7" s="727"/>
      <c r="L7" s="727"/>
      <c r="M7" s="728"/>
      <c r="N7" s="60"/>
      <c r="P7" s="24"/>
      <c r="Q7" s="42"/>
      <c r="R7" s="42"/>
      <c r="T7" s="650"/>
      <c r="U7" s="834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5"/>
      <c r="C8" s="656"/>
      <c r="D8" s="732"/>
      <c r="E8" s="733"/>
      <c r="F8" s="733"/>
      <c r="G8" s="733"/>
      <c r="H8" s="733"/>
      <c r="I8" s="733"/>
      <c r="J8" s="733"/>
      <c r="K8" s="733"/>
      <c r="L8" s="733"/>
      <c r="M8" s="734"/>
      <c r="N8" s="61"/>
      <c r="P8" s="24" t="s">
        <v>18</v>
      </c>
      <c r="Q8" s="764">
        <v>0.41666666666666669</v>
      </c>
      <c r="R8" s="728"/>
      <c r="T8" s="650"/>
      <c r="U8" s="834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0"/>
      <c r="C9" s="650"/>
      <c r="D9" s="780"/>
      <c r="E9" s="675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0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635"/>
      <c r="P9" s="26" t="s">
        <v>19</v>
      </c>
      <c r="Q9" s="782"/>
      <c r="R9" s="783"/>
      <c r="T9" s="650"/>
      <c r="U9" s="834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0"/>
      <c r="C10" s="650"/>
      <c r="D10" s="780"/>
      <c r="E10" s="675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0"/>
      <c r="H10" s="881" t="str">
        <f>IFERROR(VLOOKUP($D$10,Proxy,2,FALSE),"")</f>
        <v/>
      </c>
      <c r="I10" s="650"/>
      <c r="J10" s="650"/>
      <c r="K10" s="650"/>
      <c r="L10" s="650"/>
      <c r="M10" s="650"/>
      <c r="N10" s="636"/>
      <c r="P10" s="26" t="s">
        <v>20</v>
      </c>
      <c r="Q10" s="818"/>
      <c r="R10" s="819"/>
      <c r="U10" s="24" t="s">
        <v>21</v>
      </c>
      <c r="V10" s="707" t="s">
        <v>22</v>
      </c>
      <c r="W10" s="708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33" t="s">
        <v>26</v>
      </c>
      <c r="W11" s="78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6" t="s">
        <v>27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9"/>
      <c r="N12" s="62"/>
      <c r="P12" s="24" t="s">
        <v>28</v>
      </c>
      <c r="Q12" s="764"/>
      <c r="R12" s="728"/>
      <c r="S12" s="23"/>
      <c r="U12" s="24"/>
      <c r="V12" s="692"/>
      <c r="W12" s="650"/>
      <c r="AB12" s="51"/>
      <c r="AC12" s="51"/>
      <c r="AD12" s="51"/>
      <c r="AE12" s="51"/>
    </row>
    <row r="13" spans="1:32" s="637" customFormat="1" ht="23.25" customHeight="1" x14ac:dyDescent="0.2">
      <c r="A13" s="806" t="s">
        <v>29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9"/>
      <c r="N13" s="62"/>
      <c r="O13" s="26"/>
      <c r="P13" s="26" t="s">
        <v>30</v>
      </c>
      <c r="Q13" s="933"/>
      <c r="R13" s="78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6" t="s">
        <v>31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784" t="s">
        <v>32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9"/>
      <c r="N15" s="63"/>
      <c r="P15" s="829" t="s">
        <v>33</v>
      </c>
      <c r="Q15" s="692"/>
      <c r="R15" s="692"/>
      <c r="S15" s="692"/>
      <c r="T15" s="6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0"/>
      <c r="Q16" s="830"/>
      <c r="R16" s="830"/>
      <c r="S16" s="830"/>
      <c r="T16" s="83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7" t="s">
        <v>36</v>
      </c>
      <c r="D17" s="672" t="s">
        <v>37</v>
      </c>
      <c r="E17" s="743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42"/>
      <c r="R17" s="742"/>
      <c r="S17" s="742"/>
      <c r="T17" s="743"/>
      <c r="U17" s="939" t="s">
        <v>49</v>
      </c>
      <c r="V17" s="689"/>
      <c r="W17" s="672" t="s">
        <v>50</v>
      </c>
      <c r="X17" s="672" t="s">
        <v>51</v>
      </c>
      <c r="Y17" s="1018" t="s">
        <v>52</v>
      </c>
      <c r="Z17" s="798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4"/>
      <c r="AF17" s="955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44"/>
      <c r="E18" s="746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44"/>
      <c r="Q18" s="745"/>
      <c r="R18" s="745"/>
      <c r="S18" s="745"/>
      <c r="T18" s="746"/>
      <c r="U18" s="67" t="s">
        <v>59</v>
      </c>
      <c r="V18" s="67" t="s">
        <v>60</v>
      </c>
      <c r="W18" s="673"/>
      <c r="X18" s="673"/>
      <c r="Y18" s="1019"/>
      <c r="Z18" s="799"/>
      <c r="AA18" s="880"/>
      <c r="AB18" s="880"/>
      <c r="AC18" s="880"/>
      <c r="AD18" s="956"/>
      <c r="AE18" s="957"/>
      <c r="AF18" s="958"/>
      <c r="AG18" s="66"/>
      <c r="BD18" s="65"/>
    </row>
    <row r="19" spans="1:68" ht="27.75" hidden="1" customHeight="1" x14ac:dyDescent="0.2">
      <c r="A19" s="647" t="s">
        <v>61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666" t="s">
        <v>61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38"/>
      <c r="AB20" s="638"/>
      <c r="AC20" s="638"/>
    </row>
    <row r="21" spans="1:68" ht="14.25" hidden="1" customHeight="1" x14ac:dyDescent="0.25">
      <c r="A21" s="649" t="s">
        <v>62</v>
      </c>
      <c r="B21" s="650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650"/>
      <c r="Q21" s="650"/>
      <c r="R21" s="650"/>
      <c r="S21" s="650"/>
      <c r="T21" s="650"/>
      <c r="U21" s="650"/>
      <c r="V21" s="650"/>
      <c r="W21" s="650"/>
      <c r="X21" s="650"/>
      <c r="Y21" s="650"/>
      <c r="Z21" s="650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1">
        <v>4680115886643</v>
      </c>
      <c r="E22" s="66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1">
        <v>4680115889071</v>
      </c>
      <c r="E23" s="66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2"/>
      <c r="R23" s="652"/>
      <c r="S23" s="652"/>
      <c r="T23" s="653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8"/>
      <c r="P24" s="654" t="s">
        <v>72</v>
      </c>
      <c r="Q24" s="655"/>
      <c r="R24" s="655"/>
      <c r="S24" s="655"/>
      <c r="T24" s="655"/>
      <c r="U24" s="655"/>
      <c r="V24" s="656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0"/>
      <c r="B25" s="65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8"/>
      <c r="P25" s="654" t="s">
        <v>72</v>
      </c>
      <c r="Q25" s="655"/>
      <c r="R25" s="655"/>
      <c r="S25" s="655"/>
      <c r="T25" s="655"/>
      <c r="U25" s="655"/>
      <c r="V25" s="656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49" t="s">
        <v>74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0"/>
      <c r="Q26" s="650"/>
      <c r="R26" s="650"/>
      <c r="S26" s="650"/>
      <c r="T26" s="650"/>
      <c r="U26" s="650"/>
      <c r="V26" s="650"/>
      <c r="W26" s="650"/>
      <c r="X26" s="650"/>
      <c r="Y26" s="650"/>
      <c r="Z26" s="650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1">
        <v>4680115885912</v>
      </c>
      <c r="E27" s="66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2"/>
      <c r="R27" s="652"/>
      <c r="S27" s="652"/>
      <c r="T27" s="653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1">
        <v>4607091388237</v>
      </c>
      <c r="E28" s="66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2"/>
      <c r="R28" s="652"/>
      <c r="S28" s="652"/>
      <c r="T28" s="653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1">
        <v>4680115887350</v>
      </c>
      <c r="E29" s="66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43"/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1">
        <v>4680115885905</v>
      </c>
      <c r="E30" s="66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1">
        <v>4680115887619</v>
      </c>
      <c r="E31" s="66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2"/>
      <c r="R31" s="652"/>
      <c r="S31" s="652"/>
      <c r="T31" s="653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7"/>
      <c r="B32" s="65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58"/>
      <c r="P32" s="654" t="s">
        <v>72</v>
      </c>
      <c r="Q32" s="655"/>
      <c r="R32" s="655"/>
      <c r="S32" s="655"/>
      <c r="T32" s="655"/>
      <c r="U32" s="655"/>
      <c r="V32" s="656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0"/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8"/>
      <c r="P33" s="654" t="s">
        <v>72</v>
      </c>
      <c r="Q33" s="655"/>
      <c r="R33" s="655"/>
      <c r="S33" s="655"/>
      <c r="T33" s="655"/>
      <c r="U33" s="655"/>
      <c r="V33" s="656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47" t="s">
        <v>92</v>
      </c>
      <c r="B34" s="648"/>
      <c r="C34" s="648"/>
      <c r="D34" s="648"/>
      <c r="E34" s="648"/>
      <c r="F34" s="648"/>
      <c r="G34" s="648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48"/>
      <c r="AB34" s="48"/>
      <c r="AC34" s="48"/>
    </row>
    <row r="35" spans="1:68" ht="16.5" hidden="1" customHeight="1" x14ac:dyDescent="0.25">
      <c r="A35" s="666" t="s">
        <v>93</v>
      </c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0"/>
      <c r="X35" s="650"/>
      <c r="Y35" s="650"/>
      <c r="Z35" s="650"/>
      <c r="AA35" s="638"/>
      <c r="AB35" s="638"/>
      <c r="AC35" s="638"/>
    </row>
    <row r="36" spans="1:68" ht="14.25" hidden="1" customHeight="1" x14ac:dyDescent="0.25">
      <c r="A36" s="649" t="s">
        <v>74</v>
      </c>
      <c r="B36" s="650"/>
      <c r="C36" s="650"/>
      <c r="D36" s="650"/>
      <c r="E36" s="650"/>
      <c r="F36" s="650"/>
      <c r="G36" s="650"/>
      <c r="H36" s="650"/>
      <c r="I36" s="650"/>
      <c r="J36" s="650"/>
      <c r="K36" s="650"/>
      <c r="L36" s="650"/>
      <c r="M36" s="650"/>
      <c r="N36" s="650"/>
      <c r="O36" s="650"/>
      <c r="P36" s="650"/>
      <c r="Q36" s="650"/>
      <c r="R36" s="650"/>
      <c r="S36" s="650"/>
      <c r="T36" s="650"/>
      <c r="U36" s="650"/>
      <c r="V36" s="650"/>
      <c r="W36" s="650"/>
      <c r="X36" s="650"/>
      <c r="Y36" s="650"/>
      <c r="Z36" s="650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1">
        <v>4680115889354</v>
      </c>
      <c r="E37" s="66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2"/>
      <c r="R37" s="652"/>
      <c r="S37" s="652"/>
      <c r="T37" s="653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1">
        <v>4680115888463</v>
      </c>
      <c r="E38" s="66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2"/>
      <c r="R38" s="652"/>
      <c r="S38" s="652"/>
      <c r="T38" s="653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1">
        <v>4680115889590</v>
      </c>
      <c r="E39" s="66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2"/>
      <c r="R39" s="652"/>
      <c r="S39" s="652"/>
      <c r="T39" s="653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1">
        <v>4680115888272</v>
      </c>
      <c r="E40" s="66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2"/>
      <c r="R40" s="652"/>
      <c r="S40" s="652"/>
      <c r="T40" s="653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1">
        <v>4680115888364</v>
      </c>
      <c r="E41" s="66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0"/>
      <c r="C42" s="650"/>
      <c r="D42" s="650"/>
      <c r="E42" s="650"/>
      <c r="F42" s="650"/>
      <c r="G42" s="650"/>
      <c r="H42" s="650"/>
      <c r="I42" s="650"/>
      <c r="J42" s="650"/>
      <c r="K42" s="650"/>
      <c r="L42" s="650"/>
      <c r="M42" s="650"/>
      <c r="N42" s="650"/>
      <c r="O42" s="658"/>
      <c r="P42" s="654" t="s">
        <v>72</v>
      </c>
      <c r="Q42" s="655"/>
      <c r="R42" s="655"/>
      <c r="S42" s="655"/>
      <c r="T42" s="655"/>
      <c r="U42" s="655"/>
      <c r="V42" s="656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0"/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8"/>
      <c r="P43" s="654" t="s">
        <v>72</v>
      </c>
      <c r="Q43" s="655"/>
      <c r="R43" s="655"/>
      <c r="S43" s="655"/>
      <c r="T43" s="655"/>
      <c r="U43" s="655"/>
      <c r="V43" s="656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47" t="s">
        <v>109</v>
      </c>
      <c r="B44" s="648"/>
      <c r="C44" s="648"/>
      <c r="D44" s="648"/>
      <c r="E44" s="648"/>
      <c r="F44" s="648"/>
      <c r="G44" s="648"/>
      <c r="H44" s="648"/>
      <c r="I44" s="648"/>
      <c r="J44" s="648"/>
      <c r="K44" s="648"/>
      <c r="L44" s="648"/>
      <c r="M44" s="648"/>
      <c r="N44" s="648"/>
      <c r="O44" s="648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48"/>
      <c r="AB44" s="48"/>
      <c r="AC44" s="48"/>
    </row>
    <row r="45" spans="1:68" ht="16.5" hidden="1" customHeight="1" x14ac:dyDescent="0.25">
      <c r="A45" s="666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638"/>
      <c r="AB45" s="638"/>
      <c r="AC45" s="638"/>
    </row>
    <row r="46" spans="1:68" ht="14.25" hidden="1" customHeight="1" x14ac:dyDescent="0.25">
      <c r="A46" s="649" t="s">
        <v>111</v>
      </c>
      <c r="B46" s="650"/>
      <c r="C46" s="650"/>
      <c r="D46" s="650"/>
      <c r="E46" s="650"/>
      <c r="F46" s="650"/>
      <c r="G46" s="650"/>
      <c r="H46" s="650"/>
      <c r="I46" s="650"/>
      <c r="J46" s="650"/>
      <c r="K46" s="650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V46" s="650"/>
      <c r="W46" s="650"/>
      <c r="X46" s="650"/>
      <c r="Y46" s="650"/>
      <c r="Z46" s="650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61">
        <v>4607091385670</v>
      </c>
      <c r="E47" s="66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2"/>
      <c r="R47" s="652"/>
      <c r="S47" s="652"/>
      <c r="T47" s="653"/>
      <c r="U47" s="34"/>
      <c r="V47" s="34"/>
      <c r="W47" s="35" t="s">
        <v>67</v>
      </c>
      <c r="X47" s="643"/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1">
        <v>4680115887725</v>
      </c>
      <c r="E48" s="66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2"/>
      <c r="R48" s="652"/>
      <c r="S48" s="652"/>
      <c r="T48" s="653"/>
      <c r="U48" s="34"/>
      <c r="V48" s="34"/>
      <c r="W48" s="35" t="s">
        <v>67</v>
      </c>
      <c r="X48" s="643"/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1">
        <v>4607091385687</v>
      </c>
      <c r="E49" s="66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2"/>
      <c r="R49" s="652"/>
      <c r="S49" s="652"/>
      <c r="T49" s="653"/>
      <c r="U49" s="34"/>
      <c r="V49" s="34"/>
      <c r="W49" s="35" t="s">
        <v>67</v>
      </c>
      <c r="X49" s="643"/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1">
        <v>4680115882539</v>
      </c>
      <c r="E50" s="66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2"/>
      <c r="R50" s="652"/>
      <c r="S50" s="652"/>
      <c r="T50" s="653"/>
      <c r="U50" s="34"/>
      <c r="V50" s="34"/>
      <c r="W50" s="35" t="s">
        <v>67</v>
      </c>
      <c r="X50" s="643"/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7"/>
      <c r="B51" s="650"/>
      <c r="C51" s="650"/>
      <c r="D51" s="650"/>
      <c r="E51" s="650"/>
      <c r="F51" s="650"/>
      <c r="G51" s="650"/>
      <c r="H51" s="650"/>
      <c r="I51" s="650"/>
      <c r="J51" s="650"/>
      <c r="K51" s="650"/>
      <c r="L51" s="650"/>
      <c r="M51" s="650"/>
      <c r="N51" s="650"/>
      <c r="O51" s="658"/>
      <c r="P51" s="654" t="s">
        <v>72</v>
      </c>
      <c r="Q51" s="655"/>
      <c r="R51" s="655"/>
      <c r="S51" s="655"/>
      <c r="T51" s="655"/>
      <c r="U51" s="655"/>
      <c r="V51" s="656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hidden="1" x14ac:dyDescent="0.2">
      <c r="A52" s="650"/>
      <c r="B52" s="650"/>
      <c r="C52" s="650"/>
      <c r="D52" s="650"/>
      <c r="E52" s="650"/>
      <c r="F52" s="650"/>
      <c r="G52" s="650"/>
      <c r="H52" s="650"/>
      <c r="I52" s="650"/>
      <c r="J52" s="650"/>
      <c r="K52" s="650"/>
      <c r="L52" s="650"/>
      <c r="M52" s="650"/>
      <c r="N52" s="650"/>
      <c r="O52" s="658"/>
      <c r="P52" s="654" t="s">
        <v>72</v>
      </c>
      <c r="Q52" s="655"/>
      <c r="R52" s="655"/>
      <c r="S52" s="655"/>
      <c r="T52" s="655"/>
      <c r="U52" s="655"/>
      <c r="V52" s="656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hidden="1" customHeight="1" x14ac:dyDescent="0.25">
      <c r="A53" s="666" t="s">
        <v>126</v>
      </c>
      <c r="B53" s="650"/>
      <c r="C53" s="650"/>
      <c r="D53" s="650"/>
      <c r="E53" s="650"/>
      <c r="F53" s="650"/>
      <c r="G53" s="650"/>
      <c r="H53" s="650"/>
      <c r="I53" s="650"/>
      <c r="J53" s="650"/>
      <c r="K53" s="650"/>
      <c r="L53" s="650"/>
      <c r="M53" s="650"/>
      <c r="N53" s="650"/>
      <c r="O53" s="650"/>
      <c r="P53" s="650"/>
      <c r="Q53" s="650"/>
      <c r="R53" s="650"/>
      <c r="S53" s="650"/>
      <c r="T53" s="650"/>
      <c r="U53" s="650"/>
      <c r="V53" s="650"/>
      <c r="W53" s="650"/>
      <c r="X53" s="650"/>
      <c r="Y53" s="650"/>
      <c r="Z53" s="650"/>
      <c r="AA53" s="638"/>
      <c r="AB53" s="638"/>
      <c r="AC53" s="638"/>
    </row>
    <row r="54" spans="1:68" ht="14.25" hidden="1" customHeight="1" x14ac:dyDescent="0.25">
      <c r="A54" s="649" t="s">
        <v>111</v>
      </c>
      <c r="B54" s="650"/>
      <c r="C54" s="650"/>
      <c r="D54" s="650"/>
      <c r="E54" s="650"/>
      <c r="F54" s="650"/>
      <c r="G54" s="650"/>
      <c r="H54" s="650"/>
      <c r="I54" s="650"/>
      <c r="J54" s="650"/>
      <c r="K54" s="650"/>
      <c r="L54" s="650"/>
      <c r="M54" s="650"/>
      <c r="N54" s="650"/>
      <c r="O54" s="650"/>
      <c r="P54" s="650"/>
      <c r="Q54" s="650"/>
      <c r="R54" s="650"/>
      <c r="S54" s="650"/>
      <c r="T54" s="650"/>
      <c r="U54" s="650"/>
      <c r="V54" s="650"/>
      <c r="W54" s="650"/>
      <c r="X54" s="650"/>
      <c r="Y54" s="650"/>
      <c r="Z54" s="650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1">
        <v>4680115885882</v>
      </c>
      <c r="E55" s="66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2"/>
      <c r="R55" s="652"/>
      <c r="S55" s="652"/>
      <c r="T55" s="653"/>
      <c r="U55" s="34"/>
      <c r="V55" s="34"/>
      <c r="W55" s="35" t="s">
        <v>67</v>
      </c>
      <c r="X55" s="643"/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61">
        <v>4680115881426</v>
      </c>
      <c r="E56" s="66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2"/>
      <c r="R56" s="652"/>
      <c r="S56" s="652"/>
      <c r="T56" s="653"/>
      <c r="U56" s="34"/>
      <c r="V56" s="34"/>
      <c r="W56" s="35" t="s">
        <v>67</v>
      </c>
      <c r="X56" s="643"/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1">
        <v>4680115880283</v>
      </c>
      <c r="E57" s="66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2"/>
      <c r="R57" s="652"/>
      <c r="S57" s="652"/>
      <c r="T57" s="653"/>
      <c r="U57" s="34"/>
      <c r="V57" s="34"/>
      <c r="W57" s="35" t="s">
        <v>67</v>
      </c>
      <c r="X57" s="643"/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1">
        <v>4680115881525</v>
      </c>
      <c r="E58" s="66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2"/>
      <c r="R58" s="652"/>
      <c r="S58" s="652"/>
      <c r="T58" s="653"/>
      <c r="U58" s="34"/>
      <c r="V58" s="34"/>
      <c r="W58" s="35" t="s">
        <v>67</v>
      </c>
      <c r="X58" s="643"/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1">
        <v>4680115885899</v>
      </c>
      <c r="E59" s="66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43"/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1">
        <v>4680115881419</v>
      </c>
      <c r="E60" s="66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43"/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idden="1" x14ac:dyDescent="0.2">
      <c r="A61" s="657"/>
      <c r="B61" s="650"/>
      <c r="C61" s="650"/>
      <c r="D61" s="650"/>
      <c r="E61" s="650"/>
      <c r="F61" s="650"/>
      <c r="G61" s="650"/>
      <c r="H61" s="650"/>
      <c r="I61" s="650"/>
      <c r="J61" s="650"/>
      <c r="K61" s="650"/>
      <c r="L61" s="650"/>
      <c r="M61" s="650"/>
      <c r="N61" s="650"/>
      <c r="O61" s="658"/>
      <c r="P61" s="654" t="s">
        <v>72</v>
      </c>
      <c r="Q61" s="655"/>
      <c r="R61" s="655"/>
      <c r="S61" s="655"/>
      <c r="T61" s="655"/>
      <c r="U61" s="655"/>
      <c r="V61" s="656"/>
      <c r="W61" s="37" t="s">
        <v>73</v>
      </c>
      <c r="X61" s="645">
        <f>IFERROR(X55/H55,"0")+IFERROR(X56/H56,"0")+IFERROR(X57/H57,"0")+IFERROR(X58/H58,"0")+IFERROR(X59/H59,"0")+IFERROR(X60/H60,"0")</f>
        <v>0</v>
      </c>
      <c r="Y61" s="645">
        <f>IFERROR(Y55/H55,"0")+IFERROR(Y56/H56,"0")+IFERROR(Y57/H57,"0")+IFERROR(Y58/H58,"0")+IFERROR(Y59/H59,"0")+IFERROR(Y60/H60,"0")</f>
        <v>0</v>
      </c>
      <c r="Z61" s="645">
        <f>IFERROR(IF(Z55="",0,Z55),"0")+IFERROR(IF(Z56="",0,Z56),"0")+IFERROR(IF(Z57="",0,Z57),"0")+IFERROR(IF(Z58="",0,Z58),"0")+IFERROR(IF(Z59="",0,Z59),"0")+IFERROR(IF(Z60="",0,Z60),"0")</f>
        <v>0</v>
      </c>
      <c r="AA61" s="646"/>
      <c r="AB61" s="646"/>
      <c r="AC61" s="646"/>
    </row>
    <row r="62" spans="1:68" hidden="1" x14ac:dyDescent="0.2">
      <c r="A62" s="650"/>
      <c r="B62" s="650"/>
      <c r="C62" s="650"/>
      <c r="D62" s="650"/>
      <c r="E62" s="650"/>
      <c r="F62" s="650"/>
      <c r="G62" s="650"/>
      <c r="H62" s="650"/>
      <c r="I62" s="650"/>
      <c r="J62" s="650"/>
      <c r="K62" s="650"/>
      <c r="L62" s="650"/>
      <c r="M62" s="650"/>
      <c r="N62" s="650"/>
      <c r="O62" s="658"/>
      <c r="P62" s="654" t="s">
        <v>72</v>
      </c>
      <c r="Q62" s="655"/>
      <c r="R62" s="655"/>
      <c r="S62" s="655"/>
      <c r="T62" s="655"/>
      <c r="U62" s="655"/>
      <c r="V62" s="656"/>
      <c r="W62" s="37" t="s">
        <v>67</v>
      </c>
      <c r="X62" s="645">
        <f>IFERROR(SUM(X55:X60),"0")</f>
        <v>0</v>
      </c>
      <c r="Y62" s="645">
        <f>IFERROR(SUM(Y55:Y60),"0")</f>
        <v>0</v>
      </c>
      <c r="Z62" s="37"/>
      <c r="AA62" s="646"/>
      <c r="AB62" s="646"/>
      <c r="AC62" s="646"/>
    </row>
    <row r="63" spans="1:68" ht="14.25" hidden="1" customHeight="1" x14ac:dyDescent="0.25">
      <c r="A63" s="649" t="s">
        <v>144</v>
      </c>
      <c r="B63" s="650"/>
      <c r="C63" s="650"/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0"/>
      <c r="R63" s="650"/>
      <c r="S63" s="650"/>
      <c r="T63" s="650"/>
      <c r="U63" s="650"/>
      <c r="V63" s="650"/>
      <c r="W63" s="650"/>
      <c r="X63" s="650"/>
      <c r="Y63" s="650"/>
      <c r="Z63" s="650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1">
        <v>4680115881440</v>
      </c>
      <c r="E64" s="66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43"/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1">
        <v>4680115885950</v>
      </c>
      <c r="E65" s="66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43"/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1">
        <v>4680115887688</v>
      </c>
      <c r="E66" s="66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43"/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1">
        <v>4680115881433</v>
      </c>
      <c r="E67" s="66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2"/>
      <c r="R67" s="652"/>
      <c r="S67" s="652"/>
      <c r="T67" s="653"/>
      <c r="U67" s="34"/>
      <c r="V67" s="34"/>
      <c r="W67" s="35" t="s">
        <v>67</v>
      </c>
      <c r="X67" s="643"/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7"/>
      <c r="B68" s="650"/>
      <c r="C68" s="650"/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58"/>
      <c r="P68" s="654" t="s">
        <v>72</v>
      </c>
      <c r="Q68" s="655"/>
      <c r="R68" s="655"/>
      <c r="S68" s="655"/>
      <c r="T68" s="655"/>
      <c r="U68" s="655"/>
      <c r="V68" s="656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0"/>
      <c r="B69" s="650"/>
      <c r="C69" s="650"/>
      <c r="D69" s="650"/>
      <c r="E69" s="650"/>
      <c r="F69" s="650"/>
      <c r="G69" s="650"/>
      <c r="H69" s="650"/>
      <c r="I69" s="650"/>
      <c r="J69" s="650"/>
      <c r="K69" s="650"/>
      <c r="L69" s="650"/>
      <c r="M69" s="650"/>
      <c r="N69" s="650"/>
      <c r="O69" s="658"/>
      <c r="P69" s="654" t="s">
        <v>72</v>
      </c>
      <c r="Q69" s="655"/>
      <c r="R69" s="655"/>
      <c r="S69" s="655"/>
      <c r="T69" s="655"/>
      <c r="U69" s="655"/>
      <c r="V69" s="656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49" t="s">
        <v>74</v>
      </c>
      <c r="B70" s="650"/>
      <c r="C70" s="650"/>
      <c r="D70" s="650"/>
      <c r="E70" s="650"/>
      <c r="F70" s="650"/>
      <c r="G70" s="650"/>
      <c r="H70" s="650"/>
      <c r="I70" s="650"/>
      <c r="J70" s="650"/>
      <c r="K70" s="650"/>
      <c r="L70" s="650"/>
      <c r="M70" s="650"/>
      <c r="N70" s="650"/>
      <c r="O70" s="650"/>
      <c r="P70" s="650"/>
      <c r="Q70" s="650"/>
      <c r="R70" s="650"/>
      <c r="S70" s="650"/>
      <c r="T70" s="650"/>
      <c r="U70" s="650"/>
      <c r="V70" s="650"/>
      <c r="W70" s="650"/>
      <c r="X70" s="650"/>
      <c r="Y70" s="650"/>
      <c r="Z70" s="650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61">
        <v>4680115884311</v>
      </c>
      <c r="E71" s="66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43">
        <v>100</v>
      </c>
      <c r="Y71" s="644">
        <f>IFERROR(IF(X71="",0,CEILING((X71/$H71),1)*$H71),"")</f>
        <v>100.8</v>
      </c>
      <c r="Z71" s="36">
        <f>IFERROR(IF(Y71=0,"",ROUNDUP(Y71/H71,0)*0.00651),"")</f>
        <v>0.36456</v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113.66666666666666</v>
      </c>
      <c r="BN71" s="64">
        <f>IFERROR(Y71*I71/H71,"0")</f>
        <v>114.57599999999999</v>
      </c>
      <c r="BO71" s="64">
        <f>IFERROR(1/J71*(X71/H71),"0")</f>
        <v>0.30525030525030528</v>
      </c>
      <c r="BP71" s="64">
        <f>IFERROR(1/J71*(Y71/H71),"0")</f>
        <v>0.30769230769230771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1">
        <v>4680115884403</v>
      </c>
      <c r="E72" s="66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1">
        <v>4680115884403</v>
      </c>
      <c r="E73" s="66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7"/>
      <c r="B74" s="650"/>
      <c r="C74" s="650"/>
      <c r="D74" s="650"/>
      <c r="E74" s="650"/>
      <c r="F74" s="650"/>
      <c r="G74" s="650"/>
      <c r="H74" s="650"/>
      <c r="I74" s="650"/>
      <c r="J74" s="650"/>
      <c r="K74" s="650"/>
      <c r="L74" s="650"/>
      <c r="M74" s="650"/>
      <c r="N74" s="650"/>
      <c r="O74" s="658"/>
      <c r="P74" s="654" t="s">
        <v>72</v>
      </c>
      <c r="Q74" s="655"/>
      <c r="R74" s="655"/>
      <c r="S74" s="655"/>
      <c r="T74" s="655"/>
      <c r="U74" s="655"/>
      <c r="V74" s="656"/>
      <c r="W74" s="37" t="s">
        <v>73</v>
      </c>
      <c r="X74" s="645">
        <f>IFERROR(X71/H71,"0")+IFERROR(X72/H72,"0")+IFERROR(X73/H73,"0")</f>
        <v>55.555555555555557</v>
      </c>
      <c r="Y74" s="645">
        <f>IFERROR(Y71/H71,"0")+IFERROR(Y72/H72,"0")+IFERROR(Y73/H73,"0")</f>
        <v>56</v>
      </c>
      <c r="Z74" s="645">
        <f>IFERROR(IF(Z71="",0,Z71),"0")+IFERROR(IF(Z72="",0,Z72),"0")+IFERROR(IF(Z73="",0,Z73),"0")</f>
        <v>0.36456</v>
      </c>
      <c r="AA74" s="646"/>
      <c r="AB74" s="646"/>
      <c r="AC74" s="646"/>
    </row>
    <row r="75" spans="1:68" x14ac:dyDescent="0.2">
      <c r="A75" s="650"/>
      <c r="B75" s="650"/>
      <c r="C75" s="650"/>
      <c r="D75" s="650"/>
      <c r="E75" s="650"/>
      <c r="F75" s="650"/>
      <c r="G75" s="650"/>
      <c r="H75" s="650"/>
      <c r="I75" s="650"/>
      <c r="J75" s="650"/>
      <c r="K75" s="650"/>
      <c r="L75" s="650"/>
      <c r="M75" s="650"/>
      <c r="N75" s="650"/>
      <c r="O75" s="658"/>
      <c r="P75" s="654" t="s">
        <v>72</v>
      </c>
      <c r="Q75" s="655"/>
      <c r="R75" s="655"/>
      <c r="S75" s="655"/>
      <c r="T75" s="655"/>
      <c r="U75" s="655"/>
      <c r="V75" s="656"/>
      <c r="W75" s="37" t="s">
        <v>67</v>
      </c>
      <c r="X75" s="645">
        <f>IFERROR(SUM(X71:X73),"0")</f>
        <v>100</v>
      </c>
      <c r="Y75" s="645">
        <f>IFERROR(SUM(Y71:Y73),"0")</f>
        <v>100.8</v>
      </c>
      <c r="Z75" s="37"/>
      <c r="AA75" s="646"/>
      <c r="AB75" s="646"/>
      <c r="AC75" s="646"/>
    </row>
    <row r="76" spans="1:68" ht="14.25" hidden="1" customHeight="1" x14ac:dyDescent="0.25">
      <c r="A76" s="649" t="s">
        <v>162</v>
      </c>
      <c r="B76" s="650"/>
      <c r="C76" s="650"/>
      <c r="D76" s="650"/>
      <c r="E76" s="650"/>
      <c r="F76" s="650"/>
      <c r="G76" s="650"/>
      <c r="H76" s="650"/>
      <c r="I76" s="650"/>
      <c r="J76" s="650"/>
      <c r="K76" s="650"/>
      <c r="L76" s="650"/>
      <c r="M76" s="650"/>
      <c r="N76" s="650"/>
      <c r="O76" s="650"/>
      <c r="P76" s="650"/>
      <c r="Q76" s="650"/>
      <c r="R76" s="650"/>
      <c r="S76" s="650"/>
      <c r="T76" s="650"/>
      <c r="U76" s="650"/>
      <c r="V76" s="650"/>
      <c r="W76" s="650"/>
      <c r="X76" s="650"/>
      <c r="Y76" s="650"/>
      <c r="Z76" s="650"/>
      <c r="AA76" s="639"/>
      <c r="AB76" s="639"/>
      <c r="AC76" s="639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1">
        <v>4680115881532</v>
      </c>
      <c r="E77" s="66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1">
        <v>4680115881532</v>
      </c>
      <c r="E78" s="66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5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1">
        <v>4680115881464</v>
      </c>
      <c r="E79" s="66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2"/>
      <c r="R79" s="652"/>
      <c r="S79" s="652"/>
      <c r="T79" s="653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1">
        <v>4680115881464</v>
      </c>
      <c r="E80" s="66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2"/>
      <c r="R80" s="652"/>
      <c r="S80" s="652"/>
      <c r="T80" s="653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7"/>
      <c r="B81" s="650"/>
      <c r="C81" s="650"/>
      <c r="D81" s="650"/>
      <c r="E81" s="650"/>
      <c r="F81" s="650"/>
      <c r="G81" s="650"/>
      <c r="H81" s="650"/>
      <c r="I81" s="650"/>
      <c r="J81" s="650"/>
      <c r="K81" s="650"/>
      <c r="L81" s="650"/>
      <c r="M81" s="650"/>
      <c r="N81" s="650"/>
      <c r="O81" s="658"/>
      <c r="P81" s="654" t="s">
        <v>72</v>
      </c>
      <c r="Q81" s="655"/>
      <c r="R81" s="655"/>
      <c r="S81" s="655"/>
      <c r="T81" s="655"/>
      <c r="U81" s="655"/>
      <c r="V81" s="656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hidden="1" x14ac:dyDescent="0.2">
      <c r="A82" s="650"/>
      <c r="B82" s="650"/>
      <c r="C82" s="650"/>
      <c r="D82" s="650"/>
      <c r="E82" s="650"/>
      <c r="F82" s="650"/>
      <c r="G82" s="650"/>
      <c r="H82" s="650"/>
      <c r="I82" s="650"/>
      <c r="J82" s="650"/>
      <c r="K82" s="650"/>
      <c r="L82" s="650"/>
      <c r="M82" s="650"/>
      <c r="N82" s="650"/>
      <c r="O82" s="658"/>
      <c r="P82" s="654" t="s">
        <v>72</v>
      </c>
      <c r="Q82" s="655"/>
      <c r="R82" s="655"/>
      <c r="S82" s="655"/>
      <c r="T82" s="655"/>
      <c r="U82" s="655"/>
      <c r="V82" s="656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hidden="1" customHeight="1" x14ac:dyDescent="0.25">
      <c r="A83" s="666" t="s">
        <v>171</v>
      </c>
      <c r="B83" s="650"/>
      <c r="C83" s="650"/>
      <c r="D83" s="650"/>
      <c r="E83" s="650"/>
      <c r="F83" s="650"/>
      <c r="G83" s="650"/>
      <c r="H83" s="650"/>
      <c r="I83" s="650"/>
      <c r="J83" s="650"/>
      <c r="K83" s="650"/>
      <c r="L83" s="650"/>
      <c r="M83" s="650"/>
      <c r="N83" s="650"/>
      <c r="O83" s="650"/>
      <c r="P83" s="650"/>
      <c r="Q83" s="650"/>
      <c r="R83" s="650"/>
      <c r="S83" s="650"/>
      <c r="T83" s="650"/>
      <c r="U83" s="650"/>
      <c r="V83" s="650"/>
      <c r="W83" s="650"/>
      <c r="X83" s="650"/>
      <c r="Y83" s="650"/>
      <c r="Z83" s="650"/>
      <c r="AA83" s="638"/>
      <c r="AB83" s="638"/>
      <c r="AC83" s="638"/>
    </row>
    <row r="84" spans="1:68" ht="14.25" hidden="1" customHeight="1" x14ac:dyDescent="0.25">
      <c r="A84" s="649" t="s">
        <v>111</v>
      </c>
      <c r="B84" s="650"/>
      <c r="C84" s="650"/>
      <c r="D84" s="650"/>
      <c r="E84" s="650"/>
      <c r="F84" s="650"/>
      <c r="G84" s="650"/>
      <c r="H84" s="650"/>
      <c r="I84" s="650"/>
      <c r="J84" s="650"/>
      <c r="K84" s="650"/>
      <c r="L84" s="650"/>
      <c r="M84" s="650"/>
      <c r="N84" s="650"/>
      <c r="O84" s="650"/>
      <c r="P84" s="650"/>
      <c r="Q84" s="650"/>
      <c r="R84" s="650"/>
      <c r="S84" s="650"/>
      <c r="T84" s="650"/>
      <c r="U84" s="650"/>
      <c r="V84" s="650"/>
      <c r="W84" s="650"/>
      <c r="X84" s="650"/>
      <c r="Y84" s="650"/>
      <c r="Z84" s="650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1">
        <v>4680115881327</v>
      </c>
      <c r="E85" s="66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2"/>
      <c r="R85" s="652"/>
      <c r="S85" s="652"/>
      <c r="T85" s="653"/>
      <c r="U85" s="34"/>
      <c r="V85" s="34"/>
      <c r="W85" s="35" t="s">
        <v>67</v>
      </c>
      <c r="X85" s="643">
        <v>100</v>
      </c>
      <c r="Y85" s="64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1">
        <v>4680115887732</v>
      </c>
      <c r="E86" s="66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2"/>
      <c r="R86" s="652"/>
      <c r="S86" s="652"/>
      <c r="T86" s="653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1">
        <v>4680115887732</v>
      </c>
      <c r="E87" s="66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64" t="s">
        <v>179</v>
      </c>
      <c r="Q87" s="652"/>
      <c r="R87" s="652"/>
      <c r="S87" s="652"/>
      <c r="T87" s="653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1">
        <v>4680115881518</v>
      </c>
      <c r="E88" s="66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2"/>
      <c r="R88" s="652"/>
      <c r="S88" s="652"/>
      <c r="T88" s="653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61">
        <v>4680115881303</v>
      </c>
      <c r="E89" s="66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2"/>
      <c r="R89" s="652"/>
      <c r="S89" s="652"/>
      <c r="T89" s="653"/>
      <c r="U89" s="34"/>
      <c r="V89" s="34"/>
      <c r="W89" s="35" t="s">
        <v>67</v>
      </c>
      <c r="X89" s="643"/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7"/>
      <c r="B90" s="650"/>
      <c r="C90" s="650"/>
      <c r="D90" s="650"/>
      <c r="E90" s="650"/>
      <c r="F90" s="650"/>
      <c r="G90" s="650"/>
      <c r="H90" s="650"/>
      <c r="I90" s="650"/>
      <c r="J90" s="650"/>
      <c r="K90" s="650"/>
      <c r="L90" s="650"/>
      <c r="M90" s="650"/>
      <c r="N90" s="650"/>
      <c r="O90" s="658"/>
      <c r="P90" s="654" t="s">
        <v>72</v>
      </c>
      <c r="Q90" s="655"/>
      <c r="R90" s="655"/>
      <c r="S90" s="655"/>
      <c r="T90" s="655"/>
      <c r="U90" s="655"/>
      <c r="V90" s="656"/>
      <c r="W90" s="37" t="s">
        <v>73</v>
      </c>
      <c r="X90" s="645">
        <f>IFERROR(X85/H85,"0")+IFERROR(X86/H86,"0")+IFERROR(X87/H87,"0")+IFERROR(X88/H88,"0")+IFERROR(X89/H89,"0")</f>
        <v>9.2592592592592595</v>
      </c>
      <c r="Y90" s="645">
        <f>IFERROR(Y85/H85,"0")+IFERROR(Y86/H86,"0")+IFERROR(Y87/H87,"0")+IFERROR(Y88/H88,"0")+IFERROR(Y89/H89,"0")</f>
        <v>10</v>
      </c>
      <c r="Z90" s="645">
        <f>IFERROR(IF(Z85="",0,Z85),"0")+IFERROR(IF(Z86="",0,Z86),"0")+IFERROR(IF(Z87="",0,Z87),"0")+IFERROR(IF(Z88="",0,Z88),"0")+IFERROR(IF(Z89="",0,Z89),"0")</f>
        <v>0.1898</v>
      </c>
      <c r="AA90" s="646"/>
      <c r="AB90" s="646"/>
      <c r="AC90" s="646"/>
    </row>
    <row r="91" spans="1:68" x14ac:dyDescent="0.2">
      <c r="A91" s="650"/>
      <c r="B91" s="650"/>
      <c r="C91" s="650"/>
      <c r="D91" s="650"/>
      <c r="E91" s="650"/>
      <c r="F91" s="650"/>
      <c r="G91" s="650"/>
      <c r="H91" s="650"/>
      <c r="I91" s="650"/>
      <c r="J91" s="650"/>
      <c r="K91" s="650"/>
      <c r="L91" s="650"/>
      <c r="M91" s="650"/>
      <c r="N91" s="650"/>
      <c r="O91" s="658"/>
      <c r="P91" s="654" t="s">
        <v>72</v>
      </c>
      <c r="Q91" s="655"/>
      <c r="R91" s="655"/>
      <c r="S91" s="655"/>
      <c r="T91" s="655"/>
      <c r="U91" s="655"/>
      <c r="V91" s="656"/>
      <c r="W91" s="37" t="s">
        <v>67</v>
      </c>
      <c r="X91" s="645">
        <f>IFERROR(SUM(X85:X89),"0")</f>
        <v>100</v>
      </c>
      <c r="Y91" s="645">
        <f>IFERROR(SUM(Y85:Y89),"0")</f>
        <v>108</v>
      </c>
      <c r="Z91" s="37"/>
      <c r="AA91" s="646"/>
      <c r="AB91" s="646"/>
      <c r="AC91" s="646"/>
    </row>
    <row r="92" spans="1:68" ht="14.25" hidden="1" customHeight="1" x14ac:dyDescent="0.25">
      <c r="A92" s="649" t="s">
        <v>74</v>
      </c>
      <c r="B92" s="650"/>
      <c r="C92" s="650"/>
      <c r="D92" s="650"/>
      <c r="E92" s="650"/>
      <c r="F92" s="650"/>
      <c r="G92" s="650"/>
      <c r="H92" s="650"/>
      <c r="I92" s="650"/>
      <c r="J92" s="650"/>
      <c r="K92" s="650"/>
      <c r="L92" s="650"/>
      <c r="M92" s="650"/>
      <c r="N92" s="650"/>
      <c r="O92" s="650"/>
      <c r="P92" s="650"/>
      <c r="Q92" s="650"/>
      <c r="R92" s="650"/>
      <c r="S92" s="650"/>
      <c r="T92" s="650"/>
      <c r="U92" s="650"/>
      <c r="V92" s="650"/>
      <c r="W92" s="650"/>
      <c r="X92" s="650"/>
      <c r="Y92" s="650"/>
      <c r="Z92" s="650"/>
      <c r="AA92" s="639"/>
      <c r="AB92" s="639"/>
      <c r="AC92" s="639"/>
    </row>
    <row r="93" spans="1:68" ht="27" hidden="1" customHeight="1" x14ac:dyDescent="0.25">
      <c r="A93" s="54" t="s">
        <v>184</v>
      </c>
      <c r="B93" s="54" t="s">
        <v>185</v>
      </c>
      <c r="C93" s="31">
        <v>4301051712</v>
      </c>
      <c r="D93" s="661">
        <v>4607091386967</v>
      </c>
      <c r="E93" s="66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43"/>
      <c r="Y93" s="644">
        <f t="shared" ref="Y93:Y98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0</v>
      </c>
      <c r="BN93" s="64">
        <f t="shared" ref="BN93:BN98" si="7">IFERROR(Y93*I93/H93,"0")</f>
        <v>0</v>
      </c>
      <c r="BO93" s="64">
        <f t="shared" ref="BO93:BO98" si="8">IFERROR(1/J93*(X93/H93),"0")</f>
        <v>0</v>
      </c>
      <c r="BP93" s="64">
        <f t="shared" ref="BP93:BP98" si="9">IFERROR(1/J93*(Y93/H93),"0")</f>
        <v>0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1">
        <v>4607091386967</v>
      </c>
      <c r="E94" s="66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1" t="s">
        <v>188</v>
      </c>
      <c r="Q94" s="652"/>
      <c r="R94" s="652"/>
      <c r="S94" s="652"/>
      <c r="T94" s="653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1">
        <v>4680115884953</v>
      </c>
      <c r="E95" s="66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2"/>
      <c r="R95" s="652"/>
      <c r="S95" s="652"/>
      <c r="T95" s="653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4301051718</v>
      </c>
      <c r="D96" s="661">
        <v>4607091385731</v>
      </c>
      <c r="E96" s="66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5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52"/>
      <c r="R96" s="652"/>
      <c r="S96" s="652"/>
      <c r="T96" s="653"/>
      <c r="U96" s="34"/>
      <c r="V96" s="34"/>
      <c r="W96" s="35" t="s">
        <v>67</v>
      </c>
      <c r="X96" s="643">
        <v>0</v>
      </c>
      <c r="Y96" s="644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61">
        <v>4607091385731</v>
      </c>
      <c r="E97" s="66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3" t="s">
        <v>194</v>
      </c>
      <c r="Q97" s="652"/>
      <c r="R97" s="652"/>
      <c r="S97" s="652"/>
      <c r="T97" s="653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61">
        <v>4680115880894</v>
      </c>
      <c r="E98" s="66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idden="1" x14ac:dyDescent="0.2">
      <c r="A99" s="657"/>
      <c r="B99" s="650"/>
      <c r="C99" s="650"/>
      <c r="D99" s="650"/>
      <c r="E99" s="650"/>
      <c r="F99" s="650"/>
      <c r="G99" s="650"/>
      <c r="H99" s="650"/>
      <c r="I99" s="650"/>
      <c r="J99" s="650"/>
      <c r="K99" s="650"/>
      <c r="L99" s="650"/>
      <c r="M99" s="650"/>
      <c r="N99" s="650"/>
      <c r="O99" s="658"/>
      <c r="P99" s="654" t="s">
        <v>72</v>
      </c>
      <c r="Q99" s="655"/>
      <c r="R99" s="655"/>
      <c r="S99" s="655"/>
      <c r="T99" s="655"/>
      <c r="U99" s="655"/>
      <c r="V99" s="656"/>
      <c r="W99" s="37" t="s">
        <v>73</v>
      </c>
      <c r="X99" s="645">
        <f>IFERROR(X93/H93,"0")+IFERROR(X94/H94,"0")+IFERROR(X95/H95,"0")+IFERROR(X96/H96,"0")+IFERROR(X97/H97,"0")+IFERROR(X98/H98,"0")</f>
        <v>0</v>
      </c>
      <c r="Y99" s="645">
        <f>IFERROR(Y93/H93,"0")+IFERROR(Y94/H94,"0")+IFERROR(Y95/H95,"0")+IFERROR(Y96/H96,"0")+IFERROR(Y97/H97,"0")+IFERROR(Y98/H98,"0")</f>
        <v>0</v>
      </c>
      <c r="Z99" s="645">
        <f>IFERROR(IF(Z93="",0,Z93),"0")+IFERROR(IF(Z94="",0,Z94),"0")+IFERROR(IF(Z95="",0,Z95),"0")+IFERROR(IF(Z96="",0,Z96),"0")+IFERROR(IF(Z97="",0,Z97),"0")+IFERROR(IF(Z98="",0,Z98),"0")</f>
        <v>0</v>
      </c>
      <c r="AA99" s="646"/>
      <c r="AB99" s="646"/>
      <c r="AC99" s="646"/>
    </row>
    <row r="100" spans="1:68" hidden="1" x14ac:dyDescent="0.2">
      <c r="A100" s="650"/>
      <c r="B100" s="650"/>
      <c r="C100" s="650"/>
      <c r="D100" s="650"/>
      <c r="E100" s="650"/>
      <c r="F100" s="650"/>
      <c r="G100" s="650"/>
      <c r="H100" s="650"/>
      <c r="I100" s="650"/>
      <c r="J100" s="650"/>
      <c r="K100" s="650"/>
      <c r="L100" s="650"/>
      <c r="M100" s="650"/>
      <c r="N100" s="650"/>
      <c r="O100" s="658"/>
      <c r="P100" s="654" t="s">
        <v>72</v>
      </c>
      <c r="Q100" s="655"/>
      <c r="R100" s="655"/>
      <c r="S100" s="655"/>
      <c r="T100" s="655"/>
      <c r="U100" s="655"/>
      <c r="V100" s="656"/>
      <c r="W100" s="37" t="s">
        <v>67</v>
      </c>
      <c r="X100" s="645">
        <f>IFERROR(SUM(X93:X98),"0")</f>
        <v>0</v>
      </c>
      <c r="Y100" s="645">
        <f>IFERROR(SUM(Y93:Y98),"0")</f>
        <v>0</v>
      </c>
      <c r="Z100" s="37"/>
      <c r="AA100" s="646"/>
      <c r="AB100" s="646"/>
      <c r="AC100" s="646"/>
    </row>
    <row r="101" spans="1:68" ht="16.5" hidden="1" customHeight="1" x14ac:dyDescent="0.25">
      <c r="A101" s="666" t="s">
        <v>198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38"/>
      <c r="AB101" s="638"/>
      <c r="AC101" s="638"/>
    </row>
    <row r="102" spans="1:68" ht="14.25" hidden="1" customHeight="1" x14ac:dyDescent="0.25">
      <c r="A102" s="649" t="s">
        <v>111</v>
      </c>
      <c r="B102" s="650"/>
      <c r="C102" s="650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650"/>
      <c r="Q102" s="650"/>
      <c r="R102" s="650"/>
      <c r="S102" s="650"/>
      <c r="T102" s="650"/>
      <c r="U102" s="650"/>
      <c r="V102" s="650"/>
      <c r="W102" s="650"/>
      <c r="X102" s="650"/>
      <c r="Y102" s="650"/>
      <c r="Z102" s="650"/>
      <c r="AA102" s="639"/>
      <c r="AB102" s="639"/>
      <c r="AC102" s="639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61">
        <v>4680115882133</v>
      </c>
      <c r="E103" s="66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2"/>
      <c r="R103" s="652"/>
      <c r="S103" s="652"/>
      <c r="T103" s="653"/>
      <c r="U103" s="34"/>
      <c r="V103" s="34"/>
      <c r="W103" s="35" t="s">
        <v>67</v>
      </c>
      <c r="X103" s="643">
        <v>0</v>
      </c>
      <c r="Y103" s="644">
        <f t="shared" ref="Y103:Y110" si="10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0</v>
      </c>
      <c r="BN103" s="64">
        <f t="shared" ref="BN103:BN110" si="12">IFERROR(Y103*I103/H103,"0")</f>
        <v>0</v>
      </c>
      <c r="BO103" s="64">
        <f t="shared" ref="BO103:BO110" si="13">IFERROR(1/J103*(X103/H103),"0")</f>
        <v>0</v>
      </c>
      <c r="BP103" s="64">
        <f t="shared" ref="BP103:BP110" si="14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61">
        <v>4680115887718</v>
      </c>
      <c r="E104" s="66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2"/>
      <c r="R104" s="652"/>
      <c r="S104" s="652"/>
      <c r="T104" s="653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61">
        <v>4680115887718</v>
      </c>
      <c r="E105" s="66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2"/>
      <c r="R105" s="652"/>
      <c r="S105" s="652"/>
      <c r="T105" s="653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61">
        <v>4680115887718</v>
      </c>
      <c r="E106" s="66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61">
        <v>4680115880269</v>
      </c>
      <c r="E107" s="66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2"/>
      <c r="R107" s="652"/>
      <c r="S107" s="652"/>
      <c r="T107" s="653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4301011415</v>
      </c>
      <c r="D108" s="661">
        <v>4680115880429</v>
      </c>
      <c r="E108" s="66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52"/>
      <c r="R108" s="652"/>
      <c r="S108" s="652"/>
      <c r="T108" s="653"/>
      <c r="U108" s="34"/>
      <c r="V108" s="34"/>
      <c r="W108" s="35" t="s">
        <v>67</v>
      </c>
      <c r="X108" s="643"/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61">
        <v>4680115880429</v>
      </c>
      <c r="E109" s="66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52"/>
      <c r="R109" s="652"/>
      <c r="S109" s="652"/>
      <c r="T109" s="653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61">
        <v>4680115881457</v>
      </c>
      <c r="E110" s="66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2"/>
      <c r="R110" s="652"/>
      <c r="S110" s="652"/>
      <c r="T110" s="653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idden="1" x14ac:dyDescent="0.2">
      <c r="A111" s="657"/>
      <c r="B111" s="650"/>
      <c r="C111" s="650"/>
      <c r="D111" s="650"/>
      <c r="E111" s="650"/>
      <c r="F111" s="650"/>
      <c r="G111" s="650"/>
      <c r="H111" s="650"/>
      <c r="I111" s="650"/>
      <c r="J111" s="650"/>
      <c r="K111" s="650"/>
      <c r="L111" s="650"/>
      <c r="M111" s="650"/>
      <c r="N111" s="650"/>
      <c r="O111" s="658"/>
      <c r="P111" s="654" t="s">
        <v>72</v>
      </c>
      <c r="Q111" s="655"/>
      <c r="R111" s="655"/>
      <c r="S111" s="655"/>
      <c r="T111" s="655"/>
      <c r="U111" s="655"/>
      <c r="V111" s="656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0</v>
      </c>
      <c r="Y111" s="645">
        <f>IFERROR(Y103/H103,"0")+IFERROR(Y104/H104,"0")+IFERROR(Y105/H105,"0")+IFERROR(Y106/H106,"0")+IFERROR(Y107/H107,"0")+IFERROR(Y108/H108,"0")+IFERROR(Y109/H109,"0")+IFERROR(Y110/H110,"0")</f>
        <v>0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6"/>
      <c r="AB111" s="646"/>
      <c r="AC111" s="646"/>
    </row>
    <row r="112" spans="1:68" hidden="1" x14ac:dyDescent="0.2">
      <c r="A112" s="650"/>
      <c r="B112" s="650"/>
      <c r="C112" s="650"/>
      <c r="D112" s="650"/>
      <c r="E112" s="650"/>
      <c r="F112" s="650"/>
      <c r="G112" s="650"/>
      <c r="H112" s="650"/>
      <c r="I112" s="650"/>
      <c r="J112" s="650"/>
      <c r="K112" s="650"/>
      <c r="L112" s="650"/>
      <c r="M112" s="650"/>
      <c r="N112" s="650"/>
      <c r="O112" s="658"/>
      <c r="P112" s="654" t="s">
        <v>72</v>
      </c>
      <c r="Q112" s="655"/>
      <c r="R112" s="655"/>
      <c r="S112" s="655"/>
      <c r="T112" s="655"/>
      <c r="U112" s="655"/>
      <c r="V112" s="656"/>
      <c r="W112" s="37" t="s">
        <v>67</v>
      </c>
      <c r="X112" s="645">
        <f>IFERROR(SUM(X103:X110),"0")</f>
        <v>0</v>
      </c>
      <c r="Y112" s="645">
        <f>IFERROR(SUM(Y103:Y110),"0")</f>
        <v>0</v>
      </c>
      <c r="Z112" s="37"/>
      <c r="AA112" s="646"/>
      <c r="AB112" s="646"/>
      <c r="AC112" s="646"/>
    </row>
    <row r="113" spans="1:68" ht="14.25" hidden="1" customHeight="1" x14ac:dyDescent="0.25">
      <c r="A113" s="649" t="s">
        <v>144</v>
      </c>
      <c r="B113" s="650"/>
      <c r="C113" s="650"/>
      <c r="D113" s="650"/>
      <c r="E113" s="650"/>
      <c r="F113" s="650"/>
      <c r="G113" s="650"/>
      <c r="H113" s="650"/>
      <c r="I113" s="650"/>
      <c r="J113" s="650"/>
      <c r="K113" s="650"/>
      <c r="L113" s="650"/>
      <c r="M113" s="650"/>
      <c r="N113" s="650"/>
      <c r="O113" s="650"/>
      <c r="P113" s="650"/>
      <c r="Q113" s="650"/>
      <c r="R113" s="650"/>
      <c r="S113" s="650"/>
      <c r="T113" s="650"/>
      <c r="U113" s="650"/>
      <c r="V113" s="650"/>
      <c r="W113" s="650"/>
      <c r="X113" s="650"/>
      <c r="Y113" s="650"/>
      <c r="Z113" s="650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61">
        <v>4680115881488</v>
      </c>
      <c r="E114" s="66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1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52"/>
      <c r="R114" s="652"/>
      <c r="S114" s="652"/>
      <c r="T114" s="653"/>
      <c r="U114" s="34"/>
      <c r="V114" s="34"/>
      <c r="W114" s="35" t="s">
        <v>67</v>
      </c>
      <c r="X114" s="643"/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61">
        <v>4680115887664</v>
      </c>
      <c r="E115" s="66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52"/>
      <c r="R115" s="652"/>
      <c r="S115" s="652"/>
      <c r="T115" s="653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61">
        <v>4680115887664</v>
      </c>
      <c r="E116" s="66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61">
        <v>4680115882775</v>
      </c>
      <c r="E117" s="66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5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61">
        <v>4680115880658</v>
      </c>
      <c r="E118" s="66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7"/>
      <c r="B119" s="650"/>
      <c r="C119" s="650"/>
      <c r="D119" s="650"/>
      <c r="E119" s="650"/>
      <c r="F119" s="650"/>
      <c r="G119" s="650"/>
      <c r="H119" s="650"/>
      <c r="I119" s="650"/>
      <c r="J119" s="650"/>
      <c r="K119" s="650"/>
      <c r="L119" s="650"/>
      <c r="M119" s="650"/>
      <c r="N119" s="650"/>
      <c r="O119" s="658"/>
      <c r="P119" s="654" t="s">
        <v>72</v>
      </c>
      <c r="Q119" s="655"/>
      <c r="R119" s="655"/>
      <c r="S119" s="655"/>
      <c r="T119" s="655"/>
      <c r="U119" s="655"/>
      <c r="V119" s="656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0"/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8"/>
      <c r="P120" s="654" t="s">
        <v>72</v>
      </c>
      <c r="Q120" s="655"/>
      <c r="R120" s="655"/>
      <c r="S120" s="655"/>
      <c r="T120" s="655"/>
      <c r="U120" s="655"/>
      <c r="V120" s="656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49" t="s">
        <v>74</v>
      </c>
      <c r="B121" s="650"/>
      <c r="C121" s="650"/>
      <c r="D121" s="650"/>
      <c r="E121" s="650"/>
      <c r="F121" s="650"/>
      <c r="G121" s="650"/>
      <c r="H121" s="650"/>
      <c r="I121" s="650"/>
      <c r="J121" s="650"/>
      <c r="K121" s="650"/>
      <c r="L121" s="650"/>
      <c r="M121" s="650"/>
      <c r="N121" s="650"/>
      <c r="O121" s="650"/>
      <c r="P121" s="650"/>
      <c r="Q121" s="650"/>
      <c r="R121" s="650"/>
      <c r="S121" s="650"/>
      <c r="T121" s="650"/>
      <c r="U121" s="650"/>
      <c r="V121" s="650"/>
      <c r="W121" s="650"/>
      <c r="X121" s="650"/>
      <c r="Y121" s="650"/>
      <c r="Z121" s="650"/>
      <c r="AA121" s="639"/>
      <c r="AB121" s="639"/>
      <c r="AC121" s="639"/>
    </row>
    <row r="122" spans="1:68" ht="27" hidden="1" customHeight="1" x14ac:dyDescent="0.25">
      <c r="A122" s="54" t="s">
        <v>228</v>
      </c>
      <c r="B122" s="54" t="s">
        <v>229</v>
      </c>
      <c r="C122" s="31">
        <v>4301051724</v>
      </c>
      <c r="D122" s="661">
        <v>4607091385168</v>
      </c>
      <c r="E122" s="66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52"/>
      <c r="R122" s="652"/>
      <c r="S122" s="652"/>
      <c r="T122" s="653"/>
      <c r="U122" s="34"/>
      <c r="V122" s="34"/>
      <c r="W122" s="35" t="s">
        <v>67</v>
      </c>
      <c r="X122" s="643"/>
      <c r="Y122" s="644">
        <f t="shared" ref="Y122:Y128" si="15"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0</v>
      </c>
      <c r="BN122" s="64">
        <f t="shared" ref="BN122:BN128" si="17">IFERROR(Y122*I122/H122,"0")</f>
        <v>0</v>
      </c>
      <c r="BO122" s="64">
        <f t="shared" ref="BO122:BO128" si="18">IFERROR(1/J122*(X122/H122),"0")</f>
        <v>0</v>
      </c>
      <c r="BP122" s="64">
        <f t="shared" ref="BP122:BP128" si="19">IFERROR(1/J122*(Y122/H122),"0")</f>
        <v>0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61">
        <v>4607091385168</v>
      </c>
      <c r="E123" s="66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6" t="s">
        <v>232</v>
      </c>
      <c r="Q123" s="652"/>
      <c r="R123" s="652"/>
      <c r="S123" s="652"/>
      <c r="T123" s="653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61">
        <v>4607091383256</v>
      </c>
      <c r="E124" s="66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4301051721</v>
      </c>
      <c r="D125" s="661">
        <v>4607091385748</v>
      </c>
      <c r="E125" s="66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43">
        <v>0</v>
      </c>
      <c r="Y125" s="644">
        <f t="shared" si="15"/>
        <v>0</v>
      </c>
      <c r="Z125" s="36" t="str">
        <f>IFERROR(IF(Y125=0,"",ROUNDUP(Y125/H125,0)*0.00651),"")</f>
        <v/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61">
        <v>4607091385748</v>
      </c>
      <c r="E126" s="66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52"/>
      <c r="R126" s="652"/>
      <c r="S126" s="652"/>
      <c r="T126" s="653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61">
        <v>4680115884533</v>
      </c>
      <c r="E127" s="66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61">
        <v>4680115884533</v>
      </c>
      <c r="E128" s="66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1" t="s">
        <v>243</v>
      </c>
      <c r="Q128" s="652"/>
      <c r="R128" s="652"/>
      <c r="S128" s="652"/>
      <c r="T128" s="653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idden="1" x14ac:dyDescent="0.2">
      <c r="A129" s="657"/>
      <c r="B129" s="650"/>
      <c r="C129" s="650"/>
      <c r="D129" s="650"/>
      <c r="E129" s="650"/>
      <c r="F129" s="650"/>
      <c r="G129" s="650"/>
      <c r="H129" s="650"/>
      <c r="I129" s="650"/>
      <c r="J129" s="650"/>
      <c r="K129" s="650"/>
      <c r="L129" s="650"/>
      <c r="M129" s="650"/>
      <c r="N129" s="650"/>
      <c r="O129" s="658"/>
      <c r="P129" s="654" t="s">
        <v>72</v>
      </c>
      <c r="Q129" s="655"/>
      <c r="R129" s="655"/>
      <c r="S129" s="655"/>
      <c r="T129" s="655"/>
      <c r="U129" s="655"/>
      <c r="V129" s="656"/>
      <c r="W129" s="37" t="s">
        <v>73</v>
      </c>
      <c r="X129" s="645">
        <f>IFERROR(X122/H122,"0")+IFERROR(X123/H123,"0")+IFERROR(X124/H124,"0")+IFERROR(X125/H125,"0")+IFERROR(X126/H126,"0")+IFERROR(X127/H127,"0")+IFERROR(X128/H128,"0")</f>
        <v>0</v>
      </c>
      <c r="Y129" s="645">
        <f>IFERROR(Y122/H122,"0")+IFERROR(Y123/H123,"0")+IFERROR(Y124/H124,"0")+IFERROR(Y125/H125,"0")+IFERROR(Y126/H126,"0")+IFERROR(Y127/H127,"0")+IFERROR(Y128/H128,"0")</f>
        <v>0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6"/>
      <c r="AB129" s="646"/>
      <c r="AC129" s="646"/>
    </row>
    <row r="130" spans="1:68" hidden="1" x14ac:dyDescent="0.2">
      <c r="A130" s="650"/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8"/>
      <c r="P130" s="654" t="s">
        <v>72</v>
      </c>
      <c r="Q130" s="655"/>
      <c r="R130" s="655"/>
      <c r="S130" s="655"/>
      <c r="T130" s="655"/>
      <c r="U130" s="655"/>
      <c r="V130" s="656"/>
      <c r="W130" s="37" t="s">
        <v>67</v>
      </c>
      <c r="X130" s="645">
        <f>IFERROR(SUM(X122:X128),"0")</f>
        <v>0</v>
      </c>
      <c r="Y130" s="645">
        <f>IFERROR(SUM(Y122:Y128),"0")</f>
        <v>0</v>
      </c>
      <c r="Z130" s="37"/>
      <c r="AA130" s="646"/>
      <c r="AB130" s="646"/>
      <c r="AC130" s="646"/>
    </row>
    <row r="131" spans="1:68" ht="14.25" hidden="1" customHeight="1" x14ac:dyDescent="0.25">
      <c r="A131" s="649" t="s">
        <v>162</v>
      </c>
      <c r="B131" s="650"/>
      <c r="C131" s="650"/>
      <c r="D131" s="650"/>
      <c r="E131" s="650"/>
      <c r="F131" s="650"/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650"/>
      <c r="R131" s="650"/>
      <c r="S131" s="650"/>
      <c r="T131" s="650"/>
      <c r="U131" s="650"/>
      <c r="V131" s="650"/>
      <c r="W131" s="650"/>
      <c r="X131" s="650"/>
      <c r="Y131" s="650"/>
      <c r="Z131" s="650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61">
        <v>4680115880238</v>
      </c>
      <c r="E132" s="66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52"/>
      <c r="R132" s="652"/>
      <c r="S132" s="652"/>
      <c r="T132" s="653"/>
      <c r="U132" s="34"/>
      <c r="V132" s="34"/>
      <c r="W132" s="35" t="s">
        <v>67</v>
      </c>
      <c r="X132" s="643"/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61">
        <v>4680115880238</v>
      </c>
      <c r="E133" s="66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4" t="s">
        <v>248</v>
      </c>
      <c r="Q133" s="652"/>
      <c r="R133" s="652"/>
      <c r="S133" s="652"/>
      <c r="T133" s="653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7"/>
      <c r="B134" s="650"/>
      <c r="C134" s="650"/>
      <c r="D134" s="650"/>
      <c r="E134" s="650"/>
      <c r="F134" s="650"/>
      <c r="G134" s="650"/>
      <c r="H134" s="650"/>
      <c r="I134" s="650"/>
      <c r="J134" s="650"/>
      <c r="K134" s="650"/>
      <c r="L134" s="650"/>
      <c r="M134" s="650"/>
      <c r="N134" s="650"/>
      <c r="O134" s="658"/>
      <c r="P134" s="654" t="s">
        <v>72</v>
      </c>
      <c r="Q134" s="655"/>
      <c r="R134" s="655"/>
      <c r="S134" s="655"/>
      <c r="T134" s="655"/>
      <c r="U134" s="655"/>
      <c r="V134" s="656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0"/>
      <c r="B135" s="650"/>
      <c r="C135" s="650"/>
      <c r="D135" s="650"/>
      <c r="E135" s="650"/>
      <c r="F135" s="650"/>
      <c r="G135" s="650"/>
      <c r="H135" s="650"/>
      <c r="I135" s="650"/>
      <c r="J135" s="650"/>
      <c r="K135" s="650"/>
      <c r="L135" s="650"/>
      <c r="M135" s="650"/>
      <c r="N135" s="650"/>
      <c r="O135" s="658"/>
      <c r="P135" s="654" t="s">
        <v>72</v>
      </c>
      <c r="Q135" s="655"/>
      <c r="R135" s="655"/>
      <c r="S135" s="655"/>
      <c r="T135" s="655"/>
      <c r="U135" s="655"/>
      <c r="V135" s="656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66" t="s">
        <v>249</v>
      </c>
      <c r="B136" s="650"/>
      <c r="C136" s="650"/>
      <c r="D136" s="650"/>
      <c r="E136" s="650"/>
      <c r="F136" s="650"/>
      <c r="G136" s="650"/>
      <c r="H136" s="650"/>
      <c r="I136" s="650"/>
      <c r="J136" s="650"/>
      <c r="K136" s="650"/>
      <c r="L136" s="650"/>
      <c r="M136" s="650"/>
      <c r="N136" s="650"/>
      <c r="O136" s="650"/>
      <c r="P136" s="650"/>
      <c r="Q136" s="650"/>
      <c r="R136" s="650"/>
      <c r="S136" s="650"/>
      <c r="T136" s="650"/>
      <c r="U136" s="650"/>
      <c r="V136" s="650"/>
      <c r="W136" s="650"/>
      <c r="X136" s="650"/>
      <c r="Y136" s="650"/>
      <c r="Z136" s="650"/>
      <c r="AA136" s="638"/>
      <c r="AB136" s="638"/>
      <c r="AC136" s="638"/>
    </row>
    <row r="137" spans="1:68" ht="14.25" hidden="1" customHeight="1" x14ac:dyDescent="0.25">
      <c r="A137" s="649" t="s">
        <v>111</v>
      </c>
      <c r="B137" s="650"/>
      <c r="C137" s="650"/>
      <c r="D137" s="650"/>
      <c r="E137" s="650"/>
      <c r="F137" s="650"/>
      <c r="G137" s="650"/>
      <c r="H137" s="650"/>
      <c r="I137" s="650"/>
      <c r="J137" s="650"/>
      <c r="K137" s="650"/>
      <c r="L137" s="650"/>
      <c r="M137" s="650"/>
      <c r="N137" s="650"/>
      <c r="O137" s="650"/>
      <c r="P137" s="650"/>
      <c r="Q137" s="650"/>
      <c r="R137" s="650"/>
      <c r="S137" s="650"/>
      <c r="T137" s="650"/>
      <c r="U137" s="650"/>
      <c r="V137" s="650"/>
      <c r="W137" s="650"/>
      <c r="X137" s="650"/>
      <c r="Y137" s="650"/>
      <c r="Z137" s="650"/>
      <c r="AA137" s="639"/>
      <c r="AB137" s="639"/>
      <c r="AC137" s="639"/>
    </row>
    <row r="138" spans="1:68" ht="27" hidden="1" customHeight="1" x14ac:dyDescent="0.25">
      <c r="A138" s="54" t="s">
        <v>250</v>
      </c>
      <c r="B138" s="54" t="s">
        <v>251</v>
      </c>
      <c r="C138" s="31">
        <v>4301011562</v>
      </c>
      <c r="D138" s="661">
        <v>4680115882577</v>
      </c>
      <c r="E138" s="66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52"/>
      <c r="R138" s="652"/>
      <c r="S138" s="652"/>
      <c r="T138" s="653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61">
        <v>4680115882577</v>
      </c>
      <c r="E139" s="66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52"/>
      <c r="R139" s="652"/>
      <c r="S139" s="652"/>
      <c r="T139" s="653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7"/>
      <c r="B140" s="650"/>
      <c r="C140" s="650"/>
      <c r="D140" s="650"/>
      <c r="E140" s="650"/>
      <c r="F140" s="650"/>
      <c r="G140" s="650"/>
      <c r="H140" s="650"/>
      <c r="I140" s="650"/>
      <c r="J140" s="650"/>
      <c r="K140" s="650"/>
      <c r="L140" s="650"/>
      <c r="M140" s="650"/>
      <c r="N140" s="650"/>
      <c r="O140" s="658"/>
      <c r="P140" s="654" t="s">
        <v>72</v>
      </c>
      <c r="Q140" s="655"/>
      <c r="R140" s="655"/>
      <c r="S140" s="655"/>
      <c r="T140" s="655"/>
      <c r="U140" s="655"/>
      <c r="V140" s="656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0"/>
      <c r="B141" s="650"/>
      <c r="C141" s="650"/>
      <c r="D141" s="650"/>
      <c r="E141" s="650"/>
      <c r="F141" s="650"/>
      <c r="G141" s="650"/>
      <c r="H141" s="650"/>
      <c r="I141" s="650"/>
      <c r="J141" s="650"/>
      <c r="K141" s="650"/>
      <c r="L141" s="650"/>
      <c r="M141" s="650"/>
      <c r="N141" s="650"/>
      <c r="O141" s="658"/>
      <c r="P141" s="654" t="s">
        <v>72</v>
      </c>
      <c r="Q141" s="655"/>
      <c r="R141" s="655"/>
      <c r="S141" s="655"/>
      <c r="T141" s="655"/>
      <c r="U141" s="655"/>
      <c r="V141" s="656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49" t="s">
        <v>62</v>
      </c>
      <c r="B142" s="650"/>
      <c r="C142" s="650"/>
      <c r="D142" s="650"/>
      <c r="E142" s="650"/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650"/>
      <c r="R142" s="650"/>
      <c r="S142" s="650"/>
      <c r="T142" s="650"/>
      <c r="U142" s="650"/>
      <c r="V142" s="650"/>
      <c r="W142" s="650"/>
      <c r="X142" s="650"/>
      <c r="Y142" s="650"/>
      <c r="Z142" s="650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61">
        <v>4680115883444</v>
      </c>
      <c r="E143" s="66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52"/>
      <c r="R143" s="652"/>
      <c r="S143" s="652"/>
      <c r="T143" s="653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61">
        <v>4680115883444</v>
      </c>
      <c r="E144" s="66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52"/>
      <c r="R144" s="652"/>
      <c r="S144" s="652"/>
      <c r="T144" s="653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7"/>
      <c r="B145" s="650"/>
      <c r="C145" s="650"/>
      <c r="D145" s="650"/>
      <c r="E145" s="650"/>
      <c r="F145" s="650"/>
      <c r="G145" s="650"/>
      <c r="H145" s="650"/>
      <c r="I145" s="650"/>
      <c r="J145" s="650"/>
      <c r="K145" s="650"/>
      <c r="L145" s="650"/>
      <c r="M145" s="650"/>
      <c r="N145" s="650"/>
      <c r="O145" s="658"/>
      <c r="P145" s="654" t="s">
        <v>72</v>
      </c>
      <c r="Q145" s="655"/>
      <c r="R145" s="655"/>
      <c r="S145" s="655"/>
      <c r="T145" s="655"/>
      <c r="U145" s="655"/>
      <c r="V145" s="656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0"/>
      <c r="B146" s="650"/>
      <c r="C146" s="650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8"/>
      <c r="P146" s="654" t="s">
        <v>72</v>
      </c>
      <c r="Q146" s="655"/>
      <c r="R146" s="655"/>
      <c r="S146" s="655"/>
      <c r="T146" s="655"/>
      <c r="U146" s="655"/>
      <c r="V146" s="656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49" t="s">
        <v>74</v>
      </c>
      <c r="B147" s="650"/>
      <c r="C147" s="650"/>
      <c r="D147" s="650"/>
      <c r="E147" s="650"/>
      <c r="F147" s="650"/>
      <c r="G147" s="650"/>
      <c r="H147" s="650"/>
      <c r="I147" s="650"/>
      <c r="J147" s="650"/>
      <c r="K147" s="650"/>
      <c r="L147" s="650"/>
      <c r="M147" s="650"/>
      <c r="N147" s="650"/>
      <c r="O147" s="650"/>
      <c r="P147" s="650"/>
      <c r="Q147" s="650"/>
      <c r="R147" s="650"/>
      <c r="S147" s="650"/>
      <c r="T147" s="650"/>
      <c r="U147" s="650"/>
      <c r="V147" s="650"/>
      <c r="W147" s="650"/>
      <c r="X147" s="650"/>
      <c r="Y147" s="650"/>
      <c r="Z147" s="650"/>
      <c r="AA147" s="639"/>
      <c r="AB147" s="639"/>
      <c r="AC147" s="639"/>
    </row>
    <row r="148" spans="1:68" ht="16.5" hidden="1" customHeight="1" x14ac:dyDescent="0.25">
      <c r="A148" s="54" t="s">
        <v>259</v>
      </c>
      <c r="B148" s="54" t="s">
        <v>260</v>
      </c>
      <c r="C148" s="31">
        <v>4301051476</v>
      </c>
      <c r="D148" s="661">
        <v>4680115882584</v>
      </c>
      <c r="E148" s="66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6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2"/>
      <c r="R148" s="652"/>
      <c r="S148" s="652"/>
      <c r="T148" s="653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61">
        <v>4680115882584</v>
      </c>
      <c r="E149" s="66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2"/>
      <c r="R149" s="652"/>
      <c r="S149" s="652"/>
      <c r="T149" s="653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7"/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8"/>
      <c r="P150" s="654" t="s">
        <v>72</v>
      </c>
      <c r="Q150" s="655"/>
      <c r="R150" s="655"/>
      <c r="S150" s="655"/>
      <c r="T150" s="655"/>
      <c r="U150" s="655"/>
      <c r="V150" s="656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hidden="1" x14ac:dyDescent="0.2">
      <c r="A151" s="650"/>
      <c r="B151" s="650"/>
      <c r="C151" s="650"/>
      <c r="D151" s="650"/>
      <c r="E151" s="650"/>
      <c r="F151" s="650"/>
      <c r="G151" s="650"/>
      <c r="H151" s="650"/>
      <c r="I151" s="650"/>
      <c r="J151" s="650"/>
      <c r="K151" s="650"/>
      <c r="L151" s="650"/>
      <c r="M151" s="650"/>
      <c r="N151" s="650"/>
      <c r="O151" s="658"/>
      <c r="P151" s="654" t="s">
        <v>72</v>
      </c>
      <c r="Q151" s="655"/>
      <c r="R151" s="655"/>
      <c r="S151" s="655"/>
      <c r="T151" s="655"/>
      <c r="U151" s="655"/>
      <c r="V151" s="656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hidden="1" customHeight="1" x14ac:dyDescent="0.25">
      <c r="A152" s="666" t="s">
        <v>262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38"/>
      <c r="AB152" s="638"/>
      <c r="AC152" s="638"/>
    </row>
    <row r="153" spans="1:68" ht="14.25" hidden="1" customHeight="1" x14ac:dyDescent="0.25">
      <c r="A153" s="649" t="s">
        <v>74</v>
      </c>
      <c r="B153" s="650"/>
      <c r="C153" s="650"/>
      <c r="D153" s="650"/>
      <c r="E153" s="650"/>
      <c r="F153" s="650"/>
      <c r="G153" s="650"/>
      <c r="H153" s="650"/>
      <c r="I153" s="650"/>
      <c r="J153" s="650"/>
      <c r="K153" s="650"/>
      <c r="L153" s="650"/>
      <c r="M153" s="650"/>
      <c r="N153" s="650"/>
      <c r="O153" s="650"/>
      <c r="P153" s="650"/>
      <c r="Q153" s="650"/>
      <c r="R153" s="650"/>
      <c r="S153" s="650"/>
      <c r="T153" s="650"/>
      <c r="U153" s="650"/>
      <c r="V153" s="650"/>
      <c r="W153" s="650"/>
      <c r="X153" s="650"/>
      <c r="Y153" s="650"/>
      <c r="Z153" s="650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61">
        <v>4680115888203</v>
      </c>
      <c r="E154" s="66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61">
        <v>4680115888180</v>
      </c>
      <c r="E155" s="66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61">
        <v>4680115888180</v>
      </c>
      <c r="E156" s="66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52"/>
      <c r="R156" s="652"/>
      <c r="S156" s="652"/>
      <c r="T156" s="653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61">
        <v>4680115888197</v>
      </c>
      <c r="E157" s="66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52"/>
      <c r="R157" s="652"/>
      <c r="S157" s="652"/>
      <c r="T157" s="653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61">
        <v>4680115888197</v>
      </c>
      <c r="E158" s="66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52"/>
      <c r="R158" s="652"/>
      <c r="S158" s="652"/>
      <c r="T158" s="653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61">
        <v>4680115888210</v>
      </c>
      <c r="E159" s="66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4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61">
        <v>4680115888210</v>
      </c>
      <c r="E160" s="66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81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52"/>
      <c r="R160" s="652"/>
      <c r="S160" s="652"/>
      <c r="T160" s="653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7"/>
      <c r="B161" s="650"/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8"/>
      <c r="P161" s="654" t="s">
        <v>72</v>
      </c>
      <c r="Q161" s="655"/>
      <c r="R161" s="655"/>
      <c r="S161" s="655"/>
      <c r="T161" s="655"/>
      <c r="U161" s="655"/>
      <c r="V161" s="656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0"/>
      <c r="B162" s="650"/>
      <c r="C162" s="650"/>
      <c r="D162" s="650"/>
      <c r="E162" s="650"/>
      <c r="F162" s="650"/>
      <c r="G162" s="650"/>
      <c r="H162" s="650"/>
      <c r="I162" s="650"/>
      <c r="J162" s="650"/>
      <c r="K162" s="650"/>
      <c r="L162" s="650"/>
      <c r="M162" s="650"/>
      <c r="N162" s="650"/>
      <c r="O162" s="658"/>
      <c r="P162" s="654" t="s">
        <v>72</v>
      </c>
      <c r="Q162" s="655"/>
      <c r="R162" s="655"/>
      <c r="S162" s="655"/>
      <c r="T162" s="655"/>
      <c r="U162" s="655"/>
      <c r="V162" s="656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49" t="s">
        <v>278</v>
      </c>
      <c r="B163" s="650"/>
      <c r="C163" s="650"/>
      <c r="D163" s="650"/>
      <c r="E163" s="650"/>
      <c r="F163" s="650"/>
      <c r="G163" s="650"/>
      <c r="H163" s="650"/>
      <c r="I163" s="650"/>
      <c r="J163" s="650"/>
      <c r="K163" s="650"/>
      <c r="L163" s="650"/>
      <c r="M163" s="650"/>
      <c r="N163" s="650"/>
      <c r="O163" s="650"/>
      <c r="P163" s="650"/>
      <c r="Q163" s="650"/>
      <c r="R163" s="650"/>
      <c r="S163" s="650"/>
      <c r="T163" s="650"/>
      <c r="U163" s="650"/>
      <c r="V163" s="650"/>
      <c r="W163" s="650"/>
      <c r="X163" s="650"/>
      <c r="Y163" s="650"/>
      <c r="Z163" s="650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61">
        <v>4680115889132</v>
      </c>
      <c r="E164" s="66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7"/>
      <c r="B165" s="650"/>
      <c r="C165" s="650"/>
      <c r="D165" s="650"/>
      <c r="E165" s="650"/>
      <c r="F165" s="650"/>
      <c r="G165" s="650"/>
      <c r="H165" s="650"/>
      <c r="I165" s="650"/>
      <c r="J165" s="650"/>
      <c r="K165" s="650"/>
      <c r="L165" s="650"/>
      <c r="M165" s="650"/>
      <c r="N165" s="650"/>
      <c r="O165" s="658"/>
      <c r="P165" s="654" t="s">
        <v>72</v>
      </c>
      <c r="Q165" s="655"/>
      <c r="R165" s="655"/>
      <c r="S165" s="655"/>
      <c r="T165" s="655"/>
      <c r="U165" s="655"/>
      <c r="V165" s="656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0"/>
      <c r="B166" s="650"/>
      <c r="C166" s="650"/>
      <c r="D166" s="650"/>
      <c r="E166" s="650"/>
      <c r="F166" s="650"/>
      <c r="G166" s="650"/>
      <c r="H166" s="650"/>
      <c r="I166" s="650"/>
      <c r="J166" s="650"/>
      <c r="K166" s="650"/>
      <c r="L166" s="650"/>
      <c r="M166" s="650"/>
      <c r="N166" s="650"/>
      <c r="O166" s="658"/>
      <c r="P166" s="654" t="s">
        <v>72</v>
      </c>
      <c r="Q166" s="655"/>
      <c r="R166" s="655"/>
      <c r="S166" s="655"/>
      <c r="T166" s="655"/>
      <c r="U166" s="655"/>
      <c r="V166" s="656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66" t="s">
        <v>109</v>
      </c>
      <c r="B167" s="650"/>
      <c r="C167" s="650"/>
      <c r="D167" s="650"/>
      <c r="E167" s="650"/>
      <c r="F167" s="650"/>
      <c r="G167" s="650"/>
      <c r="H167" s="650"/>
      <c r="I167" s="650"/>
      <c r="J167" s="650"/>
      <c r="K167" s="650"/>
      <c r="L167" s="650"/>
      <c r="M167" s="650"/>
      <c r="N167" s="650"/>
      <c r="O167" s="650"/>
      <c r="P167" s="650"/>
      <c r="Q167" s="650"/>
      <c r="R167" s="650"/>
      <c r="S167" s="650"/>
      <c r="T167" s="650"/>
      <c r="U167" s="650"/>
      <c r="V167" s="650"/>
      <c r="W167" s="650"/>
      <c r="X167" s="650"/>
      <c r="Y167" s="650"/>
      <c r="Z167" s="650"/>
      <c r="AA167" s="638"/>
      <c r="AB167" s="638"/>
      <c r="AC167" s="638"/>
    </row>
    <row r="168" spans="1:68" ht="14.25" hidden="1" customHeight="1" x14ac:dyDescent="0.25">
      <c r="A168" s="649" t="s">
        <v>111</v>
      </c>
      <c r="B168" s="650"/>
      <c r="C168" s="650"/>
      <c r="D168" s="650"/>
      <c r="E168" s="650"/>
      <c r="F168" s="650"/>
      <c r="G168" s="650"/>
      <c r="H168" s="650"/>
      <c r="I168" s="650"/>
      <c r="J168" s="650"/>
      <c r="K168" s="650"/>
      <c r="L168" s="650"/>
      <c r="M168" s="650"/>
      <c r="N168" s="650"/>
      <c r="O168" s="650"/>
      <c r="P168" s="650"/>
      <c r="Q168" s="650"/>
      <c r="R168" s="650"/>
      <c r="S168" s="650"/>
      <c r="T168" s="650"/>
      <c r="U168" s="650"/>
      <c r="V168" s="650"/>
      <c r="W168" s="650"/>
      <c r="X168" s="650"/>
      <c r="Y168" s="650"/>
      <c r="Z168" s="650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61">
        <v>4680115887374</v>
      </c>
      <c r="E169" s="66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6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52"/>
      <c r="R169" s="652"/>
      <c r="S169" s="652"/>
      <c r="T169" s="653"/>
      <c r="U169" s="34"/>
      <c r="V169" s="34"/>
      <c r="W169" s="35" t="s">
        <v>67</v>
      </c>
      <c r="X169" s="643"/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61">
        <v>4607091384604</v>
      </c>
      <c r="E170" s="66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52"/>
      <c r="R170" s="652"/>
      <c r="S170" s="652"/>
      <c r="T170" s="653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61">
        <v>4680115888876</v>
      </c>
      <c r="E171" s="66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7"/>
      <c r="B172" s="650"/>
      <c r="C172" s="650"/>
      <c r="D172" s="650"/>
      <c r="E172" s="650"/>
      <c r="F172" s="650"/>
      <c r="G172" s="650"/>
      <c r="H172" s="650"/>
      <c r="I172" s="650"/>
      <c r="J172" s="650"/>
      <c r="K172" s="650"/>
      <c r="L172" s="650"/>
      <c r="M172" s="650"/>
      <c r="N172" s="650"/>
      <c r="O172" s="658"/>
      <c r="P172" s="654" t="s">
        <v>72</v>
      </c>
      <c r="Q172" s="655"/>
      <c r="R172" s="655"/>
      <c r="S172" s="655"/>
      <c r="T172" s="655"/>
      <c r="U172" s="655"/>
      <c r="V172" s="656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0"/>
      <c r="B173" s="650"/>
      <c r="C173" s="650"/>
      <c r="D173" s="650"/>
      <c r="E173" s="650"/>
      <c r="F173" s="650"/>
      <c r="G173" s="650"/>
      <c r="H173" s="650"/>
      <c r="I173" s="650"/>
      <c r="J173" s="650"/>
      <c r="K173" s="650"/>
      <c r="L173" s="650"/>
      <c r="M173" s="650"/>
      <c r="N173" s="650"/>
      <c r="O173" s="658"/>
      <c r="P173" s="654" t="s">
        <v>72</v>
      </c>
      <c r="Q173" s="655"/>
      <c r="R173" s="655"/>
      <c r="S173" s="655"/>
      <c r="T173" s="655"/>
      <c r="U173" s="655"/>
      <c r="V173" s="656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49" t="s">
        <v>144</v>
      </c>
      <c r="B174" s="650"/>
      <c r="C174" s="650"/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650"/>
      <c r="O174" s="650"/>
      <c r="P174" s="650"/>
      <c r="Q174" s="650"/>
      <c r="R174" s="650"/>
      <c r="S174" s="650"/>
      <c r="T174" s="650"/>
      <c r="U174" s="650"/>
      <c r="V174" s="650"/>
      <c r="W174" s="650"/>
      <c r="X174" s="650"/>
      <c r="Y174" s="650"/>
      <c r="Z174" s="650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61">
        <v>4680115887695</v>
      </c>
      <c r="E175" s="66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52"/>
      <c r="R175" s="652"/>
      <c r="S175" s="652"/>
      <c r="T175" s="653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61">
        <v>4680115889491</v>
      </c>
      <c r="E176" s="66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7"/>
      <c r="B177" s="650"/>
      <c r="C177" s="650"/>
      <c r="D177" s="650"/>
      <c r="E177" s="650"/>
      <c r="F177" s="650"/>
      <c r="G177" s="650"/>
      <c r="H177" s="650"/>
      <c r="I177" s="650"/>
      <c r="J177" s="650"/>
      <c r="K177" s="650"/>
      <c r="L177" s="650"/>
      <c r="M177" s="650"/>
      <c r="N177" s="650"/>
      <c r="O177" s="658"/>
      <c r="P177" s="654" t="s">
        <v>72</v>
      </c>
      <c r="Q177" s="655"/>
      <c r="R177" s="655"/>
      <c r="S177" s="655"/>
      <c r="T177" s="655"/>
      <c r="U177" s="655"/>
      <c r="V177" s="656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0"/>
      <c r="B178" s="650"/>
      <c r="C178" s="650"/>
      <c r="D178" s="650"/>
      <c r="E178" s="650"/>
      <c r="F178" s="650"/>
      <c r="G178" s="650"/>
      <c r="H178" s="650"/>
      <c r="I178" s="650"/>
      <c r="J178" s="650"/>
      <c r="K178" s="650"/>
      <c r="L178" s="650"/>
      <c r="M178" s="650"/>
      <c r="N178" s="650"/>
      <c r="O178" s="658"/>
      <c r="P178" s="654" t="s">
        <v>72</v>
      </c>
      <c r="Q178" s="655"/>
      <c r="R178" s="655"/>
      <c r="S178" s="655"/>
      <c r="T178" s="655"/>
      <c r="U178" s="655"/>
      <c r="V178" s="656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49" t="s">
        <v>62</v>
      </c>
      <c r="B179" s="650"/>
      <c r="C179" s="650"/>
      <c r="D179" s="650"/>
      <c r="E179" s="650"/>
      <c r="F179" s="650"/>
      <c r="G179" s="650"/>
      <c r="H179" s="650"/>
      <c r="I179" s="650"/>
      <c r="J179" s="650"/>
      <c r="K179" s="650"/>
      <c r="L179" s="650"/>
      <c r="M179" s="650"/>
      <c r="N179" s="650"/>
      <c r="O179" s="650"/>
      <c r="P179" s="650"/>
      <c r="Q179" s="650"/>
      <c r="R179" s="650"/>
      <c r="S179" s="650"/>
      <c r="T179" s="650"/>
      <c r="U179" s="650"/>
      <c r="V179" s="650"/>
      <c r="W179" s="650"/>
      <c r="X179" s="650"/>
      <c r="Y179" s="650"/>
      <c r="Z179" s="650"/>
      <c r="AA179" s="639"/>
      <c r="AB179" s="639"/>
      <c r="AC179" s="639"/>
    </row>
    <row r="180" spans="1:68" ht="27" hidden="1" customHeight="1" x14ac:dyDescent="0.25">
      <c r="A180" s="54" t="s">
        <v>300</v>
      </c>
      <c r="B180" s="54" t="s">
        <v>301</v>
      </c>
      <c r="C180" s="31">
        <v>4301031496</v>
      </c>
      <c r="D180" s="661">
        <v>4680115887428</v>
      </c>
      <c r="E180" s="66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43"/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61">
        <v>4680115889170</v>
      </c>
      <c r="E181" s="66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hidden="1" customHeight="1" x14ac:dyDescent="0.25">
      <c r="A182" s="54" t="s">
        <v>306</v>
      </c>
      <c r="B182" s="54" t="s">
        <v>307</v>
      </c>
      <c r="C182" s="31">
        <v>4301031498</v>
      </c>
      <c r="D182" s="661">
        <v>4680115887398</v>
      </c>
      <c r="E182" s="66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4301031497</v>
      </c>
      <c r="D183" s="661">
        <v>4680115887336</v>
      </c>
      <c r="E183" s="66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61">
        <v>4680115887336</v>
      </c>
      <c r="E184" s="66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39" t="s">
        <v>313</v>
      </c>
      <c r="Q184" s="652"/>
      <c r="R184" s="652"/>
      <c r="S184" s="652"/>
      <c r="T184" s="653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61">
        <v>4680115887787</v>
      </c>
      <c r="E185" s="66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61">
        <v>4680115887787</v>
      </c>
      <c r="E186" s="66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2" t="s">
        <v>319</v>
      </c>
      <c r="Q186" s="652"/>
      <c r="R186" s="652"/>
      <c r="S186" s="652"/>
      <c r="T186" s="653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61">
        <v>4680115887503</v>
      </c>
      <c r="E187" s="66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66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52"/>
      <c r="R187" s="652"/>
      <c r="S187" s="652"/>
      <c r="T187" s="653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61">
        <v>4680115887763</v>
      </c>
      <c r="E188" s="66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52"/>
      <c r="R188" s="652"/>
      <c r="S188" s="652"/>
      <c r="T188" s="653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61">
        <v>4680115887480</v>
      </c>
      <c r="E189" s="66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52"/>
      <c r="R189" s="652"/>
      <c r="S189" s="652"/>
      <c r="T189" s="653"/>
      <c r="U189" s="34"/>
      <c r="V189" s="34"/>
      <c r="W189" s="35" t="s">
        <v>67</v>
      </c>
      <c r="X189" s="643"/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61">
        <v>4680115888067</v>
      </c>
      <c r="E190" s="66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4301031519</v>
      </c>
      <c r="D191" s="661">
        <v>4680115887435</v>
      </c>
      <c r="E191" s="66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43"/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hidden="1" x14ac:dyDescent="0.2">
      <c r="A192" s="657"/>
      <c r="B192" s="650"/>
      <c r="C192" s="650"/>
      <c r="D192" s="650"/>
      <c r="E192" s="650"/>
      <c r="F192" s="650"/>
      <c r="G192" s="650"/>
      <c r="H192" s="650"/>
      <c r="I192" s="650"/>
      <c r="J192" s="650"/>
      <c r="K192" s="650"/>
      <c r="L192" s="650"/>
      <c r="M192" s="650"/>
      <c r="N192" s="650"/>
      <c r="O192" s="658"/>
      <c r="P192" s="654" t="s">
        <v>72</v>
      </c>
      <c r="Q192" s="655"/>
      <c r="R192" s="655"/>
      <c r="S192" s="655"/>
      <c r="T192" s="655"/>
      <c r="U192" s="655"/>
      <c r="V192" s="656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0"/>
      <c r="B193" s="650"/>
      <c r="C193" s="650"/>
      <c r="D193" s="650"/>
      <c r="E193" s="650"/>
      <c r="F193" s="650"/>
      <c r="G193" s="650"/>
      <c r="H193" s="650"/>
      <c r="I193" s="650"/>
      <c r="J193" s="650"/>
      <c r="K193" s="650"/>
      <c r="L193" s="650"/>
      <c r="M193" s="650"/>
      <c r="N193" s="650"/>
      <c r="O193" s="658"/>
      <c r="P193" s="654" t="s">
        <v>72</v>
      </c>
      <c r="Q193" s="655"/>
      <c r="R193" s="655"/>
      <c r="S193" s="655"/>
      <c r="T193" s="655"/>
      <c r="U193" s="655"/>
      <c r="V193" s="656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49" t="s">
        <v>74</v>
      </c>
      <c r="B194" s="650"/>
      <c r="C194" s="650"/>
      <c r="D194" s="650"/>
      <c r="E194" s="650"/>
      <c r="F194" s="650"/>
      <c r="G194" s="650"/>
      <c r="H194" s="650"/>
      <c r="I194" s="650"/>
      <c r="J194" s="650"/>
      <c r="K194" s="650"/>
      <c r="L194" s="650"/>
      <c r="M194" s="650"/>
      <c r="N194" s="650"/>
      <c r="O194" s="650"/>
      <c r="P194" s="650"/>
      <c r="Q194" s="650"/>
      <c r="R194" s="650"/>
      <c r="S194" s="650"/>
      <c r="T194" s="650"/>
      <c r="U194" s="650"/>
      <c r="V194" s="650"/>
      <c r="W194" s="650"/>
      <c r="X194" s="650"/>
      <c r="Y194" s="650"/>
      <c r="Z194" s="650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61">
        <v>4680115888395</v>
      </c>
      <c r="E195" s="66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7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61">
        <v>4680115888371</v>
      </c>
      <c r="E196" s="66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52"/>
      <c r="R196" s="652"/>
      <c r="S196" s="652"/>
      <c r="T196" s="653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61">
        <v>4680115887459</v>
      </c>
      <c r="E197" s="66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52"/>
      <c r="R197" s="652"/>
      <c r="S197" s="652"/>
      <c r="T197" s="653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7"/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8"/>
      <c r="P198" s="654" t="s">
        <v>72</v>
      </c>
      <c r="Q198" s="655"/>
      <c r="R198" s="655"/>
      <c r="S198" s="655"/>
      <c r="T198" s="655"/>
      <c r="U198" s="655"/>
      <c r="V198" s="656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0"/>
      <c r="B199" s="650"/>
      <c r="C199" s="650"/>
      <c r="D199" s="650"/>
      <c r="E199" s="650"/>
      <c r="F199" s="650"/>
      <c r="G199" s="650"/>
      <c r="H199" s="650"/>
      <c r="I199" s="650"/>
      <c r="J199" s="650"/>
      <c r="K199" s="650"/>
      <c r="L199" s="650"/>
      <c r="M199" s="650"/>
      <c r="N199" s="650"/>
      <c r="O199" s="658"/>
      <c r="P199" s="654" t="s">
        <v>72</v>
      </c>
      <c r="Q199" s="655"/>
      <c r="R199" s="655"/>
      <c r="S199" s="655"/>
      <c r="T199" s="655"/>
      <c r="U199" s="655"/>
      <c r="V199" s="656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49" t="s">
        <v>278</v>
      </c>
      <c r="B200" s="650"/>
      <c r="C200" s="650"/>
      <c r="D200" s="650"/>
      <c r="E200" s="650"/>
      <c r="F200" s="650"/>
      <c r="G200" s="650"/>
      <c r="H200" s="650"/>
      <c r="I200" s="650"/>
      <c r="J200" s="650"/>
      <c r="K200" s="650"/>
      <c r="L200" s="650"/>
      <c r="M200" s="650"/>
      <c r="N200" s="650"/>
      <c r="O200" s="650"/>
      <c r="P200" s="650"/>
      <c r="Q200" s="650"/>
      <c r="R200" s="650"/>
      <c r="S200" s="650"/>
      <c r="T200" s="650"/>
      <c r="U200" s="650"/>
      <c r="V200" s="650"/>
      <c r="W200" s="650"/>
      <c r="X200" s="650"/>
      <c r="Y200" s="650"/>
      <c r="Z200" s="650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61">
        <v>4680115889026</v>
      </c>
      <c r="E201" s="66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52"/>
      <c r="R201" s="652"/>
      <c r="S201" s="652"/>
      <c r="T201" s="653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7"/>
      <c r="B202" s="650"/>
      <c r="C202" s="650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8"/>
      <c r="P202" s="654" t="s">
        <v>72</v>
      </c>
      <c r="Q202" s="655"/>
      <c r="R202" s="655"/>
      <c r="S202" s="655"/>
      <c r="T202" s="655"/>
      <c r="U202" s="655"/>
      <c r="V202" s="656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0"/>
      <c r="B203" s="650"/>
      <c r="C203" s="650"/>
      <c r="D203" s="650"/>
      <c r="E203" s="650"/>
      <c r="F203" s="650"/>
      <c r="G203" s="650"/>
      <c r="H203" s="650"/>
      <c r="I203" s="650"/>
      <c r="J203" s="650"/>
      <c r="K203" s="650"/>
      <c r="L203" s="650"/>
      <c r="M203" s="650"/>
      <c r="N203" s="650"/>
      <c r="O203" s="658"/>
      <c r="P203" s="654" t="s">
        <v>72</v>
      </c>
      <c r="Q203" s="655"/>
      <c r="R203" s="655"/>
      <c r="S203" s="655"/>
      <c r="T203" s="655"/>
      <c r="U203" s="655"/>
      <c r="V203" s="656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49" t="s">
        <v>345</v>
      </c>
      <c r="B204" s="650"/>
      <c r="C204" s="650"/>
      <c r="D204" s="650"/>
      <c r="E204" s="650"/>
      <c r="F204" s="650"/>
      <c r="G204" s="650"/>
      <c r="H204" s="650"/>
      <c r="I204" s="650"/>
      <c r="J204" s="650"/>
      <c r="K204" s="650"/>
      <c r="L204" s="650"/>
      <c r="M204" s="650"/>
      <c r="N204" s="650"/>
      <c r="O204" s="650"/>
      <c r="P204" s="650"/>
      <c r="Q204" s="650"/>
      <c r="R204" s="650"/>
      <c r="S204" s="650"/>
      <c r="T204" s="650"/>
      <c r="U204" s="650"/>
      <c r="V204" s="650"/>
      <c r="W204" s="650"/>
      <c r="X204" s="650"/>
      <c r="Y204" s="650"/>
      <c r="Z204" s="650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61">
        <v>4680115889033</v>
      </c>
      <c r="E205" s="66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52"/>
      <c r="R205" s="652"/>
      <c r="S205" s="652"/>
      <c r="T205" s="653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7"/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8"/>
      <c r="P206" s="654" t="s">
        <v>72</v>
      </c>
      <c r="Q206" s="655"/>
      <c r="R206" s="655"/>
      <c r="S206" s="655"/>
      <c r="T206" s="655"/>
      <c r="U206" s="655"/>
      <c r="V206" s="656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0"/>
      <c r="B207" s="650"/>
      <c r="C207" s="650"/>
      <c r="D207" s="650"/>
      <c r="E207" s="650"/>
      <c r="F207" s="650"/>
      <c r="G207" s="650"/>
      <c r="H207" s="650"/>
      <c r="I207" s="650"/>
      <c r="J207" s="650"/>
      <c r="K207" s="650"/>
      <c r="L207" s="650"/>
      <c r="M207" s="650"/>
      <c r="N207" s="650"/>
      <c r="O207" s="658"/>
      <c r="P207" s="654" t="s">
        <v>72</v>
      </c>
      <c r="Q207" s="655"/>
      <c r="R207" s="655"/>
      <c r="S207" s="655"/>
      <c r="T207" s="655"/>
      <c r="U207" s="655"/>
      <c r="V207" s="656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47" t="s">
        <v>349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48"/>
      <c r="AB208" s="48"/>
      <c r="AC208" s="48"/>
    </row>
    <row r="209" spans="1:68" ht="16.5" hidden="1" customHeight="1" x14ac:dyDescent="0.25">
      <c r="A209" s="666" t="s">
        <v>350</v>
      </c>
      <c r="B209" s="650"/>
      <c r="C209" s="650"/>
      <c r="D209" s="650"/>
      <c r="E209" s="650"/>
      <c r="F209" s="650"/>
      <c r="G209" s="650"/>
      <c r="H209" s="650"/>
      <c r="I209" s="650"/>
      <c r="J209" s="650"/>
      <c r="K209" s="650"/>
      <c r="L209" s="650"/>
      <c r="M209" s="650"/>
      <c r="N209" s="650"/>
      <c r="O209" s="650"/>
      <c r="P209" s="650"/>
      <c r="Q209" s="650"/>
      <c r="R209" s="650"/>
      <c r="S209" s="650"/>
      <c r="T209" s="650"/>
      <c r="U209" s="650"/>
      <c r="V209" s="650"/>
      <c r="W209" s="650"/>
      <c r="X209" s="650"/>
      <c r="Y209" s="650"/>
      <c r="Z209" s="650"/>
      <c r="AA209" s="638"/>
      <c r="AB209" s="638"/>
      <c r="AC209" s="638"/>
    </row>
    <row r="210" spans="1:68" ht="14.25" hidden="1" customHeight="1" x14ac:dyDescent="0.25">
      <c r="A210" s="649" t="s">
        <v>111</v>
      </c>
      <c r="B210" s="650"/>
      <c r="C210" s="650"/>
      <c r="D210" s="650"/>
      <c r="E210" s="650"/>
      <c r="F210" s="650"/>
      <c r="G210" s="650"/>
      <c r="H210" s="650"/>
      <c r="I210" s="650"/>
      <c r="J210" s="650"/>
      <c r="K210" s="650"/>
      <c r="L210" s="650"/>
      <c r="M210" s="650"/>
      <c r="N210" s="650"/>
      <c r="O210" s="650"/>
      <c r="P210" s="650"/>
      <c r="Q210" s="650"/>
      <c r="R210" s="650"/>
      <c r="S210" s="650"/>
      <c r="T210" s="650"/>
      <c r="U210" s="650"/>
      <c r="V210" s="650"/>
      <c r="W210" s="650"/>
      <c r="X210" s="650"/>
      <c r="Y210" s="650"/>
      <c r="Z210" s="650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61">
        <v>4607091383423</v>
      </c>
      <c r="E211" s="66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52"/>
      <c r="R211" s="652"/>
      <c r="S211" s="652"/>
      <c r="T211" s="653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61">
        <v>4680115888760</v>
      </c>
      <c r="E212" s="66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52"/>
      <c r="R212" s="652"/>
      <c r="S212" s="652"/>
      <c r="T212" s="653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61">
        <v>4680115888807</v>
      </c>
      <c r="E213" s="66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8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52"/>
      <c r="R213" s="652"/>
      <c r="S213" s="652"/>
      <c r="T213" s="653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61">
        <v>4680115888852</v>
      </c>
      <c r="E214" s="66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8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52"/>
      <c r="R214" s="652"/>
      <c r="S214" s="652"/>
      <c r="T214" s="653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61">
        <v>4680115886957</v>
      </c>
      <c r="E215" s="66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52"/>
      <c r="R215" s="652"/>
      <c r="S215" s="652"/>
      <c r="T215" s="653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61">
        <v>4680115885660</v>
      </c>
      <c r="E216" s="66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61">
        <v>4680115886773</v>
      </c>
      <c r="E217" s="66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52"/>
      <c r="R217" s="652"/>
      <c r="S217" s="652"/>
      <c r="T217" s="653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7"/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8"/>
      <c r="P218" s="654" t="s">
        <v>72</v>
      </c>
      <c r="Q218" s="655"/>
      <c r="R218" s="655"/>
      <c r="S218" s="655"/>
      <c r="T218" s="655"/>
      <c r="U218" s="655"/>
      <c r="V218" s="656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0"/>
      <c r="B219" s="650"/>
      <c r="C219" s="650"/>
      <c r="D219" s="650"/>
      <c r="E219" s="650"/>
      <c r="F219" s="650"/>
      <c r="G219" s="650"/>
      <c r="H219" s="650"/>
      <c r="I219" s="650"/>
      <c r="J219" s="650"/>
      <c r="K219" s="650"/>
      <c r="L219" s="650"/>
      <c r="M219" s="650"/>
      <c r="N219" s="650"/>
      <c r="O219" s="658"/>
      <c r="P219" s="654" t="s">
        <v>72</v>
      </c>
      <c r="Q219" s="655"/>
      <c r="R219" s="655"/>
      <c r="S219" s="655"/>
      <c r="T219" s="655"/>
      <c r="U219" s="655"/>
      <c r="V219" s="656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66" t="s">
        <v>371</v>
      </c>
      <c r="B220" s="650"/>
      <c r="C220" s="650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650"/>
      <c r="R220" s="650"/>
      <c r="S220" s="650"/>
      <c r="T220" s="650"/>
      <c r="U220" s="650"/>
      <c r="V220" s="650"/>
      <c r="W220" s="650"/>
      <c r="X220" s="650"/>
      <c r="Y220" s="650"/>
      <c r="Z220" s="650"/>
      <c r="AA220" s="638"/>
      <c r="AB220" s="638"/>
      <c r="AC220" s="638"/>
    </row>
    <row r="221" spans="1:68" ht="14.25" hidden="1" customHeight="1" x14ac:dyDescent="0.25">
      <c r="A221" s="649" t="s">
        <v>144</v>
      </c>
      <c r="B221" s="650"/>
      <c r="C221" s="650"/>
      <c r="D221" s="650"/>
      <c r="E221" s="650"/>
      <c r="F221" s="650"/>
      <c r="G221" s="650"/>
      <c r="H221" s="650"/>
      <c r="I221" s="650"/>
      <c r="J221" s="650"/>
      <c r="K221" s="650"/>
      <c r="L221" s="650"/>
      <c r="M221" s="650"/>
      <c r="N221" s="650"/>
      <c r="O221" s="650"/>
      <c r="P221" s="650"/>
      <c r="Q221" s="650"/>
      <c r="R221" s="650"/>
      <c r="S221" s="650"/>
      <c r="T221" s="650"/>
      <c r="U221" s="650"/>
      <c r="V221" s="650"/>
      <c r="W221" s="650"/>
      <c r="X221" s="650"/>
      <c r="Y221" s="650"/>
      <c r="Z221" s="650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61">
        <v>4680115886223</v>
      </c>
      <c r="E222" s="66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7"/>
      <c r="B223" s="650"/>
      <c r="C223" s="650"/>
      <c r="D223" s="650"/>
      <c r="E223" s="650"/>
      <c r="F223" s="650"/>
      <c r="G223" s="650"/>
      <c r="H223" s="650"/>
      <c r="I223" s="650"/>
      <c r="J223" s="650"/>
      <c r="K223" s="650"/>
      <c r="L223" s="650"/>
      <c r="M223" s="650"/>
      <c r="N223" s="650"/>
      <c r="O223" s="658"/>
      <c r="P223" s="654" t="s">
        <v>72</v>
      </c>
      <c r="Q223" s="655"/>
      <c r="R223" s="655"/>
      <c r="S223" s="655"/>
      <c r="T223" s="655"/>
      <c r="U223" s="655"/>
      <c r="V223" s="656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0"/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8"/>
      <c r="P224" s="654" t="s">
        <v>72</v>
      </c>
      <c r="Q224" s="655"/>
      <c r="R224" s="655"/>
      <c r="S224" s="655"/>
      <c r="T224" s="655"/>
      <c r="U224" s="655"/>
      <c r="V224" s="656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49" t="s">
        <v>62</v>
      </c>
      <c r="B225" s="650"/>
      <c r="C225" s="650"/>
      <c r="D225" s="650"/>
      <c r="E225" s="650"/>
      <c r="F225" s="650"/>
      <c r="G225" s="650"/>
      <c r="H225" s="650"/>
      <c r="I225" s="650"/>
      <c r="J225" s="650"/>
      <c r="K225" s="650"/>
      <c r="L225" s="650"/>
      <c r="M225" s="650"/>
      <c r="N225" s="650"/>
      <c r="O225" s="650"/>
      <c r="P225" s="650"/>
      <c r="Q225" s="650"/>
      <c r="R225" s="650"/>
      <c r="S225" s="650"/>
      <c r="T225" s="650"/>
      <c r="U225" s="650"/>
      <c r="V225" s="650"/>
      <c r="W225" s="650"/>
      <c r="X225" s="650"/>
      <c r="Y225" s="650"/>
      <c r="Z225" s="650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61">
        <v>4680115880993</v>
      </c>
      <c r="E226" s="66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52"/>
      <c r="R226" s="652"/>
      <c r="S226" s="652"/>
      <c r="T226" s="653"/>
      <c r="U226" s="34"/>
      <c r="V226" s="34"/>
      <c r="W226" s="35" t="s">
        <v>67</v>
      </c>
      <c r="X226" s="643"/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61">
        <v>4680115881761</v>
      </c>
      <c r="E227" s="66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52"/>
      <c r="R227" s="652"/>
      <c r="S227" s="652"/>
      <c r="T227" s="653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61">
        <v>4680115881563</v>
      </c>
      <c r="E228" s="66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52"/>
      <c r="R228" s="652"/>
      <c r="S228" s="652"/>
      <c r="T228" s="653"/>
      <c r="U228" s="34"/>
      <c r="V228" s="34"/>
      <c r="W228" s="35" t="s">
        <v>67</v>
      </c>
      <c r="X228" s="643"/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4301031447</v>
      </c>
      <c r="D229" s="661">
        <v>4680115887565</v>
      </c>
      <c r="E229" s="66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43"/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4301031199</v>
      </c>
      <c r="D230" s="661">
        <v>4680115880986</v>
      </c>
      <c r="E230" s="66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52"/>
      <c r="R230" s="652"/>
      <c r="S230" s="652"/>
      <c r="T230" s="653"/>
      <c r="U230" s="34"/>
      <c r="V230" s="34"/>
      <c r="W230" s="35" t="s">
        <v>67</v>
      </c>
      <c r="X230" s="643"/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61">
        <v>4680115887213</v>
      </c>
      <c r="E231" s="66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61">
        <v>4680115881785</v>
      </c>
      <c r="E232" s="66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52"/>
      <c r="R232" s="652"/>
      <c r="S232" s="652"/>
      <c r="T232" s="653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61">
        <v>4680115888432</v>
      </c>
      <c r="E233" s="66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52"/>
      <c r="R233" s="652"/>
      <c r="S233" s="652"/>
      <c r="T233" s="653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61">
        <v>4680115888104</v>
      </c>
      <c r="E234" s="66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52"/>
      <c r="R234" s="652"/>
      <c r="S234" s="652"/>
      <c r="T234" s="653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400</v>
      </c>
      <c r="B235" s="54" t="s">
        <v>401</v>
      </c>
      <c r="C235" s="31">
        <v>4301031399</v>
      </c>
      <c r="D235" s="661">
        <v>4680115886537</v>
      </c>
      <c r="E235" s="66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52"/>
      <c r="R235" s="652"/>
      <c r="S235" s="652"/>
      <c r="T235" s="653"/>
      <c r="U235" s="34"/>
      <c r="V235" s="34"/>
      <c r="W235" s="35" t="s">
        <v>67</v>
      </c>
      <c r="X235" s="643"/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61">
        <v>4680115887596</v>
      </c>
      <c r="E236" s="66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hidden="1" customHeight="1" x14ac:dyDescent="0.25">
      <c r="A237" s="54" t="s">
        <v>406</v>
      </c>
      <c r="B237" s="54" t="s">
        <v>407</v>
      </c>
      <c r="C237" s="31">
        <v>4301031202</v>
      </c>
      <c r="D237" s="661">
        <v>4680115881679</v>
      </c>
      <c r="E237" s="66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52"/>
      <c r="R237" s="652"/>
      <c r="S237" s="652"/>
      <c r="T237" s="653"/>
      <c r="U237" s="34"/>
      <c r="V237" s="34"/>
      <c r="W237" s="35" t="s">
        <v>67</v>
      </c>
      <c r="X237" s="643"/>
      <c r="Y237" s="644">
        <f t="shared" si="37"/>
        <v>0</v>
      </c>
      <c r="Z237" s="36" t="str">
        <f>IFERROR(IF(Y237=0,"",ROUNDUP(Y237/H237,0)*0.00502),"")</f>
        <v/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61">
        <v>4680115880191</v>
      </c>
      <c r="E238" s="66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52"/>
      <c r="R238" s="652"/>
      <c r="S238" s="652"/>
      <c r="T238" s="653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61">
        <v>4680115883963</v>
      </c>
      <c r="E239" s="66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idden="1" x14ac:dyDescent="0.2">
      <c r="A240" s="657"/>
      <c r="B240" s="650"/>
      <c r="C240" s="650"/>
      <c r="D240" s="650"/>
      <c r="E240" s="650"/>
      <c r="F240" s="650"/>
      <c r="G240" s="650"/>
      <c r="H240" s="650"/>
      <c r="I240" s="650"/>
      <c r="J240" s="650"/>
      <c r="K240" s="650"/>
      <c r="L240" s="650"/>
      <c r="M240" s="650"/>
      <c r="N240" s="650"/>
      <c r="O240" s="658"/>
      <c r="P240" s="654" t="s">
        <v>72</v>
      </c>
      <c r="Q240" s="655"/>
      <c r="R240" s="655"/>
      <c r="S240" s="655"/>
      <c r="T240" s="655"/>
      <c r="U240" s="655"/>
      <c r="V240" s="656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6"/>
      <c r="AB240" s="646"/>
      <c r="AC240" s="646"/>
    </row>
    <row r="241" spans="1:68" hidden="1" x14ac:dyDescent="0.2">
      <c r="A241" s="650"/>
      <c r="B241" s="650"/>
      <c r="C241" s="650"/>
      <c r="D241" s="650"/>
      <c r="E241" s="650"/>
      <c r="F241" s="650"/>
      <c r="G241" s="650"/>
      <c r="H241" s="650"/>
      <c r="I241" s="650"/>
      <c r="J241" s="650"/>
      <c r="K241" s="650"/>
      <c r="L241" s="650"/>
      <c r="M241" s="650"/>
      <c r="N241" s="650"/>
      <c r="O241" s="658"/>
      <c r="P241" s="654" t="s">
        <v>72</v>
      </c>
      <c r="Q241" s="655"/>
      <c r="R241" s="655"/>
      <c r="S241" s="655"/>
      <c r="T241" s="655"/>
      <c r="U241" s="655"/>
      <c r="V241" s="656"/>
      <c r="W241" s="37" t="s">
        <v>67</v>
      </c>
      <c r="X241" s="645">
        <f>IFERROR(SUM(X226:X239),"0")</f>
        <v>0</v>
      </c>
      <c r="Y241" s="645">
        <f>IFERROR(SUM(Y226:Y239),"0")</f>
        <v>0</v>
      </c>
      <c r="Z241" s="37"/>
      <c r="AA241" s="646"/>
      <c r="AB241" s="646"/>
      <c r="AC241" s="646"/>
    </row>
    <row r="242" spans="1:68" ht="14.25" hidden="1" customHeight="1" x14ac:dyDescent="0.25">
      <c r="A242" s="649" t="s">
        <v>74</v>
      </c>
      <c r="B242" s="650"/>
      <c r="C242" s="650"/>
      <c r="D242" s="650"/>
      <c r="E242" s="650"/>
      <c r="F242" s="650"/>
      <c r="G242" s="650"/>
      <c r="H242" s="650"/>
      <c r="I242" s="650"/>
      <c r="J242" s="650"/>
      <c r="K242" s="650"/>
      <c r="L242" s="650"/>
      <c r="M242" s="650"/>
      <c r="N242" s="650"/>
      <c r="O242" s="650"/>
      <c r="P242" s="650"/>
      <c r="Q242" s="650"/>
      <c r="R242" s="650"/>
      <c r="S242" s="650"/>
      <c r="T242" s="650"/>
      <c r="U242" s="650"/>
      <c r="V242" s="650"/>
      <c r="W242" s="650"/>
      <c r="X242" s="650"/>
      <c r="Y242" s="650"/>
      <c r="Z242" s="650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61">
        <v>4680115888692</v>
      </c>
      <c r="E243" s="66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52"/>
      <c r="R243" s="652"/>
      <c r="S243" s="652"/>
      <c r="T243" s="653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61">
        <v>4680115888722</v>
      </c>
      <c r="E244" s="66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8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61">
        <v>4680115888951</v>
      </c>
      <c r="E245" s="66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6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61">
        <v>4680115888975</v>
      </c>
      <c r="E246" s="66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61">
        <v>4680115888982</v>
      </c>
      <c r="E247" s="66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2"/>
      <c r="R247" s="652"/>
      <c r="S247" s="652"/>
      <c r="T247" s="653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7"/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8"/>
      <c r="P248" s="654" t="s">
        <v>72</v>
      </c>
      <c r="Q248" s="655"/>
      <c r="R248" s="655"/>
      <c r="S248" s="655"/>
      <c r="T248" s="655"/>
      <c r="U248" s="655"/>
      <c r="V248" s="656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0"/>
      <c r="B249" s="650"/>
      <c r="C249" s="650"/>
      <c r="D249" s="650"/>
      <c r="E249" s="650"/>
      <c r="F249" s="650"/>
      <c r="G249" s="650"/>
      <c r="H249" s="650"/>
      <c r="I249" s="650"/>
      <c r="J249" s="650"/>
      <c r="K249" s="650"/>
      <c r="L249" s="650"/>
      <c r="M249" s="650"/>
      <c r="N249" s="650"/>
      <c r="O249" s="658"/>
      <c r="P249" s="654" t="s">
        <v>72</v>
      </c>
      <c r="Q249" s="655"/>
      <c r="R249" s="655"/>
      <c r="S249" s="655"/>
      <c r="T249" s="655"/>
      <c r="U249" s="655"/>
      <c r="V249" s="656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49" t="s">
        <v>278</v>
      </c>
      <c r="B250" s="650"/>
      <c r="C250" s="650"/>
      <c r="D250" s="650"/>
      <c r="E250" s="650"/>
      <c r="F250" s="650"/>
      <c r="G250" s="650"/>
      <c r="H250" s="650"/>
      <c r="I250" s="650"/>
      <c r="J250" s="650"/>
      <c r="K250" s="650"/>
      <c r="L250" s="650"/>
      <c r="M250" s="650"/>
      <c r="N250" s="650"/>
      <c r="O250" s="650"/>
      <c r="P250" s="650"/>
      <c r="Q250" s="650"/>
      <c r="R250" s="650"/>
      <c r="S250" s="650"/>
      <c r="T250" s="650"/>
      <c r="U250" s="650"/>
      <c r="V250" s="650"/>
      <c r="W250" s="650"/>
      <c r="X250" s="650"/>
      <c r="Y250" s="650"/>
      <c r="Z250" s="650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61">
        <v>4680115886780</v>
      </c>
      <c r="E251" s="66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2"/>
      <c r="R251" s="652"/>
      <c r="S251" s="652"/>
      <c r="T251" s="653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61">
        <v>4680115886742</v>
      </c>
      <c r="E252" s="66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2"/>
      <c r="R252" s="652"/>
      <c r="S252" s="652"/>
      <c r="T252" s="653"/>
      <c r="U252" s="34"/>
      <c r="V252" s="34"/>
      <c r="W252" s="35" t="s">
        <v>67</v>
      </c>
      <c r="X252" s="643"/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433</v>
      </c>
      <c r="B253" s="54" t="s">
        <v>434</v>
      </c>
      <c r="C253" s="31">
        <v>4301032052</v>
      </c>
      <c r="D253" s="661">
        <v>4680115886766</v>
      </c>
      <c r="E253" s="66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2"/>
      <c r="R253" s="652"/>
      <c r="S253" s="652"/>
      <c r="T253" s="653"/>
      <c r="U253" s="34"/>
      <c r="V253" s="34"/>
      <c r="W253" s="35" t="s">
        <v>67</v>
      </c>
      <c r="X253" s="643"/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7"/>
      <c r="B254" s="650"/>
      <c r="C254" s="650"/>
      <c r="D254" s="650"/>
      <c r="E254" s="650"/>
      <c r="F254" s="650"/>
      <c r="G254" s="650"/>
      <c r="H254" s="650"/>
      <c r="I254" s="650"/>
      <c r="J254" s="650"/>
      <c r="K254" s="650"/>
      <c r="L254" s="650"/>
      <c r="M254" s="650"/>
      <c r="N254" s="650"/>
      <c r="O254" s="658"/>
      <c r="P254" s="654" t="s">
        <v>72</v>
      </c>
      <c r="Q254" s="655"/>
      <c r="R254" s="655"/>
      <c r="S254" s="655"/>
      <c r="T254" s="655"/>
      <c r="U254" s="655"/>
      <c r="V254" s="656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0"/>
      <c r="B255" s="650"/>
      <c r="C255" s="650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0"/>
      <c r="O255" s="658"/>
      <c r="P255" s="654" t="s">
        <v>72</v>
      </c>
      <c r="Q255" s="655"/>
      <c r="R255" s="655"/>
      <c r="S255" s="655"/>
      <c r="T255" s="655"/>
      <c r="U255" s="655"/>
      <c r="V255" s="656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49" t="s">
        <v>435</v>
      </c>
      <c r="B256" s="650"/>
      <c r="C256" s="650"/>
      <c r="D256" s="650"/>
      <c r="E256" s="650"/>
      <c r="F256" s="650"/>
      <c r="G256" s="650"/>
      <c r="H256" s="650"/>
      <c r="I256" s="650"/>
      <c r="J256" s="650"/>
      <c r="K256" s="650"/>
      <c r="L256" s="650"/>
      <c r="M256" s="650"/>
      <c r="N256" s="650"/>
      <c r="O256" s="650"/>
      <c r="P256" s="650"/>
      <c r="Q256" s="650"/>
      <c r="R256" s="650"/>
      <c r="S256" s="650"/>
      <c r="T256" s="650"/>
      <c r="U256" s="650"/>
      <c r="V256" s="650"/>
      <c r="W256" s="650"/>
      <c r="X256" s="650"/>
      <c r="Y256" s="650"/>
      <c r="Z256" s="650"/>
      <c r="AA256" s="639"/>
      <c r="AB256" s="639"/>
      <c r="AC256" s="639"/>
    </row>
    <row r="257" spans="1:68" ht="27" hidden="1" customHeight="1" x14ac:dyDescent="0.25">
      <c r="A257" s="54" t="s">
        <v>436</v>
      </c>
      <c r="B257" s="54" t="s">
        <v>437</v>
      </c>
      <c r="C257" s="31">
        <v>4301170013</v>
      </c>
      <c r="D257" s="661">
        <v>4680115886797</v>
      </c>
      <c r="E257" s="66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2"/>
      <c r="R257" s="652"/>
      <c r="S257" s="652"/>
      <c r="T257" s="653"/>
      <c r="U257" s="34"/>
      <c r="V257" s="34"/>
      <c r="W257" s="35" t="s">
        <v>67</v>
      </c>
      <c r="X257" s="643"/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7"/>
      <c r="B258" s="650"/>
      <c r="C258" s="650"/>
      <c r="D258" s="650"/>
      <c r="E258" s="650"/>
      <c r="F258" s="650"/>
      <c r="G258" s="650"/>
      <c r="H258" s="650"/>
      <c r="I258" s="650"/>
      <c r="J258" s="650"/>
      <c r="K258" s="650"/>
      <c r="L258" s="650"/>
      <c r="M258" s="650"/>
      <c r="N258" s="650"/>
      <c r="O258" s="658"/>
      <c r="P258" s="654" t="s">
        <v>72</v>
      </c>
      <c r="Q258" s="655"/>
      <c r="R258" s="655"/>
      <c r="S258" s="655"/>
      <c r="T258" s="655"/>
      <c r="U258" s="655"/>
      <c r="V258" s="656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0"/>
      <c r="B259" s="650"/>
      <c r="C259" s="650"/>
      <c r="D259" s="650"/>
      <c r="E259" s="650"/>
      <c r="F259" s="650"/>
      <c r="G259" s="650"/>
      <c r="H259" s="650"/>
      <c r="I259" s="650"/>
      <c r="J259" s="650"/>
      <c r="K259" s="650"/>
      <c r="L259" s="650"/>
      <c r="M259" s="650"/>
      <c r="N259" s="650"/>
      <c r="O259" s="658"/>
      <c r="P259" s="654" t="s">
        <v>72</v>
      </c>
      <c r="Q259" s="655"/>
      <c r="R259" s="655"/>
      <c r="S259" s="655"/>
      <c r="T259" s="655"/>
      <c r="U259" s="655"/>
      <c r="V259" s="656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66" t="s">
        <v>438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0"/>
      <c r="Q260" s="650"/>
      <c r="R260" s="650"/>
      <c r="S260" s="650"/>
      <c r="T260" s="650"/>
      <c r="U260" s="650"/>
      <c r="V260" s="650"/>
      <c r="W260" s="650"/>
      <c r="X260" s="650"/>
      <c r="Y260" s="650"/>
      <c r="Z260" s="650"/>
      <c r="AA260" s="638"/>
      <c r="AB260" s="638"/>
      <c r="AC260" s="638"/>
    </row>
    <row r="261" spans="1:68" ht="14.25" hidden="1" customHeight="1" x14ac:dyDescent="0.25">
      <c r="A261" s="649" t="s">
        <v>111</v>
      </c>
      <c r="B261" s="650"/>
      <c r="C261" s="650"/>
      <c r="D261" s="650"/>
      <c r="E261" s="650"/>
      <c r="F261" s="650"/>
      <c r="G261" s="650"/>
      <c r="H261" s="650"/>
      <c r="I261" s="650"/>
      <c r="J261" s="650"/>
      <c r="K261" s="650"/>
      <c r="L261" s="650"/>
      <c r="M261" s="650"/>
      <c r="N261" s="650"/>
      <c r="O261" s="650"/>
      <c r="P261" s="650"/>
      <c r="Q261" s="650"/>
      <c r="R261" s="650"/>
      <c r="S261" s="650"/>
      <c r="T261" s="650"/>
      <c r="U261" s="650"/>
      <c r="V261" s="650"/>
      <c r="W261" s="650"/>
      <c r="X261" s="650"/>
      <c r="Y261" s="650"/>
      <c r="Z261" s="650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61">
        <v>4680115881402</v>
      </c>
      <c r="E262" s="66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10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2"/>
      <c r="R262" s="652"/>
      <c r="S262" s="652"/>
      <c r="T262" s="653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61">
        <v>4680115881396</v>
      </c>
      <c r="E263" s="66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2"/>
      <c r="R263" s="652"/>
      <c r="S263" s="652"/>
      <c r="T263" s="653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0"/>
      <c r="C264" s="650"/>
      <c r="D264" s="650"/>
      <c r="E264" s="650"/>
      <c r="F264" s="650"/>
      <c r="G264" s="650"/>
      <c r="H264" s="650"/>
      <c r="I264" s="650"/>
      <c r="J264" s="650"/>
      <c r="K264" s="650"/>
      <c r="L264" s="650"/>
      <c r="M264" s="650"/>
      <c r="N264" s="650"/>
      <c r="O264" s="658"/>
      <c r="P264" s="654" t="s">
        <v>72</v>
      </c>
      <c r="Q264" s="655"/>
      <c r="R264" s="655"/>
      <c r="S264" s="655"/>
      <c r="T264" s="655"/>
      <c r="U264" s="655"/>
      <c r="V264" s="656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0"/>
      <c r="B265" s="650"/>
      <c r="C265" s="650"/>
      <c r="D265" s="650"/>
      <c r="E265" s="650"/>
      <c r="F265" s="650"/>
      <c r="G265" s="650"/>
      <c r="H265" s="650"/>
      <c r="I265" s="650"/>
      <c r="J265" s="650"/>
      <c r="K265" s="650"/>
      <c r="L265" s="650"/>
      <c r="M265" s="650"/>
      <c r="N265" s="650"/>
      <c r="O265" s="658"/>
      <c r="P265" s="654" t="s">
        <v>72</v>
      </c>
      <c r="Q265" s="655"/>
      <c r="R265" s="655"/>
      <c r="S265" s="655"/>
      <c r="T265" s="655"/>
      <c r="U265" s="655"/>
      <c r="V265" s="656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49" t="s">
        <v>144</v>
      </c>
      <c r="B266" s="650"/>
      <c r="C266" s="650"/>
      <c r="D266" s="650"/>
      <c r="E266" s="650"/>
      <c r="F266" s="650"/>
      <c r="G266" s="650"/>
      <c r="H266" s="650"/>
      <c r="I266" s="650"/>
      <c r="J266" s="650"/>
      <c r="K266" s="650"/>
      <c r="L266" s="650"/>
      <c r="M266" s="650"/>
      <c r="N266" s="650"/>
      <c r="O266" s="650"/>
      <c r="P266" s="650"/>
      <c r="Q266" s="650"/>
      <c r="R266" s="650"/>
      <c r="S266" s="650"/>
      <c r="T266" s="650"/>
      <c r="U266" s="650"/>
      <c r="V266" s="650"/>
      <c r="W266" s="650"/>
      <c r="X266" s="650"/>
      <c r="Y266" s="650"/>
      <c r="Z266" s="650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61">
        <v>4680115882935</v>
      </c>
      <c r="E267" s="66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61">
        <v>4680115880764</v>
      </c>
      <c r="E268" s="66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2"/>
      <c r="R268" s="652"/>
      <c r="S268" s="652"/>
      <c r="T268" s="653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0"/>
      <c r="C269" s="650"/>
      <c r="D269" s="650"/>
      <c r="E269" s="650"/>
      <c r="F269" s="650"/>
      <c r="G269" s="650"/>
      <c r="H269" s="650"/>
      <c r="I269" s="650"/>
      <c r="J269" s="650"/>
      <c r="K269" s="650"/>
      <c r="L269" s="650"/>
      <c r="M269" s="650"/>
      <c r="N269" s="650"/>
      <c r="O269" s="658"/>
      <c r="P269" s="654" t="s">
        <v>72</v>
      </c>
      <c r="Q269" s="655"/>
      <c r="R269" s="655"/>
      <c r="S269" s="655"/>
      <c r="T269" s="655"/>
      <c r="U269" s="655"/>
      <c r="V269" s="656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0"/>
      <c r="B270" s="650"/>
      <c r="C270" s="650"/>
      <c r="D270" s="650"/>
      <c r="E270" s="650"/>
      <c r="F270" s="650"/>
      <c r="G270" s="650"/>
      <c r="H270" s="650"/>
      <c r="I270" s="650"/>
      <c r="J270" s="650"/>
      <c r="K270" s="650"/>
      <c r="L270" s="650"/>
      <c r="M270" s="650"/>
      <c r="N270" s="650"/>
      <c r="O270" s="658"/>
      <c r="P270" s="654" t="s">
        <v>72</v>
      </c>
      <c r="Q270" s="655"/>
      <c r="R270" s="655"/>
      <c r="S270" s="655"/>
      <c r="T270" s="655"/>
      <c r="U270" s="655"/>
      <c r="V270" s="656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49" t="s">
        <v>62</v>
      </c>
      <c r="B271" s="650"/>
      <c r="C271" s="650"/>
      <c r="D271" s="650"/>
      <c r="E271" s="650"/>
      <c r="F271" s="650"/>
      <c r="G271" s="650"/>
      <c r="H271" s="650"/>
      <c r="I271" s="650"/>
      <c r="J271" s="650"/>
      <c r="K271" s="650"/>
      <c r="L271" s="650"/>
      <c r="M271" s="650"/>
      <c r="N271" s="650"/>
      <c r="O271" s="650"/>
      <c r="P271" s="650"/>
      <c r="Q271" s="650"/>
      <c r="R271" s="650"/>
      <c r="S271" s="650"/>
      <c r="T271" s="650"/>
      <c r="U271" s="650"/>
      <c r="V271" s="650"/>
      <c r="W271" s="650"/>
      <c r="X271" s="650"/>
      <c r="Y271" s="650"/>
      <c r="Z271" s="650"/>
      <c r="AA271" s="639"/>
      <c r="AB271" s="639"/>
      <c r="AC271" s="639"/>
    </row>
    <row r="272" spans="1:68" ht="27" hidden="1" customHeight="1" x14ac:dyDescent="0.25">
      <c r="A272" s="54" t="s">
        <v>449</v>
      </c>
      <c r="B272" s="54" t="s">
        <v>450</v>
      </c>
      <c r="C272" s="31">
        <v>4301031224</v>
      </c>
      <c r="D272" s="661">
        <v>4680115882683</v>
      </c>
      <c r="E272" s="66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43"/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61">
        <v>4680115882690</v>
      </c>
      <c r="E273" s="66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2"/>
      <c r="R273" s="652"/>
      <c r="S273" s="652"/>
      <c r="T273" s="653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4301031220</v>
      </c>
      <c r="D274" s="661">
        <v>4680115882669</v>
      </c>
      <c r="E274" s="66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2"/>
      <c r="R274" s="652"/>
      <c r="S274" s="652"/>
      <c r="T274" s="653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4301031221</v>
      </c>
      <c r="D275" s="661">
        <v>4680115882676</v>
      </c>
      <c r="E275" s="66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2"/>
      <c r="R275" s="652"/>
      <c r="S275" s="652"/>
      <c r="T275" s="653"/>
      <c r="U275" s="34"/>
      <c r="V275" s="34"/>
      <c r="W275" s="35" t="s">
        <v>67</v>
      </c>
      <c r="X275" s="643"/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4301031223</v>
      </c>
      <c r="D276" s="661">
        <v>4680115884014</v>
      </c>
      <c r="E276" s="66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2"/>
      <c r="R276" s="652"/>
      <c r="S276" s="652"/>
      <c r="T276" s="653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4301031222</v>
      </c>
      <c r="D277" s="661">
        <v>4680115884007</v>
      </c>
      <c r="E277" s="66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43"/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61">
        <v>4680115884038</v>
      </c>
      <c r="E278" s="66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2"/>
      <c r="R278" s="652"/>
      <c r="S278" s="652"/>
      <c r="T278" s="653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4301031225</v>
      </c>
      <c r="D279" s="661">
        <v>4680115884021</v>
      </c>
      <c r="E279" s="66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43"/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idden="1" x14ac:dyDescent="0.2">
      <c r="A280" s="657"/>
      <c r="B280" s="650"/>
      <c r="C280" s="650"/>
      <c r="D280" s="650"/>
      <c r="E280" s="650"/>
      <c r="F280" s="650"/>
      <c r="G280" s="650"/>
      <c r="H280" s="650"/>
      <c r="I280" s="650"/>
      <c r="J280" s="650"/>
      <c r="K280" s="650"/>
      <c r="L280" s="650"/>
      <c r="M280" s="650"/>
      <c r="N280" s="650"/>
      <c r="O280" s="658"/>
      <c r="P280" s="654" t="s">
        <v>72</v>
      </c>
      <c r="Q280" s="655"/>
      <c r="R280" s="655"/>
      <c r="S280" s="655"/>
      <c r="T280" s="655"/>
      <c r="U280" s="655"/>
      <c r="V280" s="656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hidden="1" x14ac:dyDescent="0.2">
      <c r="A281" s="650"/>
      <c r="B281" s="650"/>
      <c r="C281" s="650"/>
      <c r="D281" s="650"/>
      <c r="E281" s="650"/>
      <c r="F281" s="650"/>
      <c r="G281" s="650"/>
      <c r="H281" s="650"/>
      <c r="I281" s="650"/>
      <c r="J281" s="650"/>
      <c r="K281" s="650"/>
      <c r="L281" s="650"/>
      <c r="M281" s="650"/>
      <c r="N281" s="650"/>
      <c r="O281" s="658"/>
      <c r="P281" s="654" t="s">
        <v>72</v>
      </c>
      <c r="Q281" s="655"/>
      <c r="R281" s="655"/>
      <c r="S281" s="655"/>
      <c r="T281" s="655"/>
      <c r="U281" s="655"/>
      <c r="V281" s="656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hidden="1" customHeight="1" x14ac:dyDescent="0.25">
      <c r="A282" s="649" t="s">
        <v>74</v>
      </c>
      <c r="B282" s="650"/>
      <c r="C282" s="650"/>
      <c r="D282" s="650"/>
      <c r="E282" s="650"/>
      <c r="F282" s="650"/>
      <c r="G282" s="650"/>
      <c r="H282" s="650"/>
      <c r="I282" s="650"/>
      <c r="J282" s="650"/>
      <c r="K282" s="650"/>
      <c r="L282" s="650"/>
      <c r="M282" s="650"/>
      <c r="N282" s="650"/>
      <c r="O282" s="650"/>
      <c r="P282" s="650"/>
      <c r="Q282" s="650"/>
      <c r="R282" s="650"/>
      <c r="S282" s="650"/>
      <c r="T282" s="650"/>
      <c r="U282" s="650"/>
      <c r="V282" s="650"/>
      <c r="W282" s="650"/>
      <c r="X282" s="650"/>
      <c r="Y282" s="650"/>
      <c r="Z282" s="650"/>
      <c r="AA282" s="639"/>
      <c r="AB282" s="639"/>
      <c r="AC282" s="639"/>
    </row>
    <row r="283" spans="1:68" ht="27" hidden="1" customHeight="1" x14ac:dyDescent="0.25">
      <c r="A283" s="54" t="s">
        <v>469</v>
      </c>
      <c r="B283" s="54" t="s">
        <v>470</v>
      </c>
      <c r="C283" s="31">
        <v>4301051408</v>
      </c>
      <c r="D283" s="661">
        <v>4680115881594</v>
      </c>
      <c r="E283" s="66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43"/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61">
        <v>4680115881617</v>
      </c>
      <c r="E284" s="66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2"/>
      <c r="R284" s="652"/>
      <c r="S284" s="652"/>
      <c r="T284" s="653"/>
      <c r="U284" s="34"/>
      <c r="V284" s="34"/>
      <c r="W284" s="35" t="s">
        <v>67</v>
      </c>
      <c r="X284" s="643"/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61">
        <v>4680115880573</v>
      </c>
      <c r="E285" s="66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2"/>
      <c r="R285" s="652"/>
      <c r="S285" s="652"/>
      <c r="T285" s="653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4301051407</v>
      </c>
      <c r="D286" s="661">
        <v>4680115882195</v>
      </c>
      <c r="E286" s="66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43"/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61">
        <v>4680115882607</v>
      </c>
      <c r="E287" s="66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61">
        <v>4680115882607</v>
      </c>
      <c r="E288" s="66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2"/>
      <c r="R288" s="652"/>
      <c r="S288" s="652"/>
      <c r="T288" s="653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4301051666</v>
      </c>
      <c r="D289" s="661">
        <v>4680115880092</v>
      </c>
      <c r="E289" s="66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2"/>
      <c r="R289" s="652"/>
      <c r="S289" s="652"/>
      <c r="T289" s="653"/>
      <c r="U289" s="34"/>
      <c r="V289" s="34"/>
      <c r="W289" s="35" t="s">
        <v>67</v>
      </c>
      <c r="X289" s="643"/>
      <c r="Y289" s="644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61">
        <v>4680115889064</v>
      </c>
      <c r="E290" s="66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2"/>
      <c r="R290" s="652"/>
      <c r="S290" s="652"/>
      <c r="T290" s="653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489</v>
      </c>
      <c r="B291" s="54" t="s">
        <v>490</v>
      </c>
      <c r="C291" s="31">
        <v>4301051668</v>
      </c>
      <c r="D291" s="661">
        <v>4680115880221</v>
      </c>
      <c r="E291" s="66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43"/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4301051945</v>
      </c>
      <c r="D292" s="661">
        <v>4680115880504</v>
      </c>
      <c r="E292" s="66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2"/>
      <c r="R292" s="652"/>
      <c r="S292" s="652"/>
      <c r="T292" s="653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4301051410</v>
      </c>
      <c r="D293" s="661">
        <v>4680115882164</v>
      </c>
      <c r="E293" s="66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2"/>
      <c r="R293" s="652"/>
      <c r="S293" s="652"/>
      <c r="T293" s="653"/>
      <c r="U293" s="34"/>
      <c r="V293" s="34"/>
      <c r="W293" s="35" t="s">
        <v>67</v>
      </c>
      <c r="X293" s="643"/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61">
        <v>4680115888340</v>
      </c>
      <c r="E294" s="66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2"/>
      <c r="R294" s="652"/>
      <c r="S294" s="652"/>
      <c r="T294" s="653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idden="1" x14ac:dyDescent="0.2">
      <c r="A295" s="657"/>
      <c r="B295" s="650"/>
      <c r="C295" s="650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8"/>
      <c r="P295" s="654" t="s">
        <v>72</v>
      </c>
      <c r="Q295" s="655"/>
      <c r="R295" s="655"/>
      <c r="S295" s="655"/>
      <c r="T295" s="655"/>
      <c r="U295" s="655"/>
      <c r="V295" s="656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6"/>
      <c r="AB295" s="646"/>
      <c r="AC295" s="646"/>
    </row>
    <row r="296" spans="1:68" hidden="1" x14ac:dyDescent="0.2">
      <c r="A296" s="650"/>
      <c r="B296" s="650"/>
      <c r="C296" s="650"/>
      <c r="D296" s="650"/>
      <c r="E296" s="650"/>
      <c r="F296" s="650"/>
      <c r="G296" s="650"/>
      <c r="H296" s="650"/>
      <c r="I296" s="650"/>
      <c r="J296" s="650"/>
      <c r="K296" s="650"/>
      <c r="L296" s="650"/>
      <c r="M296" s="650"/>
      <c r="N296" s="650"/>
      <c r="O296" s="658"/>
      <c r="P296" s="654" t="s">
        <v>72</v>
      </c>
      <c r="Q296" s="655"/>
      <c r="R296" s="655"/>
      <c r="S296" s="655"/>
      <c r="T296" s="655"/>
      <c r="U296" s="655"/>
      <c r="V296" s="656"/>
      <c r="W296" s="37" t="s">
        <v>67</v>
      </c>
      <c r="X296" s="645">
        <f>IFERROR(SUM(X283:X294),"0")</f>
        <v>0</v>
      </c>
      <c r="Y296" s="645">
        <f>IFERROR(SUM(Y283:Y294),"0")</f>
        <v>0</v>
      </c>
      <c r="Z296" s="37"/>
      <c r="AA296" s="646"/>
      <c r="AB296" s="646"/>
      <c r="AC296" s="646"/>
    </row>
    <row r="297" spans="1:68" ht="14.25" hidden="1" customHeight="1" x14ac:dyDescent="0.25">
      <c r="A297" s="649" t="s">
        <v>162</v>
      </c>
      <c r="B297" s="650"/>
      <c r="C297" s="650"/>
      <c r="D297" s="650"/>
      <c r="E297" s="650"/>
      <c r="F297" s="650"/>
      <c r="G297" s="650"/>
      <c r="H297" s="650"/>
      <c r="I297" s="650"/>
      <c r="J297" s="650"/>
      <c r="K297" s="650"/>
      <c r="L297" s="650"/>
      <c r="M297" s="650"/>
      <c r="N297" s="650"/>
      <c r="O297" s="650"/>
      <c r="P297" s="650"/>
      <c r="Q297" s="650"/>
      <c r="R297" s="650"/>
      <c r="S297" s="650"/>
      <c r="T297" s="650"/>
      <c r="U297" s="650"/>
      <c r="V297" s="650"/>
      <c r="W297" s="650"/>
      <c r="X297" s="650"/>
      <c r="Y297" s="650"/>
      <c r="Z297" s="650"/>
      <c r="AA297" s="639"/>
      <c r="AB297" s="639"/>
      <c r="AC297" s="639"/>
    </row>
    <row r="298" spans="1:68" ht="27" hidden="1" customHeight="1" x14ac:dyDescent="0.25">
      <c r="A298" s="54" t="s">
        <v>500</v>
      </c>
      <c r="B298" s="54" t="s">
        <v>501</v>
      </c>
      <c r="C298" s="31">
        <v>4301060463</v>
      </c>
      <c r="D298" s="661">
        <v>4680115880818</v>
      </c>
      <c r="E298" s="66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61">
        <v>4680115880801</v>
      </c>
      <c r="E299" s="66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0"/>
      <c r="C300" s="650"/>
      <c r="D300" s="650"/>
      <c r="E300" s="650"/>
      <c r="F300" s="650"/>
      <c r="G300" s="650"/>
      <c r="H300" s="650"/>
      <c r="I300" s="650"/>
      <c r="J300" s="650"/>
      <c r="K300" s="650"/>
      <c r="L300" s="650"/>
      <c r="M300" s="650"/>
      <c r="N300" s="650"/>
      <c r="O300" s="658"/>
      <c r="P300" s="654" t="s">
        <v>72</v>
      </c>
      <c r="Q300" s="655"/>
      <c r="R300" s="655"/>
      <c r="S300" s="655"/>
      <c r="T300" s="655"/>
      <c r="U300" s="655"/>
      <c r="V300" s="656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0"/>
      <c r="B301" s="650"/>
      <c r="C301" s="650"/>
      <c r="D301" s="650"/>
      <c r="E301" s="650"/>
      <c r="F301" s="650"/>
      <c r="G301" s="650"/>
      <c r="H301" s="650"/>
      <c r="I301" s="650"/>
      <c r="J301" s="650"/>
      <c r="K301" s="650"/>
      <c r="L301" s="650"/>
      <c r="M301" s="650"/>
      <c r="N301" s="650"/>
      <c r="O301" s="658"/>
      <c r="P301" s="654" t="s">
        <v>72</v>
      </c>
      <c r="Q301" s="655"/>
      <c r="R301" s="655"/>
      <c r="S301" s="655"/>
      <c r="T301" s="655"/>
      <c r="U301" s="655"/>
      <c r="V301" s="656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66" t="s">
        <v>506</v>
      </c>
      <c r="B302" s="650"/>
      <c r="C302" s="650"/>
      <c r="D302" s="650"/>
      <c r="E302" s="650"/>
      <c r="F302" s="650"/>
      <c r="G302" s="650"/>
      <c r="H302" s="650"/>
      <c r="I302" s="650"/>
      <c r="J302" s="650"/>
      <c r="K302" s="650"/>
      <c r="L302" s="650"/>
      <c r="M302" s="650"/>
      <c r="N302" s="650"/>
      <c r="O302" s="650"/>
      <c r="P302" s="650"/>
      <c r="Q302" s="650"/>
      <c r="R302" s="650"/>
      <c r="S302" s="650"/>
      <c r="T302" s="650"/>
      <c r="U302" s="650"/>
      <c r="V302" s="650"/>
      <c r="W302" s="650"/>
      <c r="X302" s="650"/>
      <c r="Y302" s="650"/>
      <c r="Z302" s="650"/>
      <c r="AA302" s="638"/>
      <c r="AB302" s="638"/>
      <c r="AC302" s="638"/>
    </row>
    <row r="303" spans="1:68" ht="14.25" hidden="1" customHeight="1" x14ac:dyDescent="0.25">
      <c r="A303" s="649" t="s">
        <v>111</v>
      </c>
      <c r="B303" s="650"/>
      <c r="C303" s="650"/>
      <c r="D303" s="650"/>
      <c r="E303" s="650"/>
      <c r="F303" s="650"/>
      <c r="G303" s="650"/>
      <c r="H303" s="650"/>
      <c r="I303" s="650"/>
      <c r="J303" s="650"/>
      <c r="K303" s="650"/>
      <c r="L303" s="650"/>
      <c r="M303" s="650"/>
      <c r="N303" s="650"/>
      <c r="O303" s="650"/>
      <c r="P303" s="650"/>
      <c r="Q303" s="650"/>
      <c r="R303" s="650"/>
      <c r="S303" s="650"/>
      <c r="T303" s="650"/>
      <c r="U303" s="650"/>
      <c r="V303" s="650"/>
      <c r="W303" s="650"/>
      <c r="X303" s="650"/>
      <c r="Y303" s="650"/>
      <c r="Z303" s="650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61">
        <v>4680115884137</v>
      </c>
      <c r="E304" s="66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9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2"/>
      <c r="R304" s="652"/>
      <c r="S304" s="652"/>
      <c r="T304" s="653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61">
        <v>4680115884236</v>
      </c>
      <c r="E305" s="66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2"/>
      <c r="R305" s="652"/>
      <c r="S305" s="652"/>
      <c r="T305" s="653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61">
        <v>4680115884175</v>
      </c>
      <c r="E306" s="66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1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2"/>
      <c r="R306" s="652"/>
      <c r="S306" s="652"/>
      <c r="T306" s="653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61">
        <v>4680115884144</v>
      </c>
      <c r="E307" s="66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61">
        <v>4680115886551</v>
      </c>
      <c r="E308" s="66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2"/>
      <c r="R308" s="652"/>
      <c r="S308" s="652"/>
      <c r="T308" s="653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61">
        <v>4680115887282</v>
      </c>
      <c r="E309" s="66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2"/>
      <c r="R309" s="652"/>
      <c r="S309" s="652"/>
      <c r="T309" s="653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61">
        <v>4680115884205</v>
      </c>
      <c r="E310" s="66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2"/>
      <c r="R310" s="652"/>
      <c r="S310" s="652"/>
      <c r="T310" s="653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7"/>
      <c r="B311" s="650"/>
      <c r="C311" s="650"/>
      <c r="D311" s="650"/>
      <c r="E311" s="650"/>
      <c r="F311" s="650"/>
      <c r="G311" s="650"/>
      <c r="H311" s="650"/>
      <c r="I311" s="650"/>
      <c r="J311" s="650"/>
      <c r="K311" s="650"/>
      <c r="L311" s="650"/>
      <c r="M311" s="650"/>
      <c r="N311" s="650"/>
      <c r="O311" s="658"/>
      <c r="P311" s="654" t="s">
        <v>72</v>
      </c>
      <c r="Q311" s="655"/>
      <c r="R311" s="655"/>
      <c r="S311" s="655"/>
      <c r="T311" s="655"/>
      <c r="U311" s="655"/>
      <c r="V311" s="656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0"/>
      <c r="B312" s="650"/>
      <c r="C312" s="650"/>
      <c r="D312" s="650"/>
      <c r="E312" s="650"/>
      <c r="F312" s="650"/>
      <c r="G312" s="650"/>
      <c r="H312" s="650"/>
      <c r="I312" s="650"/>
      <c r="J312" s="650"/>
      <c r="K312" s="650"/>
      <c r="L312" s="650"/>
      <c r="M312" s="650"/>
      <c r="N312" s="650"/>
      <c r="O312" s="658"/>
      <c r="P312" s="654" t="s">
        <v>72</v>
      </c>
      <c r="Q312" s="655"/>
      <c r="R312" s="655"/>
      <c r="S312" s="655"/>
      <c r="T312" s="655"/>
      <c r="U312" s="655"/>
      <c r="V312" s="656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49" t="s">
        <v>144</v>
      </c>
      <c r="B313" s="650"/>
      <c r="C313" s="650"/>
      <c r="D313" s="650"/>
      <c r="E313" s="650"/>
      <c r="F313" s="650"/>
      <c r="G313" s="650"/>
      <c r="H313" s="650"/>
      <c r="I313" s="650"/>
      <c r="J313" s="650"/>
      <c r="K313" s="650"/>
      <c r="L313" s="650"/>
      <c r="M313" s="650"/>
      <c r="N313" s="650"/>
      <c r="O313" s="650"/>
      <c r="P313" s="650"/>
      <c r="Q313" s="650"/>
      <c r="R313" s="650"/>
      <c r="S313" s="650"/>
      <c r="T313" s="650"/>
      <c r="U313" s="650"/>
      <c r="V313" s="650"/>
      <c r="W313" s="650"/>
      <c r="X313" s="650"/>
      <c r="Y313" s="650"/>
      <c r="Z313" s="650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61">
        <v>4680115885981</v>
      </c>
      <c r="E314" s="66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2"/>
      <c r="R314" s="652"/>
      <c r="S314" s="652"/>
      <c r="T314" s="653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0"/>
      <c r="C315" s="650"/>
      <c r="D315" s="650"/>
      <c r="E315" s="650"/>
      <c r="F315" s="650"/>
      <c r="G315" s="650"/>
      <c r="H315" s="650"/>
      <c r="I315" s="650"/>
      <c r="J315" s="650"/>
      <c r="K315" s="650"/>
      <c r="L315" s="650"/>
      <c r="M315" s="650"/>
      <c r="N315" s="650"/>
      <c r="O315" s="658"/>
      <c r="P315" s="654" t="s">
        <v>72</v>
      </c>
      <c r="Q315" s="655"/>
      <c r="R315" s="655"/>
      <c r="S315" s="655"/>
      <c r="T315" s="655"/>
      <c r="U315" s="655"/>
      <c r="V315" s="656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0"/>
      <c r="B316" s="650"/>
      <c r="C316" s="650"/>
      <c r="D316" s="650"/>
      <c r="E316" s="650"/>
      <c r="F316" s="650"/>
      <c r="G316" s="650"/>
      <c r="H316" s="650"/>
      <c r="I316" s="650"/>
      <c r="J316" s="650"/>
      <c r="K316" s="650"/>
      <c r="L316" s="650"/>
      <c r="M316" s="650"/>
      <c r="N316" s="650"/>
      <c r="O316" s="658"/>
      <c r="P316" s="654" t="s">
        <v>72</v>
      </c>
      <c r="Q316" s="655"/>
      <c r="R316" s="655"/>
      <c r="S316" s="655"/>
      <c r="T316" s="655"/>
      <c r="U316" s="655"/>
      <c r="V316" s="656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49" t="s">
        <v>528</v>
      </c>
      <c r="B317" s="650"/>
      <c r="C317" s="650"/>
      <c r="D317" s="650"/>
      <c r="E317" s="650"/>
      <c r="F317" s="650"/>
      <c r="G317" s="650"/>
      <c r="H317" s="650"/>
      <c r="I317" s="650"/>
      <c r="J317" s="650"/>
      <c r="K317" s="650"/>
      <c r="L317" s="650"/>
      <c r="M317" s="650"/>
      <c r="N317" s="650"/>
      <c r="O317" s="650"/>
      <c r="P317" s="650"/>
      <c r="Q317" s="650"/>
      <c r="R317" s="650"/>
      <c r="S317" s="650"/>
      <c r="T317" s="650"/>
      <c r="U317" s="650"/>
      <c r="V317" s="650"/>
      <c r="W317" s="650"/>
      <c r="X317" s="650"/>
      <c r="Y317" s="650"/>
      <c r="Z317" s="650"/>
      <c r="AA317" s="639"/>
      <c r="AB317" s="639"/>
      <c r="AC317" s="639"/>
    </row>
    <row r="318" spans="1:68" ht="27" hidden="1" customHeight="1" x14ac:dyDescent="0.25">
      <c r="A318" s="54" t="s">
        <v>529</v>
      </c>
      <c r="B318" s="54" t="s">
        <v>530</v>
      </c>
      <c r="C318" s="31">
        <v>4301040362</v>
      </c>
      <c r="D318" s="661">
        <v>4680115886803</v>
      </c>
      <c r="E318" s="66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7"/>
      <c r="B319" s="650"/>
      <c r="C319" s="650"/>
      <c r="D319" s="650"/>
      <c r="E319" s="650"/>
      <c r="F319" s="650"/>
      <c r="G319" s="650"/>
      <c r="H319" s="650"/>
      <c r="I319" s="650"/>
      <c r="J319" s="650"/>
      <c r="K319" s="650"/>
      <c r="L319" s="650"/>
      <c r="M319" s="650"/>
      <c r="N319" s="650"/>
      <c r="O319" s="658"/>
      <c r="P319" s="654" t="s">
        <v>72</v>
      </c>
      <c r="Q319" s="655"/>
      <c r="R319" s="655"/>
      <c r="S319" s="655"/>
      <c r="T319" s="655"/>
      <c r="U319" s="655"/>
      <c r="V319" s="656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0"/>
      <c r="B320" s="650"/>
      <c r="C320" s="650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8"/>
      <c r="P320" s="654" t="s">
        <v>72</v>
      </c>
      <c r="Q320" s="655"/>
      <c r="R320" s="655"/>
      <c r="S320" s="655"/>
      <c r="T320" s="655"/>
      <c r="U320" s="655"/>
      <c r="V320" s="656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49" t="s">
        <v>345</v>
      </c>
      <c r="B321" s="650"/>
      <c r="C321" s="650"/>
      <c r="D321" s="650"/>
      <c r="E321" s="650"/>
      <c r="F321" s="650"/>
      <c r="G321" s="650"/>
      <c r="H321" s="650"/>
      <c r="I321" s="650"/>
      <c r="J321" s="650"/>
      <c r="K321" s="650"/>
      <c r="L321" s="650"/>
      <c r="M321" s="650"/>
      <c r="N321" s="650"/>
      <c r="O321" s="650"/>
      <c r="P321" s="650"/>
      <c r="Q321" s="650"/>
      <c r="R321" s="650"/>
      <c r="S321" s="650"/>
      <c r="T321" s="650"/>
      <c r="U321" s="650"/>
      <c r="V321" s="650"/>
      <c r="W321" s="650"/>
      <c r="X321" s="650"/>
      <c r="Y321" s="650"/>
      <c r="Z321" s="650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61">
        <v>4680115886704</v>
      </c>
      <c r="E322" s="66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6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52"/>
      <c r="R322" s="652"/>
      <c r="S322" s="652"/>
      <c r="T322" s="653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61">
        <v>4680115886681</v>
      </c>
      <c r="E323" s="66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61">
        <v>4680115886735</v>
      </c>
      <c r="E324" s="66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2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7"/>
      <c r="B325" s="650"/>
      <c r="C325" s="650"/>
      <c r="D325" s="650"/>
      <c r="E325" s="650"/>
      <c r="F325" s="650"/>
      <c r="G325" s="650"/>
      <c r="H325" s="650"/>
      <c r="I325" s="650"/>
      <c r="J325" s="650"/>
      <c r="K325" s="650"/>
      <c r="L325" s="650"/>
      <c r="M325" s="650"/>
      <c r="N325" s="650"/>
      <c r="O325" s="658"/>
      <c r="P325" s="654" t="s">
        <v>72</v>
      </c>
      <c r="Q325" s="655"/>
      <c r="R325" s="655"/>
      <c r="S325" s="655"/>
      <c r="T325" s="655"/>
      <c r="U325" s="655"/>
      <c r="V325" s="656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0"/>
      <c r="B326" s="650"/>
      <c r="C326" s="650"/>
      <c r="D326" s="650"/>
      <c r="E326" s="650"/>
      <c r="F326" s="650"/>
      <c r="G326" s="650"/>
      <c r="H326" s="650"/>
      <c r="I326" s="650"/>
      <c r="J326" s="650"/>
      <c r="K326" s="650"/>
      <c r="L326" s="650"/>
      <c r="M326" s="650"/>
      <c r="N326" s="650"/>
      <c r="O326" s="658"/>
      <c r="P326" s="654" t="s">
        <v>72</v>
      </c>
      <c r="Q326" s="655"/>
      <c r="R326" s="655"/>
      <c r="S326" s="655"/>
      <c r="T326" s="655"/>
      <c r="U326" s="655"/>
      <c r="V326" s="656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66" t="s">
        <v>539</v>
      </c>
      <c r="B327" s="650"/>
      <c r="C327" s="650"/>
      <c r="D327" s="650"/>
      <c r="E327" s="650"/>
      <c r="F327" s="650"/>
      <c r="G327" s="650"/>
      <c r="H327" s="650"/>
      <c r="I327" s="650"/>
      <c r="J327" s="650"/>
      <c r="K327" s="650"/>
      <c r="L327" s="650"/>
      <c r="M327" s="650"/>
      <c r="N327" s="650"/>
      <c r="O327" s="650"/>
      <c r="P327" s="650"/>
      <c r="Q327" s="650"/>
      <c r="R327" s="650"/>
      <c r="S327" s="650"/>
      <c r="T327" s="650"/>
      <c r="U327" s="650"/>
      <c r="V327" s="650"/>
      <c r="W327" s="650"/>
      <c r="X327" s="650"/>
      <c r="Y327" s="650"/>
      <c r="Z327" s="650"/>
      <c r="AA327" s="638"/>
      <c r="AB327" s="638"/>
      <c r="AC327" s="638"/>
    </row>
    <row r="328" spans="1:68" ht="14.25" hidden="1" customHeight="1" x14ac:dyDescent="0.25">
      <c r="A328" s="649" t="s">
        <v>111</v>
      </c>
      <c r="B328" s="650"/>
      <c r="C328" s="650"/>
      <c r="D328" s="650"/>
      <c r="E328" s="650"/>
      <c r="F328" s="650"/>
      <c r="G328" s="650"/>
      <c r="H328" s="650"/>
      <c r="I328" s="650"/>
      <c r="J328" s="650"/>
      <c r="K328" s="650"/>
      <c r="L328" s="650"/>
      <c r="M328" s="650"/>
      <c r="N328" s="650"/>
      <c r="O328" s="650"/>
      <c r="P328" s="650"/>
      <c r="Q328" s="650"/>
      <c r="R328" s="650"/>
      <c r="S328" s="650"/>
      <c r="T328" s="650"/>
      <c r="U328" s="650"/>
      <c r="V328" s="650"/>
      <c r="W328" s="650"/>
      <c r="X328" s="650"/>
      <c r="Y328" s="650"/>
      <c r="Z328" s="650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61">
        <v>4680115885837</v>
      </c>
      <c r="E329" s="66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61">
        <v>4680115887237</v>
      </c>
      <c r="E330" s="66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2"/>
      <c r="R330" s="652"/>
      <c r="S330" s="652"/>
      <c r="T330" s="653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61">
        <v>4680115885806</v>
      </c>
      <c r="E331" s="66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2"/>
      <c r="R331" s="652"/>
      <c r="S331" s="652"/>
      <c r="T331" s="653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61">
        <v>4680115885844</v>
      </c>
      <c r="E332" s="66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2"/>
      <c r="R332" s="652"/>
      <c r="S332" s="652"/>
      <c r="T332" s="653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61">
        <v>4680115885820</v>
      </c>
      <c r="E333" s="66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2"/>
      <c r="R333" s="652"/>
      <c r="S333" s="652"/>
      <c r="T333" s="653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7"/>
      <c r="B334" s="650"/>
      <c r="C334" s="650"/>
      <c r="D334" s="650"/>
      <c r="E334" s="650"/>
      <c r="F334" s="650"/>
      <c r="G334" s="650"/>
      <c r="H334" s="650"/>
      <c r="I334" s="650"/>
      <c r="J334" s="650"/>
      <c r="K334" s="650"/>
      <c r="L334" s="650"/>
      <c r="M334" s="650"/>
      <c r="N334" s="650"/>
      <c r="O334" s="658"/>
      <c r="P334" s="654" t="s">
        <v>72</v>
      </c>
      <c r="Q334" s="655"/>
      <c r="R334" s="655"/>
      <c r="S334" s="655"/>
      <c r="T334" s="655"/>
      <c r="U334" s="655"/>
      <c r="V334" s="656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0"/>
      <c r="B335" s="650"/>
      <c r="C335" s="650"/>
      <c r="D335" s="650"/>
      <c r="E335" s="650"/>
      <c r="F335" s="650"/>
      <c r="G335" s="650"/>
      <c r="H335" s="650"/>
      <c r="I335" s="650"/>
      <c r="J335" s="650"/>
      <c r="K335" s="650"/>
      <c r="L335" s="650"/>
      <c r="M335" s="650"/>
      <c r="N335" s="650"/>
      <c r="O335" s="658"/>
      <c r="P335" s="654" t="s">
        <v>72</v>
      </c>
      <c r="Q335" s="655"/>
      <c r="R335" s="655"/>
      <c r="S335" s="655"/>
      <c r="T335" s="655"/>
      <c r="U335" s="655"/>
      <c r="V335" s="656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66" t="s">
        <v>555</v>
      </c>
      <c r="B336" s="650"/>
      <c r="C336" s="650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650"/>
      <c r="R336" s="650"/>
      <c r="S336" s="650"/>
      <c r="T336" s="650"/>
      <c r="U336" s="650"/>
      <c r="V336" s="650"/>
      <c r="W336" s="650"/>
      <c r="X336" s="650"/>
      <c r="Y336" s="650"/>
      <c r="Z336" s="650"/>
      <c r="AA336" s="638"/>
      <c r="AB336" s="638"/>
      <c r="AC336" s="638"/>
    </row>
    <row r="337" spans="1:68" ht="14.25" hidden="1" customHeight="1" x14ac:dyDescent="0.25">
      <c r="A337" s="649" t="s">
        <v>74</v>
      </c>
      <c r="B337" s="650"/>
      <c r="C337" s="650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650"/>
      <c r="R337" s="650"/>
      <c r="S337" s="650"/>
      <c r="T337" s="650"/>
      <c r="U337" s="650"/>
      <c r="V337" s="650"/>
      <c r="W337" s="650"/>
      <c r="X337" s="650"/>
      <c r="Y337" s="650"/>
      <c r="Z337" s="650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61">
        <v>4680115886186</v>
      </c>
      <c r="E338" s="66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2"/>
      <c r="R338" s="652"/>
      <c r="S338" s="652"/>
      <c r="T338" s="653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4301051795</v>
      </c>
      <c r="D339" s="661">
        <v>4680115881228</v>
      </c>
      <c r="E339" s="66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2"/>
      <c r="R339" s="652"/>
      <c r="S339" s="652"/>
      <c r="T339" s="653"/>
      <c r="U339" s="34"/>
      <c r="V339" s="34"/>
      <c r="W339" s="35" t="s">
        <v>67</v>
      </c>
      <c r="X339" s="643"/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4301051388</v>
      </c>
      <c r="D340" s="661">
        <v>4680115881211</v>
      </c>
      <c r="E340" s="66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2"/>
      <c r="R340" s="652"/>
      <c r="S340" s="652"/>
      <c r="T340" s="653"/>
      <c r="U340" s="34"/>
      <c r="V340" s="34"/>
      <c r="W340" s="35" t="s">
        <v>67</v>
      </c>
      <c r="X340" s="643"/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7"/>
      <c r="B341" s="650"/>
      <c r="C341" s="650"/>
      <c r="D341" s="650"/>
      <c r="E341" s="650"/>
      <c r="F341" s="650"/>
      <c r="G341" s="650"/>
      <c r="H341" s="650"/>
      <c r="I341" s="650"/>
      <c r="J341" s="650"/>
      <c r="K341" s="650"/>
      <c r="L341" s="650"/>
      <c r="M341" s="650"/>
      <c r="N341" s="650"/>
      <c r="O341" s="658"/>
      <c r="P341" s="654" t="s">
        <v>72</v>
      </c>
      <c r="Q341" s="655"/>
      <c r="R341" s="655"/>
      <c r="S341" s="655"/>
      <c r="T341" s="655"/>
      <c r="U341" s="655"/>
      <c r="V341" s="656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hidden="1" x14ac:dyDescent="0.2">
      <c r="A342" s="650"/>
      <c r="B342" s="650"/>
      <c r="C342" s="650"/>
      <c r="D342" s="650"/>
      <c r="E342" s="650"/>
      <c r="F342" s="650"/>
      <c r="G342" s="650"/>
      <c r="H342" s="650"/>
      <c r="I342" s="650"/>
      <c r="J342" s="650"/>
      <c r="K342" s="650"/>
      <c r="L342" s="650"/>
      <c r="M342" s="650"/>
      <c r="N342" s="650"/>
      <c r="O342" s="658"/>
      <c r="P342" s="654" t="s">
        <v>72</v>
      </c>
      <c r="Q342" s="655"/>
      <c r="R342" s="655"/>
      <c r="S342" s="655"/>
      <c r="T342" s="655"/>
      <c r="U342" s="655"/>
      <c r="V342" s="656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hidden="1" customHeight="1" x14ac:dyDescent="0.25">
      <c r="A343" s="666" t="s">
        <v>564</v>
      </c>
      <c r="B343" s="650"/>
      <c r="C343" s="650"/>
      <c r="D343" s="650"/>
      <c r="E343" s="650"/>
      <c r="F343" s="650"/>
      <c r="G343" s="650"/>
      <c r="H343" s="650"/>
      <c r="I343" s="650"/>
      <c r="J343" s="650"/>
      <c r="K343" s="650"/>
      <c r="L343" s="650"/>
      <c r="M343" s="650"/>
      <c r="N343" s="650"/>
      <c r="O343" s="650"/>
      <c r="P343" s="650"/>
      <c r="Q343" s="650"/>
      <c r="R343" s="650"/>
      <c r="S343" s="650"/>
      <c r="T343" s="650"/>
      <c r="U343" s="650"/>
      <c r="V343" s="650"/>
      <c r="W343" s="650"/>
      <c r="X343" s="650"/>
      <c r="Y343" s="650"/>
      <c r="Z343" s="650"/>
      <c r="AA343" s="638"/>
      <c r="AB343" s="638"/>
      <c r="AC343" s="638"/>
    </row>
    <row r="344" spans="1:68" ht="14.25" hidden="1" customHeight="1" x14ac:dyDescent="0.25">
      <c r="A344" s="649" t="s">
        <v>62</v>
      </c>
      <c r="B344" s="650"/>
      <c r="C344" s="650"/>
      <c r="D344" s="650"/>
      <c r="E344" s="650"/>
      <c r="F344" s="650"/>
      <c r="G344" s="650"/>
      <c r="H344" s="650"/>
      <c r="I344" s="650"/>
      <c r="J344" s="650"/>
      <c r="K344" s="650"/>
      <c r="L344" s="650"/>
      <c r="M344" s="650"/>
      <c r="N344" s="650"/>
      <c r="O344" s="650"/>
      <c r="P344" s="650"/>
      <c r="Q344" s="650"/>
      <c r="R344" s="650"/>
      <c r="S344" s="650"/>
      <c r="T344" s="650"/>
      <c r="U344" s="650"/>
      <c r="V344" s="650"/>
      <c r="W344" s="650"/>
      <c r="X344" s="650"/>
      <c r="Y344" s="650"/>
      <c r="Z344" s="650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61">
        <v>4680115888319</v>
      </c>
      <c r="E345" s="66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2"/>
      <c r="R345" s="652"/>
      <c r="S345" s="652"/>
      <c r="T345" s="653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61">
        <v>4680115884700</v>
      </c>
      <c r="E346" s="66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85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2"/>
      <c r="R346" s="652"/>
      <c r="S346" s="652"/>
      <c r="T346" s="653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61">
        <v>4680115880344</v>
      </c>
      <c r="E347" s="66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2"/>
      <c r="R347" s="652"/>
      <c r="S347" s="652"/>
      <c r="T347" s="653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61">
        <v>4680115886919</v>
      </c>
      <c r="E348" s="66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61">
        <v>4680115883970</v>
      </c>
      <c r="E349" s="66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7"/>
      <c r="B350" s="650"/>
      <c r="C350" s="650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8"/>
      <c r="P350" s="654" t="s">
        <v>72</v>
      </c>
      <c r="Q350" s="655"/>
      <c r="R350" s="655"/>
      <c r="S350" s="655"/>
      <c r="T350" s="655"/>
      <c r="U350" s="655"/>
      <c r="V350" s="656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0"/>
      <c r="B351" s="650"/>
      <c r="C351" s="650"/>
      <c r="D351" s="650"/>
      <c r="E351" s="650"/>
      <c r="F351" s="650"/>
      <c r="G351" s="650"/>
      <c r="H351" s="650"/>
      <c r="I351" s="650"/>
      <c r="J351" s="650"/>
      <c r="K351" s="650"/>
      <c r="L351" s="650"/>
      <c r="M351" s="650"/>
      <c r="N351" s="650"/>
      <c r="O351" s="658"/>
      <c r="P351" s="654" t="s">
        <v>72</v>
      </c>
      <c r="Q351" s="655"/>
      <c r="R351" s="655"/>
      <c r="S351" s="655"/>
      <c r="T351" s="655"/>
      <c r="U351" s="655"/>
      <c r="V351" s="656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49" t="s">
        <v>74</v>
      </c>
      <c r="B352" s="650"/>
      <c r="C352" s="650"/>
      <c r="D352" s="650"/>
      <c r="E352" s="650"/>
      <c r="F352" s="650"/>
      <c r="G352" s="650"/>
      <c r="H352" s="650"/>
      <c r="I352" s="650"/>
      <c r="J352" s="650"/>
      <c r="K352" s="650"/>
      <c r="L352" s="650"/>
      <c r="M352" s="650"/>
      <c r="N352" s="650"/>
      <c r="O352" s="650"/>
      <c r="P352" s="650"/>
      <c r="Q352" s="650"/>
      <c r="R352" s="650"/>
      <c r="S352" s="650"/>
      <c r="T352" s="650"/>
      <c r="U352" s="650"/>
      <c r="V352" s="650"/>
      <c r="W352" s="650"/>
      <c r="X352" s="650"/>
      <c r="Y352" s="650"/>
      <c r="Z352" s="650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61">
        <v>4680115884618</v>
      </c>
      <c r="E353" s="66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2"/>
      <c r="R353" s="652"/>
      <c r="S353" s="652"/>
      <c r="T353" s="653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61">
        <v>4680115887114</v>
      </c>
      <c r="E354" s="66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2"/>
      <c r="R354" s="652"/>
      <c r="S354" s="652"/>
      <c r="T354" s="653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7"/>
      <c r="B355" s="650"/>
      <c r="C355" s="650"/>
      <c r="D355" s="650"/>
      <c r="E355" s="650"/>
      <c r="F355" s="650"/>
      <c r="G355" s="650"/>
      <c r="H355" s="650"/>
      <c r="I355" s="650"/>
      <c r="J355" s="650"/>
      <c r="K355" s="650"/>
      <c r="L355" s="650"/>
      <c r="M355" s="650"/>
      <c r="N355" s="650"/>
      <c r="O355" s="658"/>
      <c r="P355" s="654" t="s">
        <v>72</v>
      </c>
      <c r="Q355" s="655"/>
      <c r="R355" s="655"/>
      <c r="S355" s="655"/>
      <c r="T355" s="655"/>
      <c r="U355" s="655"/>
      <c r="V355" s="656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0"/>
      <c r="B356" s="650"/>
      <c r="C356" s="650"/>
      <c r="D356" s="650"/>
      <c r="E356" s="650"/>
      <c r="F356" s="650"/>
      <c r="G356" s="650"/>
      <c r="H356" s="650"/>
      <c r="I356" s="650"/>
      <c r="J356" s="650"/>
      <c r="K356" s="650"/>
      <c r="L356" s="650"/>
      <c r="M356" s="650"/>
      <c r="N356" s="650"/>
      <c r="O356" s="658"/>
      <c r="P356" s="654" t="s">
        <v>72</v>
      </c>
      <c r="Q356" s="655"/>
      <c r="R356" s="655"/>
      <c r="S356" s="655"/>
      <c r="T356" s="655"/>
      <c r="U356" s="655"/>
      <c r="V356" s="656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66" t="s">
        <v>585</v>
      </c>
      <c r="B357" s="650"/>
      <c r="C357" s="650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38"/>
      <c r="AB357" s="638"/>
      <c r="AC357" s="638"/>
    </row>
    <row r="358" spans="1:68" ht="14.25" hidden="1" customHeight="1" x14ac:dyDescent="0.25">
      <c r="A358" s="649" t="s">
        <v>111</v>
      </c>
      <c r="B358" s="650"/>
      <c r="C358" s="650"/>
      <c r="D358" s="650"/>
      <c r="E358" s="650"/>
      <c r="F358" s="650"/>
      <c r="G358" s="650"/>
      <c r="H358" s="650"/>
      <c r="I358" s="650"/>
      <c r="J358" s="650"/>
      <c r="K358" s="650"/>
      <c r="L358" s="650"/>
      <c r="M358" s="650"/>
      <c r="N358" s="650"/>
      <c r="O358" s="650"/>
      <c r="P358" s="650"/>
      <c r="Q358" s="650"/>
      <c r="R358" s="650"/>
      <c r="S358" s="650"/>
      <c r="T358" s="650"/>
      <c r="U358" s="650"/>
      <c r="V358" s="650"/>
      <c r="W358" s="650"/>
      <c r="X358" s="650"/>
      <c r="Y358" s="650"/>
      <c r="Z358" s="650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61">
        <v>4680115887947</v>
      </c>
      <c r="E359" s="66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588</v>
      </c>
      <c r="B360" s="54" t="s">
        <v>589</v>
      </c>
      <c r="C360" s="31">
        <v>4301012325</v>
      </c>
      <c r="D360" s="661">
        <v>4680115887978</v>
      </c>
      <c r="E360" s="66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2"/>
      <c r="R360" s="652"/>
      <c r="S360" s="652"/>
      <c r="T360" s="653"/>
      <c r="U360" s="34"/>
      <c r="V360" s="34"/>
      <c r="W360" s="35" t="s">
        <v>67</v>
      </c>
      <c r="X360" s="643"/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61">
        <v>4680115887992</v>
      </c>
      <c r="E361" s="66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2"/>
      <c r="R361" s="652"/>
      <c r="S361" s="652"/>
      <c r="T361" s="653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657"/>
      <c r="B362" s="650"/>
      <c r="C362" s="650"/>
      <c r="D362" s="650"/>
      <c r="E362" s="650"/>
      <c r="F362" s="650"/>
      <c r="G362" s="650"/>
      <c r="H362" s="650"/>
      <c r="I362" s="650"/>
      <c r="J362" s="650"/>
      <c r="K362" s="650"/>
      <c r="L362" s="650"/>
      <c r="M362" s="650"/>
      <c r="N362" s="650"/>
      <c r="O362" s="658"/>
      <c r="P362" s="654" t="s">
        <v>72</v>
      </c>
      <c r="Q362" s="655"/>
      <c r="R362" s="655"/>
      <c r="S362" s="655"/>
      <c r="T362" s="655"/>
      <c r="U362" s="655"/>
      <c r="V362" s="656"/>
      <c r="W362" s="37" t="s">
        <v>73</v>
      </c>
      <c r="X362" s="645">
        <f>IFERROR(X359/H359,"0")+IFERROR(X360/H360,"0")+IFERROR(X361/H361,"0")</f>
        <v>0</v>
      </c>
      <c r="Y362" s="645">
        <f>IFERROR(Y359/H359,"0")+IFERROR(Y360/H360,"0")+IFERROR(Y361/H361,"0")</f>
        <v>0</v>
      </c>
      <c r="Z362" s="645">
        <f>IFERROR(IF(Z359="",0,Z359),"0")+IFERROR(IF(Z360="",0,Z360),"0")+IFERROR(IF(Z361="",0,Z361),"0")</f>
        <v>0</v>
      </c>
      <c r="AA362" s="646"/>
      <c r="AB362" s="646"/>
      <c r="AC362" s="646"/>
    </row>
    <row r="363" spans="1:68" hidden="1" x14ac:dyDescent="0.2">
      <c r="A363" s="650"/>
      <c r="B363" s="650"/>
      <c r="C363" s="650"/>
      <c r="D363" s="650"/>
      <c r="E363" s="650"/>
      <c r="F363" s="650"/>
      <c r="G363" s="650"/>
      <c r="H363" s="650"/>
      <c r="I363" s="650"/>
      <c r="J363" s="650"/>
      <c r="K363" s="650"/>
      <c r="L363" s="650"/>
      <c r="M363" s="650"/>
      <c r="N363" s="650"/>
      <c r="O363" s="658"/>
      <c r="P363" s="654" t="s">
        <v>72</v>
      </c>
      <c r="Q363" s="655"/>
      <c r="R363" s="655"/>
      <c r="S363" s="655"/>
      <c r="T363" s="655"/>
      <c r="U363" s="655"/>
      <c r="V363" s="656"/>
      <c r="W363" s="37" t="s">
        <v>67</v>
      </c>
      <c r="X363" s="645">
        <f>IFERROR(SUM(X359:X361),"0")</f>
        <v>0</v>
      </c>
      <c r="Y363" s="645">
        <f>IFERROR(SUM(Y359:Y361),"0")</f>
        <v>0</v>
      </c>
      <c r="Z363" s="37"/>
      <c r="AA363" s="646"/>
      <c r="AB363" s="646"/>
      <c r="AC363" s="646"/>
    </row>
    <row r="364" spans="1:68" ht="16.5" hidden="1" customHeight="1" x14ac:dyDescent="0.25">
      <c r="A364" s="666" t="s">
        <v>594</v>
      </c>
      <c r="B364" s="650"/>
      <c r="C364" s="650"/>
      <c r="D364" s="650"/>
      <c r="E364" s="650"/>
      <c r="F364" s="650"/>
      <c r="G364" s="650"/>
      <c r="H364" s="650"/>
      <c r="I364" s="650"/>
      <c r="J364" s="650"/>
      <c r="K364" s="650"/>
      <c r="L364" s="650"/>
      <c r="M364" s="650"/>
      <c r="N364" s="650"/>
      <c r="O364" s="650"/>
      <c r="P364" s="650"/>
      <c r="Q364" s="650"/>
      <c r="R364" s="650"/>
      <c r="S364" s="650"/>
      <c r="T364" s="650"/>
      <c r="U364" s="650"/>
      <c r="V364" s="650"/>
      <c r="W364" s="650"/>
      <c r="X364" s="650"/>
      <c r="Y364" s="650"/>
      <c r="Z364" s="650"/>
      <c r="AA364" s="638"/>
      <c r="AB364" s="638"/>
      <c r="AC364" s="638"/>
    </row>
    <row r="365" spans="1:68" ht="14.25" hidden="1" customHeight="1" x14ac:dyDescent="0.25">
      <c r="A365" s="649" t="s">
        <v>111</v>
      </c>
      <c r="B365" s="650"/>
      <c r="C365" s="650"/>
      <c r="D365" s="650"/>
      <c r="E365" s="650"/>
      <c r="F365" s="650"/>
      <c r="G365" s="650"/>
      <c r="H365" s="650"/>
      <c r="I365" s="650"/>
      <c r="J365" s="650"/>
      <c r="K365" s="650"/>
      <c r="L365" s="650"/>
      <c r="M365" s="650"/>
      <c r="N365" s="650"/>
      <c r="O365" s="650"/>
      <c r="P365" s="650"/>
      <c r="Q365" s="650"/>
      <c r="R365" s="650"/>
      <c r="S365" s="650"/>
      <c r="T365" s="650"/>
      <c r="U365" s="650"/>
      <c r="V365" s="650"/>
      <c r="W365" s="650"/>
      <c r="X365" s="650"/>
      <c r="Y365" s="650"/>
      <c r="Z365" s="650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61">
        <v>4680115887190</v>
      </c>
      <c r="E366" s="66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7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61">
        <v>4680115887138</v>
      </c>
      <c r="E367" s="66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2"/>
      <c r="R367" s="652"/>
      <c r="S367" s="652"/>
      <c r="T367" s="653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61">
        <v>4680115885554</v>
      </c>
      <c r="E368" s="66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2"/>
      <c r="R368" s="652"/>
      <c r="S368" s="652"/>
      <c r="T368" s="653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61">
        <v>4680115887220</v>
      </c>
      <c r="E369" s="66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2"/>
      <c r="R369" s="652"/>
      <c r="S369" s="652"/>
      <c r="T369" s="653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61">
        <v>4680115885608</v>
      </c>
      <c r="E370" s="66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2"/>
      <c r="R370" s="652"/>
      <c r="S370" s="652"/>
      <c r="T370" s="653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7"/>
      <c r="B371" s="650"/>
      <c r="C371" s="650"/>
      <c r="D371" s="650"/>
      <c r="E371" s="650"/>
      <c r="F371" s="650"/>
      <c r="G371" s="650"/>
      <c r="H371" s="650"/>
      <c r="I371" s="650"/>
      <c r="J371" s="650"/>
      <c r="K371" s="650"/>
      <c r="L371" s="650"/>
      <c r="M371" s="650"/>
      <c r="N371" s="650"/>
      <c r="O371" s="658"/>
      <c r="P371" s="654" t="s">
        <v>72</v>
      </c>
      <c r="Q371" s="655"/>
      <c r="R371" s="655"/>
      <c r="S371" s="655"/>
      <c r="T371" s="655"/>
      <c r="U371" s="655"/>
      <c r="V371" s="656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0"/>
      <c r="B372" s="650"/>
      <c r="C372" s="650"/>
      <c r="D372" s="650"/>
      <c r="E372" s="650"/>
      <c r="F372" s="650"/>
      <c r="G372" s="650"/>
      <c r="H372" s="650"/>
      <c r="I372" s="650"/>
      <c r="J372" s="650"/>
      <c r="K372" s="650"/>
      <c r="L372" s="650"/>
      <c r="M372" s="650"/>
      <c r="N372" s="650"/>
      <c r="O372" s="658"/>
      <c r="P372" s="654" t="s">
        <v>72</v>
      </c>
      <c r="Q372" s="655"/>
      <c r="R372" s="655"/>
      <c r="S372" s="655"/>
      <c r="T372" s="655"/>
      <c r="U372" s="655"/>
      <c r="V372" s="656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49" t="s">
        <v>62</v>
      </c>
      <c r="B373" s="650"/>
      <c r="C373" s="650"/>
      <c r="D373" s="650"/>
      <c r="E373" s="650"/>
      <c r="F373" s="650"/>
      <c r="G373" s="650"/>
      <c r="H373" s="650"/>
      <c r="I373" s="650"/>
      <c r="J373" s="650"/>
      <c r="K373" s="650"/>
      <c r="L373" s="650"/>
      <c r="M373" s="650"/>
      <c r="N373" s="650"/>
      <c r="O373" s="650"/>
      <c r="P373" s="650"/>
      <c r="Q373" s="650"/>
      <c r="R373" s="650"/>
      <c r="S373" s="650"/>
      <c r="T373" s="650"/>
      <c r="U373" s="650"/>
      <c r="V373" s="650"/>
      <c r="W373" s="650"/>
      <c r="X373" s="650"/>
      <c r="Y373" s="650"/>
      <c r="Z373" s="650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61">
        <v>4607091387193</v>
      </c>
      <c r="E374" s="66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2"/>
      <c r="R374" s="652"/>
      <c r="S374" s="652"/>
      <c r="T374" s="653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61">
        <v>4607091387230</v>
      </c>
      <c r="E375" s="66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79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2"/>
      <c r="R375" s="652"/>
      <c r="S375" s="652"/>
      <c r="T375" s="653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61">
        <v>4607091387292</v>
      </c>
      <c r="E376" s="66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2"/>
      <c r="R376" s="652"/>
      <c r="S376" s="652"/>
      <c r="T376" s="653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61">
        <v>4607091387285</v>
      </c>
      <c r="E377" s="66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9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2"/>
      <c r="R377" s="652"/>
      <c r="S377" s="652"/>
      <c r="T377" s="653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61">
        <v>4607091389845</v>
      </c>
      <c r="E378" s="66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2"/>
      <c r="R378" s="652"/>
      <c r="S378" s="652"/>
      <c r="T378" s="653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61">
        <v>4680115887442</v>
      </c>
      <c r="E379" s="66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2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2"/>
      <c r="R379" s="652"/>
      <c r="S379" s="652"/>
      <c r="T379" s="653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61">
        <v>4607091383836</v>
      </c>
      <c r="E380" s="66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2"/>
      <c r="R380" s="652"/>
      <c r="S380" s="652"/>
      <c r="T380" s="653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idden="1" x14ac:dyDescent="0.2">
      <c r="A381" s="657"/>
      <c r="B381" s="650"/>
      <c r="C381" s="650"/>
      <c r="D381" s="650"/>
      <c r="E381" s="650"/>
      <c r="F381" s="650"/>
      <c r="G381" s="650"/>
      <c r="H381" s="650"/>
      <c r="I381" s="650"/>
      <c r="J381" s="650"/>
      <c r="K381" s="650"/>
      <c r="L381" s="650"/>
      <c r="M381" s="650"/>
      <c r="N381" s="650"/>
      <c r="O381" s="658"/>
      <c r="P381" s="654" t="s">
        <v>72</v>
      </c>
      <c r="Q381" s="655"/>
      <c r="R381" s="655"/>
      <c r="S381" s="655"/>
      <c r="T381" s="655"/>
      <c r="U381" s="655"/>
      <c r="V381" s="656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0"/>
      <c r="B382" s="650"/>
      <c r="C382" s="650"/>
      <c r="D382" s="650"/>
      <c r="E382" s="650"/>
      <c r="F382" s="650"/>
      <c r="G382" s="650"/>
      <c r="H382" s="650"/>
      <c r="I382" s="650"/>
      <c r="J382" s="650"/>
      <c r="K382" s="650"/>
      <c r="L382" s="650"/>
      <c r="M382" s="650"/>
      <c r="N382" s="650"/>
      <c r="O382" s="658"/>
      <c r="P382" s="654" t="s">
        <v>72</v>
      </c>
      <c r="Q382" s="655"/>
      <c r="R382" s="655"/>
      <c r="S382" s="655"/>
      <c r="T382" s="655"/>
      <c r="U382" s="655"/>
      <c r="V382" s="656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49" t="s">
        <v>74</v>
      </c>
      <c r="B383" s="650"/>
      <c r="C383" s="650"/>
      <c r="D383" s="650"/>
      <c r="E383" s="650"/>
      <c r="F383" s="650"/>
      <c r="G383" s="650"/>
      <c r="H383" s="650"/>
      <c r="I383" s="650"/>
      <c r="J383" s="650"/>
      <c r="K383" s="650"/>
      <c r="L383" s="650"/>
      <c r="M383" s="650"/>
      <c r="N383" s="650"/>
      <c r="O383" s="650"/>
      <c r="P383" s="650"/>
      <c r="Q383" s="650"/>
      <c r="R383" s="650"/>
      <c r="S383" s="650"/>
      <c r="T383" s="650"/>
      <c r="U383" s="650"/>
      <c r="V383" s="650"/>
      <c r="W383" s="650"/>
      <c r="X383" s="650"/>
      <c r="Y383" s="650"/>
      <c r="Z383" s="650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61">
        <v>4607091387766</v>
      </c>
      <c r="E384" s="66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2"/>
      <c r="R384" s="652"/>
      <c r="S384" s="652"/>
      <c r="T384" s="653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61">
        <v>4607091387957</v>
      </c>
      <c r="E385" s="66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61">
        <v>4607091387964</v>
      </c>
      <c r="E386" s="66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2"/>
      <c r="R386" s="652"/>
      <c r="S386" s="652"/>
      <c r="T386" s="653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61">
        <v>4680115884588</v>
      </c>
      <c r="E387" s="66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2"/>
      <c r="R387" s="652"/>
      <c r="S387" s="652"/>
      <c r="T387" s="653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7"/>
      <c r="B388" s="650"/>
      <c r="C388" s="650"/>
      <c r="D388" s="650"/>
      <c r="E388" s="650"/>
      <c r="F388" s="650"/>
      <c r="G388" s="650"/>
      <c r="H388" s="650"/>
      <c r="I388" s="650"/>
      <c r="J388" s="650"/>
      <c r="K388" s="650"/>
      <c r="L388" s="650"/>
      <c r="M388" s="650"/>
      <c r="N388" s="650"/>
      <c r="O388" s="658"/>
      <c r="P388" s="654" t="s">
        <v>72</v>
      </c>
      <c r="Q388" s="655"/>
      <c r="R388" s="655"/>
      <c r="S388" s="655"/>
      <c r="T388" s="655"/>
      <c r="U388" s="655"/>
      <c r="V388" s="656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0"/>
      <c r="B389" s="650"/>
      <c r="C389" s="650"/>
      <c r="D389" s="650"/>
      <c r="E389" s="650"/>
      <c r="F389" s="650"/>
      <c r="G389" s="650"/>
      <c r="H389" s="650"/>
      <c r="I389" s="650"/>
      <c r="J389" s="650"/>
      <c r="K389" s="650"/>
      <c r="L389" s="650"/>
      <c r="M389" s="650"/>
      <c r="N389" s="650"/>
      <c r="O389" s="658"/>
      <c r="P389" s="654" t="s">
        <v>72</v>
      </c>
      <c r="Q389" s="655"/>
      <c r="R389" s="655"/>
      <c r="S389" s="655"/>
      <c r="T389" s="655"/>
      <c r="U389" s="655"/>
      <c r="V389" s="656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49" t="s">
        <v>162</v>
      </c>
      <c r="B390" s="650"/>
      <c r="C390" s="650"/>
      <c r="D390" s="650"/>
      <c r="E390" s="650"/>
      <c r="F390" s="650"/>
      <c r="G390" s="650"/>
      <c r="H390" s="650"/>
      <c r="I390" s="650"/>
      <c r="J390" s="650"/>
      <c r="K390" s="650"/>
      <c r="L390" s="650"/>
      <c r="M390" s="650"/>
      <c r="N390" s="650"/>
      <c r="O390" s="650"/>
      <c r="P390" s="650"/>
      <c r="Q390" s="650"/>
      <c r="R390" s="650"/>
      <c r="S390" s="650"/>
      <c r="T390" s="650"/>
      <c r="U390" s="650"/>
      <c r="V390" s="650"/>
      <c r="W390" s="650"/>
      <c r="X390" s="650"/>
      <c r="Y390" s="650"/>
      <c r="Z390" s="650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61">
        <v>4607091380880</v>
      </c>
      <c r="E391" s="66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2"/>
      <c r="R391" s="652"/>
      <c r="S391" s="652"/>
      <c r="T391" s="653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4301060406</v>
      </c>
      <c r="D392" s="661">
        <v>4607091384482</v>
      </c>
      <c r="E392" s="66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2"/>
      <c r="R392" s="652"/>
      <c r="S392" s="652"/>
      <c r="T392" s="653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61">
        <v>4607091380897</v>
      </c>
      <c r="E393" s="66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2"/>
      <c r="R393" s="652"/>
      <c r="S393" s="652"/>
      <c r="T393" s="653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57"/>
      <c r="B394" s="650"/>
      <c r="C394" s="650"/>
      <c r="D394" s="650"/>
      <c r="E394" s="650"/>
      <c r="F394" s="650"/>
      <c r="G394" s="650"/>
      <c r="H394" s="650"/>
      <c r="I394" s="650"/>
      <c r="J394" s="650"/>
      <c r="K394" s="650"/>
      <c r="L394" s="650"/>
      <c r="M394" s="650"/>
      <c r="N394" s="650"/>
      <c r="O394" s="658"/>
      <c r="P394" s="654" t="s">
        <v>72</v>
      </c>
      <c r="Q394" s="655"/>
      <c r="R394" s="655"/>
      <c r="S394" s="655"/>
      <c r="T394" s="655"/>
      <c r="U394" s="655"/>
      <c r="V394" s="656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hidden="1" x14ac:dyDescent="0.2">
      <c r="A395" s="650"/>
      <c r="B395" s="650"/>
      <c r="C395" s="650"/>
      <c r="D395" s="650"/>
      <c r="E395" s="650"/>
      <c r="F395" s="650"/>
      <c r="G395" s="650"/>
      <c r="H395" s="650"/>
      <c r="I395" s="650"/>
      <c r="J395" s="650"/>
      <c r="K395" s="650"/>
      <c r="L395" s="650"/>
      <c r="M395" s="650"/>
      <c r="N395" s="650"/>
      <c r="O395" s="658"/>
      <c r="P395" s="654" t="s">
        <v>72</v>
      </c>
      <c r="Q395" s="655"/>
      <c r="R395" s="655"/>
      <c r="S395" s="655"/>
      <c r="T395" s="655"/>
      <c r="U395" s="655"/>
      <c r="V395" s="656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hidden="1" customHeight="1" x14ac:dyDescent="0.25">
      <c r="A396" s="649" t="s">
        <v>278</v>
      </c>
      <c r="B396" s="650"/>
      <c r="C396" s="650"/>
      <c r="D396" s="650"/>
      <c r="E396" s="650"/>
      <c r="F396" s="650"/>
      <c r="G396" s="650"/>
      <c r="H396" s="650"/>
      <c r="I396" s="650"/>
      <c r="J396" s="650"/>
      <c r="K396" s="650"/>
      <c r="L396" s="650"/>
      <c r="M396" s="650"/>
      <c r="N396" s="650"/>
      <c r="O396" s="650"/>
      <c r="P396" s="650"/>
      <c r="Q396" s="650"/>
      <c r="R396" s="650"/>
      <c r="S396" s="650"/>
      <c r="T396" s="650"/>
      <c r="U396" s="650"/>
      <c r="V396" s="650"/>
      <c r="W396" s="650"/>
      <c r="X396" s="650"/>
      <c r="Y396" s="650"/>
      <c r="Z396" s="650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61">
        <v>4607091388381</v>
      </c>
      <c r="E397" s="66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2"/>
      <c r="R397" s="652"/>
      <c r="S397" s="652"/>
      <c r="T397" s="653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61">
        <v>4607091388374</v>
      </c>
      <c r="E398" s="66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2"/>
      <c r="R398" s="652"/>
      <c r="S398" s="652"/>
      <c r="T398" s="653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61">
        <v>4607091383102</v>
      </c>
      <c r="E399" s="66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2"/>
      <c r="R399" s="652"/>
      <c r="S399" s="652"/>
      <c r="T399" s="653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4301030233</v>
      </c>
      <c r="D400" s="661">
        <v>4607091388404</v>
      </c>
      <c r="E400" s="66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2"/>
      <c r="R400" s="652"/>
      <c r="S400" s="652"/>
      <c r="T400" s="653"/>
      <c r="U400" s="34"/>
      <c r="V400" s="34"/>
      <c r="W400" s="35" t="s">
        <v>67</v>
      </c>
      <c r="X400" s="643"/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7"/>
      <c r="B401" s="650"/>
      <c r="C401" s="650"/>
      <c r="D401" s="650"/>
      <c r="E401" s="650"/>
      <c r="F401" s="650"/>
      <c r="G401" s="650"/>
      <c r="H401" s="650"/>
      <c r="I401" s="650"/>
      <c r="J401" s="650"/>
      <c r="K401" s="650"/>
      <c r="L401" s="650"/>
      <c r="M401" s="650"/>
      <c r="N401" s="650"/>
      <c r="O401" s="658"/>
      <c r="P401" s="654" t="s">
        <v>72</v>
      </c>
      <c r="Q401" s="655"/>
      <c r="R401" s="655"/>
      <c r="S401" s="655"/>
      <c r="T401" s="655"/>
      <c r="U401" s="655"/>
      <c r="V401" s="656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hidden="1" x14ac:dyDescent="0.2">
      <c r="A402" s="650"/>
      <c r="B402" s="650"/>
      <c r="C402" s="650"/>
      <c r="D402" s="650"/>
      <c r="E402" s="650"/>
      <c r="F402" s="650"/>
      <c r="G402" s="650"/>
      <c r="H402" s="650"/>
      <c r="I402" s="650"/>
      <c r="J402" s="650"/>
      <c r="K402" s="650"/>
      <c r="L402" s="650"/>
      <c r="M402" s="650"/>
      <c r="N402" s="650"/>
      <c r="O402" s="658"/>
      <c r="P402" s="654" t="s">
        <v>72</v>
      </c>
      <c r="Q402" s="655"/>
      <c r="R402" s="655"/>
      <c r="S402" s="655"/>
      <c r="T402" s="655"/>
      <c r="U402" s="655"/>
      <c r="V402" s="656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hidden="1" customHeight="1" x14ac:dyDescent="0.25">
      <c r="A403" s="649" t="s">
        <v>657</v>
      </c>
      <c r="B403" s="650"/>
      <c r="C403" s="650"/>
      <c r="D403" s="650"/>
      <c r="E403" s="650"/>
      <c r="F403" s="650"/>
      <c r="G403" s="650"/>
      <c r="H403" s="650"/>
      <c r="I403" s="650"/>
      <c r="J403" s="650"/>
      <c r="K403" s="650"/>
      <c r="L403" s="650"/>
      <c r="M403" s="650"/>
      <c r="N403" s="650"/>
      <c r="O403" s="650"/>
      <c r="P403" s="650"/>
      <c r="Q403" s="650"/>
      <c r="R403" s="650"/>
      <c r="S403" s="650"/>
      <c r="T403" s="650"/>
      <c r="U403" s="650"/>
      <c r="V403" s="650"/>
      <c r="W403" s="650"/>
      <c r="X403" s="650"/>
      <c r="Y403" s="650"/>
      <c r="Z403" s="650"/>
      <c r="AA403" s="639"/>
      <c r="AB403" s="639"/>
      <c r="AC403" s="639"/>
    </row>
    <row r="404" spans="1:68" ht="16.5" hidden="1" customHeight="1" x14ac:dyDescent="0.25">
      <c r="A404" s="54" t="s">
        <v>658</v>
      </c>
      <c r="B404" s="54" t="s">
        <v>659</v>
      </c>
      <c r="C404" s="31">
        <v>4301180007</v>
      </c>
      <c r="D404" s="661">
        <v>4680115881808</v>
      </c>
      <c r="E404" s="66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2"/>
      <c r="R404" s="652"/>
      <c r="S404" s="652"/>
      <c r="T404" s="653"/>
      <c r="U404" s="34"/>
      <c r="V404" s="34"/>
      <c r="W404" s="35" t="s">
        <v>67</v>
      </c>
      <c r="X404" s="643"/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4301180006</v>
      </c>
      <c r="D405" s="661">
        <v>4680115881822</v>
      </c>
      <c r="E405" s="66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2"/>
      <c r="R405" s="652"/>
      <c r="S405" s="652"/>
      <c r="T405" s="653"/>
      <c r="U405" s="34"/>
      <c r="V405" s="34"/>
      <c r="W405" s="35" t="s">
        <v>67</v>
      </c>
      <c r="X405" s="643"/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664</v>
      </c>
      <c r="B406" s="54" t="s">
        <v>665</v>
      </c>
      <c r="C406" s="31">
        <v>4301180001</v>
      </c>
      <c r="D406" s="661">
        <v>4680115880016</v>
      </c>
      <c r="E406" s="66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57"/>
      <c r="B407" s="650"/>
      <c r="C407" s="650"/>
      <c r="D407" s="650"/>
      <c r="E407" s="650"/>
      <c r="F407" s="650"/>
      <c r="G407" s="650"/>
      <c r="H407" s="650"/>
      <c r="I407" s="650"/>
      <c r="J407" s="650"/>
      <c r="K407" s="650"/>
      <c r="L407" s="650"/>
      <c r="M407" s="650"/>
      <c r="N407" s="650"/>
      <c r="O407" s="658"/>
      <c r="P407" s="654" t="s">
        <v>72</v>
      </c>
      <c r="Q407" s="655"/>
      <c r="R407" s="655"/>
      <c r="S407" s="655"/>
      <c r="T407" s="655"/>
      <c r="U407" s="655"/>
      <c r="V407" s="656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0"/>
      <c r="B408" s="650"/>
      <c r="C408" s="650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8"/>
      <c r="P408" s="654" t="s">
        <v>72</v>
      </c>
      <c r="Q408" s="655"/>
      <c r="R408" s="655"/>
      <c r="S408" s="655"/>
      <c r="T408" s="655"/>
      <c r="U408" s="655"/>
      <c r="V408" s="656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49" t="s">
        <v>666</v>
      </c>
      <c r="B409" s="650"/>
      <c r="C409" s="650"/>
      <c r="D409" s="650"/>
      <c r="E409" s="650"/>
      <c r="F409" s="650"/>
      <c r="G409" s="650"/>
      <c r="H409" s="650"/>
      <c r="I409" s="650"/>
      <c r="J409" s="650"/>
      <c r="K409" s="650"/>
      <c r="L409" s="650"/>
      <c r="M409" s="650"/>
      <c r="N409" s="650"/>
      <c r="O409" s="650"/>
      <c r="P409" s="650"/>
      <c r="Q409" s="650"/>
      <c r="R409" s="650"/>
      <c r="S409" s="650"/>
      <c r="T409" s="650"/>
      <c r="U409" s="650"/>
      <c r="V409" s="650"/>
      <c r="W409" s="650"/>
      <c r="X409" s="650"/>
      <c r="Y409" s="650"/>
      <c r="Z409" s="650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61">
        <v>4680115888678</v>
      </c>
      <c r="E410" s="66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2"/>
      <c r="R410" s="652"/>
      <c r="S410" s="652"/>
      <c r="T410" s="653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61">
        <v>4680115888654</v>
      </c>
      <c r="E411" s="66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61">
        <v>4680115888753</v>
      </c>
      <c r="E412" s="66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7"/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8"/>
      <c r="P413" s="654" t="s">
        <v>72</v>
      </c>
      <c r="Q413" s="655"/>
      <c r="R413" s="655"/>
      <c r="S413" s="655"/>
      <c r="T413" s="655"/>
      <c r="U413" s="655"/>
      <c r="V413" s="656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0"/>
      <c r="B414" s="650"/>
      <c r="C414" s="650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8"/>
      <c r="P414" s="654" t="s">
        <v>72</v>
      </c>
      <c r="Q414" s="655"/>
      <c r="R414" s="655"/>
      <c r="S414" s="655"/>
      <c r="T414" s="655"/>
      <c r="U414" s="655"/>
      <c r="V414" s="656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6" t="s">
        <v>675</v>
      </c>
      <c r="B415" s="650"/>
      <c r="C415" s="650"/>
      <c r="D415" s="650"/>
      <c r="E415" s="650"/>
      <c r="F415" s="650"/>
      <c r="G415" s="650"/>
      <c r="H415" s="650"/>
      <c r="I415" s="650"/>
      <c r="J415" s="650"/>
      <c r="K415" s="650"/>
      <c r="L415" s="650"/>
      <c r="M415" s="650"/>
      <c r="N415" s="650"/>
      <c r="O415" s="650"/>
      <c r="P415" s="650"/>
      <c r="Q415" s="650"/>
      <c r="R415" s="650"/>
      <c r="S415" s="650"/>
      <c r="T415" s="650"/>
      <c r="U415" s="650"/>
      <c r="V415" s="650"/>
      <c r="W415" s="650"/>
      <c r="X415" s="650"/>
      <c r="Y415" s="650"/>
      <c r="Z415" s="650"/>
      <c r="AA415" s="638"/>
      <c r="AB415" s="638"/>
      <c r="AC415" s="638"/>
    </row>
    <row r="416" spans="1:68" ht="14.25" hidden="1" customHeight="1" x14ac:dyDescent="0.25">
      <c r="A416" s="649" t="s">
        <v>74</v>
      </c>
      <c r="B416" s="650"/>
      <c r="C416" s="650"/>
      <c r="D416" s="650"/>
      <c r="E416" s="650"/>
      <c r="F416" s="650"/>
      <c r="G416" s="650"/>
      <c r="H416" s="650"/>
      <c r="I416" s="650"/>
      <c r="J416" s="650"/>
      <c r="K416" s="650"/>
      <c r="L416" s="650"/>
      <c r="M416" s="650"/>
      <c r="N416" s="650"/>
      <c r="O416" s="650"/>
      <c r="P416" s="650"/>
      <c r="Q416" s="650"/>
      <c r="R416" s="650"/>
      <c r="S416" s="650"/>
      <c r="T416" s="650"/>
      <c r="U416" s="650"/>
      <c r="V416" s="650"/>
      <c r="W416" s="650"/>
      <c r="X416" s="650"/>
      <c r="Y416" s="650"/>
      <c r="Z416" s="650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61">
        <v>4680115889415</v>
      </c>
      <c r="E417" s="66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61">
        <v>4680115889422</v>
      </c>
      <c r="E418" s="66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4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7"/>
      <c r="B419" s="650"/>
      <c r="C419" s="650"/>
      <c r="D419" s="650"/>
      <c r="E419" s="650"/>
      <c r="F419" s="650"/>
      <c r="G419" s="650"/>
      <c r="H419" s="650"/>
      <c r="I419" s="650"/>
      <c r="J419" s="650"/>
      <c r="K419" s="650"/>
      <c r="L419" s="650"/>
      <c r="M419" s="650"/>
      <c r="N419" s="650"/>
      <c r="O419" s="658"/>
      <c r="P419" s="654" t="s">
        <v>72</v>
      </c>
      <c r="Q419" s="655"/>
      <c r="R419" s="655"/>
      <c r="S419" s="655"/>
      <c r="T419" s="655"/>
      <c r="U419" s="655"/>
      <c r="V419" s="656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0"/>
      <c r="B420" s="650"/>
      <c r="C420" s="650"/>
      <c r="D420" s="650"/>
      <c r="E420" s="650"/>
      <c r="F420" s="650"/>
      <c r="G420" s="650"/>
      <c r="H420" s="650"/>
      <c r="I420" s="650"/>
      <c r="J420" s="650"/>
      <c r="K420" s="650"/>
      <c r="L420" s="650"/>
      <c r="M420" s="650"/>
      <c r="N420" s="650"/>
      <c r="O420" s="658"/>
      <c r="P420" s="654" t="s">
        <v>72</v>
      </c>
      <c r="Q420" s="655"/>
      <c r="R420" s="655"/>
      <c r="S420" s="655"/>
      <c r="T420" s="655"/>
      <c r="U420" s="655"/>
      <c r="V420" s="656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6" t="s">
        <v>682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38"/>
      <c r="AB421" s="638"/>
      <c r="AC421" s="638"/>
    </row>
    <row r="422" spans="1:68" ht="14.25" hidden="1" customHeight="1" x14ac:dyDescent="0.25">
      <c r="A422" s="649" t="s">
        <v>74</v>
      </c>
      <c r="B422" s="650"/>
      <c r="C422" s="650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650"/>
      <c r="R422" s="650"/>
      <c r="S422" s="650"/>
      <c r="T422" s="650"/>
      <c r="U422" s="650"/>
      <c r="V422" s="650"/>
      <c r="W422" s="650"/>
      <c r="X422" s="650"/>
      <c r="Y422" s="650"/>
      <c r="Z422" s="650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61">
        <v>4607091387919</v>
      </c>
      <c r="E423" s="66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2"/>
      <c r="R423" s="652"/>
      <c r="S423" s="652"/>
      <c r="T423" s="653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686</v>
      </c>
      <c r="B424" s="54" t="s">
        <v>687</v>
      </c>
      <c r="C424" s="31">
        <v>4301051461</v>
      </c>
      <c r="D424" s="661">
        <v>4680115883604</v>
      </c>
      <c r="E424" s="66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43"/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689</v>
      </c>
      <c r="B425" s="54" t="s">
        <v>690</v>
      </c>
      <c r="C425" s="31">
        <v>4301051864</v>
      </c>
      <c r="D425" s="661">
        <v>4680115883567</v>
      </c>
      <c r="E425" s="66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1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43"/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7"/>
      <c r="B426" s="650"/>
      <c r="C426" s="650"/>
      <c r="D426" s="650"/>
      <c r="E426" s="650"/>
      <c r="F426" s="650"/>
      <c r="G426" s="650"/>
      <c r="H426" s="650"/>
      <c r="I426" s="650"/>
      <c r="J426" s="650"/>
      <c r="K426" s="650"/>
      <c r="L426" s="650"/>
      <c r="M426" s="650"/>
      <c r="N426" s="650"/>
      <c r="O426" s="658"/>
      <c r="P426" s="654" t="s">
        <v>72</v>
      </c>
      <c r="Q426" s="655"/>
      <c r="R426" s="655"/>
      <c r="S426" s="655"/>
      <c r="T426" s="655"/>
      <c r="U426" s="655"/>
      <c r="V426" s="656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0"/>
      <c r="B427" s="650"/>
      <c r="C427" s="650"/>
      <c r="D427" s="650"/>
      <c r="E427" s="650"/>
      <c r="F427" s="650"/>
      <c r="G427" s="650"/>
      <c r="H427" s="650"/>
      <c r="I427" s="650"/>
      <c r="J427" s="650"/>
      <c r="K427" s="650"/>
      <c r="L427" s="650"/>
      <c r="M427" s="650"/>
      <c r="N427" s="650"/>
      <c r="O427" s="658"/>
      <c r="P427" s="654" t="s">
        <v>72</v>
      </c>
      <c r="Q427" s="655"/>
      <c r="R427" s="655"/>
      <c r="S427" s="655"/>
      <c r="T427" s="655"/>
      <c r="U427" s="655"/>
      <c r="V427" s="656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47" t="s">
        <v>692</v>
      </c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8"/>
      <c r="P428" s="648"/>
      <c r="Q428" s="648"/>
      <c r="R428" s="648"/>
      <c r="S428" s="648"/>
      <c r="T428" s="648"/>
      <c r="U428" s="648"/>
      <c r="V428" s="648"/>
      <c r="W428" s="648"/>
      <c r="X428" s="648"/>
      <c r="Y428" s="648"/>
      <c r="Z428" s="648"/>
      <c r="AA428" s="48"/>
      <c r="AB428" s="48"/>
      <c r="AC428" s="48"/>
    </row>
    <row r="429" spans="1:68" ht="16.5" hidden="1" customHeight="1" x14ac:dyDescent="0.25">
      <c r="A429" s="666" t="s">
        <v>693</v>
      </c>
      <c r="B429" s="650"/>
      <c r="C429" s="650"/>
      <c r="D429" s="650"/>
      <c r="E429" s="650"/>
      <c r="F429" s="650"/>
      <c r="G429" s="650"/>
      <c r="H429" s="650"/>
      <c r="I429" s="650"/>
      <c r="J429" s="650"/>
      <c r="K429" s="650"/>
      <c r="L429" s="650"/>
      <c r="M429" s="650"/>
      <c r="N429" s="650"/>
      <c r="O429" s="650"/>
      <c r="P429" s="650"/>
      <c r="Q429" s="650"/>
      <c r="R429" s="650"/>
      <c r="S429" s="650"/>
      <c r="T429" s="650"/>
      <c r="U429" s="650"/>
      <c r="V429" s="650"/>
      <c r="W429" s="650"/>
      <c r="X429" s="650"/>
      <c r="Y429" s="650"/>
      <c r="Z429" s="650"/>
      <c r="AA429" s="638"/>
      <c r="AB429" s="638"/>
      <c r="AC429" s="638"/>
    </row>
    <row r="430" spans="1:68" ht="14.25" hidden="1" customHeight="1" x14ac:dyDescent="0.25">
      <c r="A430" s="649" t="s">
        <v>111</v>
      </c>
      <c r="B430" s="650"/>
      <c r="C430" s="650"/>
      <c r="D430" s="650"/>
      <c r="E430" s="650"/>
      <c r="F430" s="650"/>
      <c r="G430" s="650"/>
      <c r="H430" s="650"/>
      <c r="I430" s="650"/>
      <c r="J430" s="650"/>
      <c r="K430" s="650"/>
      <c r="L430" s="650"/>
      <c r="M430" s="650"/>
      <c r="N430" s="650"/>
      <c r="O430" s="650"/>
      <c r="P430" s="650"/>
      <c r="Q430" s="650"/>
      <c r="R430" s="650"/>
      <c r="S430" s="650"/>
      <c r="T430" s="650"/>
      <c r="U430" s="650"/>
      <c r="V430" s="650"/>
      <c r="W430" s="650"/>
      <c r="X430" s="650"/>
      <c r="Y430" s="650"/>
      <c r="Z430" s="650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61">
        <v>4680115888401</v>
      </c>
      <c r="E431" s="66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2"/>
      <c r="R431" s="652"/>
      <c r="S431" s="652"/>
      <c r="T431" s="653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hidden="1" customHeight="1" x14ac:dyDescent="0.25">
      <c r="A432" s="54" t="s">
        <v>697</v>
      </c>
      <c r="B432" s="54" t="s">
        <v>698</v>
      </c>
      <c r="C432" s="31">
        <v>4301011869</v>
      </c>
      <c r="D432" s="661">
        <v>4680115884847</v>
      </c>
      <c r="E432" s="66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2"/>
      <c r="R432" s="652"/>
      <c r="S432" s="652"/>
      <c r="T432" s="653"/>
      <c r="U432" s="34"/>
      <c r="V432" s="34"/>
      <c r="W432" s="35" t="s">
        <v>67</v>
      </c>
      <c r="X432" s="643"/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61">
        <v>4680115884854</v>
      </c>
      <c r="E433" s="66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10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2"/>
      <c r="R433" s="652"/>
      <c r="S433" s="652"/>
      <c r="T433" s="653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4301011867</v>
      </c>
      <c r="D434" s="661">
        <v>4680115884830</v>
      </c>
      <c r="E434" s="66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2"/>
      <c r="R434" s="652"/>
      <c r="S434" s="652"/>
      <c r="T434" s="653"/>
      <c r="U434" s="34"/>
      <c r="V434" s="34"/>
      <c r="W434" s="35" t="s">
        <v>67</v>
      </c>
      <c r="X434" s="643"/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61">
        <v>4680115889231</v>
      </c>
      <c r="E435" s="66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2"/>
      <c r="R435" s="652"/>
      <c r="S435" s="652"/>
      <c r="T435" s="653"/>
      <c r="U435" s="34"/>
      <c r="V435" s="34"/>
      <c r="W435" s="35" t="s">
        <v>67</v>
      </c>
      <c r="X435" s="643">
        <v>150</v>
      </c>
      <c r="Y435" s="644">
        <f t="shared" si="63"/>
        <v>150</v>
      </c>
      <c r="Z435" s="36">
        <f>IFERROR(IF(Y435=0,"",ROUNDUP(Y435/H435,0)*0.02175),"")</f>
        <v>0.21749999999999997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154.69999999999999</v>
      </c>
      <c r="BN435" s="64">
        <f t="shared" si="65"/>
        <v>154.69999999999999</v>
      </c>
      <c r="BO435" s="64">
        <f t="shared" si="66"/>
        <v>0.20833333333333331</v>
      </c>
      <c r="BP435" s="64">
        <f t="shared" si="67"/>
        <v>0.20833333333333331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61">
        <v>4680115882638</v>
      </c>
      <c r="E436" s="66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2"/>
      <c r="R436" s="652"/>
      <c r="S436" s="652"/>
      <c r="T436" s="653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61">
        <v>4680115884922</v>
      </c>
      <c r="E437" s="66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2"/>
      <c r="R437" s="652"/>
      <c r="S437" s="652"/>
      <c r="T437" s="653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61">
        <v>4680115884861</v>
      </c>
      <c r="E438" s="66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2"/>
      <c r="R438" s="652"/>
      <c r="S438" s="652"/>
      <c r="T438" s="653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7"/>
      <c r="B439" s="650"/>
      <c r="C439" s="650"/>
      <c r="D439" s="650"/>
      <c r="E439" s="650"/>
      <c r="F439" s="650"/>
      <c r="G439" s="650"/>
      <c r="H439" s="650"/>
      <c r="I439" s="650"/>
      <c r="J439" s="650"/>
      <c r="K439" s="650"/>
      <c r="L439" s="650"/>
      <c r="M439" s="650"/>
      <c r="N439" s="650"/>
      <c r="O439" s="658"/>
      <c r="P439" s="654" t="s">
        <v>72</v>
      </c>
      <c r="Q439" s="655"/>
      <c r="R439" s="655"/>
      <c r="S439" s="655"/>
      <c r="T439" s="655"/>
      <c r="U439" s="655"/>
      <c r="V439" s="656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10</v>
      </c>
      <c r="Y439" s="645">
        <f>IFERROR(Y431/H431,"0")+IFERROR(Y432/H432,"0")+IFERROR(Y433/H433,"0")+IFERROR(Y434/H434,"0")+IFERROR(Y435/H435,"0")+IFERROR(Y436/H436,"0")+IFERROR(Y437/H437,"0")+IFERROR(Y438/H438,"0")</f>
        <v>10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0.21749999999999997</v>
      </c>
      <c r="AA439" s="646"/>
      <c r="AB439" s="646"/>
      <c r="AC439" s="646"/>
    </row>
    <row r="440" spans="1:68" x14ac:dyDescent="0.2">
      <c r="A440" s="650"/>
      <c r="B440" s="650"/>
      <c r="C440" s="650"/>
      <c r="D440" s="650"/>
      <c r="E440" s="650"/>
      <c r="F440" s="650"/>
      <c r="G440" s="650"/>
      <c r="H440" s="650"/>
      <c r="I440" s="650"/>
      <c r="J440" s="650"/>
      <c r="K440" s="650"/>
      <c r="L440" s="650"/>
      <c r="M440" s="650"/>
      <c r="N440" s="650"/>
      <c r="O440" s="658"/>
      <c r="P440" s="654" t="s">
        <v>72</v>
      </c>
      <c r="Q440" s="655"/>
      <c r="R440" s="655"/>
      <c r="S440" s="655"/>
      <c r="T440" s="655"/>
      <c r="U440" s="655"/>
      <c r="V440" s="656"/>
      <c r="W440" s="37" t="s">
        <v>67</v>
      </c>
      <c r="X440" s="645">
        <f>IFERROR(SUM(X431:X438),"0")</f>
        <v>150</v>
      </c>
      <c r="Y440" s="645">
        <f>IFERROR(SUM(Y431:Y438),"0")</f>
        <v>150</v>
      </c>
      <c r="Z440" s="37"/>
      <c r="AA440" s="646"/>
      <c r="AB440" s="646"/>
      <c r="AC440" s="646"/>
    </row>
    <row r="441" spans="1:68" ht="14.25" hidden="1" customHeight="1" x14ac:dyDescent="0.25">
      <c r="A441" s="649" t="s">
        <v>144</v>
      </c>
      <c r="B441" s="650"/>
      <c r="C441" s="650"/>
      <c r="D441" s="650"/>
      <c r="E441" s="650"/>
      <c r="F441" s="650"/>
      <c r="G441" s="650"/>
      <c r="H441" s="650"/>
      <c r="I441" s="650"/>
      <c r="J441" s="650"/>
      <c r="K441" s="650"/>
      <c r="L441" s="650"/>
      <c r="M441" s="650"/>
      <c r="N441" s="650"/>
      <c r="O441" s="650"/>
      <c r="P441" s="650"/>
      <c r="Q441" s="650"/>
      <c r="R441" s="650"/>
      <c r="S441" s="650"/>
      <c r="T441" s="650"/>
      <c r="U441" s="650"/>
      <c r="V441" s="650"/>
      <c r="W441" s="650"/>
      <c r="X441" s="650"/>
      <c r="Y441" s="650"/>
      <c r="Z441" s="650"/>
      <c r="AA441" s="639"/>
      <c r="AB441" s="639"/>
      <c r="AC441" s="639"/>
    </row>
    <row r="442" spans="1:68" ht="27" hidden="1" customHeight="1" x14ac:dyDescent="0.25">
      <c r="A442" s="54" t="s">
        <v>718</v>
      </c>
      <c r="B442" s="54" t="s">
        <v>719</v>
      </c>
      <c r="C442" s="31">
        <v>4301020178</v>
      </c>
      <c r="D442" s="661">
        <v>4607091383980</v>
      </c>
      <c r="E442" s="66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61">
        <v>4680115888425</v>
      </c>
      <c r="E443" s="66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61">
        <v>4607091384178</v>
      </c>
      <c r="E444" s="66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2"/>
      <c r="R444" s="652"/>
      <c r="S444" s="652"/>
      <c r="T444" s="653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57"/>
      <c r="B445" s="650"/>
      <c r="C445" s="650"/>
      <c r="D445" s="650"/>
      <c r="E445" s="650"/>
      <c r="F445" s="650"/>
      <c r="G445" s="650"/>
      <c r="H445" s="650"/>
      <c r="I445" s="650"/>
      <c r="J445" s="650"/>
      <c r="K445" s="650"/>
      <c r="L445" s="650"/>
      <c r="M445" s="650"/>
      <c r="N445" s="650"/>
      <c r="O445" s="658"/>
      <c r="P445" s="654" t="s">
        <v>72</v>
      </c>
      <c r="Q445" s="655"/>
      <c r="R445" s="655"/>
      <c r="S445" s="655"/>
      <c r="T445" s="655"/>
      <c r="U445" s="655"/>
      <c r="V445" s="656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hidden="1" x14ac:dyDescent="0.2">
      <c r="A446" s="650"/>
      <c r="B446" s="650"/>
      <c r="C446" s="650"/>
      <c r="D446" s="650"/>
      <c r="E446" s="650"/>
      <c r="F446" s="650"/>
      <c r="G446" s="650"/>
      <c r="H446" s="650"/>
      <c r="I446" s="650"/>
      <c r="J446" s="650"/>
      <c r="K446" s="650"/>
      <c r="L446" s="650"/>
      <c r="M446" s="650"/>
      <c r="N446" s="650"/>
      <c r="O446" s="658"/>
      <c r="P446" s="654" t="s">
        <v>72</v>
      </c>
      <c r="Q446" s="655"/>
      <c r="R446" s="655"/>
      <c r="S446" s="655"/>
      <c r="T446" s="655"/>
      <c r="U446" s="655"/>
      <c r="V446" s="656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hidden="1" customHeight="1" x14ac:dyDescent="0.25">
      <c r="A447" s="649" t="s">
        <v>74</v>
      </c>
      <c r="B447" s="650"/>
      <c r="C447" s="650"/>
      <c r="D447" s="650"/>
      <c r="E447" s="650"/>
      <c r="F447" s="650"/>
      <c r="G447" s="650"/>
      <c r="H447" s="650"/>
      <c r="I447" s="650"/>
      <c r="J447" s="650"/>
      <c r="K447" s="650"/>
      <c r="L447" s="650"/>
      <c r="M447" s="650"/>
      <c r="N447" s="650"/>
      <c r="O447" s="650"/>
      <c r="P447" s="650"/>
      <c r="Q447" s="650"/>
      <c r="R447" s="650"/>
      <c r="S447" s="650"/>
      <c r="T447" s="650"/>
      <c r="U447" s="650"/>
      <c r="V447" s="650"/>
      <c r="W447" s="650"/>
      <c r="X447" s="650"/>
      <c r="Y447" s="650"/>
      <c r="Z447" s="650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61">
        <v>4607091383928</v>
      </c>
      <c r="E448" s="66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97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2"/>
      <c r="R448" s="652"/>
      <c r="S448" s="652"/>
      <c r="T448" s="653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61">
        <v>4607091384260</v>
      </c>
      <c r="E449" s="66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2"/>
      <c r="R449" s="652"/>
      <c r="S449" s="652"/>
      <c r="T449" s="653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61">
        <v>4680115889538</v>
      </c>
      <c r="E450" s="66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2"/>
      <c r="R450" s="652"/>
      <c r="S450" s="652"/>
      <c r="T450" s="653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7"/>
      <c r="B451" s="650"/>
      <c r="C451" s="650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8"/>
      <c r="P451" s="654" t="s">
        <v>72</v>
      </c>
      <c r="Q451" s="655"/>
      <c r="R451" s="655"/>
      <c r="S451" s="655"/>
      <c r="T451" s="655"/>
      <c r="U451" s="655"/>
      <c r="V451" s="656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0"/>
      <c r="B452" s="650"/>
      <c r="C452" s="650"/>
      <c r="D452" s="650"/>
      <c r="E452" s="650"/>
      <c r="F452" s="650"/>
      <c r="G452" s="650"/>
      <c r="H452" s="650"/>
      <c r="I452" s="650"/>
      <c r="J452" s="650"/>
      <c r="K452" s="650"/>
      <c r="L452" s="650"/>
      <c r="M452" s="650"/>
      <c r="N452" s="650"/>
      <c r="O452" s="658"/>
      <c r="P452" s="654" t="s">
        <v>72</v>
      </c>
      <c r="Q452" s="655"/>
      <c r="R452" s="655"/>
      <c r="S452" s="655"/>
      <c r="T452" s="655"/>
      <c r="U452" s="655"/>
      <c r="V452" s="656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49" t="s">
        <v>162</v>
      </c>
      <c r="B453" s="650"/>
      <c r="C453" s="650"/>
      <c r="D453" s="650"/>
      <c r="E453" s="650"/>
      <c r="F453" s="650"/>
      <c r="G453" s="650"/>
      <c r="H453" s="650"/>
      <c r="I453" s="650"/>
      <c r="J453" s="650"/>
      <c r="K453" s="650"/>
      <c r="L453" s="650"/>
      <c r="M453" s="650"/>
      <c r="N453" s="650"/>
      <c r="O453" s="650"/>
      <c r="P453" s="650"/>
      <c r="Q453" s="650"/>
      <c r="R453" s="650"/>
      <c r="S453" s="650"/>
      <c r="T453" s="650"/>
      <c r="U453" s="650"/>
      <c r="V453" s="650"/>
      <c r="W453" s="650"/>
      <c r="X453" s="650"/>
      <c r="Y453" s="650"/>
      <c r="Z453" s="650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61">
        <v>4680115889545</v>
      </c>
      <c r="E454" s="66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7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2"/>
      <c r="R454" s="652"/>
      <c r="S454" s="652"/>
      <c r="T454" s="653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61">
        <v>4607091384673</v>
      </c>
      <c r="E455" s="66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2"/>
      <c r="R455" s="652"/>
      <c r="S455" s="652"/>
      <c r="T455" s="653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7"/>
      <c r="B456" s="650"/>
      <c r="C456" s="650"/>
      <c r="D456" s="650"/>
      <c r="E456" s="650"/>
      <c r="F456" s="650"/>
      <c r="G456" s="650"/>
      <c r="H456" s="650"/>
      <c r="I456" s="650"/>
      <c r="J456" s="650"/>
      <c r="K456" s="650"/>
      <c r="L456" s="650"/>
      <c r="M456" s="650"/>
      <c r="N456" s="650"/>
      <c r="O456" s="658"/>
      <c r="P456" s="654" t="s">
        <v>72</v>
      </c>
      <c r="Q456" s="655"/>
      <c r="R456" s="655"/>
      <c r="S456" s="655"/>
      <c r="T456" s="655"/>
      <c r="U456" s="655"/>
      <c r="V456" s="656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0"/>
      <c r="B457" s="650"/>
      <c r="C457" s="650"/>
      <c r="D457" s="650"/>
      <c r="E457" s="650"/>
      <c r="F457" s="650"/>
      <c r="G457" s="650"/>
      <c r="H457" s="650"/>
      <c r="I457" s="650"/>
      <c r="J457" s="650"/>
      <c r="K457" s="650"/>
      <c r="L457" s="650"/>
      <c r="M457" s="650"/>
      <c r="N457" s="650"/>
      <c r="O457" s="658"/>
      <c r="P457" s="654" t="s">
        <v>72</v>
      </c>
      <c r="Q457" s="655"/>
      <c r="R457" s="655"/>
      <c r="S457" s="655"/>
      <c r="T457" s="655"/>
      <c r="U457" s="655"/>
      <c r="V457" s="656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66" t="s">
        <v>742</v>
      </c>
      <c r="B458" s="650"/>
      <c r="C458" s="650"/>
      <c r="D458" s="650"/>
      <c r="E458" s="650"/>
      <c r="F458" s="650"/>
      <c r="G458" s="650"/>
      <c r="H458" s="650"/>
      <c r="I458" s="650"/>
      <c r="J458" s="650"/>
      <c r="K458" s="650"/>
      <c r="L458" s="650"/>
      <c r="M458" s="650"/>
      <c r="N458" s="650"/>
      <c r="O458" s="650"/>
      <c r="P458" s="650"/>
      <c r="Q458" s="650"/>
      <c r="R458" s="650"/>
      <c r="S458" s="650"/>
      <c r="T458" s="650"/>
      <c r="U458" s="650"/>
      <c r="V458" s="650"/>
      <c r="W458" s="650"/>
      <c r="X458" s="650"/>
      <c r="Y458" s="650"/>
      <c r="Z458" s="650"/>
      <c r="AA458" s="638"/>
      <c r="AB458" s="638"/>
      <c r="AC458" s="638"/>
    </row>
    <row r="459" spans="1:68" ht="14.25" hidden="1" customHeight="1" x14ac:dyDescent="0.25">
      <c r="A459" s="649" t="s">
        <v>111</v>
      </c>
      <c r="B459" s="650"/>
      <c r="C459" s="650"/>
      <c r="D459" s="650"/>
      <c r="E459" s="650"/>
      <c r="F459" s="650"/>
      <c r="G459" s="650"/>
      <c r="H459" s="650"/>
      <c r="I459" s="650"/>
      <c r="J459" s="650"/>
      <c r="K459" s="650"/>
      <c r="L459" s="650"/>
      <c r="M459" s="650"/>
      <c r="N459" s="650"/>
      <c r="O459" s="650"/>
      <c r="P459" s="650"/>
      <c r="Q459" s="650"/>
      <c r="R459" s="650"/>
      <c r="S459" s="650"/>
      <c r="T459" s="650"/>
      <c r="U459" s="650"/>
      <c r="V459" s="650"/>
      <c r="W459" s="650"/>
      <c r="X459" s="650"/>
      <c r="Y459" s="650"/>
      <c r="Z459" s="650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61">
        <v>4680115884885</v>
      </c>
      <c r="E460" s="66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2"/>
      <c r="R460" s="652"/>
      <c r="S460" s="652"/>
      <c r="T460" s="653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61">
        <v>4680115884908</v>
      </c>
      <c r="E461" s="66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2"/>
      <c r="R461" s="652"/>
      <c r="S461" s="652"/>
      <c r="T461" s="653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7"/>
      <c r="B462" s="650"/>
      <c r="C462" s="650"/>
      <c r="D462" s="650"/>
      <c r="E462" s="650"/>
      <c r="F462" s="650"/>
      <c r="G462" s="650"/>
      <c r="H462" s="650"/>
      <c r="I462" s="650"/>
      <c r="J462" s="650"/>
      <c r="K462" s="650"/>
      <c r="L462" s="650"/>
      <c r="M462" s="650"/>
      <c r="N462" s="650"/>
      <c r="O462" s="658"/>
      <c r="P462" s="654" t="s">
        <v>72</v>
      </c>
      <c r="Q462" s="655"/>
      <c r="R462" s="655"/>
      <c r="S462" s="655"/>
      <c r="T462" s="655"/>
      <c r="U462" s="655"/>
      <c r="V462" s="656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0"/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8"/>
      <c r="P463" s="654" t="s">
        <v>72</v>
      </c>
      <c r="Q463" s="655"/>
      <c r="R463" s="655"/>
      <c r="S463" s="655"/>
      <c r="T463" s="655"/>
      <c r="U463" s="655"/>
      <c r="V463" s="656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49" t="s">
        <v>62</v>
      </c>
      <c r="B464" s="650"/>
      <c r="C464" s="650"/>
      <c r="D464" s="650"/>
      <c r="E464" s="650"/>
      <c r="F464" s="650"/>
      <c r="G464" s="650"/>
      <c r="H464" s="650"/>
      <c r="I464" s="650"/>
      <c r="J464" s="650"/>
      <c r="K464" s="650"/>
      <c r="L464" s="650"/>
      <c r="M464" s="650"/>
      <c r="N464" s="650"/>
      <c r="O464" s="650"/>
      <c r="P464" s="650"/>
      <c r="Q464" s="650"/>
      <c r="R464" s="650"/>
      <c r="S464" s="650"/>
      <c r="T464" s="650"/>
      <c r="U464" s="650"/>
      <c r="V464" s="650"/>
      <c r="W464" s="650"/>
      <c r="X464" s="650"/>
      <c r="Y464" s="650"/>
      <c r="Z464" s="650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61">
        <v>4607091384802</v>
      </c>
      <c r="E465" s="66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2"/>
      <c r="R465" s="652"/>
      <c r="S465" s="652"/>
      <c r="T465" s="653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7"/>
      <c r="B466" s="650"/>
      <c r="C466" s="650"/>
      <c r="D466" s="650"/>
      <c r="E466" s="650"/>
      <c r="F466" s="650"/>
      <c r="G466" s="650"/>
      <c r="H466" s="650"/>
      <c r="I466" s="650"/>
      <c r="J466" s="650"/>
      <c r="K466" s="650"/>
      <c r="L466" s="650"/>
      <c r="M466" s="650"/>
      <c r="N466" s="650"/>
      <c r="O466" s="658"/>
      <c r="P466" s="654" t="s">
        <v>72</v>
      </c>
      <c r="Q466" s="655"/>
      <c r="R466" s="655"/>
      <c r="S466" s="655"/>
      <c r="T466" s="655"/>
      <c r="U466" s="655"/>
      <c r="V466" s="656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0"/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8"/>
      <c r="P467" s="654" t="s">
        <v>72</v>
      </c>
      <c r="Q467" s="655"/>
      <c r="R467" s="655"/>
      <c r="S467" s="655"/>
      <c r="T467" s="655"/>
      <c r="U467" s="655"/>
      <c r="V467" s="656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49" t="s">
        <v>74</v>
      </c>
      <c r="B468" s="650"/>
      <c r="C468" s="650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650"/>
      <c r="R468" s="650"/>
      <c r="S468" s="650"/>
      <c r="T468" s="650"/>
      <c r="U468" s="650"/>
      <c r="V468" s="650"/>
      <c r="W468" s="650"/>
      <c r="X468" s="650"/>
      <c r="Y468" s="650"/>
      <c r="Z468" s="650"/>
      <c r="AA468" s="639"/>
      <c r="AB468" s="639"/>
      <c r="AC468" s="639"/>
    </row>
    <row r="469" spans="1:68" ht="27" hidden="1" customHeight="1" x14ac:dyDescent="0.25">
      <c r="A469" s="54" t="s">
        <v>751</v>
      </c>
      <c r="B469" s="54" t="s">
        <v>752</v>
      </c>
      <c r="C469" s="31">
        <v>4301051899</v>
      </c>
      <c r="D469" s="661">
        <v>4607091384246</v>
      </c>
      <c r="E469" s="66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754</v>
      </c>
      <c r="B470" s="54" t="s">
        <v>755</v>
      </c>
      <c r="C470" s="31">
        <v>4301051660</v>
      </c>
      <c r="D470" s="661">
        <v>4607091384253</v>
      </c>
      <c r="E470" s="66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2"/>
      <c r="R470" s="652"/>
      <c r="S470" s="652"/>
      <c r="T470" s="653"/>
      <c r="U470" s="34"/>
      <c r="V470" s="34"/>
      <c r="W470" s="35" t="s">
        <v>67</v>
      </c>
      <c r="X470" s="643"/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61">
        <v>4607091384253</v>
      </c>
      <c r="E471" s="66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6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2"/>
      <c r="R471" s="652"/>
      <c r="S471" s="652"/>
      <c r="T471" s="653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57"/>
      <c r="B472" s="650"/>
      <c r="C472" s="650"/>
      <c r="D472" s="650"/>
      <c r="E472" s="650"/>
      <c r="F472" s="650"/>
      <c r="G472" s="650"/>
      <c r="H472" s="650"/>
      <c r="I472" s="650"/>
      <c r="J472" s="650"/>
      <c r="K472" s="650"/>
      <c r="L472" s="650"/>
      <c r="M472" s="650"/>
      <c r="N472" s="650"/>
      <c r="O472" s="658"/>
      <c r="P472" s="654" t="s">
        <v>72</v>
      </c>
      <c r="Q472" s="655"/>
      <c r="R472" s="655"/>
      <c r="S472" s="655"/>
      <c r="T472" s="655"/>
      <c r="U472" s="655"/>
      <c r="V472" s="656"/>
      <c r="W472" s="37" t="s">
        <v>73</v>
      </c>
      <c r="X472" s="645">
        <f>IFERROR(X469/H469,"0")+IFERROR(X470/H470,"0")+IFERROR(X471/H471,"0")</f>
        <v>0</v>
      </c>
      <c r="Y472" s="645">
        <f>IFERROR(Y469/H469,"0")+IFERROR(Y470/H470,"0")+IFERROR(Y471/H471,"0")</f>
        <v>0</v>
      </c>
      <c r="Z472" s="645">
        <f>IFERROR(IF(Z469="",0,Z469),"0")+IFERROR(IF(Z470="",0,Z470),"0")+IFERROR(IF(Z471="",0,Z471),"0")</f>
        <v>0</v>
      </c>
      <c r="AA472" s="646"/>
      <c r="AB472" s="646"/>
      <c r="AC472" s="646"/>
    </row>
    <row r="473" spans="1:68" hidden="1" x14ac:dyDescent="0.2">
      <c r="A473" s="650"/>
      <c r="B473" s="650"/>
      <c r="C473" s="650"/>
      <c r="D473" s="650"/>
      <c r="E473" s="650"/>
      <c r="F473" s="650"/>
      <c r="G473" s="650"/>
      <c r="H473" s="650"/>
      <c r="I473" s="650"/>
      <c r="J473" s="650"/>
      <c r="K473" s="650"/>
      <c r="L473" s="650"/>
      <c r="M473" s="650"/>
      <c r="N473" s="650"/>
      <c r="O473" s="658"/>
      <c r="P473" s="654" t="s">
        <v>72</v>
      </c>
      <c r="Q473" s="655"/>
      <c r="R473" s="655"/>
      <c r="S473" s="655"/>
      <c r="T473" s="655"/>
      <c r="U473" s="655"/>
      <c r="V473" s="656"/>
      <c r="W473" s="37" t="s">
        <v>67</v>
      </c>
      <c r="X473" s="645">
        <f>IFERROR(SUM(X469:X471),"0")</f>
        <v>0</v>
      </c>
      <c r="Y473" s="645">
        <f>IFERROR(SUM(Y469:Y471),"0")</f>
        <v>0</v>
      </c>
      <c r="Z473" s="37"/>
      <c r="AA473" s="646"/>
      <c r="AB473" s="646"/>
      <c r="AC473" s="646"/>
    </row>
    <row r="474" spans="1:68" ht="27.75" hidden="1" customHeight="1" x14ac:dyDescent="0.2">
      <c r="A474" s="647" t="s">
        <v>758</v>
      </c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8"/>
      <c r="P474" s="648"/>
      <c r="Q474" s="648"/>
      <c r="R474" s="648"/>
      <c r="S474" s="648"/>
      <c r="T474" s="648"/>
      <c r="U474" s="648"/>
      <c r="V474" s="648"/>
      <c r="W474" s="648"/>
      <c r="X474" s="648"/>
      <c r="Y474" s="648"/>
      <c r="Z474" s="648"/>
      <c r="AA474" s="48"/>
      <c r="AB474" s="48"/>
      <c r="AC474" s="48"/>
    </row>
    <row r="475" spans="1:68" ht="16.5" hidden="1" customHeight="1" x14ac:dyDescent="0.25">
      <c r="A475" s="666" t="s">
        <v>759</v>
      </c>
      <c r="B475" s="650"/>
      <c r="C475" s="650"/>
      <c r="D475" s="650"/>
      <c r="E475" s="650"/>
      <c r="F475" s="650"/>
      <c r="G475" s="650"/>
      <c r="H475" s="650"/>
      <c r="I475" s="650"/>
      <c r="J475" s="650"/>
      <c r="K475" s="650"/>
      <c r="L475" s="650"/>
      <c r="M475" s="650"/>
      <c r="N475" s="650"/>
      <c r="O475" s="650"/>
      <c r="P475" s="650"/>
      <c r="Q475" s="650"/>
      <c r="R475" s="650"/>
      <c r="S475" s="650"/>
      <c r="T475" s="650"/>
      <c r="U475" s="650"/>
      <c r="V475" s="650"/>
      <c r="W475" s="650"/>
      <c r="X475" s="650"/>
      <c r="Y475" s="650"/>
      <c r="Z475" s="650"/>
      <c r="AA475" s="638"/>
      <c r="AB475" s="638"/>
      <c r="AC475" s="638"/>
    </row>
    <row r="476" spans="1:68" ht="14.25" hidden="1" customHeight="1" x14ac:dyDescent="0.25">
      <c r="A476" s="649" t="s">
        <v>62</v>
      </c>
      <c r="B476" s="650"/>
      <c r="C476" s="650"/>
      <c r="D476" s="650"/>
      <c r="E476" s="650"/>
      <c r="F476" s="650"/>
      <c r="G476" s="650"/>
      <c r="H476" s="650"/>
      <c r="I476" s="650"/>
      <c r="J476" s="650"/>
      <c r="K476" s="650"/>
      <c r="L476" s="650"/>
      <c r="M476" s="650"/>
      <c r="N476" s="650"/>
      <c r="O476" s="650"/>
      <c r="P476" s="650"/>
      <c r="Q476" s="650"/>
      <c r="R476" s="650"/>
      <c r="S476" s="650"/>
      <c r="T476" s="650"/>
      <c r="U476" s="650"/>
      <c r="V476" s="650"/>
      <c r="W476" s="650"/>
      <c r="X476" s="650"/>
      <c r="Y476" s="650"/>
      <c r="Z476" s="650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61">
        <v>4680115886100</v>
      </c>
      <c r="E477" s="66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2"/>
      <c r="R477" s="652"/>
      <c r="S477" s="652"/>
      <c r="T477" s="653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61">
        <v>4680115886124</v>
      </c>
      <c r="E478" s="66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2"/>
      <c r="R478" s="652"/>
      <c r="S478" s="652"/>
      <c r="T478" s="653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61">
        <v>4607091384338</v>
      </c>
      <c r="E479" s="66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2"/>
      <c r="R479" s="652"/>
      <c r="S479" s="652"/>
      <c r="T479" s="653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61">
        <v>4680115883161</v>
      </c>
      <c r="E480" s="66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85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2"/>
      <c r="R480" s="652"/>
      <c r="S480" s="652"/>
      <c r="T480" s="653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61">
        <v>4607091389531</v>
      </c>
      <c r="E481" s="66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2"/>
      <c r="R481" s="652"/>
      <c r="S481" s="652"/>
      <c r="T481" s="653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61">
        <v>4607091384345</v>
      </c>
      <c r="E482" s="66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2"/>
      <c r="R482" s="652"/>
      <c r="S482" s="652"/>
      <c r="T482" s="653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7"/>
      <c r="B483" s="650"/>
      <c r="C483" s="650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8"/>
      <c r="P483" s="654" t="s">
        <v>72</v>
      </c>
      <c r="Q483" s="655"/>
      <c r="R483" s="655"/>
      <c r="S483" s="655"/>
      <c r="T483" s="655"/>
      <c r="U483" s="655"/>
      <c r="V483" s="656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0"/>
      <c r="B484" s="650"/>
      <c r="C484" s="650"/>
      <c r="D484" s="650"/>
      <c r="E484" s="650"/>
      <c r="F484" s="650"/>
      <c r="G484" s="650"/>
      <c r="H484" s="650"/>
      <c r="I484" s="650"/>
      <c r="J484" s="650"/>
      <c r="K484" s="650"/>
      <c r="L484" s="650"/>
      <c r="M484" s="650"/>
      <c r="N484" s="650"/>
      <c r="O484" s="658"/>
      <c r="P484" s="654" t="s">
        <v>72</v>
      </c>
      <c r="Q484" s="655"/>
      <c r="R484" s="655"/>
      <c r="S484" s="655"/>
      <c r="T484" s="655"/>
      <c r="U484" s="655"/>
      <c r="V484" s="656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49" t="s">
        <v>74</v>
      </c>
      <c r="B485" s="650"/>
      <c r="C485" s="650"/>
      <c r="D485" s="650"/>
      <c r="E485" s="650"/>
      <c r="F485" s="650"/>
      <c r="G485" s="650"/>
      <c r="H485" s="650"/>
      <c r="I485" s="650"/>
      <c r="J485" s="650"/>
      <c r="K485" s="650"/>
      <c r="L485" s="650"/>
      <c r="M485" s="650"/>
      <c r="N485" s="650"/>
      <c r="O485" s="650"/>
      <c r="P485" s="650"/>
      <c r="Q485" s="650"/>
      <c r="R485" s="650"/>
      <c r="S485" s="650"/>
      <c r="T485" s="650"/>
      <c r="U485" s="650"/>
      <c r="V485" s="650"/>
      <c r="W485" s="650"/>
      <c r="X485" s="650"/>
      <c r="Y485" s="650"/>
      <c r="Z485" s="650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61">
        <v>4607091384352</v>
      </c>
      <c r="E486" s="66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2"/>
      <c r="R486" s="652"/>
      <c r="S486" s="652"/>
      <c r="T486" s="653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61">
        <v>4607091389654</v>
      </c>
      <c r="E487" s="66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7"/>
      <c r="B488" s="650"/>
      <c r="C488" s="650"/>
      <c r="D488" s="650"/>
      <c r="E488" s="650"/>
      <c r="F488" s="650"/>
      <c r="G488" s="650"/>
      <c r="H488" s="650"/>
      <c r="I488" s="650"/>
      <c r="J488" s="650"/>
      <c r="K488" s="650"/>
      <c r="L488" s="650"/>
      <c r="M488" s="650"/>
      <c r="N488" s="650"/>
      <c r="O488" s="658"/>
      <c r="P488" s="654" t="s">
        <v>72</v>
      </c>
      <c r="Q488" s="655"/>
      <c r="R488" s="655"/>
      <c r="S488" s="655"/>
      <c r="T488" s="655"/>
      <c r="U488" s="655"/>
      <c r="V488" s="656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0"/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8"/>
      <c r="P489" s="654" t="s">
        <v>72</v>
      </c>
      <c r="Q489" s="655"/>
      <c r="R489" s="655"/>
      <c r="S489" s="655"/>
      <c r="T489" s="655"/>
      <c r="U489" s="655"/>
      <c r="V489" s="656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6" t="s">
        <v>782</v>
      </c>
      <c r="B490" s="650"/>
      <c r="C490" s="650"/>
      <c r="D490" s="650"/>
      <c r="E490" s="650"/>
      <c r="F490" s="650"/>
      <c r="G490" s="650"/>
      <c r="H490" s="650"/>
      <c r="I490" s="650"/>
      <c r="J490" s="650"/>
      <c r="K490" s="650"/>
      <c r="L490" s="650"/>
      <c r="M490" s="650"/>
      <c r="N490" s="650"/>
      <c r="O490" s="650"/>
      <c r="P490" s="650"/>
      <c r="Q490" s="650"/>
      <c r="R490" s="650"/>
      <c r="S490" s="650"/>
      <c r="T490" s="650"/>
      <c r="U490" s="650"/>
      <c r="V490" s="650"/>
      <c r="W490" s="650"/>
      <c r="X490" s="650"/>
      <c r="Y490" s="650"/>
      <c r="Z490" s="650"/>
      <c r="AA490" s="638"/>
      <c r="AB490" s="638"/>
      <c r="AC490" s="638"/>
    </row>
    <row r="491" spans="1:68" ht="14.25" hidden="1" customHeight="1" x14ac:dyDescent="0.25">
      <c r="A491" s="649" t="s">
        <v>144</v>
      </c>
      <c r="B491" s="650"/>
      <c r="C491" s="650"/>
      <c r="D491" s="650"/>
      <c r="E491" s="650"/>
      <c r="F491" s="650"/>
      <c r="G491" s="650"/>
      <c r="H491" s="650"/>
      <c r="I491" s="650"/>
      <c r="J491" s="650"/>
      <c r="K491" s="650"/>
      <c r="L491" s="650"/>
      <c r="M491" s="650"/>
      <c r="N491" s="650"/>
      <c r="O491" s="650"/>
      <c r="P491" s="650"/>
      <c r="Q491" s="650"/>
      <c r="R491" s="650"/>
      <c r="S491" s="650"/>
      <c r="T491" s="650"/>
      <c r="U491" s="650"/>
      <c r="V491" s="650"/>
      <c r="W491" s="650"/>
      <c r="X491" s="650"/>
      <c r="Y491" s="650"/>
      <c r="Z491" s="650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61">
        <v>4680115885240</v>
      </c>
      <c r="E492" s="66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2"/>
      <c r="R492" s="652"/>
      <c r="S492" s="652"/>
      <c r="T492" s="653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7"/>
      <c r="B493" s="650"/>
      <c r="C493" s="650"/>
      <c r="D493" s="650"/>
      <c r="E493" s="650"/>
      <c r="F493" s="650"/>
      <c r="G493" s="650"/>
      <c r="H493" s="650"/>
      <c r="I493" s="650"/>
      <c r="J493" s="650"/>
      <c r="K493" s="650"/>
      <c r="L493" s="650"/>
      <c r="M493" s="650"/>
      <c r="N493" s="650"/>
      <c r="O493" s="658"/>
      <c r="P493" s="654" t="s">
        <v>72</v>
      </c>
      <c r="Q493" s="655"/>
      <c r="R493" s="655"/>
      <c r="S493" s="655"/>
      <c r="T493" s="655"/>
      <c r="U493" s="655"/>
      <c r="V493" s="656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0"/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8"/>
      <c r="P494" s="654" t="s">
        <v>72</v>
      </c>
      <c r="Q494" s="655"/>
      <c r="R494" s="655"/>
      <c r="S494" s="655"/>
      <c r="T494" s="655"/>
      <c r="U494" s="655"/>
      <c r="V494" s="656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49" t="s">
        <v>62</v>
      </c>
      <c r="B495" s="650"/>
      <c r="C495" s="650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650"/>
      <c r="R495" s="650"/>
      <c r="S495" s="650"/>
      <c r="T495" s="650"/>
      <c r="U495" s="650"/>
      <c r="V495" s="650"/>
      <c r="W495" s="650"/>
      <c r="X495" s="650"/>
      <c r="Y495" s="650"/>
      <c r="Z495" s="650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61">
        <v>4680115886094</v>
      </c>
      <c r="E496" s="66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2"/>
      <c r="R496" s="652"/>
      <c r="S496" s="652"/>
      <c r="T496" s="653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61">
        <v>4680115880771</v>
      </c>
      <c r="E497" s="66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2"/>
      <c r="R497" s="652"/>
      <c r="S497" s="652"/>
      <c r="T497" s="653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61">
        <v>4607091389500</v>
      </c>
      <c r="E498" s="66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2"/>
      <c r="R498" s="652"/>
      <c r="S498" s="652"/>
      <c r="T498" s="653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7"/>
      <c r="B499" s="650"/>
      <c r="C499" s="650"/>
      <c r="D499" s="650"/>
      <c r="E499" s="650"/>
      <c r="F499" s="650"/>
      <c r="G499" s="650"/>
      <c r="H499" s="650"/>
      <c r="I499" s="650"/>
      <c r="J499" s="650"/>
      <c r="K499" s="650"/>
      <c r="L499" s="650"/>
      <c r="M499" s="650"/>
      <c r="N499" s="650"/>
      <c r="O499" s="658"/>
      <c r="P499" s="654" t="s">
        <v>72</v>
      </c>
      <c r="Q499" s="655"/>
      <c r="R499" s="655"/>
      <c r="S499" s="655"/>
      <c r="T499" s="655"/>
      <c r="U499" s="655"/>
      <c r="V499" s="656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0"/>
      <c r="B500" s="650"/>
      <c r="C500" s="650"/>
      <c r="D500" s="650"/>
      <c r="E500" s="650"/>
      <c r="F500" s="650"/>
      <c r="G500" s="650"/>
      <c r="H500" s="650"/>
      <c r="I500" s="650"/>
      <c r="J500" s="650"/>
      <c r="K500" s="650"/>
      <c r="L500" s="650"/>
      <c r="M500" s="650"/>
      <c r="N500" s="650"/>
      <c r="O500" s="658"/>
      <c r="P500" s="654" t="s">
        <v>72</v>
      </c>
      <c r="Q500" s="655"/>
      <c r="R500" s="655"/>
      <c r="S500" s="655"/>
      <c r="T500" s="655"/>
      <c r="U500" s="655"/>
      <c r="V500" s="656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47" t="s">
        <v>794</v>
      </c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8"/>
      <c r="P501" s="648"/>
      <c r="Q501" s="648"/>
      <c r="R501" s="648"/>
      <c r="S501" s="648"/>
      <c r="T501" s="648"/>
      <c r="U501" s="648"/>
      <c r="V501" s="648"/>
      <c r="W501" s="648"/>
      <c r="X501" s="648"/>
      <c r="Y501" s="648"/>
      <c r="Z501" s="648"/>
      <c r="AA501" s="48"/>
      <c r="AB501" s="48"/>
      <c r="AC501" s="48"/>
    </row>
    <row r="502" spans="1:68" ht="16.5" hidden="1" customHeight="1" x14ac:dyDescent="0.25">
      <c r="A502" s="666" t="s">
        <v>794</v>
      </c>
      <c r="B502" s="650"/>
      <c r="C502" s="650"/>
      <c r="D502" s="650"/>
      <c r="E502" s="650"/>
      <c r="F502" s="650"/>
      <c r="G502" s="650"/>
      <c r="H502" s="650"/>
      <c r="I502" s="650"/>
      <c r="J502" s="650"/>
      <c r="K502" s="650"/>
      <c r="L502" s="650"/>
      <c r="M502" s="650"/>
      <c r="N502" s="650"/>
      <c r="O502" s="650"/>
      <c r="P502" s="650"/>
      <c r="Q502" s="650"/>
      <c r="R502" s="650"/>
      <c r="S502" s="650"/>
      <c r="T502" s="650"/>
      <c r="U502" s="650"/>
      <c r="V502" s="650"/>
      <c r="W502" s="650"/>
      <c r="X502" s="650"/>
      <c r="Y502" s="650"/>
      <c r="Z502" s="650"/>
      <c r="AA502" s="638"/>
      <c r="AB502" s="638"/>
      <c r="AC502" s="638"/>
    </row>
    <row r="503" spans="1:68" ht="14.25" hidden="1" customHeight="1" x14ac:dyDescent="0.25">
      <c r="A503" s="649" t="s">
        <v>111</v>
      </c>
      <c r="B503" s="650"/>
      <c r="C503" s="650"/>
      <c r="D503" s="650"/>
      <c r="E503" s="650"/>
      <c r="F503" s="650"/>
      <c r="G503" s="650"/>
      <c r="H503" s="650"/>
      <c r="I503" s="650"/>
      <c r="J503" s="650"/>
      <c r="K503" s="650"/>
      <c r="L503" s="650"/>
      <c r="M503" s="650"/>
      <c r="N503" s="650"/>
      <c r="O503" s="650"/>
      <c r="P503" s="650"/>
      <c r="Q503" s="650"/>
      <c r="R503" s="650"/>
      <c r="S503" s="650"/>
      <c r="T503" s="650"/>
      <c r="U503" s="650"/>
      <c r="V503" s="650"/>
      <c r="W503" s="650"/>
      <c r="X503" s="650"/>
      <c r="Y503" s="650"/>
      <c r="Z503" s="650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61">
        <v>4607091389067</v>
      </c>
      <c r="E504" s="66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9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2"/>
      <c r="R504" s="652"/>
      <c r="S504" s="652"/>
      <c r="T504" s="653"/>
      <c r="U504" s="34"/>
      <c r="V504" s="34"/>
      <c r="W504" s="35" t="s">
        <v>67</v>
      </c>
      <c r="X504" s="643">
        <v>100</v>
      </c>
      <c r="Y504" s="644">
        <f t="shared" ref="Y504:Y512" si="73">IFERROR(IF(X504="",0,CEILING((X504/$H504),1)*$H504),"")</f>
        <v>100.32000000000001</v>
      </c>
      <c r="Z504" s="36">
        <f t="shared" ref="Z504:Z509" si="74">IFERROR(IF(Y504=0,"",ROUNDUP(Y504/H504,0)*0.01196),"")</f>
        <v>0.22724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106.62878787878788</v>
      </c>
      <c r="BN504" s="64">
        <f t="shared" ref="BN504:BN512" si="76">IFERROR(Y504*I504/H504,"0")</f>
        <v>106.97</v>
      </c>
      <c r="BO504" s="64">
        <f t="shared" ref="BO504:BO512" si="77">IFERROR(1/J504*(X504/H504),"0")</f>
        <v>0.18210955710955709</v>
      </c>
      <c r="BP504" s="64">
        <f t="shared" ref="BP504:BP512" si="78">IFERROR(1/J504*(Y504/H504),"0")</f>
        <v>0.18269230769230771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61">
        <v>4680115889576</v>
      </c>
      <c r="E505" s="66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2"/>
      <c r="R505" s="652"/>
      <c r="S505" s="652"/>
      <c r="T505" s="653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61">
        <v>4680115885271</v>
      </c>
      <c r="E506" s="66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2"/>
      <c r="R506" s="652"/>
      <c r="S506" s="652"/>
      <c r="T506" s="653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61">
        <v>4680115885226</v>
      </c>
      <c r="E507" s="66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2"/>
      <c r="R507" s="652"/>
      <c r="S507" s="652"/>
      <c r="T507" s="653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61">
        <v>4680115884502</v>
      </c>
      <c r="E508" s="66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2"/>
      <c r="R508" s="652"/>
      <c r="S508" s="652"/>
      <c r="T508" s="653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61">
        <v>4607091389104</v>
      </c>
      <c r="E509" s="66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2"/>
      <c r="R509" s="652"/>
      <c r="S509" s="652"/>
      <c r="T509" s="653"/>
      <c r="U509" s="34"/>
      <c r="V509" s="34"/>
      <c r="W509" s="35" t="s">
        <v>67</v>
      </c>
      <c r="X509" s="643">
        <v>250</v>
      </c>
      <c r="Y509" s="644">
        <f t="shared" si="73"/>
        <v>253.44</v>
      </c>
      <c r="Z509" s="36">
        <f t="shared" si="74"/>
        <v>0.57408000000000003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266.57196969696969</v>
      </c>
      <c r="BN509" s="64">
        <f t="shared" si="76"/>
        <v>270.23999999999995</v>
      </c>
      <c r="BO509" s="64">
        <f t="shared" si="77"/>
        <v>0.45527389277389274</v>
      </c>
      <c r="BP509" s="64">
        <f t="shared" si="78"/>
        <v>0.46153846153846156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61">
        <v>4680115886391</v>
      </c>
      <c r="E510" s="66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2"/>
      <c r="R510" s="652"/>
      <c r="S510" s="652"/>
      <c r="T510" s="653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61">
        <v>4680115880603</v>
      </c>
      <c r="E511" s="66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2"/>
      <c r="R511" s="652"/>
      <c r="S511" s="652"/>
      <c r="T511" s="653"/>
      <c r="U511" s="34"/>
      <c r="V511" s="34"/>
      <c r="W511" s="35" t="s">
        <v>67</v>
      </c>
      <c r="X511" s="643"/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816</v>
      </c>
      <c r="B512" s="54" t="s">
        <v>817</v>
      </c>
      <c r="C512" s="31">
        <v>4301012034</v>
      </c>
      <c r="D512" s="661">
        <v>4607091389982</v>
      </c>
      <c r="E512" s="66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2"/>
      <c r="R512" s="652"/>
      <c r="S512" s="652"/>
      <c r="T512" s="653"/>
      <c r="U512" s="34"/>
      <c r="V512" s="34"/>
      <c r="W512" s="35" t="s">
        <v>67</v>
      </c>
      <c r="X512" s="643"/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7"/>
      <c r="B513" s="650"/>
      <c r="C513" s="650"/>
      <c r="D513" s="650"/>
      <c r="E513" s="650"/>
      <c r="F513" s="650"/>
      <c r="G513" s="650"/>
      <c r="H513" s="650"/>
      <c r="I513" s="650"/>
      <c r="J513" s="650"/>
      <c r="K513" s="650"/>
      <c r="L513" s="650"/>
      <c r="M513" s="650"/>
      <c r="N513" s="650"/>
      <c r="O513" s="658"/>
      <c r="P513" s="654" t="s">
        <v>72</v>
      </c>
      <c r="Q513" s="655"/>
      <c r="R513" s="655"/>
      <c r="S513" s="655"/>
      <c r="T513" s="655"/>
      <c r="U513" s="655"/>
      <c r="V513" s="656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66.287878787878782</v>
      </c>
      <c r="Y513" s="645">
        <f>IFERROR(Y504/H504,"0")+IFERROR(Y505/H505,"0")+IFERROR(Y506/H506,"0")+IFERROR(Y507/H507,"0")+IFERROR(Y508/H508,"0")+IFERROR(Y509/H509,"0")+IFERROR(Y510/H510,"0")+IFERROR(Y511/H511,"0")+IFERROR(Y512/H512,"0")</f>
        <v>67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0.80132000000000003</v>
      </c>
      <c r="AA513" s="646"/>
      <c r="AB513" s="646"/>
      <c r="AC513" s="646"/>
    </row>
    <row r="514" spans="1:68" x14ac:dyDescent="0.2">
      <c r="A514" s="650"/>
      <c r="B514" s="650"/>
      <c r="C514" s="650"/>
      <c r="D514" s="650"/>
      <c r="E514" s="650"/>
      <c r="F514" s="650"/>
      <c r="G514" s="650"/>
      <c r="H514" s="650"/>
      <c r="I514" s="650"/>
      <c r="J514" s="650"/>
      <c r="K514" s="650"/>
      <c r="L514" s="650"/>
      <c r="M514" s="650"/>
      <c r="N514" s="650"/>
      <c r="O514" s="658"/>
      <c r="P514" s="654" t="s">
        <v>72</v>
      </c>
      <c r="Q514" s="655"/>
      <c r="R514" s="655"/>
      <c r="S514" s="655"/>
      <c r="T514" s="655"/>
      <c r="U514" s="655"/>
      <c r="V514" s="656"/>
      <c r="W514" s="37" t="s">
        <v>67</v>
      </c>
      <c r="X514" s="645">
        <f>IFERROR(SUM(X504:X512),"0")</f>
        <v>350</v>
      </c>
      <c r="Y514" s="645">
        <f>IFERROR(SUM(Y504:Y512),"0")</f>
        <v>353.76</v>
      </c>
      <c r="Z514" s="37"/>
      <c r="AA514" s="646"/>
      <c r="AB514" s="646"/>
      <c r="AC514" s="646"/>
    </row>
    <row r="515" spans="1:68" ht="14.25" hidden="1" customHeight="1" x14ac:dyDescent="0.25">
      <c r="A515" s="649" t="s">
        <v>144</v>
      </c>
      <c r="B515" s="650"/>
      <c r="C515" s="650"/>
      <c r="D515" s="650"/>
      <c r="E515" s="650"/>
      <c r="F515" s="650"/>
      <c r="G515" s="650"/>
      <c r="H515" s="650"/>
      <c r="I515" s="650"/>
      <c r="J515" s="650"/>
      <c r="K515" s="650"/>
      <c r="L515" s="650"/>
      <c r="M515" s="650"/>
      <c r="N515" s="650"/>
      <c r="O515" s="650"/>
      <c r="P515" s="650"/>
      <c r="Q515" s="650"/>
      <c r="R515" s="650"/>
      <c r="S515" s="650"/>
      <c r="T515" s="650"/>
      <c r="U515" s="650"/>
      <c r="V515" s="650"/>
      <c r="W515" s="650"/>
      <c r="X515" s="650"/>
      <c r="Y515" s="650"/>
      <c r="Z515" s="650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61">
        <v>4607091388930</v>
      </c>
      <c r="E516" s="66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2"/>
      <c r="R516" s="652"/>
      <c r="S516" s="652"/>
      <c r="T516" s="653"/>
      <c r="U516" s="34"/>
      <c r="V516" s="34"/>
      <c r="W516" s="35" t="s">
        <v>67</v>
      </c>
      <c r="X516" s="643">
        <v>500</v>
      </c>
      <c r="Y516" s="644">
        <f>IFERROR(IF(X516="",0,CEILING((X516/$H516),1)*$H516),"")</f>
        <v>501.6</v>
      </c>
      <c r="Z516" s="36">
        <f>IFERROR(IF(Y516=0,"",ROUNDUP(Y516/H516,0)*0.01196),"")</f>
        <v>1.1362000000000001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533.14393939393938</v>
      </c>
      <c r="BN516" s="64">
        <f>IFERROR(Y516*I516/H516,"0")</f>
        <v>534.85</v>
      </c>
      <c r="BO516" s="64">
        <f>IFERROR(1/J516*(X516/H516),"0")</f>
        <v>0.91054778554778548</v>
      </c>
      <c r="BP516" s="64">
        <f>IFERROR(1/J516*(Y516/H516),"0")</f>
        <v>0.91346153846153855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61">
        <v>4680115886407</v>
      </c>
      <c r="E517" s="66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2"/>
      <c r="R517" s="652"/>
      <c r="S517" s="652"/>
      <c r="T517" s="653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61">
        <v>4680115880054</v>
      </c>
      <c r="E518" s="66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43"/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7"/>
      <c r="B519" s="650"/>
      <c r="C519" s="650"/>
      <c r="D519" s="650"/>
      <c r="E519" s="650"/>
      <c r="F519" s="650"/>
      <c r="G519" s="650"/>
      <c r="H519" s="650"/>
      <c r="I519" s="650"/>
      <c r="J519" s="650"/>
      <c r="K519" s="650"/>
      <c r="L519" s="650"/>
      <c r="M519" s="650"/>
      <c r="N519" s="650"/>
      <c r="O519" s="658"/>
      <c r="P519" s="654" t="s">
        <v>72</v>
      </c>
      <c r="Q519" s="655"/>
      <c r="R519" s="655"/>
      <c r="S519" s="655"/>
      <c r="T519" s="655"/>
      <c r="U519" s="655"/>
      <c r="V519" s="656"/>
      <c r="W519" s="37" t="s">
        <v>73</v>
      </c>
      <c r="X519" s="645">
        <f>IFERROR(X516/H516,"0")+IFERROR(X517/H517,"0")+IFERROR(X518/H518,"0")</f>
        <v>94.696969696969688</v>
      </c>
      <c r="Y519" s="645">
        <f>IFERROR(Y516/H516,"0")+IFERROR(Y517/H517,"0")+IFERROR(Y518/H518,"0")</f>
        <v>95</v>
      </c>
      <c r="Z519" s="645">
        <f>IFERROR(IF(Z516="",0,Z516),"0")+IFERROR(IF(Z517="",0,Z517),"0")+IFERROR(IF(Z518="",0,Z518),"0")</f>
        <v>1.1362000000000001</v>
      </c>
      <c r="AA519" s="646"/>
      <c r="AB519" s="646"/>
      <c r="AC519" s="646"/>
    </row>
    <row r="520" spans="1:68" x14ac:dyDescent="0.2">
      <c r="A520" s="650"/>
      <c r="B520" s="650"/>
      <c r="C520" s="650"/>
      <c r="D520" s="650"/>
      <c r="E520" s="650"/>
      <c r="F520" s="650"/>
      <c r="G520" s="650"/>
      <c r="H520" s="650"/>
      <c r="I520" s="650"/>
      <c r="J520" s="650"/>
      <c r="K520" s="650"/>
      <c r="L520" s="650"/>
      <c r="M520" s="650"/>
      <c r="N520" s="650"/>
      <c r="O520" s="658"/>
      <c r="P520" s="654" t="s">
        <v>72</v>
      </c>
      <c r="Q520" s="655"/>
      <c r="R520" s="655"/>
      <c r="S520" s="655"/>
      <c r="T520" s="655"/>
      <c r="U520" s="655"/>
      <c r="V520" s="656"/>
      <c r="W520" s="37" t="s">
        <v>67</v>
      </c>
      <c r="X520" s="645">
        <f>IFERROR(SUM(X516:X518),"0")</f>
        <v>500</v>
      </c>
      <c r="Y520" s="645">
        <f>IFERROR(SUM(Y516:Y518),"0")</f>
        <v>501.6</v>
      </c>
      <c r="Z520" s="37"/>
      <c r="AA520" s="646"/>
      <c r="AB520" s="646"/>
      <c r="AC520" s="646"/>
    </row>
    <row r="521" spans="1:68" ht="14.25" hidden="1" customHeight="1" x14ac:dyDescent="0.25">
      <c r="A521" s="649" t="s">
        <v>62</v>
      </c>
      <c r="B521" s="650"/>
      <c r="C521" s="650"/>
      <c r="D521" s="650"/>
      <c r="E521" s="650"/>
      <c r="F521" s="650"/>
      <c r="G521" s="650"/>
      <c r="H521" s="650"/>
      <c r="I521" s="650"/>
      <c r="J521" s="650"/>
      <c r="K521" s="650"/>
      <c r="L521" s="650"/>
      <c r="M521" s="650"/>
      <c r="N521" s="650"/>
      <c r="O521" s="650"/>
      <c r="P521" s="650"/>
      <c r="Q521" s="650"/>
      <c r="R521" s="650"/>
      <c r="S521" s="650"/>
      <c r="T521" s="650"/>
      <c r="U521" s="650"/>
      <c r="V521" s="650"/>
      <c r="W521" s="650"/>
      <c r="X521" s="650"/>
      <c r="Y521" s="650"/>
      <c r="Z521" s="650"/>
      <c r="AA521" s="639"/>
      <c r="AB521" s="639"/>
      <c r="AC521" s="639"/>
    </row>
    <row r="522" spans="1:68" ht="27" hidden="1" customHeight="1" x14ac:dyDescent="0.25">
      <c r="A522" s="54" t="s">
        <v>825</v>
      </c>
      <c r="B522" s="54" t="s">
        <v>826</v>
      </c>
      <c r="C522" s="31">
        <v>4301031349</v>
      </c>
      <c r="D522" s="661">
        <v>4680115883116</v>
      </c>
      <c r="E522" s="66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0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2"/>
      <c r="R522" s="652"/>
      <c r="S522" s="652"/>
      <c r="T522" s="653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4301031350</v>
      </c>
      <c r="D523" s="661">
        <v>4680115883093</v>
      </c>
      <c r="E523" s="66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8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2"/>
      <c r="R523" s="652"/>
      <c r="S523" s="652"/>
      <c r="T523" s="653"/>
      <c r="U523" s="34"/>
      <c r="V523" s="34"/>
      <c r="W523" s="35" t="s">
        <v>67</v>
      </c>
      <c r="X523" s="643"/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hidden="1" customHeight="1" x14ac:dyDescent="0.25">
      <c r="A524" s="54" t="s">
        <v>831</v>
      </c>
      <c r="B524" s="54" t="s">
        <v>832</v>
      </c>
      <c r="C524" s="31">
        <v>4301031353</v>
      </c>
      <c r="D524" s="661">
        <v>4680115883109</v>
      </c>
      <c r="E524" s="66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43"/>
      <c r="Y524" s="644">
        <f t="shared" si="79"/>
        <v>0</v>
      </c>
      <c r="Z524" s="36" t="str">
        <f>IFERROR(IF(Y524=0,"",ROUNDUP(Y524/H524,0)*0.01196),"")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0</v>
      </c>
      <c r="BN524" s="64">
        <f t="shared" si="81"/>
        <v>0</v>
      </c>
      <c r="BO524" s="64">
        <f t="shared" si="82"/>
        <v>0</v>
      </c>
      <c r="BP524" s="64">
        <f t="shared" si="83"/>
        <v>0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61">
        <v>4680115882072</v>
      </c>
      <c r="E525" s="66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2"/>
      <c r="R525" s="652"/>
      <c r="S525" s="652"/>
      <c r="T525" s="653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61">
        <v>4680115882102</v>
      </c>
      <c r="E526" s="66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7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2"/>
      <c r="R526" s="652"/>
      <c r="S526" s="652"/>
      <c r="T526" s="653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61">
        <v>4680115882102</v>
      </c>
      <c r="E527" s="66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2"/>
      <c r="R527" s="652"/>
      <c r="S527" s="652"/>
      <c r="T527" s="653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61">
        <v>4680115882096</v>
      </c>
      <c r="E528" s="66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2"/>
      <c r="R528" s="652"/>
      <c r="S528" s="652"/>
      <c r="T528" s="653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hidden="1" x14ac:dyDescent="0.2">
      <c r="A529" s="657"/>
      <c r="B529" s="650"/>
      <c r="C529" s="650"/>
      <c r="D529" s="650"/>
      <c r="E529" s="650"/>
      <c r="F529" s="650"/>
      <c r="G529" s="650"/>
      <c r="H529" s="650"/>
      <c r="I529" s="650"/>
      <c r="J529" s="650"/>
      <c r="K529" s="650"/>
      <c r="L529" s="650"/>
      <c r="M529" s="650"/>
      <c r="N529" s="650"/>
      <c r="O529" s="658"/>
      <c r="P529" s="654" t="s">
        <v>72</v>
      </c>
      <c r="Q529" s="655"/>
      <c r="R529" s="655"/>
      <c r="S529" s="655"/>
      <c r="T529" s="655"/>
      <c r="U529" s="655"/>
      <c r="V529" s="656"/>
      <c r="W529" s="37" t="s">
        <v>73</v>
      </c>
      <c r="X529" s="645">
        <f>IFERROR(X522/H522,"0")+IFERROR(X523/H523,"0")+IFERROR(X524/H524,"0")+IFERROR(X525/H525,"0")+IFERROR(X526/H526,"0")+IFERROR(X527/H527,"0")+IFERROR(X528/H528,"0")</f>
        <v>0</v>
      </c>
      <c r="Y529" s="645">
        <f>IFERROR(Y522/H522,"0")+IFERROR(Y523/H523,"0")+IFERROR(Y524/H524,"0")+IFERROR(Y525/H525,"0")+IFERROR(Y526/H526,"0")+IFERROR(Y527/H527,"0")+IFERROR(Y528/H528,"0")</f>
        <v>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6"/>
      <c r="AB529" s="646"/>
      <c r="AC529" s="646"/>
    </row>
    <row r="530" spans="1:68" hidden="1" x14ac:dyDescent="0.2">
      <c r="A530" s="650"/>
      <c r="B530" s="650"/>
      <c r="C530" s="650"/>
      <c r="D530" s="650"/>
      <c r="E530" s="650"/>
      <c r="F530" s="650"/>
      <c r="G530" s="650"/>
      <c r="H530" s="650"/>
      <c r="I530" s="650"/>
      <c r="J530" s="650"/>
      <c r="K530" s="650"/>
      <c r="L530" s="650"/>
      <c r="M530" s="650"/>
      <c r="N530" s="650"/>
      <c r="O530" s="658"/>
      <c r="P530" s="654" t="s">
        <v>72</v>
      </c>
      <c r="Q530" s="655"/>
      <c r="R530" s="655"/>
      <c r="S530" s="655"/>
      <c r="T530" s="655"/>
      <c r="U530" s="655"/>
      <c r="V530" s="656"/>
      <c r="W530" s="37" t="s">
        <v>67</v>
      </c>
      <c r="X530" s="645">
        <f>IFERROR(SUM(X522:X528),"0")</f>
        <v>0</v>
      </c>
      <c r="Y530" s="645">
        <f>IFERROR(SUM(Y522:Y528),"0")</f>
        <v>0</v>
      </c>
      <c r="Z530" s="37"/>
      <c r="AA530" s="646"/>
      <c r="AB530" s="646"/>
      <c r="AC530" s="646"/>
    </row>
    <row r="531" spans="1:68" ht="27.75" hidden="1" customHeight="1" x14ac:dyDescent="0.2">
      <c r="A531" s="647" t="s">
        <v>841</v>
      </c>
      <c r="B531" s="648"/>
      <c r="C531" s="648"/>
      <c r="D531" s="648"/>
      <c r="E531" s="648"/>
      <c r="F531" s="648"/>
      <c r="G531" s="648"/>
      <c r="H531" s="648"/>
      <c r="I531" s="648"/>
      <c r="J531" s="648"/>
      <c r="K531" s="648"/>
      <c r="L531" s="648"/>
      <c r="M531" s="648"/>
      <c r="N531" s="648"/>
      <c r="O531" s="648"/>
      <c r="P531" s="648"/>
      <c r="Q531" s="648"/>
      <c r="R531" s="648"/>
      <c r="S531" s="648"/>
      <c r="T531" s="648"/>
      <c r="U531" s="648"/>
      <c r="V531" s="648"/>
      <c r="W531" s="648"/>
      <c r="X531" s="648"/>
      <c r="Y531" s="648"/>
      <c r="Z531" s="648"/>
      <c r="AA531" s="48"/>
      <c r="AB531" s="48"/>
      <c r="AC531" s="48"/>
    </row>
    <row r="532" spans="1:68" ht="16.5" hidden="1" customHeight="1" x14ac:dyDescent="0.25">
      <c r="A532" s="666" t="s">
        <v>841</v>
      </c>
      <c r="B532" s="650"/>
      <c r="C532" s="650"/>
      <c r="D532" s="650"/>
      <c r="E532" s="650"/>
      <c r="F532" s="650"/>
      <c r="G532" s="650"/>
      <c r="H532" s="650"/>
      <c r="I532" s="650"/>
      <c r="J532" s="650"/>
      <c r="K532" s="650"/>
      <c r="L532" s="650"/>
      <c r="M532" s="650"/>
      <c r="N532" s="650"/>
      <c r="O532" s="650"/>
      <c r="P532" s="650"/>
      <c r="Q532" s="650"/>
      <c r="R532" s="650"/>
      <c r="S532" s="650"/>
      <c r="T532" s="650"/>
      <c r="U532" s="650"/>
      <c r="V532" s="650"/>
      <c r="W532" s="650"/>
      <c r="X532" s="650"/>
      <c r="Y532" s="650"/>
      <c r="Z532" s="650"/>
      <c r="AA532" s="638"/>
      <c r="AB532" s="638"/>
      <c r="AC532" s="638"/>
    </row>
    <row r="533" spans="1:68" ht="14.25" hidden="1" customHeight="1" x14ac:dyDescent="0.25">
      <c r="A533" s="649" t="s">
        <v>111</v>
      </c>
      <c r="B533" s="650"/>
      <c r="C533" s="650"/>
      <c r="D533" s="650"/>
      <c r="E533" s="650"/>
      <c r="F533" s="650"/>
      <c r="G533" s="650"/>
      <c r="H533" s="650"/>
      <c r="I533" s="650"/>
      <c r="J533" s="650"/>
      <c r="K533" s="650"/>
      <c r="L533" s="650"/>
      <c r="M533" s="650"/>
      <c r="N533" s="650"/>
      <c r="O533" s="650"/>
      <c r="P533" s="650"/>
      <c r="Q533" s="650"/>
      <c r="R533" s="650"/>
      <c r="S533" s="650"/>
      <c r="T533" s="650"/>
      <c r="U533" s="650"/>
      <c r="V533" s="650"/>
      <c r="W533" s="650"/>
      <c r="X533" s="650"/>
      <c r="Y533" s="650"/>
      <c r="Z533" s="650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61">
        <v>4640242180564</v>
      </c>
      <c r="E534" s="66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2"/>
      <c r="R534" s="652"/>
      <c r="S534" s="652"/>
      <c r="T534" s="653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7"/>
      <c r="B535" s="650"/>
      <c r="C535" s="650"/>
      <c r="D535" s="650"/>
      <c r="E535" s="650"/>
      <c r="F535" s="650"/>
      <c r="G535" s="650"/>
      <c r="H535" s="650"/>
      <c r="I535" s="650"/>
      <c r="J535" s="650"/>
      <c r="K535" s="650"/>
      <c r="L535" s="650"/>
      <c r="M535" s="650"/>
      <c r="N535" s="650"/>
      <c r="O535" s="658"/>
      <c r="P535" s="654" t="s">
        <v>72</v>
      </c>
      <c r="Q535" s="655"/>
      <c r="R535" s="655"/>
      <c r="S535" s="655"/>
      <c r="T535" s="655"/>
      <c r="U535" s="655"/>
      <c r="V535" s="656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0"/>
      <c r="B536" s="650"/>
      <c r="C536" s="650"/>
      <c r="D536" s="650"/>
      <c r="E536" s="650"/>
      <c r="F536" s="650"/>
      <c r="G536" s="650"/>
      <c r="H536" s="650"/>
      <c r="I536" s="650"/>
      <c r="J536" s="650"/>
      <c r="K536" s="650"/>
      <c r="L536" s="650"/>
      <c r="M536" s="650"/>
      <c r="N536" s="650"/>
      <c r="O536" s="658"/>
      <c r="P536" s="654" t="s">
        <v>72</v>
      </c>
      <c r="Q536" s="655"/>
      <c r="R536" s="655"/>
      <c r="S536" s="655"/>
      <c r="T536" s="655"/>
      <c r="U536" s="655"/>
      <c r="V536" s="656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49" t="s">
        <v>144</v>
      </c>
      <c r="B537" s="650"/>
      <c r="C537" s="650"/>
      <c r="D537" s="650"/>
      <c r="E537" s="650"/>
      <c r="F537" s="650"/>
      <c r="G537" s="650"/>
      <c r="H537" s="650"/>
      <c r="I537" s="650"/>
      <c r="J537" s="650"/>
      <c r="K537" s="650"/>
      <c r="L537" s="650"/>
      <c r="M537" s="650"/>
      <c r="N537" s="650"/>
      <c r="O537" s="650"/>
      <c r="P537" s="650"/>
      <c r="Q537" s="650"/>
      <c r="R537" s="650"/>
      <c r="S537" s="650"/>
      <c r="T537" s="650"/>
      <c r="U537" s="650"/>
      <c r="V537" s="650"/>
      <c r="W537" s="650"/>
      <c r="X537" s="650"/>
      <c r="Y537" s="650"/>
      <c r="Z537" s="650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61">
        <v>4640242180519</v>
      </c>
      <c r="E538" s="66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52"/>
      <c r="R538" s="652"/>
      <c r="S538" s="652"/>
      <c r="T538" s="653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7"/>
      <c r="B539" s="650"/>
      <c r="C539" s="650"/>
      <c r="D539" s="650"/>
      <c r="E539" s="650"/>
      <c r="F539" s="650"/>
      <c r="G539" s="650"/>
      <c r="H539" s="650"/>
      <c r="I539" s="650"/>
      <c r="J539" s="650"/>
      <c r="K539" s="650"/>
      <c r="L539" s="650"/>
      <c r="M539" s="650"/>
      <c r="N539" s="650"/>
      <c r="O539" s="658"/>
      <c r="P539" s="654" t="s">
        <v>72</v>
      </c>
      <c r="Q539" s="655"/>
      <c r="R539" s="655"/>
      <c r="S539" s="655"/>
      <c r="T539" s="655"/>
      <c r="U539" s="655"/>
      <c r="V539" s="656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0"/>
      <c r="B540" s="650"/>
      <c r="C540" s="650"/>
      <c r="D540" s="650"/>
      <c r="E540" s="650"/>
      <c r="F540" s="650"/>
      <c r="G540" s="650"/>
      <c r="H540" s="650"/>
      <c r="I540" s="650"/>
      <c r="J540" s="650"/>
      <c r="K540" s="650"/>
      <c r="L540" s="650"/>
      <c r="M540" s="650"/>
      <c r="N540" s="650"/>
      <c r="O540" s="658"/>
      <c r="P540" s="654" t="s">
        <v>72</v>
      </c>
      <c r="Q540" s="655"/>
      <c r="R540" s="655"/>
      <c r="S540" s="655"/>
      <c r="T540" s="655"/>
      <c r="U540" s="655"/>
      <c r="V540" s="656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49" t="s">
        <v>62</v>
      </c>
      <c r="B541" s="650"/>
      <c r="C541" s="650"/>
      <c r="D541" s="650"/>
      <c r="E541" s="650"/>
      <c r="F541" s="650"/>
      <c r="G541" s="650"/>
      <c r="H541" s="650"/>
      <c r="I541" s="650"/>
      <c r="J541" s="650"/>
      <c r="K541" s="650"/>
      <c r="L541" s="650"/>
      <c r="M541" s="650"/>
      <c r="N541" s="650"/>
      <c r="O541" s="650"/>
      <c r="P541" s="650"/>
      <c r="Q541" s="650"/>
      <c r="R541" s="650"/>
      <c r="S541" s="650"/>
      <c r="T541" s="650"/>
      <c r="U541" s="650"/>
      <c r="V541" s="650"/>
      <c r="W541" s="650"/>
      <c r="X541" s="650"/>
      <c r="Y541" s="650"/>
      <c r="Z541" s="650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61">
        <v>4640242180595</v>
      </c>
      <c r="E542" s="66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2"/>
      <c r="R542" s="652"/>
      <c r="S542" s="652"/>
      <c r="T542" s="653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7"/>
      <c r="B543" s="650"/>
      <c r="C543" s="650"/>
      <c r="D543" s="650"/>
      <c r="E543" s="650"/>
      <c r="F543" s="650"/>
      <c r="G543" s="650"/>
      <c r="H543" s="650"/>
      <c r="I543" s="650"/>
      <c r="J543" s="650"/>
      <c r="K543" s="650"/>
      <c r="L543" s="650"/>
      <c r="M543" s="650"/>
      <c r="N543" s="650"/>
      <c r="O543" s="658"/>
      <c r="P543" s="654" t="s">
        <v>72</v>
      </c>
      <c r="Q543" s="655"/>
      <c r="R543" s="655"/>
      <c r="S543" s="655"/>
      <c r="T543" s="655"/>
      <c r="U543" s="655"/>
      <c r="V543" s="656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0"/>
      <c r="B544" s="650"/>
      <c r="C544" s="650"/>
      <c r="D544" s="650"/>
      <c r="E544" s="650"/>
      <c r="F544" s="650"/>
      <c r="G544" s="650"/>
      <c r="H544" s="650"/>
      <c r="I544" s="650"/>
      <c r="J544" s="650"/>
      <c r="K544" s="650"/>
      <c r="L544" s="650"/>
      <c r="M544" s="650"/>
      <c r="N544" s="650"/>
      <c r="O544" s="658"/>
      <c r="P544" s="654" t="s">
        <v>72</v>
      </c>
      <c r="Q544" s="655"/>
      <c r="R544" s="655"/>
      <c r="S544" s="655"/>
      <c r="T544" s="655"/>
      <c r="U544" s="655"/>
      <c r="V544" s="656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49" t="s">
        <v>74</v>
      </c>
      <c r="B545" s="650"/>
      <c r="C545" s="650"/>
      <c r="D545" s="650"/>
      <c r="E545" s="650"/>
      <c r="F545" s="650"/>
      <c r="G545" s="650"/>
      <c r="H545" s="650"/>
      <c r="I545" s="650"/>
      <c r="J545" s="650"/>
      <c r="K545" s="650"/>
      <c r="L545" s="650"/>
      <c r="M545" s="650"/>
      <c r="N545" s="650"/>
      <c r="O545" s="650"/>
      <c r="P545" s="650"/>
      <c r="Q545" s="650"/>
      <c r="R545" s="650"/>
      <c r="S545" s="650"/>
      <c r="T545" s="650"/>
      <c r="U545" s="650"/>
      <c r="V545" s="650"/>
      <c r="W545" s="650"/>
      <c r="X545" s="650"/>
      <c r="Y545" s="650"/>
      <c r="Z545" s="650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61">
        <v>4640242180533</v>
      </c>
      <c r="E546" s="66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2"/>
      <c r="R546" s="652"/>
      <c r="S546" s="652"/>
      <c r="T546" s="653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7"/>
      <c r="B547" s="650"/>
      <c r="C547" s="650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8"/>
      <c r="P547" s="654" t="s">
        <v>72</v>
      </c>
      <c r="Q547" s="655"/>
      <c r="R547" s="655"/>
      <c r="S547" s="655"/>
      <c r="T547" s="655"/>
      <c r="U547" s="655"/>
      <c r="V547" s="656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0"/>
      <c r="B548" s="650"/>
      <c r="C548" s="650"/>
      <c r="D548" s="650"/>
      <c r="E548" s="650"/>
      <c r="F548" s="650"/>
      <c r="G548" s="650"/>
      <c r="H548" s="650"/>
      <c r="I548" s="650"/>
      <c r="J548" s="650"/>
      <c r="K548" s="650"/>
      <c r="L548" s="650"/>
      <c r="M548" s="650"/>
      <c r="N548" s="650"/>
      <c r="O548" s="658"/>
      <c r="P548" s="654" t="s">
        <v>72</v>
      </c>
      <c r="Q548" s="655"/>
      <c r="R548" s="655"/>
      <c r="S548" s="655"/>
      <c r="T548" s="655"/>
      <c r="U548" s="655"/>
      <c r="V548" s="656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49" t="s">
        <v>162</v>
      </c>
      <c r="B549" s="650"/>
      <c r="C549" s="650"/>
      <c r="D549" s="650"/>
      <c r="E549" s="650"/>
      <c r="F549" s="650"/>
      <c r="G549" s="650"/>
      <c r="H549" s="650"/>
      <c r="I549" s="650"/>
      <c r="J549" s="650"/>
      <c r="K549" s="650"/>
      <c r="L549" s="650"/>
      <c r="M549" s="650"/>
      <c r="N549" s="650"/>
      <c r="O549" s="650"/>
      <c r="P549" s="650"/>
      <c r="Q549" s="650"/>
      <c r="R549" s="650"/>
      <c r="S549" s="650"/>
      <c r="T549" s="650"/>
      <c r="U549" s="650"/>
      <c r="V549" s="650"/>
      <c r="W549" s="650"/>
      <c r="X549" s="650"/>
      <c r="Y549" s="650"/>
      <c r="Z549" s="650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61">
        <v>4640242180120</v>
      </c>
      <c r="E550" s="66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8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2"/>
      <c r="R550" s="652"/>
      <c r="S550" s="652"/>
      <c r="T550" s="653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61">
        <v>4640242180137</v>
      </c>
      <c r="E551" s="66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2"/>
      <c r="R551" s="652"/>
      <c r="S551" s="652"/>
      <c r="T551" s="653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7"/>
      <c r="B552" s="650"/>
      <c r="C552" s="650"/>
      <c r="D552" s="650"/>
      <c r="E552" s="650"/>
      <c r="F552" s="650"/>
      <c r="G552" s="650"/>
      <c r="H552" s="650"/>
      <c r="I552" s="650"/>
      <c r="J552" s="650"/>
      <c r="K552" s="650"/>
      <c r="L552" s="650"/>
      <c r="M552" s="650"/>
      <c r="N552" s="650"/>
      <c r="O552" s="658"/>
      <c r="P552" s="654" t="s">
        <v>72</v>
      </c>
      <c r="Q552" s="655"/>
      <c r="R552" s="655"/>
      <c r="S552" s="655"/>
      <c r="T552" s="655"/>
      <c r="U552" s="655"/>
      <c r="V552" s="656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0"/>
      <c r="B553" s="650"/>
      <c r="C553" s="650"/>
      <c r="D553" s="650"/>
      <c r="E553" s="650"/>
      <c r="F553" s="650"/>
      <c r="G553" s="650"/>
      <c r="H553" s="650"/>
      <c r="I553" s="650"/>
      <c r="J553" s="650"/>
      <c r="K553" s="650"/>
      <c r="L553" s="650"/>
      <c r="M553" s="650"/>
      <c r="N553" s="650"/>
      <c r="O553" s="658"/>
      <c r="P553" s="654" t="s">
        <v>72</v>
      </c>
      <c r="Q553" s="655"/>
      <c r="R553" s="655"/>
      <c r="S553" s="655"/>
      <c r="T553" s="655"/>
      <c r="U553" s="655"/>
      <c r="V553" s="656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6" t="s">
        <v>860</v>
      </c>
      <c r="B554" s="650"/>
      <c r="C554" s="650"/>
      <c r="D554" s="650"/>
      <c r="E554" s="650"/>
      <c r="F554" s="650"/>
      <c r="G554" s="650"/>
      <c r="H554" s="650"/>
      <c r="I554" s="650"/>
      <c r="J554" s="650"/>
      <c r="K554" s="650"/>
      <c r="L554" s="650"/>
      <c r="M554" s="650"/>
      <c r="N554" s="650"/>
      <c r="O554" s="650"/>
      <c r="P554" s="650"/>
      <c r="Q554" s="650"/>
      <c r="R554" s="650"/>
      <c r="S554" s="650"/>
      <c r="T554" s="650"/>
      <c r="U554" s="650"/>
      <c r="V554" s="650"/>
      <c r="W554" s="650"/>
      <c r="X554" s="650"/>
      <c r="Y554" s="650"/>
      <c r="Z554" s="650"/>
      <c r="AA554" s="638"/>
      <c r="AB554" s="638"/>
      <c r="AC554" s="638"/>
    </row>
    <row r="555" spans="1:68" ht="14.25" hidden="1" customHeight="1" x14ac:dyDescent="0.25">
      <c r="A555" s="649" t="s">
        <v>144</v>
      </c>
      <c r="B555" s="650"/>
      <c r="C555" s="650"/>
      <c r="D555" s="650"/>
      <c r="E555" s="650"/>
      <c r="F555" s="650"/>
      <c r="G555" s="650"/>
      <c r="H555" s="650"/>
      <c r="I555" s="650"/>
      <c r="J555" s="650"/>
      <c r="K555" s="650"/>
      <c r="L555" s="650"/>
      <c r="M555" s="650"/>
      <c r="N555" s="650"/>
      <c r="O555" s="650"/>
      <c r="P555" s="650"/>
      <c r="Q555" s="650"/>
      <c r="R555" s="650"/>
      <c r="S555" s="650"/>
      <c r="T555" s="650"/>
      <c r="U555" s="650"/>
      <c r="V555" s="650"/>
      <c r="W555" s="650"/>
      <c r="X555" s="650"/>
      <c r="Y555" s="650"/>
      <c r="Z555" s="650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61">
        <v>4640242180090</v>
      </c>
      <c r="E556" s="66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8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52"/>
      <c r="R556" s="652"/>
      <c r="S556" s="652"/>
      <c r="T556" s="653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7"/>
      <c r="B557" s="650"/>
      <c r="C557" s="650"/>
      <c r="D557" s="650"/>
      <c r="E557" s="650"/>
      <c r="F557" s="650"/>
      <c r="G557" s="650"/>
      <c r="H557" s="650"/>
      <c r="I557" s="650"/>
      <c r="J557" s="650"/>
      <c r="K557" s="650"/>
      <c r="L557" s="650"/>
      <c r="M557" s="650"/>
      <c r="N557" s="650"/>
      <c r="O557" s="658"/>
      <c r="P557" s="654" t="s">
        <v>72</v>
      </c>
      <c r="Q557" s="655"/>
      <c r="R557" s="655"/>
      <c r="S557" s="655"/>
      <c r="T557" s="655"/>
      <c r="U557" s="655"/>
      <c r="V557" s="656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0"/>
      <c r="B558" s="650"/>
      <c r="C558" s="650"/>
      <c r="D558" s="650"/>
      <c r="E558" s="650"/>
      <c r="F558" s="650"/>
      <c r="G558" s="650"/>
      <c r="H558" s="650"/>
      <c r="I558" s="650"/>
      <c r="J558" s="650"/>
      <c r="K558" s="650"/>
      <c r="L558" s="650"/>
      <c r="M558" s="650"/>
      <c r="N558" s="650"/>
      <c r="O558" s="658"/>
      <c r="P558" s="654" t="s">
        <v>72</v>
      </c>
      <c r="Q558" s="655"/>
      <c r="R558" s="655"/>
      <c r="S558" s="655"/>
      <c r="T558" s="655"/>
      <c r="U558" s="655"/>
      <c r="V558" s="656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69"/>
      <c r="B559" s="650"/>
      <c r="C559" s="650"/>
      <c r="D559" s="650"/>
      <c r="E559" s="650"/>
      <c r="F559" s="650"/>
      <c r="G559" s="650"/>
      <c r="H559" s="650"/>
      <c r="I559" s="650"/>
      <c r="J559" s="650"/>
      <c r="K559" s="650"/>
      <c r="L559" s="650"/>
      <c r="M559" s="650"/>
      <c r="N559" s="650"/>
      <c r="O559" s="834"/>
      <c r="P559" s="687" t="s">
        <v>864</v>
      </c>
      <c r="Q559" s="688"/>
      <c r="R559" s="688"/>
      <c r="S559" s="688"/>
      <c r="T559" s="688"/>
      <c r="U559" s="688"/>
      <c r="V559" s="689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1200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1214.1599999999999</v>
      </c>
      <c r="Z559" s="37"/>
      <c r="AA559" s="646"/>
      <c r="AB559" s="646"/>
      <c r="AC559" s="646"/>
    </row>
    <row r="560" spans="1:68" x14ac:dyDescent="0.2">
      <c r="A560" s="650"/>
      <c r="B560" s="650"/>
      <c r="C560" s="650"/>
      <c r="D560" s="650"/>
      <c r="E560" s="650"/>
      <c r="F560" s="650"/>
      <c r="G560" s="650"/>
      <c r="H560" s="650"/>
      <c r="I560" s="650"/>
      <c r="J560" s="650"/>
      <c r="K560" s="650"/>
      <c r="L560" s="650"/>
      <c r="M560" s="650"/>
      <c r="N560" s="650"/>
      <c r="O560" s="834"/>
      <c r="P560" s="687" t="s">
        <v>865</v>
      </c>
      <c r="Q560" s="688"/>
      <c r="R560" s="688"/>
      <c r="S560" s="688"/>
      <c r="T560" s="688"/>
      <c r="U560" s="688"/>
      <c r="V560" s="689"/>
      <c r="W560" s="37" t="s">
        <v>67</v>
      </c>
      <c r="X560" s="645">
        <f>IFERROR(SUM(BM22:BM556),"0")</f>
        <v>1278.5076599326599</v>
      </c>
      <c r="Y560" s="645">
        <f>IFERROR(SUM(BN22:BN556),"0")</f>
        <v>1293.4360000000001</v>
      </c>
      <c r="Z560" s="37"/>
      <c r="AA560" s="646"/>
      <c r="AB560" s="646"/>
      <c r="AC560" s="646"/>
    </row>
    <row r="561" spans="1:32" x14ac:dyDescent="0.2">
      <c r="A561" s="650"/>
      <c r="B561" s="650"/>
      <c r="C561" s="650"/>
      <c r="D561" s="650"/>
      <c r="E561" s="650"/>
      <c r="F561" s="650"/>
      <c r="G561" s="650"/>
      <c r="H561" s="650"/>
      <c r="I561" s="650"/>
      <c r="J561" s="650"/>
      <c r="K561" s="650"/>
      <c r="L561" s="650"/>
      <c r="M561" s="650"/>
      <c r="N561" s="650"/>
      <c r="O561" s="834"/>
      <c r="P561" s="687" t="s">
        <v>866</v>
      </c>
      <c r="Q561" s="688"/>
      <c r="R561" s="688"/>
      <c r="S561" s="688"/>
      <c r="T561" s="688"/>
      <c r="U561" s="688"/>
      <c r="V561" s="689"/>
      <c r="W561" s="37" t="s">
        <v>867</v>
      </c>
      <c r="X561" s="38">
        <f>ROUNDUP(SUM(BO22:BO556),0)</f>
        <v>3</v>
      </c>
      <c r="Y561" s="38">
        <f>ROUNDUP(SUM(BP22:BP556),0)</f>
        <v>3</v>
      </c>
      <c r="Z561" s="37"/>
      <c r="AA561" s="646"/>
      <c r="AB561" s="646"/>
      <c r="AC561" s="646"/>
    </row>
    <row r="562" spans="1:32" x14ac:dyDescent="0.2">
      <c r="A562" s="650"/>
      <c r="B562" s="650"/>
      <c r="C562" s="650"/>
      <c r="D562" s="650"/>
      <c r="E562" s="650"/>
      <c r="F562" s="650"/>
      <c r="G562" s="650"/>
      <c r="H562" s="650"/>
      <c r="I562" s="650"/>
      <c r="J562" s="650"/>
      <c r="K562" s="650"/>
      <c r="L562" s="650"/>
      <c r="M562" s="650"/>
      <c r="N562" s="650"/>
      <c r="O562" s="834"/>
      <c r="P562" s="687" t="s">
        <v>868</v>
      </c>
      <c r="Q562" s="688"/>
      <c r="R562" s="688"/>
      <c r="S562" s="688"/>
      <c r="T562" s="688"/>
      <c r="U562" s="688"/>
      <c r="V562" s="689"/>
      <c r="W562" s="37" t="s">
        <v>67</v>
      </c>
      <c r="X562" s="645">
        <f>GrossWeightTotal+PalletQtyTotal*25</f>
        <v>1353.5076599326599</v>
      </c>
      <c r="Y562" s="645">
        <f>GrossWeightTotalR+PalletQtyTotalR*25</f>
        <v>1368.4360000000001</v>
      </c>
      <c r="Z562" s="37"/>
      <c r="AA562" s="646"/>
      <c r="AB562" s="646"/>
      <c r="AC562" s="646"/>
    </row>
    <row r="563" spans="1:32" x14ac:dyDescent="0.2">
      <c r="A563" s="650"/>
      <c r="B563" s="650"/>
      <c r="C563" s="650"/>
      <c r="D563" s="650"/>
      <c r="E563" s="650"/>
      <c r="F563" s="650"/>
      <c r="G563" s="650"/>
      <c r="H563" s="650"/>
      <c r="I563" s="650"/>
      <c r="J563" s="650"/>
      <c r="K563" s="650"/>
      <c r="L563" s="650"/>
      <c r="M563" s="650"/>
      <c r="N563" s="650"/>
      <c r="O563" s="834"/>
      <c r="P563" s="687" t="s">
        <v>869</v>
      </c>
      <c r="Q563" s="688"/>
      <c r="R563" s="688"/>
      <c r="S563" s="688"/>
      <c r="T563" s="688"/>
      <c r="U563" s="688"/>
      <c r="V563" s="689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235.79966329966328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238</v>
      </c>
      <c r="Z563" s="37"/>
      <c r="AA563" s="646"/>
      <c r="AB563" s="646"/>
      <c r="AC563" s="646"/>
    </row>
    <row r="564" spans="1:32" ht="14.25" hidden="1" customHeight="1" x14ac:dyDescent="0.2">
      <c r="A564" s="650"/>
      <c r="B564" s="650"/>
      <c r="C564" s="650"/>
      <c r="D564" s="650"/>
      <c r="E564" s="650"/>
      <c r="F564" s="650"/>
      <c r="G564" s="650"/>
      <c r="H564" s="650"/>
      <c r="I564" s="650"/>
      <c r="J564" s="650"/>
      <c r="K564" s="650"/>
      <c r="L564" s="650"/>
      <c r="M564" s="650"/>
      <c r="N564" s="650"/>
      <c r="O564" s="834"/>
      <c r="P564" s="687" t="s">
        <v>870</v>
      </c>
      <c r="Q564" s="688"/>
      <c r="R564" s="688"/>
      <c r="S564" s="688"/>
      <c r="T564" s="688"/>
      <c r="U564" s="688"/>
      <c r="V564" s="689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2.7093800000000003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51"/>
      <c r="F566" s="851"/>
      <c r="G566" s="851"/>
      <c r="H566" s="851"/>
      <c r="I566" s="851"/>
      <c r="J566" s="775"/>
      <c r="K566" s="717" t="s">
        <v>349</v>
      </c>
      <c r="L566" s="851"/>
      <c r="M566" s="851"/>
      <c r="N566" s="851"/>
      <c r="O566" s="851"/>
      <c r="P566" s="851"/>
      <c r="Q566" s="851"/>
      <c r="R566" s="851"/>
      <c r="S566" s="851"/>
      <c r="T566" s="851"/>
      <c r="U566" s="851"/>
      <c r="V566" s="775"/>
      <c r="W566" s="717" t="s">
        <v>692</v>
      </c>
      <c r="X566" s="775"/>
      <c r="Y566" s="717" t="s">
        <v>758</v>
      </c>
      <c r="Z566" s="775"/>
      <c r="AA566" s="640" t="s">
        <v>794</v>
      </c>
      <c r="AB566" s="717" t="s">
        <v>841</v>
      </c>
      <c r="AC566" s="775"/>
      <c r="AF566" s="641"/>
    </row>
    <row r="567" spans="1:32" ht="14.25" customHeight="1" thickTop="1" x14ac:dyDescent="0.2">
      <c r="A567" s="822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3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0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100.8</v>
      </c>
      <c r="F569" s="46">
        <f>IFERROR(Y85*1,"0")+IFERROR(Y86*1,"0")+IFERROR(Y87*1,"0")+IFERROR(Y88*1,"0")+IFERROR(Y89*1,"0")+IFERROR(Y93*1,"0")+IFERROR(Y94*1,"0")+IFERROR(Y95*1,"0")+IFERROR(Y96*1,"0")+IFERROR(Y97*1,"0")+IFERROR(Y98*1,"0")</f>
        <v>108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0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150</v>
      </c>
      <c r="X569" s="46">
        <f>IFERROR(Y460*1,"0")+IFERROR(Y461*1,"0")+IFERROR(Y465*1,"0")+IFERROR(Y469*1,"0")+IFERROR(Y470*1,"0")+IFERROR(Y471*1,"0")</f>
        <v>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855.36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78,51"/>
        <filter val="1 353,51"/>
        <filter val="10,00"/>
        <filter val="100,00"/>
        <filter val="150,00"/>
        <filter val="235,80"/>
        <filter val="250,00"/>
        <filter val="3"/>
        <filter val="350,00"/>
        <filter val="500,00"/>
        <filter val="55,56"/>
        <filter val="66,29"/>
        <filter val="9,26"/>
        <filter val="94,70"/>
      </filters>
    </filterColumn>
    <filterColumn colId="29" showButton="0"/>
    <filterColumn colId="30" showButton="0"/>
  </autoFilter>
  <mergeCells count="1003">
    <mergeCell ref="D286:E286"/>
    <mergeCell ref="Y17:Y18"/>
    <mergeCell ref="D293:E293"/>
    <mergeCell ref="P510:T510"/>
    <mergeCell ref="P544:V544"/>
    <mergeCell ref="P519:V519"/>
    <mergeCell ref="D522:E522"/>
    <mergeCell ref="D567:D568"/>
    <mergeCell ref="P528:T528"/>
    <mergeCell ref="A204:Z204"/>
    <mergeCell ref="D196:E196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50:E550"/>
    <mergeCell ref="P123:T123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A555:Z555"/>
    <mergeCell ref="P433:T433"/>
    <mergeCell ref="D276:E276"/>
    <mergeCell ref="A549:Z549"/>
    <mergeCell ref="P262:T262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105:E105"/>
    <mergeCell ref="P81:V81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P553:V553"/>
    <mergeCell ref="P382:V382"/>
    <mergeCell ref="P188:T188"/>
    <mergeCell ref="P538:T538"/>
    <mergeCell ref="P377:T377"/>
    <mergeCell ref="D127:E127"/>
    <mergeCell ref="P448:T448"/>
    <mergeCell ref="P504:T504"/>
    <mergeCell ref="D347:E347"/>
    <mergeCell ref="P304:T304"/>
    <mergeCell ref="D285:E28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P419:V419"/>
    <mergeCell ref="D566:J566"/>
    <mergeCell ref="P294:T294"/>
    <mergeCell ref="P219:V219"/>
    <mergeCell ref="P145:V145"/>
    <mergeCell ref="P128:T128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2:W3"/>
    <mergeCell ref="A269:O270"/>
    <mergeCell ref="P133:T133"/>
    <mergeCell ref="P127:T127"/>
    <mergeCell ref="P298:T298"/>
    <mergeCell ref="P218:V218"/>
    <mergeCell ref="P363:V363"/>
    <mergeCell ref="D310:E310"/>
    <mergeCell ref="Q5:R5"/>
    <mergeCell ref="D234:E234"/>
    <mergeCell ref="D107:E107"/>
    <mergeCell ref="P65:T65"/>
    <mergeCell ref="A24:O25"/>
    <mergeCell ref="A21:Z21"/>
    <mergeCell ref="D184:E184"/>
    <mergeCell ref="D133:E133"/>
    <mergeCell ref="P381:V381"/>
    <mergeCell ref="A35:Z35"/>
    <mergeCell ref="D50:E50"/>
    <mergeCell ref="X17:X18"/>
    <mergeCell ref="D110:E110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P563:V563"/>
    <mergeCell ref="P539:V539"/>
    <mergeCell ref="P560:V560"/>
    <mergeCell ref="P125:T125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D367:E367"/>
    <mergeCell ref="D348:E348"/>
    <mergeCell ref="A388:O389"/>
    <mergeCell ref="A519:O520"/>
    <mergeCell ref="D56:E56"/>
    <mergeCell ref="D512:E512"/>
    <mergeCell ref="P525:T525"/>
    <mergeCell ref="D368:E368"/>
    <mergeCell ref="D506:E506"/>
    <mergeCell ref="P106:T106"/>
    <mergeCell ref="A223:O224"/>
    <mergeCell ref="D481:E481"/>
    <mergeCell ref="P226:T226"/>
    <mergeCell ref="P241:V241"/>
    <mergeCell ref="P483:V483"/>
    <mergeCell ref="D298:E298"/>
    <mergeCell ref="D181:E181"/>
    <mergeCell ref="D273:E273"/>
    <mergeCell ref="P156:T156"/>
    <mergeCell ref="J9:M9"/>
    <mergeCell ref="D283:E283"/>
    <mergeCell ref="A90:O91"/>
    <mergeCell ref="P389:V389"/>
    <mergeCell ref="P42:V42"/>
    <mergeCell ref="A9:C9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Q13:R13"/>
    <mergeCell ref="D318:E318"/>
    <mergeCell ref="P201:T201"/>
    <mergeCell ref="A220:Z220"/>
    <mergeCell ref="P139:T139"/>
    <mergeCell ref="P176:T176"/>
    <mergeCell ref="P247:T247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P38:T38"/>
    <mergeCell ref="D497:E497"/>
    <mergeCell ref="P109:T109"/>
    <mergeCell ref="D435:E435"/>
    <mergeCell ref="P274:T274"/>
    <mergeCell ref="D186:E186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O567:O568"/>
    <mergeCell ref="Q567:Q568"/>
    <mergeCell ref="P99:V99"/>
    <mergeCell ref="P341:V341"/>
    <mergeCell ref="A464:Z464"/>
    <mergeCell ref="P316:V316"/>
    <mergeCell ref="P212:T212"/>
    <mergeCell ref="P552:V552"/>
    <mergeCell ref="P567:P568"/>
    <mergeCell ref="P257:T257"/>
    <mergeCell ref="P164:T164"/>
    <mergeCell ref="A150:O151"/>
    <mergeCell ref="P120:V120"/>
    <mergeCell ref="P93:T93"/>
    <mergeCell ref="D299:E299"/>
    <mergeCell ref="D370:E370"/>
    <mergeCell ref="P517:T517"/>
    <mergeCell ref="D438:E438"/>
    <mergeCell ref="D509:E509"/>
    <mergeCell ref="D267:E267"/>
    <mergeCell ref="D425:E425"/>
    <mergeCell ref="D359:E359"/>
    <mergeCell ref="K566:V566"/>
    <mergeCell ref="P319:V319"/>
    <mergeCell ref="A325:O326"/>
    <mergeCell ref="P480:T480"/>
    <mergeCell ref="P556:T556"/>
    <mergeCell ref="A447:Z447"/>
    <mergeCell ref="A264:O265"/>
    <mergeCell ref="P550:T550"/>
    <mergeCell ref="P237:T237"/>
    <mergeCell ref="P472:V472"/>
    <mergeCell ref="A161:O162"/>
    <mergeCell ref="P564:V564"/>
    <mergeCell ref="P264:V264"/>
    <mergeCell ref="P335:V335"/>
    <mergeCell ref="P290:T290"/>
    <mergeCell ref="P233:T233"/>
    <mergeCell ref="D176:E176"/>
    <mergeCell ref="D412:E412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141:V141"/>
    <mergeCell ref="D114:E114"/>
    <mergeCell ref="P96:T96"/>
    <mergeCell ref="D86:E86"/>
    <mergeCell ref="D384:E384"/>
    <mergeCell ref="D213:E213"/>
    <mergeCell ref="D39:E39"/>
    <mergeCell ref="P80:T80"/>
    <mergeCell ref="D85:E85"/>
    <mergeCell ref="D222:E222"/>
    <mergeCell ref="V6:W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92:Z92"/>
    <mergeCell ref="P202:V202"/>
    <mergeCell ref="P380:T380"/>
    <mergeCell ref="P500:V500"/>
    <mergeCell ref="D190:E190"/>
    <mergeCell ref="P496:T496"/>
    <mergeCell ref="P374:T374"/>
    <mergeCell ref="A490:Z490"/>
    <mergeCell ref="D246:E246"/>
    <mergeCell ref="P536:V536"/>
    <mergeCell ref="P315:V315"/>
    <mergeCell ref="P115:T115"/>
    <mergeCell ref="A256:Z25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D115:E115"/>
    <mergeCell ref="P182:T182"/>
    <mergeCell ref="D30:E30"/>
    <mergeCell ref="P511:T511"/>
    <mergeCell ref="P526:T526"/>
    <mergeCell ref="A172:O173"/>
    <mergeCell ref="A54:Z54"/>
    <mergeCell ref="P100:V100"/>
    <mergeCell ref="P55:T55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A63:Z63"/>
    <mergeCell ref="D67:E67"/>
    <mergeCell ref="P160:T160"/>
    <mergeCell ref="P395:V395"/>
    <mergeCell ref="A84:Z84"/>
    <mergeCell ref="D185:E185"/>
    <mergeCell ref="A429:Z429"/>
    <mergeCell ref="A315:O316"/>
    <mergeCell ref="P397:T397"/>
    <mergeCell ref="A416:Z416"/>
    <mergeCell ref="A466:O467"/>
    <mergeCell ref="P361:T361"/>
    <mergeCell ref="D338:E338"/>
    <mergeCell ref="A295:O296"/>
    <mergeCell ref="D233:E233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P197:T197"/>
    <mergeCell ref="P547:V547"/>
    <mergeCell ref="P270:V270"/>
    <mergeCell ref="P463:V463"/>
    <mergeCell ref="A113:Z113"/>
    <mergeCell ref="A303:Z303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D96:E96"/>
    <mergeCell ref="A396:Z396"/>
    <mergeCell ref="D27:E27"/>
    <mergeCell ref="P62:V62"/>
    <mergeCell ref="P469:T469"/>
    <mergeCell ref="P198:V198"/>
    <mergeCell ref="A250:Z250"/>
    <mergeCell ref="D375:E375"/>
    <mergeCell ref="D108:E108"/>
    <mergeCell ref="A111:O112"/>
    <mergeCell ref="D369:E369"/>
    <mergeCell ref="A5:C5"/>
    <mergeCell ref="P406:T406"/>
    <mergeCell ref="P340:T340"/>
    <mergeCell ref="P135:V135"/>
    <mergeCell ref="P362:V362"/>
    <mergeCell ref="P51:V51"/>
    <mergeCell ref="D9:E9"/>
    <mergeCell ref="Q9:R9"/>
    <mergeCell ref="A15:M15"/>
    <mergeCell ref="A13:M13"/>
    <mergeCell ref="Q10:R10"/>
    <mergeCell ref="D41:E41"/>
    <mergeCell ref="A12:M12"/>
    <mergeCell ref="A19:Z19"/>
    <mergeCell ref="T5:U5"/>
    <mergeCell ref="D40:E40"/>
    <mergeCell ref="V5:W5"/>
    <mergeCell ref="D469:E469"/>
    <mergeCell ref="A142:Z142"/>
    <mergeCell ref="Q8:R8"/>
    <mergeCell ref="D183:E183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F567:F568"/>
    <mergeCell ref="H567:H568"/>
    <mergeCell ref="R567:R568"/>
    <mergeCell ref="P78:T78"/>
    <mergeCell ref="D322:E322"/>
    <mergeCell ref="P376:T376"/>
    <mergeCell ref="K567:K568"/>
    <mergeCell ref="C567:C568"/>
    <mergeCell ref="D289:E289"/>
    <mergeCell ref="E567:E568"/>
    <mergeCell ref="D482:E482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D47:E47"/>
    <mergeCell ref="D411:E41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B567:B568"/>
    <mergeCell ref="P542:T542"/>
    <mergeCell ref="V10:W10"/>
    <mergeCell ref="A422:Z422"/>
    <mergeCell ref="P366:T366"/>
    <mergeCell ref="A300:O301"/>
    <mergeCell ref="D287:E287"/>
    <mergeCell ref="P170:T170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90:V90"/>
    <mergeCell ref="P161:V161"/>
    <mergeCell ref="P462:V462"/>
    <mergeCell ref="A458:Z458"/>
    <mergeCell ref="A343:Z343"/>
    <mergeCell ref="P269:V269"/>
    <mergeCell ref="D448:E448"/>
    <mergeCell ref="A68:O69"/>
    <mergeCell ref="P246:T246"/>
    <mergeCell ref="D118:E118"/>
    <mergeCell ref="P408:V408"/>
    <mergeCell ref="P484:V484"/>
    <mergeCell ref="P499:V499"/>
    <mergeCell ref="A495:Z495"/>
    <mergeCell ref="D487:E487"/>
    <mergeCell ref="D517:E51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27:T527"/>
    <mergeCell ref="P331:T331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D470:E470"/>
    <mergeCell ref="P286:T286"/>
    <mergeCell ref="D158:E158"/>
    <mergeCell ref="D77:E77"/>
    <mergeCell ref="D229:E229"/>
    <mergeCell ref="D546:E546"/>
    <mergeCell ref="A545:Z545"/>
    <mergeCell ref="P117:T117"/>
    <mergeCell ref="D492:E492"/>
    <mergeCell ref="P540:V54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  <mergeCell ref="D376:E376"/>
    <mergeCell ref="D205:E205"/>
    <mergeCell ref="D78:E78"/>
    <mergeCell ref="A365:Z365"/>
    <mergeCell ref="P446:V446"/>
    <mergeCell ref="A445:O446"/>
    <mergeCell ref="P466:V466"/>
    <mergeCell ref="D479:E4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2026-09-06T12:56:20Z</cp:lastPrinted>
  <dcterms:created xsi:type="dcterms:W3CDTF">2021-11-12T12:13:19Z</dcterms:created>
  <dcterms:modified xsi:type="dcterms:W3CDTF">2026-09-07T06:23:08Z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