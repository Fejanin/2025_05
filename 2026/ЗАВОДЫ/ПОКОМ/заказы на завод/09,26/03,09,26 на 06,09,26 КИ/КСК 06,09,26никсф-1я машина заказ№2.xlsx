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8B34583-4807-45B6-AC80-EB1244F4D8D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Y547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X508" i="2"/>
  <c r="X507" i="2"/>
  <c r="BO506" i="2"/>
  <c r="BM506" i="2"/>
  <c r="Y506" i="2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P498" i="2"/>
  <c r="X494" i="2"/>
  <c r="X493" i="2"/>
  <c r="BO492" i="2"/>
  <c r="BM492" i="2"/>
  <c r="Y492" i="2"/>
  <c r="BN492" i="2" s="1"/>
  <c r="P492" i="2"/>
  <c r="BO491" i="2"/>
  <c r="BM491" i="2"/>
  <c r="Y491" i="2"/>
  <c r="BP491" i="2" s="1"/>
  <c r="P491" i="2"/>
  <c r="BO490" i="2"/>
  <c r="BM490" i="2"/>
  <c r="Y490" i="2"/>
  <c r="Y494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N481" i="2" s="1"/>
  <c r="P481" i="2"/>
  <c r="BO480" i="2"/>
  <c r="BM480" i="2"/>
  <c r="Y480" i="2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P471" i="2" s="1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P443" i="2"/>
  <c r="BO442" i="2"/>
  <c r="BM442" i="2"/>
  <c r="Y442" i="2"/>
  <c r="Y445" i="2" s="1"/>
  <c r="P442" i="2"/>
  <c r="X440" i="2"/>
  <c r="X439" i="2"/>
  <c r="BO438" i="2"/>
  <c r="BM438" i="2"/>
  <c r="Y438" i="2"/>
  <c r="P438" i="2"/>
  <c r="BO437" i="2"/>
  <c r="BM437" i="2"/>
  <c r="Y437" i="2"/>
  <c r="BN437" i="2" s="1"/>
  <c r="P437" i="2"/>
  <c r="BO436" i="2"/>
  <c r="BM436" i="2"/>
  <c r="Y436" i="2"/>
  <c r="P436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BN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P418" i="2" s="1"/>
  <c r="P418" i="2"/>
  <c r="BO417" i="2"/>
  <c r="BM417" i="2"/>
  <c r="Y417" i="2"/>
  <c r="Z417" i="2" s="1"/>
  <c r="P417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Y395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X376" i="2"/>
  <c r="X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P353" i="2"/>
  <c r="BO352" i="2"/>
  <c r="BM352" i="2"/>
  <c r="Y352" i="2"/>
  <c r="BP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3" i="2" s="1"/>
  <c r="P338" i="2"/>
  <c r="X335" i="2"/>
  <c r="X334" i="2"/>
  <c r="BO333" i="2"/>
  <c r="BM333" i="2"/>
  <c r="Y333" i="2"/>
  <c r="BP333" i="2" s="1"/>
  <c r="P333" i="2"/>
  <c r="BO332" i="2"/>
  <c r="BM332" i="2"/>
  <c r="Y332" i="2"/>
  <c r="Z332" i="2" s="1"/>
  <c r="P332" i="2"/>
  <c r="BO331" i="2"/>
  <c r="BM331" i="2"/>
  <c r="Y331" i="2"/>
  <c r="BP331" i="2" s="1"/>
  <c r="P331" i="2"/>
  <c r="X328" i="2"/>
  <c r="X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BP324" i="2" s="1"/>
  <c r="P324" i="2"/>
  <c r="BP323" i="2"/>
  <c r="BO323" i="2"/>
  <c r="BM323" i="2"/>
  <c r="Y323" i="2"/>
  <c r="P323" i="2"/>
  <c r="BO322" i="2"/>
  <c r="BM322" i="2"/>
  <c r="Y322" i="2"/>
  <c r="P322" i="2"/>
  <c r="X319" i="2"/>
  <c r="X318" i="2"/>
  <c r="BO317" i="2"/>
  <c r="BM317" i="2"/>
  <c r="Y317" i="2"/>
  <c r="BN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Z261" i="2" s="1"/>
  <c r="P261" i="2"/>
  <c r="BO260" i="2"/>
  <c r="BM260" i="2"/>
  <c r="Y260" i="2"/>
  <c r="BP260" i="2" s="1"/>
  <c r="P260" i="2"/>
  <c r="X258" i="2"/>
  <c r="X257" i="2"/>
  <c r="BO256" i="2"/>
  <c r="BM256" i="2"/>
  <c r="Y256" i="2"/>
  <c r="BN256" i="2" s="1"/>
  <c r="P256" i="2"/>
  <c r="BO255" i="2"/>
  <c r="BM255" i="2"/>
  <c r="Z255" i="2"/>
  <c r="Y255" i="2"/>
  <c r="Y258" i="2" s="1"/>
  <c r="P255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P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X212" i="2"/>
  <c r="X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N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Z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BO141" i="2"/>
  <c r="BM141" i="2"/>
  <c r="Y141" i="2"/>
  <c r="Y145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P123" i="2"/>
  <c r="X121" i="2"/>
  <c r="X120" i="2"/>
  <c r="BO119" i="2"/>
  <c r="BM119" i="2"/>
  <c r="Y119" i="2"/>
  <c r="BN119" i="2" s="1"/>
  <c r="P119" i="2"/>
  <c r="BO118" i="2"/>
  <c r="BM118" i="2"/>
  <c r="Y118" i="2"/>
  <c r="BN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Z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BP98" i="2" s="1"/>
  <c r="P98" i="2"/>
  <c r="X95" i="2"/>
  <c r="X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X88" i="2"/>
  <c r="X87" i="2"/>
  <c r="BO86" i="2"/>
  <c r="BM86" i="2"/>
  <c r="Y86" i="2"/>
  <c r="P86" i="2"/>
  <c r="BO85" i="2"/>
  <c r="BM85" i="2"/>
  <c r="Y85" i="2"/>
  <c r="Z85" i="2" s="1"/>
  <c r="P85" i="2"/>
  <c r="BO84" i="2"/>
  <c r="BM84" i="2"/>
  <c r="Y84" i="2"/>
  <c r="BP84" i="2" s="1"/>
  <c r="P84" i="2"/>
  <c r="BO83" i="2"/>
  <c r="BM83" i="2"/>
  <c r="Y83" i="2"/>
  <c r="BN83" i="2" s="1"/>
  <c r="P83" i="2"/>
  <c r="X80" i="2"/>
  <c r="X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Z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BN48" i="2" s="1"/>
  <c r="P48" i="2"/>
  <c r="X44" i="2"/>
  <c r="X43" i="2"/>
  <c r="BO42" i="2"/>
  <c r="BM42" i="2"/>
  <c r="Y42" i="2"/>
  <c r="BP42" i="2" s="1"/>
  <c r="P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A10" i="2" s="1"/>
  <c r="D7" i="2"/>
  <c r="Q6" i="2"/>
  <c r="P2" i="2"/>
  <c r="BN430" i="2" l="1"/>
  <c r="Z223" i="2"/>
  <c r="BP255" i="2"/>
  <c r="Z175" i="2"/>
  <c r="Z230" i="2"/>
  <c r="Z427" i="2"/>
  <c r="Z220" i="2"/>
  <c r="BN255" i="2"/>
  <c r="Z406" i="2"/>
  <c r="Z430" i="2"/>
  <c r="Z110" i="2"/>
  <c r="BN230" i="2"/>
  <c r="Z317" i="2"/>
  <c r="Z326" i="2"/>
  <c r="Z502" i="2"/>
  <c r="BP66" i="2"/>
  <c r="BP101" i="2"/>
  <c r="BP119" i="2"/>
  <c r="BN137" i="2"/>
  <c r="Z141" i="2"/>
  <c r="BN142" i="2"/>
  <c r="BN165" i="2"/>
  <c r="Z178" i="2"/>
  <c r="BN178" i="2"/>
  <c r="BN181" i="2"/>
  <c r="Z188" i="2"/>
  <c r="BP205" i="2"/>
  <c r="BN207" i="2"/>
  <c r="Z209" i="2"/>
  <c r="BP223" i="2"/>
  <c r="BN228" i="2"/>
  <c r="BN261" i="2"/>
  <c r="BN279" i="2"/>
  <c r="Z284" i="2"/>
  <c r="BN284" i="2"/>
  <c r="BN285" i="2"/>
  <c r="BN300" i="2"/>
  <c r="Z307" i="2"/>
  <c r="Z308" i="2" s="1"/>
  <c r="BP317" i="2"/>
  <c r="Z331" i="2"/>
  <c r="BN331" i="2"/>
  <c r="Z340" i="2"/>
  <c r="BN340" i="2"/>
  <c r="Z363" i="2"/>
  <c r="BN371" i="2"/>
  <c r="Z374" i="2"/>
  <c r="BN374" i="2"/>
  <c r="BN379" i="2"/>
  <c r="BN398" i="2"/>
  <c r="BN406" i="2"/>
  <c r="BN449" i="2"/>
  <c r="Z475" i="2"/>
  <c r="Z490" i="2"/>
  <c r="Z500" i="2"/>
  <c r="BP502" i="2"/>
  <c r="BN519" i="2"/>
  <c r="Y537" i="2"/>
  <c r="Y542" i="2"/>
  <c r="Z29" i="2"/>
  <c r="BN29" i="2"/>
  <c r="BN31" i="2"/>
  <c r="Z41" i="2"/>
  <c r="Z66" i="2"/>
  <c r="Z67" i="2"/>
  <c r="BN67" i="2"/>
  <c r="BN85" i="2"/>
  <c r="Z98" i="2"/>
  <c r="BN99" i="2"/>
  <c r="Z101" i="2"/>
  <c r="BP110" i="2"/>
  <c r="BN111" i="2"/>
  <c r="Z119" i="2"/>
  <c r="BN154" i="2"/>
  <c r="BP188" i="2"/>
  <c r="BN221" i="2"/>
  <c r="BN226" i="2"/>
  <c r="BN238" i="2"/>
  <c r="Z240" i="2"/>
  <c r="BN240" i="2"/>
  <c r="Y252" i="2"/>
  <c r="Y257" i="2"/>
  <c r="BP256" i="2"/>
  <c r="Y262" i="2"/>
  <c r="BN297" i="2"/>
  <c r="BP307" i="2"/>
  <c r="BN316" i="2"/>
  <c r="BN325" i="2"/>
  <c r="BN341" i="2"/>
  <c r="Z347" i="2"/>
  <c r="Y348" i="2"/>
  <c r="Z352" i="2"/>
  <c r="BN359" i="2"/>
  <c r="Z362" i="2"/>
  <c r="Z393" i="2"/>
  <c r="BN394" i="2"/>
  <c r="Z432" i="2"/>
  <c r="BN432" i="2"/>
  <c r="BN442" i="2"/>
  <c r="Y450" i="2"/>
  <c r="Z459" i="2"/>
  <c r="Z460" i="2" s="1"/>
  <c r="Y460" i="2"/>
  <c r="BP481" i="2"/>
  <c r="Z491" i="2"/>
  <c r="BN536" i="2"/>
  <c r="Y493" i="2"/>
  <c r="Z503" i="2"/>
  <c r="AA563" i="2"/>
  <c r="BP490" i="2"/>
  <c r="Y433" i="2"/>
  <c r="BN418" i="2"/>
  <c r="Z354" i="2"/>
  <c r="Z276" i="2"/>
  <c r="BN276" i="2"/>
  <c r="BN269" i="2"/>
  <c r="BN266" i="2"/>
  <c r="Z265" i="2"/>
  <c r="BN265" i="2"/>
  <c r="Z177" i="2"/>
  <c r="BP177" i="2"/>
  <c r="Z153" i="2"/>
  <c r="BN153" i="2"/>
  <c r="BN90" i="2"/>
  <c r="BP57" i="2"/>
  <c r="Z57" i="2"/>
  <c r="BN22" i="2"/>
  <c r="BN27" i="2"/>
  <c r="BP50" i="2"/>
  <c r="BN50" i="2"/>
  <c r="BN109" i="2"/>
  <c r="BP109" i="2"/>
  <c r="Z109" i="2"/>
  <c r="Y166" i="2"/>
  <c r="BN163" i="2"/>
  <c r="Y167" i="2"/>
  <c r="BN222" i="2"/>
  <c r="BP222" i="2"/>
  <c r="Z222" i="2"/>
  <c r="BP283" i="2"/>
  <c r="BN283" i="2"/>
  <c r="Z283" i="2"/>
  <c r="BN286" i="2"/>
  <c r="BP286" i="2"/>
  <c r="BN339" i="2"/>
  <c r="Z339" i="2"/>
  <c r="BN342" i="2"/>
  <c r="BP342" i="2"/>
  <c r="Z342" i="2"/>
  <c r="BP372" i="2"/>
  <c r="Z372" i="2"/>
  <c r="BP419" i="2"/>
  <c r="BN419" i="2"/>
  <c r="Z419" i="2"/>
  <c r="Y440" i="2"/>
  <c r="Z436" i="2"/>
  <c r="BN465" i="2"/>
  <c r="BP465" i="2"/>
  <c r="Z465" i="2"/>
  <c r="Z474" i="2"/>
  <c r="BN474" i="2"/>
  <c r="Z499" i="2"/>
  <c r="BN499" i="2"/>
  <c r="BN512" i="2"/>
  <c r="BP512" i="2"/>
  <c r="Z512" i="2"/>
  <c r="Z30" i="2"/>
  <c r="BN30" i="2"/>
  <c r="Z39" i="2"/>
  <c r="BN39" i="2"/>
  <c r="BP61" i="2"/>
  <c r="BN61" i="2"/>
  <c r="BP72" i="2"/>
  <c r="BP78" i="2"/>
  <c r="BN78" i="2"/>
  <c r="BN364" i="2"/>
  <c r="BP364" i="2"/>
  <c r="Z364" i="2"/>
  <c r="BN386" i="2"/>
  <c r="BP386" i="2"/>
  <c r="Z386" i="2"/>
  <c r="X563" i="2"/>
  <c r="Y456" i="2"/>
  <c r="Y457" i="2"/>
  <c r="BN455" i="2"/>
  <c r="BP455" i="2"/>
  <c r="Z455" i="2"/>
  <c r="BP506" i="2"/>
  <c r="Z506" i="2"/>
  <c r="BP22" i="2"/>
  <c r="E563" i="2"/>
  <c r="BN56" i="2"/>
  <c r="Y63" i="2"/>
  <c r="BP56" i="2"/>
  <c r="Z56" i="2"/>
  <c r="BN123" i="2"/>
  <c r="Y125" i="2"/>
  <c r="BP123" i="2"/>
  <c r="Y124" i="2"/>
  <c r="BN134" i="2"/>
  <c r="BP134" i="2"/>
  <c r="Z134" i="2"/>
  <c r="BN250" i="2"/>
  <c r="Z250" i="2"/>
  <c r="Z251" i="2" s="1"/>
  <c r="Z302" i="2"/>
  <c r="BN302" i="2"/>
  <c r="Y408" i="2"/>
  <c r="Z404" i="2"/>
  <c r="BN65" i="2"/>
  <c r="BP65" i="2"/>
  <c r="Z65" i="2"/>
  <c r="BN100" i="2"/>
  <c r="BP100" i="2"/>
  <c r="Z100" i="2"/>
  <c r="BN143" i="2"/>
  <c r="BP143" i="2"/>
  <c r="Z143" i="2"/>
  <c r="BN152" i="2"/>
  <c r="Z152" i="2"/>
  <c r="BN176" i="2"/>
  <c r="BP176" i="2"/>
  <c r="Z176" i="2"/>
  <c r="Z231" i="2"/>
  <c r="BP231" i="2"/>
  <c r="Z246" i="2"/>
  <c r="BN246" i="2"/>
  <c r="BP322" i="2"/>
  <c r="P563" i="2"/>
  <c r="Z323" i="2"/>
  <c r="BN323" i="2"/>
  <c r="BP339" i="2"/>
  <c r="Y356" i="2"/>
  <c r="BN353" i="2"/>
  <c r="BP353" i="2"/>
  <c r="Z353" i="2"/>
  <c r="Z355" i="2" s="1"/>
  <c r="BN429" i="2"/>
  <c r="Z429" i="2"/>
  <c r="BP443" i="2"/>
  <c r="Z443" i="2"/>
  <c r="BP474" i="2"/>
  <c r="Y478" i="2"/>
  <c r="BP499" i="2"/>
  <c r="BP520" i="2"/>
  <c r="Z520" i="2"/>
  <c r="BN38" i="2"/>
  <c r="BN41" i="2"/>
  <c r="BP48" i="2"/>
  <c r="BN49" i="2"/>
  <c r="BP118" i="2"/>
  <c r="H563" i="2"/>
  <c r="BP181" i="2"/>
  <c r="BN183" i="2"/>
  <c r="Y217" i="2"/>
  <c r="BN236" i="2"/>
  <c r="Y242" i="2"/>
  <c r="BP269" i="2"/>
  <c r="BN271" i="2"/>
  <c r="BP279" i="2"/>
  <c r="BN281" i="2"/>
  <c r="BN291" i="2"/>
  <c r="Y309" i="2"/>
  <c r="BP369" i="2"/>
  <c r="Y389" i="2"/>
  <c r="BP391" i="2"/>
  <c r="BP437" i="2"/>
  <c r="BP444" i="2"/>
  <c r="Y446" i="2"/>
  <c r="Y523" i="2"/>
  <c r="BP517" i="2"/>
  <c r="BP522" i="2"/>
  <c r="BP31" i="2"/>
  <c r="BP59" i="2"/>
  <c r="Z99" i="2"/>
  <c r="BP104" i="2"/>
  <c r="BP108" i="2"/>
  <c r="Z118" i="2"/>
  <c r="Z142" i="2"/>
  <c r="BP150" i="2"/>
  <c r="Z154" i="2"/>
  <c r="Z165" i="2"/>
  <c r="BP175" i="2"/>
  <c r="BN209" i="2"/>
  <c r="Z221" i="2"/>
  <c r="Z266" i="2"/>
  <c r="Z285" i="2"/>
  <c r="BP300" i="2"/>
  <c r="BN307" i="2"/>
  <c r="Z316" i="2"/>
  <c r="Z341" i="2"/>
  <c r="BP347" i="2"/>
  <c r="Z373" i="2"/>
  <c r="Y382" i="2"/>
  <c r="Z385" i="2"/>
  <c r="BP385" i="2"/>
  <c r="Z391" i="2"/>
  <c r="Z394" i="2"/>
  <c r="BP398" i="2"/>
  <c r="Z400" i="2"/>
  <c r="Z405" i="2"/>
  <c r="Z418" i="2"/>
  <c r="Z420" i="2" s="1"/>
  <c r="Z426" i="2"/>
  <c r="BP427" i="2"/>
  <c r="Z431" i="2"/>
  <c r="Z437" i="2"/>
  <c r="Z442" i="2"/>
  <c r="Z445" i="2" s="1"/>
  <c r="BP442" i="2"/>
  <c r="Y477" i="2"/>
  <c r="BP472" i="2"/>
  <c r="BN490" i="2"/>
  <c r="BP492" i="2"/>
  <c r="BP504" i="2"/>
  <c r="Y530" i="2"/>
  <c r="BP536" i="2"/>
  <c r="Z550" i="2"/>
  <c r="Z551" i="2" s="1"/>
  <c r="BN51" i="2"/>
  <c r="Z90" i="2"/>
  <c r="Z108" i="2"/>
  <c r="Z111" i="2"/>
  <c r="Y120" i="2"/>
  <c r="BP116" i="2"/>
  <c r="BN129" i="2"/>
  <c r="BP137" i="2"/>
  <c r="Y144" i="2"/>
  <c r="BP141" i="2"/>
  <c r="Y216" i="2"/>
  <c r="BP220" i="2"/>
  <c r="BP226" i="2"/>
  <c r="BP236" i="2"/>
  <c r="Z297" i="2"/>
  <c r="BP354" i="2"/>
  <c r="BN361" i="2"/>
  <c r="BN369" i="2"/>
  <c r="BP379" i="2"/>
  <c r="BN381" i="2"/>
  <c r="BP393" i="2"/>
  <c r="Y413" i="2"/>
  <c r="BP412" i="2"/>
  <c r="Y420" i="2"/>
  <c r="BP417" i="2"/>
  <c r="Y421" i="2"/>
  <c r="BN444" i="2"/>
  <c r="BP449" i="2"/>
  <c r="Y467" i="2"/>
  <c r="Y514" i="2"/>
  <c r="BN517" i="2"/>
  <c r="BN522" i="2"/>
  <c r="Y160" i="2"/>
  <c r="Y159" i="2"/>
  <c r="BP158" i="2"/>
  <c r="BP179" i="2"/>
  <c r="BN179" i="2"/>
  <c r="BP303" i="2"/>
  <c r="BN303" i="2"/>
  <c r="Z563" i="2"/>
  <c r="Y488" i="2"/>
  <c r="Y487" i="2"/>
  <c r="BP486" i="2"/>
  <c r="BN486" i="2"/>
  <c r="Z486" i="2"/>
  <c r="Z487" i="2" s="1"/>
  <c r="Z158" i="2"/>
  <c r="Z159" i="2" s="1"/>
  <c r="Z179" i="2"/>
  <c r="Y274" i="2"/>
  <c r="Y273" i="2"/>
  <c r="BP267" i="2"/>
  <c r="BN267" i="2"/>
  <c r="Z303" i="2"/>
  <c r="BP86" i="2"/>
  <c r="BN86" i="2"/>
  <c r="BP189" i="2"/>
  <c r="BN189" i="2"/>
  <c r="Y191" i="2"/>
  <c r="Y200" i="2"/>
  <c r="Y199" i="2"/>
  <c r="Z198" i="2"/>
  <c r="Z199" i="2" s="1"/>
  <c r="Y234" i="2"/>
  <c r="Y233" i="2"/>
  <c r="BP219" i="2"/>
  <c r="BN219" i="2"/>
  <c r="Z219" i="2"/>
  <c r="L563" i="2"/>
  <c r="Y248" i="2"/>
  <c r="BP244" i="2"/>
  <c r="Y247" i="2"/>
  <c r="BN244" i="2"/>
  <c r="BP73" i="2"/>
  <c r="BN73" i="2"/>
  <c r="Z73" i="2"/>
  <c r="Z74" i="2" s="1"/>
  <c r="Z86" i="2"/>
  <c r="BN158" i="2"/>
  <c r="Z189" i="2"/>
  <c r="BP229" i="2"/>
  <c r="BN229" i="2"/>
  <c r="Y289" i="2"/>
  <c r="Y288" i="2"/>
  <c r="BP277" i="2"/>
  <c r="BN277" i="2"/>
  <c r="X554" i="2"/>
  <c r="BN198" i="2"/>
  <c r="Z229" i="2"/>
  <c r="Z277" i="2"/>
  <c r="Z287" i="2"/>
  <c r="Y186" i="2"/>
  <c r="Y185" i="2"/>
  <c r="BP174" i="2"/>
  <c r="BN174" i="2"/>
  <c r="Z174" i="2"/>
  <c r="BP239" i="2"/>
  <c r="BN239" i="2"/>
  <c r="Z42" i="2"/>
  <c r="Y106" i="2"/>
  <c r="BP102" i="2"/>
  <c r="Y105" i="2"/>
  <c r="BN102" i="2"/>
  <c r="BP184" i="2"/>
  <c r="BN184" i="2"/>
  <c r="BP198" i="2"/>
  <c r="BN210" i="2"/>
  <c r="Z239" i="2"/>
  <c r="BN287" i="2"/>
  <c r="Y334" i="2"/>
  <c r="BP332" i="2"/>
  <c r="BN332" i="2"/>
  <c r="Y335" i="2"/>
  <c r="Y482" i="2"/>
  <c r="BP480" i="2"/>
  <c r="BN480" i="2"/>
  <c r="Y483" i="2"/>
  <c r="BP49" i="2"/>
  <c r="X555" i="2"/>
  <c r="Y139" i="2"/>
  <c r="BP135" i="2"/>
  <c r="BN135" i="2"/>
  <c r="Y138" i="2"/>
  <c r="BP272" i="2"/>
  <c r="BN272" i="2"/>
  <c r="Y319" i="2"/>
  <c r="BP315" i="2"/>
  <c r="Y318" i="2"/>
  <c r="BN315" i="2"/>
  <c r="BP428" i="2"/>
  <c r="BN428" i="2"/>
  <c r="Z428" i="2"/>
  <c r="Z480" i="2"/>
  <c r="BN42" i="2"/>
  <c r="Y70" i="2"/>
  <c r="Y69" i="2"/>
  <c r="BP68" i="2"/>
  <c r="BN68" i="2"/>
  <c r="Z135" i="2"/>
  <c r="J563" i="2"/>
  <c r="BP210" i="2"/>
  <c r="Z272" i="2"/>
  <c r="Z315" i="2"/>
  <c r="Y80" i="2"/>
  <c r="Y79" i="2"/>
  <c r="BN93" i="2"/>
  <c r="Y121" i="2"/>
  <c r="BP117" i="2"/>
  <c r="BN117" i="2"/>
  <c r="Z117" i="2"/>
  <c r="Z120" i="2" s="1"/>
  <c r="BP151" i="2"/>
  <c r="BN151" i="2"/>
  <c r="Z151" i="2"/>
  <c r="BP282" i="2"/>
  <c r="BN282" i="2"/>
  <c r="Y396" i="2"/>
  <c r="BP392" i="2"/>
  <c r="BN392" i="2"/>
  <c r="Z392" i="2"/>
  <c r="W563" i="2"/>
  <c r="Y434" i="2"/>
  <c r="BP425" i="2"/>
  <c r="Z425" i="2"/>
  <c r="Y563" i="2"/>
  <c r="BP505" i="2"/>
  <c r="Z505" i="2"/>
  <c r="Y32" i="2"/>
  <c r="BP28" i="2"/>
  <c r="BN28" i="2"/>
  <c r="Z77" i="2"/>
  <c r="Z282" i="2"/>
  <c r="Y534" i="2"/>
  <c r="Y533" i="2"/>
  <c r="BP532" i="2"/>
  <c r="BN532" i="2"/>
  <c r="Z532" i="2"/>
  <c r="Z533" i="2" s="1"/>
  <c r="F563" i="2"/>
  <c r="Y88" i="2"/>
  <c r="Y87" i="2"/>
  <c r="Z83" i="2"/>
  <c r="Z28" i="2"/>
  <c r="Z32" i="2" s="1"/>
  <c r="BP93" i="2"/>
  <c r="Y132" i="2"/>
  <c r="BP130" i="2"/>
  <c r="BN130" i="2"/>
  <c r="I563" i="2"/>
  <c r="Y155" i="2"/>
  <c r="BP148" i="2"/>
  <c r="Y171" i="2"/>
  <c r="BP169" i="2"/>
  <c r="BN169" i="2"/>
  <c r="BP208" i="2"/>
  <c r="BN208" i="2"/>
  <c r="BN425" i="2"/>
  <c r="BN505" i="2"/>
  <c r="BP83" i="2"/>
  <c r="BN60" i="2"/>
  <c r="BN23" i="2"/>
  <c r="Y33" i="2"/>
  <c r="BP40" i="2"/>
  <c r="BN40" i="2"/>
  <c r="BN77" i="2"/>
  <c r="Z130" i="2"/>
  <c r="Z148" i="2"/>
  <c r="Z169" i="2"/>
  <c r="Y192" i="2"/>
  <c r="Z208" i="2"/>
  <c r="Y305" i="2"/>
  <c r="Y304" i="2"/>
  <c r="BP298" i="2"/>
  <c r="BN298" i="2"/>
  <c r="O563" i="2"/>
  <c r="BP164" i="2"/>
  <c r="BN164" i="2"/>
  <c r="T563" i="2"/>
  <c r="Z23" i="2"/>
  <c r="C563" i="2"/>
  <c r="Y44" i="2"/>
  <c r="Y43" i="2"/>
  <c r="Z37" i="2"/>
  <c r="BP77" i="2"/>
  <c r="Y113" i="2"/>
  <c r="BP112" i="2"/>
  <c r="BN112" i="2"/>
  <c r="BN148" i="2"/>
  <c r="Z164" i="2"/>
  <c r="Y196" i="2"/>
  <c r="Y195" i="2"/>
  <c r="BP194" i="2"/>
  <c r="BN194" i="2"/>
  <c r="Z194" i="2"/>
  <c r="Z195" i="2" s="1"/>
  <c r="Y211" i="2"/>
  <c r="Y388" i="2"/>
  <c r="BP387" i="2"/>
  <c r="BN387" i="2"/>
  <c r="BP544" i="2"/>
  <c r="BN544" i="2"/>
  <c r="Z544" i="2"/>
  <c r="Y546" i="2"/>
  <c r="Z24" i="2"/>
  <c r="Y24" i="2"/>
  <c r="Y75" i="2"/>
  <c r="G563" i="2"/>
  <c r="Z112" i="2"/>
  <c r="BP224" i="2"/>
  <c r="BN224" i="2"/>
  <c r="Z387" i="2"/>
  <c r="Z388" i="2" s="1"/>
  <c r="BP438" i="2"/>
  <c r="BN438" i="2"/>
  <c r="Z438" i="2"/>
  <c r="Z439" i="2" s="1"/>
  <c r="F10" i="2"/>
  <c r="J9" i="2"/>
  <c r="H9" i="2"/>
  <c r="X553" i="2"/>
  <c r="BN37" i="2"/>
  <c r="Y95" i="2"/>
  <c r="BP91" i="2"/>
  <c r="BN91" i="2"/>
  <c r="Y94" i="2"/>
  <c r="Y156" i="2"/>
  <c r="BN231" i="2"/>
  <c r="Y241" i="2"/>
  <c r="Y294" i="2"/>
  <c r="Y293" i="2"/>
  <c r="BP292" i="2"/>
  <c r="BN292" i="2"/>
  <c r="Y401" i="2"/>
  <c r="BP399" i="2"/>
  <c r="Z399" i="2"/>
  <c r="BP60" i="2"/>
  <c r="X557" i="2"/>
  <c r="F9" i="2"/>
  <c r="Y52" i="2"/>
  <c r="Y62" i="2"/>
  <c r="BP58" i="2"/>
  <c r="BN58" i="2"/>
  <c r="Z91" i="2"/>
  <c r="BN104" i="2"/>
  <c r="Z292" i="2"/>
  <c r="Z293" i="2" s="1"/>
  <c r="Q563" i="2"/>
  <c r="BP338" i="2"/>
  <c r="BN338" i="2"/>
  <c r="R563" i="2"/>
  <c r="Y344" i="2"/>
  <c r="Z338" i="2"/>
  <c r="BP27" i="2"/>
  <c r="BP39" i="2"/>
  <c r="BP51" i="2"/>
  <c r="BN72" i="2"/>
  <c r="BP85" i="2"/>
  <c r="BN116" i="2"/>
  <c r="BP129" i="2"/>
  <c r="BP163" i="2"/>
  <c r="BP183" i="2"/>
  <c r="Z205" i="2"/>
  <c r="BP207" i="2"/>
  <c r="BP228" i="2"/>
  <c r="BP238" i="2"/>
  <c r="Y251" i="2"/>
  <c r="BP261" i="2"/>
  <c r="BP271" i="2"/>
  <c r="BP281" i="2"/>
  <c r="BP291" i="2"/>
  <c r="BP302" i="2"/>
  <c r="Y313" i="2"/>
  <c r="BP325" i="2"/>
  <c r="Z359" i="2"/>
  <c r="BP361" i="2"/>
  <c r="BP371" i="2"/>
  <c r="BP381" i="2"/>
  <c r="BN391" i="2"/>
  <c r="Y402" i="2"/>
  <c r="Z412" i="2"/>
  <c r="Y461" i="2"/>
  <c r="Z472" i="2"/>
  <c r="Y508" i="2"/>
  <c r="Z517" i="2"/>
  <c r="BP519" i="2"/>
  <c r="K563" i="2"/>
  <c r="M563" i="2"/>
  <c r="Y263" i="2"/>
  <c r="BN326" i="2"/>
  <c r="BN362" i="2"/>
  <c r="Y365" i="2"/>
  <c r="BN372" i="2"/>
  <c r="Y375" i="2"/>
  <c r="Y383" i="2"/>
  <c r="BN404" i="2"/>
  <c r="Y407" i="2"/>
  <c r="Y451" i="2"/>
  <c r="BN463" i="2"/>
  <c r="Y466" i="2"/>
  <c r="BN475" i="2"/>
  <c r="BN500" i="2"/>
  <c r="BN510" i="2"/>
  <c r="Y513" i="2"/>
  <c r="BN520" i="2"/>
  <c r="Y53" i="2"/>
  <c r="Z78" i="2"/>
  <c r="Z232" i="2"/>
  <c r="Z38" i="2"/>
  <c r="Z50" i="2"/>
  <c r="Z61" i="2"/>
  <c r="Z84" i="2"/>
  <c r="Z128" i="2"/>
  <c r="Z182" i="2"/>
  <c r="Z206" i="2"/>
  <c r="Z227" i="2"/>
  <c r="Z237" i="2"/>
  <c r="Z260" i="2"/>
  <c r="Z262" i="2" s="1"/>
  <c r="Z270" i="2"/>
  <c r="Z280" i="2"/>
  <c r="Z301" i="2"/>
  <c r="Z324" i="2"/>
  <c r="Y349" i="2"/>
  <c r="Z360" i="2"/>
  <c r="Z370" i="2"/>
  <c r="Z380" i="2"/>
  <c r="BP404" i="2"/>
  <c r="Z448" i="2"/>
  <c r="Z450" i="2" s="1"/>
  <c r="BP463" i="2"/>
  <c r="Z473" i="2"/>
  <c r="Z498" i="2"/>
  <c r="BP510" i="2"/>
  <c r="Z518" i="2"/>
  <c r="S563" i="2"/>
  <c r="Y212" i="2"/>
  <c r="BN232" i="2"/>
  <c r="Y366" i="2"/>
  <c r="Y376" i="2"/>
  <c r="BN443" i="2"/>
  <c r="Z454" i="2"/>
  <c r="Z456" i="2" s="1"/>
  <c r="BN491" i="2"/>
  <c r="BN503" i="2"/>
  <c r="Y524" i="2"/>
  <c r="Y538" i="2"/>
  <c r="BN550" i="2"/>
  <c r="BN84" i="2"/>
  <c r="BN128" i="2"/>
  <c r="Y131" i="2"/>
  <c r="Z149" i="2"/>
  <c r="BN182" i="2"/>
  <c r="BN206" i="2"/>
  <c r="BN227" i="2"/>
  <c r="BN237" i="2"/>
  <c r="BN260" i="2"/>
  <c r="BN270" i="2"/>
  <c r="BN280" i="2"/>
  <c r="BN301" i="2"/>
  <c r="Z311" i="2"/>
  <c r="Z312" i="2" s="1"/>
  <c r="BN324" i="2"/>
  <c r="Y327" i="2"/>
  <c r="Z346" i="2"/>
  <c r="BN360" i="2"/>
  <c r="BN370" i="2"/>
  <c r="BN380" i="2"/>
  <c r="Y414" i="2"/>
  <c r="BN448" i="2"/>
  <c r="BN473" i="2"/>
  <c r="BN498" i="2"/>
  <c r="BN518" i="2"/>
  <c r="B563" i="2"/>
  <c r="U563" i="2"/>
  <c r="BN431" i="2"/>
  <c r="BN454" i="2"/>
  <c r="Z464" i="2"/>
  <c r="Z466" i="2" s="1"/>
  <c r="Z476" i="2"/>
  <c r="Z501" i="2"/>
  <c r="Z511" i="2"/>
  <c r="Z521" i="2"/>
  <c r="BP550" i="2"/>
  <c r="V563" i="2"/>
  <c r="Y25" i="2"/>
  <c r="Z48" i="2"/>
  <c r="Z52" i="2" s="1"/>
  <c r="Z59" i="2"/>
  <c r="Y74" i="2"/>
  <c r="Z92" i="2"/>
  <c r="Z103" i="2"/>
  <c r="Z105" i="2" s="1"/>
  <c r="BP128" i="2"/>
  <c r="Z136" i="2"/>
  <c r="Z138" i="2" s="1"/>
  <c r="BN149" i="2"/>
  <c r="Z170" i="2"/>
  <c r="Z180" i="2"/>
  <c r="Z190" i="2"/>
  <c r="Z191" i="2" s="1"/>
  <c r="Z204" i="2"/>
  <c r="Z215" i="2"/>
  <c r="Z216" i="2" s="1"/>
  <c r="Z225" i="2"/>
  <c r="Z245" i="2"/>
  <c r="Z247" i="2" s="1"/>
  <c r="Z268" i="2"/>
  <c r="Z278" i="2"/>
  <c r="Z299" i="2"/>
  <c r="BN311" i="2"/>
  <c r="Z322" i="2"/>
  <c r="Z333" i="2"/>
  <c r="Z334" i="2" s="1"/>
  <c r="BN346" i="2"/>
  <c r="Z368" i="2"/>
  <c r="Z378" i="2"/>
  <c r="BN400" i="2"/>
  <c r="Z411" i="2"/>
  <c r="Z413" i="2" s="1"/>
  <c r="BN426" i="2"/>
  <c r="BN436" i="2"/>
  <c r="Y439" i="2"/>
  <c r="BN459" i="2"/>
  <c r="Z471" i="2"/>
  <c r="Z481" i="2"/>
  <c r="BP498" i="2"/>
  <c r="BN506" i="2"/>
  <c r="Z516" i="2"/>
  <c r="Z528" i="2"/>
  <c r="Z529" i="2" s="1"/>
  <c r="Z540" i="2"/>
  <c r="Z541" i="2" s="1"/>
  <c r="D563" i="2"/>
  <c r="Y328" i="2"/>
  <c r="BN352" i="2"/>
  <c r="Y355" i="2"/>
  <c r="BN363" i="2"/>
  <c r="BN373" i="2"/>
  <c r="BN405" i="2"/>
  <c r="BP454" i="2"/>
  <c r="BN464" i="2"/>
  <c r="BN476" i="2"/>
  <c r="BN501" i="2"/>
  <c r="BN511" i="2"/>
  <c r="BN521" i="2"/>
  <c r="Z545" i="2"/>
  <c r="Y551" i="2"/>
  <c r="BN92" i="2"/>
  <c r="BN103" i="2"/>
  <c r="Y114" i="2"/>
  <c r="Z123" i="2"/>
  <c r="Z124" i="2" s="1"/>
  <c r="BN136" i="2"/>
  <c r="BN170" i="2"/>
  <c r="BN180" i="2"/>
  <c r="BN190" i="2"/>
  <c r="BN204" i="2"/>
  <c r="BN215" i="2"/>
  <c r="BN225" i="2"/>
  <c r="BN245" i="2"/>
  <c r="Z256" i="2"/>
  <c r="Z257" i="2" s="1"/>
  <c r="BN268" i="2"/>
  <c r="BN278" i="2"/>
  <c r="Z286" i="2"/>
  <c r="BN299" i="2"/>
  <c r="BP311" i="2"/>
  <c r="BN322" i="2"/>
  <c r="BN333" i="2"/>
  <c r="BN368" i="2"/>
  <c r="BN378" i="2"/>
  <c r="BN411" i="2"/>
  <c r="BP436" i="2"/>
  <c r="BN471" i="2"/>
  <c r="Z492" i="2"/>
  <c r="Z504" i="2"/>
  <c r="BN516" i="2"/>
  <c r="BN528" i="2"/>
  <c r="BN540" i="2"/>
  <c r="BN98" i="2"/>
  <c r="BN141" i="2"/>
  <c r="Z163" i="2"/>
  <c r="Z166" i="2" s="1"/>
  <c r="BN417" i="2"/>
  <c r="BN545" i="2"/>
  <c r="Y507" i="2"/>
  <c r="BP528" i="2"/>
  <c r="BP540" i="2"/>
  <c r="Y552" i="2"/>
  <c r="AB563" i="2"/>
  <c r="Z513" i="2" l="1"/>
  <c r="Z241" i="2"/>
  <c r="Z401" i="2"/>
  <c r="Z433" i="2"/>
  <c r="Z395" i="2"/>
  <c r="Z318" i="2"/>
  <c r="Z144" i="2"/>
  <c r="Z69" i="2"/>
  <c r="Z273" i="2"/>
  <c r="Z477" i="2"/>
  <c r="Z493" i="2"/>
  <c r="Z382" i="2"/>
  <c r="Z211" i="2"/>
  <c r="Z62" i="2"/>
  <c r="Z348" i="2"/>
  <c r="Z304" i="2"/>
  <c r="Z131" i="2"/>
  <c r="Z343" i="2"/>
  <c r="Z113" i="2"/>
  <c r="Z375" i="2"/>
  <c r="Z288" i="2"/>
  <c r="Z365" i="2"/>
  <c r="Z43" i="2"/>
  <c r="Z87" i="2"/>
  <c r="Z407" i="2"/>
  <c r="Y555" i="2"/>
  <c r="Z94" i="2"/>
  <c r="Z546" i="2"/>
  <c r="Y554" i="2"/>
  <c r="Z185" i="2"/>
  <c r="Y557" i="2"/>
  <c r="Z507" i="2"/>
  <c r="Z171" i="2"/>
  <c r="Z155" i="2"/>
  <c r="Z79" i="2"/>
  <c r="Z523" i="2"/>
  <c r="X556" i="2"/>
  <c r="Y553" i="2"/>
  <c r="Z482" i="2"/>
  <c r="Z233" i="2"/>
  <c r="Z327" i="2"/>
  <c r="Z558" i="2" l="1"/>
  <c r="Y556" i="2"/>
</calcChain>
</file>

<file path=xl/sharedStrings.xml><?xml version="1.0" encoding="utf-8"?>
<sst xmlns="http://schemas.openxmlformats.org/spreadsheetml/2006/main" count="4209" uniqueCount="891">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</sst>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890</v>
      </c>
      <c r="I5" s="997"/>
      <c r="J5" s="997"/>
      <c r="K5" s="997"/>
      <c r="L5" s="997"/>
      <c r="M5" s="997"/>
      <c r="N5" s="72"/>
      <c r="P5" s="27" t="s">
        <v>4</v>
      </c>
      <c r="Q5" s="999">
        <v>46271</v>
      </c>
      <c r="R5" s="999"/>
      <c r="T5" s="1000" t="s">
        <v>3</v>
      </c>
      <c r="U5" s="1001"/>
      <c r="V5" s="1002" t="s">
        <v>871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872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Воскресенье</v>
      </c>
      <c r="R6" s="977"/>
      <c r="T6" s="978" t="s">
        <v>5</v>
      </c>
      <c r="U6" s="979"/>
      <c r="V6" s="980" t="s">
        <v>70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1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0.375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72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73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74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75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76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76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77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86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104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86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4301052259</v>
      </c>
      <c r="D37" s="653">
        <v>4680115889590</v>
      </c>
      <c r="E37" s="653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92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109</v>
      </c>
      <c r="B38" s="63" t="s">
        <v>110</v>
      </c>
      <c r="C38" s="36">
        <v>4301052187</v>
      </c>
      <c r="D38" s="653">
        <v>4680115889354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112</v>
      </c>
      <c r="B39" s="63" t="s">
        <v>113</v>
      </c>
      <c r="C39" s="36">
        <v>4301052198</v>
      </c>
      <c r="D39" s="653">
        <v>4680115888463</v>
      </c>
      <c r="E39" s="653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115</v>
      </c>
      <c r="B40" s="63" t="s">
        <v>116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120</v>
      </c>
      <c r="B42" s="63" t="s">
        <v>121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123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124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125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126</v>
      </c>
      <c r="B48" s="63" t="s">
        <v>127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30</v>
      </c>
      <c r="Y48" s="55">
        <f>IFERROR(IF(X48="",0,CEILING((X48/$H48),1)*$H48),"")</f>
        <v>32.400000000000006</v>
      </c>
      <c r="Z48" s="41">
        <f>IFERROR(IF(Y48=0,"",ROUNDUP(Y48/H48,0)*0.01898),"")</f>
        <v>5.6940000000000004E-2</v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31.138888888888889</v>
      </c>
      <c r="BN48" s="78">
        <f>IFERROR(Y48*I48/H48,"0")</f>
        <v>33.630000000000003</v>
      </c>
      <c r="BO48" s="78">
        <f>IFERROR(1/J48*(X48/H48),"0")</f>
        <v>4.3402777777777776E-2</v>
      </c>
      <c r="BP48" s="78">
        <f>IFERROR(1/J48*(Y48/H48),"0")</f>
        <v>4.6875000000000007E-2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138</v>
      </c>
      <c r="B51" s="63" t="s">
        <v>139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2.7777777777777777</v>
      </c>
      <c r="Y52" s="43">
        <f>IFERROR(Y48/H48,"0")+IFERROR(Y49/H49,"0")+IFERROR(Y50/H50,"0")+IFERROR(Y51/H51,"0")</f>
        <v>3.0000000000000004</v>
      </c>
      <c r="Z52" s="43">
        <f>IFERROR(IF(Z48="",0,Z48),"0")+IFERROR(IF(Z49="",0,Z49),"0")+IFERROR(IF(Z50="",0,Z50),"0")+IFERROR(IF(Z51="",0,Z51),"0")</f>
        <v>5.6940000000000004E-2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30</v>
      </c>
      <c r="Y53" s="43">
        <f>IFERROR(SUM(Y48:Y51),"0")</f>
        <v>32.400000000000006</v>
      </c>
      <c r="Z53" s="42"/>
      <c r="AA53" s="67"/>
      <c r="AB53" s="67"/>
      <c r="AC53" s="67"/>
    </row>
    <row r="54" spans="1:68" ht="16.5" hidden="1" customHeight="1" x14ac:dyDescent="0.25">
      <c r="A54" s="657" t="s">
        <v>140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125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141</v>
      </c>
      <c r="B56" s="63" t="s">
        <v>142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150</v>
      </c>
      <c r="Y57" s="55">
        <f t="shared" si="6"/>
        <v>151.20000000000002</v>
      </c>
      <c r="Z57" s="41">
        <f>IFERROR(IF(Y57=0,"",ROUNDUP(Y57/H57,0)*0.01898),"")</f>
        <v>0.26572000000000001</v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155.69444444444446</v>
      </c>
      <c r="BN57" s="78">
        <f t="shared" si="8"/>
        <v>156.94</v>
      </c>
      <c r="BO57" s="78">
        <f t="shared" si="9"/>
        <v>0.21701388888888887</v>
      </c>
      <c r="BP57" s="78">
        <f t="shared" si="10"/>
        <v>0.21875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153</v>
      </c>
      <c r="B60" s="63" t="s">
        <v>154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155</v>
      </c>
      <c r="B61" s="63" t="s">
        <v>156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27</v>
      </c>
      <c r="Y61" s="55">
        <f t="shared" si="6"/>
        <v>27</v>
      </c>
      <c r="Z61" s="41">
        <f>IFERROR(IF(Y61=0,"",ROUNDUP(Y61/H61,0)*0.00902),"")</f>
        <v>5.4120000000000001E-2</v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28.14</v>
      </c>
      <c r="BN61" s="78">
        <f t="shared" si="8"/>
        <v>28.14</v>
      </c>
      <c r="BO61" s="78">
        <f t="shared" si="9"/>
        <v>4.5454545454545456E-2</v>
      </c>
      <c r="BP61" s="78">
        <f t="shared" si="10"/>
        <v>4.5454545454545456E-2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19.888888888888886</v>
      </c>
      <c r="Y62" s="43">
        <f>IFERROR(Y56/H56,"0")+IFERROR(Y57/H57,"0")+IFERROR(Y58/H58,"0")+IFERROR(Y59/H59,"0")+IFERROR(Y60/H60,"0")+IFERROR(Y61/H61,"0")</f>
        <v>20</v>
      </c>
      <c r="Z62" s="43">
        <f>IFERROR(IF(Z56="",0,Z56),"0")+IFERROR(IF(Z57="",0,Z57),"0")+IFERROR(IF(Z58="",0,Z58),"0")+IFERROR(IF(Z59="",0,Z59),"0")+IFERROR(IF(Z60="",0,Z60),"0")+IFERROR(IF(Z61="",0,Z61),"0")</f>
        <v>0.31984000000000001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177</v>
      </c>
      <c r="Y63" s="43">
        <f>IFERROR(SUM(Y56:Y61),"0")</f>
        <v>178.20000000000002</v>
      </c>
      <c r="Z63" s="42"/>
      <c r="AA63" s="67"/>
      <c r="AB63" s="67"/>
      <c r="AC63" s="67"/>
    </row>
    <row r="64" spans="1:68" ht="14.25" hidden="1" customHeight="1" x14ac:dyDescent="0.25">
      <c r="A64" s="658" t="s">
        <v>158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hidden="1" customHeight="1" x14ac:dyDescent="0.25">
      <c r="A65" s="63" t="s">
        <v>159</v>
      </c>
      <c r="B65" s="63" t="s">
        <v>160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/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162</v>
      </c>
      <c r="B66" s="63" t="s">
        <v>163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164</v>
      </c>
      <c r="B67" s="63" t="s">
        <v>165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167</v>
      </c>
      <c r="B68" s="63" t="s">
        <v>168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8" t="s">
        <v>86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169</v>
      </c>
      <c r="B72" s="63" t="s">
        <v>170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175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176</v>
      </c>
      <c r="B77" s="63" t="s">
        <v>177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/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179</v>
      </c>
      <c r="B78" s="63" t="s">
        <v>180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182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125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183</v>
      </c>
      <c r="B83" s="63" t="s">
        <v>184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/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186</v>
      </c>
      <c r="B84" s="63" t="s">
        <v>187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189</v>
      </c>
      <c r="B85" s="63" t="s">
        <v>190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191</v>
      </c>
      <c r="B86" s="63" t="s">
        <v>192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36</v>
      </c>
      <c r="Y86" s="55">
        <f>IFERROR(IF(X86="",0,CEILING((X86/$H86),1)*$H86),"")</f>
        <v>36</v>
      </c>
      <c r="Z86" s="41">
        <f>IFERROR(IF(Y86=0,"",ROUNDUP(Y86/H86,0)*0.00902),"")</f>
        <v>7.2160000000000002E-2</v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37.520000000000003</v>
      </c>
      <c r="BN86" s="78">
        <f>IFERROR(Y86*I86/H86,"0")</f>
        <v>37.520000000000003</v>
      </c>
      <c r="BO86" s="78">
        <f>IFERROR(1/J86*(X86/H86),"0")</f>
        <v>6.0606060606060608E-2</v>
      </c>
      <c r="BP86" s="78">
        <f>IFERROR(1/J86*(Y86/H86),"0")</f>
        <v>6.0606060606060608E-2</v>
      </c>
    </row>
    <row r="87" spans="1:68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8</v>
      </c>
      <c r="Y87" s="43">
        <f>IFERROR(Y83/H83,"0")+IFERROR(Y84/H84,"0")+IFERROR(Y85/H85,"0")+IFERROR(Y86/H86,"0")</f>
        <v>8</v>
      </c>
      <c r="Z87" s="43">
        <f>IFERROR(IF(Z83="",0,Z83),"0")+IFERROR(IF(Z84="",0,Z84),"0")+IFERROR(IF(Z85="",0,Z85),"0")+IFERROR(IF(Z86="",0,Z86),"0")</f>
        <v>7.2160000000000002E-2</v>
      </c>
      <c r="AA87" s="67"/>
      <c r="AB87" s="67"/>
      <c r="AC87" s="67"/>
    </row>
    <row r="88" spans="1:68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36</v>
      </c>
      <c r="Y88" s="43">
        <f>IFERROR(SUM(Y83:Y86),"0")</f>
        <v>36</v>
      </c>
      <c r="Z88" s="42"/>
      <c r="AA88" s="67"/>
      <c r="AB88" s="67"/>
      <c r="AC88" s="67"/>
    </row>
    <row r="89" spans="1:68" ht="14.25" hidden="1" customHeight="1" x14ac:dyDescent="0.25">
      <c r="A89" s="658" t="s">
        <v>86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193</v>
      </c>
      <c r="B90" s="63" t="s">
        <v>194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16</v>
      </c>
      <c r="Y90" s="55">
        <f>IFERROR(IF(X90="",0,CEILING((X90/$H90),1)*$H90),"")</f>
        <v>16.2</v>
      </c>
      <c r="Z90" s="41">
        <f>IFERROR(IF(Y90=0,"",ROUNDUP(Y90/H90,0)*0.01898),"")</f>
        <v>3.7960000000000001E-2</v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16.975802469135804</v>
      </c>
      <c r="BN90" s="78">
        <f>IFERROR(Y90*I90/H90,"0")</f>
        <v>17.187999999999999</v>
      </c>
      <c r="BO90" s="78">
        <f>IFERROR(1/J90*(X90/H90),"0")</f>
        <v>3.0864197530864199E-2</v>
      </c>
      <c r="BP90" s="78">
        <f>IFERROR(1/J90*(Y90/H90),"0")</f>
        <v>3.125E-2</v>
      </c>
    </row>
    <row r="91" spans="1:68" ht="27" hidden="1" customHeight="1" x14ac:dyDescent="0.25">
      <c r="A91" s="63" t="s">
        <v>196</v>
      </c>
      <c r="B91" s="63" t="s">
        <v>197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198</v>
      </c>
      <c r="B92" s="63" t="s">
        <v>199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5.4</v>
      </c>
      <c r="Y92" s="55">
        <f>IFERROR(IF(X92="",0,CEILING((X92/$H92),1)*$H92),"")</f>
        <v>5.4</v>
      </c>
      <c r="Z92" s="41">
        <f>IFERROR(IF(Y92=0,"",ROUNDUP(Y92/H92,0)*0.00651),"")</f>
        <v>1.302E-2</v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5.9039999999999999</v>
      </c>
      <c r="BN92" s="78">
        <f>IFERROR(Y92*I92/H92,"0")</f>
        <v>5.9039999999999999</v>
      </c>
      <c r="BO92" s="78">
        <f>IFERROR(1/J92*(X92/H92),"0")</f>
        <v>1.098901098901099E-2</v>
      </c>
      <c r="BP92" s="78">
        <f>IFERROR(1/J92*(Y92/H92),"0")</f>
        <v>1.098901098901099E-2</v>
      </c>
    </row>
    <row r="93" spans="1:68" ht="16.5" hidden="1" customHeight="1" x14ac:dyDescent="0.25">
      <c r="A93" s="63" t="s">
        <v>200</v>
      </c>
      <c r="B93" s="63" t="s">
        <v>201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3.9753086419753085</v>
      </c>
      <c r="Y94" s="43">
        <f>IFERROR(Y90/H90,"0")+IFERROR(Y91/H91,"0")+IFERROR(Y92/H92,"0")+IFERROR(Y93/H93,"0")</f>
        <v>4</v>
      </c>
      <c r="Z94" s="43">
        <f>IFERROR(IF(Z90="",0,Z90),"0")+IFERROR(IF(Z91="",0,Z91),"0")+IFERROR(IF(Z92="",0,Z92),"0")+IFERROR(IF(Z93="",0,Z93),"0")</f>
        <v>5.0979999999999998E-2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21.4</v>
      </c>
      <c r="Y95" s="43">
        <f>IFERROR(SUM(Y90:Y93),"0")</f>
        <v>21.6</v>
      </c>
      <c r="Z95" s="42"/>
      <c r="AA95" s="67"/>
      <c r="AB95" s="67"/>
      <c r="AC95" s="67"/>
    </row>
    <row r="96" spans="1:68" ht="16.5" hidden="1" customHeight="1" x14ac:dyDescent="0.25">
      <c r="A96" s="657" t="s">
        <v>203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125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204</v>
      </c>
      <c r="B98" s="63" t="s">
        <v>205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/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207</v>
      </c>
      <c r="B100" s="63" t="s">
        <v>210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207</v>
      </c>
      <c r="B101" s="63" t="s">
        <v>211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212</v>
      </c>
      <c r="B102" s="63" t="s">
        <v>213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214</v>
      </c>
      <c r="B103" s="63" t="s">
        <v>215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216</v>
      </c>
      <c r="B104" s="63" t="s">
        <v>217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158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218</v>
      </c>
      <c r="B108" s="63" t="s">
        <v>219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/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225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228</v>
      </c>
      <c r="B112" s="63" t="s">
        <v>229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86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150</v>
      </c>
      <c r="Y116" s="55">
        <f>IFERROR(IF(X116="",0,CEILING((X116/$H116),1)*$H116),"")</f>
        <v>153.9</v>
      </c>
      <c r="Z116" s="41">
        <f>IFERROR(IF(Y116=0,"",ROUNDUP(Y116/H116,0)*0.01898),"")</f>
        <v>0.36062</v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159.03703703703701</v>
      </c>
      <c r="BN116" s="78">
        <f>IFERROR(Y116*I116/H116,"0")</f>
        <v>163.172</v>
      </c>
      <c r="BO116" s="78">
        <f>IFERROR(1/J116*(X116/H116),"0")</f>
        <v>0.28935185185185186</v>
      </c>
      <c r="BP116" s="78">
        <f>IFERROR(1/J116*(Y116/H116),"0")</f>
        <v>0.296875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5.4</v>
      </c>
      <c r="Y118" s="55">
        <f>IFERROR(IF(X118="",0,CEILING((X118/$H118),1)*$H118),"")</f>
        <v>5.4</v>
      </c>
      <c r="Z118" s="41">
        <f>IFERROR(IF(Y118=0,"",ROUNDUP(Y118/H118,0)*0.00651),"")</f>
        <v>1.302E-2</v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5.9039999999999999</v>
      </c>
      <c r="BN118" s="78">
        <f>IFERROR(Y118*I118/H118,"0")</f>
        <v>5.9039999999999999</v>
      </c>
      <c r="BO118" s="78">
        <f>IFERROR(1/J118*(X118/H118),"0")</f>
        <v>1.098901098901099E-2</v>
      </c>
      <c r="BP118" s="78">
        <f>IFERROR(1/J118*(Y118/H118),"0")</f>
        <v>1.098901098901099E-2</v>
      </c>
    </row>
    <row r="119" spans="1:68" ht="16.5" hidden="1" customHeight="1" x14ac:dyDescent="0.25">
      <c r="A119" s="63" t="s">
        <v>237</v>
      </c>
      <c r="B119" s="63" t="s">
        <v>238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20.518518518518519</v>
      </c>
      <c r="Y120" s="43">
        <f>IFERROR(Y116/H116,"0")+IFERROR(Y117/H117,"0")+IFERROR(Y118/H118,"0")+IFERROR(Y119/H119,"0")</f>
        <v>21</v>
      </c>
      <c r="Z120" s="43">
        <f>IFERROR(IF(Z116="",0,Z116),"0")+IFERROR(IF(Z117="",0,Z117),"0")+IFERROR(IF(Z118="",0,Z118),"0")+IFERROR(IF(Z119="",0,Z119),"0")</f>
        <v>0.37363999999999997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155.4</v>
      </c>
      <c r="Y121" s="43">
        <f>IFERROR(SUM(Y116:Y119),"0")</f>
        <v>159.30000000000001</v>
      </c>
      <c r="Z121" s="42"/>
      <c r="AA121" s="67"/>
      <c r="AB121" s="67"/>
      <c r="AC121" s="67"/>
    </row>
    <row r="122" spans="1:68" ht="14.25" hidden="1" customHeight="1" x14ac:dyDescent="0.25">
      <c r="A122" s="658" t="s">
        <v>175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240</v>
      </c>
      <c r="B123" s="63" t="s">
        <v>241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243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125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244</v>
      </c>
      <c r="B128" s="63" t="s">
        <v>245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248</v>
      </c>
      <c r="B129" s="63" t="s">
        <v>249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91</v>
      </c>
      <c r="L129" s="37" t="s">
        <v>46</v>
      </c>
      <c r="M129" s="38" t="s">
        <v>251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250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252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77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253</v>
      </c>
      <c r="B134" s="63" t="s">
        <v>254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130</v>
      </c>
      <c r="L134" s="37" t="s">
        <v>46</v>
      </c>
      <c r="M134" s="38" t="s">
        <v>247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257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91</v>
      </c>
      <c r="L135" s="37" t="s">
        <v>46</v>
      </c>
      <c r="M135" s="38" t="s">
        <v>251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259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260</v>
      </c>
      <c r="B137" s="63" t="s">
        <v>261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82</v>
      </c>
      <c r="L137" s="37" t="s">
        <v>46</v>
      </c>
      <c r="M137" s="38" t="s">
        <v>247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86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262</v>
      </c>
      <c r="B141" s="63" t="s">
        <v>263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91</v>
      </c>
      <c r="L141" s="37" t="s">
        <v>46</v>
      </c>
      <c r="M141" s="38" t="s">
        <v>247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246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264</v>
      </c>
      <c r="B142" s="63" t="s">
        <v>265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266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267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86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268</v>
      </c>
      <c r="B148" s="63" t="s">
        <v>269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270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271</v>
      </c>
      <c r="B149" s="63" t="s">
        <v>272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273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271</v>
      </c>
      <c r="B150" s="63" t="s">
        <v>274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275</v>
      </c>
      <c r="B151" s="63" t="s">
        <v>276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277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275</v>
      </c>
      <c r="B152" s="63" t="s">
        <v>278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279</v>
      </c>
      <c r="B153" s="63" t="s">
        <v>280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/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281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279</v>
      </c>
      <c r="B154" s="63" t="s">
        <v>282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283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284</v>
      </c>
      <c r="B158" s="63" t="s">
        <v>285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289</v>
      </c>
      <c r="L158" s="37" t="s">
        <v>46</v>
      </c>
      <c r="M158" s="38" t="s">
        <v>288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286</v>
      </c>
      <c r="AG158" s="78"/>
      <c r="AJ158" s="84" t="s">
        <v>46</v>
      </c>
      <c r="AK158" s="84">
        <v>0</v>
      </c>
      <c r="BB158" s="233" t="s">
        <v>287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123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125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290</v>
      </c>
      <c r="B163" s="63" t="s">
        <v>291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130</v>
      </c>
      <c r="L163" s="37" t="s">
        <v>46</v>
      </c>
      <c r="M163" s="38" t="s">
        <v>129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292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293</v>
      </c>
      <c r="B164" s="63" t="s">
        <v>294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137</v>
      </c>
      <c r="L164" s="37" t="s">
        <v>46</v>
      </c>
      <c r="M164" s="38" t="s">
        <v>129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295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296</v>
      </c>
      <c r="B165" s="63" t="s">
        <v>297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91</v>
      </c>
      <c r="L165" s="37" t="s">
        <v>46</v>
      </c>
      <c r="M165" s="38" t="s">
        <v>90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298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158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299</v>
      </c>
      <c r="B169" s="63" t="s">
        <v>300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82</v>
      </c>
      <c r="L169" s="37" t="s">
        <v>46</v>
      </c>
      <c r="M169" s="38" t="s">
        <v>81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301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302</v>
      </c>
      <c r="B170" s="63" t="s">
        <v>303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82</v>
      </c>
      <c r="L170" s="37" t="s">
        <v>46</v>
      </c>
      <c r="M170" s="38" t="s">
        <v>129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304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77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305</v>
      </c>
      <c r="B174" s="63" t="s">
        <v>306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81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20</v>
      </c>
      <c r="Y174" s="55">
        <f t="shared" ref="Y174:Y184" si="22">IFERROR(IF(X174="",0,CEILING((X174/$H174),1)*$H174),"")</f>
        <v>21</v>
      </c>
      <c r="Z174" s="41">
        <f>IFERROR(IF(Y174=0,"",ROUNDUP(Y174/H174,0)*0.00902),"")</f>
        <v>5.4120000000000001E-2</v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21.085714285714285</v>
      </c>
      <c r="BN174" s="78">
        <f t="shared" ref="BN174:BN184" si="24">IFERROR(Y174*I174/H174,"0")</f>
        <v>22.139999999999997</v>
      </c>
      <c r="BO174" s="78">
        <f t="shared" ref="BO174:BO184" si="25">IFERROR(1/J174*(X174/H174),"0")</f>
        <v>4.3290043290043295E-2</v>
      </c>
      <c r="BP174" s="78">
        <f t="shared" ref="BP174:BP184" si="26">IFERROR(1/J174*(Y174/H174),"0")</f>
        <v>4.5454545454545456E-2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137</v>
      </c>
      <c r="L175" s="37" t="s">
        <v>46</v>
      </c>
      <c r="M175" s="38" t="s">
        <v>81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/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137</v>
      </c>
      <c r="L176" s="37" t="s">
        <v>46</v>
      </c>
      <c r="M176" s="38" t="s">
        <v>81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/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137</v>
      </c>
      <c r="L177" s="37" t="s">
        <v>46</v>
      </c>
      <c r="M177" s="38" t="s">
        <v>81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120</v>
      </c>
      <c r="Y177" s="55">
        <f t="shared" si="22"/>
        <v>122.5</v>
      </c>
      <c r="Z177" s="41">
        <f>IFERROR(IF(Y177=0,"",ROUNDUP(Y177/H177,0)*0.00902),"")</f>
        <v>0.31569999999999998</v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126.51428571428572</v>
      </c>
      <c r="BN177" s="78">
        <f t="shared" si="24"/>
        <v>129.15</v>
      </c>
      <c r="BO177" s="78">
        <f t="shared" si="25"/>
        <v>0.25974025974025972</v>
      </c>
      <c r="BP177" s="78">
        <f t="shared" si="26"/>
        <v>0.26515151515151514</v>
      </c>
    </row>
    <row r="178" spans="1:68" ht="16.5" hidden="1" customHeight="1" x14ac:dyDescent="0.25">
      <c r="A178" s="63" t="s">
        <v>317</v>
      </c>
      <c r="B178" s="63" t="s">
        <v>318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320</v>
      </c>
      <c r="B179" s="63" t="s">
        <v>321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/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307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134</v>
      </c>
      <c r="L180" s="37" t="s">
        <v>46</v>
      </c>
      <c r="M180" s="38" t="s">
        <v>81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324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322</v>
      </c>
      <c r="B181" s="63" t="s">
        <v>325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326</v>
      </c>
      <c r="B182" s="63" t="s">
        <v>327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/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313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328</v>
      </c>
      <c r="B183" s="63" t="s">
        <v>329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330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331</v>
      </c>
      <c r="B184" s="63" t="s">
        <v>332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/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333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40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41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0.36981999999999998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140</v>
      </c>
      <c r="Y186" s="43">
        <f>IFERROR(SUM(Y174:Y184),"0")</f>
        <v>143.5</v>
      </c>
      <c r="Z186" s="42"/>
      <c r="AA186" s="67"/>
      <c r="AB186" s="67"/>
      <c r="AC186" s="67"/>
    </row>
    <row r="187" spans="1:68" ht="14.25" hidden="1" customHeight="1" x14ac:dyDescent="0.25">
      <c r="A187" s="658" t="s">
        <v>86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334</v>
      </c>
      <c r="B188" s="63" t="s">
        <v>335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336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337</v>
      </c>
      <c r="B189" s="63" t="s">
        <v>338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/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339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340</v>
      </c>
      <c r="B190" s="63" t="s">
        <v>341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342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283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343</v>
      </c>
      <c r="B194" s="63" t="s">
        <v>344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346</v>
      </c>
      <c r="L194" s="37" t="s">
        <v>46</v>
      </c>
      <c r="M194" s="38" t="s">
        <v>288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345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347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348</v>
      </c>
      <c r="B198" s="63" t="s">
        <v>349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346</v>
      </c>
      <c r="L198" s="37" t="s">
        <v>46</v>
      </c>
      <c r="M198" s="38" t="s">
        <v>288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350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351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352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125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353</v>
      </c>
      <c r="B204" s="63" t="s">
        <v>354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128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355</v>
      </c>
      <c r="B205" s="63" t="s">
        <v>356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130</v>
      </c>
      <c r="L205" s="37" t="s">
        <v>46</v>
      </c>
      <c r="M205" s="38" t="s">
        <v>90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357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358</v>
      </c>
      <c r="B206" s="63" t="s">
        <v>359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130</v>
      </c>
      <c r="L206" s="37" t="s">
        <v>46</v>
      </c>
      <c r="M206" s="38" t="s">
        <v>90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360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361</v>
      </c>
      <c r="B207" s="63" t="s">
        <v>362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130</v>
      </c>
      <c r="L207" s="37" t="s">
        <v>46</v>
      </c>
      <c r="M207" s="38" t="s">
        <v>90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363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364</v>
      </c>
      <c r="B208" s="63" t="s">
        <v>365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130</v>
      </c>
      <c r="L208" s="37" t="s">
        <v>46</v>
      </c>
      <c r="M208" s="38" t="s">
        <v>90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366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367</v>
      </c>
      <c r="B209" s="63" t="s">
        <v>368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130</v>
      </c>
      <c r="L209" s="37" t="s">
        <v>46</v>
      </c>
      <c r="M209" s="38" t="s">
        <v>90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369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370</v>
      </c>
      <c r="B210" s="63" t="s">
        <v>371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130</v>
      </c>
      <c r="L210" s="37" t="s">
        <v>46</v>
      </c>
      <c r="M210" s="38" t="s">
        <v>90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372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373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158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374</v>
      </c>
      <c r="B215" s="63" t="s">
        <v>375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376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77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377</v>
      </c>
      <c r="B219" s="63" t="s">
        <v>378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137</v>
      </c>
      <c r="L219" s="37" t="s">
        <v>46</v>
      </c>
      <c r="M219" s="38" t="s">
        <v>81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380</v>
      </c>
      <c r="B220" s="63" t="s">
        <v>381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137</v>
      </c>
      <c r="L220" s="37" t="s">
        <v>46</v>
      </c>
      <c r="M220" s="38" t="s">
        <v>81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137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386</v>
      </c>
      <c r="B222" s="63" t="s">
        <v>387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391</v>
      </c>
      <c r="B224" s="63" t="s">
        <v>392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382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399</v>
      </c>
      <c r="B227" s="63" t="s">
        <v>400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401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402</v>
      </c>
      <c r="B228" s="63" t="s">
        <v>403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404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405</v>
      </c>
      <c r="B229" s="63" t="s">
        <v>406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134</v>
      </c>
      <c r="L229" s="37" t="s">
        <v>46</v>
      </c>
      <c r="M229" s="38" t="s">
        <v>81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407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408</v>
      </c>
      <c r="B230" s="63" t="s">
        <v>409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385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410</v>
      </c>
      <c r="B231" s="63" t="s">
        <v>411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385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412</v>
      </c>
      <c r="B232" s="63" t="s">
        <v>413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414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8" t="s">
        <v>86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415</v>
      </c>
      <c r="B236" s="63" t="s">
        <v>416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130</v>
      </c>
      <c r="L236" s="37" t="s">
        <v>46</v>
      </c>
      <c r="M236" s="38" t="s">
        <v>97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417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418</v>
      </c>
      <c r="B237" s="63" t="s">
        <v>419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130</v>
      </c>
      <c r="L237" s="37" t="s">
        <v>46</v>
      </c>
      <c r="M237" s="38" t="s">
        <v>97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420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421</v>
      </c>
      <c r="B238" s="63" t="s">
        <v>422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137</v>
      </c>
      <c r="L238" s="37" t="s">
        <v>46</v>
      </c>
      <c r="M238" s="38" t="s">
        <v>97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423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424</v>
      </c>
      <c r="B239" s="63" t="s">
        <v>425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137</v>
      </c>
      <c r="L239" s="37" t="s">
        <v>46</v>
      </c>
      <c r="M239" s="38" t="s">
        <v>97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426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427</v>
      </c>
      <c r="B240" s="63" t="s">
        <v>428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137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420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283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429</v>
      </c>
      <c r="B244" s="63" t="s">
        <v>430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346</v>
      </c>
      <c r="L244" s="37" t="s">
        <v>46</v>
      </c>
      <c r="M244" s="38" t="s">
        <v>288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431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432</v>
      </c>
      <c r="B245" s="63" t="s">
        <v>433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346</v>
      </c>
      <c r="L245" s="37" t="s">
        <v>46</v>
      </c>
      <c r="M245" s="38" t="s">
        <v>288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434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435</v>
      </c>
      <c r="B246" s="63" t="s">
        <v>436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346</v>
      </c>
      <c r="L246" s="37" t="s">
        <v>46</v>
      </c>
      <c r="M246" s="38" t="s">
        <v>288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434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437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438</v>
      </c>
      <c r="B250" s="63" t="s">
        <v>439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346</v>
      </c>
      <c r="L250" s="37" t="s">
        <v>46</v>
      </c>
      <c r="M250" s="38" t="s">
        <v>288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434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440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125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441</v>
      </c>
      <c r="B255" s="63" t="s">
        <v>442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130</v>
      </c>
      <c r="L255" s="37" t="s">
        <v>46</v>
      </c>
      <c r="M255" s="38" t="s">
        <v>129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443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444</v>
      </c>
      <c r="B256" s="63" t="s">
        <v>445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91</v>
      </c>
      <c r="L256" s="37" t="s">
        <v>46</v>
      </c>
      <c r="M256" s="38" t="s">
        <v>129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443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158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446</v>
      </c>
      <c r="B260" s="63" t="s">
        <v>447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130</v>
      </c>
      <c r="L260" s="37" t="s">
        <v>46</v>
      </c>
      <c r="M260" s="38" t="s">
        <v>129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448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449</v>
      </c>
      <c r="B261" s="63" t="s">
        <v>450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91</v>
      </c>
      <c r="L261" s="37" t="s">
        <v>46</v>
      </c>
      <c r="M261" s="38" t="s">
        <v>129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448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77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451</v>
      </c>
      <c r="B265" s="63" t="s">
        <v>452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137</v>
      </c>
      <c r="L265" s="37" t="s">
        <v>46</v>
      </c>
      <c r="M265" s="38" t="s">
        <v>81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130</v>
      </c>
      <c r="Y265" s="55">
        <f t="shared" ref="Y265:Y272" si="39">IFERROR(IF(X265="",0,CEILING((X265/$H265),1)*$H265),"")</f>
        <v>135</v>
      </c>
      <c r="Z265" s="41">
        <f>IFERROR(IF(Y265=0,"",ROUNDUP(Y265/H265,0)*0.00902),"")</f>
        <v>0.22550000000000001</v>
      </c>
      <c r="AA265" s="68" t="s">
        <v>46</v>
      </c>
      <c r="AB265" s="69" t="s">
        <v>46</v>
      </c>
      <c r="AC265" s="346" t="s">
        <v>453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134.57407407407405</v>
      </c>
      <c r="BN265" s="78">
        <f t="shared" ref="BN265:BN272" si="41">IFERROR(Y265*I265/H265,"0")</f>
        <v>139.75</v>
      </c>
      <c r="BO265" s="78">
        <f t="shared" ref="BO265:BO272" si="42">IFERROR(1/J265*(X265/H265),"0")</f>
        <v>0.18237934904601572</v>
      </c>
      <c r="BP265" s="78">
        <f t="shared" ref="BP265:BP272" si="43">IFERROR(1/J265*(Y265/H265),"0")</f>
        <v>0.18939393939393939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137</v>
      </c>
      <c r="L266" s="37" t="s">
        <v>46</v>
      </c>
      <c r="M266" s="38" t="s">
        <v>81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/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456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457</v>
      </c>
      <c r="B267" s="63" t="s">
        <v>458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137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si="39"/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50" t="s">
        <v>459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103.5185185185185</v>
      </c>
      <c r="BN267" s="78">
        <f t="shared" si="41"/>
        <v>106.21</v>
      </c>
      <c r="BO267" s="78">
        <f t="shared" si="42"/>
        <v>0.14029180695847362</v>
      </c>
      <c r="BP267" s="78">
        <f t="shared" si="43"/>
        <v>0.14393939393939395</v>
      </c>
    </row>
    <row r="268" spans="1:68" ht="27" customHeight="1" x14ac:dyDescent="0.25">
      <c r="A268" s="63" t="s">
        <v>460</v>
      </c>
      <c r="B268" s="63" t="s">
        <v>461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137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100</v>
      </c>
      <c r="Y268" s="55">
        <f t="shared" si="39"/>
        <v>102.60000000000001</v>
      </c>
      <c r="Z268" s="41">
        <f>IFERROR(IF(Y268=0,"",ROUNDUP(Y268/H268,0)*0.00902),"")</f>
        <v>0.17138</v>
      </c>
      <c r="AA268" s="68" t="s">
        <v>46</v>
      </c>
      <c r="AB268" s="69" t="s">
        <v>46</v>
      </c>
      <c r="AC268" s="352" t="s">
        <v>462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103.5185185185185</v>
      </c>
      <c r="BN268" s="78">
        <f t="shared" si="41"/>
        <v>106.21</v>
      </c>
      <c r="BO268" s="78">
        <f t="shared" si="42"/>
        <v>0.14029180695847362</v>
      </c>
      <c r="BP268" s="78">
        <f t="shared" si="43"/>
        <v>0.14393939393939395</v>
      </c>
    </row>
    <row r="269" spans="1:68" ht="27" customHeight="1" x14ac:dyDescent="0.25">
      <c r="A269" s="63" t="s">
        <v>463</v>
      </c>
      <c r="B269" s="63" t="s">
        <v>464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1.8</v>
      </c>
      <c r="Y269" s="55">
        <f t="shared" si="39"/>
        <v>1.8</v>
      </c>
      <c r="Z269" s="41">
        <f>IFERROR(IF(Y269=0,"",ROUNDUP(Y269/H269,0)*0.00502),"")</f>
        <v>5.0200000000000002E-3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1.9299999999999997</v>
      </c>
      <c r="BN269" s="78">
        <f t="shared" si="41"/>
        <v>1.9299999999999997</v>
      </c>
      <c r="BO269" s="78">
        <f t="shared" si="42"/>
        <v>4.2735042735042739E-3</v>
      </c>
      <c r="BP269" s="78">
        <f t="shared" si="43"/>
        <v>4.2735042735042739E-3</v>
      </c>
    </row>
    <row r="270" spans="1:68" ht="27" hidden="1" customHeight="1" x14ac:dyDescent="0.25">
      <c r="A270" s="63" t="s">
        <v>465</v>
      </c>
      <c r="B270" s="63" t="s">
        <v>466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467</v>
      </c>
      <c r="B271" s="63" t="s">
        <v>468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469</v>
      </c>
      <c r="B272" s="63" t="s">
        <v>470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62.111111111111114</v>
      </c>
      <c r="Y273" s="43">
        <f>IFERROR(Y265/H265,"0")+IFERROR(Y266/H266,"0")+IFERROR(Y267/H267,"0")+IFERROR(Y268/H268,"0")+IFERROR(Y269/H269,"0")+IFERROR(Y270/H270,"0")+IFERROR(Y271/H271,"0")+IFERROR(Y272/H272,"0")</f>
        <v>64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0.57328000000000001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331.8</v>
      </c>
      <c r="Y274" s="43">
        <f>IFERROR(SUM(Y265:Y272),"0")</f>
        <v>342.00000000000006</v>
      </c>
      <c r="Z274" s="42"/>
      <c r="AA274" s="67"/>
      <c r="AB274" s="67"/>
      <c r="AC274" s="67"/>
    </row>
    <row r="275" spans="1:68" ht="14.25" hidden="1" customHeight="1" x14ac:dyDescent="0.25">
      <c r="A275" s="658" t="s">
        <v>86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customHeight="1" x14ac:dyDescent="0.25">
      <c r="A276" s="63" t="s">
        <v>471</v>
      </c>
      <c r="B276" s="63" t="s">
        <v>472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130</v>
      </c>
      <c r="L276" s="37" t="s">
        <v>46</v>
      </c>
      <c r="M276" s="38" t="s">
        <v>90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24</v>
      </c>
      <c r="Y276" s="55">
        <f t="shared" ref="Y276:Y287" si="44">IFERROR(IF(X276="",0,CEILING((X276/$H276),1)*$H276),"")</f>
        <v>24.299999999999997</v>
      </c>
      <c r="Z276" s="41">
        <f>IFERROR(IF(Y276=0,"",ROUNDUP(Y276/H276,0)*0.01898),"")</f>
        <v>5.6940000000000004E-2</v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25.4637037037037</v>
      </c>
      <c r="BN276" s="78">
        <f t="shared" ref="BN276:BN287" si="46">IFERROR(Y276*I276/H276,"0")</f>
        <v>25.781999999999996</v>
      </c>
      <c r="BO276" s="78">
        <f t="shared" ref="BO276:BO287" si="47">IFERROR(1/J276*(X276/H276),"0")</f>
        <v>4.6296296296296301E-2</v>
      </c>
      <c r="BP276" s="78">
        <f t="shared" ref="BP276:BP287" si="48">IFERROR(1/J276*(Y276/H276),"0")</f>
        <v>4.6875E-2</v>
      </c>
    </row>
    <row r="277" spans="1:68" ht="27" customHeight="1" x14ac:dyDescent="0.25">
      <c r="A277" s="63" t="s">
        <v>474</v>
      </c>
      <c r="B277" s="63" t="s">
        <v>475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130</v>
      </c>
      <c r="L277" s="37" t="s">
        <v>46</v>
      </c>
      <c r="M277" s="38" t="s">
        <v>90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32</v>
      </c>
      <c r="Y277" s="55">
        <f t="shared" si="44"/>
        <v>32.4</v>
      </c>
      <c r="Z277" s="41">
        <f>IFERROR(IF(Y277=0,"",ROUNDUP(Y277/H277,0)*0.01898),"")</f>
        <v>7.5920000000000001E-2</v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33.8804938271605</v>
      </c>
      <c r="BN277" s="78">
        <f t="shared" si="46"/>
        <v>34.304000000000002</v>
      </c>
      <c r="BO277" s="78">
        <f t="shared" si="47"/>
        <v>6.1728395061728399E-2</v>
      </c>
      <c r="BP277" s="78">
        <f t="shared" si="48"/>
        <v>6.25E-2</v>
      </c>
    </row>
    <row r="278" spans="1:68" ht="27" hidden="1" customHeight="1" x14ac:dyDescent="0.25">
      <c r="A278" s="63" t="s">
        <v>477</v>
      </c>
      <c r="B278" s="63" t="s">
        <v>478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130</v>
      </c>
      <c r="L278" s="37" t="s">
        <v>46</v>
      </c>
      <c r="M278" s="38" t="s">
        <v>90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479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91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91</v>
      </c>
      <c r="L280" s="37" t="s">
        <v>46</v>
      </c>
      <c r="M280" s="38" t="s">
        <v>97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479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137</v>
      </c>
      <c r="L281" s="37" t="s">
        <v>46</v>
      </c>
      <c r="M281" s="38" t="s">
        <v>90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487</v>
      </c>
      <c r="B282" s="63" t="s">
        <v>488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7.2</v>
      </c>
      <c r="Y282" s="55">
        <f t="shared" si="44"/>
        <v>7.1999999999999993</v>
      </c>
      <c r="Z282" s="41">
        <f>IFERROR(IF(Y282=0,"",ROUNDUP(Y282/H282,0)*0.00651),"")</f>
        <v>1.9529999999999999E-2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7.9560000000000004</v>
      </c>
      <c r="BN282" s="78">
        <f t="shared" si="46"/>
        <v>7.9560000000000004</v>
      </c>
      <c r="BO282" s="78">
        <f t="shared" si="47"/>
        <v>1.6483516483516484E-2</v>
      </c>
      <c r="BP282" s="78">
        <f t="shared" si="48"/>
        <v>1.6483516483516484E-2</v>
      </c>
    </row>
    <row r="283" spans="1:68" ht="27" hidden="1" customHeight="1" x14ac:dyDescent="0.25">
      <c r="A283" s="63" t="s">
        <v>489</v>
      </c>
      <c r="B283" s="63" t="s">
        <v>490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130</v>
      </c>
      <c r="L283" s="37" t="s">
        <v>46</v>
      </c>
      <c r="M283" s="38" t="s">
        <v>90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486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491</v>
      </c>
      <c r="B284" s="63" t="s">
        <v>492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493</v>
      </c>
      <c r="B285" s="63" t="s">
        <v>494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495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496</v>
      </c>
      <c r="B286" s="63" t="s">
        <v>497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498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499</v>
      </c>
      <c r="B287" s="63" t="s">
        <v>500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501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9.9135802469135808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0.15239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63.2</v>
      </c>
      <c r="Y289" s="43">
        <f>IFERROR(SUM(Y276:Y287),"0")</f>
        <v>63.899999999999991</v>
      </c>
      <c r="Z289" s="42"/>
      <c r="AA289" s="67"/>
      <c r="AB289" s="67"/>
      <c r="AC289" s="67"/>
    </row>
    <row r="290" spans="1:68" ht="14.25" hidden="1" customHeight="1" x14ac:dyDescent="0.25">
      <c r="A290" s="658" t="s">
        <v>175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customHeight="1" x14ac:dyDescent="0.25">
      <c r="A291" s="63" t="s">
        <v>502</v>
      </c>
      <c r="B291" s="63" t="s">
        <v>503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7.2</v>
      </c>
      <c r="Y291" s="55">
        <f>IFERROR(IF(X291="",0,CEILING((X291/$H291),1)*$H291),"")</f>
        <v>7.1999999999999993</v>
      </c>
      <c r="Z291" s="41">
        <f>IFERROR(IF(Y291=0,"",ROUNDUP(Y291/H291,0)*0.00651),"")</f>
        <v>1.9529999999999999E-2</v>
      </c>
      <c r="AA291" s="68" t="s">
        <v>46</v>
      </c>
      <c r="AB291" s="69" t="s">
        <v>46</v>
      </c>
      <c r="AC291" s="386" t="s">
        <v>504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7.9560000000000004</v>
      </c>
      <c r="BN291" s="78">
        <f>IFERROR(Y291*I291/H291,"0")</f>
        <v>7.9560000000000004</v>
      </c>
      <c r="BO291" s="78">
        <f>IFERROR(1/J291*(X291/H291),"0")</f>
        <v>1.6483516483516484E-2</v>
      </c>
      <c r="BP291" s="78">
        <f>IFERROR(1/J291*(Y291/H291),"0")</f>
        <v>1.6483516483516484E-2</v>
      </c>
    </row>
    <row r="292" spans="1:68" ht="27" hidden="1" customHeight="1" x14ac:dyDescent="0.25">
      <c r="A292" s="63" t="s">
        <v>505</v>
      </c>
      <c r="B292" s="63" t="s">
        <v>506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507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3</v>
      </c>
      <c r="Y293" s="43">
        <f>IFERROR(Y291/H291,"0")+IFERROR(Y292/H292,"0")</f>
        <v>3</v>
      </c>
      <c r="Z293" s="43">
        <f>IFERROR(IF(Z291="",0,Z291),"0")+IFERROR(IF(Z292="",0,Z292),"0")</f>
        <v>1.9529999999999999E-2</v>
      </c>
      <c r="AA293" s="67"/>
      <c r="AB293" s="67"/>
      <c r="AC293" s="67"/>
    </row>
    <row r="294" spans="1:68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7.2</v>
      </c>
      <c r="Y294" s="43">
        <f>IFERROR(SUM(Y291:Y292),"0")</f>
        <v>7.1999999999999993</v>
      </c>
      <c r="Z294" s="42"/>
      <c r="AA294" s="67"/>
      <c r="AB294" s="67"/>
      <c r="AC294" s="67"/>
    </row>
    <row r="295" spans="1:68" ht="16.5" hidden="1" customHeight="1" x14ac:dyDescent="0.25">
      <c r="A295" s="657" t="s">
        <v>508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125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509</v>
      </c>
      <c r="B297" s="63" t="s">
        <v>510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130</v>
      </c>
      <c r="L297" s="37" t="s">
        <v>46</v>
      </c>
      <c r="M297" s="38" t="s">
        <v>129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511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512</v>
      </c>
      <c r="B298" s="63" t="s">
        <v>513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130</v>
      </c>
      <c r="L298" s="37" t="s">
        <v>46</v>
      </c>
      <c r="M298" s="38" t="s">
        <v>129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514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515</v>
      </c>
      <c r="B299" s="63" t="s">
        <v>516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130</v>
      </c>
      <c r="L299" s="37" t="s">
        <v>46</v>
      </c>
      <c r="M299" s="38" t="s">
        <v>129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369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517</v>
      </c>
      <c r="B300" s="63" t="s">
        <v>518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137</v>
      </c>
      <c r="L300" s="37" t="s">
        <v>46</v>
      </c>
      <c r="M300" s="38" t="s">
        <v>129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511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519</v>
      </c>
      <c r="B301" s="63" t="s">
        <v>520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137</v>
      </c>
      <c r="L301" s="37" t="s">
        <v>46</v>
      </c>
      <c r="M301" s="38" t="s">
        <v>129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521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522</v>
      </c>
      <c r="B302" s="63" t="s">
        <v>523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91</v>
      </c>
      <c r="L302" s="37" t="s">
        <v>46</v>
      </c>
      <c r="M302" s="38" t="s">
        <v>129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524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525</v>
      </c>
      <c r="B303" s="63" t="s">
        <v>526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137</v>
      </c>
      <c r="L303" s="37" t="s">
        <v>46</v>
      </c>
      <c r="M303" s="38" t="s">
        <v>129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369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158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527</v>
      </c>
      <c r="B307" s="63" t="s">
        <v>528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90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529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530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531</v>
      </c>
      <c r="B311" s="63" t="s">
        <v>532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346</v>
      </c>
      <c r="L311" s="37" t="s">
        <v>46</v>
      </c>
      <c r="M311" s="38" t="s">
        <v>288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533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347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346</v>
      </c>
      <c r="L315" s="37" t="s">
        <v>46</v>
      </c>
      <c r="M315" s="38" t="s">
        <v>288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536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537</v>
      </c>
      <c r="B316" s="63" t="s">
        <v>538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346</v>
      </c>
      <c r="L316" s="37" t="s">
        <v>46</v>
      </c>
      <c r="M316" s="38" t="s">
        <v>288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536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539</v>
      </c>
      <c r="B317" s="63" t="s">
        <v>540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346</v>
      </c>
      <c r="L317" s="37" t="s">
        <v>46</v>
      </c>
      <c r="M317" s="38" t="s">
        <v>288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536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541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125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130</v>
      </c>
      <c r="L322" s="37" t="s">
        <v>46</v>
      </c>
      <c r="M322" s="38" t="s">
        <v>129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544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545</v>
      </c>
      <c r="B323" s="63" t="s">
        <v>546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130</v>
      </c>
      <c r="L323" s="37" t="s">
        <v>46</v>
      </c>
      <c r="M323" s="38" t="s">
        <v>129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/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547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130</v>
      </c>
      <c r="L324" s="37" t="s">
        <v>46</v>
      </c>
      <c r="M324" s="38" t="s">
        <v>129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50</v>
      </c>
      <c r="Y324" s="55">
        <f>IFERROR(IF(X324="",0,CEILING((X324/$H324),1)*$H324),"")</f>
        <v>54</v>
      </c>
      <c r="Z324" s="41">
        <f>IFERROR(IF(Y324=0,"",ROUNDUP(Y324/H324,0)*0.01898),"")</f>
        <v>9.4899999999999998E-2</v>
      </c>
      <c r="AA324" s="68" t="s">
        <v>46</v>
      </c>
      <c r="AB324" s="69" t="s">
        <v>46</v>
      </c>
      <c r="AC324" s="418" t="s">
        <v>550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51.898148148148145</v>
      </c>
      <c r="BN324" s="78">
        <f>IFERROR(Y324*I324/H324,"0")</f>
        <v>56.05</v>
      </c>
      <c r="BO324" s="78">
        <f>IFERROR(1/J324*(X324/H324),"0")</f>
        <v>7.2337962962962965E-2</v>
      </c>
      <c r="BP324" s="78">
        <f>IFERROR(1/J324*(Y324/H324),"0")</f>
        <v>7.8125E-2</v>
      </c>
    </row>
    <row r="325" spans="1:68" ht="27" hidden="1" customHeight="1" x14ac:dyDescent="0.25">
      <c r="A325" s="63" t="s">
        <v>551</v>
      </c>
      <c r="B325" s="63" t="s">
        <v>552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129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553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554</v>
      </c>
      <c r="B326" s="63" t="s">
        <v>555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137</v>
      </c>
      <c r="L326" s="37" t="s">
        <v>46</v>
      </c>
      <c r="M326" s="38" t="s">
        <v>129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556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4.6296296296296298</v>
      </c>
      <c r="Y327" s="43">
        <f>IFERROR(Y322/H322,"0")+IFERROR(Y323/H323,"0")+IFERROR(Y324/H324,"0")+IFERROR(Y325/H325,"0")+IFERROR(Y326/H326,"0")</f>
        <v>5</v>
      </c>
      <c r="Z327" s="43">
        <f>IFERROR(IF(Z322="",0,Z322),"0")+IFERROR(IF(Z323="",0,Z323),"0")+IFERROR(IF(Z324="",0,Z324),"0")+IFERROR(IF(Z325="",0,Z325),"0")+IFERROR(IF(Z326="",0,Z326),"0")</f>
        <v>9.4899999999999998E-2</v>
      </c>
      <c r="AA327" s="67"/>
      <c r="AB327" s="67"/>
      <c r="AC327" s="67"/>
    </row>
    <row r="328" spans="1:68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50</v>
      </c>
      <c r="Y328" s="43">
        <f>IFERROR(SUM(Y322:Y326),"0")</f>
        <v>54</v>
      </c>
      <c r="Z328" s="42"/>
      <c r="AA328" s="67"/>
      <c r="AB328" s="67"/>
      <c r="AC328" s="67"/>
    </row>
    <row r="329" spans="1:68" ht="16.5" hidden="1" customHeight="1" x14ac:dyDescent="0.25">
      <c r="A329" s="657" t="s">
        <v>557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86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558</v>
      </c>
      <c r="B331" s="63" t="s">
        <v>559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560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561</v>
      </c>
      <c r="B332" s="63" t="s">
        <v>562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563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564</v>
      </c>
      <c r="B333" s="63" t="s">
        <v>565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560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566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77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401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571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574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575</v>
      </c>
      <c r="B341" s="63" t="s">
        <v>576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577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578</v>
      </c>
      <c r="B342" s="63" t="s">
        <v>579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580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86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581</v>
      </c>
      <c r="B346" s="63" t="s">
        <v>582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137</v>
      </c>
      <c r="L346" s="37" t="s">
        <v>46</v>
      </c>
      <c r="M346" s="38" t="s">
        <v>90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583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584</v>
      </c>
      <c r="B347" s="63" t="s">
        <v>585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137</v>
      </c>
      <c r="L347" s="37" t="s">
        <v>46</v>
      </c>
      <c r="M347" s="38" t="s">
        <v>90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586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587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125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588</v>
      </c>
      <c r="B352" s="63" t="s">
        <v>589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130</v>
      </c>
      <c r="L352" s="37" t="s">
        <v>46</v>
      </c>
      <c r="M352" s="38" t="s">
        <v>90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360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590</v>
      </c>
      <c r="B353" s="63" t="s">
        <v>591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130</v>
      </c>
      <c r="L353" s="37" t="s">
        <v>46</v>
      </c>
      <c r="M353" s="38" t="s">
        <v>90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/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592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130</v>
      </c>
      <c r="L354" s="37" t="s">
        <v>46</v>
      </c>
      <c r="M354" s="38" t="s">
        <v>90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/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595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596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125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130</v>
      </c>
      <c r="L359" s="37" t="s">
        <v>46</v>
      </c>
      <c r="M359" s="38" t="s">
        <v>129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599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600</v>
      </c>
      <c r="B360" s="63" t="s">
        <v>601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130</v>
      </c>
      <c r="L360" s="37" t="s">
        <v>46</v>
      </c>
      <c r="M360" s="38" t="s">
        <v>129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602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603</v>
      </c>
      <c r="B361" s="63" t="s">
        <v>604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130</v>
      </c>
      <c r="L361" s="37" t="s">
        <v>46</v>
      </c>
      <c r="M361" s="38" t="s">
        <v>129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605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606</v>
      </c>
      <c r="B362" s="63" t="s">
        <v>607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130</v>
      </c>
      <c r="L362" s="37" t="s">
        <v>46</v>
      </c>
      <c r="M362" s="38" t="s">
        <v>90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608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609</v>
      </c>
      <c r="B363" s="63" t="s">
        <v>610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137</v>
      </c>
      <c r="L363" s="37" t="s">
        <v>46</v>
      </c>
      <c r="M363" s="38" t="s">
        <v>129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602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611</v>
      </c>
      <c r="B364" s="63" t="s">
        <v>612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137</v>
      </c>
      <c r="L364" s="37" t="s">
        <v>46</v>
      </c>
      <c r="M364" s="38" t="s">
        <v>129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613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77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customHeight="1" x14ac:dyDescent="0.25">
      <c r="A368" s="63" t="s">
        <v>614</v>
      </c>
      <c r="B368" s="63" t="s">
        <v>615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137</v>
      </c>
      <c r="L368" s="37" t="s">
        <v>46</v>
      </c>
      <c r="M368" s="38" t="s">
        <v>81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25</v>
      </c>
      <c r="Y368" s="55">
        <f t="shared" ref="Y368:Y374" si="59">IFERROR(IF(X368="",0,CEILING((X368/$H368),1)*$H368),"")</f>
        <v>25.200000000000003</v>
      </c>
      <c r="Z368" s="41">
        <f>IFERROR(IF(Y368=0,"",ROUNDUP(Y368/H368,0)*0.00902),"")</f>
        <v>5.4120000000000001E-2</v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26.488095238095237</v>
      </c>
      <c r="BN368" s="78">
        <f t="shared" ref="BN368:BN374" si="61">IFERROR(Y368*I368/H368,"0")</f>
        <v>26.700000000000003</v>
      </c>
      <c r="BO368" s="78">
        <f t="shared" ref="BO368:BO374" si="62">IFERROR(1/J368*(X368/H368),"0")</f>
        <v>4.5093795093795096E-2</v>
      </c>
      <c r="BP368" s="78">
        <f t="shared" ref="BP368:BP374" si="63">IFERROR(1/J368*(Y368/H368),"0")</f>
        <v>4.5454545454545456E-2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137</v>
      </c>
      <c r="L369" s="37" t="s">
        <v>46</v>
      </c>
      <c r="M369" s="38" t="s">
        <v>81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620</v>
      </c>
      <c r="B370" s="63" t="s">
        <v>621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137</v>
      </c>
      <c r="L370" s="37" t="s">
        <v>46</v>
      </c>
      <c r="M370" s="38" t="s">
        <v>81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622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623</v>
      </c>
      <c r="B371" s="63" t="s">
        <v>624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82</v>
      </c>
      <c r="L371" s="37" t="s">
        <v>46</v>
      </c>
      <c r="M371" s="38" t="s">
        <v>81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619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625</v>
      </c>
      <c r="B372" s="63" t="s">
        <v>626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627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628</v>
      </c>
      <c r="B373" s="63" t="s">
        <v>629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137</v>
      </c>
      <c r="L373" s="37" t="s">
        <v>46</v>
      </c>
      <c r="M373" s="38" t="s">
        <v>81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622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630</v>
      </c>
      <c r="B374" s="63" t="s">
        <v>631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91</v>
      </c>
      <c r="L374" s="37" t="s">
        <v>46</v>
      </c>
      <c r="M374" s="38" t="s">
        <v>81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632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5.9523809523809526</v>
      </c>
      <c r="Y375" s="43">
        <f>IFERROR(Y368/H368,"0")+IFERROR(Y369/H369,"0")+IFERROR(Y370/H370,"0")+IFERROR(Y371/H371,"0")+IFERROR(Y372/H372,"0")+IFERROR(Y373/H373,"0")+IFERROR(Y374/H374,"0")</f>
        <v>6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5.4120000000000001E-2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25</v>
      </c>
      <c r="Y376" s="43">
        <f>IFERROR(SUM(Y368:Y374),"0")</f>
        <v>25.200000000000003</v>
      </c>
      <c r="Z376" s="42"/>
      <c r="AA376" s="67"/>
      <c r="AB376" s="67"/>
      <c r="AC376" s="67"/>
    </row>
    <row r="377" spans="1:68" ht="14.25" hidden="1" customHeight="1" x14ac:dyDescent="0.25">
      <c r="A377" s="658" t="s">
        <v>86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633</v>
      </c>
      <c r="B378" s="63" t="s">
        <v>634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130</v>
      </c>
      <c r="L378" s="37" t="s">
        <v>46</v>
      </c>
      <c r="M378" s="38" t="s">
        <v>90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635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636</v>
      </c>
      <c r="B379" s="63" t="s">
        <v>637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638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639</v>
      </c>
      <c r="B380" s="63" t="s">
        <v>640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130</v>
      </c>
      <c r="L380" s="37" t="s">
        <v>46</v>
      </c>
      <c r="M380" s="38" t="s">
        <v>90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641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642</v>
      </c>
      <c r="B381" s="63" t="s">
        <v>643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91</v>
      </c>
      <c r="L381" s="37" t="s">
        <v>46</v>
      </c>
      <c r="M381" s="38" t="s">
        <v>90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635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58" t="s">
        <v>175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644</v>
      </c>
      <c r="B385" s="63" t="s">
        <v>645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130</v>
      </c>
      <c r="L385" s="37" t="s">
        <v>46</v>
      </c>
      <c r="M385" s="38" t="s">
        <v>90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646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647</v>
      </c>
      <c r="B386" s="63" t="s">
        <v>648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130</v>
      </c>
      <c r="L386" s="37" t="s">
        <v>46</v>
      </c>
      <c r="M386" s="38" t="s">
        <v>90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45</v>
      </c>
      <c r="Y386" s="55">
        <f>IFERROR(IF(X386="",0,CEILING((X386/$H386),1)*$H386),"")</f>
        <v>46.8</v>
      </c>
      <c r="Z386" s="41">
        <f>IFERROR(IF(Y386=0,"",ROUNDUP(Y386/H386,0)*0.01898),"")</f>
        <v>0.11388000000000001</v>
      </c>
      <c r="AA386" s="68" t="s">
        <v>46</v>
      </c>
      <c r="AB386" s="69" t="s">
        <v>46</v>
      </c>
      <c r="AC386" s="486" t="s">
        <v>649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47.85</v>
      </c>
      <c r="BN386" s="78">
        <f>IFERROR(Y386*I386/H386,"0")</f>
        <v>49.764000000000003</v>
      </c>
      <c r="BO386" s="78">
        <f>IFERROR(1/J386*(X386/H386),"0")</f>
        <v>9.0144230769230768E-2</v>
      </c>
      <c r="BP386" s="78">
        <f>IFERROR(1/J386*(Y386/H386),"0")</f>
        <v>9.375E-2</v>
      </c>
    </row>
    <row r="387" spans="1:68" ht="27" hidden="1" customHeight="1" x14ac:dyDescent="0.25">
      <c r="A387" s="63" t="s">
        <v>650</v>
      </c>
      <c r="B387" s="63" t="s">
        <v>651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130</v>
      </c>
      <c r="L387" s="37" t="s">
        <v>46</v>
      </c>
      <c r="M387" s="38" t="s">
        <v>97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652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5.7692307692307692</v>
      </c>
      <c r="Y388" s="43">
        <f>IFERROR(Y385/H385,"0")+IFERROR(Y386/H386,"0")+IFERROR(Y387/H387,"0")</f>
        <v>6</v>
      </c>
      <c r="Z388" s="43">
        <f>IFERROR(IF(Z385="",0,Z385),"0")+IFERROR(IF(Z386="",0,Z386),"0")+IFERROR(IF(Z387="",0,Z387),"0")</f>
        <v>0.11388000000000001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45</v>
      </c>
      <c r="Y389" s="43">
        <f>IFERROR(SUM(Y385:Y387),"0")</f>
        <v>46.8</v>
      </c>
      <c r="Z389" s="42"/>
      <c r="AA389" s="67"/>
      <c r="AB389" s="67"/>
      <c r="AC389" s="67"/>
    </row>
    <row r="390" spans="1:68" ht="14.25" hidden="1" customHeight="1" x14ac:dyDescent="0.25">
      <c r="A390" s="658" t="s">
        <v>283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customHeight="1" x14ac:dyDescent="0.25">
      <c r="A391" s="63" t="s">
        <v>653</v>
      </c>
      <c r="B391" s="63" t="s">
        <v>654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137</v>
      </c>
      <c r="L391" s="37" t="s">
        <v>46</v>
      </c>
      <c r="M391" s="38" t="s">
        <v>251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6</v>
      </c>
      <c r="Y391" s="55">
        <f>IFERROR(IF(X391="",0,CEILING((X391/$H391),1)*$H391),"")</f>
        <v>6.08</v>
      </c>
      <c r="Z391" s="41">
        <f>IFERROR(IF(Y391=0,"",ROUNDUP(Y391/H391,0)*0.00902),"")</f>
        <v>1.804E-2</v>
      </c>
      <c r="AA391" s="68" t="s">
        <v>46</v>
      </c>
      <c r="AB391" s="69" t="s">
        <v>46</v>
      </c>
      <c r="AC391" s="490" t="s">
        <v>655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6.5328947368421053</v>
      </c>
      <c r="BN391" s="78">
        <f>IFERROR(Y391*I391/H391,"0")</f>
        <v>6.62</v>
      </c>
      <c r="BO391" s="78">
        <f>IFERROR(1/J391*(X391/H391),"0")</f>
        <v>1.4952153110047847E-2</v>
      </c>
      <c r="BP391" s="78">
        <f>IFERROR(1/J391*(Y391/H391),"0")</f>
        <v>1.5151515151515152E-2</v>
      </c>
    </row>
    <row r="392" spans="1:68" ht="27" hidden="1" customHeight="1" x14ac:dyDescent="0.25">
      <c r="A392" s="63" t="s">
        <v>656</v>
      </c>
      <c r="B392" s="63" t="s">
        <v>657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137</v>
      </c>
      <c r="L392" s="37" t="s">
        <v>46</v>
      </c>
      <c r="M392" s="38" t="s">
        <v>251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655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658</v>
      </c>
      <c r="B393" s="63" t="s">
        <v>659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91</v>
      </c>
      <c r="L393" s="37" t="s">
        <v>46</v>
      </c>
      <c r="M393" s="38" t="s">
        <v>251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655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660</v>
      </c>
      <c r="B394" s="63" t="s">
        <v>661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655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1.9736842105263157</v>
      </c>
      <c r="Y395" s="43">
        <f>IFERROR(Y391/H391,"0")+IFERROR(Y392/H392,"0")+IFERROR(Y393/H393,"0")+IFERROR(Y394/H394,"0")</f>
        <v>2</v>
      </c>
      <c r="Z395" s="43">
        <f>IFERROR(IF(Z391="",0,Z391),"0")+IFERROR(IF(Z392="",0,Z392),"0")+IFERROR(IF(Z393="",0,Z393),"0")+IFERROR(IF(Z394="",0,Z394),"0")</f>
        <v>1.804E-2</v>
      </c>
      <c r="AA395" s="67"/>
      <c r="AB395" s="67"/>
      <c r="AC395" s="67"/>
    </row>
    <row r="396" spans="1:68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6</v>
      </c>
      <c r="Y396" s="43">
        <f>IFERROR(SUM(Y391:Y394),"0")</f>
        <v>6.08</v>
      </c>
      <c r="Z396" s="42"/>
      <c r="AA396" s="67"/>
      <c r="AB396" s="67"/>
      <c r="AC396" s="67"/>
    </row>
    <row r="397" spans="1:68" ht="14.25" hidden="1" customHeight="1" x14ac:dyDescent="0.25">
      <c r="A397" s="658" t="s">
        <v>662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663</v>
      </c>
      <c r="B398" s="63" t="s">
        <v>664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91</v>
      </c>
      <c r="L398" s="37" t="s">
        <v>46</v>
      </c>
      <c r="M398" s="38" t="s">
        <v>666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665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667</v>
      </c>
      <c r="B399" s="63" t="s">
        <v>668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666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665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669</v>
      </c>
      <c r="B400" s="63" t="s">
        <v>670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666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665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671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customHeight="1" x14ac:dyDescent="0.25">
      <c r="A404" s="63" t="s">
        <v>672</v>
      </c>
      <c r="B404" s="63" t="s">
        <v>673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91</v>
      </c>
      <c r="L404" s="37" t="s">
        <v>46</v>
      </c>
      <c r="M404" s="38" t="s">
        <v>666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3</v>
      </c>
      <c r="Y404" s="55">
        <f>IFERROR(IF(X404="",0,CEILING((X404/$H404),1)*$H404),"")</f>
        <v>3</v>
      </c>
      <c r="Z404" s="41">
        <f>IFERROR(IF(Y404=0,"",ROUNDUP(Y404/H404,0)*0.0045),"")</f>
        <v>4.4999999999999997E-3</v>
      </c>
      <c r="AA404" s="68" t="s">
        <v>46</v>
      </c>
      <c r="AB404" s="69" t="s">
        <v>46</v>
      </c>
      <c r="AC404" s="504" t="s">
        <v>674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3.22</v>
      </c>
      <c r="BN404" s="78">
        <f>IFERROR(Y404*I404/H404,"0")</f>
        <v>3.22</v>
      </c>
      <c r="BO404" s="78">
        <f>IFERROR(1/J404*(X404/H404),"0")</f>
        <v>4.464285714285714E-3</v>
      </c>
      <c r="BP404" s="78">
        <f>IFERROR(1/J404*(Y404/H404),"0")</f>
        <v>4.464285714285714E-3</v>
      </c>
    </row>
    <row r="405" spans="1:68" ht="27" hidden="1" customHeight="1" x14ac:dyDescent="0.25">
      <c r="A405" s="63" t="s">
        <v>675</v>
      </c>
      <c r="B405" s="63" t="s">
        <v>676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137</v>
      </c>
      <c r="L405" s="37" t="s">
        <v>46</v>
      </c>
      <c r="M405" s="38" t="s">
        <v>666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/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677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678</v>
      </c>
      <c r="B406" s="63" t="s">
        <v>679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666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3</v>
      </c>
      <c r="Y406" s="55">
        <f>IFERROR(IF(X406="",0,CEILING((X406/$H406),1)*$H406),"")</f>
        <v>3</v>
      </c>
      <c r="Z406" s="41">
        <f>IFERROR(IF(Y406=0,"",ROUNDUP(Y406/H406,0)*0.0045),"")</f>
        <v>4.4999999999999997E-3</v>
      </c>
      <c r="AA406" s="68" t="s">
        <v>46</v>
      </c>
      <c r="AB406" s="69" t="s">
        <v>46</v>
      </c>
      <c r="AC406" s="508" t="s">
        <v>674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3.22</v>
      </c>
      <c r="BN406" s="78">
        <f>IFERROR(Y406*I406/H406,"0")</f>
        <v>3.22</v>
      </c>
      <c r="BO406" s="78">
        <f>IFERROR(1/J406*(X406/H406),"0")</f>
        <v>4.464285714285714E-3</v>
      </c>
      <c r="BP406" s="78">
        <f>IFERROR(1/J406*(Y406/H406),"0")</f>
        <v>4.464285714285714E-3</v>
      </c>
    </row>
    <row r="407" spans="1:68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2</v>
      </c>
      <c r="Y407" s="43">
        <f>IFERROR(Y404/H404,"0")+IFERROR(Y405/H405,"0")+IFERROR(Y406/H406,"0")</f>
        <v>2</v>
      </c>
      <c r="Z407" s="43">
        <f>IFERROR(IF(Z404="",0,Z404),"0")+IFERROR(IF(Z405="",0,Z405),"0")+IFERROR(IF(Z406="",0,Z406),"0")</f>
        <v>8.9999999999999993E-3</v>
      </c>
      <c r="AA407" s="67"/>
      <c r="AB407" s="67"/>
      <c r="AC407" s="67"/>
    </row>
    <row r="408" spans="1:68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6</v>
      </c>
      <c r="Y408" s="43">
        <f>IFERROR(SUM(Y404:Y406),"0")</f>
        <v>6</v>
      </c>
      <c r="Z408" s="42"/>
      <c r="AA408" s="67"/>
      <c r="AB408" s="67"/>
      <c r="AC408" s="67"/>
    </row>
    <row r="409" spans="1:68" ht="16.5" hidden="1" customHeight="1" x14ac:dyDescent="0.25">
      <c r="A409" s="657" t="s">
        <v>680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86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customHeight="1" x14ac:dyDescent="0.25">
      <c r="A411" s="63" t="s">
        <v>681</v>
      </c>
      <c r="B411" s="63" t="s">
        <v>682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130</v>
      </c>
      <c r="L411" s="37" t="s">
        <v>46</v>
      </c>
      <c r="M411" s="38" t="s">
        <v>90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15</v>
      </c>
      <c r="Y411" s="55">
        <f>IFERROR(IF(X411="",0,CEILING((X411/$H411),1)*$H411),"")</f>
        <v>15.6</v>
      </c>
      <c r="Z411" s="41">
        <f>IFERROR(IF(Y411=0,"",ROUNDUP(Y411/H411,0)*0.01898),"")</f>
        <v>3.7960000000000001E-2</v>
      </c>
      <c r="AA411" s="68" t="s">
        <v>46</v>
      </c>
      <c r="AB411" s="69" t="s">
        <v>108</v>
      </c>
      <c r="AC411" s="510" t="s">
        <v>683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15.78846153846154</v>
      </c>
      <c r="BN411" s="78">
        <f>IFERROR(Y411*I411/H411,"0")</f>
        <v>16.420000000000002</v>
      </c>
      <c r="BO411" s="78">
        <f>IFERROR(1/J411*(X411/H411),"0")</f>
        <v>3.0048076923076924E-2</v>
      </c>
      <c r="BP411" s="78">
        <f>IFERROR(1/J411*(Y411/H411),"0")</f>
        <v>3.125E-2</v>
      </c>
    </row>
    <row r="412" spans="1:68" ht="16.5" customHeight="1" x14ac:dyDescent="0.25">
      <c r="A412" s="63" t="s">
        <v>684</v>
      </c>
      <c r="B412" s="63" t="s">
        <v>685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130</v>
      </c>
      <c r="L412" s="37" t="s">
        <v>46</v>
      </c>
      <c r="M412" s="38" t="s">
        <v>90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15</v>
      </c>
      <c r="Y412" s="55">
        <f>IFERROR(IF(X412="",0,CEILING((X412/$H412),1)*$H412),"")</f>
        <v>15.6</v>
      </c>
      <c r="Z412" s="41">
        <f>IFERROR(IF(Y412=0,"",ROUNDUP(Y412/H412,0)*0.01898),"")</f>
        <v>3.7960000000000001E-2</v>
      </c>
      <c r="AA412" s="68" t="s">
        <v>46</v>
      </c>
      <c r="AB412" s="69" t="s">
        <v>108</v>
      </c>
      <c r="AC412" s="512" t="s">
        <v>686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15.78846153846154</v>
      </c>
      <c r="BN412" s="78">
        <f>IFERROR(Y412*I412/H412,"0")</f>
        <v>16.420000000000002</v>
      </c>
      <c r="BO412" s="78">
        <f>IFERROR(1/J412*(X412/H412),"0")</f>
        <v>3.0048076923076924E-2</v>
      </c>
      <c r="BP412" s="78">
        <f>IFERROR(1/J412*(Y412/H412),"0")</f>
        <v>3.125E-2</v>
      </c>
    </row>
    <row r="413" spans="1:68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3.8461538461538463</v>
      </c>
      <c r="Y413" s="43">
        <f>IFERROR(Y411/H411,"0")+IFERROR(Y412/H412,"0")</f>
        <v>4</v>
      </c>
      <c r="Z413" s="43">
        <f>IFERROR(IF(Z411="",0,Z411),"0")+IFERROR(IF(Z412="",0,Z412),"0")</f>
        <v>7.5920000000000001E-2</v>
      </c>
      <c r="AA413" s="67"/>
      <c r="AB413" s="67"/>
      <c r="AC413" s="67"/>
    </row>
    <row r="414" spans="1:68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30</v>
      </c>
      <c r="Y414" s="43">
        <f>IFERROR(SUM(Y411:Y412),"0")</f>
        <v>31.2</v>
      </c>
      <c r="Z414" s="42"/>
      <c r="AA414" s="67"/>
      <c r="AB414" s="67"/>
      <c r="AC414" s="67"/>
    </row>
    <row r="415" spans="1:68" ht="16.5" hidden="1" customHeight="1" x14ac:dyDescent="0.25">
      <c r="A415" s="657" t="s">
        <v>687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86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hidden="1" customHeight="1" x14ac:dyDescent="0.25">
      <c r="A417" s="63" t="s">
        <v>688</v>
      </c>
      <c r="B417" s="63" t="s">
        <v>689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130</v>
      </c>
      <c r="L417" s="37" t="s">
        <v>46</v>
      </c>
      <c r="M417" s="38" t="s">
        <v>97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690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691</v>
      </c>
      <c r="B418" s="63" t="s">
        <v>692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91</v>
      </c>
      <c r="L418" s="37" t="s">
        <v>46</v>
      </c>
      <c r="M418" s="38" t="s">
        <v>90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18.899999999999999</v>
      </c>
      <c r="Y418" s="55">
        <f>IFERROR(IF(X418="",0,CEILING((X418/$H418),1)*$H418),"")</f>
        <v>18.900000000000002</v>
      </c>
      <c r="Z418" s="41">
        <f>IFERROR(IF(Y418=0,"",ROUNDUP(Y418/H418,0)*0.00651),"")</f>
        <v>5.8590000000000003E-2</v>
      </c>
      <c r="AA418" s="68" t="s">
        <v>46</v>
      </c>
      <c r="AB418" s="69" t="s">
        <v>46</v>
      </c>
      <c r="AC418" s="516" t="s">
        <v>693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21.167999999999996</v>
      </c>
      <c r="BN418" s="78">
        <f>IFERROR(Y418*I418/H418,"0")</f>
        <v>21.167999999999999</v>
      </c>
      <c r="BO418" s="78">
        <f>IFERROR(1/J418*(X418/H418),"0")</f>
        <v>4.9450549450549441E-2</v>
      </c>
      <c r="BP418" s="78">
        <f>IFERROR(1/J418*(Y418/H418),"0")</f>
        <v>4.9450549450549455E-2</v>
      </c>
    </row>
    <row r="419" spans="1:68" ht="27" customHeight="1" x14ac:dyDescent="0.25">
      <c r="A419" s="63" t="s">
        <v>694</v>
      </c>
      <c r="B419" s="63" t="s">
        <v>695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91</v>
      </c>
      <c r="L419" s="37" t="s">
        <v>46</v>
      </c>
      <c r="M419" s="38" t="s">
        <v>97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4.2</v>
      </c>
      <c r="Y419" s="55">
        <f>IFERROR(IF(X419="",0,CEILING((X419/$H419),1)*$H419),"")</f>
        <v>4.2</v>
      </c>
      <c r="Z419" s="41">
        <f>IFERROR(IF(Y419=0,"",ROUNDUP(Y419/H419,0)*0.00651),"")</f>
        <v>1.302E-2</v>
      </c>
      <c r="AA419" s="68" t="s">
        <v>46</v>
      </c>
      <c r="AB419" s="69" t="s">
        <v>46</v>
      </c>
      <c r="AC419" s="518" t="s">
        <v>696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4.68</v>
      </c>
      <c r="BN419" s="78">
        <f>IFERROR(Y419*I419/H419,"0")</f>
        <v>4.68</v>
      </c>
      <c r="BO419" s="78">
        <f>IFERROR(1/J419*(X419/H419),"0")</f>
        <v>1.098901098901099E-2</v>
      </c>
      <c r="BP419" s="78">
        <f>IFERROR(1/J419*(Y419/H419),"0")</f>
        <v>1.098901098901099E-2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10.999999999999998</v>
      </c>
      <c r="Y420" s="43">
        <f>IFERROR(Y417/H417,"0")+IFERROR(Y418/H418,"0")+IFERROR(Y419/H419,"0")</f>
        <v>11</v>
      </c>
      <c r="Z420" s="43">
        <f>IFERROR(IF(Z417="",0,Z417),"0")+IFERROR(IF(Z418="",0,Z418),"0")+IFERROR(IF(Z419="",0,Z419),"0")</f>
        <v>7.1610000000000007E-2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23.099999999999998</v>
      </c>
      <c r="Y421" s="43">
        <f>IFERROR(SUM(Y417:Y419),"0")</f>
        <v>23.1</v>
      </c>
      <c r="Z421" s="42"/>
      <c r="AA421" s="67"/>
      <c r="AB421" s="67"/>
      <c r="AC421" s="67"/>
    </row>
    <row r="422" spans="1:68" ht="27.75" hidden="1" customHeight="1" x14ac:dyDescent="0.2">
      <c r="A422" s="664" t="s">
        <v>697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698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125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699</v>
      </c>
      <c r="B425" s="63" t="s">
        <v>700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130</v>
      </c>
      <c r="L425" s="37" t="s">
        <v>46</v>
      </c>
      <c r="M425" s="38" t="s">
        <v>97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701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702</v>
      </c>
      <c r="B426" s="63" t="s">
        <v>703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130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100</v>
      </c>
      <c r="Y426" s="55">
        <f t="shared" si="64"/>
        <v>105</v>
      </c>
      <c r="Z426" s="41">
        <f>IFERROR(IF(Y426=0,"",ROUNDUP(Y426/H426,0)*0.02175),"")</f>
        <v>0.15225</v>
      </c>
      <c r="AA426" s="68" t="s">
        <v>46</v>
      </c>
      <c r="AB426" s="69" t="s">
        <v>46</v>
      </c>
      <c r="AC426" s="522" t="s">
        <v>704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103.13333333333334</v>
      </c>
      <c r="BN426" s="78">
        <f t="shared" si="66"/>
        <v>108.29</v>
      </c>
      <c r="BO426" s="78">
        <f t="shared" si="67"/>
        <v>0.1388888888888889</v>
      </c>
      <c r="BP426" s="78">
        <f t="shared" si="68"/>
        <v>0.14583333333333331</v>
      </c>
    </row>
    <row r="427" spans="1:68" ht="27" customHeight="1" x14ac:dyDescent="0.25">
      <c r="A427" s="63" t="s">
        <v>705</v>
      </c>
      <c r="B427" s="63" t="s">
        <v>706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130</v>
      </c>
      <c r="L427" s="37" t="s">
        <v>46</v>
      </c>
      <c r="M427" s="38" t="s">
        <v>129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100</v>
      </c>
      <c r="Y427" s="55">
        <f t="shared" si="64"/>
        <v>105</v>
      </c>
      <c r="Z427" s="41">
        <f>IFERROR(IF(Y427=0,"",ROUNDUP(Y427/H427,0)*0.02175),"")</f>
        <v>0.15225</v>
      </c>
      <c r="AA427" s="68" t="s">
        <v>46</v>
      </c>
      <c r="AB427" s="69" t="s">
        <v>46</v>
      </c>
      <c r="AC427" s="524" t="s">
        <v>707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103.13333333333334</v>
      </c>
      <c r="BN427" s="78">
        <f t="shared" si="66"/>
        <v>108.29</v>
      </c>
      <c r="BO427" s="78">
        <f t="shared" si="67"/>
        <v>0.1388888888888889</v>
      </c>
      <c r="BP427" s="78">
        <f t="shared" si="68"/>
        <v>0.14583333333333331</v>
      </c>
    </row>
    <row r="428" spans="1:68" ht="27" customHeight="1" x14ac:dyDescent="0.25">
      <c r="A428" s="63" t="s">
        <v>708</v>
      </c>
      <c r="B428" s="63" t="s">
        <v>709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130</v>
      </c>
      <c r="L428" s="37" t="s">
        <v>46</v>
      </c>
      <c r="M428" s="38" t="s">
        <v>81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250</v>
      </c>
      <c r="Y428" s="55">
        <f t="shared" si="64"/>
        <v>255</v>
      </c>
      <c r="Z428" s="41">
        <f>IFERROR(IF(Y428=0,"",ROUNDUP(Y428/H428,0)*0.02175),"")</f>
        <v>0.36974999999999997</v>
      </c>
      <c r="AA428" s="68" t="s">
        <v>46</v>
      </c>
      <c r="AB428" s="69" t="s">
        <v>46</v>
      </c>
      <c r="AC428" s="526" t="s">
        <v>710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257.83333333333331</v>
      </c>
      <c r="BN428" s="78">
        <f t="shared" si="66"/>
        <v>262.99</v>
      </c>
      <c r="BO428" s="78">
        <f t="shared" si="67"/>
        <v>0.34722222222222221</v>
      </c>
      <c r="BP428" s="78">
        <f t="shared" si="68"/>
        <v>0.35416666666666663</v>
      </c>
    </row>
    <row r="429" spans="1:68" ht="27" hidden="1" customHeight="1" x14ac:dyDescent="0.25">
      <c r="A429" s="63" t="s">
        <v>711</v>
      </c>
      <c r="B429" s="63" t="s">
        <v>712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130</v>
      </c>
      <c r="L429" s="37" t="s">
        <v>46</v>
      </c>
      <c r="M429" s="38" t="s">
        <v>97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713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714</v>
      </c>
      <c r="B430" s="63" t="s">
        <v>715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137</v>
      </c>
      <c r="L430" s="37" t="s">
        <v>46</v>
      </c>
      <c r="M430" s="38" t="s">
        <v>129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716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717</v>
      </c>
      <c r="B431" s="63" t="s">
        <v>718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137</v>
      </c>
      <c r="L431" s="37" t="s">
        <v>46</v>
      </c>
      <c r="M431" s="38" t="s">
        <v>81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719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720</v>
      </c>
      <c r="B432" s="63" t="s">
        <v>721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137</v>
      </c>
      <c r="L432" s="37" t="s">
        <v>46</v>
      </c>
      <c r="M432" s="38" t="s">
        <v>81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722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30</v>
      </c>
      <c r="Y433" s="43">
        <f>IFERROR(Y425/H425,"0")+IFERROR(Y426/H426,"0")+IFERROR(Y427/H427,"0")+IFERROR(Y428/H428,"0")+IFERROR(Y429/H429,"0")+IFERROR(Y430/H430,"0")+IFERROR(Y431/H431,"0")+IFERROR(Y432/H432,"0")</f>
        <v>31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0.67425000000000002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450</v>
      </c>
      <c r="Y434" s="43">
        <f>IFERROR(SUM(Y425:Y432),"0")</f>
        <v>465</v>
      </c>
      <c r="Z434" s="42"/>
      <c r="AA434" s="67"/>
      <c r="AB434" s="67"/>
      <c r="AC434" s="67"/>
    </row>
    <row r="435" spans="1:68" ht="14.25" hidden="1" customHeight="1" x14ac:dyDescent="0.25">
      <c r="A435" s="658" t="s">
        <v>158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723</v>
      </c>
      <c r="B436" s="63" t="s">
        <v>724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130</v>
      </c>
      <c r="L436" s="37" t="s">
        <v>46</v>
      </c>
      <c r="M436" s="38" t="s">
        <v>129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200</v>
      </c>
      <c r="Y436" s="55">
        <f>IFERROR(IF(X436="",0,CEILING((X436/$H436),1)*$H436),"")</f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36" t="s">
        <v>725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206.26666666666668</v>
      </c>
      <c r="BN436" s="78">
        <f>IFERROR(Y436*I436/H436,"0")</f>
        <v>216.58</v>
      </c>
      <c r="BO436" s="78">
        <f>IFERROR(1/J436*(X436/H436),"0")</f>
        <v>0.27777777777777779</v>
      </c>
      <c r="BP436" s="78">
        <f>IFERROR(1/J436*(Y436/H436),"0")</f>
        <v>0.29166666666666663</v>
      </c>
    </row>
    <row r="437" spans="1:68" ht="27" hidden="1" customHeight="1" x14ac:dyDescent="0.25">
      <c r="A437" s="63" t="s">
        <v>726</v>
      </c>
      <c r="B437" s="63" t="s">
        <v>727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130</v>
      </c>
      <c r="L437" s="37" t="s">
        <v>46</v>
      </c>
      <c r="M437" s="38" t="s">
        <v>129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728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729</v>
      </c>
      <c r="B438" s="63" t="s">
        <v>730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137</v>
      </c>
      <c r="L438" s="37" t="s">
        <v>46</v>
      </c>
      <c r="M438" s="38" t="s">
        <v>129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731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13.333333333333334</v>
      </c>
      <c r="Y439" s="43">
        <f>IFERROR(Y436/H436,"0")+IFERROR(Y437/H437,"0")+IFERROR(Y438/H438,"0")</f>
        <v>14</v>
      </c>
      <c r="Z439" s="43">
        <f>IFERROR(IF(Z436="",0,Z436),"0")+IFERROR(IF(Z437="",0,Z437),"0")+IFERROR(IF(Z438="",0,Z438),"0")</f>
        <v>0.30449999999999999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200</v>
      </c>
      <c r="Y440" s="43">
        <f>IFERROR(SUM(Y436:Y438),"0")</f>
        <v>210</v>
      </c>
      <c r="Z440" s="42"/>
      <c r="AA440" s="67"/>
      <c r="AB440" s="67"/>
      <c r="AC440" s="67"/>
    </row>
    <row r="441" spans="1:68" ht="14.25" hidden="1" customHeight="1" x14ac:dyDescent="0.25">
      <c r="A441" s="658" t="s">
        <v>86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732</v>
      </c>
      <c r="B442" s="63" t="s">
        <v>733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130</v>
      </c>
      <c r="L442" s="37" t="s">
        <v>46</v>
      </c>
      <c r="M442" s="38" t="s">
        <v>90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734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735</v>
      </c>
      <c r="B443" s="63" t="s">
        <v>736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130</v>
      </c>
      <c r="L443" s="37" t="s">
        <v>46</v>
      </c>
      <c r="M443" s="38" t="s">
        <v>90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737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738</v>
      </c>
      <c r="B444" s="63" t="s">
        <v>739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130</v>
      </c>
      <c r="L444" s="37" t="s">
        <v>46</v>
      </c>
      <c r="M444" s="38" t="s">
        <v>90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740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175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741</v>
      </c>
      <c r="B448" s="63" t="s">
        <v>742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130</v>
      </c>
      <c r="L448" s="37" t="s">
        <v>46</v>
      </c>
      <c r="M448" s="38" t="s">
        <v>90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743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744</v>
      </c>
      <c r="B449" s="63" t="s">
        <v>745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130</v>
      </c>
      <c r="L449" s="37" t="s">
        <v>46</v>
      </c>
      <c r="M449" s="38" t="s">
        <v>90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746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747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125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748</v>
      </c>
      <c r="B454" s="63" t="s">
        <v>749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130</v>
      </c>
      <c r="L454" s="37" t="s">
        <v>46</v>
      </c>
      <c r="M454" s="38" t="s">
        <v>81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/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750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751</v>
      </c>
      <c r="B455" s="63" t="s">
        <v>752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137</v>
      </c>
      <c r="L455" s="37" t="s">
        <v>46</v>
      </c>
      <c r="M455" s="38" t="s">
        <v>81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750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77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753</v>
      </c>
      <c r="B459" s="63" t="s">
        <v>754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137</v>
      </c>
      <c r="L459" s="37" t="s">
        <v>46</v>
      </c>
      <c r="M459" s="38" t="s">
        <v>81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755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86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customHeight="1" x14ac:dyDescent="0.25">
      <c r="A463" s="63" t="s">
        <v>756</v>
      </c>
      <c r="B463" s="63" t="s">
        <v>757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130</v>
      </c>
      <c r="L463" s="37" t="s">
        <v>46</v>
      </c>
      <c r="M463" s="38" t="s">
        <v>90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27</v>
      </c>
      <c r="Y463" s="55">
        <f>IFERROR(IF(X463="",0,CEILING((X463/$H463),1)*$H463),"")</f>
        <v>27</v>
      </c>
      <c r="Z463" s="41">
        <f>IFERROR(IF(Y463=0,"",ROUNDUP(Y463/H463,0)*0.01898),"")</f>
        <v>5.6940000000000004E-2</v>
      </c>
      <c r="AA463" s="68" t="s">
        <v>46</v>
      </c>
      <c r="AB463" s="69" t="s">
        <v>46</v>
      </c>
      <c r="AC463" s="558" t="s">
        <v>758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28.481999999999996</v>
      </c>
      <c r="BN463" s="78">
        <f>IFERROR(Y463*I463/H463,"0")</f>
        <v>28.481999999999996</v>
      </c>
      <c r="BO463" s="78">
        <f>IFERROR(1/J463*(X463/H463),"0")</f>
        <v>4.6875E-2</v>
      </c>
      <c r="BP463" s="78">
        <f>IFERROR(1/J463*(Y463/H463),"0")</f>
        <v>4.6875E-2</v>
      </c>
    </row>
    <row r="464" spans="1:68" ht="27" hidden="1" customHeight="1" x14ac:dyDescent="0.25">
      <c r="A464" s="63" t="s">
        <v>759</v>
      </c>
      <c r="B464" s="63" t="s">
        <v>760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91</v>
      </c>
      <c r="L464" s="37" t="s">
        <v>46</v>
      </c>
      <c r="M464" s="38" t="s">
        <v>90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758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759</v>
      </c>
      <c r="B465" s="63" t="s">
        <v>761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762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3</v>
      </c>
      <c r="Y466" s="43">
        <f>IFERROR(Y463/H463,"0")+IFERROR(Y464/H464,"0")+IFERROR(Y465/H465,"0")</f>
        <v>3</v>
      </c>
      <c r="Z466" s="43">
        <f>IFERROR(IF(Z463="",0,Z463),"0")+IFERROR(IF(Z464="",0,Z464),"0")+IFERROR(IF(Z465="",0,Z465),"0")</f>
        <v>5.6940000000000004E-2</v>
      </c>
      <c r="AA466" s="67"/>
      <c r="AB466" s="67"/>
      <c r="AC466" s="67"/>
    </row>
    <row r="467" spans="1:68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27</v>
      </c>
      <c r="Y467" s="43">
        <f>IFERROR(SUM(Y463:Y465),"0")</f>
        <v>27</v>
      </c>
      <c r="Z467" s="42"/>
      <c r="AA467" s="67"/>
      <c r="AB467" s="67"/>
      <c r="AC467" s="67"/>
    </row>
    <row r="468" spans="1:68" ht="27.75" hidden="1" customHeight="1" x14ac:dyDescent="0.2">
      <c r="A468" s="664" t="s">
        <v>763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764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77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customHeight="1" x14ac:dyDescent="0.25">
      <c r="A471" s="63" t="s">
        <v>765</v>
      </c>
      <c r="B471" s="63" t="s">
        <v>766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137</v>
      </c>
      <c r="L471" s="37" t="s">
        <v>46</v>
      </c>
      <c r="M471" s="38" t="s">
        <v>81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10</v>
      </c>
      <c r="Y471" s="55">
        <f t="shared" ref="Y471:Y476" si="69">IFERROR(IF(X471="",0,CEILING((X471/$H471),1)*$H471),"")</f>
        <v>10.8</v>
      </c>
      <c r="Z471" s="41">
        <f>IFERROR(IF(Y471=0,"",ROUNDUP(Y471/H471,0)*0.00902),"")</f>
        <v>1.804E-2</v>
      </c>
      <c r="AA471" s="68" t="s">
        <v>46</v>
      </c>
      <c r="AB471" s="69" t="s">
        <v>46</v>
      </c>
      <c r="AC471" s="564" t="s">
        <v>767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10.351851851851851</v>
      </c>
      <c r="BN471" s="78">
        <f t="shared" ref="BN471:BN476" si="71">IFERROR(Y471*I471/H471,"0")</f>
        <v>11.18</v>
      </c>
      <c r="BO471" s="78">
        <f t="shared" ref="BO471:BO476" si="72">IFERROR(1/J471*(X471/H471),"0")</f>
        <v>1.4029180695847361E-2</v>
      </c>
      <c r="BP471" s="78">
        <f t="shared" ref="BP471:BP476" si="73">IFERROR(1/J471*(Y471/H471),"0")</f>
        <v>1.5151515151515152E-2</v>
      </c>
    </row>
    <row r="472" spans="1:68" ht="27" customHeight="1" x14ac:dyDescent="0.25">
      <c r="A472" s="63" t="s">
        <v>768</v>
      </c>
      <c r="B472" s="63" t="s">
        <v>769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137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15</v>
      </c>
      <c r="Y472" s="55">
        <f t="shared" si="69"/>
        <v>16.200000000000003</v>
      </c>
      <c r="Z472" s="41">
        <f>IFERROR(IF(Y472=0,"",ROUNDUP(Y472/H472,0)*0.00902),"")</f>
        <v>2.7060000000000001E-2</v>
      </c>
      <c r="AA472" s="68" t="s">
        <v>46</v>
      </c>
      <c r="AB472" s="69" t="s">
        <v>46</v>
      </c>
      <c r="AC472" s="566" t="s">
        <v>770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15.527777777777775</v>
      </c>
      <c r="BN472" s="78">
        <f t="shared" si="71"/>
        <v>16.77</v>
      </c>
      <c r="BO472" s="78">
        <f t="shared" si="72"/>
        <v>2.1043771043771045E-2</v>
      </c>
      <c r="BP472" s="78">
        <f t="shared" si="73"/>
        <v>2.2727272727272731E-2</v>
      </c>
    </row>
    <row r="473" spans="1:68" ht="27" hidden="1" customHeight="1" x14ac:dyDescent="0.25">
      <c r="A473" s="63" t="s">
        <v>771</v>
      </c>
      <c r="B473" s="63" t="s">
        <v>772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767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778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779</v>
      </c>
      <c r="B476" s="63" t="s">
        <v>780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775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4.6296296296296298</v>
      </c>
      <c r="Y477" s="43">
        <f>IFERROR(Y471/H471,"0")+IFERROR(Y472/H472,"0")+IFERROR(Y473/H473,"0")+IFERROR(Y474/H474,"0")+IFERROR(Y475/H475,"0")+IFERROR(Y476/H476,"0")</f>
        <v>5</v>
      </c>
      <c r="Z477" s="43">
        <f>IFERROR(IF(Z471="",0,Z471),"0")+IFERROR(IF(Z472="",0,Z472),"0")+IFERROR(IF(Z473="",0,Z473),"0")+IFERROR(IF(Z474="",0,Z474),"0")+IFERROR(IF(Z475="",0,Z475),"0")+IFERROR(IF(Z476="",0,Z476),"0")</f>
        <v>4.5100000000000001E-2</v>
      </c>
      <c r="AA477" s="67"/>
      <c r="AB477" s="67"/>
      <c r="AC477" s="67"/>
    </row>
    <row r="478" spans="1:68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25</v>
      </c>
      <c r="Y478" s="43">
        <f>IFERROR(SUM(Y471:Y476),"0")</f>
        <v>27.000000000000004</v>
      </c>
      <c r="Z478" s="42"/>
      <c r="AA478" s="67"/>
      <c r="AB478" s="67"/>
      <c r="AC478" s="67"/>
    </row>
    <row r="479" spans="1:68" ht="14.25" hidden="1" customHeight="1" x14ac:dyDescent="0.25">
      <c r="A479" s="658" t="s">
        <v>86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781</v>
      </c>
      <c r="B480" s="63" t="s">
        <v>782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137</v>
      </c>
      <c r="L480" s="37" t="s">
        <v>46</v>
      </c>
      <c r="M480" s="38" t="s">
        <v>90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783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784</v>
      </c>
      <c r="B481" s="63" t="s">
        <v>785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91</v>
      </c>
      <c r="L481" s="37" t="s">
        <v>46</v>
      </c>
      <c r="M481" s="38" t="s">
        <v>90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786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158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788</v>
      </c>
      <c r="B486" s="63" t="s">
        <v>789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91</v>
      </c>
      <c r="L486" s="37" t="s">
        <v>46</v>
      </c>
      <c r="M486" s="38" t="s">
        <v>81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790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77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791</v>
      </c>
      <c r="B490" s="63" t="s">
        <v>792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137</v>
      </c>
      <c r="L490" s="37" t="s">
        <v>46</v>
      </c>
      <c r="M490" s="38" t="s">
        <v>81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40</v>
      </c>
      <c r="Y490" s="55">
        <f>IFERROR(IF(X490="",0,CEILING((X490/$H490),1)*$H490),"")</f>
        <v>43.2</v>
      </c>
      <c r="Z490" s="41">
        <f>IFERROR(IF(Y490=0,"",ROUNDUP(Y490/H490,0)*0.00902),"")</f>
        <v>7.2160000000000002E-2</v>
      </c>
      <c r="AA490" s="68" t="s">
        <v>46</v>
      </c>
      <c r="AB490" s="69" t="s">
        <v>46</v>
      </c>
      <c r="AC490" s="582" t="s">
        <v>793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41.407407407407405</v>
      </c>
      <c r="BN490" s="78">
        <f>IFERROR(Y490*I490/H490,"0")</f>
        <v>44.72</v>
      </c>
      <c r="BO490" s="78">
        <f>IFERROR(1/J490*(X490/H490),"0")</f>
        <v>5.6116722783389444E-2</v>
      </c>
      <c r="BP490" s="78">
        <f>IFERROR(1/J490*(Y490/H490),"0")</f>
        <v>6.0606060606060608E-2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82</v>
      </c>
      <c r="L491" s="37" t="s">
        <v>46</v>
      </c>
      <c r="M491" s="38" t="s">
        <v>81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796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796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7.4074074074074066</v>
      </c>
      <c r="Y493" s="43">
        <f>IFERROR(Y490/H490,"0")+IFERROR(Y491/H491,"0")+IFERROR(Y492/H492,"0")</f>
        <v>8</v>
      </c>
      <c r="Z493" s="43">
        <f>IFERROR(IF(Z490="",0,Z490),"0")+IFERROR(IF(Z491="",0,Z491),"0")+IFERROR(IF(Z492="",0,Z492),"0")</f>
        <v>7.2160000000000002E-2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40</v>
      </c>
      <c r="Y494" s="43">
        <f>IFERROR(SUM(Y490:Y492),"0")</f>
        <v>43.2</v>
      </c>
      <c r="Z494" s="42"/>
      <c r="AA494" s="67"/>
      <c r="AB494" s="67"/>
      <c r="AC494" s="67"/>
    </row>
    <row r="495" spans="1:68" ht="27.75" hidden="1" customHeight="1" x14ac:dyDescent="0.2">
      <c r="A495" s="664" t="s">
        <v>799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799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125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130</v>
      </c>
      <c r="L498" s="37" t="s">
        <v>46</v>
      </c>
      <c r="M498" s="38" t="s">
        <v>90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/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128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802</v>
      </c>
      <c r="B499" s="63" t="s">
        <v>803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130</v>
      </c>
      <c r="L499" s="37" t="s">
        <v>46</v>
      </c>
      <c r="M499" s="38" t="s">
        <v>129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804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130</v>
      </c>
      <c r="L500" s="37" t="s">
        <v>46</v>
      </c>
      <c r="M500" s="38" t="s">
        <v>129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/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807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808</v>
      </c>
      <c r="B501" s="63" t="s">
        <v>809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130</v>
      </c>
      <c r="L501" s="37" t="s">
        <v>46</v>
      </c>
      <c r="M501" s="38" t="s">
        <v>129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100</v>
      </c>
      <c r="Y501" s="55">
        <f t="shared" si="74"/>
        <v>100.32000000000001</v>
      </c>
      <c r="Z501" s="41">
        <f t="shared" si="75"/>
        <v>0.22724</v>
      </c>
      <c r="AA501" s="68" t="s">
        <v>46</v>
      </c>
      <c r="AB501" s="69" t="s">
        <v>46</v>
      </c>
      <c r="AC501" s="594" t="s">
        <v>810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106.62878787878788</v>
      </c>
      <c r="BN501" s="78">
        <f t="shared" si="77"/>
        <v>106.97</v>
      </c>
      <c r="BO501" s="78">
        <f t="shared" si="78"/>
        <v>0.18210955710955709</v>
      </c>
      <c r="BP501" s="78">
        <f t="shared" si="79"/>
        <v>0.18269230769230771</v>
      </c>
    </row>
    <row r="502" spans="1:68" ht="16.5" hidden="1" customHeight="1" x14ac:dyDescent="0.25">
      <c r="A502" s="63" t="s">
        <v>811</v>
      </c>
      <c r="B502" s="63" t="s">
        <v>812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130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813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814</v>
      </c>
      <c r="B503" s="63" t="s">
        <v>815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130</v>
      </c>
      <c r="L503" s="37" t="s">
        <v>46</v>
      </c>
      <c r="M503" s="38" t="s">
        <v>129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120</v>
      </c>
      <c r="Y503" s="55">
        <f t="shared" si="74"/>
        <v>121.44000000000001</v>
      </c>
      <c r="Z503" s="41">
        <f t="shared" si="75"/>
        <v>0.27507999999999999</v>
      </c>
      <c r="AA503" s="68" t="s">
        <v>46</v>
      </c>
      <c r="AB503" s="69" t="s">
        <v>46</v>
      </c>
      <c r="AC503" s="598" t="s">
        <v>816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127.95454545454545</v>
      </c>
      <c r="BN503" s="78">
        <f t="shared" si="77"/>
        <v>129.49</v>
      </c>
      <c r="BO503" s="78">
        <f t="shared" si="78"/>
        <v>0.21853146853146854</v>
      </c>
      <c r="BP503" s="78">
        <f t="shared" si="79"/>
        <v>0.22115384615384617</v>
      </c>
    </row>
    <row r="504" spans="1:68" ht="27" hidden="1" customHeight="1" x14ac:dyDescent="0.25">
      <c r="A504" s="63" t="s">
        <v>817</v>
      </c>
      <c r="B504" s="63" t="s">
        <v>818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91</v>
      </c>
      <c r="L504" s="37" t="s">
        <v>46</v>
      </c>
      <c r="M504" s="38" t="s">
        <v>90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128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137</v>
      </c>
      <c r="L505" s="37" t="s">
        <v>46</v>
      </c>
      <c r="M505" s="38" t="s">
        <v>90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128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821</v>
      </c>
      <c r="B506" s="63" t="s">
        <v>822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137</v>
      </c>
      <c r="L506" s="37" t="s">
        <v>46</v>
      </c>
      <c r="M506" s="38" t="s">
        <v>129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816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41.666666666666664</v>
      </c>
      <c r="Y507" s="43">
        <f>IFERROR(Y498/H498,"0")+IFERROR(Y499/H499,"0")+IFERROR(Y500/H500,"0")+IFERROR(Y501/H501,"0")+IFERROR(Y502/H502,"0")+IFERROR(Y503/H503,"0")+IFERROR(Y504/H504,"0")+IFERROR(Y505/H505,"0")+IFERROR(Y506/H506,"0")</f>
        <v>42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0.50231999999999999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220</v>
      </c>
      <c r="Y508" s="43">
        <f>IFERROR(SUM(Y498:Y506),"0")</f>
        <v>221.76000000000002</v>
      </c>
      <c r="Z508" s="42"/>
      <c r="AA508" s="67"/>
      <c r="AB508" s="67"/>
      <c r="AC508" s="67"/>
    </row>
    <row r="509" spans="1:68" ht="14.25" hidden="1" customHeight="1" x14ac:dyDescent="0.25">
      <c r="A509" s="658" t="s">
        <v>158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823</v>
      </c>
      <c r="B510" s="63" t="s">
        <v>824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130</v>
      </c>
      <c r="L510" s="37" t="s">
        <v>46</v>
      </c>
      <c r="M510" s="38" t="s">
        <v>90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50</v>
      </c>
      <c r="Y510" s="55">
        <f>IFERROR(IF(X510="",0,CEILING((X510/$H510),1)*$H510),"")</f>
        <v>52.800000000000004</v>
      </c>
      <c r="Z510" s="41">
        <f>IFERROR(IF(Y510=0,"",ROUNDUP(Y510/H510,0)*0.01196),"")</f>
        <v>0.1196</v>
      </c>
      <c r="AA510" s="68" t="s">
        <v>46</v>
      </c>
      <c r="AB510" s="69" t="s">
        <v>46</v>
      </c>
      <c r="AC510" s="606" t="s">
        <v>825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53.314393939393938</v>
      </c>
      <c r="BN510" s="78">
        <f>IFERROR(Y510*I510/H510,"0")</f>
        <v>56.3</v>
      </c>
      <c r="BO510" s="78">
        <f>IFERROR(1/J510*(X510/H510),"0")</f>
        <v>9.1054778554778545E-2</v>
      </c>
      <c r="BP510" s="78">
        <f>IFERROR(1/J510*(Y510/H510),"0")</f>
        <v>9.6153846153846159E-2</v>
      </c>
    </row>
    <row r="511" spans="1:68" ht="16.5" hidden="1" customHeight="1" x14ac:dyDescent="0.25">
      <c r="A511" s="63" t="s">
        <v>826</v>
      </c>
      <c r="B511" s="63" t="s">
        <v>827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129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825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828</v>
      </c>
      <c r="B512" s="63" t="s">
        <v>829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137</v>
      </c>
      <c r="L512" s="37" t="s">
        <v>46</v>
      </c>
      <c r="M512" s="38" t="s">
        <v>129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825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9.4696969696969688</v>
      </c>
      <c r="Y513" s="43">
        <f>IFERROR(Y510/H510,"0")+IFERROR(Y511/H511,"0")+IFERROR(Y512/H512,"0")</f>
        <v>10</v>
      </c>
      <c r="Z513" s="43">
        <f>IFERROR(IF(Z510="",0,Z510),"0")+IFERROR(IF(Z511="",0,Z511),"0")+IFERROR(IF(Z512="",0,Z512),"0")</f>
        <v>0.1196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50</v>
      </c>
      <c r="Y514" s="43">
        <f>IFERROR(SUM(Y510:Y512),"0")</f>
        <v>52.800000000000004</v>
      </c>
      <c r="Z514" s="42"/>
      <c r="AA514" s="67"/>
      <c r="AB514" s="67"/>
      <c r="AC514" s="67"/>
    </row>
    <row r="515" spans="1:68" ht="14.25" hidden="1" customHeight="1" x14ac:dyDescent="0.25">
      <c r="A515" s="658" t="s">
        <v>77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830</v>
      </c>
      <c r="B516" s="63" t="s">
        <v>831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130</v>
      </c>
      <c r="L516" s="37" t="s">
        <v>46</v>
      </c>
      <c r="M516" s="38" t="s">
        <v>129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50</v>
      </c>
      <c r="Y516" s="55">
        <f t="shared" ref="Y516:Y522" si="80">IFERROR(IF(X516="",0,CEILING((X516/$H516),1)*$H516),"")</f>
        <v>52.800000000000004</v>
      </c>
      <c r="Z516" s="41">
        <f>IFERROR(IF(Y516=0,"",ROUNDUP(Y516/H516,0)*0.01196),"")</f>
        <v>0.1196</v>
      </c>
      <c r="AA516" s="68" t="s">
        <v>46</v>
      </c>
      <c r="AB516" s="69" t="s">
        <v>46</v>
      </c>
      <c r="AC516" s="612" t="s">
        <v>832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53.314393939393938</v>
      </c>
      <c r="BN516" s="78">
        <f t="shared" ref="BN516:BN522" si="82">IFERROR(Y516*I516/H516,"0")</f>
        <v>56.3</v>
      </c>
      <c r="BO516" s="78">
        <f t="shared" ref="BO516:BO522" si="83">IFERROR(1/J516*(X516/H516),"0")</f>
        <v>9.1054778554778545E-2</v>
      </c>
      <c r="BP516" s="78">
        <f t="shared" ref="BP516:BP522" si="84">IFERROR(1/J516*(Y516/H516),"0")</f>
        <v>9.6153846153846159E-2</v>
      </c>
    </row>
    <row r="517" spans="1:68" ht="27" customHeight="1" x14ac:dyDescent="0.25">
      <c r="A517" s="63" t="s">
        <v>833</v>
      </c>
      <c r="B517" s="63" t="s">
        <v>834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130</v>
      </c>
      <c r="L517" s="37" t="s">
        <v>46</v>
      </c>
      <c r="M517" s="38" t="s">
        <v>81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50</v>
      </c>
      <c r="Y517" s="55">
        <f t="shared" si="80"/>
        <v>52.800000000000004</v>
      </c>
      <c r="Z517" s="41">
        <f>IFERROR(IF(Y517=0,"",ROUNDUP(Y517/H517,0)*0.01196),"")</f>
        <v>0.1196</v>
      </c>
      <c r="AA517" s="68" t="s">
        <v>46</v>
      </c>
      <c r="AB517" s="69" t="s">
        <v>46</v>
      </c>
      <c r="AC517" s="614" t="s">
        <v>835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53.314393939393938</v>
      </c>
      <c r="BN517" s="78">
        <f t="shared" si="82"/>
        <v>56.3</v>
      </c>
      <c r="BO517" s="78">
        <f t="shared" si="83"/>
        <v>9.1054778554778545E-2</v>
      </c>
      <c r="BP517" s="78">
        <f t="shared" si="84"/>
        <v>9.6153846153846159E-2</v>
      </c>
    </row>
    <row r="518" spans="1:68" ht="27" customHeight="1" x14ac:dyDescent="0.25">
      <c r="A518" s="63" t="s">
        <v>836</v>
      </c>
      <c r="B518" s="63" t="s">
        <v>837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130</v>
      </c>
      <c r="L518" s="37" t="s">
        <v>46</v>
      </c>
      <c r="M518" s="38" t="s">
        <v>81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80</v>
      </c>
      <c r="Y518" s="55">
        <f t="shared" si="80"/>
        <v>84.48</v>
      </c>
      <c r="Z518" s="41">
        <f>IFERROR(IF(Y518=0,"",ROUNDUP(Y518/H518,0)*0.01196),"")</f>
        <v>0.19136</v>
      </c>
      <c r="AA518" s="68" t="s">
        <v>46</v>
      </c>
      <c r="AB518" s="69" t="s">
        <v>46</v>
      </c>
      <c r="AC518" s="616" t="s">
        <v>838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85.303030303030297</v>
      </c>
      <c r="BN518" s="78">
        <f t="shared" si="82"/>
        <v>90.08</v>
      </c>
      <c r="BO518" s="78">
        <f t="shared" si="83"/>
        <v>0.14568764568764569</v>
      </c>
      <c r="BP518" s="78">
        <f t="shared" si="84"/>
        <v>0.15384615384615385</v>
      </c>
    </row>
    <row r="519" spans="1:68" ht="27" hidden="1" customHeight="1" x14ac:dyDescent="0.25">
      <c r="A519" s="63" t="s">
        <v>839</v>
      </c>
      <c r="B519" s="63" t="s">
        <v>840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137</v>
      </c>
      <c r="L519" s="37" t="s">
        <v>46</v>
      </c>
      <c r="M519" s="38" t="s">
        <v>129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832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137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835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841</v>
      </c>
      <c r="B521" s="63" t="s">
        <v>843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137</v>
      </c>
      <c r="L521" s="37" t="s">
        <v>46</v>
      </c>
      <c r="M521" s="38" t="s">
        <v>81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844</v>
      </c>
      <c r="B522" s="63" t="s">
        <v>845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137</v>
      </c>
      <c r="L522" s="37" t="s">
        <v>46</v>
      </c>
      <c r="M522" s="38" t="s">
        <v>81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34.090909090909086</v>
      </c>
      <c r="Y523" s="43">
        <f>IFERROR(Y516/H516,"0")+IFERROR(Y517/H517,"0")+IFERROR(Y518/H518,"0")+IFERROR(Y519/H519,"0")+IFERROR(Y520/H520,"0")+IFERROR(Y521/H521,"0")+IFERROR(Y522/H522,"0")</f>
        <v>36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0.43056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180</v>
      </c>
      <c r="Y524" s="43">
        <f>IFERROR(SUM(Y516:Y522),"0")</f>
        <v>190.08</v>
      </c>
      <c r="Z524" s="42"/>
      <c r="AA524" s="67"/>
      <c r="AB524" s="67"/>
      <c r="AC524" s="67"/>
    </row>
    <row r="525" spans="1:68" ht="27.75" hidden="1" customHeight="1" x14ac:dyDescent="0.2">
      <c r="A525" s="664" t="s">
        <v>846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846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125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847</v>
      </c>
      <c r="B528" s="63" t="s">
        <v>848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130</v>
      </c>
      <c r="L528" s="37" t="s">
        <v>46</v>
      </c>
      <c r="M528" s="38" t="s">
        <v>129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10</v>
      </c>
      <c r="Y528" s="55">
        <f>IFERROR(IF(X528="",0,CEILING((X528/$H528),1)*$H528),"")</f>
        <v>12</v>
      </c>
      <c r="Z528" s="41">
        <f>IFERROR(IF(Y528=0,"",ROUNDUP(Y528/H528,0)*0.01898),"")</f>
        <v>1.898E-2</v>
      </c>
      <c r="AA528" s="68" t="s">
        <v>46</v>
      </c>
      <c r="AB528" s="69" t="s">
        <v>46</v>
      </c>
      <c r="AC528" s="626" t="s">
        <v>849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10.341666666666667</v>
      </c>
      <c r="BN528" s="78">
        <f>IFERROR(Y528*I528/H528,"0")</f>
        <v>12.410000000000002</v>
      </c>
      <c r="BO528" s="78">
        <f>IFERROR(1/J528*(X528/H528),"0")</f>
        <v>1.3020833333333334E-2</v>
      </c>
      <c r="BP528" s="78">
        <f>IFERROR(1/J528*(Y528/H528),"0")</f>
        <v>1.5625E-2</v>
      </c>
    </row>
    <row r="529" spans="1:68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0.83333333333333337</v>
      </c>
      <c r="Y529" s="43">
        <f>IFERROR(Y528/H528,"0")</f>
        <v>1</v>
      </c>
      <c r="Z529" s="43">
        <f>IFERROR(IF(Z528="",0,Z528),"0")</f>
        <v>1.898E-2</v>
      </c>
      <c r="AA529" s="67"/>
      <c r="AB529" s="67"/>
      <c r="AC529" s="67"/>
    </row>
    <row r="530" spans="1:68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10</v>
      </c>
      <c r="Y530" s="43">
        <f>IFERROR(SUM(Y528:Y528),"0")</f>
        <v>12</v>
      </c>
      <c r="Z530" s="42"/>
      <c r="AA530" s="67"/>
      <c r="AB530" s="67"/>
      <c r="AC530" s="67"/>
    </row>
    <row r="531" spans="1:68" ht="14.25" hidden="1" customHeight="1" x14ac:dyDescent="0.25">
      <c r="A531" s="658" t="s">
        <v>158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850</v>
      </c>
      <c r="B532" s="63" t="s">
        <v>851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130</v>
      </c>
      <c r="L532" s="37" t="s">
        <v>46</v>
      </c>
      <c r="M532" s="38" t="s">
        <v>129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852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77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hidden="1" customHeight="1" x14ac:dyDescent="0.25">
      <c r="A536" s="63" t="s">
        <v>853</v>
      </c>
      <c r="B536" s="63" t="s">
        <v>854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137</v>
      </c>
      <c r="L536" s="37" t="s">
        <v>46</v>
      </c>
      <c r="M536" s="38" t="s">
        <v>81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855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58" t="s">
        <v>86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856</v>
      </c>
      <c r="B540" s="63" t="s">
        <v>857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130</v>
      </c>
      <c r="L540" s="37" t="s">
        <v>46</v>
      </c>
      <c r="M540" s="38" t="s">
        <v>90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100</v>
      </c>
      <c r="Y540" s="55">
        <f>IFERROR(IF(X540="",0,CEILING((X540/$H540),1)*$H540),"")</f>
        <v>108</v>
      </c>
      <c r="Z540" s="41">
        <f>IFERROR(IF(Y540=0,"",ROUNDUP(Y540/H540,0)*0.01898),"")</f>
        <v>0.22776000000000002</v>
      </c>
      <c r="AA540" s="68" t="s">
        <v>46</v>
      </c>
      <c r="AB540" s="69" t="s">
        <v>46</v>
      </c>
      <c r="AC540" s="632" t="s">
        <v>858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105.48888888888888</v>
      </c>
      <c r="BN540" s="78">
        <f>IFERROR(Y540*I540/H540,"0")</f>
        <v>113.92799999999998</v>
      </c>
      <c r="BO540" s="78">
        <f>IFERROR(1/J540*(X540/H540),"0")</f>
        <v>0.1736111111111111</v>
      </c>
      <c r="BP540" s="78">
        <f>IFERROR(1/J540*(Y540/H540),"0")</f>
        <v>0.1875</v>
      </c>
    </row>
    <row r="541" spans="1:68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11.111111111111111</v>
      </c>
      <c r="Y541" s="43">
        <f>IFERROR(Y540/H540,"0")</f>
        <v>12</v>
      </c>
      <c r="Z541" s="43">
        <f>IFERROR(IF(Z540="",0,Z540),"0")</f>
        <v>0.22776000000000002</v>
      </c>
      <c r="AA541" s="67"/>
      <c r="AB541" s="67"/>
      <c r="AC541" s="67"/>
    </row>
    <row r="542" spans="1:68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100</v>
      </c>
      <c r="Y542" s="43">
        <f>IFERROR(SUM(Y540:Y540),"0")</f>
        <v>108</v>
      </c>
      <c r="Z542" s="42"/>
      <c r="AA542" s="67"/>
      <c r="AB542" s="67"/>
      <c r="AC542" s="67"/>
    </row>
    <row r="543" spans="1:68" ht="14.25" hidden="1" customHeight="1" x14ac:dyDescent="0.25">
      <c r="A543" s="658" t="s">
        <v>175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130</v>
      </c>
      <c r="L544" s="37" t="s">
        <v>46</v>
      </c>
      <c r="M544" s="38" t="s">
        <v>90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861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862</v>
      </c>
      <c r="B545" s="63" t="s">
        <v>863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130</v>
      </c>
      <c r="L545" s="37" t="s">
        <v>46</v>
      </c>
      <c r="M545" s="38" t="s">
        <v>90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864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865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158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866</v>
      </c>
      <c r="B550" s="63" t="s">
        <v>867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130</v>
      </c>
      <c r="L550" s="37" t="s">
        <v>46</v>
      </c>
      <c r="M550" s="38" t="s">
        <v>129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868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2449.1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2533.3200000000002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2565.1413473952948</v>
      </c>
      <c r="Y554" s="43">
        <f>IFERROR(SUM(BN22:BN550),"0")</f>
        <v>2653.1279999999997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5</v>
      </c>
      <c r="Y555" s="44">
        <f>ROUNDUP(SUM(BP22:BP550),0)</f>
        <v>5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2690.1413473952948</v>
      </c>
      <c r="Y556" s="43">
        <f>GrossWeightTotalR+PalletQtyTotalR*25</f>
        <v>2778.1279999999997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360.89835213519416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372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4.8782200000000007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76</v>
      </c>
      <c r="C560" s="85" t="s">
        <v>45</v>
      </c>
      <c r="D560" s="640" t="s">
        <v>123</v>
      </c>
      <c r="E560" s="640" t="s">
        <v>123</v>
      </c>
      <c r="F560" s="640" t="s">
        <v>123</v>
      </c>
      <c r="G560" s="640" t="s">
        <v>123</v>
      </c>
      <c r="H560" s="640" t="s">
        <v>123</v>
      </c>
      <c r="I560" s="640" t="s">
        <v>123</v>
      </c>
      <c r="J560" s="640" t="s">
        <v>123</v>
      </c>
      <c r="K560" s="640" t="s">
        <v>351</v>
      </c>
      <c r="L560" s="640" t="s">
        <v>351</v>
      </c>
      <c r="M560" s="640" t="s">
        <v>351</v>
      </c>
      <c r="N560" s="641"/>
      <c r="O560" s="640" t="s">
        <v>351</v>
      </c>
      <c r="P560" s="640" t="s">
        <v>351</v>
      </c>
      <c r="Q560" s="640" t="s">
        <v>351</v>
      </c>
      <c r="R560" s="640" t="s">
        <v>351</v>
      </c>
      <c r="S560" s="640" t="s">
        <v>351</v>
      </c>
      <c r="T560" s="640" t="s">
        <v>351</v>
      </c>
      <c r="U560" s="640" t="s">
        <v>351</v>
      </c>
      <c r="V560" s="640" t="s">
        <v>351</v>
      </c>
      <c r="W560" s="640" t="s">
        <v>697</v>
      </c>
      <c r="X560" s="640" t="s">
        <v>697</v>
      </c>
      <c r="Y560" s="640" t="s">
        <v>763</v>
      </c>
      <c r="Z560" s="640" t="s">
        <v>763</v>
      </c>
      <c r="AA560" s="85" t="s">
        <v>799</v>
      </c>
      <c r="AB560" s="640" t="s">
        <v>846</v>
      </c>
      <c r="AC560" s="640" t="s">
        <v>846</v>
      </c>
      <c r="AF560" s="1"/>
    </row>
    <row r="561" spans="1:32" ht="14.25" customHeight="1" thickTop="1" x14ac:dyDescent="0.2">
      <c r="A561" s="642" t="s">
        <v>10</v>
      </c>
      <c r="B561" s="640" t="s">
        <v>76</v>
      </c>
      <c r="C561" s="640" t="s">
        <v>104</v>
      </c>
      <c r="D561" s="640" t="s">
        <v>124</v>
      </c>
      <c r="E561" s="640" t="s">
        <v>140</v>
      </c>
      <c r="F561" s="640" t="s">
        <v>182</v>
      </c>
      <c r="G561" s="640" t="s">
        <v>203</v>
      </c>
      <c r="H561" s="640" t="s">
        <v>243</v>
      </c>
      <c r="I561" s="640" t="s">
        <v>267</v>
      </c>
      <c r="J561" s="640" t="s">
        <v>123</v>
      </c>
      <c r="K561" s="640" t="s">
        <v>352</v>
      </c>
      <c r="L561" s="640" t="s">
        <v>373</v>
      </c>
      <c r="M561" s="640" t="s">
        <v>440</v>
      </c>
      <c r="N561" s="1"/>
      <c r="O561" s="640" t="s">
        <v>508</v>
      </c>
      <c r="P561" s="640" t="s">
        <v>541</v>
      </c>
      <c r="Q561" s="640" t="s">
        <v>557</v>
      </c>
      <c r="R561" s="640" t="s">
        <v>566</v>
      </c>
      <c r="S561" s="640" t="s">
        <v>587</v>
      </c>
      <c r="T561" s="640" t="s">
        <v>596</v>
      </c>
      <c r="U561" s="640" t="s">
        <v>680</v>
      </c>
      <c r="V561" s="640" t="s">
        <v>687</v>
      </c>
      <c r="W561" s="640" t="s">
        <v>698</v>
      </c>
      <c r="X561" s="640" t="s">
        <v>747</v>
      </c>
      <c r="Y561" s="640" t="s">
        <v>764</v>
      </c>
      <c r="Z561" s="640" t="s">
        <v>787</v>
      </c>
      <c r="AA561" s="640" t="s">
        <v>799</v>
      </c>
      <c r="AB561" s="640" t="s">
        <v>846</v>
      </c>
      <c r="AC561" s="640" t="s">
        <v>865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32.400000000000006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178.20000000000002</v>
      </c>
      <c r="F563" s="52">
        <f>IFERROR(Y83*1,"0")+IFERROR(Y84*1,"0")+IFERROR(Y85*1,"0")+IFERROR(Y86*1,"0")+IFERROR(Y90*1,"0")+IFERROR(Y91*1,"0")+IFERROR(Y92*1,"0")+IFERROR(Y93*1,"0")</f>
        <v>57.6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159.30000000000001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143.5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413.1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54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84.08</v>
      </c>
      <c r="U563" s="52">
        <f>IFERROR(Y411*1,"0")+IFERROR(Y412*1,"0")</f>
        <v>31.2</v>
      </c>
      <c r="V563" s="52">
        <f>IFERROR(Y417*1,"0")+IFERROR(Y418*1,"0")+IFERROR(Y419*1,"0")</f>
        <v>23.1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675</v>
      </c>
      <c r="X563" s="52">
        <f>IFERROR(Y454*1,"0")+IFERROR(Y455*1,"0")+IFERROR(Y459*1,"0")+IFERROR(Y463*1,"0")+IFERROR(Y464*1,"0")+IFERROR(Y465*1,"0")</f>
        <v>27</v>
      </c>
      <c r="Y563" s="52">
        <f>IFERROR(Y471*1,"0")+IFERROR(Y472*1,"0")+IFERROR(Y473*1,"0")+IFERROR(Y474*1,"0")+IFERROR(Y475*1,"0")+IFERROR(Y476*1,"0")+IFERROR(Y480*1,"0")+IFERROR(Y481*1,"0")</f>
        <v>27.000000000000004</v>
      </c>
      <c r="Z563" s="52">
        <f>IFERROR(Y486*1,"0")+IFERROR(Y490*1,"0")+IFERROR(Y491*1,"0")+IFERROR(Y492*1,"0")</f>
        <v>43.2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464.64000000000004</v>
      </c>
      <c r="AB563" s="52">
        <f>IFERROR(Y528*1,"0")+IFERROR(Y532*1,"0")+IFERROR(Y536*1,"0")+IFERROR(Y540*1,"0")+IFERROR(Y544*1,"0")+IFERROR(Y545*1,"0")</f>
        <v>120</v>
      </c>
      <c r="AC563" s="52">
        <f>IFERROR(Y550*1,"0")</f>
        <v>0</v>
      </c>
      <c r="AF563" s="1"/>
    </row>
  </sheetData>
  <sheetProtection algorithmName="SHA-512" hashValue="z81mfQ6avawcQernP/3XMEvU0G6UBXCc0mEM2rCATCfoId+LFQBVDhWCfrncn+sLzhFSz9EfOb475L+MT5J0jg==" saltValue="ukvrxBCSgnSZWLod514/L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80"/>
        <filter val="1,97"/>
        <filter val="10,00"/>
        <filter val="100,00"/>
        <filter val="11,00"/>
        <filter val="11,11"/>
        <filter val="120,00"/>
        <filter val="13,33"/>
        <filter val="130,00"/>
        <filter val="140,00"/>
        <filter val="15,00"/>
        <filter val="150,00"/>
        <filter val="155,40"/>
        <filter val="16,00"/>
        <filter val="177,00"/>
        <filter val="18,90"/>
        <filter val="180,00"/>
        <filter val="19,89"/>
        <filter val="2 449,10"/>
        <filter val="2 565,14"/>
        <filter val="2 690,14"/>
        <filter val="2,00"/>
        <filter val="2,78"/>
        <filter val="20,00"/>
        <filter val="20,52"/>
        <filter val="200,00"/>
        <filter val="21,40"/>
        <filter val="220,00"/>
        <filter val="23,10"/>
        <filter val="24,00"/>
        <filter val="25,00"/>
        <filter val="250,00"/>
        <filter val="27,00"/>
        <filter val="3,00"/>
        <filter val="3,85"/>
        <filter val="3,98"/>
        <filter val="30,00"/>
        <filter val="32,00"/>
        <filter val="331,80"/>
        <filter val="34,09"/>
        <filter val="36,00"/>
        <filter val="360,90"/>
        <filter val="4,20"/>
        <filter val="4,63"/>
        <filter val="40,00"/>
        <filter val="41,67"/>
        <filter val="45,00"/>
        <filter val="450,00"/>
        <filter val="5"/>
        <filter val="5,40"/>
        <filter val="5,77"/>
        <filter val="5,95"/>
        <filter val="50,00"/>
        <filter val="6,00"/>
        <filter val="62,11"/>
        <filter val="63,20"/>
        <filter val="7,20"/>
        <filter val="7,41"/>
        <filter val="8,00"/>
        <filter val="80,00"/>
        <filter val="9,47"/>
        <filter val="9,91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xaG3PqkulCPY6dP6DJ/RnPnzl0PGL2Cj38jqDCwk9Fjs2A9YNdgPB1wceUi0cb0EJ93ssaffd8iWY9BdzbJhfw==" saltValue="cBWEnvmcJ/jHTMiFZ3IW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2026-09-03T11:22:49Z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