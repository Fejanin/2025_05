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D0265FC-F3A5-435E-8AD0-AC6BBBA4EDE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P450" i="2"/>
  <c r="P449" i="2"/>
  <c r="P448" i="2"/>
  <c r="BO444" i="2"/>
  <c r="BM444" i="2"/>
  <c r="Y444" i="2"/>
  <c r="Z444" i="2" s="1"/>
  <c r="P444" i="2"/>
  <c r="BO443" i="2"/>
  <c r="BM443" i="2"/>
  <c r="Y443" i="2"/>
  <c r="Z443" i="2" s="1"/>
  <c r="P443" i="2"/>
  <c r="P442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P433" i="2"/>
  <c r="BO432" i="2"/>
  <c r="BM432" i="2"/>
  <c r="Y432" i="2"/>
  <c r="P432" i="2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86" i="2"/>
  <c r="BM386" i="2"/>
  <c r="Y386" i="2"/>
  <c r="Z386" i="2" s="1"/>
  <c r="P386" i="2"/>
  <c r="P385" i="2"/>
  <c r="P384" i="2"/>
  <c r="X382" i="2"/>
  <c r="X381" i="2"/>
  <c r="BO380" i="2"/>
  <c r="BM380" i="2"/>
  <c r="Y380" i="2"/>
  <c r="Y382" i="2" s="1"/>
  <c r="P380" i="2"/>
  <c r="BO376" i="2"/>
  <c r="BM376" i="2"/>
  <c r="Y376" i="2"/>
  <c r="P376" i="2"/>
  <c r="P375" i="2"/>
  <c r="P370" i="2"/>
  <c r="X368" i="2"/>
  <c r="X367" i="2"/>
  <c r="BO366" i="2"/>
  <c r="BM366" i="2"/>
  <c r="Y366" i="2"/>
  <c r="P366" i="2"/>
  <c r="BO365" i="2"/>
  <c r="BM365" i="2"/>
  <c r="Y365" i="2"/>
  <c r="P365" i="2"/>
  <c r="BO361" i="2"/>
  <c r="BM361" i="2"/>
  <c r="Y361" i="2"/>
  <c r="P361" i="2"/>
  <c r="P360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P352" i="2"/>
  <c r="P351" i="2"/>
  <c r="P350" i="2"/>
  <c r="BO344" i="2"/>
  <c r="BM344" i="2"/>
  <c r="Y344" i="2"/>
  <c r="BP344" i="2" s="1"/>
  <c r="P344" i="2"/>
  <c r="BO343" i="2"/>
  <c r="BM343" i="2"/>
  <c r="Y343" i="2"/>
  <c r="Z343" i="2" s="1"/>
  <c r="P343" i="2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P324" i="2"/>
  <c r="P323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P281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P225" i="2"/>
  <c r="BO224" i="2"/>
  <c r="BM224" i="2"/>
  <c r="Y224" i="2"/>
  <c r="Z224" i="2" s="1"/>
  <c r="P224" i="2"/>
  <c r="P223" i="2"/>
  <c r="P222" i="2"/>
  <c r="BO221" i="2"/>
  <c r="BM221" i="2"/>
  <c r="Y221" i="2"/>
  <c r="P221" i="2"/>
  <c r="P220" i="2"/>
  <c r="P219" i="2"/>
  <c r="BO218" i="2"/>
  <c r="BM218" i="2"/>
  <c r="Y218" i="2"/>
  <c r="P218" i="2"/>
  <c r="BO217" i="2"/>
  <c r="BM217" i="2"/>
  <c r="Y217" i="2"/>
  <c r="P217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P209" i="2"/>
  <c r="P208" i="2"/>
  <c r="P207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1" i="2"/>
  <c r="BM181" i="2"/>
  <c r="Y181" i="2"/>
  <c r="Z181" i="2" s="1"/>
  <c r="P181" i="2"/>
  <c r="BO180" i="2"/>
  <c r="BM180" i="2"/>
  <c r="Y180" i="2"/>
  <c r="BN180" i="2" s="1"/>
  <c r="P180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P171" i="2"/>
  <c r="BO170" i="2"/>
  <c r="BM170" i="2"/>
  <c r="Y170" i="2"/>
  <c r="BP170" i="2" s="1"/>
  <c r="P170" i="2"/>
  <c r="P169" i="2"/>
  <c r="BO168" i="2"/>
  <c r="BM168" i="2"/>
  <c r="Y168" i="2"/>
  <c r="Z168" i="2" s="1"/>
  <c r="P168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BO119" i="2"/>
  <c r="BM119" i="2"/>
  <c r="Y119" i="2"/>
  <c r="Z119" i="2" s="1"/>
  <c r="P119" i="2"/>
  <c r="P118" i="2"/>
  <c r="BO117" i="2"/>
  <c r="BM117" i="2"/>
  <c r="Y117" i="2"/>
  <c r="BP117" i="2" s="1"/>
  <c r="P117" i="2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P101" i="2"/>
  <c r="BO96" i="2"/>
  <c r="BM96" i="2"/>
  <c r="Y96" i="2"/>
  <c r="P96" i="2"/>
  <c r="P95" i="2"/>
  <c r="BO94" i="2"/>
  <c r="BM94" i="2"/>
  <c r="Y94" i="2"/>
  <c r="BN94" i="2" s="1"/>
  <c r="P94" i="2"/>
  <c r="P93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P86" i="2"/>
  <c r="BO81" i="2"/>
  <c r="BM81" i="2"/>
  <c r="Y81" i="2"/>
  <c r="Z81" i="2" s="1"/>
  <c r="P81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P210" i="2"/>
  <c r="BN210" i="2"/>
  <c r="Z210" i="2"/>
  <c r="BN217" i="2"/>
  <c r="Z217" i="2"/>
  <c r="BP218" i="2"/>
  <c r="BN218" i="2"/>
  <c r="Z218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N331" i="2"/>
  <c r="Z331" i="2"/>
  <c r="BP356" i="2"/>
  <c r="Z356" i="2"/>
  <c r="BP365" i="2"/>
  <c r="Z365" i="2"/>
  <c r="BN366" i="2"/>
  <c r="Z366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BP56" i="2"/>
  <c r="BP63" i="2"/>
  <c r="Z65" i="2"/>
  <c r="BN65" i="2"/>
  <c r="BN69" i="2"/>
  <c r="BP69" i="2"/>
  <c r="Y70" i="2"/>
  <c r="Y71" i="2"/>
  <c r="Y78" i="2"/>
  <c r="BN81" i="2"/>
  <c r="BP81" i="2"/>
  <c r="Z87" i="2"/>
  <c r="BN87" i="2"/>
  <c r="Z94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BN186" i="2"/>
  <c r="BP186" i="2"/>
  <c r="Z202" i="2"/>
  <c r="BN202" i="2"/>
  <c r="Y203" i="2"/>
  <c r="Z212" i="2"/>
  <c r="BN212" i="2"/>
  <c r="BP217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9" i="2"/>
  <c r="BP119" i="2"/>
  <c r="BP151" i="2"/>
  <c r="Y164" i="2"/>
  <c r="BN168" i="2"/>
  <c r="BP168" i="2"/>
  <c r="BP172" i="2"/>
  <c r="Y198" i="2"/>
  <c r="BN224" i="2"/>
  <c r="BP224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06" i="2"/>
  <c r="BP331" i="2"/>
  <c r="Z344" i="2"/>
  <c r="BN354" i="2"/>
  <c r="BP354" i="2"/>
  <c r="BN355" i="2"/>
  <c r="BP355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BP437" i="2"/>
  <c r="BP438" i="2"/>
  <c r="Z454" i="2"/>
  <c r="Y498" i="2"/>
  <c r="BN460" i="2"/>
  <c r="Z461" i="2"/>
  <c r="Z463" i="2"/>
  <c r="Z467" i="2"/>
  <c r="Z468" i="2" s="1"/>
  <c r="Z479" i="2"/>
  <c r="BN343" i="2"/>
  <c r="BP343" i="2"/>
  <c r="BN376" i="2"/>
  <c r="BN428" i="2"/>
  <c r="BP463" i="2"/>
  <c r="BP467" i="2"/>
  <c r="Y468" i="2"/>
  <c r="BP479" i="2"/>
  <c r="BP404" i="2"/>
  <c r="Z404" i="2"/>
  <c r="Y407" i="2"/>
  <c r="Z28" i="2"/>
  <c r="G498" i="2"/>
  <c r="Z153" i="2"/>
  <c r="BP153" i="2"/>
  <c r="BP163" i="2"/>
  <c r="BN163" i="2"/>
  <c r="Z163" i="2"/>
  <c r="Z164" i="2" s="1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50" i="2"/>
  <c r="L498" i="2"/>
  <c r="BP301" i="2"/>
  <c r="BN301" i="2"/>
  <c r="Z301" i="2"/>
  <c r="BN337" i="2"/>
  <c r="BN404" i="2"/>
  <c r="BP139" i="2"/>
  <c r="Z139" i="2"/>
  <c r="Z140" i="2" s="1"/>
  <c r="BN23" i="2"/>
  <c r="Z31" i="2"/>
  <c r="Y38" i="2"/>
  <c r="BN36" i="2"/>
  <c r="Z43" i="2"/>
  <c r="Z75" i="2"/>
  <c r="Y251" i="2"/>
  <c r="Z307" i="2"/>
  <c r="BP337" i="2"/>
  <c r="BP434" i="2"/>
  <c r="BN434" i="2"/>
  <c r="BN28" i="2"/>
  <c r="F9" i="2"/>
  <c r="BN43" i="2"/>
  <c r="Z256" i="2"/>
  <c r="BP256" i="2"/>
  <c r="Y338" i="2"/>
  <c r="Y381" i="2"/>
  <c r="BN380" i="2"/>
  <c r="Z393" i="2"/>
  <c r="Z405" i="2"/>
  <c r="Z434" i="2"/>
  <c r="BN75" i="2"/>
  <c r="Z109" i="2"/>
  <c r="H9" i="2"/>
  <c r="BP48" i="2"/>
  <c r="Z104" i="2"/>
  <c r="Y155" i="2"/>
  <c r="BP201" i="2"/>
  <c r="BN201" i="2"/>
  <c r="Z201" i="2"/>
  <c r="K498" i="2"/>
  <c r="BN287" i="2"/>
  <c r="BP307" i="2"/>
  <c r="Y320" i="2"/>
  <c r="Y339" i="2"/>
  <c r="BN344" i="2"/>
  <c r="BN3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BP287" i="2"/>
  <c r="BN89" i="2"/>
  <c r="Z89" i="2"/>
  <c r="BP396" i="2"/>
  <c r="BN396" i="2"/>
  <c r="Z396" i="2"/>
  <c r="BP109" i="2"/>
  <c r="Z305" i="2"/>
  <c r="Z311" i="2"/>
  <c r="Z330" i="2"/>
  <c r="BN335" i="2"/>
  <c r="BP380" i="2"/>
  <c r="Z400" i="2"/>
  <c r="BP443" i="2"/>
  <c r="BP76" i="2"/>
  <c r="Z76" i="2"/>
  <c r="Y50" i="2"/>
  <c r="Y113" i="2"/>
  <c r="BP129" i="2"/>
  <c r="Y135" i="2"/>
  <c r="Y141" i="2"/>
  <c r="BN170" i="2"/>
  <c r="BP221" i="2"/>
  <c r="BN221" i="2"/>
  <c r="Z221" i="2"/>
  <c r="BN297" i="2"/>
  <c r="Y303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Z73" i="2"/>
  <c r="B498" i="2"/>
  <c r="BN76" i="2"/>
  <c r="BP102" i="2"/>
  <c r="BN102" i="2"/>
  <c r="BP110" i="2"/>
  <c r="Z110" i="2"/>
  <c r="Z180" i="2"/>
  <c r="BP180" i="2"/>
  <c r="BN196" i="2"/>
  <c r="Z213" i="2"/>
  <c r="BP213" i="2"/>
  <c r="BP238" i="2"/>
  <c r="BP272" i="2"/>
  <c r="Y276" i="2"/>
  <c r="Z297" i="2"/>
  <c r="BN311" i="2"/>
  <c r="BP335" i="2"/>
  <c r="BP361" i="2"/>
  <c r="BN361" i="2"/>
  <c r="Z361" i="2"/>
  <c r="Y406" i="2"/>
  <c r="BP444" i="2"/>
  <c r="BN444" i="2"/>
  <c r="Z24" i="2"/>
  <c r="BN73" i="2"/>
  <c r="Y130" i="2"/>
  <c r="H498" i="2"/>
  <c r="BP157" i="2"/>
  <c r="Y258" i="2"/>
  <c r="BP254" i="2"/>
  <c r="BN254" i="2"/>
  <c r="Z254" i="2"/>
  <c r="BP305" i="2"/>
  <c r="BP330" i="2"/>
  <c r="Y367" i="2"/>
  <c r="BN394" i="2"/>
  <c r="BP397" i="2"/>
  <c r="BP400" i="2"/>
  <c r="BN421" i="2"/>
  <c r="BP432" i="2"/>
  <c r="BN432" i="2"/>
  <c r="Z432" i="2"/>
  <c r="BN453" i="2"/>
  <c r="BP336" i="2"/>
  <c r="BN336" i="2"/>
  <c r="Z336" i="2"/>
  <c r="Z353" i="2"/>
  <c r="BP353" i="2"/>
  <c r="Z429" i="2"/>
  <c r="BN139" i="2"/>
  <c r="Z146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Z417" i="2" s="1"/>
  <c r="BP421" i="2"/>
  <c r="BP453" i="2"/>
  <c r="Z292" i="2"/>
  <c r="Y293" i="2"/>
  <c r="BP292" i="2"/>
  <c r="BN236" i="2"/>
  <c r="Y243" i="2"/>
  <c r="BP279" i="2"/>
  <c r="BN279" i="2"/>
  <c r="Y131" i="2"/>
  <c r="Y267" i="2"/>
  <c r="Z328" i="2"/>
  <c r="Z332" i="2" s="1"/>
  <c r="BN353" i="2"/>
  <c r="BN356" i="2"/>
  <c r="Z376" i="2"/>
  <c r="BP376" i="2"/>
  <c r="Z398" i="2"/>
  <c r="BN429" i="2"/>
  <c r="Y77" i="2"/>
  <c r="BP74" i="2"/>
  <c r="Z74" i="2"/>
  <c r="Y33" i="2"/>
  <c r="Z56" i="2"/>
  <c r="Y159" i="2"/>
  <c r="BN197" i="2"/>
  <c r="Y242" i="2"/>
  <c r="BN249" i="2"/>
  <c r="BP286" i="2"/>
  <c r="P498" i="2"/>
  <c r="Z286" i="2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Y402" i="2"/>
  <c r="BN414" i="2"/>
  <c r="Y417" i="2"/>
  <c r="Z427" i="2"/>
  <c r="BN471" i="2"/>
  <c r="BN452" i="2"/>
  <c r="Y465" i="2"/>
  <c r="Y477" i="2"/>
  <c r="M498" i="2"/>
  <c r="Y482" i="2"/>
  <c r="BP427" i="2"/>
  <c r="Z485" i="2"/>
  <c r="Z486" i="2" s="1"/>
  <c r="BN467" i="2"/>
  <c r="Z310" i="2"/>
  <c r="Z392" i="2"/>
  <c r="Z428" i="2"/>
  <c r="Z460" i="2"/>
  <c r="BN485" i="2"/>
  <c r="BP485" i="2"/>
  <c r="BP460" i="2"/>
  <c r="Z480" i="2"/>
  <c r="Z481" i="2" s="1"/>
  <c r="Y486" i="2"/>
  <c r="Z288" i="2" l="1"/>
  <c r="Z302" i="2"/>
  <c r="Z293" i="2"/>
  <c r="Z154" i="2"/>
  <c r="Z258" i="2"/>
  <c r="Z267" i="2"/>
  <c r="Z319" i="2"/>
  <c r="Z203" i="2"/>
  <c r="Z188" i="2"/>
  <c r="Z242" i="2"/>
  <c r="Z367" i="2"/>
  <c r="Z130" i="2"/>
  <c r="Z275" i="2"/>
  <c r="Z401" i="2"/>
  <c r="Z33" i="2"/>
  <c r="Z77" i="2"/>
  <c r="Z113" i="2"/>
  <c r="Z406" i="2"/>
  <c r="Z312" i="2"/>
  <c r="Z464" i="2"/>
  <c r="Z338" i="2"/>
  <c r="X446" i="2" l="1"/>
  <c r="X445" i="2"/>
  <c r="BO442" i="2"/>
  <c r="BM442" i="2"/>
  <c r="Y442" i="2"/>
  <c r="BO209" i="2"/>
  <c r="BM209" i="2"/>
  <c r="Y209" i="2"/>
  <c r="BO208" i="2"/>
  <c r="BM208" i="2"/>
  <c r="Y208" i="2"/>
  <c r="BO207" i="2"/>
  <c r="BM207" i="2"/>
  <c r="Y207" i="2"/>
  <c r="BO118" i="2"/>
  <c r="BM118" i="2"/>
  <c r="Y118" i="2"/>
  <c r="X91" i="2"/>
  <c r="X90" i="2"/>
  <c r="BO86" i="2"/>
  <c r="BM86" i="2"/>
  <c r="Y86" i="2"/>
  <c r="Y446" i="2" l="1"/>
  <c r="BP442" i="2"/>
  <c r="Y445" i="2"/>
  <c r="BN442" i="2"/>
  <c r="Z442" i="2"/>
  <c r="Z445" i="2" s="1"/>
  <c r="BP207" i="2"/>
  <c r="Z207" i="2"/>
  <c r="BN207" i="2"/>
  <c r="BP208" i="2"/>
  <c r="BN208" i="2"/>
  <c r="Z208" i="2"/>
  <c r="BP209" i="2"/>
  <c r="Z209" i="2"/>
  <c r="BN209" i="2"/>
  <c r="BP118" i="2"/>
  <c r="Z118" i="2"/>
  <c r="BN118" i="2"/>
  <c r="Z86" i="2"/>
  <c r="Z90" i="2" s="1"/>
  <c r="Y90" i="2"/>
  <c r="BN86" i="2"/>
  <c r="BP86" i="2"/>
  <c r="Y91" i="2"/>
  <c r="BO95" i="2" l="1"/>
  <c r="BM95" i="2"/>
  <c r="Y95" i="2"/>
  <c r="BN95" i="2" l="1"/>
  <c r="Z95" i="2"/>
  <c r="BP95" i="2"/>
  <c r="BO53" i="2"/>
  <c r="BM53" i="2"/>
  <c r="Y53" i="2"/>
  <c r="BP53" i="2" l="1"/>
  <c r="Z53" i="2"/>
  <c r="BN53" i="2"/>
  <c r="BO351" i="2" l="1"/>
  <c r="BM351" i="2"/>
  <c r="Y351" i="2"/>
  <c r="BP351" i="2" l="1"/>
  <c r="BN351" i="2"/>
  <c r="Z351" i="2"/>
  <c r="BO352" i="2" l="1"/>
  <c r="BM352" i="2"/>
  <c r="Y352" i="2"/>
  <c r="BP352" i="2" l="1"/>
  <c r="Z352" i="2"/>
  <c r="BN352" i="2"/>
  <c r="BO54" i="2"/>
  <c r="BM54" i="2"/>
  <c r="Y54" i="2"/>
  <c r="X60" i="2"/>
  <c r="X59" i="2"/>
  <c r="BP54" i="2" l="1"/>
  <c r="Z54" i="2"/>
  <c r="Z59" i="2" s="1"/>
  <c r="BN54" i="2"/>
  <c r="Y60" i="2"/>
  <c r="Y59" i="2"/>
  <c r="BO220" i="2" l="1"/>
  <c r="BM220" i="2"/>
  <c r="Y220" i="2"/>
  <c r="BO225" i="2"/>
  <c r="BM225" i="2"/>
  <c r="Y225" i="2"/>
  <c r="X358" i="2" l="1"/>
  <c r="X357" i="2"/>
  <c r="BO350" i="2"/>
  <c r="BM350" i="2"/>
  <c r="Y350" i="2"/>
  <c r="BP225" i="2"/>
  <c r="BN225" i="2"/>
  <c r="Z225" i="2"/>
  <c r="BP220" i="2"/>
  <c r="BN220" i="2"/>
  <c r="Z220" i="2"/>
  <c r="BP350" i="2" l="1"/>
  <c r="BN350" i="2"/>
  <c r="Z350" i="2"/>
  <c r="Z357" i="2" s="1"/>
  <c r="Y357" i="2"/>
  <c r="Y358" i="2"/>
  <c r="BO431" i="2" l="1"/>
  <c r="BM431" i="2"/>
  <c r="Y431" i="2"/>
  <c r="BP431" i="2" l="1"/>
  <c r="Z431" i="2"/>
  <c r="BN431" i="2"/>
  <c r="X378" i="2"/>
  <c r="X377" i="2"/>
  <c r="BO375" i="2"/>
  <c r="BM375" i="2"/>
  <c r="Y375" i="2"/>
  <c r="X440" i="2"/>
  <c r="X283" i="2" l="1"/>
  <c r="X227" i="2"/>
  <c r="BO449" i="2"/>
  <c r="BM449" i="2"/>
  <c r="Y449" i="2"/>
  <c r="X456" i="2"/>
  <c r="X455" i="2"/>
  <c r="BO448" i="2"/>
  <c r="BM448" i="2"/>
  <c r="Y448" i="2"/>
  <c r="BO450" i="2"/>
  <c r="BM450" i="2"/>
  <c r="Y450" i="2"/>
  <c r="BO433" i="2"/>
  <c r="BM433" i="2"/>
  <c r="Y433" i="2"/>
  <c r="X439" i="2"/>
  <c r="BO385" i="2"/>
  <c r="BM385" i="2"/>
  <c r="Y385" i="2"/>
  <c r="X388" i="2"/>
  <c r="X387" i="2"/>
  <c r="BO384" i="2"/>
  <c r="BM384" i="2"/>
  <c r="Y384" i="2"/>
  <c r="BP375" i="2"/>
  <c r="BN375" i="2"/>
  <c r="Z375" i="2"/>
  <c r="Z377" i="2" s="1"/>
  <c r="Y378" i="2"/>
  <c r="T498" i="2"/>
  <c r="Y377" i="2"/>
  <c r="X372" i="2"/>
  <c r="X371" i="2"/>
  <c r="BO370" i="2"/>
  <c r="BM370" i="2"/>
  <c r="Y370" i="2"/>
  <c r="X363" i="2"/>
  <c r="X362" i="2"/>
  <c r="BO360" i="2"/>
  <c r="BM360" i="2"/>
  <c r="Y360" i="2"/>
  <c r="X346" i="2"/>
  <c r="X345" i="2"/>
  <c r="BO342" i="2"/>
  <c r="BM342" i="2"/>
  <c r="Y342" i="2"/>
  <c r="BO324" i="2"/>
  <c r="BM324" i="2"/>
  <c r="Y324" i="2"/>
  <c r="X326" i="2"/>
  <c r="X325" i="2"/>
  <c r="BO322" i="2"/>
  <c r="BM322" i="2"/>
  <c r="Y322" i="2"/>
  <c r="BO323" i="2"/>
  <c r="BM323" i="2"/>
  <c r="Y323" i="2"/>
  <c r="BO281" i="2"/>
  <c r="BM281" i="2"/>
  <c r="Y281" i="2"/>
  <c r="X282" i="2"/>
  <c r="BO280" i="2"/>
  <c r="BM280" i="2"/>
  <c r="Y280" i="2"/>
  <c r="BO223" i="2"/>
  <c r="BM223" i="2"/>
  <c r="Y223" i="2"/>
  <c r="BO222" i="2"/>
  <c r="BM222" i="2"/>
  <c r="Y222" i="2"/>
  <c r="X226" i="2"/>
  <c r="BO219" i="2"/>
  <c r="BM219" i="2"/>
  <c r="Y219" i="2"/>
  <c r="X215" i="2"/>
  <c r="X214" i="2"/>
  <c r="BO206" i="2"/>
  <c r="BM206" i="2"/>
  <c r="Y206" i="2"/>
  <c r="X183" i="2"/>
  <c r="X182" i="2"/>
  <c r="BO167" i="2"/>
  <c r="BM167" i="2"/>
  <c r="Y167" i="2"/>
  <c r="BO171" i="2"/>
  <c r="BM171" i="2"/>
  <c r="Y171" i="2"/>
  <c r="BO169" i="2"/>
  <c r="BM169" i="2"/>
  <c r="Y169" i="2"/>
  <c r="BO179" i="2"/>
  <c r="BM179" i="2"/>
  <c r="Y179" i="2"/>
  <c r="X121" i="2"/>
  <c r="X120" i="2"/>
  <c r="BO116" i="2"/>
  <c r="BM116" i="2"/>
  <c r="Y116" i="2"/>
  <c r="X107" i="2"/>
  <c r="X106" i="2"/>
  <c r="BO101" i="2"/>
  <c r="BM101" i="2"/>
  <c r="Y101" i="2"/>
  <c r="X98" i="2"/>
  <c r="X97" i="2"/>
  <c r="BO93" i="2"/>
  <c r="BM93" i="2"/>
  <c r="Y93" i="2"/>
  <c r="X83" i="2"/>
  <c r="X82" i="2"/>
  <c r="BO80" i="2"/>
  <c r="BM80" i="2"/>
  <c r="Y80" i="2"/>
  <c r="X67" i="2"/>
  <c r="X66" i="2"/>
  <c r="BO62" i="2"/>
  <c r="BM62" i="2"/>
  <c r="Y62" i="2"/>
  <c r="X46" i="2"/>
  <c r="X45" i="2"/>
  <c r="X492" i="2" s="1"/>
  <c r="BO42" i="2"/>
  <c r="BM42" i="2"/>
  <c r="X489" i="2" s="1"/>
  <c r="Y42" i="2"/>
  <c r="X490" i="2" l="1"/>
  <c r="X491" i="2" s="1"/>
  <c r="X488" i="2"/>
  <c r="BP450" i="2"/>
  <c r="Z450" i="2"/>
  <c r="BN450" i="2"/>
  <c r="BP448" i="2"/>
  <c r="BN448" i="2"/>
  <c r="Y456" i="2"/>
  <c r="Y455" i="2"/>
  <c r="Z448" i="2"/>
  <c r="BP449" i="2"/>
  <c r="Z449" i="2"/>
  <c r="BN449" i="2"/>
  <c r="Z433" i="2"/>
  <c r="Z439" i="2" s="1"/>
  <c r="BN433" i="2"/>
  <c r="BP433" i="2"/>
  <c r="Y440" i="2"/>
  <c r="X498" i="2"/>
  <c r="Y439" i="2"/>
  <c r="Y388" i="2"/>
  <c r="BP384" i="2"/>
  <c r="Y387" i="2"/>
  <c r="BN384" i="2"/>
  <c r="Z384" i="2"/>
  <c r="Z385" i="2"/>
  <c r="BN385" i="2"/>
  <c r="BP385" i="2"/>
  <c r="Y372" i="2"/>
  <c r="Y371" i="2"/>
  <c r="BP370" i="2"/>
  <c r="BN370" i="2"/>
  <c r="Z370" i="2"/>
  <c r="Z371" i="2" s="1"/>
  <c r="BP360" i="2"/>
  <c r="Z360" i="2"/>
  <c r="Z362" i="2" s="1"/>
  <c r="BN360" i="2"/>
  <c r="Y363" i="2"/>
  <c r="Y362" i="2"/>
  <c r="S498" i="2"/>
  <c r="BP342" i="2"/>
  <c r="BN342" i="2"/>
  <c r="R498" i="2"/>
  <c r="Y345" i="2"/>
  <c r="Y346" i="2"/>
  <c r="Z342" i="2"/>
  <c r="Z345" i="2" s="1"/>
  <c r="BP323" i="2"/>
  <c r="BN323" i="2"/>
  <c r="Z323" i="2"/>
  <c r="Y325" i="2"/>
  <c r="BN322" i="2"/>
  <c r="Z322" i="2"/>
  <c r="Q498" i="2"/>
  <c r="BP322" i="2"/>
  <c r="Y326" i="2"/>
  <c r="BP324" i="2"/>
  <c r="BN324" i="2"/>
  <c r="Z324" i="2"/>
  <c r="BP280" i="2"/>
  <c r="BN280" i="2"/>
  <c r="Z280" i="2"/>
  <c r="O498" i="2"/>
  <c r="Y283" i="2"/>
  <c r="Y282" i="2"/>
  <c r="BN281" i="2"/>
  <c r="Z281" i="2"/>
  <c r="BP281" i="2"/>
  <c r="Y227" i="2"/>
  <c r="Z219" i="2"/>
  <c r="BN219" i="2"/>
  <c r="BP219" i="2"/>
  <c r="Y226" i="2"/>
  <c r="BP222" i="2"/>
  <c r="Z222" i="2"/>
  <c r="BN222" i="2"/>
  <c r="BN223" i="2"/>
  <c r="Z223" i="2"/>
  <c r="BP223" i="2"/>
  <c r="BN206" i="2"/>
  <c r="Z206" i="2"/>
  <c r="Z214" i="2" s="1"/>
  <c r="BP206" i="2"/>
  <c r="Y215" i="2"/>
  <c r="J498" i="2"/>
  <c r="Y214" i="2"/>
  <c r="BP179" i="2"/>
  <c r="BN179" i="2"/>
  <c r="Z179" i="2"/>
  <c r="BN169" i="2"/>
  <c r="BP169" i="2"/>
  <c r="Z169" i="2"/>
  <c r="BN171" i="2"/>
  <c r="BP171" i="2"/>
  <c r="Z171" i="2"/>
  <c r="I498" i="2"/>
  <c r="Y183" i="2"/>
  <c r="Y182" i="2"/>
  <c r="Z167" i="2"/>
  <c r="BP167" i="2"/>
  <c r="BN167" i="2"/>
  <c r="BP116" i="2"/>
  <c r="BN116" i="2"/>
  <c r="Y120" i="2"/>
  <c r="Z116" i="2"/>
  <c r="Z120" i="2" s="1"/>
  <c r="Y121" i="2"/>
  <c r="BN101" i="2"/>
  <c r="Y106" i="2"/>
  <c r="Z101" i="2"/>
  <c r="Z106" i="2" s="1"/>
  <c r="F498" i="2"/>
  <c r="Y107" i="2"/>
  <c r="BP101" i="2"/>
  <c r="BN93" i="2"/>
  <c r="Z93" i="2"/>
  <c r="Z97" i="2" s="1"/>
  <c r="Y98" i="2"/>
  <c r="Y97" i="2"/>
  <c r="BP93" i="2"/>
  <c r="E498" i="2"/>
  <c r="BP80" i="2"/>
  <c r="BN80" i="2"/>
  <c r="Z80" i="2"/>
  <c r="Z82" i="2" s="1"/>
  <c r="Y82" i="2"/>
  <c r="Y83" i="2"/>
  <c r="Y66" i="2"/>
  <c r="Z62" i="2"/>
  <c r="Z66" i="2" s="1"/>
  <c r="BP62" i="2"/>
  <c r="BN62" i="2"/>
  <c r="Y67" i="2"/>
  <c r="D498" i="2"/>
  <c r="Z42" i="2"/>
  <c r="Z45" i="2" s="1"/>
  <c r="BP42" i="2"/>
  <c r="Y46" i="2"/>
  <c r="C498" i="2"/>
  <c r="Y45" i="2"/>
  <c r="BN42" i="2"/>
  <c r="Y489" i="2" l="1"/>
  <c r="Y490" i="2"/>
  <c r="Z182" i="2"/>
  <c r="Y492" i="2"/>
  <c r="Y488" i="2"/>
  <c r="Z282" i="2"/>
  <c r="Z455" i="2"/>
  <c r="Z387" i="2"/>
  <c r="Z325" i="2"/>
  <c r="Z226" i="2"/>
  <c r="Y491" i="2" l="1"/>
  <c r="Z493" i="2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<sst xmlns="http://schemas.openxmlformats.org/spreadsheetml/2006/main" count="3645" uniqueCount="788">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</sst>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6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60" t="s">
        <v>26</v>
      </c>
      <c r="E1" s="860"/>
      <c r="F1" s="860"/>
      <c r="G1" s="14" t="s">
        <v>66</v>
      </c>
      <c r="H1" s="860" t="s">
        <v>46</v>
      </c>
      <c r="I1" s="860"/>
      <c r="J1" s="860"/>
      <c r="K1" s="860"/>
      <c r="L1" s="860"/>
      <c r="M1" s="860"/>
      <c r="N1" s="860"/>
      <c r="O1" s="860"/>
      <c r="P1" s="860"/>
      <c r="Q1" s="860"/>
      <c r="R1" s="861" t="s">
        <v>67</v>
      </c>
      <c r="S1" s="862"/>
      <c r="T1" s="86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3"/>
      <c r="R2" s="863"/>
      <c r="S2" s="863"/>
      <c r="T2" s="863"/>
      <c r="U2" s="863"/>
      <c r="V2" s="863"/>
      <c r="W2" s="86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3"/>
      <c r="Q3" s="863"/>
      <c r="R3" s="863"/>
      <c r="S3" s="863"/>
      <c r="T3" s="863"/>
      <c r="U3" s="863"/>
      <c r="V3" s="863"/>
      <c r="W3" s="86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4"/>
      <c r="E5" s="864"/>
      <c r="F5" s="865" t="s">
        <v>14</v>
      </c>
      <c r="G5" s="865"/>
      <c r="H5" s="864" t="s">
        <v>787</v>
      </c>
      <c r="I5" s="864"/>
      <c r="J5" s="864"/>
      <c r="K5" s="864"/>
      <c r="L5" s="864"/>
      <c r="M5" s="864"/>
      <c r="N5" s="69"/>
      <c r="P5" s="26" t="s">
        <v>4</v>
      </c>
      <c r="Q5" s="866">
        <v>46270</v>
      </c>
      <c r="R5" s="867"/>
      <c r="T5" s="868" t="s">
        <v>3</v>
      </c>
      <c r="U5" s="869"/>
      <c r="V5" s="870" t="s">
        <v>751</v>
      </c>
      <c r="W5" s="871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 t="s">
        <v>767</v>
      </c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>Суббота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 t="str">
        <f>IFERROR(VLOOKUP(DeliveryAddress,Table,3,0),1)</f>
        <v>6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>
        <v>0.41666666666666669</v>
      </c>
      <c r="R8" s="857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8" t="str">
        <f>IF(AND($A$9="Тип доверенности/получателя при получении в адресе перегруза:",$D$9="Разовая доверенность"),"Введите ФИО","")</f>
        <v/>
      </c>
      <c r="I9" s="858"/>
      <c r="J9" s="8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8"/>
      <c r="L9" s="858"/>
      <c r="M9" s="858"/>
      <c r="N9" s="67"/>
      <c r="P9" s="29" t="s">
        <v>15</v>
      </c>
      <c r="Q9" s="859">
        <v>46273</v>
      </c>
      <c r="R9" s="859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/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hidden="1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hidden="1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hidden="1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hidden="1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hidden="1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864</v>
      </c>
      <c r="Y42" s="53">
        <f>IFERROR(IF(X42="",0,CEILING((X42/$H42),1)*$H42),"")</f>
        <v>864</v>
      </c>
      <c r="Z42" s="39">
        <f>IFERROR(IF(Y42=0,"",ROUNDUP(Y42/H42,0)*0.01898),"")</f>
        <v>1.5184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896.8</v>
      </c>
      <c r="BN42" s="75">
        <f>IFERROR(Y42*I42/H42,"0")</f>
        <v>896.8</v>
      </c>
      <c r="BO42" s="75">
        <f>IFERROR(1/J42*(X42/H42),"0")</f>
        <v>1.25</v>
      </c>
      <c r="BP42" s="75">
        <f>IFERROR(1/J42*(Y42/H42),"0")</f>
        <v>1.25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80</v>
      </c>
      <c r="Y45" s="41">
        <f>IFERROR(Y42/H42,"0")+IFERROR(Y43/H43,"0")+IFERROR(Y44/H44,"0")</f>
        <v>80</v>
      </c>
      <c r="Z45" s="41">
        <f>IFERROR(IF(Z42="",0,Z42),"0")+IFERROR(IF(Z43="",0,Z43),"0")+IFERROR(IF(Z44="",0,Z44),"0")</f>
        <v>1.5184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864</v>
      </c>
      <c r="Y46" s="41">
        <f>IFERROR(SUM(Y42:Y44),"0")</f>
        <v>864</v>
      </c>
      <c r="Z46" s="40"/>
      <c r="AA46" s="64"/>
      <c r="AB46" s="64"/>
      <c r="AC46" s="64"/>
    </row>
    <row r="47" spans="1:68" ht="14.25" hidden="1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hidden="1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268.8</v>
      </c>
      <c r="Y53" s="53">
        <f t="shared" ref="Y53:Y58" si="6">IFERROR(IF(X53="",0,CEILING((X53/$H53),1)*$H53),"")</f>
        <v>268.79999999999995</v>
      </c>
      <c r="Z53" s="39">
        <f>IFERROR(IF(Y53=0,"",ROUNDUP(Y53/H53,0)*0.01898),"")</f>
        <v>0.45552000000000004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278.64000000000004</v>
      </c>
      <c r="BN53" s="75">
        <f t="shared" ref="BN53:BN58" si="8">IFERROR(Y53*I53/H53,"0")</f>
        <v>278.63999999999993</v>
      </c>
      <c r="BO53" s="75">
        <f t="shared" ref="BO53:BO58" si="9">IFERROR(1/J53*(X53/H53),"0")</f>
        <v>0.37500000000000006</v>
      </c>
      <c r="BP53" s="75">
        <f t="shared" ref="BP53:BP58" si="10">IFERROR(1/J53*(Y53/H53),"0")</f>
        <v>0.37499999999999994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172.8</v>
      </c>
      <c r="Y54" s="53">
        <f t="shared" si="6"/>
        <v>172.8</v>
      </c>
      <c r="Z54" s="39">
        <f>IFERROR(IF(Y54=0,"",ROUNDUP(Y54/H54,0)*0.01898),"")</f>
        <v>0.30368000000000001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179.36</v>
      </c>
      <c r="BN54" s="75">
        <f t="shared" si="8"/>
        <v>179.36</v>
      </c>
      <c r="BO54" s="75">
        <f t="shared" si="9"/>
        <v>0.25</v>
      </c>
      <c r="BP54" s="75">
        <f t="shared" si="10"/>
        <v>0.25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441.6</v>
      </c>
      <c r="Y60" s="41">
        <f>IFERROR(SUM(Y53:Y58),"0")</f>
        <v>441.59999999999997</v>
      </c>
      <c r="Z60" s="40"/>
      <c r="AA60" s="64"/>
      <c r="AB60" s="64"/>
      <c r="AC60" s="64"/>
    </row>
    <row r="61" spans="1:68" ht="14.25" hidden="1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hidden="1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hidden="1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hidden="1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hidden="1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259.2</v>
      </c>
      <c r="Y93" s="53">
        <f>IFERROR(IF(X93="",0,CEILING((X93/$H93),1)*$H93),"")</f>
        <v>259.2</v>
      </c>
      <c r="Z93" s="39">
        <f>IFERROR(IF(Y93=0,"",ROUNDUP(Y93/H93,0)*0.01898),"")</f>
        <v>0.60736000000000001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275.00799999999998</v>
      </c>
      <c r="BN93" s="75">
        <f>IFERROR(Y93*I93/H93,"0")</f>
        <v>275.00799999999998</v>
      </c>
      <c r="BO93" s="75">
        <f>IFERROR(1/J93*(X93/H93),"0")</f>
        <v>0.5</v>
      </c>
      <c r="BP93" s="75">
        <f>IFERROR(1/J93*(Y93/H93),"0")</f>
        <v>0.5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46</v>
      </c>
      <c r="Y97" s="41">
        <f>IFERROR(Y93/H93,"0")+IFERROR(Y94/H94,"0")+IFERROR(Y95/H95,"0")+IFERROR(Y96/H96,"0")</f>
        <v>46</v>
      </c>
      <c r="Z97" s="41">
        <f>IFERROR(IF(Z93="",0,Z93),"0")+IFERROR(IF(Z94="",0,Z94),"0")+IFERROR(IF(Z95="",0,Z95),"0")+IFERROR(IF(Z96="",0,Z96),"0")</f>
        <v>0.69850000000000001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297</v>
      </c>
      <c r="Y98" s="41">
        <f>IFERROR(SUM(Y93:Y96),"0")</f>
        <v>297</v>
      </c>
      <c r="Z98" s="40"/>
      <c r="AA98" s="64"/>
      <c r="AB98" s="64"/>
      <c r="AC98" s="64"/>
    </row>
    <row r="99" spans="1:68" ht="16.5" hidden="1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hidden="1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777.6</v>
      </c>
      <c r="Y101" s="53">
        <f>IFERROR(IF(X101="",0,CEILING((X101/$H101),1)*$H101),"")</f>
        <v>777.6</v>
      </c>
      <c r="Z101" s="39">
        <f>IFERROR(IF(Y101=0,"",ROUNDUP(Y101/H101,0)*0.01898),"")</f>
        <v>1.36656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807.12</v>
      </c>
      <c r="BN101" s="75">
        <f>IFERROR(Y101*I101/H101,"0")</f>
        <v>807.12</v>
      </c>
      <c r="BO101" s="75">
        <f>IFERROR(1/J101*(X101/H101),"0")</f>
        <v>1.125</v>
      </c>
      <c r="BP101" s="75">
        <f>IFERROR(1/J101*(Y101/H101),"0")</f>
        <v>1.125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72</v>
      </c>
      <c r="Y106" s="41">
        <f>IFERROR(Y101/H101,"0")+IFERROR(Y102/H102,"0")+IFERROR(Y103/H103,"0")+IFERROR(Y104/H104,"0")+IFERROR(Y105/H105,"0")</f>
        <v>72</v>
      </c>
      <c r="Z106" s="41">
        <f>IFERROR(IF(Z101="",0,Z101),"0")+IFERROR(IF(Z102="",0,Z102),"0")+IFERROR(IF(Z103="",0,Z103),"0")+IFERROR(IF(Z104="",0,Z104),"0")+IFERROR(IF(Z105="",0,Z105),"0")</f>
        <v>1.36656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777.6</v>
      </c>
      <c r="Y107" s="41">
        <f>IFERROR(SUM(Y101:Y105),"0")</f>
        <v>777.6</v>
      </c>
      <c r="Z107" s="40"/>
      <c r="AA107" s="64"/>
      <c r="AB107" s="64"/>
      <c r="AC107" s="64"/>
    </row>
    <row r="108" spans="1:68" ht="14.25" hidden="1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36</v>
      </c>
      <c r="Y120" s="41">
        <f>IFERROR(Y116/H116,"0")+IFERROR(Y117/H117,"0")+IFERROR(Y118/H118,"0")+IFERROR(Y119/H119,"0")</f>
        <v>36</v>
      </c>
      <c r="Z120" s="41">
        <f>IFERROR(IF(Z116="",0,Z116),"0")+IFERROR(IF(Z117="",0,Z117),"0")+IFERROR(IF(Z118="",0,Z118),"0")+IFERROR(IF(Z119="",0,Z119),"0")</f>
        <v>0.53364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226.8</v>
      </c>
      <c r="Y121" s="41">
        <f>IFERROR(SUM(Y116:Y119),"0")</f>
        <v>226.79999999999998</v>
      </c>
      <c r="Z121" s="40"/>
      <c r="AA121" s="64"/>
      <c r="AB121" s="64"/>
      <c r="AC121" s="64"/>
    </row>
    <row r="122" spans="1:68" ht="14.25" hidden="1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hidden="1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hidden="1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hidden="1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hidden="1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201.6</v>
      </c>
      <c r="Y169" s="53">
        <f t="shared" si="11"/>
        <v>201.60000000000002</v>
      </c>
      <c r="Z169" s="39">
        <f>IFERROR(IF(Y169=0,"",ROUNDUP(Y169/H169,0)*0.00902),"")</f>
        <v>0.43296000000000001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210.71999999999997</v>
      </c>
      <c r="BN169" s="75">
        <f t="shared" si="13"/>
        <v>210.72</v>
      </c>
      <c r="BO169" s="75">
        <f t="shared" si="14"/>
        <v>0.36363636363636365</v>
      </c>
      <c r="BP169" s="75">
        <f t="shared" si="15"/>
        <v>0.36363636363636365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hidden="1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96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96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0.72192000000000001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327.60000000000002</v>
      </c>
      <c r="Y183" s="41">
        <f>IFERROR(SUM(Y167:Y181),"0")</f>
        <v>327.60000000000002</v>
      </c>
      <c r="Z183" s="40"/>
      <c r="AA183" s="64"/>
      <c r="AB183" s="64"/>
      <c r="AC183" s="64"/>
    </row>
    <row r="184" spans="1:68" ht="14.25" hidden="1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hidden="1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64.8</v>
      </c>
      <c r="Y207" s="53">
        <f t="shared" si="16"/>
        <v>64.800000000000011</v>
      </c>
      <c r="Z207" s="39">
        <f>IFERROR(IF(Y207=0,"",ROUNDUP(Y207/H207,0)*0.00902),"")</f>
        <v>0.10824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67.079999999999984</v>
      </c>
      <c r="BN207" s="75">
        <f t="shared" si="18"/>
        <v>67.08</v>
      </c>
      <c r="BO207" s="75">
        <f t="shared" si="19"/>
        <v>9.0909090909090898E-2</v>
      </c>
      <c r="BP207" s="75">
        <f t="shared" si="20"/>
        <v>9.0909090909090925E-2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64.8</v>
      </c>
      <c r="Y208" s="53">
        <f t="shared" si="16"/>
        <v>64.800000000000011</v>
      </c>
      <c r="Z208" s="39">
        <f>IFERROR(IF(Y208=0,"",ROUNDUP(Y208/H208,0)*0.00902),"")</f>
        <v>0.10824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67.079999999999984</v>
      </c>
      <c r="BN208" s="75">
        <f t="shared" si="18"/>
        <v>67.08</v>
      </c>
      <c r="BO208" s="75">
        <f t="shared" si="19"/>
        <v>9.0909090909090898E-2</v>
      </c>
      <c r="BP208" s="75">
        <f t="shared" si="20"/>
        <v>9.0909090909090925E-2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72</v>
      </c>
      <c r="Y214" s="41">
        <f>IFERROR(Y206/H206,"0")+IFERROR(Y207/H207,"0")+IFERROR(Y208/H208,"0")+IFERROR(Y209/H209,"0")+IFERROR(Y210/H210,"0")+IFERROR(Y211/H211,"0")+IFERROR(Y212/H212,"0")+IFERROR(Y213/H213,"0")</f>
        <v>72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0.64944000000000002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388.8</v>
      </c>
      <c r="Y215" s="41">
        <f>IFERROR(SUM(Y206:Y213),"0")</f>
        <v>388.80000000000007</v>
      </c>
      <c r="Z215" s="40"/>
      <c r="AA215" s="64"/>
      <c r="AB215" s="64"/>
      <c r="AC215" s="64"/>
    </row>
    <row r="216" spans="1:68" ht="14.25" hidden="1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278.39999999999998</v>
      </c>
      <c r="Y219" s="53">
        <f t="shared" si="21"/>
        <v>278.39999999999998</v>
      </c>
      <c r="Z219" s="39">
        <f>IFERROR(IF(Y219=0,"",ROUNDUP(Y219/H219,0)*0.01898),"")</f>
        <v>0.60736000000000001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294.20800000000003</v>
      </c>
      <c r="BN219" s="75">
        <f t="shared" si="23"/>
        <v>294.20800000000003</v>
      </c>
      <c r="BO219" s="75">
        <f t="shared" si="24"/>
        <v>0.5</v>
      </c>
      <c r="BP219" s="75">
        <f t="shared" si="25"/>
        <v>0.5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57.6</v>
      </c>
      <c r="Y222" s="53">
        <f t="shared" si="21"/>
        <v>57.599999999999994</v>
      </c>
      <c r="Z222" s="39">
        <f t="shared" si="26"/>
        <v>0.15623999999999999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63.648000000000003</v>
      </c>
      <c r="BN222" s="75">
        <f t="shared" si="23"/>
        <v>63.648000000000003</v>
      </c>
      <c r="BO222" s="75">
        <f t="shared" si="24"/>
        <v>0.13186813186813187</v>
      </c>
      <c r="BP222" s="75">
        <f t="shared" si="25"/>
        <v>0.13186813186813187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176</v>
      </c>
      <c r="Y226" s="41">
        <f>IFERROR(Y217/H217,"0")+IFERROR(Y218/H218,"0")+IFERROR(Y219/H219,"0")+IFERROR(Y220/H220,"0")+IFERROR(Y221/H221,"0")+IFERROR(Y222/H222,"0")+IFERROR(Y223/H223,"0")+IFERROR(Y224/H224,"0")+IFERROR(Y225/H225,"0")</f>
        <v>176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1.5448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624</v>
      </c>
      <c r="Y227" s="41">
        <f>IFERROR(SUM(Y217:Y225),"0")</f>
        <v>623.99999999999989</v>
      </c>
      <c r="Z227" s="40"/>
      <c r="AA227" s="64"/>
      <c r="AB227" s="64"/>
      <c r="AC227" s="64"/>
    </row>
    <row r="228" spans="1:68" ht="14.25" hidden="1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hidden="1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hidden="1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hidden="1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hidden="1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57.6</v>
      </c>
      <c r="Y280" s="53">
        <f>IFERROR(IF(X280="",0,CEILING((X280/$H280),1)*$H280),"")</f>
        <v>57.599999999999994</v>
      </c>
      <c r="Z280" s="39">
        <f>IFERROR(IF(Y280=0,"",ROUNDUP(Y280/H280,0)*0.00651),"")</f>
        <v>0.15623999999999999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63.648000000000003</v>
      </c>
      <c r="BN280" s="75">
        <f>IFERROR(Y280*I280/H280,"0")</f>
        <v>63.648000000000003</v>
      </c>
      <c r="BO280" s="75">
        <f>IFERROR(1/J280*(X280/H280),"0")</f>
        <v>0.13186813186813187</v>
      </c>
      <c r="BP280" s="75">
        <f>IFERROR(1/J280*(Y280/H280),"0")</f>
        <v>0.13186813186813187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48</v>
      </c>
      <c r="Y282" s="41">
        <f>IFERROR(Y279/H279,"0")+IFERROR(Y280/H280,"0")+IFERROR(Y281/H281,"0")</f>
        <v>48</v>
      </c>
      <c r="Z282" s="41">
        <f>IFERROR(IF(Z279="",0,Z279),"0")+IFERROR(IF(Z280="",0,Z280),"0")+IFERROR(IF(Z281="",0,Z281),"0")</f>
        <v>0.31247999999999998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115.2</v>
      </c>
      <c r="Y283" s="41">
        <f>IFERROR(SUM(Y279:Y281),"0")</f>
        <v>115.19999999999999</v>
      </c>
      <c r="Z283" s="40"/>
      <c r="AA283" s="64"/>
      <c r="AB283" s="64"/>
      <c r="AC283" s="64"/>
    </row>
    <row r="284" spans="1:68" ht="16.5" hidden="1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hidden="1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hidden="1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336</v>
      </c>
      <c r="Y322" s="53">
        <f>IFERROR(IF(X322="",0,CEILING((X322/$H322),1)*$H322),"")</f>
        <v>336</v>
      </c>
      <c r="Z322" s="39">
        <f>IFERROR(IF(Y322=0,"",ROUNDUP(Y322/H322,0)*0.01898),"")</f>
        <v>0.75919999999999999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355.76</v>
      </c>
      <c r="BN322" s="75">
        <f>IFERROR(Y322*I322/H322,"0")</f>
        <v>355.76</v>
      </c>
      <c r="BO322" s="75">
        <f>IFERROR(1/J322*(X322/H322),"0")</f>
        <v>0.625</v>
      </c>
      <c r="BP322" s="75">
        <f>IFERROR(1/J322*(Y322/H322),"0")</f>
        <v>0.625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120</v>
      </c>
      <c r="Y325" s="41">
        <f>IFERROR(Y322/H322,"0")+IFERROR(Y323/H323,"0")+IFERROR(Y324/H324,"0")</f>
        <v>120</v>
      </c>
      <c r="Z325" s="41">
        <f>IFERROR(IF(Z322="",0,Z322),"0")+IFERROR(IF(Z323="",0,Z323),"0")+IFERROR(IF(Z324="",0,Z324),"0")</f>
        <v>2.2776000000000001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969.6</v>
      </c>
      <c r="Y326" s="41">
        <f>IFERROR(SUM(Y322:Y324),"0")</f>
        <v>969.6</v>
      </c>
      <c r="Z326" s="40"/>
      <c r="AA326" s="64"/>
      <c r="AB326" s="64"/>
      <c r="AC326" s="64"/>
    </row>
    <row r="327" spans="1:68" ht="14.25" hidden="1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hidden="1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129.6</v>
      </c>
      <c r="Y342" s="53">
        <f>IFERROR(IF(X342="",0,CEILING((X342/$H342),1)*$H342),"")</f>
        <v>129.6</v>
      </c>
      <c r="Z342" s="39">
        <f>IFERROR(IF(Y342=0,"",ROUNDUP(Y342/H342,0)*0.01898),"")</f>
        <v>0.30368000000000001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137.50399999999999</v>
      </c>
      <c r="BN342" s="75">
        <f>IFERROR(Y342*I342/H342,"0")</f>
        <v>137.50399999999999</v>
      </c>
      <c r="BO342" s="75">
        <f>IFERROR(1/J342*(X342/H342),"0")</f>
        <v>0.25</v>
      </c>
      <c r="BP342" s="75">
        <f>IFERROR(1/J342*(Y342/H342),"0")</f>
        <v>0.25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16</v>
      </c>
      <c r="Y345" s="41">
        <f>IFERROR(Y342/H342,"0")+IFERROR(Y343/H343,"0")+IFERROR(Y344/H344,"0")</f>
        <v>16</v>
      </c>
      <c r="Z345" s="41">
        <f>IFERROR(IF(Z342="",0,Z342),"0")+IFERROR(IF(Z343="",0,Z343),"0")+IFERROR(IF(Z344="",0,Z344),"0")</f>
        <v>0.30368000000000001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129.6</v>
      </c>
      <c r="Y346" s="41">
        <f>IFERROR(SUM(Y342:Y344),"0")</f>
        <v>129.6</v>
      </c>
      <c r="Z346" s="40"/>
      <c r="AA346" s="64"/>
      <c r="AB346" s="64"/>
      <c r="AC346" s="64"/>
    </row>
    <row r="347" spans="1:68" ht="27.75" hidden="1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hidden="1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hidden="1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840</v>
      </c>
      <c r="Y350" s="53">
        <f t="shared" ref="Y350:Y356" si="37">IFERROR(IF(X350="",0,CEILING((X350/$H350),1)*$H350),"")</f>
        <v>840</v>
      </c>
      <c r="Z350" s="39">
        <f>IFERROR(IF(Y350=0,"",ROUNDUP(Y350/H350,0)*0.02175),"")</f>
        <v>1.218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866.32</v>
      </c>
      <c r="BN350" s="75">
        <f t="shared" ref="BN350:BN356" si="39">IFERROR(Y350*I350/H350,"0")</f>
        <v>866.32</v>
      </c>
      <c r="BO350" s="75">
        <f t="shared" ref="BO350:BO356" si="40">IFERROR(1/J350*(X350/H350),"0")</f>
        <v>1.1666666666666665</v>
      </c>
      <c r="BP350" s="75">
        <f t="shared" ref="BP350:BP356" si="41">IFERROR(1/J350*(Y350/H350),"0")</f>
        <v>1.1666666666666665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810</v>
      </c>
      <c r="Y352" s="53">
        <f t="shared" si="37"/>
        <v>810</v>
      </c>
      <c r="Z352" s="39">
        <f>IFERROR(IF(Y352=0,"",ROUNDUP(Y352/H352,0)*0.02175),"")</f>
        <v>1.1744999999999999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835.38</v>
      </c>
      <c r="BN352" s="75">
        <f t="shared" si="39"/>
        <v>835.38</v>
      </c>
      <c r="BO352" s="75">
        <f t="shared" si="40"/>
        <v>1.125</v>
      </c>
      <c r="BP352" s="75">
        <f t="shared" si="41"/>
        <v>1.125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134</v>
      </c>
      <c r="Y357" s="41">
        <f>IFERROR(Y350/H350,"0")+IFERROR(Y351/H351,"0")+IFERROR(Y352/H352,"0")+IFERROR(Y353/H353,"0")+IFERROR(Y354/H354,"0")+IFERROR(Y355/H355,"0")+IFERROR(Y356/H356,"0")</f>
        <v>134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2.9144999999999999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2010</v>
      </c>
      <c r="Y358" s="41">
        <f>IFERROR(SUM(Y350:Y356),"0")</f>
        <v>2010</v>
      </c>
      <c r="Z358" s="40"/>
      <c r="AA358" s="64"/>
      <c r="AB358" s="64"/>
      <c r="AC358" s="64"/>
    </row>
    <row r="359" spans="1:68" ht="14.25" hidden="1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hidden="1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216</v>
      </c>
      <c r="Y370" s="53">
        <f>IFERROR(IF(X370="",0,CEILING((X370/$H370),1)*$H370),"")</f>
        <v>216</v>
      </c>
      <c r="Z370" s="39">
        <f>IFERROR(IF(Y370=0,"",ROUNDUP(Y370/H370,0)*0.01898),"")</f>
        <v>0.45552000000000004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227.85599999999997</v>
      </c>
      <c r="BN370" s="75">
        <f>IFERROR(Y370*I370/H370,"0")</f>
        <v>227.85599999999997</v>
      </c>
      <c r="BO370" s="75">
        <f>IFERROR(1/J370*(X370/H370),"0")</f>
        <v>0.375</v>
      </c>
      <c r="BP370" s="75">
        <f>IFERROR(1/J370*(Y370/H370),"0")</f>
        <v>0.375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24</v>
      </c>
      <c r="Y371" s="41">
        <f>IFERROR(Y370/H370,"0")</f>
        <v>24</v>
      </c>
      <c r="Z371" s="41">
        <f>IFERROR(IF(Z370="",0,Z370),"0")</f>
        <v>0.45552000000000004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216</v>
      </c>
      <c r="Y372" s="41">
        <f>IFERROR(SUM(Y370:Y370),"0")</f>
        <v>216</v>
      </c>
      <c r="Z372" s="40"/>
      <c r="AA372" s="64"/>
      <c r="AB372" s="64"/>
      <c r="AC372" s="64"/>
    </row>
    <row r="373" spans="1:68" ht="16.5" hidden="1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hidden="1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144</v>
      </c>
      <c r="Y384" s="53">
        <f>IFERROR(IF(X384="",0,CEILING((X384/$H384),1)*$H384),"")</f>
        <v>144</v>
      </c>
      <c r="Z384" s="39">
        <f>IFERROR(IF(Y384=0,"",ROUNDUP(Y384/H384,0)*0.01898),"")</f>
        <v>0.30368000000000001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151.904</v>
      </c>
      <c r="BN384" s="75">
        <f>IFERROR(Y384*I384/H384,"0")</f>
        <v>151.904</v>
      </c>
      <c r="BO384" s="75">
        <f>IFERROR(1/J384*(X384/H384),"0")</f>
        <v>0.25</v>
      </c>
      <c r="BP384" s="75">
        <f>IFERROR(1/J384*(Y384/H384),"0")</f>
        <v>0.25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28.8</v>
      </c>
      <c r="Y385" s="53">
        <f>IFERROR(IF(X385="",0,CEILING((X385/$H385),1)*$H385),"")</f>
        <v>28.799999999999997</v>
      </c>
      <c r="Z385" s="39">
        <f>IFERROR(IF(Y385=0,"",ROUNDUP(Y385/H385,0)*0.00651),"")</f>
        <v>7.8119999999999995E-2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31.968000000000004</v>
      </c>
      <c r="BN385" s="75">
        <f>IFERROR(Y385*I385/H385,"0")</f>
        <v>31.967999999999996</v>
      </c>
      <c r="BO385" s="75">
        <f>IFERROR(1/J385*(X385/H385),"0")</f>
        <v>6.5934065934065936E-2</v>
      </c>
      <c r="BP385" s="75">
        <f>IFERROR(1/J385*(Y385/H385),"0")</f>
        <v>6.5934065934065936E-2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28</v>
      </c>
      <c r="Y387" s="41">
        <f>IFERROR(Y384/H384,"0")+IFERROR(Y385/H385,"0")+IFERROR(Y386/H386,"0")</f>
        <v>28</v>
      </c>
      <c r="Z387" s="41">
        <f>IFERROR(IF(Z384="",0,Z384),"0")+IFERROR(IF(Z385="",0,Z385),"0")+IFERROR(IF(Z386="",0,Z386),"0")</f>
        <v>0.38180000000000003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172.8</v>
      </c>
      <c r="Y388" s="41">
        <f>IFERROR(SUM(Y384:Y386),"0")</f>
        <v>172.8</v>
      </c>
      <c r="Z388" s="40"/>
      <c r="AA388" s="64"/>
      <c r="AB388" s="64"/>
      <c r="AC388" s="64"/>
    </row>
    <row r="389" spans="1:68" ht="27.75" hidden="1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hidden="1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hidden="1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hidden="1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hidden="1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hidden="1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hidden="1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380.16</v>
      </c>
      <c r="Y433" s="53">
        <f t="shared" si="48"/>
        <v>380.16</v>
      </c>
      <c r="Z433" s="39">
        <f t="shared" si="49"/>
        <v>0.86112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405.35999999999996</v>
      </c>
      <c r="BN433" s="75">
        <f t="shared" si="51"/>
        <v>405.35999999999996</v>
      </c>
      <c r="BO433" s="75">
        <f t="shared" si="52"/>
        <v>0.69230769230769229</v>
      </c>
      <c r="BP433" s="75">
        <f t="shared" si="53"/>
        <v>0.69230769230769229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464.64000000000004</v>
      </c>
      <c r="Y440" s="41">
        <f>IFERROR(SUM(Y427:Y438),"0")</f>
        <v>464.64000000000004</v>
      </c>
      <c r="Z440" s="40"/>
      <c r="AA440" s="64"/>
      <c r="AB440" s="64"/>
      <c r="AC440" s="64"/>
    </row>
    <row r="441" spans="1:68" ht="14.25" hidden="1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hidden="1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42.24</v>
      </c>
      <c r="Y449" s="53">
        <f t="shared" si="54"/>
        <v>42.24</v>
      </c>
      <c r="Z449" s="39">
        <f>IFERROR(IF(Y449=0,"",ROUNDUP(Y449/H449,0)*0.01196),"")</f>
        <v>9.5680000000000001E-2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45.04</v>
      </c>
      <c r="BN449" s="75">
        <f t="shared" si="56"/>
        <v>45.04</v>
      </c>
      <c r="BO449" s="75">
        <f t="shared" si="57"/>
        <v>7.6923076923076927E-2</v>
      </c>
      <c r="BP449" s="75">
        <f t="shared" si="58"/>
        <v>7.6923076923076927E-2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24</v>
      </c>
      <c r="Y455" s="41">
        <f>IFERROR(Y448/H448,"0")+IFERROR(Y449/H449,"0")+IFERROR(Y450/H450,"0")+IFERROR(Y451/H451,"0")+IFERROR(Y452/H452,"0")+IFERROR(Y453/H453,"0")+IFERROR(Y454/H454,"0")</f>
        <v>24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0.28704000000000002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126.72</v>
      </c>
      <c r="Y456" s="41">
        <f>IFERROR(SUM(Y448:Y454),"0")</f>
        <v>126.72</v>
      </c>
      <c r="Z456" s="40"/>
      <c r="AA456" s="64"/>
      <c r="AB456" s="64"/>
      <c r="AC456" s="64"/>
    </row>
    <row r="457" spans="1:68" ht="27.75" hidden="1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hidden="1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hidden="1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hidden="1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8943.9599999999991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8943.9599999999991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9369.6680000000033</v>
      </c>
      <c r="Y489" s="41">
        <f>IFERROR(SUM(BN22:BN485),"0")</f>
        <v>9369.6680000000033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15</v>
      </c>
      <c r="Y490" s="42">
        <f>ROUNDUP(SUM(BP22:BP485),0)</f>
        <v>15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9744.6680000000033</v>
      </c>
      <c r="Y491" s="41">
        <f>GrossWeightTotalR+PalletQtyTotalR*25</f>
        <v>9744.6680000000033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1164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1164</v>
      </c>
      <c r="Z492" s="40"/>
      <c r="AA492" s="64"/>
      <c r="AB492" s="64"/>
      <c r="AC492" s="64"/>
    </row>
    <row r="493" spans="1:68" ht="14.25" hidden="1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17.058760000000003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864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614.4</v>
      </c>
      <c r="E498" s="50">
        <f>IFERROR(Y86*1,"0")+IFERROR(Y87*1,"0")+IFERROR(Y88*1,"0")+IFERROR(Y89*1,"0")+IFERROR(Y93*1,"0")+IFERROR(Y94*1,"0")+IFERROR(Y95*1,"0")+IFERROR(Y96*1,"0")</f>
        <v>556.20000000000005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1004.4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327.60000000000002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1012.8000000000001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115.19999999999999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969.6</v>
      </c>
      <c r="R498" s="50">
        <f>IFERROR(Y342*1,"0")+IFERROR(Y343*1,"0")+IFERROR(Y344*1,"0")</f>
        <v>129.6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2586</v>
      </c>
      <c r="T498" s="50">
        <f>IFERROR(Y375*1,"0")+IFERROR(Y376*1,"0")+IFERROR(Y380*1,"0")+IFERROR(Y384*1,"0")+IFERROR(Y385*1,"0")+IFERROR(Y386*1,"0")</f>
        <v>172.8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591.36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4,00"/>
        <filter val="115,20"/>
        <filter val="120,00"/>
        <filter val="126,72"/>
        <filter val="129,60"/>
        <filter val="134,00"/>
        <filter val="134,40"/>
        <filter val="144,00"/>
        <filter val="15"/>
        <filter val="16,00"/>
        <filter val="172,80"/>
        <filter val="176,00"/>
        <filter val="194,40"/>
        <filter val="2 010,00"/>
        <filter val="201,60"/>
        <filter val="216,00"/>
        <filter val="226,80"/>
        <filter val="24,00"/>
        <filter val="259,20"/>
        <filter val="268,80"/>
        <filter val="278,40"/>
        <filter val="28,00"/>
        <filter val="28,80"/>
        <filter val="297,00"/>
        <filter val="32,40"/>
        <filter val="327,60"/>
        <filter val="336,00"/>
        <filter val="36,00"/>
        <filter val="360,00"/>
        <filter val="37,80"/>
        <filter val="380,16"/>
        <filter val="388,80"/>
        <filter val="40,00"/>
        <filter val="42,24"/>
        <filter val="441,60"/>
        <filter val="46,00"/>
        <filter val="464,64"/>
        <filter val="48,00"/>
        <filter val="499,20"/>
        <filter val="50,40"/>
        <filter val="57,60"/>
        <filter val="624,00"/>
        <filter val="64,80"/>
        <filter val="72,00"/>
        <filter val="75,60"/>
        <filter val="777,60"/>
        <filter val="8 943,96"/>
        <filter val="80,00"/>
        <filter val="810,00"/>
        <filter val="84,48"/>
        <filter val="840,00"/>
        <filter val="86,40"/>
        <filter val="864,00"/>
        <filter val="88,00"/>
        <filter val="9 369,67"/>
        <filter val="9 744,67"/>
        <filter val="96,00"/>
        <filter val="969,60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5" priority="5" stopIfTrue="1">
      <formula>IF($V$5="самовывоз",1,0)</formula>
    </cfRule>
  </conditionalFormatting>
  <conditionalFormatting sqref="P5 P6:R6">
    <cfRule type="expression" dxfId="4" priority="4" stopIfTrue="1">
      <formula>IF($V$5="доставка",1,0)</formula>
    </cfRule>
  </conditionalFormatting>
  <conditionalFormatting sqref="P8">
    <cfRule type="expression" dxfId="3" priority="3" stopIfTrue="1">
      <formula>IF($V$5="доставка",1,0)</formula>
    </cfRule>
  </conditionalFormatting>
  <conditionalFormatting sqref="P9:R13">
    <cfRule type="expression" dxfId="2" priority="16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2026-05-07T10:03:18Z</cp:lastPrinted>
  <dcterms:created xsi:type="dcterms:W3CDTF">2021-11-12T12:13:19Z</dcterms:created>
  <dcterms:modified xsi:type="dcterms:W3CDTF">2026-09-02T16:26:40Z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