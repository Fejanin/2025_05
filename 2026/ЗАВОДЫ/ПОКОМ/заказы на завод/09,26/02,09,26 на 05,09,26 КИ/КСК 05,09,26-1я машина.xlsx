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68D2E0-E954-4E9A-9BAA-42B5A914FB77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N480" i="2"/>
  <c r="BM480" i="2"/>
  <c r="Y480" i="2"/>
  <c r="Z480" i="2" s="1"/>
  <c r="P480" i="2"/>
  <c r="BO479" i="2"/>
  <c r="BM479" i="2"/>
  <c r="Y479" i="2"/>
  <c r="BP479" i="2" s="1"/>
  <c r="P479" i="2"/>
  <c r="BP478" i="2"/>
  <c r="BO478" i="2"/>
  <c r="BM478" i="2"/>
  <c r="Y478" i="2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N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N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N273" i="2"/>
  <c r="BM273" i="2"/>
  <c r="Y273" i="2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N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Z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N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N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N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331" i="2" l="1"/>
  <c r="BP27" i="2"/>
  <c r="Z291" i="2"/>
  <c r="BN93" i="2"/>
  <c r="BP291" i="2"/>
  <c r="Y315" i="2"/>
  <c r="BN349" i="2"/>
  <c r="BP98" i="2"/>
  <c r="BP114" i="2"/>
  <c r="BN195" i="2"/>
  <c r="BN257" i="2"/>
  <c r="Y463" i="2"/>
  <c r="Z37" i="2"/>
  <c r="Y198" i="2"/>
  <c r="Z215" i="2"/>
  <c r="BN115" i="2"/>
  <c r="BN128" i="2"/>
  <c r="Z95" i="2"/>
  <c r="BN23" i="2"/>
  <c r="BP39" i="2"/>
  <c r="BP95" i="2"/>
  <c r="BN411" i="2"/>
  <c r="Y458" i="2"/>
  <c r="BN187" i="2"/>
  <c r="BN306" i="2"/>
  <c r="Z310" i="2"/>
  <c r="BN310" i="2"/>
  <c r="Z519" i="2"/>
  <c r="BN513" i="2"/>
  <c r="Z56" i="2"/>
  <c r="BP450" i="2"/>
  <c r="BN525" i="2"/>
  <c r="BN125" i="2"/>
  <c r="Z49" i="2"/>
  <c r="Z551" i="2"/>
  <c r="BP535" i="2"/>
  <c r="BN527" i="2"/>
  <c r="BN517" i="2"/>
  <c r="BN511" i="2"/>
  <c r="BP510" i="2"/>
  <c r="BN506" i="2"/>
  <c r="BN482" i="2"/>
  <c r="BN461" i="2"/>
  <c r="BN456" i="2"/>
  <c r="Y447" i="2"/>
  <c r="BN438" i="2"/>
  <c r="BN437" i="2"/>
  <c r="BN426" i="2"/>
  <c r="BN425" i="2"/>
  <c r="BN401" i="2"/>
  <c r="BN393" i="2"/>
  <c r="BN392" i="2"/>
  <c r="Y396" i="2"/>
  <c r="BN387" i="2"/>
  <c r="BP385" i="2"/>
  <c r="Z379" i="2"/>
  <c r="BN375" i="2"/>
  <c r="BN371" i="2"/>
  <c r="BN367" i="2"/>
  <c r="BN360" i="2"/>
  <c r="Z349" i="2"/>
  <c r="BN347" i="2"/>
  <c r="Y341" i="2"/>
  <c r="BP324" i="2"/>
  <c r="Z324" i="2"/>
  <c r="Y326" i="2"/>
  <c r="BN299" i="2"/>
  <c r="Z299" i="2"/>
  <c r="Y300" i="2"/>
  <c r="BN293" i="2"/>
  <c r="BN285" i="2"/>
  <c r="BN283" i="2"/>
  <c r="Z283" i="2"/>
  <c r="BN279" i="2"/>
  <c r="Z279" i="2"/>
  <c r="BN277" i="2"/>
  <c r="BP275" i="2"/>
  <c r="Y280" i="2"/>
  <c r="Z272" i="2"/>
  <c r="BP272" i="2"/>
  <c r="BP262" i="2"/>
  <c r="BN252" i="2"/>
  <c r="BN246" i="2"/>
  <c r="BN244" i="2"/>
  <c r="Y249" i="2"/>
  <c r="BN238" i="2"/>
  <c r="BN236" i="2"/>
  <c r="BN232" i="2"/>
  <c r="BN229" i="2"/>
  <c r="Y241" i="2"/>
  <c r="BN211" i="2"/>
  <c r="Z195" i="2"/>
  <c r="Z184" i="2"/>
  <c r="Z183" i="2"/>
  <c r="BN181" i="2"/>
  <c r="Z169" i="2"/>
  <c r="BP169" i="2"/>
  <c r="BN143" i="2"/>
  <c r="BP139" i="2"/>
  <c r="Z139" i="2"/>
  <c r="BN133" i="2"/>
  <c r="Y135" i="2"/>
  <c r="Z126" i="2"/>
  <c r="BN116" i="2"/>
  <c r="BN107" i="2"/>
  <c r="BP106" i="2"/>
  <c r="Z106" i="2"/>
  <c r="G570" i="2"/>
  <c r="BN86" i="2"/>
  <c r="BP85" i="2"/>
  <c r="BN80" i="2"/>
  <c r="Y81" i="2"/>
  <c r="BN77" i="2"/>
  <c r="Z67" i="2"/>
  <c r="Z64" i="2"/>
  <c r="BP64" i="2"/>
  <c r="BN60" i="2"/>
  <c r="BN59" i="2"/>
  <c r="Z59" i="2"/>
  <c r="BP58" i="2"/>
  <c r="Z58" i="2"/>
  <c r="BN49" i="2"/>
  <c r="BP48" i="2"/>
  <c r="D570" i="2"/>
  <c r="Z48" i="2"/>
  <c r="X562" i="2"/>
  <c r="BP37" i="2"/>
  <c r="Z31" i="2"/>
  <c r="BN30" i="2"/>
  <c r="X560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0" i="2" s="1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18" i="2" s="1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140" i="2" l="1"/>
  <c r="Z81" i="2"/>
  <c r="Z446" i="2"/>
  <c r="Z61" i="2"/>
  <c r="Z484" i="2"/>
  <c r="Z452" i="2"/>
  <c r="Z177" i="2"/>
  <c r="Z300" i="2"/>
  <c r="Z68" i="2"/>
  <c r="Z51" i="2"/>
  <c r="Z530" i="2"/>
  <c r="Z463" i="2"/>
  <c r="Z440" i="2"/>
  <c r="Z414" i="2"/>
  <c r="Z402" i="2"/>
  <c r="Z395" i="2"/>
  <c r="Z382" i="2"/>
  <c r="Z341" i="2"/>
  <c r="Z269" i="2"/>
  <c r="Z198" i="2"/>
  <c r="Z161" i="2"/>
  <c r="Z145" i="2"/>
  <c r="Z99" i="2"/>
  <c r="Z90" i="2"/>
  <c r="X563" i="2"/>
  <c r="Z32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<sst xmlns="http://schemas.openxmlformats.org/spreadsheetml/2006/main" count="4310" uniqueCount="900">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</sst>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1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9" t="s">
        <v>26</v>
      </c>
      <c r="E1" s="649"/>
      <c r="F1" s="649"/>
      <c r="G1" s="14" t="s">
        <v>67</v>
      </c>
      <c r="H1" s="649" t="s">
        <v>47</v>
      </c>
      <c r="I1" s="649"/>
      <c r="J1" s="649"/>
      <c r="K1" s="649"/>
      <c r="L1" s="649"/>
      <c r="M1" s="649"/>
      <c r="N1" s="649"/>
      <c r="O1" s="649"/>
      <c r="P1" s="649"/>
      <c r="Q1" s="649"/>
      <c r="R1" s="650" t="s">
        <v>68</v>
      </c>
      <c r="S1" s="651"/>
      <c r="T1" s="6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3" t="s">
        <v>8</v>
      </c>
      <c r="B5" s="653"/>
      <c r="C5" s="653"/>
      <c r="D5" s="654"/>
      <c r="E5" s="654"/>
      <c r="F5" s="655" t="s">
        <v>14</v>
      </c>
      <c r="G5" s="655"/>
      <c r="H5" s="654" t="s">
        <v>899</v>
      </c>
      <c r="I5" s="654"/>
      <c r="J5" s="654"/>
      <c r="K5" s="654"/>
      <c r="L5" s="654"/>
      <c r="M5" s="654"/>
      <c r="N5" s="69"/>
      <c r="P5" s="26" t="s">
        <v>4</v>
      </c>
      <c r="Q5" s="656">
        <v>46270</v>
      </c>
      <c r="R5" s="656"/>
      <c r="T5" s="657" t="s">
        <v>3</v>
      </c>
      <c r="U5" s="658"/>
      <c r="V5" s="659" t="s">
        <v>880</v>
      </c>
      <c r="W5" s="660"/>
      <c r="AB5" s="57"/>
      <c r="AC5" s="57"/>
      <c r="AD5" s="57"/>
      <c r="AE5" s="57"/>
    </row>
    <row r="6" spans="1:32" s="17" customFormat="1" ht="24" customHeight="1" x14ac:dyDescent="0.2">
      <c r="A6" s="653" t="s">
        <v>1</v>
      </c>
      <c r="B6" s="653"/>
      <c r="C6" s="653"/>
      <c r="D6" s="661" t="s">
        <v>881</v>
      </c>
      <c r="E6" s="661"/>
      <c r="F6" s="661"/>
      <c r="G6" s="661"/>
      <c r="H6" s="661"/>
      <c r="I6" s="661"/>
      <c r="J6" s="661"/>
      <c r="K6" s="661"/>
      <c r="L6" s="661"/>
      <c r="M6" s="661"/>
      <c r="N6" s="70"/>
      <c r="P6" s="26" t="s">
        <v>27</v>
      </c>
      <c r="Q6" s="662" t="str">
        <f>IF(Q5=0," ",CHOOSE(WEEKDAY(Q5,2),"Понедельник","Вторник","Среда","Четверг","Пятница","Суббота","Воскресенье"))</f>
        <v>Суббота</v>
      </c>
      <c r="R6" s="662"/>
      <c r="T6" s="663" t="s">
        <v>5</v>
      </c>
      <c r="U6" s="664"/>
      <c r="V6" s="665" t="s">
        <v>70</v>
      </c>
      <c r="W6" s="6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1" t="str">
        <f>IFERROR(VLOOKUP(DeliveryAddress,Table,3,0),1)</f>
        <v>1</v>
      </c>
      <c r="E7" s="672"/>
      <c r="F7" s="672"/>
      <c r="G7" s="672"/>
      <c r="H7" s="672"/>
      <c r="I7" s="672"/>
      <c r="J7" s="672"/>
      <c r="K7" s="672"/>
      <c r="L7" s="672"/>
      <c r="M7" s="673"/>
      <c r="N7" s="71"/>
      <c r="P7" s="26"/>
      <c r="Q7" s="46"/>
      <c r="R7" s="46"/>
      <c r="T7" s="663"/>
      <c r="U7" s="664"/>
      <c r="V7" s="667"/>
      <c r="W7" s="668"/>
      <c r="AB7" s="57"/>
      <c r="AC7" s="57"/>
      <c r="AD7" s="57"/>
      <c r="AE7" s="57"/>
    </row>
    <row r="8" spans="1:32" s="17" customFormat="1" ht="25.5" customHeight="1" x14ac:dyDescent="0.2">
      <c r="A8" s="674" t="s">
        <v>58</v>
      </c>
      <c r="B8" s="674"/>
      <c r="C8" s="674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72"/>
      <c r="P8" s="26" t="s">
        <v>11</v>
      </c>
      <c r="Q8" s="676">
        <v>0.375</v>
      </c>
      <c r="R8" s="676"/>
      <c r="T8" s="663"/>
      <c r="U8" s="664"/>
      <c r="V8" s="667"/>
      <c r="W8" s="668"/>
      <c r="AB8" s="57"/>
      <c r="AC8" s="57"/>
      <c r="AD8" s="57"/>
      <c r="AE8" s="57"/>
    </row>
    <row r="9" spans="1:32" s="17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678" t="s">
        <v>46</v>
      </c>
      <c r="E9" s="679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0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0"/>
      <c r="L9" s="680"/>
      <c r="M9" s="680"/>
      <c r="N9" s="67"/>
      <c r="P9" s="29" t="s">
        <v>15</v>
      </c>
      <c r="Q9" s="681"/>
      <c r="R9" s="681"/>
      <c r="T9" s="663"/>
      <c r="U9" s="664"/>
      <c r="V9" s="669"/>
      <c r="W9" s="6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678"/>
      <c r="E10" s="679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682" t="str">
        <f>IFERROR(VLOOKUP($D$10,Proxy,2,FALSE),"")</f>
        <v/>
      </c>
      <c r="I10" s="682"/>
      <c r="J10" s="682"/>
      <c r="K10" s="682"/>
      <c r="L10" s="682"/>
      <c r="M10" s="682"/>
      <c r="N10" s="68"/>
      <c r="P10" s="29" t="s">
        <v>32</v>
      </c>
      <c r="Q10" s="683"/>
      <c r="R10" s="683"/>
      <c r="U10" s="26" t="s">
        <v>12</v>
      </c>
      <c r="V10" s="684" t="s">
        <v>71</v>
      </c>
      <c r="W10" s="6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6"/>
      <c r="R11" s="686"/>
      <c r="U11" s="26" t="s">
        <v>28</v>
      </c>
      <c r="V11" s="687" t="s">
        <v>55</v>
      </c>
      <c r="W11" s="6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8" t="s">
        <v>72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73"/>
      <c r="P12" s="26" t="s">
        <v>30</v>
      </c>
      <c r="Q12" s="676"/>
      <c r="R12" s="676"/>
      <c r="S12" s="27"/>
      <c r="T12"/>
      <c r="U12" s="26" t="s">
        <v>46</v>
      </c>
      <c r="V12" s="689"/>
      <c r="W12" s="689"/>
      <c r="X12"/>
      <c r="AB12" s="57"/>
      <c r="AC12" s="57"/>
      <c r="AD12" s="57"/>
      <c r="AE12" s="57"/>
    </row>
    <row r="13" spans="1:32" s="17" customFormat="1" ht="23.25" customHeight="1" x14ac:dyDescent="0.2">
      <c r="A13" s="688" t="s">
        <v>73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73"/>
      <c r="O13" s="29"/>
      <c r="P13" s="29" t="s">
        <v>31</v>
      </c>
      <c r="Q13" s="687"/>
      <c r="R13" s="6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8" t="s">
        <v>74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0" t="s">
        <v>75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0"/>
      <c r="N15" s="74"/>
      <c r="O15"/>
      <c r="P15" s="691" t="s">
        <v>61</v>
      </c>
      <c r="Q15" s="691"/>
      <c r="R15" s="691"/>
      <c r="S15" s="691"/>
      <c r="T15" s="6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5" t="s">
        <v>59</v>
      </c>
      <c r="B17" s="695" t="s">
        <v>49</v>
      </c>
      <c r="C17" s="697" t="s">
        <v>48</v>
      </c>
      <c r="D17" s="699" t="s">
        <v>50</v>
      </c>
      <c r="E17" s="700"/>
      <c r="F17" s="695" t="s">
        <v>21</v>
      </c>
      <c r="G17" s="695" t="s">
        <v>24</v>
      </c>
      <c r="H17" s="695" t="s">
        <v>22</v>
      </c>
      <c r="I17" s="695" t="s">
        <v>23</v>
      </c>
      <c r="J17" s="695" t="s">
        <v>16</v>
      </c>
      <c r="K17" s="695" t="s">
        <v>66</v>
      </c>
      <c r="L17" s="695" t="s">
        <v>64</v>
      </c>
      <c r="M17" s="695" t="s">
        <v>2</v>
      </c>
      <c r="N17" s="695" t="s">
        <v>63</v>
      </c>
      <c r="O17" s="695" t="s">
        <v>25</v>
      </c>
      <c r="P17" s="699" t="s">
        <v>17</v>
      </c>
      <c r="Q17" s="703"/>
      <c r="R17" s="703"/>
      <c r="S17" s="703"/>
      <c r="T17" s="700"/>
      <c r="U17" s="693" t="s">
        <v>56</v>
      </c>
      <c r="V17" s="694"/>
      <c r="W17" s="695" t="s">
        <v>6</v>
      </c>
      <c r="X17" s="695" t="s">
        <v>41</v>
      </c>
      <c r="Y17" s="705" t="s">
        <v>54</v>
      </c>
      <c r="Z17" s="707" t="s">
        <v>18</v>
      </c>
      <c r="AA17" s="709" t="s">
        <v>60</v>
      </c>
      <c r="AB17" s="709" t="s">
        <v>19</v>
      </c>
      <c r="AC17" s="709" t="s">
        <v>65</v>
      </c>
      <c r="AD17" s="711" t="s">
        <v>57</v>
      </c>
      <c r="AE17" s="712"/>
      <c r="AF17" s="713"/>
      <c r="AG17" s="77"/>
      <c r="BD17" s="76" t="s">
        <v>62</v>
      </c>
    </row>
    <row r="18" spans="1:68" ht="14.25" customHeight="1" x14ac:dyDescent="0.2">
      <c r="A18" s="696"/>
      <c r="B18" s="696"/>
      <c r="C18" s="698"/>
      <c r="D18" s="701"/>
      <c r="E18" s="702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01"/>
      <c r="Q18" s="704"/>
      <c r="R18" s="704"/>
      <c r="S18" s="704"/>
      <c r="T18" s="702"/>
      <c r="U18" s="78" t="s">
        <v>44</v>
      </c>
      <c r="V18" s="78" t="s">
        <v>43</v>
      </c>
      <c r="W18" s="696"/>
      <c r="X18" s="696"/>
      <c r="Y18" s="706"/>
      <c r="Z18" s="708"/>
      <c r="AA18" s="710"/>
      <c r="AB18" s="710"/>
      <c r="AC18" s="710"/>
      <c r="AD18" s="714"/>
      <c r="AE18" s="715"/>
      <c r="AF18" s="716"/>
      <c r="AG18" s="77"/>
      <c r="BD18" s="76"/>
    </row>
    <row r="19" spans="1:68" ht="27.75" hidden="1" customHeight="1" x14ac:dyDescent="0.2">
      <c r="A19" s="717" t="s">
        <v>76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hidden="1" customHeight="1" x14ac:dyDescent="0.25">
      <c r="A20" s="718" t="s">
        <v>76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62"/>
      <c r="AB20" s="62"/>
      <c r="AC20" s="62"/>
    </row>
    <row r="21" spans="1:68" ht="14.25" hidden="1" customHeight="1" x14ac:dyDescent="0.25">
      <c r="A21" s="719" t="s">
        <v>77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20">
        <v>4680115886643</v>
      </c>
      <c r="E22" s="7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2"/>
      <c r="R22" s="722"/>
      <c r="S22" s="722"/>
      <c r="T22" s="72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0">
        <v>4680115889071</v>
      </c>
      <c r="E23" s="7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2"/>
      <c r="R23" s="722"/>
      <c r="S23" s="722"/>
      <c r="T23" s="72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8"/>
      <c r="B24" s="728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9"/>
      <c r="P24" s="725" t="s">
        <v>40</v>
      </c>
      <c r="Q24" s="726"/>
      <c r="R24" s="726"/>
      <c r="S24" s="726"/>
      <c r="T24" s="726"/>
      <c r="U24" s="726"/>
      <c r="V24" s="7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8"/>
      <c r="B25" s="728"/>
      <c r="C25" s="728"/>
      <c r="D25" s="728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9"/>
      <c r="P25" s="725" t="s">
        <v>40</v>
      </c>
      <c r="Q25" s="726"/>
      <c r="R25" s="726"/>
      <c r="S25" s="726"/>
      <c r="T25" s="726"/>
      <c r="U25" s="726"/>
      <c r="V25" s="7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9" t="s">
        <v>86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19"/>
      <c r="Z26" s="71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0">
        <v>4680115885912</v>
      </c>
      <c r="E27" s="7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2"/>
      <c r="R27" s="722"/>
      <c r="S27" s="722"/>
      <c r="T27" s="72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0">
        <v>4607091388237</v>
      </c>
      <c r="E28" s="7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2"/>
      <c r="R28" s="722"/>
      <c r="S28" s="722"/>
      <c r="T28" s="72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0">
        <v>4680115887350</v>
      </c>
      <c r="E29" s="7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2"/>
      <c r="R29" s="722"/>
      <c r="S29" s="722"/>
      <c r="T29" s="72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0">
        <v>4680115885905</v>
      </c>
      <c r="E30" s="7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2"/>
      <c r="R30" s="722"/>
      <c r="S30" s="722"/>
      <c r="T30" s="72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0">
        <v>4680115887619</v>
      </c>
      <c r="E31" s="7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2"/>
      <c r="R31" s="722"/>
      <c r="S31" s="722"/>
      <c r="T31" s="72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9"/>
      <c r="P32" s="725" t="s">
        <v>40</v>
      </c>
      <c r="Q32" s="726"/>
      <c r="R32" s="726"/>
      <c r="S32" s="726"/>
      <c r="T32" s="726"/>
      <c r="U32" s="726"/>
      <c r="V32" s="72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729"/>
      <c r="P33" s="725" t="s">
        <v>40</v>
      </c>
      <c r="Q33" s="726"/>
      <c r="R33" s="726"/>
      <c r="S33" s="726"/>
      <c r="T33" s="726"/>
      <c r="U33" s="726"/>
      <c r="V33" s="72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7" t="s">
        <v>45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hidden="1" customHeight="1" x14ac:dyDescent="0.25">
      <c r="A35" s="718" t="s">
        <v>104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62"/>
      <c r="AB35" s="62"/>
      <c r="AC35" s="62"/>
    </row>
    <row r="36" spans="1:68" ht="14.25" hidden="1" customHeight="1" x14ac:dyDescent="0.25">
      <c r="A36" s="719" t="s">
        <v>86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  <c r="Z36" s="71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0">
        <v>4680115889354</v>
      </c>
      <c r="E37" s="72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2"/>
      <c r="R37" s="722"/>
      <c r="S37" s="722"/>
      <c r="T37" s="72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0">
        <v>4680115888463</v>
      </c>
      <c r="E38" s="72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2"/>
      <c r="R38" s="722"/>
      <c r="S38" s="722"/>
      <c r="T38" s="72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0">
        <v>4680115889590</v>
      </c>
      <c r="E39" s="72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2"/>
      <c r="R39" s="722"/>
      <c r="S39" s="722"/>
      <c r="T39" s="72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0">
        <v>4680115888272</v>
      </c>
      <c r="E40" s="72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2"/>
      <c r="R40" s="722"/>
      <c r="S40" s="722"/>
      <c r="T40" s="72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720">
        <v>4680115888364</v>
      </c>
      <c r="E41" s="7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2"/>
      <c r="R41" s="722"/>
      <c r="S41" s="722"/>
      <c r="T41" s="723"/>
      <c r="U41" s="37" t="s">
        <v>46</v>
      </c>
      <c r="V41" s="37" t="s">
        <v>46</v>
      </c>
      <c r="W41" s="38" t="s">
        <v>0</v>
      </c>
      <c r="X41" s="56">
        <v>32</v>
      </c>
      <c r="Y41" s="53">
        <f>IFERROR(IF(X41="",0,CEILING((X41/$H41),1)*$H41),"")</f>
        <v>32.64</v>
      </c>
      <c r="Z41" s="39">
        <f>IFERROR(IF(Y41=0,"",ROUNDUP(Y41/H41,0)*0.00651),"")</f>
        <v>0.11067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35</v>
      </c>
      <c r="BN41" s="75">
        <f>IFERROR(Y41*I41/H41,"0")</f>
        <v>35.70000000000001</v>
      </c>
      <c r="BO41" s="75">
        <f>IFERROR(1/J41*(X41/H41),"0")</f>
        <v>9.1575091575091583E-2</v>
      </c>
      <c r="BP41" s="75">
        <f>IFERROR(1/J41*(Y41/H41),"0")</f>
        <v>9.3406593406593408E-2</v>
      </c>
    </row>
    <row r="42" spans="1:68" x14ac:dyDescent="0.2">
      <c r="A42" s="728"/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9"/>
      <c r="P42" s="725" t="s">
        <v>40</v>
      </c>
      <c r="Q42" s="726"/>
      <c r="R42" s="726"/>
      <c r="S42" s="726"/>
      <c r="T42" s="726"/>
      <c r="U42" s="726"/>
      <c r="V42" s="727"/>
      <c r="W42" s="40" t="s">
        <v>39</v>
      </c>
      <c r="X42" s="41">
        <f>IFERROR(X37/H37,"0")+IFERROR(X38/H38,"0")+IFERROR(X39/H39,"0")+IFERROR(X40/H40,"0")+IFERROR(X41/H41,"0")</f>
        <v>16.666666666666668</v>
      </c>
      <c r="Y42" s="41">
        <f>IFERROR(Y37/H37,"0")+IFERROR(Y38/H38,"0")+IFERROR(Y39/H39,"0")+IFERROR(Y40/H40,"0")+IFERROR(Y41/H41,"0")</f>
        <v>17</v>
      </c>
      <c r="Z42" s="41">
        <f>IFERROR(IF(Z37="",0,Z37),"0")+IFERROR(IF(Z38="",0,Z38),"0")+IFERROR(IF(Z39="",0,Z39),"0")+IFERROR(IF(Z40="",0,Z40),"0")+IFERROR(IF(Z41="",0,Z41),"0")</f>
        <v>0.11067</v>
      </c>
      <c r="AA42" s="64"/>
      <c r="AB42" s="64"/>
      <c r="AC42" s="64"/>
    </row>
    <row r="43" spans="1:68" x14ac:dyDescent="0.2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9"/>
      <c r="P43" s="725" t="s">
        <v>40</v>
      </c>
      <c r="Q43" s="726"/>
      <c r="R43" s="726"/>
      <c r="S43" s="726"/>
      <c r="T43" s="726"/>
      <c r="U43" s="726"/>
      <c r="V43" s="727"/>
      <c r="W43" s="40" t="s">
        <v>0</v>
      </c>
      <c r="X43" s="41">
        <f>IFERROR(SUM(X37:X41),"0")</f>
        <v>32</v>
      </c>
      <c r="Y43" s="41">
        <f>IFERROR(SUM(Y37:Y41),"0")</f>
        <v>32.64</v>
      </c>
      <c r="Z43" s="40"/>
      <c r="AA43" s="64"/>
      <c r="AB43" s="64"/>
      <c r="AC43" s="64"/>
    </row>
    <row r="44" spans="1:68" ht="27.75" hidden="1" customHeight="1" x14ac:dyDescent="0.2">
      <c r="A44" s="717" t="s">
        <v>120</v>
      </c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52"/>
      <c r="AB44" s="52"/>
      <c r="AC44" s="52"/>
    </row>
    <row r="45" spans="1:68" ht="16.5" hidden="1" customHeight="1" x14ac:dyDescent="0.25">
      <c r="A45" s="718" t="s">
        <v>121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718"/>
      <c r="O45" s="718"/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  <c r="AA45" s="62"/>
      <c r="AB45" s="62"/>
      <c r="AC45" s="62"/>
    </row>
    <row r="46" spans="1:68" ht="14.25" hidden="1" customHeight="1" x14ac:dyDescent="0.25">
      <c r="A46" s="719" t="s">
        <v>122</v>
      </c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20">
        <v>4607091385670</v>
      </c>
      <c r="E47" s="72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2"/>
      <c r="R47" s="722"/>
      <c r="S47" s="722"/>
      <c r="T47" s="72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0">
        <v>4680115887725</v>
      </c>
      <c r="E48" s="72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2"/>
      <c r="R48" s="722"/>
      <c r="S48" s="722"/>
      <c r="T48" s="72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20">
        <v>4607091385687</v>
      </c>
      <c r="E49" s="72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2"/>
      <c r="R49" s="722"/>
      <c r="S49" s="722"/>
      <c r="T49" s="723"/>
      <c r="U49" s="37" t="s">
        <v>46</v>
      </c>
      <c r="V49" s="37" t="s">
        <v>46</v>
      </c>
      <c r="W49" s="38" t="s">
        <v>0</v>
      </c>
      <c r="X49" s="56">
        <v>120</v>
      </c>
      <c r="Y49" s="53">
        <f>IFERROR(IF(X49="",0,CEILING((X49/$H49),1)*$H49),"")</f>
        <v>120</v>
      </c>
      <c r="Z49" s="39">
        <f>IFERROR(IF(Y49=0,"",ROUNDUP(Y49/H49,0)*0.00902),"")</f>
        <v>0.27060000000000001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125.70000000000002</v>
      </c>
      <c r="BN49" s="75">
        <f>IFERROR(Y49*I49/H49,"0")</f>
        <v>125.70000000000002</v>
      </c>
      <c r="BO49" s="75">
        <f>IFERROR(1/J49*(X49/H49),"0")</f>
        <v>0.22727272727272729</v>
      </c>
      <c r="BP49" s="75">
        <f>IFERROR(1/J49*(Y49/H49),"0")</f>
        <v>0.22727272727272729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0">
        <v>4680115882539</v>
      </c>
      <c r="E50" s="72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2"/>
      <c r="R50" s="722"/>
      <c r="S50" s="722"/>
      <c r="T50" s="72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8"/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8"/>
      <c r="N51" s="728"/>
      <c r="O51" s="729"/>
      <c r="P51" s="725" t="s">
        <v>40</v>
      </c>
      <c r="Q51" s="726"/>
      <c r="R51" s="726"/>
      <c r="S51" s="726"/>
      <c r="T51" s="726"/>
      <c r="U51" s="726"/>
      <c r="V51" s="727"/>
      <c r="W51" s="40" t="s">
        <v>39</v>
      </c>
      <c r="X51" s="41">
        <f>IFERROR(X47/H47,"0")+IFERROR(X48/H48,"0")+IFERROR(X49/H49,"0")+IFERROR(X50/H50,"0")</f>
        <v>30</v>
      </c>
      <c r="Y51" s="41">
        <f>IFERROR(Y47/H47,"0")+IFERROR(Y48/H48,"0")+IFERROR(Y49/H49,"0")+IFERROR(Y50/H50,"0")</f>
        <v>30</v>
      </c>
      <c r="Z51" s="41">
        <f>IFERROR(IF(Z47="",0,Z47),"0")+IFERROR(IF(Z48="",0,Z48),"0")+IFERROR(IF(Z49="",0,Z49),"0")+IFERROR(IF(Z50="",0,Z50),"0")</f>
        <v>0.27060000000000001</v>
      </c>
      <c r="AA51" s="64"/>
      <c r="AB51" s="64"/>
      <c r="AC51" s="64"/>
    </row>
    <row r="52" spans="1:68" x14ac:dyDescent="0.2">
      <c r="A52" s="728"/>
      <c r="B52" s="728"/>
      <c r="C52" s="728"/>
      <c r="D52" s="728"/>
      <c r="E52" s="728"/>
      <c r="F52" s="728"/>
      <c r="G52" s="728"/>
      <c r="H52" s="728"/>
      <c r="I52" s="728"/>
      <c r="J52" s="728"/>
      <c r="K52" s="728"/>
      <c r="L52" s="728"/>
      <c r="M52" s="728"/>
      <c r="N52" s="728"/>
      <c r="O52" s="729"/>
      <c r="P52" s="725" t="s">
        <v>40</v>
      </c>
      <c r="Q52" s="726"/>
      <c r="R52" s="726"/>
      <c r="S52" s="726"/>
      <c r="T52" s="726"/>
      <c r="U52" s="726"/>
      <c r="V52" s="727"/>
      <c r="W52" s="40" t="s">
        <v>0</v>
      </c>
      <c r="X52" s="41">
        <f>IFERROR(SUM(X47:X50),"0")</f>
        <v>120</v>
      </c>
      <c r="Y52" s="41">
        <f>IFERROR(SUM(Y47:Y50),"0")</f>
        <v>120</v>
      </c>
      <c r="Z52" s="40"/>
      <c r="AA52" s="64"/>
      <c r="AB52" s="64"/>
      <c r="AC52" s="64"/>
    </row>
    <row r="53" spans="1:68" ht="16.5" hidden="1" customHeight="1" x14ac:dyDescent="0.25">
      <c r="A53" s="718" t="s">
        <v>137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62"/>
      <c r="AB53" s="62"/>
      <c r="AC53" s="62"/>
    </row>
    <row r="54" spans="1:68" ht="14.25" hidden="1" customHeight="1" x14ac:dyDescent="0.25">
      <c r="A54" s="719" t="s">
        <v>122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19"/>
      <c r="N54" s="719"/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  <c r="Z54" s="71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20">
        <v>4680115885882</v>
      </c>
      <c r="E55" s="72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2"/>
      <c r="R55" s="722"/>
      <c r="S55" s="722"/>
      <c r="T55" s="72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20">
        <v>4680115881426</v>
      </c>
      <c r="E56" s="72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2"/>
      <c r="R56" s="722"/>
      <c r="S56" s="722"/>
      <c r="T56" s="723"/>
      <c r="U56" s="37" t="s">
        <v>46</v>
      </c>
      <c r="V56" s="37" t="s">
        <v>46</v>
      </c>
      <c r="W56" s="38" t="s">
        <v>0</v>
      </c>
      <c r="X56" s="56">
        <v>100</v>
      </c>
      <c r="Y56" s="53">
        <f t="shared" si="0"/>
        <v>108</v>
      </c>
      <c r="Z56" s="39">
        <f>IFERROR(IF(Y56=0,"",ROUNDUP(Y56/H56,0)*0.01898),"")</f>
        <v>0.1898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103.79629629629629</v>
      </c>
      <c r="BN56" s="75">
        <f t="shared" si="2"/>
        <v>112.1</v>
      </c>
      <c r="BO56" s="75">
        <f t="shared" si="3"/>
        <v>0.14467592592592593</v>
      </c>
      <c r="BP56" s="75">
        <f t="shared" si="4"/>
        <v>0.15625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20">
        <v>4680115880283</v>
      </c>
      <c r="E57" s="72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2"/>
      <c r="R57" s="722"/>
      <c r="S57" s="722"/>
      <c r="T57" s="72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0">
        <v>4680115881525</v>
      </c>
      <c r="E58" s="72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2"/>
      <c r="R58" s="722"/>
      <c r="S58" s="722"/>
      <c r="T58" s="72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20">
        <v>4680115885899</v>
      </c>
      <c r="E59" s="72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2"/>
      <c r="R59" s="722"/>
      <c r="S59" s="722"/>
      <c r="T59" s="72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customHeight="1" x14ac:dyDescent="0.25">
      <c r="A60" s="60" t="s">
        <v>152</v>
      </c>
      <c r="B60" s="60" t="s">
        <v>153</v>
      </c>
      <c r="C60" s="34">
        <v>4301011801</v>
      </c>
      <c r="D60" s="720">
        <v>4680115881419</v>
      </c>
      <c r="E60" s="72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2"/>
      <c r="R60" s="722"/>
      <c r="S60" s="722"/>
      <c r="T60" s="723"/>
      <c r="U60" s="37" t="s">
        <v>46</v>
      </c>
      <c r="V60" s="37" t="s">
        <v>46</v>
      </c>
      <c r="W60" s="38" t="s">
        <v>0</v>
      </c>
      <c r="X60" s="56">
        <v>225</v>
      </c>
      <c r="Y60" s="53">
        <f t="shared" si="0"/>
        <v>225</v>
      </c>
      <c r="Z60" s="39">
        <f>IFERROR(IF(Y60=0,"",ROUNDUP(Y60/H60,0)*0.00902),"")</f>
        <v>0.45100000000000001</v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234.5</v>
      </c>
      <c r="BN60" s="75">
        <f t="shared" si="2"/>
        <v>234.5</v>
      </c>
      <c r="BO60" s="75">
        <f t="shared" si="3"/>
        <v>0.37878787878787878</v>
      </c>
      <c r="BP60" s="75">
        <f t="shared" si="4"/>
        <v>0.37878787878787878</v>
      </c>
    </row>
    <row r="61" spans="1:68" x14ac:dyDescent="0.2">
      <c r="A61" s="728"/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8"/>
      <c r="N61" s="728"/>
      <c r="O61" s="729"/>
      <c r="P61" s="725" t="s">
        <v>40</v>
      </c>
      <c r="Q61" s="726"/>
      <c r="R61" s="726"/>
      <c r="S61" s="726"/>
      <c r="T61" s="726"/>
      <c r="U61" s="726"/>
      <c r="V61" s="727"/>
      <c r="W61" s="40" t="s">
        <v>39</v>
      </c>
      <c r="X61" s="41">
        <f>IFERROR(X55/H55,"0")+IFERROR(X56/H56,"0")+IFERROR(X57/H57,"0")+IFERROR(X58/H58,"0")+IFERROR(X59/H59,"0")+IFERROR(X60/H60,"0")</f>
        <v>59.25925925925926</v>
      </c>
      <c r="Y61" s="41">
        <f>IFERROR(Y55/H55,"0")+IFERROR(Y56/H56,"0")+IFERROR(Y57/H57,"0")+IFERROR(Y58/H58,"0")+IFERROR(Y59/H59,"0")+IFERROR(Y60/H60,"0")</f>
        <v>60</v>
      </c>
      <c r="Z61" s="41">
        <f>IFERROR(IF(Z55="",0,Z55),"0")+IFERROR(IF(Z56="",0,Z56),"0")+IFERROR(IF(Z57="",0,Z57),"0")+IFERROR(IF(Z58="",0,Z58),"0")+IFERROR(IF(Z59="",0,Z59),"0")+IFERROR(IF(Z60="",0,Z60),"0")</f>
        <v>0.64080000000000004</v>
      </c>
      <c r="AA61" s="64"/>
      <c r="AB61" s="64"/>
      <c r="AC61" s="64"/>
    </row>
    <row r="62" spans="1:68" x14ac:dyDescent="0.2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9"/>
      <c r="P62" s="725" t="s">
        <v>40</v>
      </c>
      <c r="Q62" s="726"/>
      <c r="R62" s="726"/>
      <c r="S62" s="726"/>
      <c r="T62" s="726"/>
      <c r="U62" s="726"/>
      <c r="V62" s="727"/>
      <c r="W62" s="40" t="s">
        <v>0</v>
      </c>
      <c r="X62" s="41">
        <f>IFERROR(SUM(X55:X60),"0")</f>
        <v>325</v>
      </c>
      <c r="Y62" s="41">
        <f>IFERROR(SUM(Y55:Y60),"0")</f>
        <v>333</v>
      </c>
      <c r="Z62" s="40"/>
      <c r="AA62" s="64"/>
      <c r="AB62" s="64"/>
      <c r="AC62" s="64"/>
    </row>
    <row r="63" spans="1:68" ht="14.25" hidden="1" customHeight="1" x14ac:dyDescent="0.25">
      <c r="A63" s="719" t="s">
        <v>155</v>
      </c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  <c r="Z63" s="719"/>
      <c r="AA63" s="63"/>
      <c r="AB63" s="63"/>
      <c r="AC63" s="63"/>
    </row>
    <row r="64" spans="1:68" ht="16.5" customHeight="1" x14ac:dyDescent="0.25">
      <c r="A64" s="60" t="s">
        <v>156</v>
      </c>
      <c r="B64" s="60" t="s">
        <v>157</v>
      </c>
      <c r="C64" s="34">
        <v>4301020298</v>
      </c>
      <c r="D64" s="720">
        <v>4680115881440</v>
      </c>
      <c r="E64" s="72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2"/>
      <c r="R64" s="722"/>
      <c r="S64" s="722"/>
      <c r="T64" s="723"/>
      <c r="U64" s="37" t="s">
        <v>46</v>
      </c>
      <c r="V64" s="37" t="s">
        <v>46</v>
      </c>
      <c r="W64" s="38" t="s">
        <v>0</v>
      </c>
      <c r="X64" s="56">
        <v>100</v>
      </c>
      <c r="Y64" s="53">
        <f>IFERROR(IF(X64="",0,CEILING((X64/$H64),1)*$H64),"")</f>
        <v>108</v>
      </c>
      <c r="Z64" s="39">
        <f>IFERROR(IF(Y64=0,"",ROUNDUP(Y64/H64,0)*0.01898),"")</f>
        <v>0.1898</v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103.79629629629629</v>
      </c>
      <c r="BN64" s="75">
        <f>IFERROR(Y64*I64/H64,"0")</f>
        <v>112.1</v>
      </c>
      <c r="BO64" s="75">
        <f>IFERROR(1/J64*(X64/H64),"0")</f>
        <v>0.14467592592592593</v>
      </c>
      <c r="BP64" s="75">
        <f>IFERROR(1/J64*(Y64/H64),"0")</f>
        <v>0.15625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0">
        <v>4680115885950</v>
      </c>
      <c r="E65" s="72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2"/>
      <c r="R65" s="722"/>
      <c r="S65" s="722"/>
      <c r="T65" s="72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0">
        <v>4680115887688</v>
      </c>
      <c r="E66" s="72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2"/>
      <c r="R66" s="722"/>
      <c r="S66" s="722"/>
      <c r="T66" s="72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720">
        <v>4680115881433</v>
      </c>
      <c r="E67" s="72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2"/>
      <c r="R67" s="722"/>
      <c r="S67" s="722"/>
      <c r="T67" s="723"/>
      <c r="U67" s="37" t="s">
        <v>46</v>
      </c>
      <c r="V67" s="37" t="s">
        <v>46</v>
      </c>
      <c r="W67" s="38" t="s">
        <v>0</v>
      </c>
      <c r="X67" s="56">
        <v>135</v>
      </c>
      <c r="Y67" s="53">
        <f>IFERROR(IF(X67="",0,CEILING((X67/$H67),1)*$H67),"")</f>
        <v>135</v>
      </c>
      <c r="Z67" s="39">
        <f>IFERROR(IF(Y67=0,"",ROUNDUP(Y67/H67,0)*0.00651),"")</f>
        <v>0.32550000000000001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144</v>
      </c>
      <c r="BN67" s="75">
        <f>IFERROR(Y67*I67/H67,"0")</f>
        <v>144</v>
      </c>
      <c r="BO67" s="75">
        <f>IFERROR(1/J67*(X67/H67),"0")</f>
        <v>0.27472527472527475</v>
      </c>
      <c r="BP67" s="75">
        <f>IFERROR(1/J67*(Y67/H67),"0")</f>
        <v>0.27472527472527475</v>
      </c>
    </row>
    <row r="68" spans="1:68" x14ac:dyDescent="0.2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9"/>
      <c r="P68" s="725" t="s">
        <v>40</v>
      </c>
      <c r="Q68" s="726"/>
      <c r="R68" s="726"/>
      <c r="S68" s="726"/>
      <c r="T68" s="726"/>
      <c r="U68" s="726"/>
      <c r="V68" s="727"/>
      <c r="W68" s="40" t="s">
        <v>39</v>
      </c>
      <c r="X68" s="41">
        <f>IFERROR(X64/H64,"0")+IFERROR(X65/H65,"0")+IFERROR(X66/H66,"0")+IFERROR(X67/H67,"0")</f>
        <v>59.25925925925926</v>
      </c>
      <c r="Y68" s="41">
        <f>IFERROR(Y64/H64,"0")+IFERROR(Y65/H65,"0")+IFERROR(Y66/H66,"0")+IFERROR(Y67/H67,"0")</f>
        <v>60</v>
      </c>
      <c r="Z68" s="41">
        <f>IFERROR(IF(Z64="",0,Z64),"0")+IFERROR(IF(Z65="",0,Z65),"0")+IFERROR(IF(Z66="",0,Z66),"0")+IFERROR(IF(Z67="",0,Z67),"0")</f>
        <v>0.51529999999999998</v>
      </c>
      <c r="AA68" s="64"/>
      <c r="AB68" s="64"/>
      <c r="AC68" s="64"/>
    </row>
    <row r="69" spans="1:68" x14ac:dyDescent="0.2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9"/>
      <c r="P69" s="725" t="s">
        <v>40</v>
      </c>
      <c r="Q69" s="726"/>
      <c r="R69" s="726"/>
      <c r="S69" s="726"/>
      <c r="T69" s="726"/>
      <c r="U69" s="726"/>
      <c r="V69" s="727"/>
      <c r="W69" s="40" t="s">
        <v>0</v>
      </c>
      <c r="X69" s="41">
        <f>IFERROR(SUM(X64:X67),"0")</f>
        <v>235</v>
      </c>
      <c r="Y69" s="41">
        <f>IFERROR(SUM(Y64:Y67),"0")</f>
        <v>243</v>
      </c>
      <c r="Z69" s="40"/>
      <c r="AA69" s="64"/>
      <c r="AB69" s="64"/>
      <c r="AC69" s="64"/>
    </row>
    <row r="70" spans="1:68" ht="14.25" hidden="1" customHeight="1" x14ac:dyDescent="0.25">
      <c r="A70" s="719" t="s">
        <v>86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0">
        <v>4680115884311</v>
      </c>
      <c r="E71" s="72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2"/>
      <c r="R71" s="722"/>
      <c r="S71" s="722"/>
      <c r="T71" s="72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0">
        <v>4680115884403</v>
      </c>
      <c r="E72" s="72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2"/>
      <c r="R72" s="722"/>
      <c r="S72" s="722"/>
      <c r="T72" s="72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0">
        <v>4680115884403</v>
      </c>
      <c r="E73" s="72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2"/>
      <c r="R73" s="722"/>
      <c r="S73" s="722"/>
      <c r="T73" s="72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9"/>
      <c r="P74" s="725" t="s">
        <v>40</v>
      </c>
      <c r="Q74" s="726"/>
      <c r="R74" s="726"/>
      <c r="S74" s="726"/>
      <c r="T74" s="726"/>
      <c r="U74" s="726"/>
      <c r="V74" s="727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9"/>
      <c r="P75" s="725" t="s">
        <v>40</v>
      </c>
      <c r="Q75" s="726"/>
      <c r="R75" s="726"/>
      <c r="S75" s="726"/>
      <c r="T75" s="726"/>
      <c r="U75" s="726"/>
      <c r="V75" s="727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9" t="s">
        <v>173</v>
      </c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63"/>
      <c r="AB76" s="63"/>
      <c r="AC76" s="63"/>
    </row>
    <row r="77" spans="1:68" ht="27" customHeight="1" x14ac:dyDescent="0.25">
      <c r="A77" s="60" t="s">
        <v>174</v>
      </c>
      <c r="B77" s="60" t="s">
        <v>175</v>
      </c>
      <c r="C77" s="34">
        <v>4301060455</v>
      </c>
      <c r="D77" s="720">
        <v>4680115881532</v>
      </c>
      <c r="E77" s="72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2"/>
      <c r="R77" s="722"/>
      <c r="S77" s="722"/>
      <c r="T77" s="723"/>
      <c r="U77" s="37" t="s">
        <v>46</v>
      </c>
      <c r="V77" s="37" t="s">
        <v>46</v>
      </c>
      <c r="W77" s="38" t="s">
        <v>0</v>
      </c>
      <c r="X77" s="56">
        <v>30</v>
      </c>
      <c r="Y77" s="53">
        <f>IFERROR(IF(X77="",0,CEILING((X77/$H77),1)*$H77),"")</f>
        <v>31.2</v>
      </c>
      <c r="Z77" s="39">
        <f>IFERROR(IF(Y77=0,"",ROUNDUP(Y77/H77,0)*0.01898),"")</f>
        <v>7.5920000000000001E-2</v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31.57692307692308</v>
      </c>
      <c r="BN77" s="75">
        <f>IFERROR(Y77*I77/H77,"0")</f>
        <v>32.840000000000003</v>
      </c>
      <c r="BO77" s="75">
        <f>IFERROR(1/J77*(X77/H77),"0")</f>
        <v>6.0096153846153848E-2</v>
      </c>
      <c r="BP77" s="75">
        <f>IFERROR(1/J77*(Y77/H77),"0")</f>
        <v>6.25E-2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0">
        <v>4680115881532</v>
      </c>
      <c r="E78" s="72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2"/>
      <c r="R78" s="722"/>
      <c r="S78" s="722"/>
      <c r="T78" s="72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0">
        <v>4680115881464</v>
      </c>
      <c r="E79" s="72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2"/>
      <c r="R79" s="722"/>
      <c r="S79" s="722"/>
      <c r="T79" s="72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0">
        <v>4680115881464</v>
      </c>
      <c r="E80" s="72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2"/>
      <c r="R80" s="722"/>
      <c r="S80" s="722"/>
      <c r="T80" s="72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x14ac:dyDescent="0.2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9"/>
      <c r="P81" s="725" t="s">
        <v>40</v>
      </c>
      <c r="Q81" s="726"/>
      <c r="R81" s="726"/>
      <c r="S81" s="726"/>
      <c r="T81" s="726"/>
      <c r="U81" s="726"/>
      <c r="V81" s="727"/>
      <c r="W81" s="40" t="s">
        <v>39</v>
      </c>
      <c r="X81" s="41">
        <f>IFERROR(X77/H77,"0")+IFERROR(X78/H78,"0")+IFERROR(X79/H79,"0")+IFERROR(X80/H80,"0")</f>
        <v>3.8461538461538463</v>
      </c>
      <c r="Y81" s="41">
        <f>IFERROR(Y77/H77,"0")+IFERROR(Y78/H78,"0")+IFERROR(Y79/H79,"0")+IFERROR(Y80/H80,"0")</f>
        <v>4</v>
      </c>
      <c r="Z81" s="41">
        <f>IFERROR(IF(Z77="",0,Z77),"0")+IFERROR(IF(Z78="",0,Z78),"0")+IFERROR(IF(Z79="",0,Z79),"0")+IFERROR(IF(Z80="",0,Z80),"0")</f>
        <v>7.5920000000000001E-2</v>
      </c>
      <c r="AA81" s="64"/>
      <c r="AB81" s="64"/>
      <c r="AC81" s="64"/>
    </row>
    <row r="82" spans="1:68" x14ac:dyDescent="0.2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9"/>
      <c r="P82" s="725" t="s">
        <v>40</v>
      </c>
      <c r="Q82" s="726"/>
      <c r="R82" s="726"/>
      <c r="S82" s="726"/>
      <c r="T82" s="726"/>
      <c r="U82" s="726"/>
      <c r="V82" s="727"/>
      <c r="W82" s="40" t="s">
        <v>0</v>
      </c>
      <c r="X82" s="41">
        <f>IFERROR(SUM(X77:X80),"0")</f>
        <v>30</v>
      </c>
      <c r="Y82" s="41">
        <f>IFERROR(SUM(Y77:Y80),"0")</f>
        <v>31.2</v>
      </c>
      <c r="Z82" s="40"/>
      <c r="AA82" s="64"/>
      <c r="AB82" s="64"/>
      <c r="AC82" s="64"/>
    </row>
    <row r="83" spans="1:68" ht="16.5" hidden="1" customHeight="1" x14ac:dyDescent="0.25">
      <c r="A83" s="718" t="s">
        <v>182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62"/>
      <c r="AB83" s="62"/>
      <c r="AC83" s="62"/>
    </row>
    <row r="84" spans="1:68" ht="14.25" hidden="1" customHeight="1" x14ac:dyDescent="0.25">
      <c r="A84" s="719" t="s">
        <v>122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20">
        <v>4680115881327</v>
      </c>
      <c r="E85" s="72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2"/>
      <c r="R85" s="722"/>
      <c r="S85" s="722"/>
      <c r="T85" s="72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0">
        <v>4680115887732</v>
      </c>
      <c r="E86" s="72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2"/>
      <c r="R86" s="722"/>
      <c r="S86" s="722"/>
      <c r="T86" s="72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0">
        <v>4680115887732</v>
      </c>
      <c r="E87" s="72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3" t="s">
        <v>190</v>
      </c>
      <c r="Q87" s="722"/>
      <c r="R87" s="722"/>
      <c r="S87" s="722"/>
      <c r="T87" s="72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0">
        <v>4680115881518</v>
      </c>
      <c r="E88" s="7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2"/>
      <c r="R88" s="722"/>
      <c r="S88" s="722"/>
      <c r="T88" s="72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0">
        <v>4680115881303</v>
      </c>
      <c r="E89" s="7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2"/>
      <c r="R89" s="722"/>
      <c r="S89" s="722"/>
      <c r="T89" s="723"/>
      <c r="U89" s="37" t="s">
        <v>46</v>
      </c>
      <c r="V89" s="37" t="s">
        <v>46</v>
      </c>
      <c r="W89" s="38" t="s">
        <v>0</v>
      </c>
      <c r="X89" s="56">
        <v>450</v>
      </c>
      <c r="Y89" s="53">
        <f>IFERROR(IF(X89="",0,CEILING((X89/$H89),1)*$H89),"")</f>
        <v>450</v>
      </c>
      <c r="Z89" s="39">
        <f>IFERROR(IF(Y89=0,"",ROUNDUP(Y89/H89,0)*0.00902),"")</f>
        <v>0.90200000000000002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469</v>
      </c>
      <c r="BN89" s="75">
        <f>IFERROR(Y89*I89/H89,"0")</f>
        <v>469</v>
      </c>
      <c r="BO89" s="75">
        <f>IFERROR(1/J89*(X89/H89),"0")</f>
        <v>0.75757575757575757</v>
      </c>
      <c r="BP89" s="75">
        <f>IFERROR(1/J89*(Y89/H89),"0")</f>
        <v>0.75757575757575757</v>
      </c>
    </row>
    <row r="90" spans="1:68" x14ac:dyDescent="0.2">
      <c r="A90" s="728"/>
      <c r="B90" s="728"/>
      <c r="C90" s="728"/>
      <c r="D90" s="728"/>
      <c r="E90" s="728"/>
      <c r="F90" s="728"/>
      <c r="G90" s="728"/>
      <c r="H90" s="728"/>
      <c r="I90" s="728"/>
      <c r="J90" s="728"/>
      <c r="K90" s="728"/>
      <c r="L90" s="728"/>
      <c r="M90" s="728"/>
      <c r="N90" s="728"/>
      <c r="O90" s="729"/>
      <c r="P90" s="725" t="s">
        <v>40</v>
      </c>
      <c r="Q90" s="726"/>
      <c r="R90" s="726"/>
      <c r="S90" s="726"/>
      <c r="T90" s="726"/>
      <c r="U90" s="726"/>
      <c r="V90" s="727"/>
      <c r="W90" s="40" t="s">
        <v>39</v>
      </c>
      <c r="X90" s="41">
        <f>IFERROR(X85/H85,"0")+IFERROR(X86/H86,"0")+IFERROR(X87/H87,"0")+IFERROR(X88/H88,"0")+IFERROR(X89/H89,"0")</f>
        <v>100</v>
      </c>
      <c r="Y90" s="41">
        <f>IFERROR(Y85/H85,"0")+IFERROR(Y86/H86,"0")+IFERROR(Y87/H87,"0")+IFERROR(Y88/H88,"0")+IFERROR(Y89/H89,"0")</f>
        <v>100</v>
      </c>
      <c r="Z90" s="41">
        <f>IFERROR(IF(Z85="",0,Z85),"0")+IFERROR(IF(Z86="",0,Z86),"0")+IFERROR(IF(Z87="",0,Z87),"0")+IFERROR(IF(Z88="",0,Z88),"0")+IFERROR(IF(Z89="",0,Z89),"0")</f>
        <v>0.90200000000000002</v>
      </c>
      <c r="AA90" s="64"/>
      <c r="AB90" s="64"/>
      <c r="AC90" s="64"/>
    </row>
    <row r="91" spans="1:68" x14ac:dyDescent="0.2">
      <c r="A91" s="728"/>
      <c r="B91" s="728"/>
      <c r="C91" s="728"/>
      <c r="D91" s="728"/>
      <c r="E91" s="728"/>
      <c r="F91" s="728"/>
      <c r="G91" s="728"/>
      <c r="H91" s="728"/>
      <c r="I91" s="728"/>
      <c r="J91" s="728"/>
      <c r="K91" s="728"/>
      <c r="L91" s="728"/>
      <c r="M91" s="728"/>
      <c r="N91" s="728"/>
      <c r="O91" s="729"/>
      <c r="P91" s="725" t="s">
        <v>40</v>
      </c>
      <c r="Q91" s="726"/>
      <c r="R91" s="726"/>
      <c r="S91" s="726"/>
      <c r="T91" s="726"/>
      <c r="U91" s="726"/>
      <c r="V91" s="727"/>
      <c r="W91" s="40" t="s">
        <v>0</v>
      </c>
      <c r="X91" s="41">
        <f>IFERROR(SUM(X85:X89),"0")</f>
        <v>450</v>
      </c>
      <c r="Y91" s="41">
        <f>IFERROR(SUM(Y85:Y89),"0")</f>
        <v>450</v>
      </c>
      <c r="Z91" s="40"/>
      <c r="AA91" s="64"/>
      <c r="AB91" s="64"/>
      <c r="AC91" s="64"/>
    </row>
    <row r="92" spans="1:68" ht="14.25" hidden="1" customHeight="1" x14ac:dyDescent="0.25">
      <c r="A92" s="719" t="s">
        <v>86</v>
      </c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19"/>
      <c r="N92" s="719"/>
      <c r="O92" s="719"/>
      <c r="P92" s="719"/>
      <c r="Q92" s="719"/>
      <c r="R92" s="719"/>
      <c r="S92" s="719"/>
      <c r="T92" s="719"/>
      <c r="U92" s="719"/>
      <c r="V92" s="719"/>
      <c r="W92" s="719"/>
      <c r="X92" s="719"/>
      <c r="Y92" s="719"/>
      <c r="Z92" s="719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720">
        <v>4607091386967</v>
      </c>
      <c r="E93" s="7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2"/>
      <c r="R93" s="722"/>
      <c r="S93" s="722"/>
      <c r="T93" s="72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0">
        <v>4607091386967</v>
      </c>
      <c r="E94" s="72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7" t="s">
        <v>199</v>
      </c>
      <c r="Q94" s="722"/>
      <c r="R94" s="722"/>
      <c r="S94" s="722"/>
      <c r="T94" s="72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0">
        <v>4680115884953</v>
      </c>
      <c r="E95" s="72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2"/>
      <c r="R95" s="722"/>
      <c r="S95" s="722"/>
      <c r="T95" s="72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4301051718</v>
      </c>
      <c r="D96" s="720">
        <v>4607091385731</v>
      </c>
      <c r="E96" s="72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2"/>
      <c r="R96" s="722"/>
      <c r="S96" s="722"/>
      <c r="T96" s="723"/>
      <c r="U96" s="37" t="s">
        <v>46</v>
      </c>
      <c r="V96" s="37" t="s">
        <v>46</v>
      </c>
      <c r="W96" s="38" t="s">
        <v>0</v>
      </c>
      <c r="X96" s="56">
        <v>540</v>
      </c>
      <c r="Y96" s="53">
        <f t="shared" si="5"/>
        <v>540</v>
      </c>
      <c r="Z96" s="39">
        <f>IFERROR(IF(Y96=0,"",ROUNDUP(Y96/H96,0)*0.00651),"")</f>
        <v>1.302</v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590.4</v>
      </c>
      <c r="BN96" s="75">
        <f t="shared" si="7"/>
        <v>590.4</v>
      </c>
      <c r="BO96" s="75">
        <f t="shared" si="8"/>
        <v>1.098901098901099</v>
      </c>
      <c r="BP96" s="75">
        <f t="shared" si="9"/>
        <v>1.098901098901099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720">
        <v>4607091385731</v>
      </c>
      <c r="E97" s="7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0" t="s">
        <v>205</v>
      </c>
      <c r="Q97" s="722"/>
      <c r="R97" s="722"/>
      <c r="S97" s="722"/>
      <c r="T97" s="72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20">
        <v>4680115880894</v>
      </c>
      <c r="E98" s="7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2"/>
      <c r="R98" s="722"/>
      <c r="S98" s="722"/>
      <c r="T98" s="72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x14ac:dyDescent="0.2">
      <c r="A99" s="728"/>
      <c r="B99" s="728"/>
      <c r="C99" s="728"/>
      <c r="D99" s="728"/>
      <c r="E99" s="728"/>
      <c r="F99" s="728"/>
      <c r="G99" s="728"/>
      <c r="H99" s="728"/>
      <c r="I99" s="728"/>
      <c r="J99" s="728"/>
      <c r="K99" s="728"/>
      <c r="L99" s="728"/>
      <c r="M99" s="728"/>
      <c r="N99" s="728"/>
      <c r="O99" s="729"/>
      <c r="P99" s="725" t="s">
        <v>40</v>
      </c>
      <c r="Q99" s="726"/>
      <c r="R99" s="726"/>
      <c r="S99" s="726"/>
      <c r="T99" s="726"/>
      <c r="U99" s="726"/>
      <c r="V99" s="727"/>
      <c r="W99" s="40" t="s">
        <v>39</v>
      </c>
      <c r="X99" s="41">
        <f>IFERROR(X93/H93,"0")+IFERROR(X94/H94,"0")+IFERROR(X95/H95,"0")+IFERROR(X96/H96,"0")+IFERROR(X97/H97,"0")+IFERROR(X98/H98,"0")</f>
        <v>200</v>
      </c>
      <c r="Y99" s="41">
        <f>IFERROR(Y93/H93,"0")+IFERROR(Y94/H94,"0")+IFERROR(Y95/H95,"0")+IFERROR(Y96/H96,"0")+IFERROR(Y97/H97,"0")+IFERROR(Y98/H98,"0")</f>
        <v>200</v>
      </c>
      <c r="Z99" s="41">
        <f>IFERROR(IF(Z93="",0,Z93),"0")+IFERROR(IF(Z94="",0,Z94),"0")+IFERROR(IF(Z95="",0,Z95),"0")+IFERROR(IF(Z96="",0,Z96),"0")+IFERROR(IF(Z97="",0,Z97),"0")+IFERROR(IF(Z98="",0,Z98),"0")</f>
        <v>1.302</v>
      </c>
      <c r="AA99" s="64"/>
      <c r="AB99" s="64"/>
      <c r="AC99" s="64"/>
    </row>
    <row r="100" spans="1:68" x14ac:dyDescent="0.2">
      <c r="A100" s="728"/>
      <c r="B100" s="728"/>
      <c r="C100" s="728"/>
      <c r="D100" s="728"/>
      <c r="E100" s="728"/>
      <c r="F100" s="728"/>
      <c r="G100" s="728"/>
      <c r="H100" s="728"/>
      <c r="I100" s="728"/>
      <c r="J100" s="728"/>
      <c r="K100" s="728"/>
      <c r="L100" s="728"/>
      <c r="M100" s="728"/>
      <c r="N100" s="728"/>
      <c r="O100" s="729"/>
      <c r="P100" s="725" t="s">
        <v>40</v>
      </c>
      <c r="Q100" s="726"/>
      <c r="R100" s="726"/>
      <c r="S100" s="726"/>
      <c r="T100" s="726"/>
      <c r="U100" s="726"/>
      <c r="V100" s="727"/>
      <c r="W100" s="40" t="s">
        <v>0</v>
      </c>
      <c r="X100" s="41">
        <f>IFERROR(SUM(X93:X98),"0")</f>
        <v>540</v>
      </c>
      <c r="Y100" s="41">
        <f>IFERROR(SUM(Y93:Y98),"0")</f>
        <v>540</v>
      </c>
      <c r="Z100" s="40"/>
      <c r="AA100" s="64"/>
      <c r="AB100" s="64"/>
      <c r="AC100" s="64"/>
    </row>
    <row r="101" spans="1:68" ht="16.5" hidden="1" customHeight="1" x14ac:dyDescent="0.25">
      <c r="A101" s="718" t="s">
        <v>209</v>
      </c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62"/>
      <c r="AB101" s="62"/>
      <c r="AC101" s="62"/>
    </row>
    <row r="102" spans="1:68" ht="14.25" hidden="1" customHeight="1" x14ac:dyDescent="0.25">
      <c r="A102" s="719" t="s">
        <v>122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20">
        <v>4680115882133</v>
      </c>
      <c r="E103" s="7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2"/>
      <c r="R103" s="722"/>
      <c r="S103" s="722"/>
      <c r="T103" s="72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20">
        <v>4680115887718</v>
      </c>
      <c r="E104" s="7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7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2"/>
      <c r="R104" s="722"/>
      <c r="S104" s="722"/>
      <c r="T104" s="72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20">
        <v>4680115887718</v>
      </c>
      <c r="E105" s="7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2"/>
      <c r="R105" s="722"/>
      <c r="S105" s="722"/>
      <c r="T105" s="72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720">
        <v>4680115887718</v>
      </c>
      <c r="E106" s="72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2"/>
      <c r="R106" s="722"/>
      <c r="S106" s="722"/>
      <c r="T106" s="72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720">
        <v>4680115880269</v>
      </c>
      <c r="E107" s="72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2"/>
      <c r="R107" s="722"/>
      <c r="S107" s="722"/>
      <c r="T107" s="72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customHeight="1" x14ac:dyDescent="0.25">
      <c r="A108" s="60" t="s">
        <v>220</v>
      </c>
      <c r="B108" s="60" t="s">
        <v>221</v>
      </c>
      <c r="C108" s="34">
        <v>4301011415</v>
      </c>
      <c r="D108" s="720">
        <v>4680115880429</v>
      </c>
      <c r="E108" s="72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2"/>
      <c r="R108" s="722"/>
      <c r="S108" s="722"/>
      <c r="T108" s="723"/>
      <c r="U108" s="37" t="s">
        <v>46</v>
      </c>
      <c r="V108" s="37" t="s">
        <v>46</v>
      </c>
      <c r="W108" s="38" t="s">
        <v>0</v>
      </c>
      <c r="X108" s="56">
        <v>225</v>
      </c>
      <c r="Y108" s="53">
        <f t="shared" si="10"/>
        <v>225</v>
      </c>
      <c r="Z108" s="39">
        <f>IFERROR(IF(Y108=0,"",ROUNDUP(Y108/H108,0)*0.00902),"")</f>
        <v>0.45100000000000001</v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234.5</v>
      </c>
      <c r="BN108" s="75">
        <f t="shared" si="12"/>
        <v>234.5</v>
      </c>
      <c r="BO108" s="75">
        <f t="shared" si="13"/>
        <v>0.37878787878787878</v>
      </c>
      <c r="BP108" s="75">
        <f t="shared" si="14"/>
        <v>0.37878787878787878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720">
        <v>4680115880429</v>
      </c>
      <c r="E109" s="72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8" t="s">
        <v>223</v>
      </c>
      <c r="Q109" s="722"/>
      <c r="R109" s="722"/>
      <c r="S109" s="722"/>
      <c r="T109" s="72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720">
        <v>4680115881457</v>
      </c>
      <c r="E110" s="72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2"/>
      <c r="R110" s="722"/>
      <c r="S110" s="722"/>
      <c r="T110" s="72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x14ac:dyDescent="0.2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9"/>
      <c r="P111" s="725" t="s">
        <v>40</v>
      </c>
      <c r="Q111" s="726"/>
      <c r="R111" s="726"/>
      <c r="S111" s="726"/>
      <c r="T111" s="726"/>
      <c r="U111" s="726"/>
      <c r="V111" s="727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50</v>
      </c>
      <c r="Y111" s="41">
        <f>IFERROR(Y103/H103,"0")+IFERROR(Y104/H104,"0")+IFERROR(Y105/H105,"0")+IFERROR(Y106/H106,"0")+IFERROR(Y107/H107,"0")+IFERROR(Y108/H108,"0")+IFERROR(Y109/H109,"0")+IFERROR(Y110/H110,"0")</f>
        <v>50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0.45100000000000001</v>
      </c>
      <c r="AA111" s="64"/>
      <c r="AB111" s="64"/>
      <c r="AC111" s="64"/>
    </row>
    <row r="112" spans="1:68" x14ac:dyDescent="0.2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9"/>
      <c r="P112" s="725" t="s">
        <v>40</v>
      </c>
      <c r="Q112" s="726"/>
      <c r="R112" s="726"/>
      <c r="S112" s="726"/>
      <c r="T112" s="726"/>
      <c r="U112" s="726"/>
      <c r="V112" s="727"/>
      <c r="W112" s="40" t="s">
        <v>0</v>
      </c>
      <c r="X112" s="41">
        <f>IFERROR(SUM(X103:X110),"0")</f>
        <v>225</v>
      </c>
      <c r="Y112" s="41">
        <f>IFERROR(SUM(Y103:Y110),"0")</f>
        <v>225</v>
      </c>
      <c r="Z112" s="40"/>
      <c r="AA112" s="64"/>
      <c r="AB112" s="64"/>
      <c r="AC112" s="64"/>
    </row>
    <row r="113" spans="1:68" ht="14.25" hidden="1" customHeight="1" x14ac:dyDescent="0.25">
      <c r="A113" s="719" t="s">
        <v>155</v>
      </c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720">
        <v>4680115881488</v>
      </c>
      <c r="E114" s="72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2"/>
      <c r="R114" s="722"/>
      <c r="S114" s="722"/>
      <c r="T114" s="72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720">
        <v>4680115887664</v>
      </c>
      <c r="E115" s="72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2"/>
      <c r="R115" s="722"/>
      <c r="S115" s="722"/>
      <c r="T115" s="72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720">
        <v>4680115887664</v>
      </c>
      <c r="E116" s="72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7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2"/>
      <c r="R116" s="722"/>
      <c r="S116" s="722"/>
      <c r="T116" s="72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720">
        <v>4680115882775</v>
      </c>
      <c r="E117" s="72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2"/>
      <c r="R117" s="722"/>
      <c r="S117" s="722"/>
      <c r="T117" s="72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720">
        <v>4680115880658</v>
      </c>
      <c r="E118" s="72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2"/>
      <c r="R118" s="722"/>
      <c r="S118" s="722"/>
      <c r="T118" s="72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9"/>
      <c r="P119" s="725" t="s">
        <v>40</v>
      </c>
      <c r="Q119" s="726"/>
      <c r="R119" s="726"/>
      <c r="S119" s="726"/>
      <c r="T119" s="726"/>
      <c r="U119" s="726"/>
      <c r="V119" s="727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9"/>
      <c r="P120" s="725" t="s">
        <v>40</v>
      </c>
      <c r="Q120" s="726"/>
      <c r="R120" s="726"/>
      <c r="S120" s="726"/>
      <c r="T120" s="726"/>
      <c r="U120" s="726"/>
      <c r="V120" s="727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9" t="s">
        <v>86</v>
      </c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63"/>
      <c r="AB121" s="63"/>
      <c r="AC121" s="63"/>
    </row>
    <row r="122" spans="1:68" ht="27" customHeight="1" x14ac:dyDescent="0.25">
      <c r="A122" s="60" t="s">
        <v>239</v>
      </c>
      <c r="B122" s="60" t="s">
        <v>240</v>
      </c>
      <c r="C122" s="34">
        <v>4301051724</v>
      </c>
      <c r="D122" s="720">
        <v>4607091385168</v>
      </c>
      <c r="E122" s="72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2"/>
      <c r="R122" s="722"/>
      <c r="S122" s="722"/>
      <c r="T122" s="723"/>
      <c r="U122" s="37" t="s">
        <v>46</v>
      </c>
      <c r="V122" s="37" t="s">
        <v>46</v>
      </c>
      <c r="W122" s="38" t="s">
        <v>0</v>
      </c>
      <c r="X122" s="56">
        <v>400</v>
      </c>
      <c r="Y122" s="53">
        <f t="shared" ref="Y122:Y128" si="15">IFERROR(IF(X122="",0,CEILING((X122/$H122),1)*$H122),"")</f>
        <v>405</v>
      </c>
      <c r="Z122" s="39">
        <f>IFERROR(IF(Y122=0,"",ROUNDUP(Y122/H122,0)*0.01898),"")</f>
        <v>0.94900000000000007</v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424.09876543209879</v>
      </c>
      <c r="BN122" s="75">
        <f t="shared" ref="BN122:BN128" si="17">IFERROR(Y122*I122/H122,"0")</f>
        <v>429.4</v>
      </c>
      <c r="BO122" s="75">
        <f t="shared" ref="BO122:BO128" si="18">IFERROR(1/J122*(X122/H122),"0")</f>
        <v>0.77160493827160492</v>
      </c>
      <c r="BP122" s="75">
        <f t="shared" ref="BP122:BP128" si="19">IFERROR(1/J122*(Y122/H122),"0")</f>
        <v>0.78125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720">
        <v>4607091385168</v>
      </c>
      <c r="E123" s="72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786" t="s">
        <v>243</v>
      </c>
      <c r="Q123" s="722"/>
      <c r="R123" s="722"/>
      <c r="S123" s="722"/>
      <c r="T123" s="72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720">
        <v>4607091383256</v>
      </c>
      <c r="E124" s="72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2"/>
      <c r="R124" s="722"/>
      <c r="S124" s="722"/>
      <c r="T124" s="72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246</v>
      </c>
      <c r="B125" s="60" t="s">
        <v>247</v>
      </c>
      <c r="C125" s="34">
        <v>4301051721</v>
      </c>
      <c r="D125" s="720">
        <v>4607091385748</v>
      </c>
      <c r="E125" s="72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2"/>
      <c r="R125" s="722"/>
      <c r="S125" s="722"/>
      <c r="T125" s="723"/>
      <c r="U125" s="37" t="s">
        <v>46</v>
      </c>
      <c r="V125" s="37" t="s">
        <v>46</v>
      </c>
      <c r="W125" s="38" t="s">
        <v>0</v>
      </c>
      <c r="X125" s="56">
        <v>675</v>
      </c>
      <c r="Y125" s="53">
        <f t="shared" si="15"/>
        <v>675</v>
      </c>
      <c r="Z125" s="39">
        <f>IFERROR(IF(Y125=0,"",ROUNDUP(Y125/H125,0)*0.00651),"")</f>
        <v>1.6274999999999999</v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737.99999999999989</v>
      </c>
      <c r="BN125" s="75">
        <f t="shared" si="17"/>
        <v>737.99999999999989</v>
      </c>
      <c r="BO125" s="75">
        <f t="shared" si="18"/>
        <v>1.3736263736263736</v>
      </c>
      <c r="BP125" s="75">
        <f t="shared" si="19"/>
        <v>1.3736263736263736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720">
        <v>4607091385748</v>
      </c>
      <c r="E126" s="72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89" t="s">
        <v>249</v>
      </c>
      <c r="Q126" s="722"/>
      <c r="R126" s="722"/>
      <c r="S126" s="722"/>
      <c r="T126" s="72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customHeight="1" x14ac:dyDescent="0.25">
      <c r="A127" s="60" t="s">
        <v>250</v>
      </c>
      <c r="B127" s="60" t="s">
        <v>251</v>
      </c>
      <c r="C127" s="34">
        <v>4301051740</v>
      </c>
      <c r="D127" s="720">
        <v>4680115884533</v>
      </c>
      <c r="E127" s="72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2"/>
      <c r="R127" s="722"/>
      <c r="S127" s="722"/>
      <c r="T127" s="723"/>
      <c r="U127" s="37" t="s">
        <v>46</v>
      </c>
      <c r="V127" s="37" t="s">
        <v>46</v>
      </c>
      <c r="W127" s="38" t="s">
        <v>0</v>
      </c>
      <c r="X127" s="56">
        <v>150</v>
      </c>
      <c r="Y127" s="53">
        <f t="shared" si="15"/>
        <v>151.20000000000002</v>
      </c>
      <c r="Z127" s="39">
        <f>IFERROR(IF(Y127=0,"",ROUNDUP(Y127/H127,0)*0.00651),"")</f>
        <v>0.54683999999999999</v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165</v>
      </c>
      <c r="BN127" s="75">
        <f t="shared" si="17"/>
        <v>166.32000000000002</v>
      </c>
      <c r="BO127" s="75">
        <f t="shared" si="18"/>
        <v>0.45787545787545786</v>
      </c>
      <c r="BP127" s="75">
        <f t="shared" si="19"/>
        <v>0.46153846153846168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720">
        <v>4680115884533</v>
      </c>
      <c r="E128" s="72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91" t="s">
        <v>254</v>
      </c>
      <c r="Q128" s="722"/>
      <c r="R128" s="722"/>
      <c r="S128" s="722"/>
      <c r="T128" s="72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x14ac:dyDescent="0.2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9"/>
      <c r="P129" s="725" t="s">
        <v>40</v>
      </c>
      <c r="Q129" s="726"/>
      <c r="R129" s="726"/>
      <c r="S129" s="726"/>
      <c r="T129" s="726"/>
      <c r="U129" s="726"/>
      <c r="V129" s="727"/>
      <c r="W129" s="40" t="s">
        <v>39</v>
      </c>
      <c r="X129" s="41">
        <f>IFERROR(X122/H122,"0")+IFERROR(X123/H123,"0")+IFERROR(X124/H124,"0")+IFERROR(X125/H125,"0")+IFERROR(X126/H126,"0")+IFERROR(X127/H127,"0")+IFERROR(X128/H128,"0")</f>
        <v>382.71604938271599</v>
      </c>
      <c r="Y129" s="41">
        <f>IFERROR(Y122/H122,"0")+IFERROR(Y123/H123,"0")+IFERROR(Y124/H124,"0")+IFERROR(Y125/H125,"0")+IFERROR(Y126/H126,"0")+IFERROR(Y127/H127,"0")+IFERROR(Y128/H128,"0")</f>
        <v>384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3.1233400000000002</v>
      </c>
      <c r="AA129" s="64"/>
      <c r="AB129" s="64"/>
      <c r="AC129" s="64"/>
    </row>
    <row r="130" spans="1:68" x14ac:dyDescent="0.2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9"/>
      <c r="P130" s="725" t="s">
        <v>40</v>
      </c>
      <c r="Q130" s="726"/>
      <c r="R130" s="726"/>
      <c r="S130" s="726"/>
      <c r="T130" s="726"/>
      <c r="U130" s="726"/>
      <c r="V130" s="727"/>
      <c r="W130" s="40" t="s">
        <v>0</v>
      </c>
      <c r="X130" s="41">
        <f>IFERROR(SUM(X122:X128),"0")</f>
        <v>1225</v>
      </c>
      <c r="Y130" s="41">
        <f>IFERROR(SUM(Y122:Y128),"0")</f>
        <v>1231.2</v>
      </c>
      <c r="Z130" s="40"/>
      <c r="AA130" s="64"/>
      <c r="AB130" s="64"/>
      <c r="AC130" s="64"/>
    </row>
    <row r="131" spans="1:68" ht="14.25" hidden="1" customHeight="1" x14ac:dyDescent="0.25">
      <c r="A131" s="719" t="s">
        <v>173</v>
      </c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720">
        <v>4680115880238</v>
      </c>
      <c r="E132" s="72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7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2"/>
      <c r="R132" s="722"/>
      <c r="S132" s="722"/>
      <c r="T132" s="72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720">
        <v>4680115880238</v>
      </c>
      <c r="E133" s="72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793" t="s">
        <v>259</v>
      </c>
      <c r="Q133" s="722"/>
      <c r="R133" s="722"/>
      <c r="S133" s="722"/>
      <c r="T133" s="72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9"/>
      <c r="P134" s="725" t="s">
        <v>40</v>
      </c>
      <c r="Q134" s="726"/>
      <c r="R134" s="726"/>
      <c r="S134" s="726"/>
      <c r="T134" s="726"/>
      <c r="U134" s="726"/>
      <c r="V134" s="727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9"/>
      <c r="P135" s="725" t="s">
        <v>40</v>
      </c>
      <c r="Q135" s="726"/>
      <c r="R135" s="726"/>
      <c r="S135" s="726"/>
      <c r="T135" s="726"/>
      <c r="U135" s="726"/>
      <c r="V135" s="727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8" t="s">
        <v>260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2"/>
      <c r="AB136" s="62"/>
      <c r="AC136" s="62"/>
    </row>
    <row r="137" spans="1:68" ht="14.25" hidden="1" customHeight="1" x14ac:dyDescent="0.25">
      <c r="A137" s="719" t="s">
        <v>122</v>
      </c>
      <c r="B137" s="719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720">
        <v>4680115882577</v>
      </c>
      <c r="E138" s="72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7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2"/>
      <c r="R138" s="722"/>
      <c r="S138" s="722"/>
      <c r="T138" s="72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720">
        <v>4680115882577</v>
      </c>
      <c r="E139" s="72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2"/>
      <c r="R139" s="722"/>
      <c r="S139" s="722"/>
      <c r="T139" s="72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9"/>
      <c r="P140" s="725" t="s">
        <v>40</v>
      </c>
      <c r="Q140" s="726"/>
      <c r="R140" s="726"/>
      <c r="S140" s="726"/>
      <c r="T140" s="726"/>
      <c r="U140" s="726"/>
      <c r="V140" s="7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9"/>
      <c r="P141" s="725" t="s">
        <v>40</v>
      </c>
      <c r="Q141" s="726"/>
      <c r="R141" s="726"/>
      <c r="S141" s="726"/>
      <c r="T141" s="726"/>
      <c r="U141" s="726"/>
      <c r="V141" s="7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9" t="s">
        <v>77</v>
      </c>
      <c r="B142" s="719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63"/>
      <c r="AB142" s="63"/>
      <c r="AC142" s="63"/>
    </row>
    <row r="143" spans="1:68" ht="27" customHeight="1" x14ac:dyDescent="0.25">
      <c r="A143" s="60" t="s">
        <v>266</v>
      </c>
      <c r="B143" s="60" t="s">
        <v>267</v>
      </c>
      <c r="C143" s="34">
        <v>4301031234</v>
      </c>
      <c r="D143" s="720">
        <v>4680115883444</v>
      </c>
      <c r="E143" s="72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7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2"/>
      <c r="R143" s="722"/>
      <c r="S143" s="722"/>
      <c r="T143" s="723"/>
      <c r="U143" s="37" t="s">
        <v>46</v>
      </c>
      <c r="V143" s="37" t="s">
        <v>46</v>
      </c>
      <c r="W143" s="38" t="s">
        <v>0</v>
      </c>
      <c r="X143" s="56">
        <v>52.5</v>
      </c>
      <c r="Y143" s="53">
        <f>IFERROR(IF(X143="",0,CEILING((X143/$H143),1)*$H143),"")</f>
        <v>53.199999999999996</v>
      </c>
      <c r="Z143" s="39">
        <f>IFERROR(IF(Y143=0,"",ROUNDUP(Y143/H143,0)*0.00651),"")</f>
        <v>0.12369000000000001</v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57.524999999999999</v>
      </c>
      <c r="BN143" s="75">
        <f>IFERROR(Y143*I143/H143,"0")</f>
        <v>58.291999999999994</v>
      </c>
      <c r="BO143" s="75">
        <f>IFERROR(1/J143*(X143/H143),"0")</f>
        <v>0.10302197802197803</v>
      </c>
      <c r="BP143" s="75">
        <f>IFERROR(1/J143*(Y143/H143),"0")</f>
        <v>0.1043956043956044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720">
        <v>4680115883444</v>
      </c>
      <c r="E144" s="72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2"/>
      <c r="R144" s="722"/>
      <c r="S144" s="722"/>
      <c r="T144" s="72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x14ac:dyDescent="0.2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9"/>
      <c r="P145" s="725" t="s">
        <v>40</v>
      </c>
      <c r="Q145" s="726"/>
      <c r="R145" s="726"/>
      <c r="S145" s="726"/>
      <c r="T145" s="726"/>
      <c r="U145" s="726"/>
      <c r="V145" s="727"/>
      <c r="W145" s="40" t="s">
        <v>39</v>
      </c>
      <c r="X145" s="41">
        <f>IFERROR(X143/H143,"0")+IFERROR(X144/H144,"0")</f>
        <v>18.75</v>
      </c>
      <c r="Y145" s="41">
        <f>IFERROR(Y143/H143,"0")+IFERROR(Y144/H144,"0")</f>
        <v>19</v>
      </c>
      <c r="Z145" s="41">
        <f>IFERROR(IF(Z143="",0,Z143),"0")+IFERROR(IF(Z144="",0,Z144),"0")</f>
        <v>0.12369000000000001</v>
      </c>
      <c r="AA145" s="64"/>
      <c r="AB145" s="64"/>
      <c r="AC145" s="64"/>
    </row>
    <row r="146" spans="1:68" x14ac:dyDescent="0.2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9"/>
      <c r="P146" s="725" t="s">
        <v>40</v>
      </c>
      <c r="Q146" s="726"/>
      <c r="R146" s="726"/>
      <c r="S146" s="726"/>
      <c r="T146" s="726"/>
      <c r="U146" s="726"/>
      <c r="V146" s="727"/>
      <c r="W146" s="40" t="s">
        <v>0</v>
      </c>
      <c r="X146" s="41">
        <f>IFERROR(SUM(X143:X144),"0")</f>
        <v>52.5</v>
      </c>
      <c r="Y146" s="41">
        <f>IFERROR(SUM(Y143:Y144),"0")</f>
        <v>53.199999999999996</v>
      </c>
      <c r="Z146" s="40"/>
      <c r="AA146" s="64"/>
      <c r="AB146" s="64"/>
      <c r="AC146" s="64"/>
    </row>
    <row r="147" spans="1:68" ht="14.25" hidden="1" customHeight="1" x14ac:dyDescent="0.25">
      <c r="A147" s="719" t="s">
        <v>86</v>
      </c>
      <c r="B147" s="719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63"/>
      <c r="AB147" s="63"/>
      <c r="AC147" s="63"/>
    </row>
    <row r="148" spans="1:68" ht="16.5" customHeight="1" x14ac:dyDescent="0.25">
      <c r="A148" s="60" t="s">
        <v>270</v>
      </c>
      <c r="B148" s="60" t="s">
        <v>271</v>
      </c>
      <c r="C148" s="34">
        <v>4301051476</v>
      </c>
      <c r="D148" s="720">
        <v>4680115882584</v>
      </c>
      <c r="E148" s="72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2"/>
      <c r="R148" s="722"/>
      <c r="S148" s="722"/>
      <c r="T148" s="723"/>
      <c r="U148" s="37" t="s">
        <v>46</v>
      </c>
      <c r="V148" s="37" t="s">
        <v>46</v>
      </c>
      <c r="W148" s="38" t="s">
        <v>0</v>
      </c>
      <c r="X148" s="56">
        <v>66</v>
      </c>
      <c r="Y148" s="53">
        <f>IFERROR(IF(X148="",0,CEILING((X148/$H148),1)*$H148),"")</f>
        <v>66</v>
      </c>
      <c r="Z148" s="39">
        <f>IFERROR(IF(Y148=0,"",ROUNDUP(Y148/H148,0)*0.00651),"")</f>
        <v>0.16275000000000001</v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72.699999999999989</v>
      </c>
      <c r="BN148" s="75">
        <f>IFERROR(Y148*I148/H148,"0")</f>
        <v>72.699999999999989</v>
      </c>
      <c r="BO148" s="75">
        <f>IFERROR(1/J148*(X148/H148),"0")</f>
        <v>0.13736263736263737</v>
      </c>
      <c r="BP148" s="75">
        <f>IFERROR(1/J148*(Y148/H148),"0")</f>
        <v>0.13736263736263737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720">
        <v>4680115882584</v>
      </c>
      <c r="E149" s="72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7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2"/>
      <c r="R149" s="722"/>
      <c r="S149" s="722"/>
      <c r="T149" s="72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9"/>
      <c r="P150" s="725" t="s">
        <v>40</v>
      </c>
      <c r="Q150" s="726"/>
      <c r="R150" s="726"/>
      <c r="S150" s="726"/>
      <c r="T150" s="726"/>
      <c r="U150" s="726"/>
      <c r="V150" s="727"/>
      <c r="W150" s="40" t="s">
        <v>39</v>
      </c>
      <c r="X150" s="41">
        <f>IFERROR(X148/H148,"0")+IFERROR(X149/H149,"0")</f>
        <v>25</v>
      </c>
      <c r="Y150" s="41">
        <f>IFERROR(Y148/H148,"0")+IFERROR(Y149/H149,"0")</f>
        <v>25</v>
      </c>
      <c r="Z150" s="41">
        <f>IFERROR(IF(Z148="",0,Z148),"0")+IFERROR(IF(Z149="",0,Z149),"0")</f>
        <v>0.16275000000000001</v>
      </c>
      <c r="AA150" s="64"/>
      <c r="AB150" s="64"/>
      <c r="AC150" s="64"/>
    </row>
    <row r="151" spans="1:68" x14ac:dyDescent="0.2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9"/>
      <c r="P151" s="725" t="s">
        <v>40</v>
      </c>
      <c r="Q151" s="726"/>
      <c r="R151" s="726"/>
      <c r="S151" s="726"/>
      <c r="T151" s="726"/>
      <c r="U151" s="726"/>
      <c r="V151" s="727"/>
      <c r="W151" s="40" t="s">
        <v>0</v>
      </c>
      <c r="X151" s="41">
        <f>IFERROR(SUM(X148:X149),"0")</f>
        <v>66</v>
      </c>
      <c r="Y151" s="41">
        <f>IFERROR(SUM(Y148:Y149),"0")</f>
        <v>66</v>
      </c>
      <c r="Z151" s="40"/>
      <c r="AA151" s="64"/>
      <c r="AB151" s="64"/>
      <c r="AC151" s="64"/>
    </row>
    <row r="152" spans="1:68" ht="16.5" hidden="1" customHeight="1" x14ac:dyDescent="0.25">
      <c r="A152" s="718" t="s">
        <v>273</v>
      </c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62"/>
      <c r="AB152" s="62"/>
      <c r="AC152" s="62"/>
    </row>
    <row r="153" spans="1:68" ht="14.25" hidden="1" customHeight="1" x14ac:dyDescent="0.25">
      <c r="A153" s="719" t="s">
        <v>86</v>
      </c>
      <c r="B153" s="719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720">
        <v>4680115888203</v>
      </c>
      <c r="E154" s="72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0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2"/>
      <c r="R154" s="722"/>
      <c r="S154" s="722"/>
      <c r="T154" s="72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720">
        <v>4680115888180</v>
      </c>
      <c r="E155" s="72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0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2"/>
      <c r="R155" s="722"/>
      <c r="S155" s="722"/>
      <c r="T155" s="72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720">
        <v>4680115888180</v>
      </c>
      <c r="E156" s="72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0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2"/>
      <c r="R156" s="722"/>
      <c r="S156" s="722"/>
      <c r="T156" s="72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720">
        <v>4680115888197</v>
      </c>
      <c r="E157" s="72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0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2"/>
      <c r="R157" s="722"/>
      <c r="S157" s="722"/>
      <c r="T157" s="72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720">
        <v>4680115888197</v>
      </c>
      <c r="E158" s="72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2"/>
      <c r="R158" s="722"/>
      <c r="S158" s="722"/>
      <c r="T158" s="72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720">
        <v>4680115888210</v>
      </c>
      <c r="E159" s="72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2"/>
      <c r="R159" s="722"/>
      <c r="S159" s="722"/>
      <c r="T159" s="72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720">
        <v>4680115888210</v>
      </c>
      <c r="E160" s="72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2"/>
      <c r="R160" s="722"/>
      <c r="S160" s="722"/>
      <c r="T160" s="72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9"/>
      <c r="P161" s="725" t="s">
        <v>40</v>
      </c>
      <c r="Q161" s="726"/>
      <c r="R161" s="726"/>
      <c r="S161" s="726"/>
      <c r="T161" s="726"/>
      <c r="U161" s="726"/>
      <c r="V161" s="727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9"/>
      <c r="P162" s="725" t="s">
        <v>40</v>
      </c>
      <c r="Q162" s="726"/>
      <c r="R162" s="726"/>
      <c r="S162" s="726"/>
      <c r="T162" s="726"/>
      <c r="U162" s="726"/>
      <c r="V162" s="727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9" t="s">
        <v>289</v>
      </c>
      <c r="B163" s="719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720">
        <v>4680115889132</v>
      </c>
      <c r="E164" s="72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2"/>
      <c r="R164" s="722"/>
      <c r="S164" s="722"/>
      <c r="T164" s="72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9"/>
      <c r="P165" s="725" t="s">
        <v>40</v>
      </c>
      <c r="Q165" s="726"/>
      <c r="R165" s="726"/>
      <c r="S165" s="726"/>
      <c r="T165" s="726"/>
      <c r="U165" s="726"/>
      <c r="V165" s="72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9"/>
      <c r="P166" s="725" t="s">
        <v>40</v>
      </c>
      <c r="Q166" s="726"/>
      <c r="R166" s="726"/>
      <c r="S166" s="726"/>
      <c r="T166" s="726"/>
      <c r="U166" s="726"/>
      <c r="V166" s="72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8" t="s">
        <v>120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2"/>
      <c r="AB167" s="62"/>
      <c r="AC167" s="62"/>
    </row>
    <row r="168" spans="1:68" ht="14.25" hidden="1" customHeight="1" x14ac:dyDescent="0.25">
      <c r="A168" s="719" t="s">
        <v>122</v>
      </c>
      <c r="B168" s="719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720">
        <v>4680115887374</v>
      </c>
      <c r="E169" s="72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2"/>
      <c r="R169" s="722"/>
      <c r="S169" s="722"/>
      <c r="T169" s="72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720">
        <v>4607091384604</v>
      </c>
      <c r="E170" s="72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2"/>
      <c r="R170" s="722"/>
      <c r="S170" s="722"/>
      <c r="T170" s="72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720">
        <v>4680115888876</v>
      </c>
      <c r="E171" s="72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1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2"/>
      <c r="R171" s="722"/>
      <c r="S171" s="722"/>
      <c r="T171" s="72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9"/>
      <c r="P172" s="725" t="s">
        <v>40</v>
      </c>
      <c r="Q172" s="726"/>
      <c r="R172" s="726"/>
      <c r="S172" s="726"/>
      <c r="T172" s="726"/>
      <c r="U172" s="726"/>
      <c r="V172" s="727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9"/>
      <c r="P173" s="725" t="s">
        <v>40</v>
      </c>
      <c r="Q173" s="726"/>
      <c r="R173" s="726"/>
      <c r="S173" s="726"/>
      <c r="T173" s="726"/>
      <c r="U173" s="726"/>
      <c r="V173" s="727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9" t="s">
        <v>155</v>
      </c>
      <c r="B174" s="719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63"/>
      <c r="AB174" s="63"/>
      <c r="AC174" s="63"/>
    </row>
    <row r="175" spans="1:68" ht="16.5" customHeight="1" x14ac:dyDescent="0.25">
      <c r="A175" s="60" t="s">
        <v>305</v>
      </c>
      <c r="B175" s="60" t="s">
        <v>306</v>
      </c>
      <c r="C175" s="34">
        <v>4301020410</v>
      </c>
      <c r="D175" s="720">
        <v>4680115887695</v>
      </c>
      <c r="E175" s="72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2"/>
      <c r="R175" s="722"/>
      <c r="S175" s="722"/>
      <c r="T175" s="723"/>
      <c r="U175" s="37" t="s">
        <v>46</v>
      </c>
      <c r="V175" s="37" t="s">
        <v>46</v>
      </c>
      <c r="W175" s="38" t="s">
        <v>0</v>
      </c>
      <c r="X175" s="56">
        <v>12</v>
      </c>
      <c r="Y175" s="53">
        <f>IFERROR(IF(X175="",0,CEILING((X175/$H175),1)*$H175),"")</f>
        <v>12.24</v>
      </c>
      <c r="Z175" s="39">
        <f>IFERROR(IF(Y175=0,"",ROUNDUP(Y175/H175,0)*0.00556),"")</f>
        <v>9.4519999999999993E-2</v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14.166666666666666</v>
      </c>
      <c r="BN175" s="75">
        <f>IFERROR(Y175*I175/H175,"0")</f>
        <v>14.450000000000001</v>
      </c>
      <c r="BO175" s="75">
        <f>IFERROR(1/J175*(X175/H175),"0")</f>
        <v>6.6137566137566134E-2</v>
      </c>
      <c r="BP175" s="75">
        <f>IFERROR(1/J175*(Y175/H175),"0")</f>
        <v>6.7460317460317457E-2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720">
        <v>4680115889491</v>
      </c>
      <c r="E176" s="72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1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2"/>
      <c r="R176" s="722"/>
      <c r="S176" s="722"/>
      <c r="T176" s="72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x14ac:dyDescent="0.2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9"/>
      <c r="P177" s="725" t="s">
        <v>40</v>
      </c>
      <c r="Q177" s="726"/>
      <c r="R177" s="726"/>
      <c r="S177" s="726"/>
      <c r="T177" s="726"/>
      <c r="U177" s="726"/>
      <c r="V177" s="727"/>
      <c r="W177" s="40" t="s">
        <v>39</v>
      </c>
      <c r="X177" s="41">
        <f>IFERROR(X175/H175,"0")+IFERROR(X176/H176,"0")</f>
        <v>16.666666666666668</v>
      </c>
      <c r="Y177" s="41">
        <f>IFERROR(Y175/H175,"0")+IFERROR(Y176/H176,"0")</f>
        <v>17</v>
      </c>
      <c r="Z177" s="41">
        <f>IFERROR(IF(Z175="",0,Z175),"0")+IFERROR(IF(Z176="",0,Z176),"0")</f>
        <v>9.4519999999999993E-2</v>
      </c>
      <c r="AA177" s="64"/>
      <c r="AB177" s="64"/>
      <c r="AC177" s="64"/>
    </row>
    <row r="178" spans="1:68" x14ac:dyDescent="0.2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9"/>
      <c r="P178" s="725" t="s">
        <v>40</v>
      </c>
      <c r="Q178" s="726"/>
      <c r="R178" s="726"/>
      <c r="S178" s="726"/>
      <c r="T178" s="726"/>
      <c r="U178" s="726"/>
      <c r="V178" s="727"/>
      <c r="W178" s="40" t="s">
        <v>0</v>
      </c>
      <c r="X178" s="41">
        <f>IFERROR(SUM(X175:X176),"0")</f>
        <v>12</v>
      </c>
      <c r="Y178" s="41">
        <f>IFERROR(SUM(Y175:Y176),"0")</f>
        <v>12.24</v>
      </c>
      <c r="Z178" s="40"/>
      <c r="AA178" s="64"/>
      <c r="AB178" s="64"/>
      <c r="AC178" s="64"/>
    </row>
    <row r="179" spans="1:68" ht="14.25" hidden="1" customHeight="1" x14ac:dyDescent="0.25">
      <c r="A179" s="719" t="s">
        <v>77</v>
      </c>
      <c r="B179" s="719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63"/>
      <c r="AB179" s="63"/>
      <c r="AC179" s="63"/>
    </row>
    <row r="180" spans="1:68" ht="27" customHeight="1" x14ac:dyDescent="0.25">
      <c r="A180" s="60" t="s">
        <v>311</v>
      </c>
      <c r="B180" s="60" t="s">
        <v>312</v>
      </c>
      <c r="C180" s="34">
        <v>4301031496</v>
      </c>
      <c r="D180" s="720">
        <v>4680115887428</v>
      </c>
      <c r="E180" s="72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2"/>
      <c r="R180" s="722"/>
      <c r="S180" s="722"/>
      <c r="T180" s="723"/>
      <c r="U180" s="37" t="s">
        <v>46</v>
      </c>
      <c r="V180" s="37" t="s">
        <v>46</v>
      </c>
      <c r="W180" s="38" t="s">
        <v>0</v>
      </c>
      <c r="X180" s="56">
        <v>300</v>
      </c>
      <c r="Y180" s="53">
        <f t="shared" ref="Y180:Y191" si="26">IFERROR(IF(X180="",0,CEILING((X180/$H180),1)*$H180),"")</f>
        <v>301</v>
      </c>
      <c r="Z180" s="39">
        <f>IFERROR(IF(Y180=0,"",ROUNDUP(Y180/H180,0)*0.00902),"")</f>
        <v>0.77571999999999997</v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316.28571428571428</v>
      </c>
      <c r="BN180" s="75">
        <f t="shared" ref="BN180:BN191" si="28">IFERROR(Y180*I180/H180,"0")</f>
        <v>317.34000000000003</v>
      </c>
      <c r="BO180" s="75">
        <f t="shared" ref="BO180:BO191" si="29">IFERROR(1/J180*(X180/H180),"0")</f>
        <v>0.64935064935064934</v>
      </c>
      <c r="BP180" s="75">
        <f t="shared" ref="BP180:BP191" si="30">IFERROR(1/J180*(Y180/H180),"0")</f>
        <v>0.65151515151515149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720">
        <v>4680115889170</v>
      </c>
      <c r="E181" s="72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2"/>
      <c r="R181" s="722"/>
      <c r="S181" s="722"/>
      <c r="T181" s="72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customHeight="1" x14ac:dyDescent="0.25">
      <c r="A182" s="60" t="s">
        <v>317</v>
      </c>
      <c r="B182" s="60" t="s">
        <v>318</v>
      </c>
      <c r="C182" s="34">
        <v>4301031498</v>
      </c>
      <c r="D182" s="720">
        <v>4680115887398</v>
      </c>
      <c r="E182" s="72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1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2"/>
      <c r="R182" s="722"/>
      <c r="S182" s="722"/>
      <c r="T182" s="723"/>
      <c r="U182" s="37" t="s">
        <v>46</v>
      </c>
      <c r="V182" s="37" t="s">
        <v>46</v>
      </c>
      <c r="W182" s="38" t="s">
        <v>0</v>
      </c>
      <c r="X182" s="56">
        <v>700</v>
      </c>
      <c r="Y182" s="53">
        <f t="shared" si="26"/>
        <v>700</v>
      </c>
      <c r="Z182" s="39">
        <f>IFERROR(IF(Y182=0,"",ROUNDUP(Y182/H182,0)*0.00902),"")</f>
        <v>1.804</v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738</v>
      </c>
      <c r="BN182" s="75">
        <f t="shared" si="28"/>
        <v>738</v>
      </c>
      <c r="BO182" s="75">
        <f t="shared" si="29"/>
        <v>1.5151515151515151</v>
      </c>
      <c r="BP182" s="75">
        <f t="shared" si="30"/>
        <v>1.5151515151515151</v>
      </c>
    </row>
    <row r="183" spans="1:68" ht="27" customHeight="1" x14ac:dyDescent="0.25">
      <c r="A183" s="60" t="s">
        <v>320</v>
      </c>
      <c r="B183" s="60" t="s">
        <v>321</v>
      </c>
      <c r="C183" s="34">
        <v>4301031497</v>
      </c>
      <c r="D183" s="720">
        <v>4680115887336</v>
      </c>
      <c r="E183" s="72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2"/>
      <c r="R183" s="722"/>
      <c r="S183" s="722"/>
      <c r="T183" s="723"/>
      <c r="U183" s="37" t="s">
        <v>46</v>
      </c>
      <c r="V183" s="37" t="s">
        <v>46</v>
      </c>
      <c r="W183" s="38" t="s">
        <v>0</v>
      </c>
      <c r="X183" s="56">
        <v>100</v>
      </c>
      <c r="Y183" s="53">
        <f t="shared" si="26"/>
        <v>101.5</v>
      </c>
      <c r="Z183" s="39">
        <f>IFERROR(IF(Y183=0,"",ROUNDUP(Y183/H183,0)*0.00902),"")</f>
        <v>0.26158000000000003</v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105.42857142857143</v>
      </c>
      <c r="BN183" s="75">
        <f t="shared" si="28"/>
        <v>107.00999999999999</v>
      </c>
      <c r="BO183" s="75">
        <f t="shared" si="29"/>
        <v>0.21645021645021648</v>
      </c>
      <c r="BP183" s="75">
        <f t="shared" si="30"/>
        <v>0.2196969696969697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720">
        <v>4680115887336</v>
      </c>
      <c r="E184" s="72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17" t="s">
        <v>324</v>
      </c>
      <c r="Q184" s="722"/>
      <c r="R184" s="722"/>
      <c r="S184" s="722"/>
      <c r="T184" s="72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720">
        <v>4680115887787</v>
      </c>
      <c r="E185" s="72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2"/>
      <c r="R185" s="722"/>
      <c r="S185" s="722"/>
      <c r="T185" s="72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720">
        <v>4680115887787</v>
      </c>
      <c r="E186" s="72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19" t="s">
        <v>330</v>
      </c>
      <c r="Q186" s="722"/>
      <c r="R186" s="722"/>
      <c r="S186" s="722"/>
      <c r="T186" s="72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customHeight="1" x14ac:dyDescent="0.25">
      <c r="A187" s="60" t="s">
        <v>331</v>
      </c>
      <c r="B187" s="60" t="s">
        <v>332</v>
      </c>
      <c r="C187" s="34">
        <v>4301031448</v>
      </c>
      <c r="D187" s="720">
        <v>4680115887503</v>
      </c>
      <c r="E187" s="72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2"/>
      <c r="R187" s="722"/>
      <c r="S187" s="722"/>
      <c r="T187" s="723"/>
      <c r="U187" s="37" t="s">
        <v>46</v>
      </c>
      <c r="V187" s="37" t="s">
        <v>46</v>
      </c>
      <c r="W187" s="38" t="s">
        <v>0</v>
      </c>
      <c r="X187" s="56">
        <v>168.00000000000003</v>
      </c>
      <c r="Y187" s="53">
        <f t="shared" si="26"/>
        <v>168</v>
      </c>
      <c r="Z187" s="39">
        <f>IFERROR(IF(Y187=0,"",ROUNDUP(Y187/H187,0)*0.00502),"")</f>
        <v>0.502</v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178.00000000000006</v>
      </c>
      <c r="BN187" s="75">
        <f t="shared" si="28"/>
        <v>178.00000000000003</v>
      </c>
      <c r="BO187" s="75">
        <f t="shared" si="29"/>
        <v>0.42735042735042744</v>
      </c>
      <c r="BP187" s="75">
        <f t="shared" si="30"/>
        <v>0.42735042735042739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720">
        <v>4680115887763</v>
      </c>
      <c r="E188" s="72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2"/>
      <c r="R188" s="722"/>
      <c r="S188" s="722"/>
      <c r="T188" s="72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customHeight="1" x14ac:dyDescent="0.25">
      <c r="A189" s="60" t="s">
        <v>336</v>
      </c>
      <c r="B189" s="60" t="s">
        <v>337</v>
      </c>
      <c r="C189" s="34">
        <v>4301031454</v>
      </c>
      <c r="D189" s="720">
        <v>4680115887480</v>
      </c>
      <c r="E189" s="72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2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2"/>
      <c r="R189" s="722"/>
      <c r="S189" s="722"/>
      <c r="T189" s="723"/>
      <c r="U189" s="37" t="s">
        <v>46</v>
      </c>
      <c r="V189" s="37" t="s">
        <v>46</v>
      </c>
      <c r="W189" s="38" t="s">
        <v>0</v>
      </c>
      <c r="X189" s="56">
        <v>168.00000000000003</v>
      </c>
      <c r="Y189" s="53">
        <f t="shared" si="26"/>
        <v>168</v>
      </c>
      <c r="Z189" s="39">
        <f>IFERROR(IF(Y189=0,"",ROUNDUP(Y189/H189,0)*0.00502),"")</f>
        <v>0.502</v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178.00000000000006</v>
      </c>
      <c r="BN189" s="75">
        <f t="shared" si="28"/>
        <v>178.00000000000003</v>
      </c>
      <c r="BO189" s="75">
        <f t="shared" si="29"/>
        <v>0.42735042735042744</v>
      </c>
      <c r="BP189" s="75">
        <f t="shared" si="30"/>
        <v>0.42735042735042739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720">
        <v>4680115888067</v>
      </c>
      <c r="E190" s="72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2"/>
      <c r="R190" s="722"/>
      <c r="S190" s="722"/>
      <c r="T190" s="72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customHeight="1" x14ac:dyDescent="0.25">
      <c r="A191" s="60" t="s">
        <v>341</v>
      </c>
      <c r="B191" s="60" t="s">
        <v>342</v>
      </c>
      <c r="C191" s="34">
        <v>4301031519</v>
      </c>
      <c r="D191" s="720">
        <v>4680115887435</v>
      </c>
      <c r="E191" s="72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2"/>
      <c r="R191" s="722"/>
      <c r="S191" s="722"/>
      <c r="T191" s="723"/>
      <c r="U191" s="37" t="s">
        <v>46</v>
      </c>
      <c r="V191" s="37" t="s">
        <v>46</v>
      </c>
      <c r="W191" s="38" t="s">
        <v>0</v>
      </c>
      <c r="X191" s="56">
        <v>168.00000000000003</v>
      </c>
      <c r="Y191" s="53">
        <f t="shared" si="26"/>
        <v>168</v>
      </c>
      <c r="Z191" s="39">
        <f>IFERROR(IF(Y191=0,"",ROUNDUP(Y191/H191,0)*0.00502),"")</f>
        <v>0.502</v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178.00000000000006</v>
      </c>
      <c r="BN191" s="75">
        <f t="shared" si="28"/>
        <v>178.00000000000003</v>
      </c>
      <c r="BO191" s="75">
        <f t="shared" si="29"/>
        <v>0.42735042735042744</v>
      </c>
      <c r="BP191" s="75">
        <f t="shared" si="30"/>
        <v>0.42735042735042739</v>
      </c>
    </row>
    <row r="192" spans="1:68" x14ac:dyDescent="0.2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9"/>
      <c r="P192" s="725" t="s">
        <v>40</v>
      </c>
      <c r="Q192" s="726"/>
      <c r="R192" s="726"/>
      <c r="S192" s="726"/>
      <c r="T192" s="726"/>
      <c r="U192" s="726"/>
      <c r="V192" s="727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614.28571428571433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615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4.3472999999999997</v>
      </c>
      <c r="AA192" s="64"/>
      <c r="AB192" s="64"/>
      <c r="AC192" s="64"/>
    </row>
    <row r="193" spans="1:68" x14ac:dyDescent="0.2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9"/>
      <c r="P193" s="725" t="s">
        <v>40</v>
      </c>
      <c r="Q193" s="726"/>
      <c r="R193" s="726"/>
      <c r="S193" s="726"/>
      <c r="T193" s="726"/>
      <c r="U193" s="726"/>
      <c r="V193" s="727"/>
      <c r="W193" s="40" t="s">
        <v>0</v>
      </c>
      <c r="X193" s="41">
        <f>IFERROR(SUM(X180:X191),"0")</f>
        <v>1604</v>
      </c>
      <c r="Y193" s="41">
        <f>IFERROR(SUM(Y180:Y191),"0")</f>
        <v>1606.5</v>
      </c>
      <c r="Z193" s="40"/>
      <c r="AA193" s="64"/>
      <c r="AB193" s="64"/>
      <c r="AC193" s="64"/>
    </row>
    <row r="194" spans="1:68" ht="14.25" hidden="1" customHeight="1" x14ac:dyDescent="0.25">
      <c r="A194" s="719" t="s">
        <v>86</v>
      </c>
      <c r="B194" s="719"/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720">
        <v>4680115888395</v>
      </c>
      <c r="E195" s="72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2"/>
      <c r="R195" s="722"/>
      <c r="S195" s="722"/>
      <c r="T195" s="72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720">
        <v>4680115888371</v>
      </c>
      <c r="E196" s="72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2"/>
      <c r="R196" s="722"/>
      <c r="S196" s="722"/>
      <c r="T196" s="72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720">
        <v>4680115887459</v>
      </c>
      <c r="E197" s="72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2"/>
      <c r="R197" s="722"/>
      <c r="S197" s="722"/>
      <c r="T197" s="72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9"/>
      <c r="P198" s="725" t="s">
        <v>40</v>
      </c>
      <c r="Q198" s="726"/>
      <c r="R198" s="726"/>
      <c r="S198" s="726"/>
      <c r="T198" s="726"/>
      <c r="U198" s="726"/>
      <c r="V198" s="727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9"/>
      <c r="P199" s="725" t="s">
        <v>40</v>
      </c>
      <c r="Q199" s="726"/>
      <c r="R199" s="726"/>
      <c r="S199" s="726"/>
      <c r="T199" s="726"/>
      <c r="U199" s="726"/>
      <c r="V199" s="727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9" t="s">
        <v>289</v>
      </c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720">
        <v>4680115889026</v>
      </c>
      <c r="E201" s="72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2"/>
      <c r="R201" s="722"/>
      <c r="S201" s="722"/>
      <c r="T201" s="72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9"/>
      <c r="P202" s="725" t="s">
        <v>40</v>
      </c>
      <c r="Q202" s="726"/>
      <c r="R202" s="726"/>
      <c r="S202" s="726"/>
      <c r="T202" s="726"/>
      <c r="U202" s="726"/>
      <c r="V202" s="727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8"/>
      <c r="B203" s="728"/>
      <c r="C203" s="728"/>
      <c r="D203" s="728"/>
      <c r="E203" s="728"/>
      <c r="F203" s="728"/>
      <c r="G203" s="728"/>
      <c r="H203" s="728"/>
      <c r="I203" s="728"/>
      <c r="J203" s="728"/>
      <c r="K203" s="728"/>
      <c r="L203" s="728"/>
      <c r="M203" s="728"/>
      <c r="N203" s="728"/>
      <c r="O203" s="729"/>
      <c r="P203" s="725" t="s">
        <v>40</v>
      </c>
      <c r="Q203" s="726"/>
      <c r="R203" s="726"/>
      <c r="S203" s="726"/>
      <c r="T203" s="726"/>
      <c r="U203" s="726"/>
      <c r="V203" s="727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9" t="s">
        <v>356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720">
        <v>4680115889033</v>
      </c>
      <c r="E205" s="72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2"/>
      <c r="R205" s="722"/>
      <c r="S205" s="722"/>
      <c r="T205" s="72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8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728"/>
      <c r="O206" s="729"/>
      <c r="P206" s="725" t="s">
        <v>40</v>
      </c>
      <c r="Q206" s="726"/>
      <c r="R206" s="726"/>
      <c r="S206" s="726"/>
      <c r="T206" s="726"/>
      <c r="U206" s="726"/>
      <c r="V206" s="727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8"/>
      <c r="B207" s="728"/>
      <c r="C207" s="728"/>
      <c r="D207" s="728"/>
      <c r="E207" s="728"/>
      <c r="F207" s="728"/>
      <c r="G207" s="728"/>
      <c r="H207" s="728"/>
      <c r="I207" s="728"/>
      <c r="J207" s="728"/>
      <c r="K207" s="728"/>
      <c r="L207" s="728"/>
      <c r="M207" s="728"/>
      <c r="N207" s="728"/>
      <c r="O207" s="729"/>
      <c r="P207" s="725" t="s">
        <v>40</v>
      </c>
      <c r="Q207" s="726"/>
      <c r="R207" s="726"/>
      <c r="S207" s="726"/>
      <c r="T207" s="726"/>
      <c r="U207" s="726"/>
      <c r="V207" s="727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7" t="s">
        <v>360</v>
      </c>
      <c r="B208" s="717"/>
      <c r="C208" s="717"/>
      <c r="D208" s="717"/>
      <c r="E208" s="717"/>
      <c r="F208" s="717"/>
      <c r="G208" s="717"/>
      <c r="H208" s="717"/>
      <c r="I208" s="717"/>
      <c r="J208" s="717"/>
      <c r="K208" s="717"/>
      <c r="L208" s="717"/>
      <c r="M208" s="717"/>
      <c r="N208" s="717"/>
      <c r="O208" s="717"/>
      <c r="P208" s="717"/>
      <c r="Q208" s="717"/>
      <c r="R208" s="717"/>
      <c r="S208" s="717"/>
      <c r="T208" s="717"/>
      <c r="U208" s="717"/>
      <c r="V208" s="717"/>
      <c r="W208" s="717"/>
      <c r="X208" s="717"/>
      <c r="Y208" s="717"/>
      <c r="Z208" s="717"/>
      <c r="AA208" s="52"/>
      <c r="AB208" s="52"/>
      <c r="AC208" s="52"/>
    </row>
    <row r="209" spans="1:68" ht="16.5" hidden="1" customHeight="1" x14ac:dyDescent="0.25">
      <c r="A209" s="718" t="s">
        <v>361</v>
      </c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62"/>
      <c r="AB209" s="62"/>
      <c r="AC209" s="62"/>
    </row>
    <row r="210" spans="1:68" ht="14.25" hidden="1" customHeight="1" x14ac:dyDescent="0.25">
      <c r="A210" s="719" t="s">
        <v>122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720">
        <v>4607091383423</v>
      </c>
      <c r="E211" s="72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2"/>
      <c r="R211" s="722"/>
      <c r="S211" s="722"/>
      <c r="T211" s="72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720">
        <v>4680115888760</v>
      </c>
      <c r="E212" s="72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2"/>
      <c r="R212" s="722"/>
      <c r="S212" s="722"/>
      <c r="T212" s="72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720">
        <v>4680115888807</v>
      </c>
      <c r="E213" s="72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2"/>
      <c r="R213" s="722"/>
      <c r="S213" s="722"/>
      <c r="T213" s="72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720">
        <v>4680115888852</v>
      </c>
      <c r="E214" s="72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2"/>
      <c r="R214" s="722"/>
      <c r="S214" s="722"/>
      <c r="T214" s="72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720">
        <v>4680115886957</v>
      </c>
      <c r="E215" s="72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2"/>
      <c r="R215" s="722"/>
      <c r="S215" s="722"/>
      <c r="T215" s="72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720">
        <v>4680115885660</v>
      </c>
      <c r="E216" s="72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2"/>
      <c r="R216" s="722"/>
      <c r="S216" s="722"/>
      <c r="T216" s="72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720">
        <v>4680115886773</v>
      </c>
      <c r="E217" s="72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2"/>
      <c r="R217" s="722"/>
      <c r="S217" s="722"/>
      <c r="T217" s="72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8"/>
      <c r="B218" s="728"/>
      <c r="C218" s="728"/>
      <c r="D218" s="728"/>
      <c r="E218" s="728"/>
      <c r="F218" s="728"/>
      <c r="G218" s="728"/>
      <c r="H218" s="728"/>
      <c r="I218" s="728"/>
      <c r="J218" s="728"/>
      <c r="K218" s="728"/>
      <c r="L218" s="728"/>
      <c r="M218" s="728"/>
      <c r="N218" s="728"/>
      <c r="O218" s="729"/>
      <c r="P218" s="725" t="s">
        <v>40</v>
      </c>
      <c r="Q218" s="726"/>
      <c r="R218" s="726"/>
      <c r="S218" s="726"/>
      <c r="T218" s="726"/>
      <c r="U218" s="726"/>
      <c r="V218" s="727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8"/>
      <c r="B219" s="728"/>
      <c r="C219" s="728"/>
      <c r="D219" s="728"/>
      <c r="E219" s="728"/>
      <c r="F219" s="728"/>
      <c r="G219" s="728"/>
      <c r="H219" s="728"/>
      <c r="I219" s="728"/>
      <c r="J219" s="728"/>
      <c r="K219" s="728"/>
      <c r="L219" s="728"/>
      <c r="M219" s="728"/>
      <c r="N219" s="728"/>
      <c r="O219" s="729"/>
      <c r="P219" s="725" t="s">
        <v>40</v>
      </c>
      <c r="Q219" s="726"/>
      <c r="R219" s="726"/>
      <c r="S219" s="726"/>
      <c r="T219" s="726"/>
      <c r="U219" s="726"/>
      <c r="V219" s="727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8" t="s">
        <v>382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62"/>
      <c r="AB220" s="62"/>
      <c r="AC220" s="62"/>
    </row>
    <row r="221" spans="1:68" ht="14.25" hidden="1" customHeight="1" x14ac:dyDescent="0.25">
      <c r="A221" s="719" t="s">
        <v>155</v>
      </c>
      <c r="B221" s="719"/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720">
        <v>4680115886223</v>
      </c>
      <c r="E222" s="72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2"/>
      <c r="R222" s="722"/>
      <c r="S222" s="722"/>
      <c r="T222" s="72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8"/>
      <c r="B223" s="728"/>
      <c r="C223" s="728"/>
      <c r="D223" s="728"/>
      <c r="E223" s="728"/>
      <c r="F223" s="728"/>
      <c r="G223" s="728"/>
      <c r="H223" s="728"/>
      <c r="I223" s="728"/>
      <c r="J223" s="728"/>
      <c r="K223" s="728"/>
      <c r="L223" s="728"/>
      <c r="M223" s="728"/>
      <c r="N223" s="728"/>
      <c r="O223" s="729"/>
      <c r="P223" s="725" t="s">
        <v>40</v>
      </c>
      <c r="Q223" s="726"/>
      <c r="R223" s="726"/>
      <c r="S223" s="726"/>
      <c r="T223" s="726"/>
      <c r="U223" s="726"/>
      <c r="V223" s="727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8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9"/>
      <c r="P224" s="725" t="s">
        <v>40</v>
      </c>
      <c r="Q224" s="726"/>
      <c r="R224" s="726"/>
      <c r="S224" s="726"/>
      <c r="T224" s="726"/>
      <c r="U224" s="726"/>
      <c r="V224" s="727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9" t="s">
        <v>77</v>
      </c>
      <c r="B225" s="719"/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63"/>
      <c r="AB225" s="63"/>
      <c r="AC225" s="63"/>
    </row>
    <row r="226" spans="1:68" ht="27" customHeight="1" x14ac:dyDescent="0.25">
      <c r="A226" s="60" t="s">
        <v>386</v>
      </c>
      <c r="B226" s="60" t="s">
        <v>387</v>
      </c>
      <c r="C226" s="34">
        <v>4301031191</v>
      </c>
      <c r="D226" s="720">
        <v>4680115880993</v>
      </c>
      <c r="E226" s="72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2"/>
      <c r="R226" s="722"/>
      <c r="S226" s="722"/>
      <c r="T226" s="723"/>
      <c r="U226" s="37" t="s">
        <v>46</v>
      </c>
      <c r="V226" s="37" t="s">
        <v>46</v>
      </c>
      <c r="W226" s="38" t="s">
        <v>0</v>
      </c>
      <c r="X226" s="56">
        <v>50</v>
      </c>
      <c r="Y226" s="53">
        <f t="shared" ref="Y226:Y239" si="37">IFERROR(IF(X226="",0,CEILING((X226/$H226),1)*$H226),"")</f>
        <v>50.400000000000006</v>
      </c>
      <c r="Z226" s="39">
        <f>IFERROR(IF(Y226=0,"",ROUNDUP(Y226/H226,0)*0.00902),"")</f>
        <v>0.10824</v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52.976190476190474</v>
      </c>
      <c r="BN226" s="75">
        <f t="shared" ref="BN226:BN239" si="39">IFERROR(Y226*I226/H226,"0")</f>
        <v>53.400000000000006</v>
      </c>
      <c r="BO226" s="75">
        <f t="shared" ref="BO226:BO239" si="40">IFERROR(1/J226*(X226/H226),"0")</f>
        <v>9.0187590187590191E-2</v>
      </c>
      <c r="BP226" s="75">
        <f t="shared" ref="BP226:BP239" si="41">IFERROR(1/J226*(Y226/H226),"0")</f>
        <v>9.0909090909090912E-2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720">
        <v>4680115881761</v>
      </c>
      <c r="E227" s="72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2"/>
      <c r="R227" s="722"/>
      <c r="S227" s="722"/>
      <c r="T227" s="72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720">
        <v>4680115881563</v>
      </c>
      <c r="E228" s="72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2"/>
      <c r="R228" s="722"/>
      <c r="S228" s="722"/>
      <c r="T228" s="72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customHeight="1" x14ac:dyDescent="0.25">
      <c r="A229" s="60" t="s">
        <v>395</v>
      </c>
      <c r="B229" s="60" t="s">
        <v>396</v>
      </c>
      <c r="C229" s="34">
        <v>4301031447</v>
      </c>
      <c r="D229" s="720">
        <v>4680115887565</v>
      </c>
      <c r="E229" s="72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2"/>
      <c r="R229" s="722"/>
      <c r="S229" s="722"/>
      <c r="T229" s="723"/>
      <c r="U229" s="37" t="s">
        <v>46</v>
      </c>
      <c r="V229" s="37" t="s">
        <v>46</v>
      </c>
      <c r="W229" s="38" t="s">
        <v>0</v>
      </c>
      <c r="X229" s="56">
        <v>8</v>
      </c>
      <c r="Y229" s="53">
        <f t="shared" si="37"/>
        <v>8</v>
      </c>
      <c r="Z229" s="39">
        <f>IFERROR(IF(Y229=0,"",ROUNDUP(Y229/H229,0)*0.00556),"")</f>
        <v>5.5599999999999997E-2</v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9.3000000000000007</v>
      </c>
      <c r="BN229" s="75">
        <f t="shared" si="39"/>
        <v>9.3000000000000007</v>
      </c>
      <c r="BO229" s="75">
        <f t="shared" si="40"/>
        <v>3.968253968253968E-2</v>
      </c>
      <c r="BP229" s="75">
        <f t="shared" si="41"/>
        <v>3.968253968253968E-2</v>
      </c>
    </row>
    <row r="230" spans="1:68" ht="27" customHeight="1" x14ac:dyDescent="0.25">
      <c r="A230" s="60" t="s">
        <v>398</v>
      </c>
      <c r="B230" s="60" t="s">
        <v>399</v>
      </c>
      <c r="C230" s="34">
        <v>4301031199</v>
      </c>
      <c r="D230" s="720">
        <v>4680115880986</v>
      </c>
      <c r="E230" s="72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2"/>
      <c r="R230" s="722"/>
      <c r="S230" s="722"/>
      <c r="T230" s="723"/>
      <c r="U230" s="37" t="s">
        <v>46</v>
      </c>
      <c r="V230" s="37" t="s">
        <v>46</v>
      </c>
      <c r="W230" s="38" t="s">
        <v>0</v>
      </c>
      <c r="X230" s="56">
        <v>70</v>
      </c>
      <c r="Y230" s="53">
        <f t="shared" si="37"/>
        <v>71.400000000000006</v>
      </c>
      <c r="Z230" s="39">
        <f t="shared" ref="Z230:Z235" si="42">IFERROR(IF(Y230=0,"",ROUNDUP(Y230/H230,0)*0.00502),"")</f>
        <v>0.17068</v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74.333333333333329</v>
      </c>
      <c r="BN230" s="75">
        <f t="shared" si="39"/>
        <v>75.820000000000007</v>
      </c>
      <c r="BO230" s="75">
        <f t="shared" si="40"/>
        <v>0.14245014245014245</v>
      </c>
      <c r="BP230" s="75">
        <f t="shared" si="41"/>
        <v>0.14529914529914531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720">
        <v>4680115887213</v>
      </c>
      <c r="E231" s="72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2"/>
      <c r="R231" s="722"/>
      <c r="S231" s="722"/>
      <c r="T231" s="72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4301031205</v>
      </c>
      <c r="D232" s="720">
        <v>4680115881785</v>
      </c>
      <c r="E232" s="72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2"/>
      <c r="R232" s="722"/>
      <c r="S232" s="722"/>
      <c r="T232" s="723"/>
      <c r="U232" s="37" t="s">
        <v>46</v>
      </c>
      <c r="V232" s="37" t="s">
        <v>46</v>
      </c>
      <c r="W232" s="38" t="s">
        <v>0</v>
      </c>
      <c r="X232" s="56">
        <v>175</v>
      </c>
      <c r="Y232" s="53">
        <f t="shared" si="37"/>
        <v>176.4</v>
      </c>
      <c r="Z232" s="39">
        <f t="shared" si="42"/>
        <v>0.42168</v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185.83333333333331</v>
      </c>
      <c r="BN232" s="75">
        <f t="shared" si="39"/>
        <v>187.32</v>
      </c>
      <c r="BO232" s="75">
        <f t="shared" si="40"/>
        <v>0.35612535612535612</v>
      </c>
      <c r="BP232" s="75">
        <f t="shared" si="41"/>
        <v>0.35897435897435903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720">
        <v>4680115888432</v>
      </c>
      <c r="E233" s="72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2"/>
      <c r="R233" s="722"/>
      <c r="S233" s="722"/>
      <c r="T233" s="72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720">
        <v>4680115888104</v>
      </c>
      <c r="E234" s="72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2"/>
      <c r="R234" s="722"/>
      <c r="S234" s="722"/>
      <c r="T234" s="72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720">
        <v>4680115886537</v>
      </c>
      <c r="E235" s="72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2"/>
      <c r="R235" s="722"/>
      <c r="S235" s="722"/>
      <c r="T235" s="72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720">
        <v>4680115887596</v>
      </c>
      <c r="E236" s="72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2"/>
      <c r="R236" s="722"/>
      <c r="S236" s="722"/>
      <c r="T236" s="72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customHeight="1" x14ac:dyDescent="0.25">
      <c r="A237" s="60" t="s">
        <v>417</v>
      </c>
      <c r="B237" s="60" t="s">
        <v>418</v>
      </c>
      <c r="C237" s="34">
        <v>4301031202</v>
      </c>
      <c r="D237" s="720">
        <v>4680115881679</v>
      </c>
      <c r="E237" s="72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2"/>
      <c r="R237" s="722"/>
      <c r="S237" s="722"/>
      <c r="T237" s="723"/>
      <c r="U237" s="37" t="s">
        <v>46</v>
      </c>
      <c r="V237" s="37" t="s">
        <v>46</v>
      </c>
      <c r="W237" s="38" t="s">
        <v>0</v>
      </c>
      <c r="X237" s="56">
        <v>244.99999999999997</v>
      </c>
      <c r="Y237" s="53">
        <f t="shared" si="37"/>
        <v>245.70000000000002</v>
      </c>
      <c r="Z237" s="39">
        <f>IFERROR(IF(Y237=0,"",ROUNDUP(Y237/H237,0)*0.00502),"")</f>
        <v>0.58733999999999997</v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256.66666666666663</v>
      </c>
      <c r="BN237" s="75">
        <f t="shared" si="39"/>
        <v>257.40000000000003</v>
      </c>
      <c r="BO237" s="75">
        <f t="shared" si="40"/>
        <v>0.49857549857549854</v>
      </c>
      <c r="BP237" s="75">
        <f t="shared" si="41"/>
        <v>0.5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720">
        <v>4680115880191</v>
      </c>
      <c r="E238" s="72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2"/>
      <c r="R238" s="722"/>
      <c r="S238" s="722"/>
      <c r="T238" s="72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720">
        <v>4680115883963</v>
      </c>
      <c r="E239" s="72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2"/>
      <c r="R239" s="722"/>
      <c r="S239" s="722"/>
      <c r="T239" s="72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x14ac:dyDescent="0.2">
      <c r="A240" s="728"/>
      <c r="B240" s="728"/>
      <c r="C240" s="728"/>
      <c r="D240" s="728"/>
      <c r="E240" s="728"/>
      <c r="F240" s="728"/>
      <c r="G240" s="728"/>
      <c r="H240" s="728"/>
      <c r="I240" s="728"/>
      <c r="J240" s="728"/>
      <c r="K240" s="728"/>
      <c r="L240" s="728"/>
      <c r="M240" s="728"/>
      <c r="N240" s="728"/>
      <c r="O240" s="729"/>
      <c r="P240" s="725" t="s">
        <v>40</v>
      </c>
      <c r="Q240" s="726"/>
      <c r="R240" s="726"/>
      <c r="S240" s="726"/>
      <c r="T240" s="726"/>
      <c r="U240" s="726"/>
      <c r="V240" s="727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255.23809523809518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257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1.34354</v>
      </c>
      <c r="AA240" s="64"/>
      <c r="AB240" s="64"/>
      <c r="AC240" s="64"/>
    </row>
    <row r="241" spans="1:68" x14ac:dyDescent="0.2">
      <c r="A241" s="728"/>
      <c r="B241" s="728"/>
      <c r="C241" s="728"/>
      <c r="D241" s="728"/>
      <c r="E241" s="728"/>
      <c r="F241" s="728"/>
      <c r="G241" s="728"/>
      <c r="H241" s="728"/>
      <c r="I241" s="728"/>
      <c r="J241" s="728"/>
      <c r="K241" s="728"/>
      <c r="L241" s="728"/>
      <c r="M241" s="728"/>
      <c r="N241" s="728"/>
      <c r="O241" s="729"/>
      <c r="P241" s="725" t="s">
        <v>40</v>
      </c>
      <c r="Q241" s="726"/>
      <c r="R241" s="726"/>
      <c r="S241" s="726"/>
      <c r="T241" s="726"/>
      <c r="U241" s="726"/>
      <c r="V241" s="727"/>
      <c r="W241" s="40" t="s">
        <v>0</v>
      </c>
      <c r="X241" s="41">
        <f>IFERROR(SUM(X226:X239),"0")</f>
        <v>548</v>
      </c>
      <c r="Y241" s="41">
        <f>IFERROR(SUM(Y226:Y239),"0")</f>
        <v>551.90000000000009</v>
      </c>
      <c r="Z241" s="40"/>
      <c r="AA241" s="64"/>
      <c r="AB241" s="64"/>
      <c r="AC241" s="64"/>
    </row>
    <row r="242" spans="1:68" ht="14.25" hidden="1" customHeight="1" x14ac:dyDescent="0.25">
      <c r="A242" s="719" t="s">
        <v>86</v>
      </c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720">
        <v>4680115888692</v>
      </c>
      <c r="E243" s="72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5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2"/>
      <c r="R243" s="722"/>
      <c r="S243" s="722"/>
      <c r="T243" s="72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720">
        <v>4680115888722</v>
      </c>
      <c r="E244" s="72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2"/>
      <c r="R244" s="722"/>
      <c r="S244" s="722"/>
      <c r="T244" s="72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720">
        <v>4680115888951</v>
      </c>
      <c r="E245" s="72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2"/>
      <c r="R245" s="722"/>
      <c r="S245" s="722"/>
      <c r="T245" s="72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720">
        <v>4680115888975</v>
      </c>
      <c r="E246" s="72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2"/>
      <c r="R246" s="722"/>
      <c r="S246" s="722"/>
      <c r="T246" s="72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720">
        <v>4680115888982</v>
      </c>
      <c r="E247" s="72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2"/>
      <c r="R247" s="722"/>
      <c r="S247" s="722"/>
      <c r="T247" s="72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8"/>
      <c r="B248" s="728"/>
      <c r="C248" s="728"/>
      <c r="D248" s="728"/>
      <c r="E248" s="728"/>
      <c r="F248" s="728"/>
      <c r="G248" s="728"/>
      <c r="H248" s="728"/>
      <c r="I248" s="728"/>
      <c r="J248" s="728"/>
      <c r="K248" s="728"/>
      <c r="L248" s="728"/>
      <c r="M248" s="728"/>
      <c r="N248" s="728"/>
      <c r="O248" s="729"/>
      <c r="P248" s="725" t="s">
        <v>40</v>
      </c>
      <c r="Q248" s="726"/>
      <c r="R248" s="726"/>
      <c r="S248" s="726"/>
      <c r="T248" s="726"/>
      <c r="U248" s="726"/>
      <c r="V248" s="727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8"/>
      <c r="B249" s="728"/>
      <c r="C249" s="728"/>
      <c r="D249" s="728"/>
      <c r="E249" s="728"/>
      <c r="F249" s="728"/>
      <c r="G249" s="728"/>
      <c r="H249" s="728"/>
      <c r="I249" s="728"/>
      <c r="J249" s="728"/>
      <c r="K249" s="728"/>
      <c r="L249" s="728"/>
      <c r="M249" s="728"/>
      <c r="N249" s="728"/>
      <c r="O249" s="729"/>
      <c r="P249" s="725" t="s">
        <v>40</v>
      </c>
      <c r="Q249" s="726"/>
      <c r="R249" s="726"/>
      <c r="S249" s="726"/>
      <c r="T249" s="726"/>
      <c r="U249" s="726"/>
      <c r="V249" s="727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9" t="s">
        <v>289</v>
      </c>
      <c r="B250" s="719"/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63"/>
      <c r="AB250" s="63"/>
      <c r="AC250" s="63"/>
    </row>
    <row r="251" spans="1:68" ht="27" customHeight="1" x14ac:dyDescent="0.25">
      <c r="A251" s="60" t="s">
        <v>438</v>
      </c>
      <c r="B251" s="60" t="s">
        <v>439</v>
      </c>
      <c r="C251" s="34">
        <v>4301032053</v>
      </c>
      <c r="D251" s="720">
        <v>4680115886780</v>
      </c>
      <c r="E251" s="72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2"/>
      <c r="R251" s="722"/>
      <c r="S251" s="722"/>
      <c r="T251" s="723"/>
      <c r="U251" s="37" t="s">
        <v>46</v>
      </c>
      <c r="V251" s="37" t="s">
        <v>46</v>
      </c>
      <c r="W251" s="38" t="s">
        <v>0</v>
      </c>
      <c r="X251" s="56">
        <v>10.500000000000002</v>
      </c>
      <c r="Y251" s="53">
        <f>IFERROR(IF(X251="",0,CEILING((X251/$H251),1)*$H251),"")</f>
        <v>11.34</v>
      </c>
      <c r="Z251" s="39">
        <f>IFERROR(IF(Y251=0,"",ROUNDUP(Y251/H251,0)*0.0059),"")</f>
        <v>5.3100000000000001E-2</v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12.083333333333334</v>
      </c>
      <c r="BN251" s="75">
        <f>IFERROR(Y251*I251/H251,"0")</f>
        <v>13.049999999999999</v>
      </c>
      <c r="BO251" s="75">
        <f>IFERROR(1/J251*(X251/H251),"0")</f>
        <v>3.8580246913580245E-2</v>
      </c>
      <c r="BP251" s="75">
        <f>IFERROR(1/J251*(Y251/H251),"0")</f>
        <v>4.1666666666666664E-2</v>
      </c>
    </row>
    <row r="252" spans="1:68" ht="27" customHeight="1" x14ac:dyDescent="0.25">
      <c r="A252" s="60" t="s">
        <v>441</v>
      </c>
      <c r="B252" s="60" t="s">
        <v>442</v>
      </c>
      <c r="C252" s="34">
        <v>4301032051</v>
      </c>
      <c r="D252" s="720">
        <v>4680115886742</v>
      </c>
      <c r="E252" s="72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2"/>
      <c r="R252" s="722"/>
      <c r="S252" s="722"/>
      <c r="T252" s="723"/>
      <c r="U252" s="37" t="s">
        <v>46</v>
      </c>
      <c r="V252" s="37" t="s">
        <v>46</v>
      </c>
      <c r="W252" s="38" t="s">
        <v>0</v>
      </c>
      <c r="X252" s="56">
        <v>21.000000000000004</v>
      </c>
      <c r="Y252" s="53">
        <f>IFERROR(IF(X252="",0,CEILING((X252/$H252),1)*$H252),"")</f>
        <v>21.42</v>
      </c>
      <c r="Z252" s="39">
        <f>IFERROR(IF(Y252=0,"",ROUNDUP(Y252/H252,0)*0.0059),"")</f>
        <v>0.1003</v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24.166666666666668</v>
      </c>
      <c r="BN252" s="75">
        <f>IFERROR(Y252*I252/H252,"0")</f>
        <v>24.650000000000002</v>
      </c>
      <c r="BO252" s="75">
        <f>IFERROR(1/J252*(X252/H252),"0")</f>
        <v>7.716049382716049E-2</v>
      </c>
      <c r="BP252" s="75">
        <f>IFERROR(1/J252*(Y252/H252),"0")</f>
        <v>7.8703703703703692E-2</v>
      </c>
    </row>
    <row r="253" spans="1:68" ht="27" customHeight="1" x14ac:dyDescent="0.25">
      <c r="A253" s="60" t="s">
        <v>444</v>
      </c>
      <c r="B253" s="60" t="s">
        <v>445</v>
      </c>
      <c r="C253" s="34">
        <v>4301032052</v>
      </c>
      <c r="D253" s="720">
        <v>4680115886766</v>
      </c>
      <c r="E253" s="72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2"/>
      <c r="R253" s="722"/>
      <c r="S253" s="722"/>
      <c r="T253" s="723"/>
      <c r="U253" s="37" t="s">
        <v>46</v>
      </c>
      <c r="V253" s="37" t="s">
        <v>46</v>
      </c>
      <c r="W253" s="38" t="s">
        <v>0</v>
      </c>
      <c r="X253" s="56">
        <v>28.000000000000004</v>
      </c>
      <c r="Y253" s="53">
        <f>IFERROR(IF(X253="",0,CEILING((X253/$H253),1)*$H253),"")</f>
        <v>28.98</v>
      </c>
      <c r="Z253" s="39">
        <f>IFERROR(IF(Y253=0,"",ROUNDUP(Y253/H253,0)*0.0059),"")</f>
        <v>0.13569999999999999</v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32.222222222222221</v>
      </c>
      <c r="BN253" s="75">
        <f>IFERROR(Y253*I253/H253,"0")</f>
        <v>33.35</v>
      </c>
      <c r="BO253" s="75">
        <f>IFERROR(1/J253*(X253/H253),"0")</f>
        <v>0.102880658436214</v>
      </c>
      <c r="BP253" s="75">
        <f>IFERROR(1/J253*(Y253/H253),"0")</f>
        <v>0.10648148148148148</v>
      </c>
    </row>
    <row r="254" spans="1:68" x14ac:dyDescent="0.2">
      <c r="A254" s="728"/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9"/>
      <c r="P254" s="725" t="s">
        <v>40</v>
      </c>
      <c r="Q254" s="726"/>
      <c r="R254" s="726"/>
      <c r="S254" s="726"/>
      <c r="T254" s="726"/>
      <c r="U254" s="726"/>
      <c r="V254" s="727"/>
      <c r="W254" s="40" t="s">
        <v>39</v>
      </c>
      <c r="X254" s="41">
        <f>IFERROR(X251/H251,"0")+IFERROR(X252/H252,"0")+IFERROR(X253/H253,"0")</f>
        <v>47.222222222222229</v>
      </c>
      <c r="Y254" s="41">
        <f>IFERROR(Y251/H251,"0")+IFERROR(Y252/H252,"0")+IFERROR(Y253/H253,"0")</f>
        <v>49</v>
      </c>
      <c r="Z254" s="41">
        <f>IFERROR(IF(Z251="",0,Z251),"0")+IFERROR(IF(Z252="",0,Z252),"0")+IFERROR(IF(Z253="",0,Z253),"0")</f>
        <v>0.28910000000000002</v>
      </c>
      <c r="AA254" s="64"/>
      <c r="AB254" s="64"/>
      <c r="AC254" s="64"/>
    </row>
    <row r="255" spans="1:68" x14ac:dyDescent="0.2">
      <c r="A255" s="728"/>
      <c r="B255" s="728"/>
      <c r="C255" s="728"/>
      <c r="D255" s="728"/>
      <c r="E255" s="728"/>
      <c r="F255" s="728"/>
      <c r="G255" s="728"/>
      <c r="H255" s="728"/>
      <c r="I255" s="728"/>
      <c r="J255" s="728"/>
      <c r="K255" s="728"/>
      <c r="L255" s="728"/>
      <c r="M255" s="728"/>
      <c r="N255" s="728"/>
      <c r="O255" s="729"/>
      <c r="P255" s="725" t="s">
        <v>40</v>
      </c>
      <c r="Q255" s="726"/>
      <c r="R255" s="726"/>
      <c r="S255" s="726"/>
      <c r="T255" s="726"/>
      <c r="U255" s="726"/>
      <c r="V255" s="727"/>
      <c r="W255" s="40" t="s">
        <v>0</v>
      </c>
      <c r="X255" s="41">
        <f>IFERROR(SUM(X251:X253),"0")</f>
        <v>59.500000000000014</v>
      </c>
      <c r="Y255" s="41">
        <f>IFERROR(SUM(Y251:Y253),"0")</f>
        <v>61.740000000000009</v>
      </c>
      <c r="Z255" s="40"/>
      <c r="AA255" s="64"/>
      <c r="AB255" s="64"/>
      <c r="AC255" s="64"/>
    </row>
    <row r="256" spans="1:68" ht="14.25" hidden="1" customHeight="1" x14ac:dyDescent="0.25">
      <c r="A256" s="719" t="s">
        <v>446</v>
      </c>
      <c r="B256" s="719"/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720">
        <v>4680115886797</v>
      </c>
      <c r="E257" s="72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2"/>
      <c r="R257" s="722"/>
      <c r="S257" s="722"/>
      <c r="T257" s="72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8"/>
      <c r="B258" s="728"/>
      <c r="C258" s="728"/>
      <c r="D258" s="728"/>
      <c r="E258" s="728"/>
      <c r="F258" s="728"/>
      <c r="G258" s="728"/>
      <c r="H258" s="728"/>
      <c r="I258" s="728"/>
      <c r="J258" s="728"/>
      <c r="K258" s="728"/>
      <c r="L258" s="728"/>
      <c r="M258" s="728"/>
      <c r="N258" s="728"/>
      <c r="O258" s="729"/>
      <c r="P258" s="725" t="s">
        <v>40</v>
      </c>
      <c r="Q258" s="726"/>
      <c r="R258" s="726"/>
      <c r="S258" s="726"/>
      <c r="T258" s="726"/>
      <c r="U258" s="726"/>
      <c r="V258" s="727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8"/>
      <c r="B259" s="728"/>
      <c r="C259" s="728"/>
      <c r="D259" s="728"/>
      <c r="E259" s="728"/>
      <c r="F259" s="728"/>
      <c r="G259" s="728"/>
      <c r="H259" s="728"/>
      <c r="I259" s="728"/>
      <c r="J259" s="728"/>
      <c r="K259" s="728"/>
      <c r="L259" s="728"/>
      <c r="M259" s="728"/>
      <c r="N259" s="728"/>
      <c r="O259" s="729"/>
      <c r="P259" s="725" t="s">
        <v>40</v>
      </c>
      <c r="Q259" s="726"/>
      <c r="R259" s="726"/>
      <c r="S259" s="726"/>
      <c r="T259" s="726"/>
      <c r="U259" s="726"/>
      <c r="V259" s="727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8" t="s">
        <v>449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2"/>
      <c r="AB260" s="62"/>
      <c r="AC260" s="62"/>
    </row>
    <row r="261" spans="1:68" ht="14.25" hidden="1" customHeight="1" x14ac:dyDescent="0.25">
      <c r="A261" s="719" t="s">
        <v>122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720">
        <v>4680115881402</v>
      </c>
      <c r="E262" s="7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2"/>
      <c r="R262" s="722"/>
      <c r="S262" s="722"/>
      <c r="T262" s="72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720">
        <v>4680115881396</v>
      </c>
      <c r="E263" s="72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2"/>
      <c r="R263" s="722"/>
      <c r="S263" s="722"/>
      <c r="T263" s="72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8"/>
      <c r="B264" s="728"/>
      <c r="C264" s="728"/>
      <c r="D264" s="728"/>
      <c r="E264" s="728"/>
      <c r="F264" s="728"/>
      <c r="G264" s="728"/>
      <c r="H264" s="728"/>
      <c r="I264" s="728"/>
      <c r="J264" s="728"/>
      <c r="K264" s="728"/>
      <c r="L264" s="728"/>
      <c r="M264" s="728"/>
      <c r="N264" s="728"/>
      <c r="O264" s="729"/>
      <c r="P264" s="725" t="s">
        <v>40</v>
      </c>
      <c r="Q264" s="726"/>
      <c r="R264" s="726"/>
      <c r="S264" s="726"/>
      <c r="T264" s="726"/>
      <c r="U264" s="726"/>
      <c r="V264" s="72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8"/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9"/>
      <c r="P265" s="725" t="s">
        <v>40</v>
      </c>
      <c r="Q265" s="726"/>
      <c r="R265" s="726"/>
      <c r="S265" s="726"/>
      <c r="T265" s="726"/>
      <c r="U265" s="726"/>
      <c r="V265" s="72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9" t="s">
        <v>155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720">
        <v>4680115882935</v>
      </c>
      <c r="E267" s="72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2"/>
      <c r="R267" s="722"/>
      <c r="S267" s="722"/>
      <c r="T267" s="72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720">
        <v>4680115880764</v>
      </c>
      <c r="E268" s="72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2"/>
      <c r="R268" s="722"/>
      <c r="S268" s="722"/>
      <c r="T268" s="72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8"/>
      <c r="B269" s="728"/>
      <c r="C269" s="728"/>
      <c r="D269" s="728"/>
      <c r="E269" s="728"/>
      <c r="F269" s="728"/>
      <c r="G269" s="728"/>
      <c r="H269" s="728"/>
      <c r="I269" s="728"/>
      <c r="J269" s="728"/>
      <c r="K269" s="728"/>
      <c r="L269" s="728"/>
      <c r="M269" s="728"/>
      <c r="N269" s="728"/>
      <c r="O269" s="729"/>
      <c r="P269" s="725" t="s">
        <v>40</v>
      </c>
      <c r="Q269" s="726"/>
      <c r="R269" s="726"/>
      <c r="S269" s="726"/>
      <c r="T269" s="726"/>
      <c r="U269" s="726"/>
      <c r="V269" s="727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8"/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9"/>
      <c r="P270" s="725" t="s">
        <v>40</v>
      </c>
      <c r="Q270" s="726"/>
      <c r="R270" s="726"/>
      <c r="S270" s="726"/>
      <c r="T270" s="726"/>
      <c r="U270" s="726"/>
      <c r="V270" s="727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9" t="s">
        <v>77</v>
      </c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63"/>
      <c r="AB271" s="63"/>
      <c r="AC271" s="63"/>
    </row>
    <row r="272" spans="1:68" ht="27" customHeight="1" x14ac:dyDescent="0.25">
      <c r="A272" s="60" t="s">
        <v>460</v>
      </c>
      <c r="B272" s="60" t="s">
        <v>461</v>
      </c>
      <c r="C272" s="34">
        <v>4301031224</v>
      </c>
      <c r="D272" s="720">
        <v>4680115882683</v>
      </c>
      <c r="E272" s="72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2"/>
      <c r="R272" s="722"/>
      <c r="S272" s="722"/>
      <c r="T272" s="723"/>
      <c r="U272" s="37" t="s">
        <v>46</v>
      </c>
      <c r="V272" s="37" t="s">
        <v>46</v>
      </c>
      <c r="W272" s="38" t="s">
        <v>0</v>
      </c>
      <c r="X272" s="56">
        <v>200</v>
      </c>
      <c r="Y272" s="53">
        <f t="shared" ref="Y272:Y279" si="43">IFERROR(IF(X272="",0,CEILING((X272/$H272),1)*$H272),"")</f>
        <v>205.20000000000002</v>
      </c>
      <c r="Z272" s="39">
        <f>IFERROR(IF(Y272=0,"",ROUNDUP(Y272/H272,0)*0.00902),"")</f>
        <v>0.34276000000000001</v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207.03703703703701</v>
      </c>
      <c r="BN272" s="75">
        <f t="shared" ref="BN272:BN279" si="45">IFERROR(Y272*I272/H272,"0")</f>
        <v>212.42</v>
      </c>
      <c r="BO272" s="75">
        <f t="shared" ref="BO272:BO279" si="46">IFERROR(1/J272*(X272/H272),"0")</f>
        <v>0.28058361391694725</v>
      </c>
      <c r="BP272" s="75">
        <f t="shared" ref="BP272:BP279" si="47">IFERROR(1/J272*(Y272/H272),"0")</f>
        <v>0.2878787878787879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720">
        <v>4680115882690</v>
      </c>
      <c r="E273" s="72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2"/>
      <c r="R273" s="722"/>
      <c r="S273" s="722"/>
      <c r="T273" s="72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customHeight="1" x14ac:dyDescent="0.25">
      <c r="A274" s="60" t="s">
        <v>466</v>
      </c>
      <c r="B274" s="60" t="s">
        <v>467</v>
      </c>
      <c r="C274" s="34">
        <v>4301031220</v>
      </c>
      <c r="D274" s="720">
        <v>4680115882669</v>
      </c>
      <c r="E274" s="72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2"/>
      <c r="R274" s="722"/>
      <c r="S274" s="722"/>
      <c r="T274" s="723"/>
      <c r="U274" s="37" t="s">
        <v>46</v>
      </c>
      <c r="V274" s="37" t="s">
        <v>46</v>
      </c>
      <c r="W274" s="38" t="s">
        <v>0</v>
      </c>
      <c r="X274" s="56">
        <v>200</v>
      </c>
      <c r="Y274" s="53">
        <f t="shared" si="43"/>
        <v>205.20000000000002</v>
      </c>
      <c r="Z274" s="39">
        <f>IFERROR(IF(Y274=0,"",ROUNDUP(Y274/H274,0)*0.00902),"")</f>
        <v>0.34276000000000001</v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207.03703703703701</v>
      </c>
      <c r="BN274" s="75">
        <f t="shared" si="45"/>
        <v>212.42</v>
      </c>
      <c r="BO274" s="75">
        <f t="shared" si="46"/>
        <v>0.28058361391694725</v>
      </c>
      <c r="BP274" s="75">
        <f t="shared" si="47"/>
        <v>0.2878787878787879</v>
      </c>
    </row>
    <row r="275" spans="1:68" ht="27" customHeight="1" x14ac:dyDescent="0.25">
      <c r="A275" s="60" t="s">
        <v>469</v>
      </c>
      <c r="B275" s="60" t="s">
        <v>470</v>
      </c>
      <c r="C275" s="34">
        <v>4301031221</v>
      </c>
      <c r="D275" s="720">
        <v>4680115882676</v>
      </c>
      <c r="E275" s="72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2"/>
      <c r="R275" s="722"/>
      <c r="S275" s="722"/>
      <c r="T275" s="723"/>
      <c r="U275" s="37" t="s">
        <v>46</v>
      </c>
      <c r="V275" s="37" t="s">
        <v>46</v>
      </c>
      <c r="W275" s="38" t="s">
        <v>0</v>
      </c>
      <c r="X275" s="56">
        <v>200</v>
      </c>
      <c r="Y275" s="53">
        <f t="shared" si="43"/>
        <v>205.20000000000002</v>
      </c>
      <c r="Z275" s="39">
        <f>IFERROR(IF(Y275=0,"",ROUNDUP(Y275/H275,0)*0.00902),"")</f>
        <v>0.34276000000000001</v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207.03703703703701</v>
      </c>
      <c r="BN275" s="75">
        <f t="shared" si="45"/>
        <v>212.42</v>
      </c>
      <c r="BO275" s="75">
        <f t="shared" si="46"/>
        <v>0.28058361391694725</v>
      </c>
      <c r="BP275" s="75">
        <f t="shared" si="47"/>
        <v>0.2878787878787879</v>
      </c>
    </row>
    <row r="276" spans="1:68" ht="27" customHeight="1" x14ac:dyDescent="0.25">
      <c r="A276" s="60" t="s">
        <v>472</v>
      </c>
      <c r="B276" s="60" t="s">
        <v>473</v>
      </c>
      <c r="C276" s="34">
        <v>4301031223</v>
      </c>
      <c r="D276" s="720">
        <v>4680115884014</v>
      </c>
      <c r="E276" s="72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2"/>
      <c r="R276" s="722"/>
      <c r="S276" s="722"/>
      <c r="T276" s="723"/>
      <c r="U276" s="37" t="s">
        <v>46</v>
      </c>
      <c r="V276" s="37" t="s">
        <v>46</v>
      </c>
      <c r="W276" s="38" t="s">
        <v>0</v>
      </c>
      <c r="X276" s="56">
        <v>180</v>
      </c>
      <c r="Y276" s="53">
        <f t="shared" si="43"/>
        <v>180</v>
      </c>
      <c r="Z276" s="39">
        <f>IFERROR(IF(Y276=0,"",ROUNDUP(Y276/H276,0)*0.00502),"")</f>
        <v>0.502</v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192.99999999999997</v>
      </c>
      <c r="BN276" s="75">
        <f t="shared" si="45"/>
        <v>192.99999999999997</v>
      </c>
      <c r="BO276" s="75">
        <f t="shared" si="46"/>
        <v>0.42735042735042739</v>
      </c>
      <c r="BP276" s="75">
        <f t="shared" si="47"/>
        <v>0.42735042735042739</v>
      </c>
    </row>
    <row r="277" spans="1:68" ht="27" customHeight="1" x14ac:dyDescent="0.25">
      <c r="A277" s="60" t="s">
        <v>474</v>
      </c>
      <c r="B277" s="60" t="s">
        <v>475</v>
      </c>
      <c r="C277" s="34">
        <v>4301031222</v>
      </c>
      <c r="D277" s="720">
        <v>4680115884007</v>
      </c>
      <c r="E277" s="72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2"/>
      <c r="R277" s="722"/>
      <c r="S277" s="722"/>
      <c r="T277" s="723"/>
      <c r="U277" s="37" t="s">
        <v>46</v>
      </c>
      <c r="V277" s="37" t="s">
        <v>46</v>
      </c>
      <c r="W277" s="38" t="s">
        <v>0</v>
      </c>
      <c r="X277" s="56">
        <v>180</v>
      </c>
      <c r="Y277" s="53">
        <f t="shared" si="43"/>
        <v>180</v>
      </c>
      <c r="Z277" s="39">
        <f>IFERROR(IF(Y277=0,"",ROUNDUP(Y277/H277,0)*0.00502),"")</f>
        <v>0.502</v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190</v>
      </c>
      <c r="BN277" s="75">
        <f t="shared" si="45"/>
        <v>190</v>
      </c>
      <c r="BO277" s="75">
        <f t="shared" si="46"/>
        <v>0.42735042735042739</v>
      </c>
      <c r="BP277" s="75">
        <f t="shared" si="47"/>
        <v>0.42735042735042739</v>
      </c>
    </row>
    <row r="278" spans="1:68" ht="27" customHeight="1" x14ac:dyDescent="0.25">
      <c r="A278" s="60" t="s">
        <v>476</v>
      </c>
      <c r="B278" s="60" t="s">
        <v>477</v>
      </c>
      <c r="C278" s="34">
        <v>4301031229</v>
      </c>
      <c r="D278" s="720">
        <v>4680115884038</v>
      </c>
      <c r="E278" s="72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2"/>
      <c r="R278" s="722"/>
      <c r="S278" s="722"/>
      <c r="T278" s="723"/>
      <c r="U278" s="37" t="s">
        <v>46</v>
      </c>
      <c r="V278" s="37" t="s">
        <v>46</v>
      </c>
      <c r="W278" s="38" t="s">
        <v>0</v>
      </c>
      <c r="X278" s="56">
        <v>180</v>
      </c>
      <c r="Y278" s="53">
        <f t="shared" si="43"/>
        <v>180</v>
      </c>
      <c r="Z278" s="39">
        <f>IFERROR(IF(Y278=0,"",ROUNDUP(Y278/H278,0)*0.00502),"")</f>
        <v>0.502</v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190</v>
      </c>
      <c r="BN278" s="75">
        <f t="shared" si="45"/>
        <v>190</v>
      </c>
      <c r="BO278" s="75">
        <f t="shared" si="46"/>
        <v>0.42735042735042739</v>
      </c>
      <c r="BP278" s="75">
        <f t="shared" si="47"/>
        <v>0.42735042735042739</v>
      </c>
    </row>
    <row r="279" spans="1:68" ht="27" customHeight="1" x14ac:dyDescent="0.25">
      <c r="A279" s="60" t="s">
        <v>478</v>
      </c>
      <c r="B279" s="60" t="s">
        <v>479</v>
      </c>
      <c r="C279" s="34">
        <v>4301031225</v>
      </c>
      <c r="D279" s="720">
        <v>4680115884021</v>
      </c>
      <c r="E279" s="72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2"/>
      <c r="R279" s="722"/>
      <c r="S279" s="722"/>
      <c r="T279" s="723"/>
      <c r="U279" s="37" t="s">
        <v>46</v>
      </c>
      <c r="V279" s="37" t="s">
        <v>46</v>
      </c>
      <c r="W279" s="38" t="s">
        <v>0</v>
      </c>
      <c r="X279" s="56">
        <v>180</v>
      </c>
      <c r="Y279" s="53">
        <f t="shared" si="43"/>
        <v>180</v>
      </c>
      <c r="Z279" s="39">
        <f>IFERROR(IF(Y279=0,"",ROUNDUP(Y279/H279,0)*0.00502),"")</f>
        <v>0.502</v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190</v>
      </c>
      <c r="BN279" s="75">
        <f t="shared" si="45"/>
        <v>190</v>
      </c>
      <c r="BO279" s="75">
        <f t="shared" si="46"/>
        <v>0.42735042735042739</v>
      </c>
      <c r="BP279" s="75">
        <f t="shared" si="47"/>
        <v>0.42735042735042739</v>
      </c>
    </row>
    <row r="280" spans="1:68" x14ac:dyDescent="0.2">
      <c r="A280" s="728"/>
      <c r="B280" s="728"/>
      <c r="C280" s="728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9"/>
      <c r="P280" s="725" t="s">
        <v>40</v>
      </c>
      <c r="Q280" s="726"/>
      <c r="R280" s="726"/>
      <c r="S280" s="726"/>
      <c r="T280" s="726"/>
      <c r="U280" s="726"/>
      <c r="V280" s="727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511.11111111111109</v>
      </c>
      <c r="Y280" s="41">
        <f>IFERROR(Y272/H272,"0")+IFERROR(Y273/H273,"0")+IFERROR(Y274/H274,"0")+IFERROR(Y275/H275,"0")+IFERROR(Y276/H276,"0")+IFERROR(Y277/H277,"0")+IFERROR(Y278/H278,"0")+IFERROR(Y279/H279,"0")</f>
        <v>514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3.0362799999999996</v>
      </c>
      <c r="AA280" s="64"/>
      <c r="AB280" s="64"/>
      <c r="AC280" s="64"/>
    </row>
    <row r="281" spans="1:68" x14ac:dyDescent="0.2">
      <c r="A281" s="728"/>
      <c r="B281" s="728"/>
      <c r="C281" s="728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9"/>
      <c r="P281" s="725" t="s">
        <v>40</v>
      </c>
      <c r="Q281" s="726"/>
      <c r="R281" s="726"/>
      <c r="S281" s="726"/>
      <c r="T281" s="726"/>
      <c r="U281" s="726"/>
      <c r="V281" s="727"/>
      <c r="W281" s="40" t="s">
        <v>0</v>
      </c>
      <c r="X281" s="41">
        <f>IFERROR(SUM(X272:X279),"0")</f>
        <v>1320</v>
      </c>
      <c r="Y281" s="41">
        <f>IFERROR(SUM(Y272:Y279),"0")</f>
        <v>1335.6</v>
      </c>
      <c r="Z281" s="40"/>
      <c r="AA281" s="64"/>
      <c r="AB281" s="64"/>
      <c r="AC281" s="64"/>
    </row>
    <row r="282" spans="1:68" ht="14.25" hidden="1" customHeight="1" x14ac:dyDescent="0.25">
      <c r="A282" s="719" t="s">
        <v>86</v>
      </c>
      <c r="B282" s="719"/>
      <c r="C282" s="719"/>
      <c r="D282" s="719"/>
      <c r="E282" s="719"/>
      <c r="F282" s="719"/>
      <c r="G282" s="719"/>
      <c r="H282" s="719"/>
      <c r="I282" s="719"/>
      <c r="J282" s="719"/>
      <c r="K282" s="719"/>
      <c r="L282" s="719"/>
      <c r="M282" s="719"/>
      <c r="N282" s="719"/>
      <c r="O282" s="719"/>
      <c r="P282" s="719"/>
      <c r="Q282" s="719"/>
      <c r="R282" s="719"/>
      <c r="S282" s="719"/>
      <c r="T282" s="719"/>
      <c r="U282" s="719"/>
      <c r="V282" s="719"/>
      <c r="W282" s="719"/>
      <c r="X282" s="719"/>
      <c r="Y282" s="719"/>
      <c r="Z282" s="719"/>
      <c r="AA282" s="63"/>
      <c r="AB282" s="63"/>
      <c r="AC282" s="63"/>
    </row>
    <row r="283" spans="1:68" ht="27" customHeight="1" x14ac:dyDescent="0.25">
      <c r="A283" s="60" t="s">
        <v>480</v>
      </c>
      <c r="B283" s="60" t="s">
        <v>481</v>
      </c>
      <c r="C283" s="34">
        <v>4301051408</v>
      </c>
      <c r="D283" s="720">
        <v>4680115881594</v>
      </c>
      <c r="E283" s="72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2"/>
      <c r="R283" s="722"/>
      <c r="S283" s="722"/>
      <c r="T283" s="723"/>
      <c r="U283" s="37" t="s">
        <v>46</v>
      </c>
      <c r="V283" s="37" t="s">
        <v>46</v>
      </c>
      <c r="W283" s="38" t="s">
        <v>0</v>
      </c>
      <c r="X283" s="56">
        <v>250</v>
      </c>
      <c r="Y283" s="53">
        <f t="shared" ref="Y283:Y294" si="48">IFERROR(IF(X283="",0,CEILING((X283/$H283),1)*$H283),"")</f>
        <v>251.1</v>
      </c>
      <c r="Z283" s="39">
        <f>IFERROR(IF(Y283=0,"",ROUNDUP(Y283/H283,0)*0.01898),"")</f>
        <v>0.58838000000000001</v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265.24691358024694</v>
      </c>
      <c r="BN283" s="75">
        <f t="shared" ref="BN283:BN294" si="50">IFERROR(Y283*I283/H283,"0")</f>
        <v>266.41399999999999</v>
      </c>
      <c r="BO283" s="75">
        <f t="shared" ref="BO283:BO294" si="51">IFERROR(1/J283*(X283/H283),"0")</f>
        <v>0.48225308641975312</v>
      </c>
      <c r="BP283" s="75">
        <f t="shared" ref="BP283:BP294" si="52">IFERROR(1/J283*(Y283/H283),"0")</f>
        <v>0.484375</v>
      </c>
    </row>
    <row r="284" spans="1:68" ht="27" customHeight="1" x14ac:dyDescent="0.25">
      <c r="A284" s="60" t="s">
        <v>483</v>
      </c>
      <c r="B284" s="60" t="s">
        <v>484</v>
      </c>
      <c r="C284" s="34">
        <v>4301051411</v>
      </c>
      <c r="D284" s="720">
        <v>4680115881617</v>
      </c>
      <c r="E284" s="72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2"/>
      <c r="R284" s="722"/>
      <c r="S284" s="722"/>
      <c r="T284" s="723"/>
      <c r="U284" s="37" t="s">
        <v>46</v>
      </c>
      <c r="V284" s="37" t="s">
        <v>46</v>
      </c>
      <c r="W284" s="38" t="s">
        <v>0</v>
      </c>
      <c r="X284" s="56">
        <v>300</v>
      </c>
      <c r="Y284" s="53">
        <f t="shared" si="48"/>
        <v>307.8</v>
      </c>
      <c r="Z284" s="39">
        <f>IFERROR(IF(Y284=0,"",ROUNDUP(Y284/H284,0)*0.01898),"")</f>
        <v>0.72123999999999999</v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317.62962962962968</v>
      </c>
      <c r="BN284" s="75">
        <f t="shared" si="50"/>
        <v>325.88800000000003</v>
      </c>
      <c r="BO284" s="75">
        <f t="shared" si="51"/>
        <v>0.57870370370370372</v>
      </c>
      <c r="BP284" s="75">
        <f t="shared" si="52"/>
        <v>0.59375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720">
        <v>4680115880573</v>
      </c>
      <c r="E285" s="72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2"/>
      <c r="R285" s="722"/>
      <c r="S285" s="722"/>
      <c r="T285" s="72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489</v>
      </c>
      <c r="B286" s="60" t="s">
        <v>490</v>
      </c>
      <c r="C286" s="34">
        <v>4301051407</v>
      </c>
      <c r="D286" s="720">
        <v>4680115882195</v>
      </c>
      <c r="E286" s="72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2"/>
      <c r="R286" s="722"/>
      <c r="S286" s="722"/>
      <c r="T286" s="723"/>
      <c r="U286" s="37" t="s">
        <v>46</v>
      </c>
      <c r="V286" s="37" t="s">
        <v>46</v>
      </c>
      <c r="W286" s="38" t="s">
        <v>0</v>
      </c>
      <c r="X286" s="56">
        <v>640</v>
      </c>
      <c r="Y286" s="53">
        <f t="shared" si="48"/>
        <v>640.79999999999995</v>
      </c>
      <c r="Z286" s="39">
        <f>IFERROR(IF(Y286=0,"",ROUNDUP(Y286/H286,0)*0.00651),"")</f>
        <v>1.73817</v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712</v>
      </c>
      <c r="BN286" s="75">
        <f t="shared" si="50"/>
        <v>712.89</v>
      </c>
      <c r="BO286" s="75">
        <f t="shared" si="51"/>
        <v>1.4652014652014653</v>
      </c>
      <c r="BP286" s="75">
        <f t="shared" si="52"/>
        <v>1.4670329670329672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720">
        <v>4680115882607</v>
      </c>
      <c r="E287" s="72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2"/>
      <c r="R287" s="722"/>
      <c r="S287" s="722"/>
      <c r="T287" s="72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720">
        <v>4680115882607</v>
      </c>
      <c r="E288" s="72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2"/>
      <c r="R288" s="722"/>
      <c r="S288" s="722"/>
      <c r="T288" s="72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customHeight="1" x14ac:dyDescent="0.25">
      <c r="A289" s="60" t="s">
        <v>496</v>
      </c>
      <c r="B289" s="60" t="s">
        <v>497</v>
      </c>
      <c r="C289" s="34">
        <v>4301051666</v>
      </c>
      <c r="D289" s="720">
        <v>4680115880092</v>
      </c>
      <c r="E289" s="72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2"/>
      <c r="R289" s="722"/>
      <c r="S289" s="722"/>
      <c r="T289" s="723"/>
      <c r="U289" s="37" t="s">
        <v>46</v>
      </c>
      <c r="V289" s="37" t="s">
        <v>46</v>
      </c>
      <c r="W289" s="38" t="s">
        <v>0</v>
      </c>
      <c r="X289" s="56">
        <v>600</v>
      </c>
      <c r="Y289" s="53">
        <f t="shared" si="48"/>
        <v>600</v>
      </c>
      <c r="Z289" s="39">
        <f>IFERROR(IF(Y289=0,"",ROUNDUP(Y289/H289,0)*0.00651),"")</f>
        <v>1.6274999999999999</v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663</v>
      </c>
      <c r="BN289" s="75">
        <f t="shared" si="50"/>
        <v>663</v>
      </c>
      <c r="BO289" s="75">
        <f t="shared" si="51"/>
        <v>1.3736263736263736</v>
      </c>
      <c r="BP289" s="75">
        <f t="shared" si="52"/>
        <v>1.3736263736263736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720">
        <v>4680115889064</v>
      </c>
      <c r="E290" s="72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2"/>
      <c r="R290" s="722"/>
      <c r="S290" s="722"/>
      <c r="T290" s="72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720">
        <v>4680115880221</v>
      </c>
      <c r="E291" s="72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2"/>
      <c r="R291" s="722"/>
      <c r="S291" s="722"/>
      <c r="T291" s="72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customHeight="1" x14ac:dyDescent="0.25">
      <c r="A292" s="60" t="s">
        <v>502</v>
      </c>
      <c r="B292" s="60" t="s">
        <v>503</v>
      </c>
      <c r="C292" s="34">
        <v>4301051945</v>
      </c>
      <c r="D292" s="720">
        <v>4680115880504</v>
      </c>
      <c r="E292" s="72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2"/>
      <c r="R292" s="722"/>
      <c r="S292" s="722"/>
      <c r="T292" s="723"/>
      <c r="U292" s="37" t="s">
        <v>46</v>
      </c>
      <c r="V292" s="37" t="s">
        <v>46</v>
      </c>
      <c r="W292" s="38" t="s">
        <v>0</v>
      </c>
      <c r="X292" s="56">
        <v>60</v>
      </c>
      <c r="Y292" s="53">
        <f t="shared" si="48"/>
        <v>60</v>
      </c>
      <c r="Z292" s="39">
        <f>IFERROR(IF(Y292=0,"",ROUNDUP(Y292/H292,0)*0.00651),"")</f>
        <v>0.16275000000000001</v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66.300000000000011</v>
      </c>
      <c r="BN292" s="75">
        <f t="shared" si="50"/>
        <v>66.300000000000011</v>
      </c>
      <c r="BO292" s="75">
        <f t="shared" si="51"/>
        <v>0.13736263736263737</v>
      </c>
      <c r="BP292" s="75">
        <f t="shared" si="52"/>
        <v>0.13736263736263737</v>
      </c>
    </row>
    <row r="293" spans="1:68" ht="27" customHeight="1" x14ac:dyDescent="0.25">
      <c r="A293" s="60" t="s">
        <v>505</v>
      </c>
      <c r="B293" s="60" t="s">
        <v>506</v>
      </c>
      <c r="C293" s="34">
        <v>4301051410</v>
      </c>
      <c r="D293" s="720">
        <v>4680115882164</v>
      </c>
      <c r="E293" s="72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2"/>
      <c r="R293" s="722"/>
      <c r="S293" s="722"/>
      <c r="T293" s="723"/>
      <c r="U293" s="37" t="s">
        <v>46</v>
      </c>
      <c r="V293" s="37" t="s">
        <v>46</v>
      </c>
      <c r="W293" s="38" t="s">
        <v>0</v>
      </c>
      <c r="X293" s="56">
        <v>320</v>
      </c>
      <c r="Y293" s="53">
        <f t="shared" si="48"/>
        <v>321.59999999999997</v>
      </c>
      <c r="Z293" s="39">
        <f>IFERROR(IF(Y293=0,"",ROUNDUP(Y293/H293,0)*0.00651),"")</f>
        <v>0.87234</v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354.4</v>
      </c>
      <c r="BN293" s="75">
        <f t="shared" si="50"/>
        <v>356.17199999999997</v>
      </c>
      <c r="BO293" s="75">
        <f t="shared" si="51"/>
        <v>0.73260073260073266</v>
      </c>
      <c r="BP293" s="75">
        <f t="shared" si="52"/>
        <v>0.73626373626373631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720">
        <v>4680115888340</v>
      </c>
      <c r="E294" s="72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2"/>
      <c r="R294" s="722"/>
      <c r="S294" s="722"/>
      <c r="T294" s="72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728"/>
      <c r="B295" s="728"/>
      <c r="C295" s="728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9"/>
      <c r="P295" s="725" t="s">
        <v>40</v>
      </c>
      <c r="Q295" s="726"/>
      <c r="R295" s="726"/>
      <c r="S295" s="726"/>
      <c r="T295" s="726"/>
      <c r="U295" s="726"/>
      <c r="V295" s="727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742.90123456790127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745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5.7103800000000007</v>
      </c>
      <c r="AA295" s="64"/>
      <c r="AB295" s="64"/>
      <c r="AC295" s="64"/>
    </row>
    <row r="296" spans="1:68" x14ac:dyDescent="0.2">
      <c r="A296" s="728"/>
      <c r="B296" s="728"/>
      <c r="C296" s="728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9"/>
      <c r="P296" s="725" t="s">
        <v>40</v>
      </c>
      <c r="Q296" s="726"/>
      <c r="R296" s="726"/>
      <c r="S296" s="726"/>
      <c r="T296" s="726"/>
      <c r="U296" s="726"/>
      <c r="V296" s="727"/>
      <c r="W296" s="40" t="s">
        <v>0</v>
      </c>
      <c r="X296" s="41">
        <f>IFERROR(SUM(X283:X294),"0")</f>
        <v>2170</v>
      </c>
      <c r="Y296" s="41">
        <f>IFERROR(SUM(Y283:Y294),"0")</f>
        <v>2181.2999999999997</v>
      </c>
      <c r="Z296" s="40"/>
      <c r="AA296" s="64"/>
      <c r="AB296" s="64"/>
      <c r="AC296" s="64"/>
    </row>
    <row r="297" spans="1:68" ht="14.25" hidden="1" customHeight="1" x14ac:dyDescent="0.25">
      <c r="A297" s="719" t="s">
        <v>173</v>
      </c>
      <c r="B297" s="719"/>
      <c r="C297" s="719"/>
      <c r="D297" s="719"/>
      <c r="E297" s="719"/>
      <c r="F297" s="719"/>
      <c r="G297" s="719"/>
      <c r="H297" s="719"/>
      <c r="I297" s="719"/>
      <c r="J297" s="719"/>
      <c r="K297" s="719"/>
      <c r="L297" s="719"/>
      <c r="M297" s="719"/>
      <c r="N297" s="719"/>
      <c r="O297" s="719"/>
      <c r="P297" s="719"/>
      <c r="Q297" s="719"/>
      <c r="R297" s="719"/>
      <c r="S297" s="719"/>
      <c r="T297" s="719"/>
      <c r="U297" s="719"/>
      <c r="V297" s="719"/>
      <c r="W297" s="719"/>
      <c r="X297" s="719"/>
      <c r="Y297" s="719"/>
      <c r="Z297" s="719"/>
      <c r="AA297" s="63"/>
      <c r="AB297" s="63"/>
      <c r="AC297" s="63"/>
    </row>
    <row r="298" spans="1:68" ht="27" hidden="1" customHeight="1" x14ac:dyDescent="0.25">
      <c r="A298" s="60" t="s">
        <v>511</v>
      </c>
      <c r="B298" s="60" t="s">
        <v>512</v>
      </c>
      <c r="C298" s="34">
        <v>4301060463</v>
      </c>
      <c r="D298" s="720">
        <v>4680115880818</v>
      </c>
      <c r="E298" s="72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2"/>
      <c r="R298" s="722"/>
      <c r="S298" s="722"/>
      <c r="T298" s="723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514</v>
      </c>
      <c r="B299" s="60" t="s">
        <v>515</v>
      </c>
      <c r="C299" s="34">
        <v>4301060389</v>
      </c>
      <c r="D299" s="720">
        <v>4680115880801</v>
      </c>
      <c r="E299" s="72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2"/>
      <c r="R299" s="722"/>
      <c r="S299" s="722"/>
      <c r="T299" s="723"/>
      <c r="U299" s="37" t="s">
        <v>46</v>
      </c>
      <c r="V299" s="37" t="s">
        <v>46</v>
      </c>
      <c r="W299" s="38" t="s">
        <v>0</v>
      </c>
      <c r="X299" s="56">
        <v>200</v>
      </c>
      <c r="Y299" s="53">
        <f>IFERROR(IF(X299="",0,CEILING((X299/$H299),1)*$H299),"")</f>
        <v>201.6</v>
      </c>
      <c r="Z299" s="39">
        <f>IFERROR(IF(Y299=0,"",ROUNDUP(Y299/H299,0)*0.00651),"")</f>
        <v>0.54683999999999999</v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221</v>
      </c>
      <c r="BN299" s="75">
        <f>IFERROR(Y299*I299/H299,"0")</f>
        <v>222.768</v>
      </c>
      <c r="BO299" s="75">
        <f>IFERROR(1/J299*(X299/H299),"0")</f>
        <v>0.45787545787545797</v>
      </c>
      <c r="BP299" s="75">
        <f>IFERROR(1/J299*(Y299/H299),"0")</f>
        <v>0.46153846153846156</v>
      </c>
    </row>
    <row r="300" spans="1:68" x14ac:dyDescent="0.2">
      <c r="A300" s="728"/>
      <c r="B300" s="728"/>
      <c r="C300" s="728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9"/>
      <c r="P300" s="725" t="s">
        <v>40</v>
      </c>
      <c r="Q300" s="726"/>
      <c r="R300" s="726"/>
      <c r="S300" s="726"/>
      <c r="T300" s="726"/>
      <c r="U300" s="726"/>
      <c r="V300" s="727"/>
      <c r="W300" s="40" t="s">
        <v>39</v>
      </c>
      <c r="X300" s="41">
        <f>IFERROR(X298/H298,"0")+IFERROR(X299/H299,"0")</f>
        <v>83.333333333333343</v>
      </c>
      <c r="Y300" s="41">
        <f>IFERROR(Y298/H298,"0")+IFERROR(Y299/H299,"0")</f>
        <v>84</v>
      </c>
      <c r="Z300" s="41">
        <f>IFERROR(IF(Z298="",0,Z298),"0")+IFERROR(IF(Z299="",0,Z299),"0")</f>
        <v>0.54683999999999999</v>
      </c>
      <c r="AA300" s="64"/>
      <c r="AB300" s="64"/>
      <c r="AC300" s="64"/>
    </row>
    <row r="301" spans="1:68" x14ac:dyDescent="0.2">
      <c r="A301" s="728"/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9"/>
      <c r="P301" s="725" t="s">
        <v>40</v>
      </c>
      <c r="Q301" s="726"/>
      <c r="R301" s="726"/>
      <c r="S301" s="726"/>
      <c r="T301" s="726"/>
      <c r="U301" s="726"/>
      <c r="V301" s="727"/>
      <c r="W301" s="40" t="s">
        <v>0</v>
      </c>
      <c r="X301" s="41">
        <f>IFERROR(SUM(X298:X299),"0")</f>
        <v>200</v>
      </c>
      <c r="Y301" s="41">
        <f>IFERROR(SUM(Y298:Y299),"0")</f>
        <v>201.6</v>
      </c>
      <c r="Z301" s="40"/>
      <c r="AA301" s="64"/>
      <c r="AB301" s="64"/>
      <c r="AC301" s="64"/>
    </row>
    <row r="302" spans="1:68" ht="16.5" hidden="1" customHeight="1" x14ac:dyDescent="0.25">
      <c r="A302" s="718" t="s">
        <v>517</v>
      </c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62"/>
      <c r="AB302" s="62"/>
      <c r="AC302" s="62"/>
    </row>
    <row r="303" spans="1:68" ht="14.25" hidden="1" customHeight="1" x14ac:dyDescent="0.25">
      <c r="A303" s="719" t="s">
        <v>122</v>
      </c>
      <c r="B303" s="719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19"/>
      <c r="T303" s="719"/>
      <c r="U303" s="719"/>
      <c r="V303" s="719"/>
      <c r="W303" s="719"/>
      <c r="X303" s="719"/>
      <c r="Y303" s="719"/>
      <c r="Z303" s="719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720">
        <v>4680115884137</v>
      </c>
      <c r="E304" s="72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2"/>
      <c r="R304" s="722"/>
      <c r="S304" s="722"/>
      <c r="T304" s="72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720">
        <v>4680115884236</v>
      </c>
      <c r="E305" s="72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2"/>
      <c r="R305" s="722"/>
      <c r="S305" s="722"/>
      <c r="T305" s="72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customHeight="1" x14ac:dyDescent="0.25">
      <c r="A306" s="60" t="s">
        <v>524</v>
      </c>
      <c r="B306" s="60" t="s">
        <v>525</v>
      </c>
      <c r="C306" s="34">
        <v>4301011721</v>
      </c>
      <c r="D306" s="720">
        <v>4680115884175</v>
      </c>
      <c r="E306" s="72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2"/>
      <c r="R306" s="722"/>
      <c r="S306" s="722"/>
      <c r="T306" s="723"/>
      <c r="U306" s="37" t="s">
        <v>46</v>
      </c>
      <c r="V306" s="37" t="s">
        <v>46</v>
      </c>
      <c r="W306" s="38" t="s">
        <v>0</v>
      </c>
      <c r="X306" s="56">
        <v>50.30058333333335</v>
      </c>
      <c r="Y306" s="53">
        <f t="shared" si="53"/>
        <v>58</v>
      </c>
      <c r="Z306" s="39">
        <f>IFERROR(IF(Y306=0,"",ROUNDUP(Y306/H306,0)*0.01898),"")</f>
        <v>9.4899999999999998E-2</v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52.078448778735648</v>
      </c>
      <c r="BN306" s="75">
        <f t="shared" si="55"/>
        <v>60.050000000000004</v>
      </c>
      <c r="BO306" s="75">
        <f t="shared" si="56"/>
        <v>6.7754018498563245E-2</v>
      </c>
      <c r="BP306" s="75">
        <f t="shared" si="57"/>
        <v>7.8125E-2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720">
        <v>4680115884144</v>
      </c>
      <c r="E307" s="72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2"/>
      <c r="R307" s="722"/>
      <c r="S307" s="722"/>
      <c r="T307" s="72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720">
        <v>4680115886551</v>
      </c>
      <c r="E308" s="72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2"/>
      <c r="R308" s="722"/>
      <c r="S308" s="722"/>
      <c r="T308" s="72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720">
        <v>4680115887282</v>
      </c>
      <c r="E309" s="72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2"/>
      <c r="R309" s="722"/>
      <c r="S309" s="722"/>
      <c r="T309" s="72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customHeight="1" x14ac:dyDescent="0.25">
      <c r="A310" s="60" t="s">
        <v>534</v>
      </c>
      <c r="B310" s="60" t="s">
        <v>535</v>
      </c>
      <c r="C310" s="34">
        <v>4301011722</v>
      </c>
      <c r="D310" s="720">
        <v>4680115884205</v>
      </c>
      <c r="E310" s="72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2"/>
      <c r="R310" s="722"/>
      <c r="S310" s="722"/>
      <c r="T310" s="723"/>
      <c r="U310" s="37" t="s">
        <v>46</v>
      </c>
      <c r="V310" s="37" t="s">
        <v>46</v>
      </c>
      <c r="W310" s="38" t="s">
        <v>0</v>
      </c>
      <c r="X310" s="56">
        <v>80</v>
      </c>
      <c r="Y310" s="53">
        <f t="shared" si="53"/>
        <v>80</v>
      </c>
      <c r="Z310" s="39">
        <f>IFERROR(IF(Y310=0,"",ROUNDUP(Y310/H310,0)*0.00902),"")</f>
        <v>0.1804</v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83.800000000000011</v>
      </c>
      <c r="BN310" s="75">
        <f t="shared" si="55"/>
        <v>83.800000000000011</v>
      </c>
      <c r="BO310" s="75">
        <f t="shared" si="56"/>
        <v>0.15151515151515152</v>
      </c>
      <c r="BP310" s="75">
        <f t="shared" si="57"/>
        <v>0.15151515151515152</v>
      </c>
    </row>
    <row r="311" spans="1:68" x14ac:dyDescent="0.2">
      <c r="A311" s="728"/>
      <c r="B311" s="728"/>
      <c r="C311" s="728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9"/>
      <c r="P311" s="725" t="s">
        <v>40</v>
      </c>
      <c r="Q311" s="726"/>
      <c r="R311" s="726"/>
      <c r="S311" s="726"/>
      <c r="T311" s="726"/>
      <c r="U311" s="726"/>
      <c r="V311" s="727"/>
      <c r="W311" s="40" t="s">
        <v>39</v>
      </c>
      <c r="X311" s="41">
        <f>IFERROR(X304/H304,"0")+IFERROR(X305/H305,"0")+IFERROR(X306/H306,"0")+IFERROR(X307/H307,"0")+IFERROR(X308/H308,"0")+IFERROR(X309/H309,"0")+IFERROR(X310/H310,"0")</f>
        <v>24.336257183908046</v>
      </c>
      <c r="Y311" s="41">
        <f>IFERROR(Y304/H304,"0")+IFERROR(Y305/H305,"0")+IFERROR(Y306/H306,"0")+IFERROR(Y307/H307,"0")+IFERROR(Y308/H308,"0")+IFERROR(Y309/H309,"0")+IFERROR(Y310/H310,"0")</f>
        <v>25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0.27529999999999999</v>
      </c>
      <c r="AA311" s="64"/>
      <c r="AB311" s="64"/>
      <c r="AC311" s="64"/>
    </row>
    <row r="312" spans="1:68" x14ac:dyDescent="0.2">
      <c r="A312" s="728"/>
      <c r="B312" s="728"/>
      <c r="C312" s="728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9"/>
      <c r="P312" s="725" t="s">
        <v>40</v>
      </c>
      <c r="Q312" s="726"/>
      <c r="R312" s="726"/>
      <c r="S312" s="726"/>
      <c r="T312" s="726"/>
      <c r="U312" s="726"/>
      <c r="V312" s="727"/>
      <c r="W312" s="40" t="s">
        <v>0</v>
      </c>
      <c r="X312" s="41">
        <f>IFERROR(SUM(X304:X310),"0")</f>
        <v>130.30058333333335</v>
      </c>
      <c r="Y312" s="41">
        <f>IFERROR(SUM(Y304:Y310),"0")</f>
        <v>138</v>
      </c>
      <c r="Z312" s="40"/>
      <c r="AA312" s="64"/>
      <c r="AB312" s="64"/>
      <c r="AC312" s="64"/>
    </row>
    <row r="313" spans="1:68" ht="14.25" hidden="1" customHeight="1" x14ac:dyDescent="0.25">
      <c r="A313" s="719" t="s">
        <v>155</v>
      </c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19"/>
      <c r="P313" s="719"/>
      <c r="Q313" s="719"/>
      <c r="R313" s="719"/>
      <c r="S313" s="719"/>
      <c r="T313" s="719"/>
      <c r="U313" s="719"/>
      <c r="V313" s="719"/>
      <c r="W313" s="719"/>
      <c r="X313" s="719"/>
      <c r="Y313" s="719"/>
      <c r="Z313" s="719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720">
        <v>4680115885981</v>
      </c>
      <c r="E314" s="72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2"/>
      <c r="R314" s="722"/>
      <c r="S314" s="722"/>
      <c r="T314" s="72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8"/>
      <c r="B315" s="728"/>
      <c r="C315" s="728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9"/>
      <c r="P315" s="725" t="s">
        <v>40</v>
      </c>
      <c r="Q315" s="726"/>
      <c r="R315" s="726"/>
      <c r="S315" s="726"/>
      <c r="T315" s="726"/>
      <c r="U315" s="726"/>
      <c r="V315" s="72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8"/>
      <c r="B316" s="728"/>
      <c r="C316" s="728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9"/>
      <c r="P316" s="725" t="s">
        <v>40</v>
      </c>
      <c r="Q316" s="726"/>
      <c r="R316" s="726"/>
      <c r="S316" s="726"/>
      <c r="T316" s="726"/>
      <c r="U316" s="726"/>
      <c r="V316" s="72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9" t="s">
        <v>539</v>
      </c>
      <c r="B317" s="719"/>
      <c r="C317" s="719"/>
      <c r="D317" s="719"/>
      <c r="E317" s="719"/>
      <c r="F317" s="719"/>
      <c r="G317" s="719"/>
      <c r="H317" s="719"/>
      <c r="I317" s="719"/>
      <c r="J317" s="719"/>
      <c r="K317" s="719"/>
      <c r="L317" s="719"/>
      <c r="M317" s="719"/>
      <c r="N317" s="719"/>
      <c r="O317" s="719"/>
      <c r="P317" s="719"/>
      <c r="Q317" s="719"/>
      <c r="R317" s="719"/>
      <c r="S317" s="719"/>
      <c r="T317" s="719"/>
      <c r="U317" s="719"/>
      <c r="V317" s="719"/>
      <c r="W317" s="719"/>
      <c r="X317" s="719"/>
      <c r="Y317" s="719"/>
      <c r="Z317" s="719"/>
      <c r="AA317" s="63"/>
      <c r="AB317" s="63"/>
      <c r="AC317" s="63"/>
    </row>
    <row r="318" spans="1:68" ht="27" customHeight="1" x14ac:dyDescent="0.25">
      <c r="A318" s="60" t="s">
        <v>540</v>
      </c>
      <c r="B318" s="60" t="s">
        <v>541</v>
      </c>
      <c r="C318" s="34">
        <v>4301040362</v>
      </c>
      <c r="D318" s="720">
        <v>4680115886803</v>
      </c>
      <c r="E318" s="72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2"/>
      <c r="R318" s="722"/>
      <c r="S318" s="722"/>
      <c r="T318" s="723"/>
      <c r="U318" s="37" t="s">
        <v>46</v>
      </c>
      <c r="V318" s="37" t="s">
        <v>46</v>
      </c>
      <c r="W318" s="38" t="s">
        <v>0</v>
      </c>
      <c r="X318" s="56">
        <v>12</v>
      </c>
      <c r="Y318" s="53">
        <f>IFERROR(IF(X318="",0,CEILING((X318/$H318),1)*$H318),"")</f>
        <v>12.6</v>
      </c>
      <c r="Z318" s="39">
        <f>IFERROR(IF(Y318=0,"",ROUNDUP(Y318/H318,0)*0.0059),"")</f>
        <v>4.1299999999999996E-2</v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13.166666666666668</v>
      </c>
      <c r="BN318" s="75">
        <f>IFERROR(Y318*I318/H318,"0")</f>
        <v>13.825000000000001</v>
      </c>
      <c r="BO318" s="75">
        <f>IFERROR(1/J318*(X318/H318),"0")</f>
        <v>3.0864197530864192E-2</v>
      </c>
      <c r="BP318" s="75">
        <f>IFERROR(1/J318*(Y318/H318),"0")</f>
        <v>3.2407407407407406E-2</v>
      </c>
    </row>
    <row r="319" spans="1:68" x14ac:dyDescent="0.2">
      <c r="A319" s="728"/>
      <c r="B319" s="728"/>
      <c r="C319" s="728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9"/>
      <c r="P319" s="725" t="s">
        <v>40</v>
      </c>
      <c r="Q319" s="726"/>
      <c r="R319" s="726"/>
      <c r="S319" s="726"/>
      <c r="T319" s="726"/>
      <c r="U319" s="726"/>
      <c r="V319" s="727"/>
      <c r="W319" s="40" t="s">
        <v>39</v>
      </c>
      <c r="X319" s="41">
        <f>IFERROR(X318/H318,"0")</f>
        <v>6.6666666666666661</v>
      </c>
      <c r="Y319" s="41">
        <f>IFERROR(Y318/H318,"0")</f>
        <v>7</v>
      </c>
      <c r="Z319" s="41">
        <f>IFERROR(IF(Z318="",0,Z318),"0")</f>
        <v>4.1299999999999996E-2</v>
      </c>
      <c r="AA319" s="64"/>
      <c r="AB319" s="64"/>
      <c r="AC319" s="64"/>
    </row>
    <row r="320" spans="1:68" x14ac:dyDescent="0.2">
      <c r="A320" s="728"/>
      <c r="B320" s="728"/>
      <c r="C320" s="728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9"/>
      <c r="P320" s="725" t="s">
        <v>40</v>
      </c>
      <c r="Q320" s="726"/>
      <c r="R320" s="726"/>
      <c r="S320" s="726"/>
      <c r="T320" s="726"/>
      <c r="U320" s="726"/>
      <c r="V320" s="727"/>
      <c r="W320" s="40" t="s">
        <v>0</v>
      </c>
      <c r="X320" s="41">
        <f>IFERROR(SUM(X318:X318),"0")</f>
        <v>12</v>
      </c>
      <c r="Y320" s="41">
        <f>IFERROR(SUM(Y318:Y318),"0")</f>
        <v>12.6</v>
      </c>
      <c r="Z320" s="40"/>
      <c r="AA320" s="64"/>
      <c r="AB320" s="64"/>
      <c r="AC320" s="64"/>
    </row>
    <row r="321" spans="1:68" ht="14.25" hidden="1" customHeight="1" x14ac:dyDescent="0.25">
      <c r="A321" s="719" t="s">
        <v>356</v>
      </c>
      <c r="B321" s="719"/>
      <c r="C321" s="719"/>
      <c r="D321" s="719"/>
      <c r="E321" s="719"/>
      <c r="F321" s="719"/>
      <c r="G321" s="719"/>
      <c r="H321" s="719"/>
      <c r="I321" s="719"/>
      <c r="J321" s="719"/>
      <c r="K321" s="719"/>
      <c r="L321" s="719"/>
      <c r="M321" s="719"/>
      <c r="N321" s="719"/>
      <c r="O321" s="719"/>
      <c r="P321" s="719"/>
      <c r="Q321" s="719"/>
      <c r="R321" s="719"/>
      <c r="S321" s="719"/>
      <c r="T321" s="719"/>
      <c r="U321" s="719"/>
      <c r="V321" s="719"/>
      <c r="W321" s="719"/>
      <c r="X321" s="719"/>
      <c r="Y321" s="719"/>
      <c r="Z321" s="719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720">
        <v>4680115886704</v>
      </c>
      <c r="E322" s="72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8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2"/>
      <c r="R322" s="722"/>
      <c r="S322" s="722"/>
      <c r="T322" s="72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720">
        <v>4680115886681</v>
      </c>
      <c r="E323" s="72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8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2"/>
      <c r="R323" s="722"/>
      <c r="S323" s="722"/>
      <c r="T323" s="72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customHeight="1" x14ac:dyDescent="0.25">
      <c r="A324" s="60" t="s">
        <v>548</v>
      </c>
      <c r="B324" s="60" t="s">
        <v>549</v>
      </c>
      <c r="C324" s="34">
        <v>4301041007</v>
      </c>
      <c r="D324" s="720">
        <v>4680115886735</v>
      </c>
      <c r="E324" s="72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8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2"/>
      <c r="R324" s="722"/>
      <c r="S324" s="722"/>
      <c r="T324" s="723"/>
      <c r="U324" s="37" t="s">
        <v>46</v>
      </c>
      <c r="V324" s="37" t="s">
        <v>46</v>
      </c>
      <c r="W324" s="38" t="s">
        <v>0</v>
      </c>
      <c r="X324" s="56">
        <v>2.5</v>
      </c>
      <c r="Y324" s="53">
        <f>IFERROR(IF(X324="",0,CEILING((X324/$H324),1)*$H324),"")</f>
        <v>2.7</v>
      </c>
      <c r="Z324" s="39">
        <f>IFERROR(IF(Y324=0,"",ROUNDUP(Y324/H324,0)*0.0059),"")</f>
        <v>1.77E-2</v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3.0277777777777777</v>
      </c>
      <c r="BN324" s="75">
        <f>IFERROR(Y324*I324/H324,"0")</f>
        <v>3.2700000000000005</v>
      </c>
      <c r="BO324" s="75">
        <f>IFERROR(1/J324*(X324/H324),"0")</f>
        <v>1.2860082304526748E-2</v>
      </c>
      <c r="BP324" s="75">
        <f>IFERROR(1/J324*(Y324/H324),"0")</f>
        <v>1.3888888888888888E-2</v>
      </c>
    </row>
    <row r="325" spans="1:68" x14ac:dyDescent="0.2">
      <c r="A325" s="728"/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9"/>
      <c r="P325" s="725" t="s">
        <v>40</v>
      </c>
      <c r="Q325" s="726"/>
      <c r="R325" s="726"/>
      <c r="S325" s="726"/>
      <c r="T325" s="726"/>
      <c r="U325" s="726"/>
      <c r="V325" s="727"/>
      <c r="W325" s="40" t="s">
        <v>39</v>
      </c>
      <c r="X325" s="41">
        <f>IFERROR(X322/H322,"0")+IFERROR(X323/H323,"0")+IFERROR(X324/H324,"0")</f>
        <v>2.7777777777777777</v>
      </c>
      <c r="Y325" s="41">
        <f>IFERROR(Y322/H322,"0")+IFERROR(Y323/H323,"0")+IFERROR(Y324/H324,"0")</f>
        <v>3</v>
      </c>
      <c r="Z325" s="41">
        <f>IFERROR(IF(Z322="",0,Z322),"0")+IFERROR(IF(Z323="",0,Z323),"0")+IFERROR(IF(Z324="",0,Z324),"0")</f>
        <v>1.77E-2</v>
      </c>
      <c r="AA325" s="64"/>
      <c r="AB325" s="64"/>
      <c r="AC325" s="64"/>
    </row>
    <row r="326" spans="1:68" x14ac:dyDescent="0.2">
      <c r="A326" s="728"/>
      <c r="B326" s="728"/>
      <c r="C326" s="728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9"/>
      <c r="P326" s="725" t="s">
        <v>40</v>
      </c>
      <c r="Q326" s="726"/>
      <c r="R326" s="726"/>
      <c r="S326" s="726"/>
      <c r="T326" s="726"/>
      <c r="U326" s="726"/>
      <c r="V326" s="727"/>
      <c r="W326" s="40" t="s">
        <v>0</v>
      </c>
      <c r="X326" s="41">
        <f>IFERROR(SUM(X322:X324),"0")</f>
        <v>2.5</v>
      </c>
      <c r="Y326" s="41">
        <f>IFERROR(SUM(Y322:Y324),"0")</f>
        <v>2.7</v>
      </c>
      <c r="Z326" s="40"/>
      <c r="AA326" s="64"/>
      <c r="AB326" s="64"/>
      <c r="AC326" s="64"/>
    </row>
    <row r="327" spans="1:68" ht="16.5" hidden="1" customHeight="1" x14ac:dyDescent="0.25">
      <c r="A327" s="718" t="s">
        <v>550</v>
      </c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62"/>
      <c r="AB327" s="62"/>
      <c r="AC327" s="62"/>
    </row>
    <row r="328" spans="1:68" ht="14.25" hidden="1" customHeight="1" x14ac:dyDescent="0.25">
      <c r="A328" s="719" t="s">
        <v>122</v>
      </c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19"/>
      <c r="P328" s="719"/>
      <c r="Q328" s="719"/>
      <c r="R328" s="719"/>
      <c r="S328" s="719"/>
      <c r="T328" s="719"/>
      <c r="U328" s="719"/>
      <c r="V328" s="719"/>
      <c r="W328" s="719"/>
      <c r="X328" s="719"/>
      <c r="Y328" s="719"/>
      <c r="Z328" s="719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720">
        <v>4680115885837</v>
      </c>
      <c r="E329" s="72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2"/>
      <c r="R329" s="722"/>
      <c r="S329" s="722"/>
      <c r="T329" s="72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720">
        <v>4680115887237</v>
      </c>
      <c r="E330" s="72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90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2"/>
      <c r="R330" s="722"/>
      <c r="S330" s="722"/>
      <c r="T330" s="72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720">
        <v>4680115885806</v>
      </c>
      <c r="E331" s="72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9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2"/>
      <c r="R331" s="722"/>
      <c r="S331" s="722"/>
      <c r="T331" s="72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720">
        <v>4680115885844</v>
      </c>
      <c r="E332" s="72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2"/>
      <c r="R332" s="722"/>
      <c r="S332" s="722"/>
      <c r="T332" s="72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720">
        <v>4680115885820</v>
      </c>
      <c r="E333" s="72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9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2"/>
      <c r="R333" s="722"/>
      <c r="S333" s="722"/>
      <c r="T333" s="72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8"/>
      <c r="B334" s="728"/>
      <c r="C334" s="728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9"/>
      <c r="P334" s="725" t="s">
        <v>40</v>
      </c>
      <c r="Q334" s="726"/>
      <c r="R334" s="726"/>
      <c r="S334" s="726"/>
      <c r="T334" s="726"/>
      <c r="U334" s="726"/>
      <c r="V334" s="727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8"/>
      <c r="B335" s="728"/>
      <c r="C335" s="728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9"/>
      <c r="P335" s="725" t="s">
        <v>40</v>
      </c>
      <c r="Q335" s="726"/>
      <c r="R335" s="726"/>
      <c r="S335" s="726"/>
      <c r="T335" s="726"/>
      <c r="U335" s="726"/>
      <c r="V335" s="727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8" t="s">
        <v>566</v>
      </c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62"/>
      <c r="AB336" s="62"/>
      <c r="AC336" s="62"/>
    </row>
    <row r="337" spans="1:68" ht="14.25" hidden="1" customHeight="1" x14ac:dyDescent="0.25">
      <c r="A337" s="719" t="s">
        <v>86</v>
      </c>
      <c r="B337" s="719"/>
      <c r="C337" s="719"/>
      <c r="D337" s="719"/>
      <c r="E337" s="719"/>
      <c r="F337" s="719"/>
      <c r="G337" s="719"/>
      <c r="H337" s="719"/>
      <c r="I337" s="719"/>
      <c r="J337" s="719"/>
      <c r="K337" s="719"/>
      <c r="L337" s="719"/>
      <c r="M337" s="719"/>
      <c r="N337" s="719"/>
      <c r="O337" s="719"/>
      <c r="P337" s="719"/>
      <c r="Q337" s="719"/>
      <c r="R337" s="719"/>
      <c r="S337" s="719"/>
      <c r="T337" s="719"/>
      <c r="U337" s="719"/>
      <c r="V337" s="719"/>
      <c r="W337" s="719"/>
      <c r="X337" s="719"/>
      <c r="Y337" s="719"/>
      <c r="Z337" s="719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720">
        <v>4680115886186</v>
      </c>
      <c r="E338" s="72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2"/>
      <c r="R338" s="722"/>
      <c r="S338" s="722"/>
      <c r="T338" s="72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720">
        <v>4680115881228</v>
      </c>
      <c r="E339" s="72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9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2"/>
      <c r="R339" s="722"/>
      <c r="S339" s="722"/>
      <c r="T339" s="72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573</v>
      </c>
      <c r="B340" s="60" t="s">
        <v>574</v>
      </c>
      <c r="C340" s="34">
        <v>4301051388</v>
      </c>
      <c r="D340" s="720">
        <v>4680115881211</v>
      </c>
      <c r="E340" s="72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2"/>
      <c r="R340" s="722"/>
      <c r="S340" s="722"/>
      <c r="T340" s="723"/>
      <c r="U340" s="37" t="s">
        <v>46</v>
      </c>
      <c r="V340" s="37" t="s">
        <v>46</v>
      </c>
      <c r="W340" s="38" t="s">
        <v>0</v>
      </c>
      <c r="X340" s="56">
        <v>200</v>
      </c>
      <c r="Y340" s="53">
        <f>IFERROR(IF(X340="",0,CEILING((X340/$H340),1)*$H340),"")</f>
        <v>201.6</v>
      </c>
      <c r="Z340" s="39">
        <f>IFERROR(IF(Y340=0,"",ROUNDUP(Y340/H340,0)*0.00651),"")</f>
        <v>0.54683999999999999</v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215</v>
      </c>
      <c r="BN340" s="75">
        <f>IFERROR(Y340*I340/H340,"0")</f>
        <v>216.72000000000003</v>
      </c>
      <c r="BO340" s="75">
        <f>IFERROR(1/J340*(X340/H340),"0")</f>
        <v>0.45787545787545797</v>
      </c>
      <c r="BP340" s="75">
        <f>IFERROR(1/J340*(Y340/H340),"0")</f>
        <v>0.46153846153846156</v>
      </c>
    </row>
    <row r="341" spans="1:68" x14ac:dyDescent="0.2">
      <c r="A341" s="728"/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9"/>
      <c r="P341" s="725" t="s">
        <v>40</v>
      </c>
      <c r="Q341" s="726"/>
      <c r="R341" s="726"/>
      <c r="S341" s="726"/>
      <c r="T341" s="726"/>
      <c r="U341" s="726"/>
      <c r="V341" s="727"/>
      <c r="W341" s="40" t="s">
        <v>39</v>
      </c>
      <c r="X341" s="41">
        <f>IFERROR(X338/H338,"0")+IFERROR(X339/H339,"0")+IFERROR(X340/H340,"0")</f>
        <v>83.333333333333343</v>
      </c>
      <c r="Y341" s="41">
        <f>IFERROR(Y338/H338,"0")+IFERROR(Y339/H339,"0")+IFERROR(Y340/H340,"0")</f>
        <v>84</v>
      </c>
      <c r="Z341" s="41">
        <f>IFERROR(IF(Z338="",0,Z338),"0")+IFERROR(IF(Z339="",0,Z339),"0")+IFERROR(IF(Z340="",0,Z340),"0")</f>
        <v>0.54683999999999999</v>
      </c>
      <c r="AA341" s="64"/>
      <c r="AB341" s="64"/>
      <c r="AC341" s="64"/>
    </row>
    <row r="342" spans="1:68" x14ac:dyDescent="0.2">
      <c r="A342" s="728"/>
      <c r="B342" s="728"/>
      <c r="C342" s="728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9"/>
      <c r="P342" s="725" t="s">
        <v>40</v>
      </c>
      <c r="Q342" s="726"/>
      <c r="R342" s="726"/>
      <c r="S342" s="726"/>
      <c r="T342" s="726"/>
      <c r="U342" s="726"/>
      <c r="V342" s="727"/>
      <c r="W342" s="40" t="s">
        <v>0</v>
      </c>
      <c r="X342" s="41">
        <f>IFERROR(SUM(X338:X340),"0")</f>
        <v>200</v>
      </c>
      <c r="Y342" s="41">
        <f>IFERROR(SUM(Y338:Y340),"0")</f>
        <v>201.6</v>
      </c>
      <c r="Z342" s="40"/>
      <c r="AA342" s="64"/>
      <c r="AB342" s="64"/>
      <c r="AC342" s="64"/>
    </row>
    <row r="343" spans="1:68" ht="16.5" hidden="1" customHeight="1" x14ac:dyDescent="0.25">
      <c r="A343" s="718" t="s">
        <v>575</v>
      </c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62"/>
      <c r="AB343" s="62"/>
      <c r="AC343" s="62"/>
    </row>
    <row r="344" spans="1:68" ht="14.25" hidden="1" customHeight="1" x14ac:dyDescent="0.25">
      <c r="A344" s="719" t="s">
        <v>77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19"/>
      <c r="P344" s="719"/>
      <c r="Q344" s="719"/>
      <c r="R344" s="719"/>
      <c r="S344" s="719"/>
      <c r="T344" s="719"/>
      <c r="U344" s="719"/>
      <c r="V344" s="719"/>
      <c r="W344" s="719"/>
      <c r="X344" s="719"/>
      <c r="Y344" s="719"/>
      <c r="Z344" s="719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720">
        <v>4680115888319</v>
      </c>
      <c r="E345" s="72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2"/>
      <c r="R345" s="722"/>
      <c r="S345" s="722"/>
      <c r="T345" s="72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720">
        <v>4680115884700</v>
      </c>
      <c r="E346" s="72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2"/>
      <c r="R346" s="722"/>
      <c r="S346" s="722"/>
      <c r="T346" s="72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720">
        <v>4680115880344</v>
      </c>
      <c r="E347" s="72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2"/>
      <c r="R347" s="722"/>
      <c r="S347" s="722"/>
      <c r="T347" s="72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720">
        <v>4680115886919</v>
      </c>
      <c r="E348" s="72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91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2"/>
      <c r="R348" s="722"/>
      <c r="S348" s="722"/>
      <c r="T348" s="72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720">
        <v>4680115883970</v>
      </c>
      <c r="E349" s="72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91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2"/>
      <c r="R349" s="722"/>
      <c r="S349" s="722"/>
      <c r="T349" s="72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8"/>
      <c r="B350" s="728"/>
      <c r="C350" s="728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9"/>
      <c r="P350" s="725" t="s">
        <v>40</v>
      </c>
      <c r="Q350" s="726"/>
      <c r="R350" s="726"/>
      <c r="S350" s="726"/>
      <c r="T350" s="726"/>
      <c r="U350" s="726"/>
      <c r="V350" s="727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8"/>
      <c r="B351" s="728"/>
      <c r="C351" s="728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9"/>
      <c r="P351" s="725" t="s">
        <v>40</v>
      </c>
      <c r="Q351" s="726"/>
      <c r="R351" s="726"/>
      <c r="S351" s="726"/>
      <c r="T351" s="726"/>
      <c r="U351" s="726"/>
      <c r="V351" s="727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9" t="s">
        <v>86</v>
      </c>
      <c r="B352" s="719"/>
      <c r="C352" s="719"/>
      <c r="D352" s="719"/>
      <c r="E352" s="719"/>
      <c r="F352" s="719"/>
      <c r="G352" s="719"/>
      <c r="H352" s="719"/>
      <c r="I352" s="719"/>
      <c r="J352" s="719"/>
      <c r="K352" s="719"/>
      <c r="L352" s="719"/>
      <c r="M352" s="719"/>
      <c r="N352" s="719"/>
      <c r="O352" s="719"/>
      <c r="P352" s="719"/>
      <c r="Q352" s="719"/>
      <c r="R352" s="719"/>
      <c r="S352" s="719"/>
      <c r="T352" s="719"/>
      <c r="U352" s="719"/>
      <c r="V352" s="719"/>
      <c r="W352" s="719"/>
      <c r="X352" s="719"/>
      <c r="Y352" s="719"/>
      <c r="Z352" s="719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720">
        <v>4680115884618</v>
      </c>
      <c r="E353" s="72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2"/>
      <c r="R353" s="722"/>
      <c r="S353" s="722"/>
      <c r="T353" s="72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720">
        <v>4680115887114</v>
      </c>
      <c r="E354" s="72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91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2"/>
      <c r="R354" s="722"/>
      <c r="S354" s="722"/>
      <c r="T354" s="72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8"/>
      <c r="B355" s="728"/>
      <c r="C355" s="728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9"/>
      <c r="P355" s="725" t="s">
        <v>40</v>
      </c>
      <c r="Q355" s="726"/>
      <c r="R355" s="726"/>
      <c r="S355" s="726"/>
      <c r="T355" s="726"/>
      <c r="U355" s="726"/>
      <c r="V355" s="727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8"/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9"/>
      <c r="P356" s="725" t="s">
        <v>40</v>
      </c>
      <c r="Q356" s="726"/>
      <c r="R356" s="726"/>
      <c r="S356" s="726"/>
      <c r="T356" s="726"/>
      <c r="U356" s="726"/>
      <c r="V356" s="727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8" t="s">
        <v>596</v>
      </c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62"/>
      <c r="AB357" s="62"/>
      <c r="AC357" s="62"/>
    </row>
    <row r="358" spans="1:68" ht="14.25" hidden="1" customHeight="1" x14ac:dyDescent="0.25">
      <c r="A358" s="719" t="s">
        <v>122</v>
      </c>
      <c r="B358" s="719"/>
      <c r="C358" s="719"/>
      <c r="D358" s="719"/>
      <c r="E358" s="719"/>
      <c r="F358" s="719"/>
      <c r="G358" s="719"/>
      <c r="H358" s="719"/>
      <c r="I358" s="719"/>
      <c r="J358" s="719"/>
      <c r="K358" s="719"/>
      <c r="L358" s="719"/>
      <c r="M358" s="719"/>
      <c r="N358" s="719"/>
      <c r="O358" s="719"/>
      <c r="P358" s="719"/>
      <c r="Q358" s="719"/>
      <c r="R358" s="719"/>
      <c r="S358" s="719"/>
      <c r="T358" s="719"/>
      <c r="U358" s="719"/>
      <c r="V358" s="719"/>
      <c r="W358" s="719"/>
      <c r="X358" s="719"/>
      <c r="Y358" s="719"/>
      <c r="Z358" s="719"/>
      <c r="AA358" s="63"/>
      <c r="AB358" s="63"/>
      <c r="AC358" s="63"/>
    </row>
    <row r="359" spans="1:68" ht="27" customHeight="1" x14ac:dyDescent="0.25">
      <c r="A359" s="60" t="s">
        <v>597</v>
      </c>
      <c r="B359" s="60" t="s">
        <v>598</v>
      </c>
      <c r="C359" s="34">
        <v>4301012324</v>
      </c>
      <c r="D359" s="720">
        <v>4680115887947</v>
      </c>
      <c r="E359" s="72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2"/>
      <c r="R359" s="722"/>
      <c r="S359" s="722"/>
      <c r="T359" s="723"/>
      <c r="U359" s="37" t="s">
        <v>46</v>
      </c>
      <c r="V359" s="37" t="s">
        <v>46</v>
      </c>
      <c r="W359" s="38" t="s">
        <v>0</v>
      </c>
      <c r="X359" s="56">
        <v>100</v>
      </c>
      <c r="Y359" s="53">
        <f>IFERROR(IF(X359="",0,CEILING((X359/$H359),1)*$H359),"")</f>
        <v>101.39999999999999</v>
      </c>
      <c r="Z359" s="39">
        <f>IFERROR(IF(Y359=0,"",ROUNDUP(Y359/H359,0)*0.01898),"")</f>
        <v>0.24674000000000001</v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105.25641025641028</v>
      </c>
      <c r="BN359" s="75">
        <f>IFERROR(Y359*I359/H359,"0")</f>
        <v>106.73</v>
      </c>
      <c r="BO359" s="75">
        <f>IFERROR(1/J359*(X359/H359),"0")</f>
        <v>0.20032051282051283</v>
      </c>
      <c r="BP359" s="75">
        <f>IFERROR(1/J359*(Y359/H359),"0")</f>
        <v>0.203125</v>
      </c>
    </row>
    <row r="360" spans="1:68" ht="27" customHeight="1" x14ac:dyDescent="0.25">
      <c r="A360" s="60" t="s">
        <v>599</v>
      </c>
      <c r="B360" s="60" t="s">
        <v>600</v>
      </c>
      <c r="C360" s="34">
        <v>4301012325</v>
      </c>
      <c r="D360" s="720">
        <v>4680115887978</v>
      </c>
      <c r="E360" s="72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2"/>
      <c r="R360" s="722"/>
      <c r="S360" s="722"/>
      <c r="T360" s="723"/>
      <c r="U360" s="37" t="s">
        <v>46</v>
      </c>
      <c r="V360" s="37" t="s">
        <v>46</v>
      </c>
      <c r="W360" s="38" t="s">
        <v>0</v>
      </c>
      <c r="X360" s="56">
        <v>100</v>
      </c>
      <c r="Y360" s="53">
        <f>IFERROR(IF(X360="",0,CEILING((X360/$H360),1)*$H360),"")</f>
        <v>101.39999999999999</v>
      </c>
      <c r="Z360" s="39">
        <f>IFERROR(IF(Y360=0,"",ROUNDUP(Y360/H360,0)*0.01898),"")</f>
        <v>0.24674000000000001</v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105.25641025641028</v>
      </c>
      <c r="BN360" s="75">
        <f>IFERROR(Y360*I360/H360,"0")</f>
        <v>106.73</v>
      </c>
      <c r="BO360" s="75">
        <f>IFERROR(1/J360*(X360/H360),"0")</f>
        <v>0.20032051282051283</v>
      </c>
      <c r="BP360" s="75">
        <f>IFERROR(1/J360*(Y360/H360),"0")</f>
        <v>0.203125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720">
        <v>4680115887992</v>
      </c>
      <c r="E361" s="72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91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2"/>
      <c r="R361" s="722"/>
      <c r="S361" s="722"/>
      <c r="T361" s="72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728"/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9"/>
      <c r="P362" s="725" t="s">
        <v>40</v>
      </c>
      <c r="Q362" s="726"/>
      <c r="R362" s="726"/>
      <c r="S362" s="726"/>
      <c r="T362" s="726"/>
      <c r="U362" s="726"/>
      <c r="V362" s="727"/>
      <c r="W362" s="40" t="s">
        <v>39</v>
      </c>
      <c r="X362" s="41">
        <f>IFERROR(X359/H359,"0")+IFERROR(X360/H360,"0")+IFERROR(X361/H361,"0")</f>
        <v>25.641025641025642</v>
      </c>
      <c r="Y362" s="41">
        <f>IFERROR(Y359/H359,"0")+IFERROR(Y360/H360,"0")+IFERROR(Y361/H361,"0")</f>
        <v>26</v>
      </c>
      <c r="Z362" s="41">
        <f>IFERROR(IF(Z359="",0,Z359),"0")+IFERROR(IF(Z360="",0,Z360),"0")+IFERROR(IF(Z361="",0,Z361),"0")</f>
        <v>0.49348000000000003</v>
      </c>
      <c r="AA362" s="64"/>
      <c r="AB362" s="64"/>
      <c r="AC362" s="64"/>
    </row>
    <row r="363" spans="1:68" x14ac:dyDescent="0.2">
      <c r="A363" s="728"/>
      <c r="B363" s="728"/>
      <c r="C363" s="728"/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9"/>
      <c r="P363" s="725" t="s">
        <v>40</v>
      </c>
      <c r="Q363" s="726"/>
      <c r="R363" s="726"/>
      <c r="S363" s="726"/>
      <c r="T363" s="726"/>
      <c r="U363" s="726"/>
      <c r="V363" s="727"/>
      <c r="W363" s="40" t="s">
        <v>0</v>
      </c>
      <c r="X363" s="41">
        <f>IFERROR(SUM(X359:X361),"0")</f>
        <v>200</v>
      </c>
      <c r="Y363" s="41">
        <f>IFERROR(SUM(Y359:Y361),"0")</f>
        <v>202.79999999999998</v>
      </c>
      <c r="Z363" s="40"/>
      <c r="AA363" s="64"/>
      <c r="AB363" s="64"/>
      <c r="AC363" s="64"/>
    </row>
    <row r="364" spans="1:68" ht="16.5" hidden="1" customHeight="1" x14ac:dyDescent="0.25">
      <c r="A364" s="718" t="s">
        <v>605</v>
      </c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62"/>
      <c r="AB364" s="62"/>
      <c r="AC364" s="62"/>
    </row>
    <row r="365" spans="1:68" ht="14.25" hidden="1" customHeight="1" x14ac:dyDescent="0.25">
      <c r="A365" s="719" t="s">
        <v>122</v>
      </c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19"/>
      <c r="P365" s="719"/>
      <c r="Q365" s="719"/>
      <c r="R365" s="719"/>
      <c r="S365" s="719"/>
      <c r="T365" s="719"/>
      <c r="U365" s="719"/>
      <c r="V365" s="719"/>
      <c r="W365" s="719"/>
      <c r="X365" s="719"/>
      <c r="Y365" s="719"/>
      <c r="Z365" s="719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4301012126</v>
      </c>
      <c r="D366" s="720">
        <v>4607091386004</v>
      </c>
      <c r="E366" s="72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2"/>
      <c r="R366" s="722"/>
      <c r="S366" s="722"/>
      <c r="T366" s="72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4301012235</v>
      </c>
      <c r="D367" s="720">
        <v>4680115887190</v>
      </c>
      <c r="E367" s="72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2"/>
      <c r="R367" s="722"/>
      <c r="S367" s="722"/>
      <c r="T367" s="72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612</v>
      </c>
      <c r="B368" s="60" t="s">
        <v>613</v>
      </c>
      <c r="C368" s="34">
        <v>4301012233</v>
      </c>
      <c r="D368" s="720">
        <v>4680115887138</v>
      </c>
      <c r="E368" s="72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9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2"/>
      <c r="R368" s="722"/>
      <c r="S368" s="722"/>
      <c r="T368" s="72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4301012016</v>
      </c>
      <c r="D369" s="720">
        <v>4680115885554</v>
      </c>
      <c r="E369" s="72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9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2"/>
      <c r="R369" s="722"/>
      <c r="S369" s="722"/>
      <c r="T369" s="72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617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618</v>
      </c>
      <c r="B370" s="60" t="s">
        <v>619</v>
      </c>
      <c r="C370" s="34">
        <v>4301012236</v>
      </c>
      <c r="D370" s="720">
        <v>4680115887220</v>
      </c>
      <c r="E370" s="72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2"/>
      <c r="R370" s="722"/>
      <c r="S370" s="722"/>
      <c r="T370" s="72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611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620</v>
      </c>
      <c r="B371" s="60" t="s">
        <v>621</v>
      </c>
      <c r="C371" s="34">
        <v>4301011859</v>
      </c>
      <c r="D371" s="720">
        <v>4680115885608</v>
      </c>
      <c r="E371" s="72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9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2"/>
      <c r="R371" s="722"/>
      <c r="S371" s="722"/>
      <c r="T371" s="72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622</v>
      </c>
      <c r="AG371" s="75"/>
      <c r="AJ371" s="79" t="s">
        <v>46</v>
      </c>
      <c r="AK371" s="79">
        <v>0</v>
      </c>
      <c r="BB371" s="470" t="s">
        <v>67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728"/>
      <c r="B372" s="728"/>
      <c r="C372" s="728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9"/>
      <c r="P372" s="725" t="s">
        <v>40</v>
      </c>
      <c r="Q372" s="726"/>
      <c r="R372" s="726"/>
      <c r="S372" s="726"/>
      <c r="T372" s="726"/>
      <c r="U372" s="726"/>
      <c r="V372" s="727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8"/>
      <c r="B373" s="728"/>
      <c r="C373" s="728"/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9"/>
      <c r="P373" s="725" t="s">
        <v>40</v>
      </c>
      <c r="Q373" s="726"/>
      <c r="R373" s="726"/>
      <c r="S373" s="726"/>
      <c r="T373" s="726"/>
      <c r="U373" s="726"/>
      <c r="V373" s="727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9" t="s">
        <v>77</v>
      </c>
      <c r="B374" s="719"/>
      <c r="C374" s="719"/>
      <c r="D374" s="719"/>
      <c r="E374" s="719"/>
      <c r="F374" s="719"/>
      <c r="G374" s="719"/>
      <c r="H374" s="719"/>
      <c r="I374" s="719"/>
      <c r="J374" s="719"/>
      <c r="K374" s="719"/>
      <c r="L374" s="719"/>
      <c r="M374" s="719"/>
      <c r="N374" s="719"/>
      <c r="O374" s="719"/>
      <c r="P374" s="719"/>
      <c r="Q374" s="719"/>
      <c r="R374" s="719"/>
      <c r="S374" s="719"/>
      <c r="T374" s="719"/>
      <c r="U374" s="719"/>
      <c r="V374" s="719"/>
      <c r="W374" s="719"/>
      <c r="X374" s="719"/>
      <c r="Y374" s="719"/>
      <c r="Z374" s="719"/>
      <c r="AA374" s="63"/>
      <c r="AB374" s="63"/>
      <c r="AC374" s="63"/>
    </row>
    <row r="375" spans="1:68" ht="27" hidden="1" customHeight="1" x14ac:dyDescent="0.25">
      <c r="A375" s="60" t="s">
        <v>623</v>
      </c>
      <c r="B375" s="60" t="s">
        <v>624</v>
      </c>
      <c r="C375" s="34">
        <v>4301030878</v>
      </c>
      <c r="D375" s="720">
        <v>4607091387193</v>
      </c>
      <c r="E375" s="72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2"/>
      <c r="R375" s="722"/>
      <c r="S375" s="722"/>
      <c r="T375" s="72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4301031153</v>
      </c>
      <c r="D376" s="720">
        <v>4607091387230</v>
      </c>
      <c r="E376" s="72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2"/>
      <c r="R376" s="722"/>
      <c r="S376" s="722"/>
      <c r="T376" s="72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4301031154</v>
      </c>
      <c r="D377" s="720">
        <v>4607091387292</v>
      </c>
      <c r="E377" s="72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9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2"/>
      <c r="R377" s="722"/>
      <c r="S377" s="722"/>
      <c r="T377" s="72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631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632</v>
      </c>
      <c r="B378" s="60" t="s">
        <v>633</v>
      </c>
      <c r="C378" s="34">
        <v>4301031152</v>
      </c>
      <c r="D378" s="720">
        <v>4607091387285</v>
      </c>
      <c r="E378" s="72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2"/>
      <c r="R378" s="722"/>
      <c r="S378" s="722"/>
      <c r="T378" s="72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628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customHeight="1" x14ac:dyDescent="0.25">
      <c r="A379" s="60" t="s">
        <v>634</v>
      </c>
      <c r="B379" s="60" t="s">
        <v>635</v>
      </c>
      <c r="C379" s="34">
        <v>4301031305</v>
      </c>
      <c r="D379" s="720">
        <v>4607091389845</v>
      </c>
      <c r="E379" s="72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9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2"/>
      <c r="R379" s="722"/>
      <c r="S379" s="722"/>
      <c r="T379" s="723"/>
      <c r="U379" s="37" t="s">
        <v>46</v>
      </c>
      <c r="V379" s="37" t="s">
        <v>46</v>
      </c>
      <c r="W379" s="38" t="s">
        <v>0</v>
      </c>
      <c r="X379" s="56">
        <v>175</v>
      </c>
      <c r="Y379" s="53">
        <f t="shared" si="63"/>
        <v>176.4</v>
      </c>
      <c r="Z379" s="39">
        <f>IFERROR(IF(Y379=0,"",ROUNDUP(Y379/H379,0)*0.00502),"")</f>
        <v>0.42168</v>
      </c>
      <c r="AA379" s="65" t="s">
        <v>46</v>
      </c>
      <c r="AB379" s="66" t="s">
        <v>46</v>
      </c>
      <c r="AC379" s="479" t="s">
        <v>636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183.33333333333334</v>
      </c>
      <c r="BN379" s="75">
        <f t="shared" si="65"/>
        <v>184.8</v>
      </c>
      <c r="BO379" s="75">
        <f t="shared" si="66"/>
        <v>0.35612535612535612</v>
      </c>
      <c r="BP379" s="75">
        <f t="shared" si="67"/>
        <v>0.35897435897435903</v>
      </c>
    </row>
    <row r="380" spans="1:68" ht="27" hidden="1" customHeight="1" x14ac:dyDescent="0.25">
      <c r="A380" s="60" t="s">
        <v>637</v>
      </c>
      <c r="B380" s="60" t="s">
        <v>638</v>
      </c>
      <c r="C380" s="34">
        <v>4301031460</v>
      </c>
      <c r="D380" s="720">
        <v>4680115887442</v>
      </c>
      <c r="E380" s="72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9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2"/>
      <c r="R380" s="722"/>
      <c r="S380" s="722"/>
      <c r="T380" s="72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631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4301031066</v>
      </c>
      <c r="D381" s="720">
        <v>4607091383836</v>
      </c>
      <c r="E381" s="72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9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2"/>
      <c r="R381" s="722"/>
      <c r="S381" s="722"/>
      <c r="T381" s="723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3"/>
        <v>0</v>
      </c>
      <c r="Z381" s="39" t="str">
        <f>IFERROR(IF(Y381=0,"",ROUNDUP(Y381/H381,0)*0.00651),"")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4"/>
        <v>0</v>
      </c>
      <c r="BN381" s="75">
        <f t="shared" si="65"/>
        <v>0</v>
      </c>
      <c r="BO381" s="75">
        <f t="shared" si="66"/>
        <v>0</v>
      </c>
      <c r="BP381" s="75">
        <f t="shared" si="67"/>
        <v>0</v>
      </c>
    </row>
    <row r="382" spans="1:68" x14ac:dyDescent="0.2">
      <c r="A382" s="728"/>
      <c r="B382" s="728"/>
      <c r="C382" s="728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9"/>
      <c r="P382" s="725" t="s">
        <v>40</v>
      </c>
      <c r="Q382" s="726"/>
      <c r="R382" s="726"/>
      <c r="S382" s="726"/>
      <c r="T382" s="726"/>
      <c r="U382" s="726"/>
      <c r="V382" s="727"/>
      <c r="W382" s="40" t="s">
        <v>39</v>
      </c>
      <c r="X382" s="41">
        <f>IFERROR(X375/H375,"0")+IFERROR(X376/H376,"0")+IFERROR(X377/H377,"0")+IFERROR(X378/H378,"0")+IFERROR(X379/H379,"0")+IFERROR(X380/H380,"0")+IFERROR(X381/H381,"0")</f>
        <v>83.333333333333329</v>
      </c>
      <c r="Y382" s="41">
        <f>IFERROR(Y375/H375,"0")+IFERROR(Y376/H376,"0")+IFERROR(Y377/H377,"0")+IFERROR(Y378/H378,"0")+IFERROR(Y379/H379,"0")+IFERROR(Y380/H380,"0")+IFERROR(Y381/H381,"0")</f>
        <v>84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0.42168</v>
      </c>
      <c r="AA382" s="64"/>
      <c r="AB382" s="64"/>
      <c r="AC382" s="64"/>
    </row>
    <row r="383" spans="1:68" x14ac:dyDescent="0.2">
      <c r="A383" s="728"/>
      <c r="B383" s="728"/>
      <c r="C383" s="728"/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9"/>
      <c r="P383" s="725" t="s">
        <v>40</v>
      </c>
      <c r="Q383" s="726"/>
      <c r="R383" s="726"/>
      <c r="S383" s="726"/>
      <c r="T383" s="726"/>
      <c r="U383" s="726"/>
      <c r="V383" s="727"/>
      <c r="W383" s="40" t="s">
        <v>0</v>
      </c>
      <c r="X383" s="41">
        <f>IFERROR(SUM(X375:X381),"0")</f>
        <v>175</v>
      </c>
      <c r="Y383" s="41">
        <f>IFERROR(SUM(Y375:Y381),"0")</f>
        <v>176.4</v>
      </c>
      <c r="Z383" s="40"/>
      <c r="AA383" s="64"/>
      <c r="AB383" s="64"/>
      <c r="AC383" s="64"/>
    </row>
    <row r="384" spans="1:68" ht="14.25" hidden="1" customHeight="1" x14ac:dyDescent="0.25">
      <c r="A384" s="719" t="s">
        <v>86</v>
      </c>
      <c r="B384" s="719"/>
      <c r="C384" s="719"/>
      <c r="D384" s="719"/>
      <c r="E384" s="719"/>
      <c r="F384" s="719"/>
      <c r="G384" s="719"/>
      <c r="H384" s="719"/>
      <c r="I384" s="719"/>
      <c r="J384" s="719"/>
      <c r="K384" s="719"/>
      <c r="L384" s="719"/>
      <c r="M384" s="719"/>
      <c r="N384" s="719"/>
      <c r="O384" s="719"/>
      <c r="P384" s="719"/>
      <c r="Q384" s="719"/>
      <c r="R384" s="719"/>
      <c r="S384" s="719"/>
      <c r="T384" s="719"/>
      <c r="U384" s="719"/>
      <c r="V384" s="719"/>
      <c r="W384" s="719"/>
      <c r="X384" s="719"/>
      <c r="Y384" s="719"/>
      <c r="Z384" s="719"/>
      <c r="AA384" s="63"/>
      <c r="AB384" s="63"/>
      <c r="AC384" s="63"/>
    </row>
    <row r="385" spans="1:68" ht="27" hidden="1" customHeight="1" x14ac:dyDescent="0.25">
      <c r="A385" s="60" t="s">
        <v>642</v>
      </c>
      <c r="B385" s="60" t="s">
        <v>643</v>
      </c>
      <c r="C385" s="34">
        <v>4301051100</v>
      </c>
      <c r="D385" s="720">
        <v>4607091387766</v>
      </c>
      <c r="E385" s="72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2"/>
      <c r="R385" s="722"/>
      <c r="S385" s="722"/>
      <c r="T385" s="72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4301051818</v>
      </c>
      <c r="D386" s="720">
        <v>4607091387957</v>
      </c>
      <c r="E386" s="72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2"/>
      <c r="R386" s="722"/>
      <c r="S386" s="722"/>
      <c r="T386" s="72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4301051819</v>
      </c>
      <c r="D387" s="720">
        <v>4607091387964</v>
      </c>
      <c r="E387" s="72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9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2"/>
      <c r="R387" s="722"/>
      <c r="S387" s="722"/>
      <c r="T387" s="72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650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651</v>
      </c>
      <c r="B388" s="60" t="s">
        <v>652</v>
      </c>
      <c r="C388" s="34">
        <v>4301051734</v>
      </c>
      <c r="D388" s="720">
        <v>4680115884588</v>
      </c>
      <c r="E388" s="72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2"/>
      <c r="R388" s="722"/>
      <c r="S388" s="722"/>
      <c r="T388" s="72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644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8"/>
      <c r="B389" s="728"/>
      <c r="C389" s="728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9"/>
      <c r="P389" s="725" t="s">
        <v>40</v>
      </c>
      <c r="Q389" s="726"/>
      <c r="R389" s="726"/>
      <c r="S389" s="726"/>
      <c r="T389" s="726"/>
      <c r="U389" s="726"/>
      <c r="V389" s="727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8"/>
      <c r="B390" s="728"/>
      <c r="C390" s="728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9"/>
      <c r="P390" s="725" t="s">
        <v>40</v>
      </c>
      <c r="Q390" s="726"/>
      <c r="R390" s="726"/>
      <c r="S390" s="726"/>
      <c r="T390" s="726"/>
      <c r="U390" s="726"/>
      <c r="V390" s="727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9" t="s">
        <v>173</v>
      </c>
      <c r="B391" s="719"/>
      <c r="C391" s="719"/>
      <c r="D391" s="719"/>
      <c r="E391" s="719"/>
      <c r="F391" s="719"/>
      <c r="G391" s="719"/>
      <c r="H391" s="719"/>
      <c r="I391" s="719"/>
      <c r="J391" s="719"/>
      <c r="K391" s="719"/>
      <c r="L391" s="719"/>
      <c r="M391" s="719"/>
      <c r="N391" s="719"/>
      <c r="O391" s="719"/>
      <c r="P391" s="719"/>
      <c r="Q391" s="719"/>
      <c r="R391" s="719"/>
      <c r="S391" s="719"/>
      <c r="T391" s="719"/>
      <c r="U391" s="719"/>
      <c r="V391" s="719"/>
      <c r="W391" s="719"/>
      <c r="X391" s="719"/>
      <c r="Y391" s="719"/>
      <c r="Z391" s="719"/>
      <c r="AA391" s="63"/>
      <c r="AB391" s="63"/>
      <c r="AC391" s="63"/>
    </row>
    <row r="392" spans="1:68" ht="27" customHeight="1" x14ac:dyDescent="0.25">
      <c r="A392" s="60" t="s">
        <v>653</v>
      </c>
      <c r="B392" s="60" t="s">
        <v>654</v>
      </c>
      <c r="C392" s="34">
        <v>4301060387</v>
      </c>
      <c r="D392" s="720">
        <v>4607091380880</v>
      </c>
      <c r="E392" s="72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2"/>
      <c r="R392" s="722"/>
      <c r="S392" s="722"/>
      <c r="T392" s="723"/>
      <c r="U392" s="37" t="s">
        <v>46</v>
      </c>
      <c r="V392" s="37" t="s">
        <v>46</v>
      </c>
      <c r="W392" s="38" t="s">
        <v>0</v>
      </c>
      <c r="X392" s="56">
        <v>600</v>
      </c>
      <c r="Y392" s="53">
        <f>IFERROR(IF(X392="",0,CEILING((X392/$H392),1)*$H392),"")</f>
        <v>604.80000000000007</v>
      </c>
      <c r="Z392" s="39">
        <f>IFERROR(IF(Y392=0,"",ROUNDUP(Y392/H392,0)*0.01898),"")</f>
        <v>1.36656</v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635.28571428571422</v>
      </c>
      <c r="BN392" s="75">
        <f>IFERROR(Y392*I392/H392,"0")</f>
        <v>640.36800000000005</v>
      </c>
      <c r="BO392" s="75">
        <f>IFERROR(1/J392*(X392/H392),"0")</f>
        <v>1.1160714285714286</v>
      </c>
      <c r="BP392" s="75">
        <f>IFERROR(1/J392*(Y392/H392),"0")</f>
        <v>1.125</v>
      </c>
    </row>
    <row r="393" spans="1:68" ht="27" customHeight="1" x14ac:dyDescent="0.25">
      <c r="A393" s="60" t="s">
        <v>656</v>
      </c>
      <c r="B393" s="60" t="s">
        <v>657</v>
      </c>
      <c r="C393" s="34">
        <v>4301060406</v>
      </c>
      <c r="D393" s="720">
        <v>4607091384482</v>
      </c>
      <c r="E393" s="72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9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2"/>
      <c r="R393" s="722"/>
      <c r="S393" s="722"/>
      <c r="T393" s="723"/>
      <c r="U393" s="37" t="s">
        <v>46</v>
      </c>
      <c r="V393" s="37" t="s">
        <v>46</v>
      </c>
      <c r="W393" s="38" t="s">
        <v>0</v>
      </c>
      <c r="X393" s="56">
        <v>500</v>
      </c>
      <c r="Y393" s="53">
        <f>IFERROR(IF(X393="",0,CEILING((X393/$H393),1)*$H393),"")</f>
        <v>507</v>
      </c>
      <c r="Z393" s="39">
        <f>IFERROR(IF(Y393=0,"",ROUNDUP(Y393/H393,0)*0.01898),"")</f>
        <v>1.2337</v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531.66666666666663</v>
      </c>
      <c r="BN393" s="75">
        <f>IFERROR(Y393*I393/H393,"0")</f>
        <v>539.11</v>
      </c>
      <c r="BO393" s="75">
        <f>IFERROR(1/J393*(X393/H393),"0")</f>
        <v>1.0016025641025641</v>
      </c>
      <c r="BP393" s="75">
        <f>IFERROR(1/J393*(Y393/H393),"0")</f>
        <v>1.015625</v>
      </c>
    </row>
    <row r="394" spans="1:68" ht="27" customHeight="1" x14ac:dyDescent="0.25">
      <c r="A394" s="60" t="s">
        <v>659</v>
      </c>
      <c r="B394" s="60" t="s">
        <v>660</v>
      </c>
      <c r="C394" s="34">
        <v>4301060484</v>
      </c>
      <c r="D394" s="720">
        <v>4607091380897</v>
      </c>
      <c r="E394" s="72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9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2"/>
      <c r="R394" s="722"/>
      <c r="S394" s="722"/>
      <c r="T394" s="723"/>
      <c r="U394" s="37" t="s">
        <v>46</v>
      </c>
      <c r="V394" s="37" t="s">
        <v>46</v>
      </c>
      <c r="W394" s="38" t="s">
        <v>0</v>
      </c>
      <c r="X394" s="56">
        <v>120</v>
      </c>
      <c r="Y394" s="53">
        <f>IFERROR(IF(X394="",0,CEILING((X394/$H394),1)*$H394),"")</f>
        <v>126</v>
      </c>
      <c r="Z394" s="39">
        <f>IFERROR(IF(Y394=0,"",ROUNDUP(Y394/H394,0)*0.01898),"")</f>
        <v>0.28470000000000001</v>
      </c>
      <c r="AA394" s="65" t="s">
        <v>46</v>
      </c>
      <c r="AB394" s="66" t="s">
        <v>46</v>
      </c>
      <c r="AC394" s="497" t="s">
        <v>661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127.05714285714285</v>
      </c>
      <c r="BN394" s="75">
        <f>IFERROR(Y394*I394/H394,"0")</f>
        <v>133.41</v>
      </c>
      <c r="BO394" s="75">
        <f>IFERROR(1/J394*(X394/H394),"0")</f>
        <v>0.2232142857142857</v>
      </c>
      <c r="BP394" s="75">
        <f>IFERROR(1/J394*(Y394/H394),"0")</f>
        <v>0.234375</v>
      </c>
    </row>
    <row r="395" spans="1:68" x14ac:dyDescent="0.2">
      <c r="A395" s="728"/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9"/>
      <c r="P395" s="725" t="s">
        <v>40</v>
      </c>
      <c r="Q395" s="726"/>
      <c r="R395" s="726"/>
      <c r="S395" s="726"/>
      <c r="T395" s="726"/>
      <c r="U395" s="726"/>
      <c r="V395" s="727"/>
      <c r="W395" s="40" t="s">
        <v>39</v>
      </c>
      <c r="X395" s="41">
        <f>IFERROR(X392/H392,"0")+IFERROR(X393/H393,"0")+IFERROR(X394/H394,"0")</f>
        <v>149.81684981684981</v>
      </c>
      <c r="Y395" s="41">
        <f>IFERROR(Y392/H392,"0")+IFERROR(Y393/H393,"0")+IFERROR(Y394/H394,"0")</f>
        <v>152</v>
      </c>
      <c r="Z395" s="41">
        <f>IFERROR(IF(Z392="",0,Z392),"0")+IFERROR(IF(Z393="",0,Z393),"0")+IFERROR(IF(Z394="",0,Z394),"0")</f>
        <v>2.88496</v>
      </c>
      <c r="AA395" s="64"/>
      <c r="AB395" s="64"/>
      <c r="AC395" s="64"/>
    </row>
    <row r="396" spans="1:68" x14ac:dyDescent="0.2">
      <c r="A396" s="728"/>
      <c r="B396" s="728"/>
      <c r="C396" s="728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9"/>
      <c r="P396" s="725" t="s">
        <v>40</v>
      </c>
      <c r="Q396" s="726"/>
      <c r="R396" s="726"/>
      <c r="S396" s="726"/>
      <c r="T396" s="726"/>
      <c r="U396" s="726"/>
      <c r="V396" s="727"/>
      <c r="W396" s="40" t="s">
        <v>0</v>
      </c>
      <c r="X396" s="41">
        <f>IFERROR(SUM(X392:X394),"0")</f>
        <v>1220</v>
      </c>
      <c r="Y396" s="41">
        <f>IFERROR(SUM(Y392:Y394),"0")</f>
        <v>1237.8000000000002</v>
      </c>
      <c r="Z396" s="40"/>
      <c r="AA396" s="64"/>
      <c r="AB396" s="64"/>
      <c r="AC396" s="64"/>
    </row>
    <row r="397" spans="1:68" ht="14.25" hidden="1" customHeight="1" x14ac:dyDescent="0.25">
      <c r="A397" s="719" t="s">
        <v>289</v>
      </c>
      <c r="B397" s="719"/>
      <c r="C397" s="719"/>
      <c r="D397" s="719"/>
      <c r="E397" s="719"/>
      <c r="F397" s="719"/>
      <c r="G397" s="719"/>
      <c r="H397" s="719"/>
      <c r="I397" s="719"/>
      <c r="J397" s="719"/>
      <c r="K397" s="719"/>
      <c r="L397" s="719"/>
      <c r="M397" s="719"/>
      <c r="N397" s="719"/>
      <c r="O397" s="719"/>
      <c r="P397" s="719"/>
      <c r="Q397" s="719"/>
      <c r="R397" s="719"/>
      <c r="S397" s="719"/>
      <c r="T397" s="719"/>
      <c r="U397" s="719"/>
      <c r="V397" s="719"/>
      <c r="W397" s="719"/>
      <c r="X397" s="719"/>
      <c r="Y397" s="719"/>
      <c r="Z397" s="719"/>
      <c r="AA397" s="63"/>
      <c r="AB397" s="63"/>
      <c r="AC397" s="63"/>
    </row>
    <row r="398" spans="1:68" ht="27" hidden="1" customHeight="1" x14ac:dyDescent="0.25">
      <c r="A398" s="60" t="s">
        <v>662</v>
      </c>
      <c r="B398" s="60" t="s">
        <v>663</v>
      </c>
      <c r="C398" s="34">
        <v>4301030235</v>
      </c>
      <c r="D398" s="720">
        <v>4607091388381</v>
      </c>
      <c r="E398" s="72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9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2"/>
      <c r="R398" s="722"/>
      <c r="S398" s="722"/>
      <c r="T398" s="72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664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665</v>
      </c>
      <c r="B399" s="60" t="s">
        <v>666</v>
      </c>
      <c r="C399" s="34">
        <v>4301030232</v>
      </c>
      <c r="D399" s="720">
        <v>4607091388374</v>
      </c>
      <c r="E399" s="72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264</v>
      </c>
      <c r="N399" s="36"/>
      <c r="O399" s="35">
        <v>180</v>
      </c>
      <c r="P39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2"/>
      <c r="R399" s="722"/>
      <c r="S399" s="722"/>
      <c r="T399" s="72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664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667</v>
      </c>
      <c r="B400" s="60" t="s">
        <v>668</v>
      </c>
      <c r="C400" s="34">
        <v>4301032015</v>
      </c>
      <c r="D400" s="720">
        <v>4607091383102</v>
      </c>
      <c r="E400" s="72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9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2"/>
      <c r="R400" s="722"/>
      <c r="S400" s="722"/>
      <c r="T400" s="723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664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669</v>
      </c>
      <c r="B401" s="60" t="s">
        <v>670</v>
      </c>
      <c r="C401" s="34">
        <v>4301030233</v>
      </c>
      <c r="D401" s="720">
        <v>4607091388404</v>
      </c>
      <c r="E401" s="72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264</v>
      </c>
      <c r="N401" s="36"/>
      <c r="O401" s="35">
        <v>180</v>
      </c>
      <c r="P401" s="9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2"/>
      <c r="R401" s="722"/>
      <c r="S401" s="722"/>
      <c r="T401" s="723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IFERROR(IF(Y401=0,"",ROUNDUP(Y401/H401,0)*0.00651),"")</f>
        <v/>
      </c>
      <c r="AA401" s="65" t="s">
        <v>46</v>
      </c>
      <c r="AB401" s="66" t="s">
        <v>46</v>
      </c>
      <c r="AC401" s="505" t="s">
        <v>664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728"/>
      <c r="B402" s="728"/>
      <c r="C402" s="728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9"/>
      <c r="P402" s="725" t="s">
        <v>40</v>
      </c>
      <c r="Q402" s="726"/>
      <c r="R402" s="726"/>
      <c r="S402" s="726"/>
      <c r="T402" s="726"/>
      <c r="U402" s="726"/>
      <c r="V402" s="727"/>
      <c r="W402" s="40" t="s">
        <v>39</v>
      </c>
      <c r="X402" s="41">
        <f>IFERROR(X398/H398,"0")+IFERROR(X399/H399,"0")+IFERROR(X400/H400,"0")+IFERROR(X401/H401,"0")</f>
        <v>0</v>
      </c>
      <c r="Y402" s="41">
        <f>IFERROR(Y398/H398,"0")+IFERROR(Y399/H399,"0")+IFERROR(Y400/H400,"0")+IFERROR(Y401/H401,"0")</f>
        <v>0</v>
      </c>
      <c r="Z402" s="41">
        <f>IFERROR(IF(Z398="",0,Z398),"0")+IFERROR(IF(Z399="",0,Z399),"0")+IFERROR(IF(Z400="",0,Z400),"0")+IFERROR(IF(Z401="",0,Z401),"0")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728"/>
      <c r="B403" s="728"/>
      <c r="C403" s="728"/>
      <c r="D403" s="728"/>
      <c r="E403" s="728"/>
      <c r="F403" s="728"/>
      <c r="G403" s="728"/>
      <c r="H403" s="728"/>
      <c r="I403" s="728"/>
      <c r="J403" s="728"/>
      <c r="K403" s="728"/>
      <c r="L403" s="728"/>
      <c r="M403" s="728"/>
      <c r="N403" s="728"/>
      <c r="O403" s="729"/>
      <c r="P403" s="725" t="s">
        <v>40</v>
      </c>
      <c r="Q403" s="726"/>
      <c r="R403" s="726"/>
      <c r="S403" s="726"/>
      <c r="T403" s="726"/>
      <c r="U403" s="726"/>
      <c r="V403" s="727"/>
      <c r="W403" s="40" t="s">
        <v>0</v>
      </c>
      <c r="X403" s="41">
        <f>IFERROR(SUM(X398:X401),"0")</f>
        <v>0</v>
      </c>
      <c r="Y403" s="41">
        <f>IFERROR(SUM(Y398:Y401),"0")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719" t="s">
        <v>671</v>
      </c>
      <c r="B404" s="719"/>
      <c r="C404" s="719"/>
      <c r="D404" s="719"/>
      <c r="E404" s="719"/>
      <c r="F404" s="719"/>
      <c r="G404" s="719"/>
      <c r="H404" s="719"/>
      <c r="I404" s="719"/>
      <c r="J404" s="719"/>
      <c r="K404" s="719"/>
      <c r="L404" s="719"/>
      <c r="M404" s="719"/>
      <c r="N404" s="719"/>
      <c r="O404" s="719"/>
      <c r="P404" s="719"/>
      <c r="Q404" s="719"/>
      <c r="R404" s="719"/>
      <c r="S404" s="719"/>
      <c r="T404" s="719"/>
      <c r="U404" s="719"/>
      <c r="V404" s="719"/>
      <c r="W404" s="719"/>
      <c r="X404" s="719"/>
      <c r="Y404" s="719"/>
      <c r="Z404" s="719"/>
      <c r="AA404" s="63"/>
      <c r="AB404" s="63"/>
      <c r="AC404" s="63"/>
    </row>
    <row r="405" spans="1:68" ht="16.5" hidden="1" customHeight="1" x14ac:dyDescent="0.25">
      <c r="A405" s="60" t="s">
        <v>672</v>
      </c>
      <c r="B405" s="60" t="s">
        <v>673</v>
      </c>
      <c r="C405" s="34">
        <v>4301180007</v>
      </c>
      <c r="D405" s="720">
        <v>4680115881808</v>
      </c>
      <c r="E405" s="72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675</v>
      </c>
      <c r="N405" s="36"/>
      <c r="O405" s="35">
        <v>731</v>
      </c>
      <c r="P405" s="9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2"/>
      <c r="R405" s="722"/>
      <c r="S405" s="722"/>
      <c r="T405" s="72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674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676</v>
      </c>
      <c r="B406" s="60" t="s">
        <v>677</v>
      </c>
      <c r="C406" s="34">
        <v>4301180006</v>
      </c>
      <c r="D406" s="720">
        <v>4680115881822</v>
      </c>
      <c r="E406" s="72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675</v>
      </c>
      <c r="N406" s="36"/>
      <c r="O406" s="35">
        <v>731</v>
      </c>
      <c r="P406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2"/>
      <c r="R406" s="722"/>
      <c r="S406" s="722"/>
      <c r="T406" s="72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674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678</v>
      </c>
      <c r="B407" s="60" t="s">
        <v>679</v>
      </c>
      <c r="C407" s="34">
        <v>4301180001</v>
      </c>
      <c r="D407" s="720">
        <v>4680115880016</v>
      </c>
      <c r="E407" s="72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675</v>
      </c>
      <c r="N407" s="36"/>
      <c r="O407" s="35">
        <v>731</v>
      </c>
      <c r="P407" s="9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2"/>
      <c r="R407" s="722"/>
      <c r="S407" s="722"/>
      <c r="T407" s="72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674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8"/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9"/>
      <c r="P408" s="725" t="s">
        <v>40</v>
      </c>
      <c r="Q408" s="726"/>
      <c r="R408" s="726"/>
      <c r="S408" s="726"/>
      <c r="T408" s="726"/>
      <c r="U408" s="726"/>
      <c r="V408" s="727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8"/>
      <c r="B409" s="728"/>
      <c r="C409" s="728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9"/>
      <c r="P409" s="725" t="s">
        <v>40</v>
      </c>
      <c r="Q409" s="726"/>
      <c r="R409" s="726"/>
      <c r="S409" s="726"/>
      <c r="T409" s="726"/>
      <c r="U409" s="726"/>
      <c r="V409" s="727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19" t="s">
        <v>680</v>
      </c>
      <c r="B410" s="719"/>
      <c r="C410" s="719"/>
      <c r="D410" s="719"/>
      <c r="E410" s="719"/>
      <c r="F410" s="719"/>
      <c r="G410" s="719"/>
      <c r="H410" s="719"/>
      <c r="I410" s="719"/>
      <c r="J410" s="719"/>
      <c r="K410" s="719"/>
      <c r="L410" s="719"/>
      <c r="M410" s="719"/>
      <c r="N410" s="719"/>
      <c r="O410" s="719"/>
      <c r="P410" s="719"/>
      <c r="Q410" s="719"/>
      <c r="R410" s="719"/>
      <c r="S410" s="719"/>
      <c r="T410" s="719"/>
      <c r="U410" s="719"/>
      <c r="V410" s="719"/>
      <c r="W410" s="719"/>
      <c r="X410" s="719"/>
      <c r="Y410" s="719"/>
      <c r="Z410" s="719"/>
      <c r="AA410" s="63"/>
      <c r="AB410" s="63"/>
      <c r="AC410" s="63"/>
    </row>
    <row r="411" spans="1:68" ht="27" hidden="1" customHeight="1" x14ac:dyDescent="0.25">
      <c r="A411" s="60" t="s">
        <v>681</v>
      </c>
      <c r="B411" s="60" t="s">
        <v>682</v>
      </c>
      <c r="C411" s="34">
        <v>4301220003</v>
      </c>
      <c r="D411" s="720">
        <v>4680115888678</v>
      </c>
      <c r="E411" s="72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675</v>
      </c>
      <c r="N411" s="36"/>
      <c r="O411" s="35">
        <v>1096</v>
      </c>
      <c r="P411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2"/>
      <c r="R411" s="722"/>
      <c r="S411" s="722"/>
      <c r="T411" s="72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4301220001</v>
      </c>
      <c r="D412" s="720">
        <v>4680115888654</v>
      </c>
      <c r="E412" s="72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675</v>
      </c>
      <c r="N412" s="36"/>
      <c r="O412" s="35">
        <v>1096</v>
      </c>
      <c r="P412" s="9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2"/>
      <c r="R412" s="722"/>
      <c r="S412" s="722"/>
      <c r="T412" s="72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686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687</v>
      </c>
      <c r="B413" s="60" t="s">
        <v>688</v>
      </c>
      <c r="C413" s="34">
        <v>4301220002</v>
      </c>
      <c r="D413" s="720">
        <v>4680115888753</v>
      </c>
      <c r="E413" s="72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675</v>
      </c>
      <c r="N413" s="36"/>
      <c r="O413" s="35">
        <v>1096</v>
      </c>
      <c r="P413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2"/>
      <c r="R413" s="722"/>
      <c r="S413" s="722"/>
      <c r="T413" s="72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683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8"/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9"/>
      <c r="P414" s="725" t="s">
        <v>40</v>
      </c>
      <c r="Q414" s="726"/>
      <c r="R414" s="726"/>
      <c r="S414" s="726"/>
      <c r="T414" s="726"/>
      <c r="U414" s="726"/>
      <c r="V414" s="727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8"/>
      <c r="B415" s="728"/>
      <c r="C415" s="728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9"/>
      <c r="P415" s="725" t="s">
        <v>40</v>
      </c>
      <c r="Q415" s="726"/>
      <c r="R415" s="726"/>
      <c r="S415" s="726"/>
      <c r="T415" s="726"/>
      <c r="U415" s="726"/>
      <c r="V415" s="727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8" t="s">
        <v>689</v>
      </c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62"/>
      <c r="AB416" s="62"/>
      <c r="AC416" s="62"/>
    </row>
    <row r="417" spans="1:68" ht="14.25" hidden="1" customHeight="1" x14ac:dyDescent="0.25">
      <c r="A417" s="719" t="s">
        <v>86</v>
      </c>
      <c r="B417" s="719"/>
      <c r="C417" s="719"/>
      <c r="D417" s="719"/>
      <c r="E417" s="719"/>
      <c r="F417" s="719"/>
      <c r="G417" s="719"/>
      <c r="H417" s="719"/>
      <c r="I417" s="719"/>
      <c r="J417" s="719"/>
      <c r="K417" s="719"/>
      <c r="L417" s="719"/>
      <c r="M417" s="719"/>
      <c r="N417" s="719"/>
      <c r="O417" s="719"/>
      <c r="P417" s="719"/>
      <c r="Q417" s="719"/>
      <c r="R417" s="719"/>
      <c r="S417" s="719"/>
      <c r="T417" s="719"/>
      <c r="U417" s="719"/>
      <c r="V417" s="719"/>
      <c r="W417" s="719"/>
      <c r="X417" s="719"/>
      <c r="Y417" s="719"/>
      <c r="Z417" s="719"/>
      <c r="AA417" s="63"/>
      <c r="AB417" s="63"/>
      <c r="AC417" s="63"/>
    </row>
    <row r="418" spans="1:68" ht="16.5" hidden="1" customHeight="1" x14ac:dyDescent="0.25">
      <c r="A418" s="60" t="s">
        <v>690</v>
      </c>
      <c r="B418" s="60" t="s">
        <v>691</v>
      </c>
      <c r="C418" s="34">
        <v>4301052235</v>
      </c>
      <c r="D418" s="720">
        <v>4680115889415</v>
      </c>
      <c r="E418" s="72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2"/>
      <c r="R418" s="722"/>
      <c r="S418" s="722"/>
      <c r="T418" s="72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693</v>
      </c>
      <c r="B419" s="60" t="s">
        <v>694</v>
      </c>
      <c r="C419" s="34">
        <v>4301052236</v>
      </c>
      <c r="D419" s="720">
        <v>4680115889422</v>
      </c>
      <c r="E419" s="72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9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2"/>
      <c r="R419" s="722"/>
      <c r="S419" s="722"/>
      <c r="T419" s="72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695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28"/>
      <c r="B420" s="728"/>
      <c r="C420" s="728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9"/>
      <c r="P420" s="725" t="s">
        <v>40</v>
      </c>
      <c r="Q420" s="726"/>
      <c r="R420" s="726"/>
      <c r="S420" s="726"/>
      <c r="T420" s="726"/>
      <c r="U420" s="726"/>
      <c r="V420" s="727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728"/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9"/>
      <c r="P421" s="725" t="s">
        <v>40</v>
      </c>
      <c r="Q421" s="726"/>
      <c r="R421" s="726"/>
      <c r="S421" s="726"/>
      <c r="T421" s="726"/>
      <c r="U421" s="726"/>
      <c r="V421" s="727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718" t="s">
        <v>696</v>
      </c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62"/>
      <c r="AB422" s="62"/>
      <c r="AC422" s="62"/>
    </row>
    <row r="423" spans="1:68" ht="14.25" hidden="1" customHeight="1" x14ac:dyDescent="0.25">
      <c r="A423" s="719" t="s">
        <v>86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63"/>
      <c r="AB423" s="63"/>
      <c r="AC423" s="63"/>
    </row>
    <row r="424" spans="1:68" ht="27" hidden="1" customHeight="1" x14ac:dyDescent="0.25">
      <c r="A424" s="60" t="s">
        <v>697</v>
      </c>
      <c r="B424" s="60" t="s">
        <v>698</v>
      </c>
      <c r="C424" s="34">
        <v>4301051489</v>
      </c>
      <c r="D424" s="720">
        <v>4607091387919</v>
      </c>
      <c r="E424" s="72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9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2"/>
      <c r="R424" s="722"/>
      <c r="S424" s="722"/>
      <c r="T424" s="72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700</v>
      </c>
      <c r="B425" s="60" t="s">
        <v>701</v>
      </c>
      <c r="C425" s="34">
        <v>4301051461</v>
      </c>
      <c r="D425" s="720">
        <v>4680115883604</v>
      </c>
      <c r="E425" s="72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9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2"/>
      <c r="R425" s="722"/>
      <c r="S425" s="722"/>
      <c r="T425" s="723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703</v>
      </c>
      <c r="B426" s="60" t="s">
        <v>704</v>
      </c>
      <c r="C426" s="34">
        <v>4301051864</v>
      </c>
      <c r="D426" s="720">
        <v>4680115883567</v>
      </c>
      <c r="E426" s="72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9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2"/>
      <c r="R426" s="722"/>
      <c r="S426" s="722"/>
      <c r="T426" s="723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IFERROR(IF(Y426=0,"",ROUNDUP(Y426/H426,0)*0.00651),"")</f>
        <v/>
      </c>
      <c r="AA426" s="65" t="s">
        <v>46</v>
      </c>
      <c r="AB426" s="66" t="s">
        <v>46</v>
      </c>
      <c r="AC426" s="527" t="s">
        <v>705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28"/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9"/>
      <c r="P427" s="725" t="s">
        <v>40</v>
      </c>
      <c r="Q427" s="726"/>
      <c r="R427" s="726"/>
      <c r="S427" s="726"/>
      <c r="T427" s="726"/>
      <c r="U427" s="726"/>
      <c r="V427" s="727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28"/>
      <c r="B428" s="728"/>
      <c r="C428" s="728"/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9"/>
      <c r="P428" s="725" t="s">
        <v>40</v>
      </c>
      <c r="Q428" s="726"/>
      <c r="R428" s="726"/>
      <c r="S428" s="726"/>
      <c r="T428" s="726"/>
      <c r="U428" s="726"/>
      <c r="V428" s="727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27.75" hidden="1" customHeight="1" x14ac:dyDescent="0.2">
      <c r="A429" s="717" t="s">
        <v>706</v>
      </c>
      <c r="B429" s="717"/>
      <c r="C429" s="717"/>
      <c r="D429" s="717"/>
      <c r="E429" s="717"/>
      <c r="F429" s="717"/>
      <c r="G429" s="717"/>
      <c r="H429" s="717"/>
      <c r="I429" s="717"/>
      <c r="J429" s="717"/>
      <c r="K429" s="717"/>
      <c r="L429" s="717"/>
      <c r="M429" s="717"/>
      <c r="N429" s="717"/>
      <c r="O429" s="717"/>
      <c r="P429" s="717"/>
      <c r="Q429" s="717"/>
      <c r="R429" s="717"/>
      <c r="S429" s="717"/>
      <c r="T429" s="717"/>
      <c r="U429" s="717"/>
      <c r="V429" s="717"/>
      <c r="W429" s="717"/>
      <c r="X429" s="717"/>
      <c r="Y429" s="717"/>
      <c r="Z429" s="717"/>
      <c r="AA429" s="52"/>
      <c r="AB429" s="52"/>
      <c r="AC429" s="52"/>
    </row>
    <row r="430" spans="1:68" ht="16.5" hidden="1" customHeight="1" x14ac:dyDescent="0.25">
      <c r="A430" s="718" t="s">
        <v>707</v>
      </c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62"/>
      <c r="AB430" s="62"/>
      <c r="AC430" s="62"/>
    </row>
    <row r="431" spans="1:68" ht="14.25" hidden="1" customHeight="1" x14ac:dyDescent="0.25">
      <c r="A431" s="719" t="s">
        <v>122</v>
      </c>
      <c r="B431" s="719"/>
      <c r="C431" s="719"/>
      <c r="D431" s="719"/>
      <c r="E431" s="719"/>
      <c r="F431" s="719"/>
      <c r="G431" s="719"/>
      <c r="H431" s="719"/>
      <c r="I431" s="719"/>
      <c r="J431" s="719"/>
      <c r="K431" s="719"/>
      <c r="L431" s="719"/>
      <c r="M431" s="719"/>
      <c r="N431" s="719"/>
      <c r="O431" s="719"/>
      <c r="P431" s="719"/>
      <c r="Q431" s="719"/>
      <c r="R431" s="719"/>
      <c r="S431" s="719"/>
      <c r="T431" s="719"/>
      <c r="U431" s="719"/>
      <c r="V431" s="719"/>
      <c r="W431" s="719"/>
      <c r="X431" s="719"/>
      <c r="Y431" s="719"/>
      <c r="Z431" s="719"/>
      <c r="AA431" s="63"/>
      <c r="AB431" s="63"/>
      <c r="AC431" s="63"/>
    </row>
    <row r="432" spans="1:68" ht="27" customHeight="1" x14ac:dyDescent="0.25">
      <c r="A432" s="60" t="s">
        <v>708</v>
      </c>
      <c r="B432" s="60" t="s">
        <v>709</v>
      </c>
      <c r="C432" s="34">
        <v>4301012332</v>
      </c>
      <c r="D432" s="720">
        <v>4680115888401</v>
      </c>
      <c r="E432" s="72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95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2"/>
      <c r="R432" s="722"/>
      <c r="S432" s="722"/>
      <c r="T432" s="723"/>
      <c r="U432" s="37" t="s">
        <v>46</v>
      </c>
      <c r="V432" s="37" t="s">
        <v>46</v>
      </c>
      <c r="W432" s="38" t="s">
        <v>0</v>
      </c>
      <c r="X432" s="56">
        <v>200</v>
      </c>
      <c r="Y432" s="53">
        <f t="shared" ref="Y432:Y439" si="68">IFERROR(IF(X432="",0,CEILING((X432/$H432),1)*$H432),"")</f>
        <v>210</v>
      </c>
      <c r="Z432" s="39">
        <f>IFERROR(IF(Y432=0,"",ROUNDUP(Y432/H432,0)*0.02175),"")</f>
        <v>0.30449999999999999</v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69">IFERROR(X432*I432/H432,"0")</f>
        <v>206.26666666666668</v>
      </c>
      <c r="BN432" s="75">
        <f t="shared" ref="BN432:BN439" si="70">IFERROR(Y432*I432/H432,"0")</f>
        <v>216.58</v>
      </c>
      <c r="BO432" s="75">
        <f t="shared" ref="BO432:BO439" si="71">IFERROR(1/J432*(X432/H432),"0")</f>
        <v>0.27777777777777779</v>
      </c>
      <c r="BP432" s="75">
        <f t="shared" ref="BP432:BP439" si="72">IFERROR(1/J432*(Y432/H432),"0")</f>
        <v>0.29166666666666663</v>
      </c>
    </row>
    <row r="433" spans="1:68" ht="37.5" customHeight="1" x14ac:dyDescent="0.25">
      <c r="A433" s="60" t="s">
        <v>711</v>
      </c>
      <c r="B433" s="60" t="s">
        <v>712</v>
      </c>
      <c r="C433" s="34">
        <v>4301011869</v>
      </c>
      <c r="D433" s="720">
        <v>4680115884847</v>
      </c>
      <c r="E433" s="72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9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2"/>
      <c r="R433" s="722"/>
      <c r="S433" s="722"/>
      <c r="T433" s="723"/>
      <c r="U433" s="37" t="s">
        <v>46</v>
      </c>
      <c r="V433" s="37" t="s">
        <v>46</v>
      </c>
      <c r="W433" s="38" t="s">
        <v>0</v>
      </c>
      <c r="X433" s="56">
        <v>1600</v>
      </c>
      <c r="Y433" s="53">
        <f t="shared" si="68"/>
        <v>1605</v>
      </c>
      <c r="Z433" s="39">
        <f>IFERROR(IF(Y433=0,"",ROUNDUP(Y433/H433,0)*0.02175),"")</f>
        <v>2.3272499999999998</v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1650.1333333333334</v>
      </c>
      <c r="BN433" s="75">
        <f t="shared" si="70"/>
        <v>1655.2900000000002</v>
      </c>
      <c r="BO433" s="75">
        <f t="shared" si="71"/>
        <v>2.2222222222222223</v>
      </c>
      <c r="BP433" s="75">
        <f t="shared" si="72"/>
        <v>2.2291666666666665</v>
      </c>
    </row>
    <row r="434" spans="1:68" ht="27" customHeight="1" x14ac:dyDescent="0.25">
      <c r="A434" s="60" t="s">
        <v>714</v>
      </c>
      <c r="B434" s="60" t="s">
        <v>715</v>
      </c>
      <c r="C434" s="34">
        <v>4301012083</v>
      </c>
      <c r="D434" s="720">
        <v>4680115884854</v>
      </c>
      <c r="E434" s="72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9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2"/>
      <c r="R434" s="722"/>
      <c r="S434" s="722"/>
      <c r="T434" s="723"/>
      <c r="U434" s="37" t="s">
        <v>46</v>
      </c>
      <c r="V434" s="37" t="s">
        <v>46</v>
      </c>
      <c r="W434" s="38" t="s">
        <v>0</v>
      </c>
      <c r="X434" s="56">
        <v>1000</v>
      </c>
      <c r="Y434" s="53">
        <f t="shared" si="68"/>
        <v>1005</v>
      </c>
      <c r="Z434" s="39">
        <f>IFERROR(IF(Y434=0,"",ROUNDUP(Y434/H434,0)*0.02175),"")</f>
        <v>1.4572499999999999</v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1031.3333333333333</v>
      </c>
      <c r="BN434" s="75">
        <f t="shared" si="70"/>
        <v>1036.49</v>
      </c>
      <c r="BO434" s="75">
        <f t="shared" si="71"/>
        <v>1.3888888888888888</v>
      </c>
      <c r="BP434" s="75">
        <f t="shared" si="72"/>
        <v>1.3958333333333333</v>
      </c>
    </row>
    <row r="435" spans="1:68" ht="27" customHeight="1" x14ac:dyDescent="0.25">
      <c r="A435" s="60" t="s">
        <v>717</v>
      </c>
      <c r="B435" s="60" t="s">
        <v>718</v>
      </c>
      <c r="C435" s="34">
        <v>4301011867</v>
      </c>
      <c r="D435" s="720">
        <v>4680115884830</v>
      </c>
      <c r="E435" s="72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2"/>
      <c r="R435" s="722"/>
      <c r="S435" s="722"/>
      <c r="T435" s="723"/>
      <c r="U435" s="37" t="s">
        <v>46</v>
      </c>
      <c r="V435" s="37" t="s">
        <v>46</v>
      </c>
      <c r="W435" s="38" t="s">
        <v>0</v>
      </c>
      <c r="X435" s="56">
        <v>1400</v>
      </c>
      <c r="Y435" s="53">
        <f t="shared" si="68"/>
        <v>1410</v>
      </c>
      <c r="Z435" s="39">
        <f>IFERROR(IF(Y435=0,"",ROUNDUP(Y435/H435,0)*0.02175),"")</f>
        <v>2.0444999999999998</v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1443.8666666666666</v>
      </c>
      <c r="BN435" s="75">
        <f t="shared" si="70"/>
        <v>1454.18</v>
      </c>
      <c r="BO435" s="75">
        <f t="shared" si="71"/>
        <v>1.9444444444444442</v>
      </c>
      <c r="BP435" s="75">
        <f t="shared" si="72"/>
        <v>1.9583333333333333</v>
      </c>
    </row>
    <row r="436" spans="1:68" ht="27" customHeight="1" x14ac:dyDescent="0.25">
      <c r="A436" s="60" t="s">
        <v>720</v>
      </c>
      <c r="B436" s="60" t="s">
        <v>721</v>
      </c>
      <c r="C436" s="34">
        <v>4301012356</v>
      </c>
      <c r="D436" s="720">
        <v>4680115889231</v>
      </c>
      <c r="E436" s="72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2"/>
      <c r="R436" s="722"/>
      <c r="S436" s="722"/>
      <c r="T436" s="723"/>
      <c r="U436" s="37" t="s">
        <v>46</v>
      </c>
      <c r="V436" s="37" t="s">
        <v>46</v>
      </c>
      <c r="W436" s="38" t="s">
        <v>0</v>
      </c>
      <c r="X436" s="56">
        <v>300</v>
      </c>
      <c r="Y436" s="53">
        <f t="shared" si="68"/>
        <v>300</v>
      </c>
      <c r="Z436" s="39">
        <f>IFERROR(IF(Y436=0,"",ROUNDUP(Y436/H436,0)*0.02175),"")</f>
        <v>0.43499999999999994</v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309.39999999999998</v>
      </c>
      <c r="BN436" s="75">
        <f t="shared" si="70"/>
        <v>309.39999999999998</v>
      </c>
      <c r="BO436" s="75">
        <f t="shared" si="71"/>
        <v>0.41666666666666663</v>
      </c>
      <c r="BP436" s="75">
        <f t="shared" si="72"/>
        <v>0.41666666666666663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4301011433</v>
      </c>
      <c r="D437" s="720">
        <v>4680115882638</v>
      </c>
      <c r="E437" s="72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9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2"/>
      <c r="R437" s="722"/>
      <c r="S437" s="722"/>
      <c r="T437" s="72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726</v>
      </c>
      <c r="B438" s="60" t="s">
        <v>727</v>
      </c>
      <c r="C438" s="34">
        <v>4301011952</v>
      </c>
      <c r="D438" s="720">
        <v>4680115884922</v>
      </c>
      <c r="E438" s="72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2"/>
      <c r="R438" s="722"/>
      <c r="S438" s="722"/>
      <c r="T438" s="72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customHeight="1" x14ac:dyDescent="0.25">
      <c r="A439" s="60" t="s">
        <v>729</v>
      </c>
      <c r="B439" s="60" t="s">
        <v>730</v>
      </c>
      <c r="C439" s="34">
        <v>4301011868</v>
      </c>
      <c r="D439" s="720">
        <v>4680115884861</v>
      </c>
      <c r="E439" s="72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9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2"/>
      <c r="R439" s="722"/>
      <c r="S439" s="722"/>
      <c r="T439" s="723"/>
      <c r="U439" s="37" t="s">
        <v>46</v>
      </c>
      <c r="V439" s="37" t="s">
        <v>46</v>
      </c>
      <c r="W439" s="38" t="s">
        <v>0</v>
      </c>
      <c r="X439" s="56">
        <v>15</v>
      </c>
      <c r="Y439" s="53">
        <f t="shared" si="68"/>
        <v>15</v>
      </c>
      <c r="Z439" s="39">
        <f>IFERROR(IF(Y439=0,"",ROUNDUP(Y439/H439,0)*0.00902),"")</f>
        <v>2.7060000000000001E-2</v>
      </c>
      <c r="AA439" s="65" t="s">
        <v>46</v>
      </c>
      <c r="AB439" s="66" t="s">
        <v>46</v>
      </c>
      <c r="AC439" s="543" t="s">
        <v>731</v>
      </c>
      <c r="AG439" s="75"/>
      <c r="AJ439" s="79" t="s">
        <v>46</v>
      </c>
      <c r="AK439" s="79">
        <v>0</v>
      </c>
      <c r="BB439" s="544" t="s">
        <v>67</v>
      </c>
      <c r="BM439" s="75">
        <f t="shared" si="69"/>
        <v>15.570000000000002</v>
      </c>
      <c r="BN439" s="75">
        <f t="shared" si="70"/>
        <v>15.570000000000002</v>
      </c>
      <c r="BO439" s="75">
        <f t="shared" si="71"/>
        <v>2.2727272727272728E-2</v>
      </c>
      <c r="BP439" s="75">
        <f t="shared" si="72"/>
        <v>2.2727272727272728E-2</v>
      </c>
    </row>
    <row r="440" spans="1:68" x14ac:dyDescent="0.2">
      <c r="A440" s="728"/>
      <c r="B440" s="728"/>
      <c r="C440" s="728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9"/>
      <c r="P440" s="725" t="s">
        <v>40</v>
      </c>
      <c r="Q440" s="726"/>
      <c r="R440" s="726"/>
      <c r="S440" s="726"/>
      <c r="T440" s="726"/>
      <c r="U440" s="726"/>
      <c r="V440" s="727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303</v>
      </c>
      <c r="Y440" s="41">
        <f>IFERROR(Y432/H432,"0")+IFERROR(Y433/H433,"0")+IFERROR(Y434/H434,"0")+IFERROR(Y435/H435,"0")+IFERROR(Y436/H436,"0")+IFERROR(Y437/H437,"0")+IFERROR(Y438/H438,"0")+IFERROR(Y439/H439,"0")</f>
        <v>305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6.595559999999999</v>
      </c>
      <c r="AA440" s="64"/>
      <c r="AB440" s="64"/>
      <c r="AC440" s="64"/>
    </row>
    <row r="441" spans="1:68" x14ac:dyDescent="0.2">
      <c r="A441" s="728"/>
      <c r="B441" s="728"/>
      <c r="C441" s="728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9"/>
      <c r="P441" s="725" t="s">
        <v>40</v>
      </c>
      <c r="Q441" s="726"/>
      <c r="R441" s="726"/>
      <c r="S441" s="726"/>
      <c r="T441" s="726"/>
      <c r="U441" s="726"/>
      <c r="V441" s="727"/>
      <c r="W441" s="40" t="s">
        <v>0</v>
      </c>
      <c r="X441" s="41">
        <f>IFERROR(SUM(X432:X439),"0")</f>
        <v>4515</v>
      </c>
      <c r="Y441" s="41">
        <f>IFERROR(SUM(Y432:Y439),"0")</f>
        <v>4545</v>
      </c>
      <c r="Z441" s="40"/>
      <c r="AA441" s="64"/>
      <c r="AB441" s="64"/>
      <c r="AC441" s="64"/>
    </row>
    <row r="442" spans="1:68" ht="14.25" hidden="1" customHeight="1" x14ac:dyDescent="0.25">
      <c r="A442" s="719" t="s">
        <v>155</v>
      </c>
      <c r="B442" s="719"/>
      <c r="C442" s="719"/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719"/>
      <c r="Q442" s="719"/>
      <c r="R442" s="719"/>
      <c r="S442" s="719"/>
      <c r="T442" s="719"/>
      <c r="U442" s="719"/>
      <c r="V442" s="719"/>
      <c r="W442" s="719"/>
      <c r="X442" s="719"/>
      <c r="Y442" s="719"/>
      <c r="Z442" s="719"/>
      <c r="AA442" s="63"/>
      <c r="AB442" s="63"/>
      <c r="AC442" s="63"/>
    </row>
    <row r="443" spans="1:68" ht="27" customHeight="1" x14ac:dyDescent="0.25">
      <c r="A443" s="60" t="s">
        <v>732</v>
      </c>
      <c r="B443" s="60" t="s">
        <v>733</v>
      </c>
      <c r="C443" s="34">
        <v>4301020178</v>
      </c>
      <c r="D443" s="720">
        <v>4607091383980</v>
      </c>
      <c r="E443" s="72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2"/>
      <c r="R443" s="722"/>
      <c r="S443" s="722"/>
      <c r="T443" s="723"/>
      <c r="U443" s="37" t="s">
        <v>46</v>
      </c>
      <c r="V443" s="37" t="s">
        <v>46</v>
      </c>
      <c r="W443" s="38" t="s">
        <v>0</v>
      </c>
      <c r="X443" s="56">
        <v>1300</v>
      </c>
      <c r="Y443" s="53">
        <f>IFERROR(IF(X443="",0,CEILING((X443/$H443),1)*$H443),"")</f>
        <v>1305</v>
      </c>
      <c r="Z443" s="39">
        <f>IFERROR(IF(Y443=0,"",ROUNDUP(Y443/H443,0)*0.02175),"")</f>
        <v>1.8922499999999998</v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1340.7333333333333</v>
      </c>
      <c r="BN443" s="75">
        <f>IFERROR(Y443*I443/H443,"0")</f>
        <v>1345.89</v>
      </c>
      <c r="BO443" s="75">
        <f>IFERROR(1/J443*(X443/H443),"0")</f>
        <v>1.8055555555555556</v>
      </c>
      <c r="BP443" s="75">
        <f>IFERROR(1/J443*(Y443/H443),"0")</f>
        <v>1.8125</v>
      </c>
    </row>
    <row r="444" spans="1:68" ht="27" customHeight="1" x14ac:dyDescent="0.25">
      <c r="A444" s="60" t="s">
        <v>735</v>
      </c>
      <c r="B444" s="60" t="s">
        <v>736</v>
      </c>
      <c r="C444" s="34">
        <v>4301020355</v>
      </c>
      <c r="D444" s="720">
        <v>4680115888425</v>
      </c>
      <c r="E444" s="72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96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2"/>
      <c r="R444" s="722"/>
      <c r="S444" s="722"/>
      <c r="T444" s="723"/>
      <c r="U444" s="37" t="s">
        <v>46</v>
      </c>
      <c r="V444" s="37" t="s">
        <v>46</v>
      </c>
      <c r="W444" s="38" t="s">
        <v>0</v>
      </c>
      <c r="X444" s="56">
        <v>100</v>
      </c>
      <c r="Y444" s="53">
        <f>IFERROR(IF(X444="",0,CEILING((X444/$H444),1)*$H444),"")</f>
        <v>105</v>
      </c>
      <c r="Z444" s="39">
        <f>IFERROR(IF(Y444=0,"",ROUNDUP(Y444/H444,0)*0.02175),"")</f>
        <v>0.15225</v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103.13333333333334</v>
      </c>
      <c r="BN444" s="75">
        <f>IFERROR(Y444*I444/H444,"0")</f>
        <v>108.29</v>
      </c>
      <c r="BO444" s="75">
        <f>IFERROR(1/J444*(X444/H444),"0")</f>
        <v>0.1388888888888889</v>
      </c>
      <c r="BP444" s="75">
        <f>IFERROR(1/J444*(Y444/H444),"0")</f>
        <v>0.14583333333333331</v>
      </c>
    </row>
    <row r="445" spans="1:68" ht="27" hidden="1" customHeight="1" x14ac:dyDescent="0.25">
      <c r="A445" s="60" t="s">
        <v>738</v>
      </c>
      <c r="B445" s="60" t="s">
        <v>739</v>
      </c>
      <c r="C445" s="34">
        <v>4301020179</v>
      </c>
      <c r="D445" s="720">
        <v>4607091384178</v>
      </c>
      <c r="E445" s="72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96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2"/>
      <c r="R445" s="722"/>
      <c r="S445" s="722"/>
      <c r="T445" s="72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740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x14ac:dyDescent="0.2">
      <c r="A446" s="728"/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9"/>
      <c r="P446" s="725" t="s">
        <v>40</v>
      </c>
      <c r="Q446" s="726"/>
      <c r="R446" s="726"/>
      <c r="S446" s="726"/>
      <c r="T446" s="726"/>
      <c r="U446" s="726"/>
      <c r="V446" s="727"/>
      <c r="W446" s="40" t="s">
        <v>39</v>
      </c>
      <c r="X446" s="41">
        <f>IFERROR(X443/H443,"0")+IFERROR(X444/H444,"0")+IFERROR(X445/H445,"0")</f>
        <v>93.333333333333343</v>
      </c>
      <c r="Y446" s="41">
        <f>IFERROR(Y443/H443,"0")+IFERROR(Y444/H444,"0")+IFERROR(Y445/H445,"0")</f>
        <v>94</v>
      </c>
      <c r="Z446" s="41">
        <f>IFERROR(IF(Z443="",0,Z443),"0")+IFERROR(IF(Z444="",0,Z444),"0")+IFERROR(IF(Z445="",0,Z445),"0")</f>
        <v>2.0444999999999998</v>
      </c>
      <c r="AA446" s="64"/>
      <c r="AB446" s="64"/>
      <c r="AC446" s="64"/>
    </row>
    <row r="447" spans="1:68" x14ac:dyDescent="0.2">
      <c r="A447" s="728"/>
      <c r="B447" s="728"/>
      <c r="C447" s="728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9"/>
      <c r="P447" s="725" t="s">
        <v>40</v>
      </c>
      <c r="Q447" s="726"/>
      <c r="R447" s="726"/>
      <c r="S447" s="726"/>
      <c r="T447" s="726"/>
      <c r="U447" s="726"/>
      <c r="V447" s="727"/>
      <c r="W447" s="40" t="s">
        <v>0</v>
      </c>
      <c r="X447" s="41">
        <f>IFERROR(SUM(X443:X445),"0")</f>
        <v>1400</v>
      </c>
      <c r="Y447" s="41">
        <f>IFERROR(SUM(Y443:Y445),"0")</f>
        <v>1410</v>
      </c>
      <c r="Z447" s="40"/>
      <c r="AA447" s="64"/>
      <c r="AB447" s="64"/>
      <c r="AC447" s="64"/>
    </row>
    <row r="448" spans="1:68" ht="14.25" hidden="1" customHeight="1" x14ac:dyDescent="0.25">
      <c r="A448" s="719" t="s">
        <v>86</v>
      </c>
      <c r="B448" s="719"/>
      <c r="C448" s="719"/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719"/>
      <c r="R448" s="719"/>
      <c r="S448" s="719"/>
      <c r="T448" s="719"/>
      <c r="U448" s="719"/>
      <c r="V448" s="719"/>
      <c r="W448" s="719"/>
      <c r="X448" s="719"/>
      <c r="Y448" s="719"/>
      <c r="Z448" s="719"/>
      <c r="AA448" s="63"/>
      <c r="AB448" s="63"/>
      <c r="AC448" s="63"/>
    </row>
    <row r="449" spans="1:68" ht="27" hidden="1" customHeight="1" x14ac:dyDescent="0.25">
      <c r="A449" s="60" t="s">
        <v>741</v>
      </c>
      <c r="B449" s="60" t="s">
        <v>742</v>
      </c>
      <c r="C449" s="34">
        <v>4301051903</v>
      </c>
      <c r="D449" s="720">
        <v>4607091383928</v>
      </c>
      <c r="E449" s="72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2"/>
      <c r="R449" s="722"/>
      <c r="S449" s="722"/>
      <c r="T449" s="72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customHeight="1" x14ac:dyDescent="0.25">
      <c r="A450" s="60" t="s">
        <v>744</v>
      </c>
      <c r="B450" s="60" t="s">
        <v>745</v>
      </c>
      <c r="C450" s="34">
        <v>4301051897</v>
      </c>
      <c r="D450" s="720">
        <v>4607091384260</v>
      </c>
      <c r="E450" s="7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2"/>
      <c r="R450" s="722"/>
      <c r="S450" s="722"/>
      <c r="T450" s="723"/>
      <c r="U450" s="37" t="s">
        <v>46</v>
      </c>
      <c r="V450" s="37" t="s">
        <v>46</v>
      </c>
      <c r="W450" s="38" t="s">
        <v>0</v>
      </c>
      <c r="X450" s="56">
        <v>50</v>
      </c>
      <c r="Y450" s="53">
        <f>IFERROR(IF(X450="",0,CEILING((X450/$H450),1)*$H450),"")</f>
        <v>54</v>
      </c>
      <c r="Z450" s="39">
        <f>IFERROR(IF(Y450=0,"",ROUNDUP(Y450/H450,0)*0.01898),"")</f>
        <v>0.11388000000000001</v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52.74444444444444</v>
      </c>
      <c r="BN450" s="75">
        <f>IFERROR(Y450*I450/H450,"0")</f>
        <v>56.963999999999992</v>
      </c>
      <c r="BO450" s="75">
        <f>IFERROR(1/J450*(X450/H450),"0")</f>
        <v>8.6805555555555552E-2</v>
      </c>
      <c r="BP450" s="75">
        <f>IFERROR(1/J450*(Y450/H450),"0")</f>
        <v>9.375E-2</v>
      </c>
    </row>
    <row r="451" spans="1:68" ht="27" hidden="1" customHeight="1" x14ac:dyDescent="0.25">
      <c r="A451" s="60" t="s">
        <v>747</v>
      </c>
      <c r="B451" s="60" t="s">
        <v>748</v>
      </c>
      <c r="C451" s="34">
        <v>4301052220</v>
      </c>
      <c r="D451" s="720">
        <v>4680115889538</v>
      </c>
      <c r="E451" s="72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9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2"/>
      <c r="R451" s="722"/>
      <c r="S451" s="722"/>
      <c r="T451" s="72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749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x14ac:dyDescent="0.2">
      <c r="A452" s="728"/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9"/>
      <c r="P452" s="725" t="s">
        <v>40</v>
      </c>
      <c r="Q452" s="726"/>
      <c r="R452" s="726"/>
      <c r="S452" s="726"/>
      <c r="T452" s="726"/>
      <c r="U452" s="726"/>
      <c r="V452" s="727"/>
      <c r="W452" s="40" t="s">
        <v>39</v>
      </c>
      <c r="X452" s="41">
        <f>IFERROR(X449/H449,"0")+IFERROR(X450/H450,"0")+IFERROR(X451/H451,"0")</f>
        <v>5.5555555555555554</v>
      </c>
      <c r="Y452" s="41">
        <f>IFERROR(Y449/H449,"0")+IFERROR(Y450/H450,"0")+IFERROR(Y451/H451,"0")</f>
        <v>6</v>
      </c>
      <c r="Z452" s="41">
        <f>IFERROR(IF(Z449="",0,Z449),"0")+IFERROR(IF(Z450="",0,Z450),"0")+IFERROR(IF(Z451="",0,Z451),"0")</f>
        <v>0.11388000000000001</v>
      </c>
      <c r="AA452" s="64"/>
      <c r="AB452" s="64"/>
      <c r="AC452" s="64"/>
    </row>
    <row r="453" spans="1:68" x14ac:dyDescent="0.2">
      <c r="A453" s="728"/>
      <c r="B453" s="728"/>
      <c r="C453" s="728"/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9"/>
      <c r="P453" s="725" t="s">
        <v>40</v>
      </c>
      <c r="Q453" s="726"/>
      <c r="R453" s="726"/>
      <c r="S453" s="726"/>
      <c r="T453" s="726"/>
      <c r="U453" s="726"/>
      <c r="V453" s="727"/>
      <c r="W453" s="40" t="s">
        <v>0</v>
      </c>
      <c r="X453" s="41">
        <f>IFERROR(SUM(X449:X451),"0")</f>
        <v>50</v>
      </c>
      <c r="Y453" s="41">
        <f>IFERROR(SUM(Y449:Y451),"0")</f>
        <v>54</v>
      </c>
      <c r="Z453" s="40"/>
      <c r="AA453" s="64"/>
      <c r="AB453" s="64"/>
      <c r="AC453" s="64"/>
    </row>
    <row r="454" spans="1:68" ht="14.25" hidden="1" customHeight="1" x14ac:dyDescent="0.25">
      <c r="A454" s="719" t="s">
        <v>173</v>
      </c>
      <c r="B454" s="719"/>
      <c r="C454" s="719"/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719"/>
      <c r="W454" s="719"/>
      <c r="X454" s="719"/>
      <c r="Y454" s="719"/>
      <c r="Z454" s="719"/>
      <c r="AA454" s="63"/>
      <c r="AB454" s="63"/>
      <c r="AC454" s="63"/>
    </row>
    <row r="455" spans="1:68" ht="27" hidden="1" customHeight="1" x14ac:dyDescent="0.25">
      <c r="A455" s="60" t="s">
        <v>750</v>
      </c>
      <c r="B455" s="60" t="s">
        <v>751</v>
      </c>
      <c r="C455" s="34">
        <v>4301060537</v>
      </c>
      <c r="D455" s="720">
        <v>4680115889545</v>
      </c>
      <c r="E455" s="72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9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2"/>
      <c r="R455" s="722"/>
      <c r="S455" s="722"/>
      <c r="T455" s="72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753</v>
      </c>
      <c r="B456" s="60" t="s">
        <v>754</v>
      </c>
      <c r="C456" s="34">
        <v>4301060524</v>
      </c>
      <c r="D456" s="720">
        <v>4607091384673</v>
      </c>
      <c r="E456" s="72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96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2"/>
      <c r="R456" s="722"/>
      <c r="S456" s="722"/>
      <c r="T456" s="72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755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8"/>
      <c r="B457" s="728"/>
      <c r="C457" s="728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9"/>
      <c r="P457" s="725" t="s">
        <v>40</v>
      </c>
      <c r="Q457" s="726"/>
      <c r="R457" s="726"/>
      <c r="S457" s="726"/>
      <c r="T457" s="726"/>
      <c r="U457" s="726"/>
      <c r="V457" s="727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8"/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9"/>
      <c r="P458" s="725" t="s">
        <v>40</v>
      </c>
      <c r="Q458" s="726"/>
      <c r="R458" s="726"/>
      <c r="S458" s="726"/>
      <c r="T458" s="726"/>
      <c r="U458" s="726"/>
      <c r="V458" s="727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8" t="s">
        <v>756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2"/>
      <c r="AB459" s="62"/>
      <c r="AC459" s="62"/>
    </row>
    <row r="460" spans="1:68" ht="14.25" hidden="1" customHeight="1" x14ac:dyDescent="0.25">
      <c r="A460" s="719" t="s">
        <v>122</v>
      </c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719"/>
      <c r="V460" s="719"/>
      <c r="W460" s="719"/>
      <c r="X460" s="719"/>
      <c r="Y460" s="719"/>
      <c r="Z460" s="719"/>
      <c r="AA460" s="63"/>
      <c r="AB460" s="63"/>
      <c r="AC460" s="63"/>
    </row>
    <row r="461" spans="1:68" ht="27" customHeight="1" x14ac:dyDescent="0.25">
      <c r="A461" s="60" t="s">
        <v>757</v>
      </c>
      <c r="B461" s="60" t="s">
        <v>758</v>
      </c>
      <c r="C461" s="34">
        <v>4301011875</v>
      </c>
      <c r="D461" s="720">
        <v>4680115884885</v>
      </c>
      <c r="E461" s="72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2"/>
      <c r="R461" s="722"/>
      <c r="S461" s="722"/>
      <c r="T461" s="723"/>
      <c r="U461" s="37" t="s">
        <v>46</v>
      </c>
      <c r="V461" s="37" t="s">
        <v>46</v>
      </c>
      <c r="W461" s="38" t="s">
        <v>0</v>
      </c>
      <c r="X461" s="56">
        <v>20</v>
      </c>
      <c r="Y461" s="53">
        <f>IFERROR(IF(X461="",0,CEILING((X461/$H461),1)*$H461),"")</f>
        <v>24</v>
      </c>
      <c r="Z461" s="39">
        <f>IFERROR(IF(Y461=0,"",ROUNDUP(Y461/H461,0)*0.01898),"")</f>
        <v>3.7960000000000001E-2</v>
      </c>
      <c r="AA461" s="65" t="s">
        <v>46</v>
      </c>
      <c r="AB461" s="66" t="s">
        <v>46</v>
      </c>
      <c r="AC461" s="561" t="s">
        <v>759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20.683333333333334</v>
      </c>
      <c r="BN461" s="75">
        <f>IFERROR(Y461*I461/H461,"0")</f>
        <v>24.820000000000004</v>
      </c>
      <c r="BO461" s="75">
        <f>IFERROR(1/J461*(X461/H461),"0")</f>
        <v>2.6041666666666668E-2</v>
      </c>
      <c r="BP461" s="75">
        <f>IFERROR(1/J461*(Y461/H461),"0")</f>
        <v>3.125E-2</v>
      </c>
    </row>
    <row r="462" spans="1:68" ht="37.5" hidden="1" customHeight="1" x14ac:dyDescent="0.25">
      <c r="A462" s="60" t="s">
        <v>760</v>
      </c>
      <c r="B462" s="60" t="s">
        <v>761</v>
      </c>
      <c r="C462" s="34">
        <v>4301011871</v>
      </c>
      <c r="D462" s="720">
        <v>4680115884908</v>
      </c>
      <c r="E462" s="72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9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2"/>
      <c r="R462" s="722"/>
      <c r="S462" s="722"/>
      <c r="T462" s="72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759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728"/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9"/>
      <c r="P463" s="725" t="s">
        <v>40</v>
      </c>
      <c r="Q463" s="726"/>
      <c r="R463" s="726"/>
      <c r="S463" s="726"/>
      <c r="T463" s="726"/>
      <c r="U463" s="726"/>
      <c r="V463" s="727"/>
      <c r="W463" s="40" t="s">
        <v>39</v>
      </c>
      <c r="X463" s="41">
        <f>IFERROR(X461/H461,"0")+IFERROR(X462/H462,"0")</f>
        <v>1.6666666666666667</v>
      </c>
      <c r="Y463" s="41">
        <f>IFERROR(Y461/H461,"0")+IFERROR(Y462/H462,"0")</f>
        <v>2</v>
      </c>
      <c r="Z463" s="41">
        <f>IFERROR(IF(Z461="",0,Z461),"0")+IFERROR(IF(Z462="",0,Z462),"0")</f>
        <v>3.7960000000000001E-2</v>
      </c>
      <c r="AA463" s="64"/>
      <c r="AB463" s="64"/>
      <c r="AC463" s="64"/>
    </row>
    <row r="464" spans="1:68" x14ac:dyDescent="0.2">
      <c r="A464" s="728"/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9"/>
      <c r="P464" s="725" t="s">
        <v>40</v>
      </c>
      <c r="Q464" s="726"/>
      <c r="R464" s="726"/>
      <c r="S464" s="726"/>
      <c r="T464" s="726"/>
      <c r="U464" s="726"/>
      <c r="V464" s="727"/>
      <c r="W464" s="40" t="s">
        <v>0</v>
      </c>
      <c r="X464" s="41">
        <f>IFERROR(SUM(X461:X462),"0")</f>
        <v>20</v>
      </c>
      <c r="Y464" s="41">
        <f>IFERROR(SUM(Y461:Y462),"0")</f>
        <v>24</v>
      </c>
      <c r="Z464" s="40"/>
      <c r="AA464" s="64"/>
      <c r="AB464" s="64"/>
      <c r="AC464" s="64"/>
    </row>
    <row r="465" spans="1:68" ht="14.25" hidden="1" customHeight="1" x14ac:dyDescent="0.25">
      <c r="A465" s="719" t="s">
        <v>77</v>
      </c>
      <c r="B465" s="719"/>
      <c r="C465" s="719"/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19"/>
      <c r="W465" s="719"/>
      <c r="X465" s="719"/>
      <c r="Y465" s="719"/>
      <c r="Z465" s="719"/>
      <c r="AA465" s="63"/>
      <c r="AB465" s="63"/>
      <c r="AC465" s="63"/>
    </row>
    <row r="466" spans="1:68" ht="27" hidden="1" customHeight="1" x14ac:dyDescent="0.25">
      <c r="A466" s="60" t="s">
        <v>762</v>
      </c>
      <c r="B466" s="60" t="s">
        <v>763</v>
      </c>
      <c r="C466" s="34">
        <v>4301031457</v>
      </c>
      <c r="D466" s="720">
        <v>4607091384802</v>
      </c>
      <c r="E466" s="72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9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2"/>
      <c r="R466" s="722"/>
      <c r="S466" s="722"/>
      <c r="T466" s="72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764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8"/>
      <c r="B467" s="728"/>
      <c r="C467" s="728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9"/>
      <c r="P467" s="725" t="s">
        <v>40</v>
      </c>
      <c r="Q467" s="726"/>
      <c r="R467" s="726"/>
      <c r="S467" s="726"/>
      <c r="T467" s="726"/>
      <c r="U467" s="726"/>
      <c r="V467" s="727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8"/>
      <c r="B468" s="728"/>
      <c r="C468" s="728"/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9"/>
      <c r="P468" s="725" t="s">
        <v>40</v>
      </c>
      <c r="Q468" s="726"/>
      <c r="R468" s="726"/>
      <c r="S468" s="726"/>
      <c r="T468" s="726"/>
      <c r="U468" s="726"/>
      <c r="V468" s="727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9" t="s">
        <v>86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63"/>
      <c r="AB469" s="63"/>
      <c r="AC469" s="63"/>
    </row>
    <row r="470" spans="1:68" ht="27" customHeight="1" x14ac:dyDescent="0.25">
      <c r="A470" s="60" t="s">
        <v>765</v>
      </c>
      <c r="B470" s="60" t="s">
        <v>766</v>
      </c>
      <c r="C470" s="34">
        <v>4301051899</v>
      </c>
      <c r="D470" s="720">
        <v>4607091384246</v>
      </c>
      <c r="E470" s="72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9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2"/>
      <c r="R470" s="722"/>
      <c r="S470" s="722"/>
      <c r="T470" s="723"/>
      <c r="U470" s="37" t="s">
        <v>46</v>
      </c>
      <c r="V470" s="37" t="s">
        <v>46</v>
      </c>
      <c r="W470" s="38" t="s">
        <v>0</v>
      </c>
      <c r="X470" s="56">
        <v>50</v>
      </c>
      <c r="Y470" s="53">
        <f>IFERROR(IF(X470="",0,CEILING((X470/$H470),1)*$H470),"")</f>
        <v>54</v>
      </c>
      <c r="Z470" s="39">
        <f>IFERROR(IF(Y470=0,"",ROUNDUP(Y470/H470,0)*0.01898),"")</f>
        <v>0.11388000000000001</v>
      </c>
      <c r="AA470" s="65" t="s">
        <v>46</v>
      </c>
      <c r="AB470" s="66" t="s">
        <v>46</v>
      </c>
      <c r="AC470" s="567" t="s">
        <v>767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52.74444444444444</v>
      </c>
      <c r="BN470" s="75">
        <f>IFERROR(Y470*I470/H470,"0")</f>
        <v>56.963999999999992</v>
      </c>
      <c r="BO470" s="75">
        <f>IFERROR(1/J470*(X470/H470),"0")</f>
        <v>8.6805555555555552E-2</v>
      </c>
      <c r="BP470" s="75">
        <f>IFERROR(1/J470*(Y470/H470),"0")</f>
        <v>9.375E-2</v>
      </c>
    </row>
    <row r="471" spans="1:68" ht="27" hidden="1" customHeight="1" x14ac:dyDescent="0.25">
      <c r="A471" s="60" t="s">
        <v>768</v>
      </c>
      <c r="B471" s="60" t="s">
        <v>769</v>
      </c>
      <c r="C471" s="34">
        <v>4301051660</v>
      </c>
      <c r="D471" s="720">
        <v>4607091384253</v>
      </c>
      <c r="E471" s="72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2"/>
      <c r="R471" s="722"/>
      <c r="S471" s="722"/>
      <c r="T471" s="72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768</v>
      </c>
      <c r="B472" s="60" t="s">
        <v>770</v>
      </c>
      <c r="C472" s="34">
        <v>4301052069</v>
      </c>
      <c r="D472" s="720">
        <v>4607091384253</v>
      </c>
      <c r="E472" s="72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9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2"/>
      <c r="R472" s="722"/>
      <c r="S472" s="722"/>
      <c r="T472" s="72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771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x14ac:dyDescent="0.2">
      <c r="A473" s="728"/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9"/>
      <c r="P473" s="725" t="s">
        <v>40</v>
      </c>
      <c r="Q473" s="726"/>
      <c r="R473" s="726"/>
      <c r="S473" s="726"/>
      <c r="T473" s="726"/>
      <c r="U473" s="726"/>
      <c r="V473" s="727"/>
      <c r="W473" s="40" t="s">
        <v>39</v>
      </c>
      <c r="X473" s="41">
        <f>IFERROR(X470/H470,"0")+IFERROR(X471/H471,"0")+IFERROR(X472/H472,"0")</f>
        <v>5.5555555555555554</v>
      </c>
      <c r="Y473" s="41">
        <f>IFERROR(Y470/H470,"0")+IFERROR(Y471/H471,"0")+IFERROR(Y472/H472,"0")</f>
        <v>6</v>
      </c>
      <c r="Z473" s="41">
        <f>IFERROR(IF(Z470="",0,Z470),"0")+IFERROR(IF(Z471="",0,Z471),"0")+IFERROR(IF(Z472="",0,Z472),"0")</f>
        <v>0.11388000000000001</v>
      </c>
      <c r="AA473" s="64"/>
      <c r="AB473" s="64"/>
      <c r="AC473" s="64"/>
    </row>
    <row r="474" spans="1:68" x14ac:dyDescent="0.2">
      <c r="A474" s="728"/>
      <c r="B474" s="728"/>
      <c r="C474" s="72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9"/>
      <c r="P474" s="725" t="s">
        <v>40</v>
      </c>
      <c r="Q474" s="726"/>
      <c r="R474" s="726"/>
      <c r="S474" s="726"/>
      <c r="T474" s="726"/>
      <c r="U474" s="726"/>
      <c r="V474" s="727"/>
      <c r="W474" s="40" t="s">
        <v>0</v>
      </c>
      <c r="X474" s="41">
        <f>IFERROR(SUM(X470:X472),"0")</f>
        <v>50</v>
      </c>
      <c r="Y474" s="41">
        <f>IFERROR(SUM(Y470:Y472),"0")</f>
        <v>54</v>
      </c>
      <c r="Z474" s="40"/>
      <c r="AA474" s="64"/>
      <c r="AB474" s="64"/>
      <c r="AC474" s="64"/>
    </row>
    <row r="475" spans="1:68" ht="27.75" hidden="1" customHeight="1" x14ac:dyDescent="0.2">
      <c r="A475" s="717" t="s">
        <v>772</v>
      </c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7"/>
      <c r="P475" s="717"/>
      <c r="Q475" s="717"/>
      <c r="R475" s="717"/>
      <c r="S475" s="717"/>
      <c r="T475" s="717"/>
      <c r="U475" s="717"/>
      <c r="V475" s="717"/>
      <c r="W475" s="717"/>
      <c r="X475" s="717"/>
      <c r="Y475" s="717"/>
      <c r="Z475" s="717"/>
      <c r="AA475" s="52"/>
      <c r="AB475" s="52"/>
      <c r="AC475" s="52"/>
    </row>
    <row r="476" spans="1:68" ht="16.5" hidden="1" customHeight="1" x14ac:dyDescent="0.25">
      <c r="A476" s="718" t="s">
        <v>773</v>
      </c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62"/>
      <c r="AB476" s="62"/>
      <c r="AC476" s="62"/>
    </row>
    <row r="477" spans="1:68" ht="14.25" hidden="1" customHeight="1" x14ac:dyDescent="0.25">
      <c r="A477" s="719" t="s">
        <v>77</v>
      </c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719"/>
      <c r="W477" s="719"/>
      <c r="X477" s="719"/>
      <c r="Y477" s="719"/>
      <c r="Z477" s="719"/>
      <c r="AA477" s="63"/>
      <c r="AB477" s="63"/>
      <c r="AC477" s="63"/>
    </row>
    <row r="478" spans="1:68" ht="27" hidden="1" customHeight="1" x14ac:dyDescent="0.25">
      <c r="A478" s="60" t="s">
        <v>774</v>
      </c>
      <c r="B478" s="60" t="s">
        <v>775</v>
      </c>
      <c r="C478" s="34">
        <v>4301031405</v>
      </c>
      <c r="D478" s="720">
        <v>4680115886100</v>
      </c>
      <c r="E478" s="72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2"/>
      <c r="R478" s="722"/>
      <c r="S478" s="722"/>
      <c r="T478" s="72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4301031402</v>
      </c>
      <c r="D479" s="720">
        <v>4680115886124</v>
      </c>
      <c r="E479" s="72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9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2"/>
      <c r="R479" s="722"/>
      <c r="S479" s="722"/>
      <c r="T479" s="72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779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780</v>
      </c>
      <c r="B480" s="60" t="s">
        <v>781</v>
      </c>
      <c r="C480" s="34">
        <v>4301031362</v>
      </c>
      <c r="D480" s="720">
        <v>4607091384338</v>
      </c>
      <c r="E480" s="72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2"/>
      <c r="R480" s="722"/>
      <c r="S480" s="722"/>
      <c r="T480" s="72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776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4301031364</v>
      </c>
      <c r="D481" s="720">
        <v>4680115883161</v>
      </c>
      <c r="E481" s="72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2"/>
      <c r="R481" s="722"/>
      <c r="S481" s="722"/>
      <c r="T481" s="72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785</v>
      </c>
      <c r="B482" s="60" t="s">
        <v>786</v>
      </c>
      <c r="C482" s="34">
        <v>4301031358</v>
      </c>
      <c r="D482" s="720">
        <v>4607091389531</v>
      </c>
      <c r="E482" s="72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2"/>
      <c r="R482" s="722"/>
      <c r="S482" s="722"/>
      <c r="T482" s="72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787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788</v>
      </c>
      <c r="B483" s="60" t="s">
        <v>789</v>
      </c>
      <c r="C483" s="34">
        <v>4301031360</v>
      </c>
      <c r="D483" s="720">
        <v>4607091384345</v>
      </c>
      <c r="E483" s="72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9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2"/>
      <c r="R483" s="722"/>
      <c r="S483" s="722"/>
      <c r="T483" s="72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784</v>
      </c>
      <c r="AG483" s="75"/>
      <c r="AJ483" s="79" t="s">
        <v>46</v>
      </c>
      <c r="AK483" s="79">
        <v>0</v>
      </c>
      <c r="BB483" s="584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728"/>
      <c r="B484" s="728"/>
      <c r="C484" s="72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9"/>
      <c r="P484" s="725" t="s">
        <v>40</v>
      </c>
      <c r="Q484" s="726"/>
      <c r="R484" s="726"/>
      <c r="S484" s="726"/>
      <c r="T484" s="726"/>
      <c r="U484" s="726"/>
      <c r="V484" s="727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8"/>
      <c r="B485" s="728"/>
      <c r="C485" s="72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9"/>
      <c r="P485" s="725" t="s">
        <v>40</v>
      </c>
      <c r="Q485" s="726"/>
      <c r="R485" s="726"/>
      <c r="S485" s="726"/>
      <c r="T485" s="726"/>
      <c r="U485" s="726"/>
      <c r="V485" s="727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9" t="s">
        <v>86</v>
      </c>
      <c r="B486" s="719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719"/>
      <c r="W486" s="719"/>
      <c r="X486" s="719"/>
      <c r="Y486" s="719"/>
      <c r="Z486" s="719"/>
      <c r="AA486" s="63"/>
      <c r="AB486" s="63"/>
      <c r="AC486" s="63"/>
    </row>
    <row r="487" spans="1:68" ht="27" hidden="1" customHeight="1" x14ac:dyDescent="0.25">
      <c r="A487" s="60" t="s">
        <v>790</v>
      </c>
      <c r="B487" s="60" t="s">
        <v>791</v>
      </c>
      <c r="C487" s="34">
        <v>4301051284</v>
      </c>
      <c r="D487" s="720">
        <v>4607091384352</v>
      </c>
      <c r="E487" s="72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9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2"/>
      <c r="R487" s="722"/>
      <c r="S487" s="722"/>
      <c r="T487" s="72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793</v>
      </c>
      <c r="B488" s="60" t="s">
        <v>794</v>
      </c>
      <c r="C488" s="34">
        <v>4301051431</v>
      </c>
      <c r="D488" s="720">
        <v>4607091389654</v>
      </c>
      <c r="E488" s="72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2"/>
      <c r="R488" s="722"/>
      <c r="S488" s="722"/>
      <c r="T488" s="72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795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8"/>
      <c r="B489" s="728"/>
      <c r="C489" s="72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9"/>
      <c r="P489" s="725" t="s">
        <v>40</v>
      </c>
      <c r="Q489" s="726"/>
      <c r="R489" s="726"/>
      <c r="S489" s="726"/>
      <c r="T489" s="726"/>
      <c r="U489" s="726"/>
      <c r="V489" s="727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8"/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9"/>
      <c r="P490" s="725" t="s">
        <v>40</v>
      </c>
      <c r="Q490" s="726"/>
      <c r="R490" s="726"/>
      <c r="S490" s="726"/>
      <c r="T490" s="726"/>
      <c r="U490" s="726"/>
      <c r="V490" s="727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8" t="s">
        <v>796</v>
      </c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62"/>
      <c r="AB491" s="62"/>
      <c r="AC491" s="62"/>
    </row>
    <row r="492" spans="1:68" ht="14.25" hidden="1" customHeight="1" x14ac:dyDescent="0.25">
      <c r="A492" s="719" t="s">
        <v>155</v>
      </c>
      <c r="B492" s="719"/>
      <c r="C492" s="719"/>
      <c r="D492" s="719"/>
      <c r="E492" s="719"/>
      <c r="F492" s="719"/>
      <c r="G492" s="719"/>
      <c r="H492" s="719"/>
      <c r="I492" s="719"/>
      <c r="J492" s="719"/>
      <c r="K492" s="719"/>
      <c r="L492" s="719"/>
      <c r="M492" s="719"/>
      <c r="N492" s="719"/>
      <c r="O492" s="719"/>
      <c r="P492" s="719"/>
      <c r="Q492" s="719"/>
      <c r="R492" s="719"/>
      <c r="S492" s="719"/>
      <c r="T492" s="719"/>
      <c r="U492" s="719"/>
      <c r="V492" s="719"/>
      <c r="W492" s="719"/>
      <c r="X492" s="719"/>
      <c r="Y492" s="719"/>
      <c r="Z492" s="719"/>
      <c r="AA492" s="63"/>
      <c r="AB492" s="63"/>
      <c r="AC492" s="63"/>
    </row>
    <row r="493" spans="1:68" ht="27" hidden="1" customHeight="1" x14ac:dyDescent="0.25">
      <c r="A493" s="60" t="s">
        <v>797</v>
      </c>
      <c r="B493" s="60" t="s">
        <v>798</v>
      </c>
      <c r="C493" s="34">
        <v>4301020416</v>
      </c>
      <c r="D493" s="720">
        <v>4680115885240</v>
      </c>
      <c r="E493" s="72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9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2"/>
      <c r="R493" s="722"/>
      <c r="S493" s="722"/>
      <c r="T493" s="72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8"/>
      <c r="B494" s="728"/>
      <c r="C494" s="72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9"/>
      <c r="P494" s="725" t="s">
        <v>40</v>
      </c>
      <c r="Q494" s="726"/>
      <c r="R494" s="726"/>
      <c r="S494" s="726"/>
      <c r="T494" s="726"/>
      <c r="U494" s="726"/>
      <c r="V494" s="727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8"/>
      <c r="B495" s="728"/>
      <c r="C495" s="72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9"/>
      <c r="P495" s="725" t="s">
        <v>40</v>
      </c>
      <c r="Q495" s="726"/>
      <c r="R495" s="726"/>
      <c r="S495" s="726"/>
      <c r="T495" s="726"/>
      <c r="U495" s="726"/>
      <c r="V495" s="727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9" t="s">
        <v>77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63"/>
      <c r="AB496" s="63"/>
      <c r="AC496" s="63"/>
    </row>
    <row r="497" spans="1:68" ht="27" hidden="1" customHeight="1" x14ac:dyDescent="0.25">
      <c r="A497" s="60" t="s">
        <v>800</v>
      </c>
      <c r="B497" s="60" t="s">
        <v>801</v>
      </c>
      <c r="C497" s="34">
        <v>4301031407</v>
      </c>
      <c r="D497" s="720">
        <v>4680115886094</v>
      </c>
      <c r="E497" s="72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2"/>
      <c r="R497" s="722"/>
      <c r="S497" s="722"/>
      <c r="T497" s="72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4301031373</v>
      </c>
      <c r="D498" s="720">
        <v>4680115880771</v>
      </c>
      <c r="E498" s="72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2"/>
      <c r="R498" s="722"/>
      <c r="S498" s="722"/>
      <c r="T498" s="72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805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806</v>
      </c>
      <c r="B499" s="60" t="s">
        <v>807</v>
      </c>
      <c r="C499" s="34">
        <v>4301031359</v>
      </c>
      <c r="D499" s="720">
        <v>4607091389500</v>
      </c>
      <c r="E499" s="72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9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2"/>
      <c r="R499" s="722"/>
      <c r="S499" s="722"/>
      <c r="T499" s="72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805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8"/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9"/>
      <c r="P500" s="725" t="s">
        <v>40</v>
      </c>
      <c r="Q500" s="726"/>
      <c r="R500" s="726"/>
      <c r="S500" s="726"/>
      <c r="T500" s="726"/>
      <c r="U500" s="726"/>
      <c r="V500" s="727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8"/>
      <c r="B501" s="728"/>
      <c r="C501" s="72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9"/>
      <c r="P501" s="725" t="s">
        <v>40</v>
      </c>
      <c r="Q501" s="726"/>
      <c r="R501" s="726"/>
      <c r="S501" s="726"/>
      <c r="T501" s="726"/>
      <c r="U501" s="726"/>
      <c r="V501" s="727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7" t="s">
        <v>808</v>
      </c>
      <c r="B502" s="717"/>
      <c r="C502" s="717"/>
      <c r="D502" s="717"/>
      <c r="E502" s="717"/>
      <c r="F502" s="717"/>
      <c r="G502" s="717"/>
      <c r="H502" s="717"/>
      <c r="I502" s="717"/>
      <c r="J502" s="717"/>
      <c r="K502" s="717"/>
      <c r="L502" s="717"/>
      <c r="M502" s="717"/>
      <c r="N502" s="717"/>
      <c r="O502" s="717"/>
      <c r="P502" s="717"/>
      <c r="Q502" s="717"/>
      <c r="R502" s="717"/>
      <c r="S502" s="717"/>
      <c r="T502" s="717"/>
      <c r="U502" s="717"/>
      <c r="V502" s="717"/>
      <c r="W502" s="717"/>
      <c r="X502" s="717"/>
      <c r="Y502" s="717"/>
      <c r="Z502" s="717"/>
      <c r="AA502" s="52"/>
      <c r="AB502" s="52"/>
      <c r="AC502" s="52"/>
    </row>
    <row r="503" spans="1:68" ht="16.5" hidden="1" customHeight="1" x14ac:dyDescent="0.25">
      <c r="A503" s="718" t="s">
        <v>808</v>
      </c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62"/>
      <c r="AB503" s="62"/>
      <c r="AC503" s="62"/>
    </row>
    <row r="504" spans="1:68" ht="14.25" hidden="1" customHeight="1" x14ac:dyDescent="0.25">
      <c r="A504" s="719" t="s">
        <v>122</v>
      </c>
      <c r="B504" s="719"/>
      <c r="C504" s="719"/>
      <c r="D504" s="719"/>
      <c r="E504" s="719"/>
      <c r="F504" s="719"/>
      <c r="G504" s="719"/>
      <c r="H504" s="719"/>
      <c r="I504" s="719"/>
      <c r="J504" s="719"/>
      <c r="K504" s="719"/>
      <c r="L504" s="719"/>
      <c r="M504" s="719"/>
      <c r="N504" s="719"/>
      <c r="O504" s="719"/>
      <c r="P504" s="719"/>
      <c r="Q504" s="719"/>
      <c r="R504" s="719"/>
      <c r="S504" s="719"/>
      <c r="T504" s="719"/>
      <c r="U504" s="719"/>
      <c r="V504" s="719"/>
      <c r="W504" s="719"/>
      <c r="X504" s="719"/>
      <c r="Y504" s="719"/>
      <c r="Z504" s="719"/>
      <c r="AA504" s="63"/>
      <c r="AB504" s="63"/>
      <c r="AC504" s="63"/>
    </row>
    <row r="505" spans="1:68" ht="27" customHeight="1" x14ac:dyDescent="0.25">
      <c r="A505" s="60" t="s">
        <v>809</v>
      </c>
      <c r="B505" s="60" t="s">
        <v>810</v>
      </c>
      <c r="C505" s="34">
        <v>4301011769</v>
      </c>
      <c r="D505" s="720">
        <v>4607091389067</v>
      </c>
      <c r="E505" s="7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9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2"/>
      <c r="R505" s="722"/>
      <c r="S505" s="722"/>
      <c r="T505" s="723"/>
      <c r="U505" s="37" t="s">
        <v>46</v>
      </c>
      <c r="V505" s="37" t="s">
        <v>46</v>
      </c>
      <c r="W505" s="38" t="s">
        <v>0</v>
      </c>
      <c r="X505" s="56">
        <v>80</v>
      </c>
      <c r="Y505" s="53">
        <f t="shared" ref="Y505:Y513" si="78">IFERROR(IF(X505="",0,CEILING((X505/$H505),1)*$H505),"")</f>
        <v>84.48</v>
      </c>
      <c r="Z505" s="39">
        <f t="shared" ref="Z505:Z510" si="79">IFERROR(IF(Y505=0,"",ROUNDUP(Y505/H505,0)*0.01196),"")</f>
        <v>0.19136</v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0">IFERROR(X505*I505/H505,"0")</f>
        <v>85.303030303030297</v>
      </c>
      <c r="BN505" s="75">
        <f t="shared" ref="BN505:BN513" si="81">IFERROR(Y505*I505/H505,"0")</f>
        <v>90.08</v>
      </c>
      <c r="BO505" s="75">
        <f t="shared" ref="BO505:BO513" si="82">IFERROR(1/J505*(X505/H505),"0")</f>
        <v>0.14568764568764569</v>
      </c>
      <c r="BP505" s="75">
        <f t="shared" ref="BP505:BP513" si="83">IFERROR(1/J505*(Y505/H505),"0")</f>
        <v>0.15384615384615385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4301012380</v>
      </c>
      <c r="D506" s="720">
        <v>4680115889576</v>
      </c>
      <c r="E506" s="72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2"/>
      <c r="R506" s="722"/>
      <c r="S506" s="722"/>
      <c r="T506" s="72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4301011961</v>
      </c>
      <c r="D507" s="720">
        <v>4680115885271</v>
      </c>
      <c r="E507" s="72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2"/>
      <c r="R507" s="722"/>
      <c r="S507" s="722"/>
      <c r="T507" s="72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4301011369</v>
      </c>
      <c r="D508" s="720">
        <v>4680115885226</v>
      </c>
      <c r="E508" s="72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9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2"/>
      <c r="R508" s="722"/>
      <c r="S508" s="722"/>
      <c r="T508" s="72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820</v>
      </c>
      <c r="B509" s="60" t="s">
        <v>821</v>
      </c>
      <c r="C509" s="34">
        <v>4301011797</v>
      </c>
      <c r="D509" s="720">
        <v>4680115884502</v>
      </c>
      <c r="E509" s="72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2"/>
      <c r="R509" s="722"/>
      <c r="S509" s="722"/>
      <c r="T509" s="72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customHeight="1" x14ac:dyDescent="0.25">
      <c r="A510" s="60" t="s">
        <v>823</v>
      </c>
      <c r="B510" s="60" t="s">
        <v>824</v>
      </c>
      <c r="C510" s="34">
        <v>4301011771</v>
      </c>
      <c r="D510" s="720">
        <v>4607091389104</v>
      </c>
      <c r="E510" s="72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9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2"/>
      <c r="R510" s="722"/>
      <c r="S510" s="722"/>
      <c r="T510" s="723"/>
      <c r="U510" s="37" t="s">
        <v>46</v>
      </c>
      <c r="V510" s="37" t="s">
        <v>46</v>
      </c>
      <c r="W510" s="38" t="s">
        <v>0</v>
      </c>
      <c r="X510" s="56">
        <v>550</v>
      </c>
      <c r="Y510" s="53">
        <f t="shared" si="78"/>
        <v>554.4</v>
      </c>
      <c r="Z510" s="39">
        <f t="shared" si="79"/>
        <v>1.2558</v>
      </c>
      <c r="AA510" s="65" t="s">
        <v>46</v>
      </c>
      <c r="AB510" s="66" t="s">
        <v>46</v>
      </c>
      <c r="AC510" s="607" t="s">
        <v>825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586.45833333333326</v>
      </c>
      <c r="BN510" s="75">
        <f t="shared" si="81"/>
        <v>591.15</v>
      </c>
      <c r="BO510" s="75">
        <f t="shared" si="82"/>
        <v>1.0016025641025641</v>
      </c>
      <c r="BP510" s="75">
        <f t="shared" si="83"/>
        <v>1.0096153846153846</v>
      </c>
    </row>
    <row r="511" spans="1:68" ht="27" hidden="1" customHeight="1" x14ac:dyDescent="0.25">
      <c r="A511" s="60" t="s">
        <v>826</v>
      </c>
      <c r="B511" s="60" t="s">
        <v>827</v>
      </c>
      <c r="C511" s="34">
        <v>4301012125</v>
      </c>
      <c r="D511" s="720">
        <v>4680115886391</v>
      </c>
      <c r="E511" s="72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9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2"/>
      <c r="R511" s="722"/>
      <c r="S511" s="722"/>
      <c r="T511" s="72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customHeight="1" x14ac:dyDescent="0.25">
      <c r="A512" s="60" t="s">
        <v>828</v>
      </c>
      <c r="B512" s="60" t="s">
        <v>829</v>
      </c>
      <c r="C512" s="34">
        <v>4301012048</v>
      </c>
      <c r="D512" s="720">
        <v>4680115880603</v>
      </c>
      <c r="E512" s="72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9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2"/>
      <c r="R512" s="722"/>
      <c r="S512" s="722"/>
      <c r="T512" s="723"/>
      <c r="U512" s="37" t="s">
        <v>46</v>
      </c>
      <c r="V512" s="37" t="s">
        <v>46</v>
      </c>
      <c r="W512" s="38" t="s">
        <v>0</v>
      </c>
      <c r="X512" s="56">
        <v>78</v>
      </c>
      <c r="Y512" s="53">
        <f t="shared" si="78"/>
        <v>81.599999999999994</v>
      </c>
      <c r="Z512" s="39">
        <f>IFERROR(IF(Y512=0,"",ROUNDUP(Y512/H512,0)*0.00902),"")</f>
        <v>0.15334</v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112.28750000000001</v>
      </c>
      <c r="BN512" s="75">
        <f t="shared" si="81"/>
        <v>117.47</v>
      </c>
      <c r="BO512" s="75">
        <f t="shared" si="82"/>
        <v>0.12310606060606061</v>
      </c>
      <c r="BP512" s="75">
        <f t="shared" si="83"/>
        <v>0.12878787878787878</v>
      </c>
    </row>
    <row r="513" spans="1:68" ht="27" customHeight="1" x14ac:dyDescent="0.25">
      <c r="A513" s="60" t="s">
        <v>830</v>
      </c>
      <c r="B513" s="60" t="s">
        <v>831</v>
      </c>
      <c r="C513" s="34">
        <v>4301012034</v>
      </c>
      <c r="D513" s="720">
        <v>4607091389982</v>
      </c>
      <c r="E513" s="72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2"/>
      <c r="R513" s="722"/>
      <c r="S513" s="722"/>
      <c r="T513" s="723"/>
      <c r="U513" s="37" t="s">
        <v>46</v>
      </c>
      <c r="V513" s="37" t="s">
        <v>46</v>
      </c>
      <c r="W513" s="38" t="s">
        <v>0</v>
      </c>
      <c r="X513" s="56">
        <v>330</v>
      </c>
      <c r="Y513" s="53">
        <f t="shared" si="78"/>
        <v>331.2</v>
      </c>
      <c r="Z513" s="39">
        <f>IFERROR(IF(Y513=0,"",ROUNDUP(Y513/H513,0)*0.00902),"")</f>
        <v>0.62238000000000004</v>
      </c>
      <c r="AA513" s="65" t="s">
        <v>46</v>
      </c>
      <c r="AB513" s="66" t="s">
        <v>46</v>
      </c>
      <c r="AC513" s="613" t="s">
        <v>825</v>
      </c>
      <c r="AG513" s="75"/>
      <c r="AJ513" s="79" t="s">
        <v>46</v>
      </c>
      <c r="AK513" s="79">
        <v>0</v>
      </c>
      <c r="BB513" s="614" t="s">
        <v>67</v>
      </c>
      <c r="BM513" s="75">
        <f t="shared" si="80"/>
        <v>475.06250000000006</v>
      </c>
      <c r="BN513" s="75">
        <f t="shared" si="81"/>
        <v>476.79</v>
      </c>
      <c r="BO513" s="75">
        <f t="shared" si="82"/>
        <v>0.52083333333333337</v>
      </c>
      <c r="BP513" s="75">
        <f t="shared" si="83"/>
        <v>0.52272727272727271</v>
      </c>
    </row>
    <row r="514" spans="1:68" x14ac:dyDescent="0.2">
      <c r="A514" s="728"/>
      <c r="B514" s="728"/>
      <c r="C514" s="728"/>
      <c r="D514" s="728"/>
      <c r="E514" s="728"/>
      <c r="F514" s="728"/>
      <c r="G514" s="728"/>
      <c r="H514" s="728"/>
      <c r="I514" s="728"/>
      <c r="J514" s="728"/>
      <c r="K514" s="728"/>
      <c r="L514" s="728"/>
      <c r="M514" s="728"/>
      <c r="N514" s="728"/>
      <c r="O514" s="729"/>
      <c r="P514" s="725" t="s">
        <v>40</v>
      </c>
      <c r="Q514" s="726"/>
      <c r="R514" s="726"/>
      <c r="S514" s="726"/>
      <c r="T514" s="726"/>
      <c r="U514" s="726"/>
      <c r="V514" s="727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204.31818181818181</v>
      </c>
      <c r="Y514" s="41">
        <f>IFERROR(Y505/H505,"0")+IFERROR(Y506/H506,"0")+IFERROR(Y507/H507,"0")+IFERROR(Y508/H508,"0")+IFERROR(Y509/H509,"0")+IFERROR(Y510/H510,"0")+IFERROR(Y511/H511,"0")+IFERROR(Y512/H512,"0")+IFERROR(Y513/H513,"0")</f>
        <v>207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2.22288</v>
      </c>
      <c r="AA514" s="64"/>
      <c r="AB514" s="64"/>
      <c r="AC514" s="64"/>
    </row>
    <row r="515" spans="1:68" x14ac:dyDescent="0.2">
      <c r="A515" s="728"/>
      <c r="B515" s="728"/>
      <c r="C515" s="728"/>
      <c r="D515" s="728"/>
      <c r="E515" s="728"/>
      <c r="F515" s="728"/>
      <c r="G515" s="728"/>
      <c r="H515" s="728"/>
      <c r="I515" s="728"/>
      <c r="J515" s="728"/>
      <c r="K515" s="728"/>
      <c r="L515" s="728"/>
      <c r="M515" s="728"/>
      <c r="N515" s="728"/>
      <c r="O515" s="729"/>
      <c r="P515" s="725" t="s">
        <v>40</v>
      </c>
      <c r="Q515" s="726"/>
      <c r="R515" s="726"/>
      <c r="S515" s="726"/>
      <c r="T515" s="726"/>
      <c r="U515" s="726"/>
      <c r="V515" s="727"/>
      <c r="W515" s="40" t="s">
        <v>0</v>
      </c>
      <c r="X515" s="41">
        <f>IFERROR(SUM(X505:X513),"0")</f>
        <v>1038</v>
      </c>
      <c r="Y515" s="41">
        <f>IFERROR(SUM(Y505:Y513),"0")</f>
        <v>1051.68</v>
      </c>
      <c r="Z515" s="40"/>
      <c r="AA515" s="64"/>
      <c r="AB515" s="64"/>
      <c r="AC515" s="64"/>
    </row>
    <row r="516" spans="1:68" ht="14.25" hidden="1" customHeight="1" x14ac:dyDescent="0.25">
      <c r="A516" s="719" t="s">
        <v>155</v>
      </c>
      <c r="B516" s="719"/>
      <c r="C516" s="719"/>
      <c r="D516" s="719"/>
      <c r="E516" s="719"/>
      <c r="F516" s="719"/>
      <c r="G516" s="719"/>
      <c r="H516" s="719"/>
      <c r="I516" s="719"/>
      <c r="J516" s="719"/>
      <c r="K516" s="719"/>
      <c r="L516" s="719"/>
      <c r="M516" s="719"/>
      <c r="N516" s="719"/>
      <c r="O516" s="719"/>
      <c r="P516" s="719"/>
      <c r="Q516" s="719"/>
      <c r="R516" s="719"/>
      <c r="S516" s="719"/>
      <c r="T516" s="719"/>
      <c r="U516" s="719"/>
      <c r="V516" s="719"/>
      <c r="W516" s="719"/>
      <c r="X516" s="719"/>
      <c r="Y516" s="719"/>
      <c r="Z516" s="719"/>
      <c r="AA516" s="63"/>
      <c r="AB516" s="63"/>
      <c r="AC516" s="63"/>
    </row>
    <row r="517" spans="1:68" ht="16.5" customHeight="1" x14ac:dyDescent="0.25">
      <c r="A517" s="60" t="s">
        <v>832</v>
      </c>
      <c r="B517" s="60" t="s">
        <v>833</v>
      </c>
      <c r="C517" s="34">
        <v>4301020334</v>
      </c>
      <c r="D517" s="720">
        <v>4607091388930</v>
      </c>
      <c r="E517" s="72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9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2"/>
      <c r="R517" s="722"/>
      <c r="S517" s="722"/>
      <c r="T517" s="723"/>
      <c r="U517" s="37" t="s">
        <v>46</v>
      </c>
      <c r="V517" s="37" t="s">
        <v>46</v>
      </c>
      <c r="W517" s="38" t="s">
        <v>0</v>
      </c>
      <c r="X517" s="56">
        <v>600</v>
      </c>
      <c r="Y517" s="53">
        <f>IFERROR(IF(X517="",0,CEILING((X517/$H517),1)*$H517),"")</f>
        <v>601.92000000000007</v>
      </c>
      <c r="Z517" s="39">
        <f>IFERROR(IF(Y517=0,"",ROUNDUP(Y517/H517,0)*0.01196),"")</f>
        <v>1.36344</v>
      </c>
      <c r="AA517" s="65" t="s">
        <v>46</v>
      </c>
      <c r="AB517" s="66" t="s">
        <v>46</v>
      </c>
      <c r="AC517" s="615" t="s">
        <v>834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639.77272727272725</v>
      </c>
      <c r="BN517" s="75">
        <f>IFERROR(Y517*I517/H517,"0")</f>
        <v>641.82000000000005</v>
      </c>
      <c r="BO517" s="75">
        <f>IFERROR(1/J517*(X517/H517),"0")</f>
        <v>1.0926573426573427</v>
      </c>
      <c r="BP517" s="75">
        <f>IFERROR(1/J517*(Y517/H517),"0")</f>
        <v>1.0961538461538463</v>
      </c>
    </row>
    <row r="518" spans="1:68" ht="16.5" hidden="1" customHeight="1" x14ac:dyDescent="0.25">
      <c r="A518" s="60" t="s">
        <v>835</v>
      </c>
      <c r="B518" s="60" t="s">
        <v>836</v>
      </c>
      <c r="C518" s="34">
        <v>4301020374</v>
      </c>
      <c r="D518" s="720">
        <v>4680115886407</v>
      </c>
      <c r="E518" s="72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9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2"/>
      <c r="R518" s="722"/>
      <c r="S518" s="722"/>
      <c r="T518" s="72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834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customHeight="1" x14ac:dyDescent="0.25">
      <c r="A519" s="60" t="s">
        <v>837</v>
      </c>
      <c r="B519" s="60" t="s">
        <v>838</v>
      </c>
      <c r="C519" s="34">
        <v>4301020385</v>
      </c>
      <c r="D519" s="720">
        <v>4680115880054</v>
      </c>
      <c r="E519" s="72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9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2"/>
      <c r="R519" s="722"/>
      <c r="S519" s="722"/>
      <c r="T519" s="723"/>
      <c r="U519" s="37" t="s">
        <v>46</v>
      </c>
      <c r="V519" s="37" t="s">
        <v>46</v>
      </c>
      <c r="W519" s="38" t="s">
        <v>0</v>
      </c>
      <c r="X519" s="56">
        <v>120</v>
      </c>
      <c r="Y519" s="53">
        <f>IFERROR(IF(X519="",0,CEILING((X519/$H519),1)*$H519),"")</f>
        <v>120</v>
      </c>
      <c r="Z519" s="39">
        <f>IFERROR(IF(Y519=0,"",ROUNDUP(Y519/H519,0)*0.00902),"")</f>
        <v>0.22550000000000001</v>
      </c>
      <c r="AA519" s="65" t="s">
        <v>46</v>
      </c>
      <c r="AB519" s="66" t="s">
        <v>46</v>
      </c>
      <c r="AC519" s="619" t="s">
        <v>834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172.75000000000003</v>
      </c>
      <c r="BN519" s="75">
        <f>IFERROR(Y519*I519/H519,"0")</f>
        <v>172.75000000000003</v>
      </c>
      <c r="BO519" s="75">
        <f>IFERROR(1/J519*(X519/H519),"0")</f>
        <v>0.18939393939393939</v>
      </c>
      <c r="BP519" s="75">
        <f>IFERROR(1/J519*(Y519/H519),"0")</f>
        <v>0.18939393939393939</v>
      </c>
    </row>
    <row r="520" spans="1:68" x14ac:dyDescent="0.2">
      <c r="A520" s="728"/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9"/>
      <c r="P520" s="725" t="s">
        <v>40</v>
      </c>
      <c r="Q520" s="726"/>
      <c r="R520" s="726"/>
      <c r="S520" s="726"/>
      <c r="T520" s="726"/>
      <c r="U520" s="726"/>
      <c r="V520" s="727"/>
      <c r="W520" s="40" t="s">
        <v>39</v>
      </c>
      <c r="X520" s="41">
        <f>IFERROR(X517/H517,"0")+IFERROR(X518/H518,"0")+IFERROR(X519/H519,"0")</f>
        <v>138.63636363636363</v>
      </c>
      <c r="Y520" s="41">
        <f>IFERROR(Y517/H517,"0")+IFERROR(Y518/H518,"0")+IFERROR(Y519/H519,"0")</f>
        <v>139</v>
      </c>
      <c r="Z520" s="41">
        <f>IFERROR(IF(Z517="",0,Z517),"0")+IFERROR(IF(Z518="",0,Z518),"0")+IFERROR(IF(Z519="",0,Z519),"0")</f>
        <v>1.58894</v>
      </c>
      <c r="AA520" s="64"/>
      <c r="AB520" s="64"/>
      <c r="AC520" s="64"/>
    </row>
    <row r="521" spans="1:68" x14ac:dyDescent="0.2">
      <c r="A521" s="728"/>
      <c r="B521" s="728"/>
      <c r="C521" s="728"/>
      <c r="D521" s="728"/>
      <c r="E521" s="728"/>
      <c r="F521" s="728"/>
      <c r="G521" s="728"/>
      <c r="H521" s="728"/>
      <c r="I521" s="728"/>
      <c r="J521" s="728"/>
      <c r="K521" s="728"/>
      <c r="L521" s="728"/>
      <c r="M521" s="728"/>
      <c r="N521" s="728"/>
      <c r="O521" s="729"/>
      <c r="P521" s="725" t="s">
        <v>40</v>
      </c>
      <c r="Q521" s="726"/>
      <c r="R521" s="726"/>
      <c r="S521" s="726"/>
      <c r="T521" s="726"/>
      <c r="U521" s="726"/>
      <c r="V521" s="727"/>
      <c r="W521" s="40" t="s">
        <v>0</v>
      </c>
      <c r="X521" s="41">
        <f>IFERROR(SUM(X517:X519),"0")</f>
        <v>720</v>
      </c>
      <c r="Y521" s="41">
        <f>IFERROR(SUM(Y517:Y519),"0")</f>
        <v>721.92000000000007</v>
      </c>
      <c r="Z521" s="40"/>
      <c r="AA521" s="64"/>
      <c r="AB521" s="64"/>
      <c r="AC521" s="64"/>
    </row>
    <row r="522" spans="1:68" ht="14.25" hidden="1" customHeight="1" x14ac:dyDescent="0.25">
      <c r="A522" s="719" t="s">
        <v>77</v>
      </c>
      <c r="B522" s="719"/>
      <c r="C522" s="719"/>
      <c r="D522" s="719"/>
      <c r="E522" s="719"/>
      <c r="F522" s="719"/>
      <c r="G522" s="719"/>
      <c r="H522" s="719"/>
      <c r="I522" s="719"/>
      <c r="J522" s="719"/>
      <c r="K522" s="719"/>
      <c r="L522" s="719"/>
      <c r="M522" s="719"/>
      <c r="N522" s="719"/>
      <c r="O522" s="719"/>
      <c r="P522" s="719"/>
      <c r="Q522" s="719"/>
      <c r="R522" s="719"/>
      <c r="S522" s="719"/>
      <c r="T522" s="719"/>
      <c r="U522" s="719"/>
      <c r="V522" s="719"/>
      <c r="W522" s="719"/>
      <c r="X522" s="719"/>
      <c r="Y522" s="719"/>
      <c r="Z522" s="719"/>
      <c r="AA522" s="63"/>
      <c r="AB522" s="63"/>
      <c r="AC522" s="63"/>
    </row>
    <row r="523" spans="1:68" ht="27" customHeight="1" x14ac:dyDescent="0.25">
      <c r="A523" s="60" t="s">
        <v>839</v>
      </c>
      <c r="B523" s="60" t="s">
        <v>840</v>
      </c>
      <c r="C523" s="34">
        <v>4301031349</v>
      </c>
      <c r="D523" s="720">
        <v>4680115883116</v>
      </c>
      <c r="E523" s="72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9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2"/>
      <c r="R523" s="722"/>
      <c r="S523" s="722"/>
      <c r="T523" s="723"/>
      <c r="U523" s="37" t="s">
        <v>46</v>
      </c>
      <c r="V523" s="37" t="s">
        <v>46</v>
      </c>
      <c r="W523" s="38" t="s">
        <v>0</v>
      </c>
      <c r="X523" s="56">
        <v>30</v>
      </c>
      <c r="Y523" s="53">
        <f t="shared" ref="Y523:Y529" si="84">IFERROR(IF(X523="",0,CEILING((X523/$H523),1)*$H523),"")</f>
        <v>31.68</v>
      </c>
      <c r="Z523" s="39">
        <f>IFERROR(IF(Y523=0,"",ROUNDUP(Y523/H523,0)*0.01196),"")</f>
        <v>7.1760000000000004E-2</v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85">IFERROR(X523*I523/H523,"0")</f>
        <v>31.988636363636363</v>
      </c>
      <c r="BN523" s="75">
        <f t="shared" ref="BN523:BN529" si="86">IFERROR(Y523*I523/H523,"0")</f>
        <v>33.779999999999994</v>
      </c>
      <c r="BO523" s="75">
        <f t="shared" ref="BO523:BO529" si="87">IFERROR(1/J523*(X523/H523),"0")</f>
        <v>5.4632867132867136E-2</v>
      </c>
      <c r="BP523" s="75">
        <f t="shared" ref="BP523:BP529" si="88">IFERROR(1/J523*(Y523/H523),"0")</f>
        <v>5.7692307692307696E-2</v>
      </c>
    </row>
    <row r="524" spans="1:68" ht="27" customHeight="1" x14ac:dyDescent="0.25">
      <c r="A524" s="60" t="s">
        <v>842</v>
      </c>
      <c r="B524" s="60" t="s">
        <v>843</v>
      </c>
      <c r="C524" s="34">
        <v>4301031350</v>
      </c>
      <c r="D524" s="720">
        <v>4680115883093</v>
      </c>
      <c r="E524" s="72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2"/>
      <c r="R524" s="722"/>
      <c r="S524" s="722"/>
      <c r="T524" s="723"/>
      <c r="U524" s="37" t="s">
        <v>46</v>
      </c>
      <c r="V524" s="37" t="s">
        <v>46</v>
      </c>
      <c r="W524" s="38" t="s">
        <v>0</v>
      </c>
      <c r="X524" s="56">
        <v>30</v>
      </c>
      <c r="Y524" s="53">
        <f t="shared" si="84"/>
        <v>31.68</v>
      </c>
      <c r="Z524" s="39">
        <f>IFERROR(IF(Y524=0,"",ROUNDUP(Y524/H524,0)*0.01196),"")</f>
        <v>7.1760000000000004E-2</v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31.988636363636363</v>
      </c>
      <c r="BN524" s="75">
        <f t="shared" si="86"/>
        <v>33.779999999999994</v>
      </c>
      <c r="BO524" s="75">
        <f t="shared" si="87"/>
        <v>5.4632867132867136E-2</v>
      </c>
      <c r="BP524" s="75">
        <f t="shared" si="88"/>
        <v>5.7692307692307696E-2</v>
      </c>
    </row>
    <row r="525" spans="1:68" ht="27" customHeight="1" x14ac:dyDescent="0.25">
      <c r="A525" s="60" t="s">
        <v>845</v>
      </c>
      <c r="B525" s="60" t="s">
        <v>846</v>
      </c>
      <c r="C525" s="34">
        <v>4301031353</v>
      </c>
      <c r="D525" s="720">
        <v>4680115883109</v>
      </c>
      <c r="E525" s="72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10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2"/>
      <c r="R525" s="722"/>
      <c r="S525" s="722"/>
      <c r="T525" s="723"/>
      <c r="U525" s="37" t="s">
        <v>46</v>
      </c>
      <c r="V525" s="37" t="s">
        <v>46</v>
      </c>
      <c r="W525" s="38" t="s">
        <v>0</v>
      </c>
      <c r="X525" s="56">
        <v>200</v>
      </c>
      <c r="Y525" s="53">
        <f t="shared" si="84"/>
        <v>200.64000000000001</v>
      </c>
      <c r="Z525" s="39">
        <f>IFERROR(IF(Y525=0,"",ROUNDUP(Y525/H525,0)*0.01196),"")</f>
        <v>0.45448</v>
      </c>
      <c r="AA525" s="65" t="s">
        <v>46</v>
      </c>
      <c r="AB525" s="66" t="s">
        <v>46</v>
      </c>
      <c r="AC525" s="625" t="s">
        <v>847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213.25757575757575</v>
      </c>
      <c r="BN525" s="75">
        <f t="shared" si="86"/>
        <v>213.94</v>
      </c>
      <c r="BO525" s="75">
        <f t="shared" si="87"/>
        <v>0.36421911421911418</v>
      </c>
      <c r="BP525" s="75">
        <f t="shared" si="88"/>
        <v>0.36538461538461542</v>
      </c>
    </row>
    <row r="526" spans="1:68" ht="27" hidden="1" customHeight="1" x14ac:dyDescent="0.25">
      <c r="A526" s="60" t="s">
        <v>848</v>
      </c>
      <c r="B526" s="60" t="s">
        <v>849</v>
      </c>
      <c r="C526" s="34">
        <v>4301031419</v>
      </c>
      <c r="D526" s="720">
        <v>4680115882072</v>
      </c>
      <c r="E526" s="72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10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2"/>
      <c r="R526" s="722"/>
      <c r="S526" s="722"/>
      <c r="T526" s="72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850</v>
      </c>
      <c r="B527" s="60" t="s">
        <v>851</v>
      </c>
      <c r="C527" s="34">
        <v>4301031352</v>
      </c>
      <c r="D527" s="720">
        <v>4680115882102</v>
      </c>
      <c r="E527" s="72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2"/>
      <c r="R527" s="722"/>
      <c r="S527" s="722"/>
      <c r="T527" s="72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844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850</v>
      </c>
      <c r="B528" s="60" t="s">
        <v>852</v>
      </c>
      <c r="C528" s="34">
        <v>4301031418</v>
      </c>
      <c r="D528" s="720">
        <v>4680115882102</v>
      </c>
      <c r="E528" s="72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2"/>
      <c r="R528" s="722"/>
      <c r="S528" s="722"/>
      <c r="T528" s="72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customHeight="1" x14ac:dyDescent="0.25">
      <c r="A529" s="60" t="s">
        <v>853</v>
      </c>
      <c r="B529" s="60" t="s">
        <v>854</v>
      </c>
      <c r="C529" s="34">
        <v>4301031417</v>
      </c>
      <c r="D529" s="720">
        <v>4680115882096</v>
      </c>
      <c r="E529" s="72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10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2"/>
      <c r="R529" s="722"/>
      <c r="S529" s="722"/>
      <c r="T529" s="723"/>
      <c r="U529" s="37" t="s">
        <v>46</v>
      </c>
      <c r="V529" s="37" t="s">
        <v>46</v>
      </c>
      <c r="W529" s="38" t="s">
        <v>0</v>
      </c>
      <c r="X529" s="56">
        <v>180</v>
      </c>
      <c r="Y529" s="53">
        <f t="shared" si="84"/>
        <v>182.4</v>
      </c>
      <c r="Z529" s="39">
        <f>IFERROR(IF(Y529=0,"",ROUNDUP(Y529/H529,0)*0.00902),"")</f>
        <v>0.34276000000000001</v>
      </c>
      <c r="AA529" s="65" t="s">
        <v>46</v>
      </c>
      <c r="AB529" s="66" t="s">
        <v>46</v>
      </c>
      <c r="AC529" s="633" t="s">
        <v>847</v>
      </c>
      <c r="AG529" s="75"/>
      <c r="AJ529" s="79" t="s">
        <v>46</v>
      </c>
      <c r="AK529" s="79">
        <v>0</v>
      </c>
      <c r="BB529" s="634" t="s">
        <v>67</v>
      </c>
      <c r="BM529" s="75">
        <f t="shared" si="85"/>
        <v>250.125</v>
      </c>
      <c r="BN529" s="75">
        <f t="shared" si="86"/>
        <v>253.46</v>
      </c>
      <c r="BO529" s="75">
        <f t="shared" si="87"/>
        <v>0.28409090909090912</v>
      </c>
      <c r="BP529" s="75">
        <f t="shared" si="88"/>
        <v>0.2878787878787879</v>
      </c>
    </row>
    <row r="530" spans="1:68" x14ac:dyDescent="0.2">
      <c r="A530" s="728"/>
      <c r="B530" s="728"/>
      <c r="C530" s="728"/>
      <c r="D530" s="728"/>
      <c r="E530" s="728"/>
      <c r="F530" s="728"/>
      <c r="G530" s="728"/>
      <c r="H530" s="728"/>
      <c r="I530" s="728"/>
      <c r="J530" s="728"/>
      <c r="K530" s="728"/>
      <c r="L530" s="728"/>
      <c r="M530" s="728"/>
      <c r="N530" s="728"/>
      <c r="O530" s="729"/>
      <c r="P530" s="725" t="s">
        <v>40</v>
      </c>
      <c r="Q530" s="726"/>
      <c r="R530" s="726"/>
      <c r="S530" s="726"/>
      <c r="T530" s="726"/>
      <c r="U530" s="726"/>
      <c r="V530" s="727"/>
      <c r="W530" s="40" t="s">
        <v>39</v>
      </c>
      <c r="X530" s="41">
        <f>IFERROR(X523/H523,"0")+IFERROR(X524/H524,"0")+IFERROR(X525/H525,"0")+IFERROR(X526/H526,"0")+IFERROR(X527/H527,"0")+IFERROR(X528/H528,"0")+IFERROR(X529/H529,"0")</f>
        <v>86.742424242424235</v>
      </c>
      <c r="Y530" s="41">
        <f>IFERROR(Y523/H523,"0")+IFERROR(Y524/H524,"0")+IFERROR(Y525/H525,"0")+IFERROR(Y526/H526,"0")+IFERROR(Y527/H527,"0")+IFERROR(Y528/H528,"0")+IFERROR(Y529/H529,"0")</f>
        <v>88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0.94076000000000004</v>
      </c>
      <c r="AA530" s="64"/>
      <c r="AB530" s="64"/>
      <c r="AC530" s="64"/>
    </row>
    <row r="531" spans="1:68" x14ac:dyDescent="0.2">
      <c r="A531" s="728"/>
      <c r="B531" s="728"/>
      <c r="C531" s="728"/>
      <c r="D531" s="728"/>
      <c r="E531" s="728"/>
      <c r="F531" s="728"/>
      <c r="G531" s="728"/>
      <c r="H531" s="728"/>
      <c r="I531" s="728"/>
      <c r="J531" s="728"/>
      <c r="K531" s="728"/>
      <c r="L531" s="728"/>
      <c r="M531" s="728"/>
      <c r="N531" s="728"/>
      <c r="O531" s="729"/>
      <c r="P531" s="725" t="s">
        <v>40</v>
      </c>
      <c r="Q531" s="726"/>
      <c r="R531" s="726"/>
      <c r="S531" s="726"/>
      <c r="T531" s="726"/>
      <c r="U531" s="726"/>
      <c r="V531" s="727"/>
      <c r="W531" s="40" t="s">
        <v>0</v>
      </c>
      <c r="X531" s="41">
        <f>IFERROR(SUM(X523:X529),"0")</f>
        <v>440</v>
      </c>
      <c r="Y531" s="41">
        <f>IFERROR(SUM(Y523:Y529),"0")</f>
        <v>446.4</v>
      </c>
      <c r="Z531" s="40"/>
      <c r="AA531" s="64"/>
      <c r="AB531" s="64"/>
      <c r="AC531" s="64"/>
    </row>
    <row r="532" spans="1:68" ht="27.75" hidden="1" customHeight="1" x14ac:dyDescent="0.2">
      <c r="A532" s="717" t="s">
        <v>855</v>
      </c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7"/>
      <c r="P532" s="717"/>
      <c r="Q532" s="717"/>
      <c r="R532" s="717"/>
      <c r="S532" s="717"/>
      <c r="T532" s="717"/>
      <c r="U532" s="717"/>
      <c r="V532" s="717"/>
      <c r="W532" s="717"/>
      <c r="X532" s="717"/>
      <c r="Y532" s="717"/>
      <c r="Z532" s="717"/>
      <c r="AA532" s="52"/>
      <c r="AB532" s="52"/>
      <c r="AC532" s="52"/>
    </row>
    <row r="533" spans="1:68" ht="16.5" hidden="1" customHeight="1" x14ac:dyDescent="0.25">
      <c r="A533" s="718" t="s">
        <v>855</v>
      </c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62"/>
      <c r="AB533" s="62"/>
      <c r="AC533" s="62"/>
    </row>
    <row r="534" spans="1:68" ht="14.25" hidden="1" customHeight="1" x14ac:dyDescent="0.25">
      <c r="A534" s="719" t="s">
        <v>122</v>
      </c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19"/>
      <c r="P534" s="719"/>
      <c r="Q534" s="719"/>
      <c r="R534" s="719"/>
      <c r="S534" s="719"/>
      <c r="T534" s="719"/>
      <c r="U534" s="719"/>
      <c r="V534" s="719"/>
      <c r="W534" s="719"/>
      <c r="X534" s="719"/>
      <c r="Y534" s="719"/>
      <c r="Z534" s="719"/>
      <c r="AA534" s="63"/>
      <c r="AB534" s="63"/>
      <c r="AC534" s="63"/>
    </row>
    <row r="535" spans="1:68" ht="27" customHeight="1" x14ac:dyDescent="0.25">
      <c r="A535" s="60" t="s">
        <v>856</v>
      </c>
      <c r="B535" s="60" t="s">
        <v>857</v>
      </c>
      <c r="C535" s="34">
        <v>4301011584</v>
      </c>
      <c r="D535" s="720">
        <v>4640242180564</v>
      </c>
      <c r="E535" s="72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10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2"/>
      <c r="R535" s="722"/>
      <c r="S535" s="722"/>
      <c r="T535" s="723"/>
      <c r="U535" s="37" t="s">
        <v>46</v>
      </c>
      <c r="V535" s="37" t="s">
        <v>46</v>
      </c>
      <c r="W535" s="38" t="s">
        <v>0</v>
      </c>
      <c r="X535" s="56">
        <v>100</v>
      </c>
      <c r="Y535" s="53">
        <f>IFERROR(IF(X535="",0,CEILING((X535/$H535),1)*$H535),"")</f>
        <v>108</v>
      </c>
      <c r="Z535" s="39">
        <f>IFERROR(IF(Y535=0,"",ROUNDUP(Y535/H535,0)*0.01898),"")</f>
        <v>0.17082</v>
      </c>
      <c r="AA535" s="65" t="s">
        <v>46</v>
      </c>
      <c r="AB535" s="66" t="s">
        <v>46</v>
      </c>
      <c r="AC535" s="635" t="s">
        <v>858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103.41666666666667</v>
      </c>
      <c r="BN535" s="75">
        <f>IFERROR(Y535*I535/H535,"0")</f>
        <v>111.69</v>
      </c>
      <c r="BO535" s="75">
        <f>IFERROR(1/J535*(X535/H535),"0")</f>
        <v>0.13020833333333334</v>
      </c>
      <c r="BP535" s="75">
        <f>IFERROR(1/J535*(Y535/H535),"0")</f>
        <v>0.140625</v>
      </c>
    </row>
    <row r="536" spans="1:68" x14ac:dyDescent="0.2">
      <c r="A536" s="728"/>
      <c r="B536" s="728"/>
      <c r="C536" s="728"/>
      <c r="D536" s="728"/>
      <c r="E536" s="728"/>
      <c r="F536" s="728"/>
      <c r="G536" s="728"/>
      <c r="H536" s="728"/>
      <c r="I536" s="728"/>
      <c r="J536" s="728"/>
      <c r="K536" s="728"/>
      <c r="L536" s="728"/>
      <c r="M536" s="728"/>
      <c r="N536" s="728"/>
      <c r="O536" s="729"/>
      <c r="P536" s="725" t="s">
        <v>40</v>
      </c>
      <c r="Q536" s="726"/>
      <c r="R536" s="726"/>
      <c r="S536" s="726"/>
      <c r="T536" s="726"/>
      <c r="U536" s="726"/>
      <c r="V536" s="727"/>
      <c r="W536" s="40" t="s">
        <v>39</v>
      </c>
      <c r="X536" s="41">
        <f>IFERROR(X535/H535,"0")</f>
        <v>8.3333333333333339</v>
      </c>
      <c r="Y536" s="41">
        <f>IFERROR(Y535/H535,"0")</f>
        <v>9</v>
      </c>
      <c r="Z536" s="41">
        <f>IFERROR(IF(Z535="",0,Z535),"0")</f>
        <v>0.17082</v>
      </c>
      <c r="AA536" s="64"/>
      <c r="AB536" s="64"/>
      <c r="AC536" s="64"/>
    </row>
    <row r="537" spans="1:68" x14ac:dyDescent="0.2">
      <c r="A537" s="728"/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9"/>
      <c r="P537" s="725" t="s">
        <v>40</v>
      </c>
      <c r="Q537" s="726"/>
      <c r="R537" s="726"/>
      <c r="S537" s="726"/>
      <c r="T537" s="726"/>
      <c r="U537" s="726"/>
      <c r="V537" s="727"/>
      <c r="W537" s="40" t="s">
        <v>0</v>
      </c>
      <c r="X537" s="41">
        <f>IFERROR(SUM(X535:X535),"0")</f>
        <v>100</v>
      </c>
      <c r="Y537" s="41">
        <f>IFERROR(SUM(Y535:Y535),"0")</f>
        <v>108</v>
      </c>
      <c r="Z537" s="40"/>
      <c r="AA537" s="64"/>
      <c r="AB537" s="64"/>
      <c r="AC537" s="64"/>
    </row>
    <row r="538" spans="1:68" ht="14.25" hidden="1" customHeight="1" x14ac:dyDescent="0.25">
      <c r="A538" s="719" t="s">
        <v>155</v>
      </c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19"/>
      <c r="P538" s="719"/>
      <c r="Q538" s="719"/>
      <c r="R538" s="719"/>
      <c r="S538" s="719"/>
      <c r="T538" s="719"/>
      <c r="U538" s="719"/>
      <c r="V538" s="719"/>
      <c r="W538" s="719"/>
      <c r="X538" s="719"/>
      <c r="Y538" s="719"/>
      <c r="Z538" s="719"/>
      <c r="AA538" s="63"/>
      <c r="AB538" s="63"/>
      <c r="AC538" s="63"/>
    </row>
    <row r="539" spans="1:68" ht="27" hidden="1" customHeight="1" x14ac:dyDescent="0.25">
      <c r="A539" s="60" t="s">
        <v>859</v>
      </c>
      <c r="B539" s="60" t="s">
        <v>860</v>
      </c>
      <c r="C539" s="34">
        <v>4301020400</v>
      </c>
      <c r="D539" s="720">
        <v>4640242180519</v>
      </c>
      <c r="E539" s="72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2"/>
      <c r="R539" s="722"/>
      <c r="S539" s="722"/>
      <c r="T539" s="72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861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8"/>
      <c r="B540" s="728"/>
      <c r="C540" s="728"/>
      <c r="D540" s="728"/>
      <c r="E540" s="728"/>
      <c r="F540" s="728"/>
      <c r="G540" s="728"/>
      <c r="H540" s="728"/>
      <c r="I540" s="728"/>
      <c r="J540" s="728"/>
      <c r="K540" s="728"/>
      <c r="L540" s="728"/>
      <c r="M540" s="728"/>
      <c r="N540" s="728"/>
      <c r="O540" s="729"/>
      <c r="P540" s="725" t="s">
        <v>40</v>
      </c>
      <c r="Q540" s="726"/>
      <c r="R540" s="726"/>
      <c r="S540" s="726"/>
      <c r="T540" s="726"/>
      <c r="U540" s="726"/>
      <c r="V540" s="727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8"/>
      <c r="B541" s="728"/>
      <c r="C541" s="728"/>
      <c r="D541" s="728"/>
      <c r="E541" s="728"/>
      <c r="F541" s="728"/>
      <c r="G541" s="728"/>
      <c r="H541" s="728"/>
      <c r="I541" s="728"/>
      <c r="J541" s="728"/>
      <c r="K541" s="728"/>
      <c r="L541" s="728"/>
      <c r="M541" s="728"/>
      <c r="N541" s="728"/>
      <c r="O541" s="729"/>
      <c r="P541" s="725" t="s">
        <v>40</v>
      </c>
      <c r="Q541" s="726"/>
      <c r="R541" s="726"/>
      <c r="S541" s="726"/>
      <c r="T541" s="726"/>
      <c r="U541" s="726"/>
      <c r="V541" s="727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9" t="s">
        <v>77</v>
      </c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19"/>
      <c r="P542" s="719"/>
      <c r="Q542" s="719"/>
      <c r="R542" s="719"/>
      <c r="S542" s="719"/>
      <c r="T542" s="719"/>
      <c r="U542" s="719"/>
      <c r="V542" s="719"/>
      <c r="W542" s="719"/>
      <c r="X542" s="719"/>
      <c r="Y542" s="719"/>
      <c r="Z542" s="719"/>
      <c r="AA542" s="63"/>
      <c r="AB542" s="63"/>
      <c r="AC542" s="63"/>
    </row>
    <row r="543" spans="1:68" ht="27" hidden="1" customHeight="1" x14ac:dyDescent="0.25">
      <c r="A543" s="60" t="s">
        <v>862</v>
      </c>
      <c r="B543" s="60" t="s">
        <v>863</v>
      </c>
      <c r="C543" s="34">
        <v>4301031500</v>
      </c>
      <c r="D543" s="720">
        <v>4640242180595</v>
      </c>
      <c r="E543" s="72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134</v>
      </c>
      <c r="L543" s="35" t="s">
        <v>46</v>
      </c>
      <c r="M543" s="36" t="s">
        <v>81</v>
      </c>
      <c r="N543" s="36"/>
      <c r="O543" s="35">
        <v>40</v>
      </c>
      <c r="P543" s="100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2"/>
      <c r="R543" s="722"/>
      <c r="S543" s="722"/>
      <c r="T543" s="72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864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28"/>
      <c r="B544" s="728"/>
      <c r="C544" s="728"/>
      <c r="D544" s="728"/>
      <c r="E544" s="728"/>
      <c r="F544" s="728"/>
      <c r="G544" s="728"/>
      <c r="H544" s="728"/>
      <c r="I544" s="728"/>
      <c r="J544" s="728"/>
      <c r="K544" s="728"/>
      <c r="L544" s="728"/>
      <c r="M544" s="728"/>
      <c r="N544" s="728"/>
      <c r="O544" s="729"/>
      <c r="P544" s="725" t="s">
        <v>40</v>
      </c>
      <c r="Q544" s="726"/>
      <c r="R544" s="726"/>
      <c r="S544" s="726"/>
      <c r="T544" s="726"/>
      <c r="U544" s="726"/>
      <c r="V544" s="7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28"/>
      <c r="B545" s="728"/>
      <c r="C545" s="728"/>
      <c r="D545" s="728"/>
      <c r="E545" s="728"/>
      <c r="F545" s="728"/>
      <c r="G545" s="728"/>
      <c r="H545" s="728"/>
      <c r="I545" s="728"/>
      <c r="J545" s="728"/>
      <c r="K545" s="728"/>
      <c r="L545" s="728"/>
      <c r="M545" s="728"/>
      <c r="N545" s="728"/>
      <c r="O545" s="729"/>
      <c r="P545" s="725" t="s">
        <v>40</v>
      </c>
      <c r="Q545" s="726"/>
      <c r="R545" s="726"/>
      <c r="S545" s="726"/>
      <c r="T545" s="726"/>
      <c r="U545" s="726"/>
      <c r="V545" s="7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19" t="s">
        <v>86</v>
      </c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19"/>
      <c r="P546" s="719"/>
      <c r="Q546" s="719"/>
      <c r="R546" s="719"/>
      <c r="S546" s="719"/>
      <c r="T546" s="719"/>
      <c r="U546" s="719"/>
      <c r="V546" s="719"/>
      <c r="W546" s="719"/>
      <c r="X546" s="719"/>
      <c r="Y546" s="719"/>
      <c r="Z546" s="719"/>
      <c r="AA546" s="63"/>
      <c r="AB546" s="63"/>
      <c r="AC546" s="63"/>
    </row>
    <row r="547" spans="1:68" ht="27" customHeight="1" x14ac:dyDescent="0.25">
      <c r="A547" s="60" t="s">
        <v>865</v>
      </c>
      <c r="B547" s="60" t="s">
        <v>866</v>
      </c>
      <c r="C547" s="34">
        <v>4301052043</v>
      </c>
      <c r="D547" s="720">
        <v>4640242180533</v>
      </c>
      <c r="E547" s="72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45</v>
      </c>
      <c r="P547" s="10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2"/>
      <c r="R547" s="722"/>
      <c r="S547" s="722"/>
      <c r="T547" s="723"/>
      <c r="U547" s="37" t="s">
        <v>46</v>
      </c>
      <c r="V547" s="37" t="s">
        <v>46</v>
      </c>
      <c r="W547" s="38" t="s">
        <v>0</v>
      </c>
      <c r="X547" s="56">
        <v>500</v>
      </c>
      <c r="Y547" s="53">
        <f>IFERROR(IF(X547="",0,CEILING((X547/$H547),1)*$H547),"")</f>
        <v>504</v>
      </c>
      <c r="Z547" s="39">
        <f>IFERROR(IF(Y547=0,"",ROUNDUP(Y547/H547,0)*0.01898),"")</f>
        <v>1.06288</v>
      </c>
      <c r="AA547" s="65" t="s">
        <v>46</v>
      </c>
      <c r="AB547" s="66" t="s">
        <v>46</v>
      </c>
      <c r="AC547" s="641" t="s">
        <v>867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527.44444444444446</v>
      </c>
      <c r="BN547" s="75">
        <f>IFERROR(Y547*I547/H547,"0")</f>
        <v>531.66399999999999</v>
      </c>
      <c r="BO547" s="75">
        <f>IFERROR(1/J547*(X547/H547),"0")</f>
        <v>0.86805555555555558</v>
      </c>
      <c r="BP547" s="75">
        <f>IFERROR(1/J547*(Y547/H547),"0")</f>
        <v>0.875</v>
      </c>
    </row>
    <row r="548" spans="1:68" x14ac:dyDescent="0.2">
      <c r="A548" s="728"/>
      <c r="B548" s="728"/>
      <c r="C548" s="728"/>
      <c r="D548" s="728"/>
      <c r="E548" s="728"/>
      <c r="F548" s="728"/>
      <c r="G548" s="728"/>
      <c r="H548" s="728"/>
      <c r="I548" s="728"/>
      <c r="J548" s="728"/>
      <c r="K548" s="728"/>
      <c r="L548" s="728"/>
      <c r="M548" s="728"/>
      <c r="N548" s="728"/>
      <c r="O548" s="729"/>
      <c r="P548" s="725" t="s">
        <v>40</v>
      </c>
      <c r="Q548" s="726"/>
      <c r="R548" s="726"/>
      <c r="S548" s="726"/>
      <c r="T548" s="726"/>
      <c r="U548" s="726"/>
      <c r="V548" s="727"/>
      <c r="W548" s="40" t="s">
        <v>39</v>
      </c>
      <c r="X548" s="41">
        <f>IFERROR(X547/H547,"0")</f>
        <v>55.555555555555557</v>
      </c>
      <c r="Y548" s="41">
        <f>IFERROR(Y547/H547,"0")</f>
        <v>56</v>
      </c>
      <c r="Z548" s="41">
        <f>IFERROR(IF(Z547="",0,Z547),"0")</f>
        <v>1.06288</v>
      </c>
      <c r="AA548" s="64"/>
      <c r="AB548" s="64"/>
      <c r="AC548" s="64"/>
    </row>
    <row r="549" spans="1:68" x14ac:dyDescent="0.2">
      <c r="A549" s="728"/>
      <c r="B549" s="728"/>
      <c r="C549" s="728"/>
      <c r="D549" s="728"/>
      <c r="E549" s="728"/>
      <c r="F549" s="728"/>
      <c r="G549" s="728"/>
      <c r="H549" s="728"/>
      <c r="I549" s="728"/>
      <c r="J549" s="728"/>
      <c r="K549" s="728"/>
      <c r="L549" s="728"/>
      <c r="M549" s="728"/>
      <c r="N549" s="728"/>
      <c r="O549" s="729"/>
      <c r="P549" s="725" t="s">
        <v>40</v>
      </c>
      <c r="Q549" s="726"/>
      <c r="R549" s="726"/>
      <c r="S549" s="726"/>
      <c r="T549" s="726"/>
      <c r="U549" s="726"/>
      <c r="V549" s="727"/>
      <c r="W549" s="40" t="s">
        <v>0</v>
      </c>
      <c r="X549" s="41">
        <f>IFERROR(SUM(X547:X547),"0")</f>
        <v>500</v>
      </c>
      <c r="Y549" s="41">
        <f>IFERROR(SUM(Y547:Y547),"0")</f>
        <v>504</v>
      </c>
      <c r="Z549" s="40"/>
      <c r="AA549" s="64"/>
      <c r="AB549" s="64"/>
      <c r="AC549" s="64"/>
    </row>
    <row r="550" spans="1:68" ht="14.25" hidden="1" customHeight="1" x14ac:dyDescent="0.25">
      <c r="A550" s="719" t="s">
        <v>173</v>
      </c>
      <c r="B550" s="719"/>
      <c r="C550" s="719"/>
      <c r="D550" s="719"/>
      <c r="E550" s="719"/>
      <c r="F550" s="719"/>
      <c r="G550" s="719"/>
      <c r="H550" s="719"/>
      <c r="I550" s="719"/>
      <c r="J550" s="719"/>
      <c r="K550" s="719"/>
      <c r="L550" s="719"/>
      <c r="M550" s="719"/>
      <c r="N550" s="719"/>
      <c r="O550" s="719"/>
      <c r="P550" s="719"/>
      <c r="Q550" s="719"/>
      <c r="R550" s="719"/>
      <c r="S550" s="719"/>
      <c r="T550" s="719"/>
      <c r="U550" s="719"/>
      <c r="V550" s="719"/>
      <c r="W550" s="719"/>
      <c r="X550" s="719"/>
      <c r="Y550" s="719"/>
      <c r="Z550" s="719"/>
      <c r="AA550" s="63"/>
      <c r="AB550" s="63"/>
      <c r="AC550" s="63"/>
    </row>
    <row r="551" spans="1:68" ht="27" hidden="1" customHeight="1" x14ac:dyDescent="0.25">
      <c r="A551" s="60" t="s">
        <v>868</v>
      </c>
      <c r="B551" s="60" t="s">
        <v>869</v>
      </c>
      <c r="C551" s="34">
        <v>4301060535</v>
      </c>
      <c r="D551" s="720">
        <v>4640242180120</v>
      </c>
      <c r="E551" s="72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2"/>
      <c r="R551" s="722"/>
      <c r="S551" s="722"/>
      <c r="T551" s="72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871</v>
      </c>
      <c r="B552" s="60" t="s">
        <v>872</v>
      </c>
      <c r="C552" s="34">
        <v>4301060536</v>
      </c>
      <c r="D552" s="720">
        <v>4640242180137</v>
      </c>
      <c r="E552" s="72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127</v>
      </c>
      <c r="L552" s="35" t="s">
        <v>46</v>
      </c>
      <c r="M552" s="36" t="s">
        <v>90</v>
      </c>
      <c r="N552" s="36"/>
      <c r="O552" s="35">
        <v>40</v>
      </c>
      <c r="P552" s="10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2"/>
      <c r="R552" s="722"/>
      <c r="S552" s="722"/>
      <c r="T552" s="72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873</v>
      </c>
      <c r="AG552" s="75"/>
      <c r="AJ552" s="79" t="s">
        <v>46</v>
      </c>
      <c r="AK552" s="79">
        <v>0</v>
      </c>
      <c r="BB552" s="646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28"/>
      <c r="B553" s="728"/>
      <c r="C553" s="728"/>
      <c r="D553" s="728"/>
      <c r="E553" s="728"/>
      <c r="F553" s="728"/>
      <c r="G553" s="728"/>
      <c r="H553" s="728"/>
      <c r="I553" s="728"/>
      <c r="J553" s="728"/>
      <c r="K553" s="728"/>
      <c r="L553" s="728"/>
      <c r="M553" s="728"/>
      <c r="N553" s="728"/>
      <c r="O553" s="729"/>
      <c r="P553" s="725" t="s">
        <v>40</v>
      </c>
      <c r="Q553" s="726"/>
      <c r="R553" s="726"/>
      <c r="S553" s="726"/>
      <c r="T553" s="726"/>
      <c r="U553" s="726"/>
      <c r="V553" s="727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728"/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9"/>
      <c r="P554" s="725" t="s">
        <v>40</v>
      </c>
      <c r="Q554" s="726"/>
      <c r="R554" s="726"/>
      <c r="S554" s="726"/>
      <c r="T554" s="726"/>
      <c r="U554" s="726"/>
      <c r="V554" s="727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718" t="s">
        <v>874</v>
      </c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62"/>
      <c r="AB555" s="62"/>
      <c r="AC555" s="62"/>
    </row>
    <row r="556" spans="1:68" ht="14.25" hidden="1" customHeight="1" x14ac:dyDescent="0.25">
      <c r="A556" s="719" t="s">
        <v>155</v>
      </c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719"/>
      <c r="P556" s="719"/>
      <c r="Q556" s="719"/>
      <c r="R556" s="719"/>
      <c r="S556" s="719"/>
      <c r="T556" s="719"/>
      <c r="U556" s="719"/>
      <c r="V556" s="719"/>
      <c r="W556" s="719"/>
      <c r="X556" s="719"/>
      <c r="Y556" s="719"/>
      <c r="Z556" s="719"/>
      <c r="AA556" s="63"/>
      <c r="AB556" s="63"/>
      <c r="AC556" s="63"/>
    </row>
    <row r="557" spans="1:68" ht="27" hidden="1" customHeight="1" x14ac:dyDescent="0.25">
      <c r="A557" s="60" t="s">
        <v>875</v>
      </c>
      <c r="B557" s="60" t="s">
        <v>876</v>
      </c>
      <c r="C557" s="34">
        <v>4301020428</v>
      </c>
      <c r="D557" s="720">
        <v>4640242180090</v>
      </c>
      <c r="E557" s="72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127</v>
      </c>
      <c r="L557" s="35" t="s">
        <v>46</v>
      </c>
      <c r="M557" s="36" t="s">
        <v>126</v>
      </c>
      <c r="N557" s="36"/>
      <c r="O557" s="35">
        <v>50</v>
      </c>
      <c r="P557" s="10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2"/>
      <c r="R557" s="722"/>
      <c r="S557" s="722"/>
      <c r="T557" s="72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877</v>
      </c>
      <c r="AG557" s="75"/>
      <c r="AJ557" s="79" t="s">
        <v>46</v>
      </c>
      <c r="AK557" s="79">
        <v>0</v>
      </c>
      <c r="BB557" s="648" t="s">
        <v>67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728"/>
      <c r="B558" s="728"/>
      <c r="C558" s="728"/>
      <c r="D558" s="728"/>
      <c r="E558" s="728"/>
      <c r="F558" s="728"/>
      <c r="G558" s="728"/>
      <c r="H558" s="728"/>
      <c r="I558" s="728"/>
      <c r="J558" s="728"/>
      <c r="K558" s="728"/>
      <c r="L558" s="728"/>
      <c r="M558" s="728"/>
      <c r="N558" s="728"/>
      <c r="O558" s="729"/>
      <c r="P558" s="725" t="s">
        <v>40</v>
      </c>
      <c r="Q558" s="726"/>
      <c r="R558" s="726"/>
      <c r="S558" s="726"/>
      <c r="T558" s="726"/>
      <c r="U558" s="726"/>
      <c r="V558" s="727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728"/>
      <c r="B559" s="728"/>
      <c r="C559" s="728"/>
      <c r="D559" s="728"/>
      <c r="E559" s="728"/>
      <c r="F559" s="728"/>
      <c r="G559" s="728"/>
      <c r="H559" s="728"/>
      <c r="I559" s="728"/>
      <c r="J559" s="728"/>
      <c r="K559" s="728"/>
      <c r="L559" s="728"/>
      <c r="M559" s="728"/>
      <c r="N559" s="728"/>
      <c r="O559" s="729"/>
      <c r="P559" s="725" t="s">
        <v>40</v>
      </c>
      <c r="Q559" s="726"/>
      <c r="R559" s="726"/>
      <c r="S559" s="726"/>
      <c r="T559" s="726"/>
      <c r="U559" s="726"/>
      <c r="V559" s="727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728"/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1016"/>
      <c r="P560" s="1013" t="s">
        <v>33</v>
      </c>
      <c r="Q560" s="1014"/>
      <c r="R560" s="1014"/>
      <c r="S560" s="1014"/>
      <c r="T560" s="1014"/>
      <c r="U560" s="1014"/>
      <c r="V560" s="1015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19986.800583333334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20167.020000000004</v>
      </c>
      <c r="Z560" s="40"/>
      <c r="AA560" s="64"/>
      <c r="AB560" s="64"/>
      <c r="AC560" s="64"/>
    </row>
    <row r="561" spans="1:32" x14ac:dyDescent="0.2">
      <c r="A561" s="728"/>
      <c r="B561" s="728"/>
      <c r="C561" s="728"/>
      <c r="D561" s="728"/>
      <c r="E561" s="728"/>
      <c r="F561" s="728"/>
      <c r="G561" s="728"/>
      <c r="H561" s="728"/>
      <c r="I561" s="728"/>
      <c r="J561" s="728"/>
      <c r="K561" s="728"/>
      <c r="L561" s="728"/>
      <c r="M561" s="728"/>
      <c r="N561" s="728"/>
      <c r="O561" s="1016"/>
      <c r="P561" s="1013" t="s">
        <v>34</v>
      </c>
      <c r="Q561" s="1014"/>
      <c r="R561" s="1014"/>
      <c r="S561" s="1014"/>
      <c r="T561" s="1014"/>
      <c r="U561" s="1014"/>
      <c r="V561" s="1015"/>
      <c r="W561" s="40" t="s">
        <v>0</v>
      </c>
      <c r="X561" s="41">
        <f>IFERROR(SUM(BM22:BM557),"0")</f>
        <v>21380.136144108099</v>
      </c>
      <c r="Y561" s="41">
        <f>IFERROR(SUM(BN22:BN557),"0")</f>
        <v>21571.958999999999</v>
      </c>
      <c r="Z561" s="40"/>
      <c r="AA561" s="64"/>
      <c r="AB561" s="64"/>
      <c r="AC561" s="64"/>
    </row>
    <row r="562" spans="1:32" x14ac:dyDescent="0.2">
      <c r="A562" s="728"/>
      <c r="B562" s="728"/>
      <c r="C562" s="728"/>
      <c r="D562" s="728"/>
      <c r="E562" s="728"/>
      <c r="F562" s="728"/>
      <c r="G562" s="728"/>
      <c r="H562" s="728"/>
      <c r="I562" s="728"/>
      <c r="J562" s="728"/>
      <c r="K562" s="728"/>
      <c r="L562" s="728"/>
      <c r="M562" s="728"/>
      <c r="N562" s="728"/>
      <c r="O562" s="1016"/>
      <c r="P562" s="1013" t="s">
        <v>35</v>
      </c>
      <c r="Q562" s="1014"/>
      <c r="R562" s="1014"/>
      <c r="S562" s="1014"/>
      <c r="T562" s="1014"/>
      <c r="U562" s="1014"/>
      <c r="V562" s="1015"/>
      <c r="W562" s="40" t="s">
        <v>20</v>
      </c>
      <c r="X562" s="42">
        <f>ROUNDUP(SUM(BO22:BO557),0)</f>
        <v>37</v>
      </c>
      <c r="Y562" s="42">
        <f>ROUNDUP(SUM(BP22:BP557),0)</f>
        <v>37</v>
      </c>
      <c r="Z562" s="40"/>
      <c r="AA562" s="64"/>
      <c r="AB562" s="64"/>
      <c r="AC562" s="64"/>
    </row>
    <row r="563" spans="1:32" x14ac:dyDescent="0.2">
      <c r="A563" s="728"/>
      <c r="B563" s="728"/>
      <c r="C563" s="728"/>
      <c r="D563" s="728"/>
      <c r="E563" s="728"/>
      <c r="F563" s="728"/>
      <c r="G563" s="728"/>
      <c r="H563" s="728"/>
      <c r="I563" s="728"/>
      <c r="J563" s="728"/>
      <c r="K563" s="728"/>
      <c r="L563" s="728"/>
      <c r="M563" s="728"/>
      <c r="N563" s="728"/>
      <c r="O563" s="1016"/>
      <c r="P563" s="1013" t="s">
        <v>36</v>
      </c>
      <c r="Q563" s="1014"/>
      <c r="R563" s="1014"/>
      <c r="S563" s="1014"/>
      <c r="T563" s="1014"/>
      <c r="U563" s="1014"/>
      <c r="V563" s="1015"/>
      <c r="W563" s="40" t="s">
        <v>0</v>
      </c>
      <c r="X563" s="41">
        <f>GrossWeightTotal+PalletQtyTotal*25</f>
        <v>22305.136144108099</v>
      </c>
      <c r="Y563" s="41">
        <f>GrossWeightTotalR+PalletQtyTotalR*25</f>
        <v>22496.958999999999</v>
      </c>
      <c r="Z563" s="40"/>
      <c r="AA563" s="64"/>
      <c r="AB563" s="64"/>
      <c r="AC563" s="64"/>
    </row>
    <row r="564" spans="1:32" x14ac:dyDescent="0.2">
      <c r="A564" s="728"/>
      <c r="B564" s="728"/>
      <c r="C564" s="728"/>
      <c r="D564" s="728"/>
      <c r="E564" s="728"/>
      <c r="F564" s="728"/>
      <c r="G564" s="728"/>
      <c r="H564" s="728"/>
      <c r="I564" s="728"/>
      <c r="J564" s="728"/>
      <c r="K564" s="728"/>
      <c r="L564" s="728"/>
      <c r="M564" s="728"/>
      <c r="N564" s="728"/>
      <c r="O564" s="1016"/>
      <c r="P564" s="1013" t="s">
        <v>37</v>
      </c>
      <c r="Q564" s="1014"/>
      <c r="R564" s="1014"/>
      <c r="S564" s="1014"/>
      <c r="T564" s="1014"/>
      <c r="U564" s="1014"/>
      <c r="V564" s="1015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4494.8579792889641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4523</v>
      </c>
      <c r="Z564" s="40"/>
      <c r="AA564" s="64"/>
      <c r="AB564" s="64"/>
      <c r="AC564" s="64"/>
    </row>
    <row r="565" spans="1:32" ht="14.25" hidden="1" x14ac:dyDescent="0.2">
      <c r="A565" s="728"/>
      <c r="B565" s="728"/>
      <c r="C565" s="728"/>
      <c r="D565" s="728"/>
      <c r="E565" s="728"/>
      <c r="F565" s="728"/>
      <c r="G565" s="728"/>
      <c r="H565" s="728"/>
      <c r="I565" s="728"/>
      <c r="J565" s="728"/>
      <c r="K565" s="728"/>
      <c r="L565" s="728"/>
      <c r="M565" s="728"/>
      <c r="N565" s="728"/>
      <c r="O565" s="1016"/>
      <c r="P565" s="1013" t="s">
        <v>38</v>
      </c>
      <c r="Q565" s="1014"/>
      <c r="R565" s="1014"/>
      <c r="S565" s="1014"/>
      <c r="T565" s="1014"/>
      <c r="U565" s="1014"/>
      <c r="V565" s="1015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42.619350000000004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76</v>
      </c>
      <c r="C567" s="80" t="s">
        <v>45</v>
      </c>
      <c r="D567" s="1011" t="s">
        <v>120</v>
      </c>
      <c r="E567" s="1011" t="s">
        <v>120</v>
      </c>
      <c r="F567" s="1011" t="s">
        <v>120</v>
      </c>
      <c r="G567" s="1011" t="s">
        <v>120</v>
      </c>
      <c r="H567" s="1011" t="s">
        <v>120</v>
      </c>
      <c r="I567" s="1011" t="s">
        <v>120</v>
      </c>
      <c r="J567" s="1011" t="s">
        <v>120</v>
      </c>
      <c r="K567" s="1011" t="s">
        <v>360</v>
      </c>
      <c r="L567" s="1011" t="s">
        <v>360</v>
      </c>
      <c r="M567" s="1011" t="s">
        <v>360</v>
      </c>
      <c r="N567" s="1017"/>
      <c r="O567" s="1011" t="s">
        <v>360</v>
      </c>
      <c r="P567" s="1011" t="s">
        <v>360</v>
      </c>
      <c r="Q567" s="1011" t="s">
        <v>360</v>
      </c>
      <c r="R567" s="1011" t="s">
        <v>360</v>
      </c>
      <c r="S567" s="1011" t="s">
        <v>360</v>
      </c>
      <c r="T567" s="1011" t="s">
        <v>360</v>
      </c>
      <c r="U567" s="1011" t="s">
        <v>360</v>
      </c>
      <c r="V567" s="1011" t="s">
        <v>360</v>
      </c>
      <c r="W567" s="1011" t="s">
        <v>706</v>
      </c>
      <c r="X567" s="1011" t="s">
        <v>706</v>
      </c>
      <c r="Y567" s="1011" t="s">
        <v>772</v>
      </c>
      <c r="Z567" s="1011" t="s">
        <v>772</v>
      </c>
      <c r="AA567" s="80" t="s">
        <v>808</v>
      </c>
      <c r="AB567" s="1011" t="s">
        <v>855</v>
      </c>
      <c r="AC567" s="1011" t="s">
        <v>855</v>
      </c>
      <c r="AF567" s="1"/>
    </row>
    <row r="568" spans="1:32" ht="14.25" customHeight="1" thickTop="1" x14ac:dyDescent="0.2">
      <c r="A568" s="1018" t="s">
        <v>10</v>
      </c>
      <c r="B568" s="1011" t="s">
        <v>76</v>
      </c>
      <c r="C568" s="1011" t="s">
        <v>104</v>
      </c>
      <c r="D568" s="1011" t="s">
        <v>121</v>
      </c>
      <c r="E568" s="1011" t="s">
        <v>137</v>
      </c>
      <c r="F568" s="1011" t="s">
        <v>182</v>
      </c>
      <c r="G568" s="1011" t="s">
        <v>209</v>
      </c>
      <c r="H568" s="1011" t="s">
        <v>260</v>
      </c>
      <c r="I568" s="1011" t="s">
        <v>273</v>
      </c>
      <c r="J568" s="1011" t="s">
        <v>120</v>
      </c>
      <c r="K568" s="1011" t="s">
        <v>361</v>
      </c>
      <c r="L568" s="1011" t="s">
        <v>382</v>
      </c>
      <c r="M568" s="1011" t="s">
        <v>449</v>
      </c>
      <c r="N568" s="1"/>
      <c r="O568" s="1011" t="s">
        <v>517</v>
      </c>
      <c r="P568" s="1011" t="s">
        <v>550</v>
      </c>
      <c r="Q568" s="1011" t="s">
        <v>566</v>
      </c>
      <c r="R568" s="1011" t="s">
        <v>575</v>
      </c>
      <c r="S568" s="1011" t="s">
        <v>596</v>
      </c>
      <c r="T568" s="1011" t="s">
        <v>605</v>
      </c>
      <c r="U568" s="1011" t="s">
        <v>689</v>
      </c>
      <c r="V568" s="1011" t="s">
        <v>696</v>
      </c>
      <c r="W568" s="1011" t="s">
        <v>707</v>
      </c>
      <c r="X568" s="1011" t="s">
        <v>756</v>
      </c>
      <c r="Y568" s="1011" t="s">
        <v>773</v>
      </c>
      <c r="Z568" s="1011" t="s">
        <v>796</v>
      </c>
      <c r="AA568" s="1011" t="s">
        <v>808</v>
      </c>
      <c r="AB568" s="1011" t="s">
        <v>855</v>
      </c>
      <c r="AC568" s="1011" t="s">
        <v>874</v>
      </c>
      <c r="AF568" s="1"/>
    </row>
    <row r="569" spans="1:32" ht="13.5" thickBot="1" x14ac:dyDescent="0.25">
      <c r="A569" s="1019"/>
      <c r="B569" s="1011"/>
      <c r="C569" s="1011"/>
      <c r="D569" s="1011"/>
      <c r="E569" s="1011"/>
      <c r="F569" s="1011"/>
      <c r="G569" s="1011"/>
      <c r="H569" s="1011"/>
      <c r="I569" s="1011"/>
      <c r="J569" s="1011"/>
      <c r="K569" s="1011"/>
      <c r="L569" s="1011"/>
      <c r="M569" s="1011"/>
      <c r="N569" s="1"/>
      <c r="O569" s="1011"/>
      <c r="P569" s="1011"/>
      <c r="Q569" s="1011"/>
      <c r="R569" s="1011"/>
      <c r="S569" s="1011"/>
      <c r="T569" s="1011"/>
      <c r="U569" s="1011"/>
      <c r="V569" s="1011"/>
      <c r="W569" s="1011"/>
      <c r="X569" s="1011"/>
      <c r="Y569" s="1011"/>
      <c r="Z569" s="1011"/>
      <c r="AA569" s="1011"/>
      <c r="AB569" s="1011"/>
      <c r="AC569" s="1011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32.64</v>
      </c>
      <c r="D570" s="50">
        <f>IFERROR(Y47*1,"0")+IFERROR(Y48*1,"0")+IFERROR(Y49*1,"0")+IFERROR(Y50*1,"0")</f>
        <v>120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607.20000000000005</v>
      </c>
      <c r="F570" s="50">
        <f>IFERROR(Y85*1,"0")+IFERROR(Y86*1,"0")+IFERROR(Y87*1,"0")+IFERROR(Y88*1,"0")+IFERROR(Y89*1,"0")+IFERROR(Y93*1,"0")+IFERROR(Y94*1,"0")+IFERROR(Y95*1,"0")+IFERROR(Y96*1,"0")+IFERROR(Y97*1,"0")+IFERROR(Y98*1,"0")</f>
        <v>990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1456.2</v>
      </c>
      <c r="H570" s="50">
        <f>IFERROR(Y138*1,"0")+IFERROR(Y139*1,"0")+IFERROR(Y143*1,"0")+IFERROR(Y144*1,"0")+IFERROR(Y148*1,"0")+IFERROR(Y149*1,"0")</f>
        <v>119.19999999999999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1618.74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613.6400000000001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3718.4999999999995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153.29999999999998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201.6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202.79999999999998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1414.2</v>
      </c>
      <c r="U570" s="50">
        <f>IFERROR(Y418*1,"0")+IFERROR(Y419*1,"0")</f>
        <v>0</v>
      </c>
      <c r="V570" s="50">
        <f>IFERROR(Y424*1,"0")+IFERROR(Y425*1,"0")+IFERROR(Y426*1,"0")</f>
        <v>0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6009</v>
      </c>
      <c r="X570" s="50">
        <f>IFERROR(Y461*1,"0")+IFERROR(Y462*1,"0")+IFERROR(Y466*1,"0")+IFERROR(Y470*1,"0")+IFERROR(Y471*1,"0")+IFERROR(Y472*1,"0")</f>
        <v>78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2220.0000000000005</v>
      </c>
      <c r="AB570" s="50">
        <f>IFERROR(Y535*1,"0")+IFERROR(Y539*1,"0")+IFERROR(Y543*1,"0")+IFERROR(Y547*1,"0")+IFERROR(Y551*1,"0")+IFERROR(Y552*1,"0")</f>
        <v>612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38,00"/>
        <filter val="1 220,00"/>
        <filter val="1 225,00"/>
        <filter val="1 300,00"/>
        <filter val="1 320,00"/>
        <filter val="1 400,00"/>
        <filter val="1 600,00"/>
        <filter val="1 604,00"/>
        <filter val="1,67"/>
        <filter val="10,50"/>
        <filter val="100,00"/>
        <filter val="12,00"/>
        <filter val="120,00"/>
        <filter val="130,30"/>
        <filter val="135,00"/>
        <filter val="138,64"/>
        <filter val="149,82"/>
        <filter val="15,00"/>
        <filter val="150,00"/>
        <filter val="16,67"/>
        <filter val="168,00"/>
        <filter val="175,00"/>
        <filter val="18,75"/>
        <filter val="180,00"/>
        <filter val="19 986,80"/>
        <filter val="2 170,00"/>
        <filter val="2,50"/>
        <filter val="2,78"/>
        <filter val="20,00"/>
        <filter val="200,00"/>
        <filter val="204,32"/>
        <filter val="21 380,14"/>
        <filter val="21,00"/>
        <filter val="22 305,14"/>
        <filter val="225,00"/>
        <filter val="235,00"/>
        <filter val="24,34"/>
        <filter val="245,00"/>
        <filter val="25,00"/>
        <filter val="25,64"/>
        <filter val="250,00"/>
        <filter val="255,24"/>
        <filter val="28,00"/>
        <filter val="3,85"/>
        <filter val="30,00"/>
        <filter val="300,00"/>
        <filter val="303,00"/>
        <filter val="32,00"/>
        <filter val="320,00"/>
        <filter val="325,00"/>
        <filter val="330,00"/>
        <filter val="37"/>
        <filter val="382,72"/>
        <filter val="4 494,86"/>
        <filter val="4 515,00"/>
        <filter val="400,00"/>
        <filter val="440,00"/>
        <filter val="450,00"/>
        <filter val="47,22"/>
        <filter val="5,56"/>
        <filter val="50,00"/>
        <filter val="50,30"/>
        <filter val="500,00"/>
        <filter val="511,11"/>
        <filter val="52,50"/>
        <filter val="540,00"/>
        <filter val="548,00"/>
        <filter val="55,56"/>
        <filter val="550,00"/>
        <filter val="59,26"/>
        <filter val="59,50"/>
        <filter val="6,67"/>
        <filter val="60,00"/>
        <filter val="600,00"/>
        <filter val="614,29"/>
        <filter val="640,00"/>
        <filter val="66,00"/>
        <filter val="675,00"/>
        <filter val="70,00"/>
        <filter val="700,00"/>
        <filter val="720,00"/>
        <filter val="742,90"/>
        <filter val="78,00"/>
        <filter val="8,00"/>
        <filter val="8,33"/>
        <filter val="80,00"/>
        <filter val="83,33"/>
        <filter val="86,74"/>
        <filter val="93,33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1" t="s">
        <v>879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880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881</v>
      </c>
      <c r="C6" s="51" t="s">
        <v>882</v>
      </c>
      <c r="D6" s="51" t="s">
        <v>883</v>
      </c>
      <c r="E6" s="51" t="s">
        <v>46</v>
      </c>
    </row>
    <row r="7" spans="2:8" x14ac:dyDescent="0.2">
      <c r="B7" s="51" t="s">
        <v>884</v>
      </c>
      <c r="C7" s="51" t="s">
        <v>885</v>
      </c>
      <c r="D7" s="51" t="s">
        <v>886</v>
      </c>
      <c r="E7" s="51" t="s">
        <v>46</v>
      </c>
    </row>
    <row r="9" spans="2:8" x14ac:dyDescent="0.2">
      <c r="B9" s="51" t="s">
        <v>887</v>
      </c>
      <c r="C9" s="51" t="s">
        <v>882</v>
      </c>
      <c r="D9" s="51" t="s">
        <v>46</v>
      </c>
      <c r="E9" s="51" t="s">
        <v>46</v>
      </c>
    </row>
    <row r="11" spans="2:8" x14ac:dyDescent="0.2">
      <c r="B11" s="51" t="s">
        <v>887</v>
      </c>
      <c r="C11" s="51" t="s">
        <v>885</v>
      </c>
      <c r="D11" s="51" t="s">
        <v>46</v>
      </c>
      <c r="E11" s="51" t="s">
        <v>46</v>
      </c>
    </row>
    <row r="13" spans="2:8" x14ac:dyDescent="0.2">
      <c r="B13" s="51" t="s">
        <v>888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890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898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