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4366BA-79FC-494D-9953-B2BFC05FDB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N254" i="2"/>
  <c r="BM254" i="2"/>
  <c r="Z254" i="2"/>
  <c r="Z257" i="2" s="1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N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Y186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Z181" i="2" s="1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N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N139" i="2" s="1"/>
  <c r="P139" i="2"/>
  <c r="BO138" i="2"/>
  <c r="BN138" i="2"/>
  <c r="BM138" i="2"/>
  <c r="Z138" i="2"/>
  <c r="Y138" i="2"/>
  <c r="BP138" i="2" s="1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8" i="2"/>
  <c r="X127" i="2"/>
  <c r="BO126" i="2"/>
  <c r="BM126" i="2"/>
  <c r="Z126" i="2"/>
  <c r="Z127" i="2" s="1"/>
  <c r="Y126" i="2"/>
  <c r="Y127" i="2" s="1"/>
  <c r="P126" i="2"/>
  <c r="Y124" i="2"/>
  <c r="X124" i="2"/>
  <c r="X123" i="2"/>
  <c r="BO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N104" i="2"/>
  <c r="BM104" i="2"/>
  <c r="Z104" i="2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N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N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N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147" i="2" l="1"/>
  <c r="Y246" i="2"/>
  <c r="BN23" i="2"/>
  <c r="BN29" i="2"/>
  <c r="Z43" i="2"/>
  <c r="Z90" i="2"/>
  <c r="BP122" i="2"/>
  <c r="BN256" i="2"/>
  <c r="BN260" i="2"/>
  <c r="BN180" i="2"/>
  <c r="Y128" i="2"/>
  <c r="Y262" i="2"/>
  <c r="BN279" i="2"/>
  <c r="BP276" i="2"/>
  <c r="BP274" i="2"/>
  <c r="Y268" i="2"/>
  <c r="BP222" i="2"/>
  <c r="Y208" i="2"/>
  <c r="BN193" i="2"/>
  <c r="Y187" i="2"/>
  <c r="Y160" i="2"/>
  <c r="BN152" i="2"/>
  <c r="BP140" i="2"/>
  <c r="Z141" i="2"/>
  <c r="Y142" i="2"/>
  <c r="Z135" i="2"/>
  <c r="BN122" i="2"/>
  <c r="BP112" i="2"/>
  <c r="BN111" i="2"/>
  <c r="Z106" i="2"/>
  <c r="BP104" i="2"/>
  <c r="Y101" i="2"/>
  <c r="BN89" i="2"/>
  <c r="Y85" i="2"/>
  <c r="Y79" i="2"/>
  <c r="Z57" i="2"/>
  <c r="Y50" i="2"/>
  <c r="BP35" i="2"/>
  <c r="Y36" i="2"/>
  <c r="BN34" i="2"/>
  <c r="Z36" i="2"/>
  <c r="Y37" i="2"/>
  <c r="BN24" i="2"/>
  <c r="X284" i="2"/>
  <c r="BP48" i="2"/>
  <c r="BP53" i="2"/>
  <c r="Y58" i="2"/>
  <c r="Y67" i="2"/>
  <c r="Y153" i="2"/>
  <c r="BP158" i="2"/>
  <c r="Y165" i="2"/>
  <c r="BP192" i="2"/>
  <c r="BP204" i="2"/>
  <c r="Z213" i="2"/>
  <c r="BP212" i="2"/>
  <c r="BP238" i="2"/>
  <c r="BP244" i="2"/>
  <c r="Y258" i="2"/>
  <c r="Z267" i="2"/>
  <c r="BP264" i="2"/>
  <c r="BP266" i="2"/>
  <c r="BN273" i="2"/>
  <c r="BP278" i="2"/>
  <c r="BP22" i="2"/>
  <c r="BP26" i="2"/>
  <c r="X286" i="2"/>
  <c r="Z49" i="2"/>
  <c r="BN54" i="2"/>
  <c r="BN56" i="2"/>
  <c r="Y57" i="2"/>
  <c r="BN61" i="2"/>
  <c r="Z67" i="2"/>
  <c r="BP65" i="2"/>
  <c r="Z73" i="2"/>
  <c r="Z79" i="2"/>
  <c r="BP78" i="2"/>
  <c r="BP83" i="2"/>
  <c r="Z100" i="2"/>
  <c r="BP115" i="2"/>
  <c r="BP117" i="2"/>
  <c r="BP133" i="2"/>
  <c r="Y141" i="2"/>
  <c r="BP146" i="2"/>
  <c r="Z159" i="2"/>
  <c r="Y164" i="2"/>
  <c r="BP173" i="2"/>
  <c r="BP228" i="2"/>
  <c r="Y257" i="2"/>
  <c r="X283" i="2"/>
  <c r="Z30" i="2"/>
  <c r="Y91" i="2"/>
  <c r="BP98" i="2"/>
  <c r="Y119" i="2"/>
  <c r="Y148" i="2"/>
  <c r="Z153" i="2"/>
  <c r="Y182" i="2"/>
  <c r="Y195" i="2"/>
  <c r="Y230" i="2"/>
  <c r="BN238" i="2"/>
  <c r="Y245" i="2"/>
  <c r="BN264" i="2"/>
  <c r="Y267" i="2"/>
  <c r="BP271" i="2"/>
  <c r="Y30" i="2"/>
  <c r="Y63" i="2"/>
  <c r="Y68" i="2"/>
  <c r="BP72" i="2"/>
  <c r="BP77" i="2"/>
  <c r="X282" i="2"/>
  <c r="Y43" i="2"/>
  <c r="BP42" i="2"/>
  <c r="BN78" i="2"/>
  <c r="Y84" i="2"/>
  <c r="Y106" i="2"/>
  <c r="Z119" i="2"/>
  <c r="BP110" i="2"/>
  <c r="Y136" i="2"/>
  <c r="Y147" i="2"/>
  <c r="BP185" i="2"/>
  <c r="Z195" i="2"/>
  <c r="Z207" i="2"/>
  <c r="Y214" i="2"/>
  <c r="BN222" i="2"/>
  <c r="Y229" i="2"/>
  <c r="Z280" i="2"/>
  <c r="F10" i="2"/>
  <c r="Y207" i="2"/>
  <c r="BN42" i="2"/>
  <c r="Y196" i="2"/>
  <c r="Y213" i="2"/>
  <c r="BN48" i="2"/>
  <c r="Y90" i="2"/>
  <c r="BN158" i="2"/>
  <c r="BN173" i="2"/>
  <c r="Y44" i="2"/>
  <c r="BP70" i="2"/>
  <c r="BP96" i="2"/>
  <c r="BP118" i="2"/>
  <c r="BP131" i="2"/>
  <c r="Y154" i="2"/>
  <c r="BN168" i="2"/>
  <c r="BP200" i="2"/>
  <c r="BN211" i="2"/>
  <c r="BN277" i="2"/>
  <c r="Y280" i="2"/>
  <c r="Y31" i="2"/>
  <c r="Y73" i="2"/>
  <c r="Y181" i="2"/>
  <c r="BP25" i="2"/>
  <c r="Y74" i="2"/>
  <c r="BN88" i="2"/>
  <c r="BP113" i="2"/>
  <c r="BN134" i="2"/>
  <c r="BN191" i="2"/>
  <c r="BN217" i="2"/>
  <c r="BN234" i="2"/>
  <c r="BN248" i="2"/>
  <c r="BN272" i="2"/>
  <c r="BN28" i="2"/>
  <c r="BN55" i="2"/>
  <c r="Y80" i="2"/>
  <c r="BN94" i="2"/>
  <c r="BN105" i="2"/>
  <c r="BN116" i="2"/>
  <c r="BP168" i="2"/>
  <c r="Y201" i="2"/>
  <c r="Y224" i="2"/>
  <c r="Y240" i="2"/>
  <c r="BN255" i="2"/>
  <c r="BP99" i="2"/>
  <c r="BP191" i="2"/>
  <c r="BP234" i="2"/>
  <c r="BP248" i="2"/>
  <c r="F9" i="2"/>
  <c r="BN41" i="2"/>
  <c r="BN66" i="2"/>
  <c r="BP94" i="2"/>
  <c r="BN126" i="2"/>
  <c r="BP139" i="2"/>
  <c r="BN151" i="2"/>
  <c r="Y169" i="2"/>
  <c r="BN194" i="2"/>
  <c r="BN265" i="2"/>
  <c r="BN275" i="2"/>
  <c r="H9" i="2"/>
  <c r="BN47" i="2"/>
  <c r="BP61" i="2"/>
  <c r="BN71" i="2"/>
  <c r="BN97" i="2"/>
  <c r="Y100" i="2"/>
  <c r="Y120" i="2"/>
  <c r="BN132" i="2"/>
  <c r="Y135" i="2"/>
  <c r="BN157" i="2"/>
  <c r="Y202" i="2"/>
  <c r="Y218" i="2"/>
  <c r="Y235" i="2"/>
  <c r="Y249" i="2"/>
  <c r="BP260" i="2"/>
  <c r="BN270" i="2"/>
  <c r="BP217" i="2"/>
  <c r="BN114" i="2"/>
  <c r="BP126" i="2"/>
  <c r="BN163" i="2"/>
  <c r="BN179" i="2"/>
  <c r="BN206" i="2"/>
  <c r="Y49" i="2"/>
  <c r="BN131" i="2"/>
  <c r="Y159" i="2"/>
  <c r="Y174" i="2"/>
  <c r="BN205" i="2"/>
  <c r="Y281" i="2"/>
  <c r="J9" i="2"/>
  <c r="X285" i="2" l="1"/>
  <c r="Z287" i="2"/>
  <c r="Y286" i="2"/>
  <c r="Y284" i="2"/>
  <c r="Y283" i="2"/>
  <c r="Y282" i="2"/>
  <c r="Y285" i="2" l="1"/>
  <c r="B295" i="2" l="1"/>
  <c r="C295" i="2"/>
  <c r="A295" i="2"/>
</calcChain>
</file>

<file path=xl/sharedStrings.xml><?xml version="1.0" encoding="utf-8"?>
<sst xmlns="http://schemas.openxmlformats.org/spreadsheetml/2006/main" count="1761" uniqueCount="408">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</sst>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46278</v>
      </c>
      <c r="R5" s="474"/>
      <c r="T5" s="475" t="s">
        <v>3</v>
      </c>
      <c r="U5" s="476"/>
      <c r="V5" s="477" t="s">
        <v>394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4.1666666666666664E-2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24</v>
      </c>
      <c r="Y30" s="43">
        <f>IFERROR(SUM(Y22:Y29),"0")</f>
        <v>24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7"/>
      <c r="AB30" s="67"/>
      <c r="AC30" s="67"/>
    </row>
    <row r="31" spans="1:68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163.20000000000002</v>
      </c>
      <c r="Y31" s="43">
        <f>IFERROR(SUMPRODUCT(Y22:Y29*H22:H29),"0")</f>
        <v>163.20000000000002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168</v>
      </c>
      <c r="Y41" s="55">
        <f>IFERROR(IF(X41="","",X41),"")</f>
        <v>168</v>
      </c>
      <c r="Z41" s="41">
        <f>IFERROR(IF(X41="","",X41*0.00941),"")</f>
        <v>1.5808800000000001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322.86239999999998</v>
      </c>
      <c r="BN41" s="81">
        <f>IFERROR(Y41*I41,"0")</f>
        <v>322.86239999999998</v>
      </c>
      <c r="BO41" s="81">
        <f>IFERROR(X41/J41,"0")</f>
        <v>1.2</v>
      </c>
      <c r="BP41" s="81">
        <f>IFERROR(Y41/J41,"0")</f>
        <v>1.2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1.5808800000000001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96</v>
      </c>
      <c r="Y53" s="55">
        <f>IFERROR(IF(X53="","",X53),"")</f>
        <v>96</v>
      </c>
      <c r="Z53" s="41">
        <f>IFERROR(IF(X53="","",X53*0.0155),"")</f>
        <v>1.488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700.8</v>
      </c>
      <c r="BN53" s="81">
        <f>IFERROR(Y53*I53,"0")</f>
        <v>700.8</v>
      </c>
      <c r="BO53" s="81">
        <f>IFERROR(X53/J53,"0")</f>
        <v>1.1428571428571428</v>
      </c>
      <c r="BP53" s="81">
        <f>IFERROR(Y53/J53,"0")</f>
        <v>1.1428571428571428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96</v>
      </c>
      <c r="Y54" s="55">
        <f>IFERROR(IF(X54="","",X54),"")</f>
        <v>96</v>
      </c>
      <c r="Z54" s="41">
        <f>IFERROR(IF(X54="","",X54*0.0155),"")</f>
        <v>1.488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699.4559999999999</v>
      </c>
      <c r="BN54" s="81">
        <f>IFERROR(Y54*I54,"0")</f>
        <v>699.4559999999999</v>
      </c>
      <c r="BO54" s="81">
        <f>IFERROR(X54/J54,"0")</f>
        <v>1.1428571428571428</v>
      </c>
      <c r="BP54" s="81">
        <f>IFERROR(Y54/J54,"0")</f>
        <v>1.1428571428571428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216</v>
      </c>
      <c r="Y56" s="55">
        <f>IFERROR(IF(X56="","",X56),"")</f>
        <v>216</v>
      </c>
      <c r="Z56" s="41">
        <f>IFERROR(IF(X56="","",X56*0.0155),"")</f>
        <v>3.3479999999999999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1576.8</v>
      </c>
      <c r="BN56" s="81">
        <f>IFERROR(Y56*I56,"0")</f>
        <v>1576.8</v>
      </c>
      <c r="BO56" s="81">
        <f>IFERROR(X56/J56,"0")</f>
        <v>2.5714285714285716</v>
      </c>
      <c r="BP56" s="81">
        <f>IFERROR(Y56/J56,"0")</f>
        <v>2.5714285714285716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420</v>
      </c>
      <c r="Y57" s="43">
        <f>IFERROR(SUM(Y53:Y56),"0")</f>
        <v>420</v>
      </c>
      <c r="Z57" s="43">
        <f>IFERROR(IF(Z53="",0,Z53),"0")+IFERROR(IF(Z54="",0,Z54),"0")+IFERROR(IF(Z55="",0,Z55),"0")+IFERROR(IF(Z56="",0,Z56),"0")</f>
        <v>6.51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2932.8</v>
      </c>
      <c r="Y58" s="43">
        <f>IFERROR(SUMPRODUCT(Y53:Y56*H53:H56),"0")</f>
        <v>2932.8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156</v>
      </c>
      <c r="Y78" s="55">
        <f>IFERROR(IF(X78="","",X78),"")</f>
        <v>156</v>
      </c>
      <c r="Z78" s="41">
        <f>IFERROR(IF(X78="","",X78*0.00866),"")</f>
        <v>1.3509599999999999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813.25919999999996</v>
      </c>
      <c r="BN78" s="81">
        <f>IFERROR(Y78*I78,"0")</f>
        <v>813.25919999999996</v>
      </c>
      <c r="BO78" s="81">
        <f>IFERROR(X78/J78,"0")</f>
        <v>1.0833333333333333</v>
      </c>
      <c r="BP78" s="81">
        <f>IFERROR(Y78/J78,"0")</f>
        <v>1.0833333333333333</v>
      </c>
    </row>
    <row r="79" spans="1:68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156</v>
      </c>
      <c r="Y79" s="43">
        <f>IFERROR(SUM(Y77:Y78),"0")</f>
        <v>156</v>
      </c>
      <c r="Z79" s="43">
        <f>IFERROR(IF(Z77="",0,Z77),"0")+IFERROR(IF(Z78="",0,Z78),"0")</f>
        <v>1.3509599999999999</v>
      </c>
      <c r="AA79" s="67"/>
      <c r="AB79" s="67"/>
      <c r="AC79" s="67"/>
    </row>
    <row r="80" spans="1:68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780</v>
      </c>
      <c r="Y80" s="43">
        <f>IFERROR(SUMPRODUCT(Y77:Y78*H77:H78),"0")</f>
        <v>780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5">
        <v>4620207491621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hidden="1" customHeight="1" x14ac:dyDescent="0.25">
      <c r="A96" s="63" t="s">
        <v>184</v>
      </c>
      <c r="B96" s="63" t="s">
        <v>185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183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84</v>
      </c>
      <c r="Y97" s="55">
        <f t="shared" si="6"/>
        <v>84</v>
      </c>
      <c r="Z97" s="41">
        <f t="shared" si="7"/>
        <v>1.5019199999999999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301.0224</v>
      </c>
      <c r="BN97" s="81">
        <f t="shared" si="9"/>
        <v>301.0224</v>
      </c>
      <c r="BO97" s="81">
        <f t="shared" si="10"/>
        <v>1.2</v>
      </c>
      <c r="BP97" s="81">
        <f t="shared" si="11"/>
        <v>1.2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183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224</v>
      </c>
      <c r="Y100" s="43">
        <f>IFERROR(SUM(Y94:Y99),"0")</f>
        <v>224</v>
      </c>
      <c r="Z100" s="43">
        <f>IFERROR(IF(Z94="",0,Z94),"0")+IFERROR(IF(Z95="",0,Z95),"0")+IFERROR(IF(Z96="",0,Z96),"0")+IFERROR(IF(Z97="",0,Z97),"0")+IFERROR(IF(Z98="",0,Z98),"0")+IFERROR(IF(Z99="",0,Z99),"0")</f>
        <v>4.0051199999999998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663.59999999999991</v>
      </c>
      <c r="Y101" s="43">
        <f>IFERROR(SUMPRODUCT(Y94:Y99*H94:H99),"0")</f>
        <v>663.59999999999991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72</v>
      </c>
      <c r="Y110" s="55">
        <f t="shared" ref="Y110:Y118" si="12">IFERROR(IF(X110="","",X110),"")</f>
        <v>72</v>
      </c>
      <c r="Z110" s="41">
        <f t="shared" ref="Z110:Z118" si="13">IFERROR(IF(X110="","",X110*0.0155),"")</f>
        <v>1.1160000000000001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524.16</v>
      </c>
      <c r="BN110" s="81">
        <f t="shared" ref="BN110:BN118" si="15">IFERROR(Y110*I110,"0")</f>
        <v>524.16</v>
      </c>
      <c r="BO110" s="81">
        <f t="shared" ref="BO110:BO118" si="16">IFERROR(X110/J110,"0")</f>
        <v>0.8571428571428571</v>
      </c>
      <c r="BP110" s="81">
        <f t="shared" ref="BP110:BP118" si="17">IFERROR(Y110/J110,"0")</f>
        <v>0.8571428571428571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12</v>
      </c>
      <c r="Y113" s="55">
        <f t="shared" si="12"/>
        <v>12</v>
      </c>
      <c r="Z113" s="41">
        <f t="shared" si="13"/>
        <v>0.186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80.635199999999998</v>
      </c>
      <c r="BN113" s="81">
        <f t="shared" si="15"/>
        <v>80.635199999999998</v>
      </c>
      <c r="BO113" s="81">
        <f t="shared" si="16"/>
        <v>0.14285714285714285</v>
      </c>
      <c r="BP113" s="81">
        <f t="shared" si="17"/>
        <v>0.14285714285714285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216</v>
      </c>
      <c r="Y114" s="55">
        <f t="shared" si="12"/>
        <v>216</v>
      </c>
      <c r="Z114" s="41">
        <f t="shared" si="13"/>
        <v>3.3479999999999999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1576.8</v>
      </c>
      <c r="BN114" s="81">
        <f t="shared" si="15"/>
        <v>1576.8</v>
      </c>
      <c r="BO114" s="81">
        <f t="shared" si="16"/>
        <v>2.5714285714285716</v>
      </c>
      <c r="BP114" s="81">
        <f t="shared" si="17"/>
        <v>2.5714285714285716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312</v>
      </c>
      <c r="Y118" s="55">
        <f t="shared" si="12"/>
        <v>312</v>
      </c>
      <c r="Z118" s="41">
        <f t="shared" si="13"/>
        <v>4.8360000000000003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2277.6</v>
      </c>
      <c r="BN118" s="81">
        <f t="shared" si="15"/>
        <v>2277.6</v>
      </c>
      <c r="BO118" s="81">
        <f t="shared" si="16"/>
        <v>3.7142857142857144</v>
      </c>
      <c r="BP118" s="81">
        <f t="shared" si="17"/>
        <v>3.7142857142857144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660</v>
      </c>
      <c r="Y119" s="43">
        <f>IFERROR(SUM(Y110:Y118),"0")</f>
        <v>660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10.23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4584</v>
      </c>
      <c r="Y120" s="43">
        <f>IFERROR(SUMPRODUCT(Y110:Y118*H110:H118),"0")</f>
        <v>4584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12</v>
      </c>
      <c r="Y126" s="55">
        <f>IFERROR(IF(X126="","",X126),"")</f>
        <v>12</v>
      </c>
      <c r="Z126" s="41">
        <f>IFERROR(IF(X126="","",X126*0.0155),"")</f>
        <v>0.186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75.36</v>
      </c>
      <c r="BN126" s="81">
        <f>IFERROR(Y126*I126,"0")</f>
        <v>75.36</v>
      </c>
      <c r="BO126" s="81">
        <f>IFERROR(X126/J126,"0")</f>
        <v>0.14285714285714285</v>
      </c>
      <c r="BP126" s="81">
        <f>IFERROR(Y126/J126,"0")</f>
        <v>0.14285714285714285</v>
      </c>
    </row>
    <row r="127" spans="1:68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12</v>
      </c>
      <c r="Y127" s="43">
        <f>IFERROR(SUM(Y126:Y126),"0")</f>
        <v>12</v>
      </c>
      <c r="Z127" s="43">
        <f>IFERROR(IF(Z126="",0,Z126),"0")</f>
        <v>0.186</v>
      </c>
      <c r="AA127" s="67"/>
      <c r="AB127" s="67"/>
      <c r="AC127" s="67"/>
    </row>
    <row r="128" spans="1:68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72</v>
      </c>
      <c r="Y128" s="43">
        <f>IFERROR(SUMPRODUCT(Y126:Y126*H126:H126),"0")</f>
        <v>72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42</v>
      </c>
      <c r="Y131" s="55">
        <f>IFERROR(IF(X131="","",X131),"")</f>
        <v>42</v>
      </c>
      <c r="Z131" s="41">
        <f>IFERROR(IF(X131="","",X131*0.00941),"")</f>
        <v>0.39522000000000002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75.600000000000009</v>
      </c>
      <c r="BN131" s="81">
        <f>IFERROR(Y131*I131,"0")</f>
        <v>75.600000000000009</v>
      </c>
      <c r="BO131" s="81">
        <f>IFERROR(X131/J131,"0")</f>
        <v>0.3</v>
      </c>
      <c r="BP131" s="81">
        <f>IFERROR(Y131/J131,"0")</f>
        <v>0.3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56</v>
      </c>
      <c r="Y132" s="55">
        <f>IFERROR(IF(X132="","",X132),"")</f>
        <v>56</v>
      </c>
      <c r="Z132" s="41">
        <f>IFERROR(IF(X132="","",X132*0.00941),"")</f>
        <v>0.52695999999999998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100.8</v>
      </c>
      <c r="BN132" s="81">
        <f>IFERROR(Y132*I132,"0")</f>
        <v>100.8</v>
      </c>
      <c r="BO132" s="81">
        <f>IFERROR(X132/J132,"0")</f>
        <v>0.4</v>
      </c>
      <c r="BP132" s="81">
        <f>IFERROR(Y132/J132,"0")</f>
        <v>0.4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84</v>
      </c>
      <c r="Y133" s="55">
        <f>IFERROR(IF(X133="","",X133),"")</f>
        <v>84</v>
      </c>
      <c r="Z133" s="41">
        <f>IFERROR(IF(X133="","",X133*0.00941),"")</f>
        <v>0.79044000000000003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146.16</v>
      </c>
      <c r="BN133" s="81">
        <f>IFERROR(Y133*I133,"0")</f>
        <v>146.16</v>
      </c>
      <c r="BO133" s="81">
        <f>IFERROR(X133/J133,"0")</f>
        <v>0.6</v>
      </c>
      <c r="BP133" s="81">
        <f>IFERROR(Y133/J133,"0")</f>
        <v>0.6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98</v>
      </c>
      <c r="Y134" s="55">
        <f>IFERROR(IF(X134="","",X134),"")</f>
        <v>98</v>
      </c>
      <c r="Z134" s="41">
        <f>IFERROR(IF(X134="","",X134*0.00941),"")</f>
        <v>0.92218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176.4</v>
      </c>
      <c r="BN134" s="81">
        <f>IFERROR(Y134*I134,"0")</f>
        <v>176.4</v>
      </c>
      <c r="BO134" s="81">
        <f>IFERROR(X134/J134,"0")</f>
        <v>0.7</v>
      </c>
      <c r="BP134" s="81">
        <f>IFERROR(Y134/J134,"0")</f>
        <v>0.7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280</v>
      </c>
      <c r="Y135" s="43">
        <f>IFERROR(SUM(Y131:Y134),"0")</f>
        <v>280</v>
      </c>
      <c r="Z135" s="43">
        <f>IFERROR(IF(Z131="",0,Z131),"0")+IFERROR(IF(Z132="",0,Z132),"0")+IFERROR(IF(Z133="",0,Z133),"0")+IFERROR(IF(Z134="",0,Z134),"0")</f>
        <v>2.6348000000000003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381.36</v>
      </c>
      <c r="Y136" s="43">
        <f>IFERROR(SUMPRODUCT(Y131:Y134*H131:H134),"0")</f>
        <v>381.36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126</v>
      </c>
      <c r="Y145" s="55">
        <f>IFERROR(IF(X145="","",X145),"")</f>
        <v>126</v>
      </c>
      <c r="Z145" s="41">
        <f>IFERROR(IF(X145="","",X145*0.01788),"")</f>
        <v>2.2528800000000002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466.65359999999998</v>
      </c>
      <c r="BN145" s="81">
        <f>IFERROR(Y145*I145,"0")</f>
        <v>466.65359999999998</v>
      </c>
      <c r="BO145" s="81">
        <f>IFERROR(X145/J145,"0")</f>
        <v>1.8</v>
      </c>
      <c r="BP145" s="81">
        <f>IFERROR(Y145/J145,"0")</f>
        <v>1.8</v>
      </c>
    </row>
    <row r="146" spans="1:68" ht="27" customHeight="1" x14ac:dyDescent="0.25">
      <c r="A146" s="63" t="s">
        <v>252</v>
      </c>
      <c r="B146" s="63" t="s">
        <v>253</v>
      </c>
      <c r="C146" s="36">
        <v>4301135962</v>
      </c>
      <c r="D146" s="295">
        <v>4620207491584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88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254</v>
      </c>
      <c r="AG146" s="81"/>
      <c r="AJ146" s="87" t="s">
        <v>89</v>
      </c>
      <c r="AK146" s="87">
        <v>1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308</v>
      </c>
      <c r="Y147" s="43">
        <f>IFERROR(SUM(Y145:Y146),"0")</f>
        <v>308</v>
      </c>
      <c r="Z147" s="43">
        <f>IFERROR(IF(Z145="",0,Z145),"0")+IFERROR(IF(Z146="",0,Z146),"0")</f>
        <v>5.5070399999999999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924</v>
      </c>
      <c r="Y148" s="43">
        <f>IFERROR(SUMPRODUCT(Y145:Y146*H145:H146),"0")</f>
        <v>924</v>
      </c>
      <c r="Z148" s="42"/>
      <c r="AA148" s="67"/>
      <c r="AB148" s="67"/>
      <c r="AC148" s="67"/>
    </row>
    <row r="149" spans="1:68" ht="16.5" hidden="1" customHeight="1" x14ac:dyDescent="0.25">
      <c r="A149" s="323" t="s">
        <v>255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256</v>
      </c>
      <c r="B151" s="63" t="s">
        <v>257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56</v>
      </c>
      <c r="Y152" s="55">
        <f>IFERROR(IF(X152="","",X152),"")</f>
        <v>56</v>
      </c>
      <c r="Z152" s="41">
        <f>IFERROR(IF(X152="","",X152*0.01788),"")</f>
        <v>1.0012799999999999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207.40159999999997</v>
      </c>
      <c r="BN152" s="81">
        <f>IFERROR(Y152*I152,"0")</f>
        <v>207.40159999999997</v>
      </c>
      <c r="BO152" s="81">
        <f>IFERROR(X152/J152,"0")</f>
        <v>0.8</v>
      </c>
      <c r="BP152" s="81">
        <f>IFERROR(Y152/J152,"0")</f>
        <v>0.8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56</v>
      </c>
      <c r="Y153" s="43">
        <f>IFERROR(SUM(Y151:Y152),"0")</f>
        <v>56</v>
      </c>
      <c r="Z153" s="43">
        <f>IFERROR(IF(Z151="",0,Z151),"0")+IFERROR(IF(Z152="",0,Z152),"0")</f>
        <v>1.0012799999999999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168</v>
      </c>
      <c r="Y154" s="43">
        <f>IFERROR(SUMPRODUCT(Y151:Y152*H151:H152),"0")</f>
        <v>168</v>
      </c>
      <c r="Z154" s="42"/>
      <c r="AA154" s="67"/>
      <c r="AB154" s="67"/>
      <c r="AC154" s="67"/>
    </row>
    <row r="155" spans="1:68" ht="16.5" hidden="1" customHeight="1" x14ac:dyDescent="0.25">
      <c r="A155" s="323" t="s">
        <v>262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251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56</v>
      </c>
      <c r="Y158" s="55">
        <f>IFERROR(IF(X158="","",X158),"")</f>
        <v>56</v>
      </c>
      <c r="Z158" s="41">
        <f>IFERROR(IF(X158="","",X158*0.01788),"")</f>
        <v>1.0012799999999999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150.08000000000001</v>
      </c>
      <c r="BN158" s="81">
        <f>IFERROR(Y158*I158,"0")</f>
        <v>150.08000000000001</v>
      </c>
      <c r="BO158" s="81">
        <f>IFERROR(X158/J158,"0")</f>
        <v>0.8</v>
      </c>
      <c r="BP158" s="81">
        <f>IFERROR(Y158/J158,"0")</f>
        <v>0.8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84</v>
      </c>
      <c r="Y159" s="43">
        <f>IFERROR(SUM(Y157:Y158),"0")</f>
        <v>84</v>
      </c>
      <c r="Z159" s="43">
        <f>IFERROR(IF(Z157="",0,Z157),"0")+IFERROR(IF(Z158="",0,Z158),"0")</f>
        <v>1.5019199999999999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201.60000000000002</v>
      </c>
      <c r="Y160" s="43">
        <f>IFERROR(SUMPRODUCT(Y157:Y158*H157:H158),"0")</f>
        <v>201.60000000000002</v>
      </c>
      <c r="Z160" s="42"/>
      <c r="AA160" s="67"/>
      <c r="AB160" s="67"/>
      <c r="AC160" s="67"/>
    </row>
    <row r="161" spans="1:68" ht="16.5" hidden="1" customHeight="1" x14ac:dyDescent="0.25">
      <c r="A161" s="323" t="s">
        <v>267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270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23" t="s">
        <v>271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274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278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279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48</v>
      </c>
      <c r="Y180" s="55">
        <f>IFERROR(IF(X180="","",X180),"")</f>
        <v>48</v>
      </c>
      <c r="Z180" s="41">
        <f>IFERROR(IF(X180="","",X180*0.00866),"")</f>
        <v>0.41567999999999994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250.23359999999997</v>
      </c>
      <c r="BN180" s="81">
        <f>IFERROR(Y180*I180,"0")</f>
        <v>250.23359999999997</v>
      </c>
      <c r="BO180" s="81">
        <f>IFERROR(X180/J180,"0")</f>
        <v>0.33333333333333331</v>
      </c>
      <c r="BP180" s="81">
        <f>IFERROR(Y180/J180,"0")</f>
        <v>0.33333333333333331</v>
      </c>
    </row>
    <row r="181" spans="1:68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48</v>
      </c>
      <c r="Y181" s="43">
        <f>IFERROR(SUM(Y179:Y180),"0")</f>
        <v>48</v>
      </c>
      <c r="Z181" s="43">
        <f>IFERROR(IF(Z179="",0,Z179),"0")+IFERROR(IF(Z180="",0,Z180),"0")</f>
        <v>0.41567999999999994</v>
      </c>
      <c r="AA181" s="67"/>
      <c r="AB181" s="67"/>
      <c r="AC181" s="67"/>
    </row>
    <row r="182" spans="1:68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240</v>
      </c>
      <c r="Y182" s="43">
        <f>IFERROR(SUMPRODUCT(Y179:Y180*H179:H180),"0")</f>
        <v>240</v>
      </c>
      <c r="Z182" s="42"/>
      <c r="AA182" s="67"/>
      <c r="AB182" s="67"/>
      <c r="AC182" s="67"/>
    </row>
    <row r="183" spans="1:68" ht="16.5" hidden="1" customHeight="1" x14ac:dyDescent="0.25">
      <c r="A183" s="323" t="s">
        <v>286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72</v>
      </c>
      <c r="Y185" s="55">
        <f>IFERROR(IF(X185="","",X185),"")</f>
        <v>72</v>
      </c>
      <c r="Z185" s="41">
        <f>IFERROR(IF(X185="","",X185*0.0155),"")</f>
        <v>1.1160000000000001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378.86399999999998</v>
      </c>
      <c r="BN185" s="81">
        <f>IFERROR(Y185*I185,"0")</f>
        <v>378.86399999999998</v>
      </c>
      <c r="BO185" s="81">
        <f>IFERROR(X185/J185,"0")</f>
        <v>0.8571428571428571</v>
      </c>
      <c r="BP185" s="81">
        <f>IFERROR(Y185/J185,"0")</f>
        <v>0.8571428571428571</v>
      </c>
    </row>
    <row r="186" spans="1:68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72</v>
      </c>
      <c r="Y186" s="43">
        <f>IFERROR(SUM(Y185:Y185),"0")</f>
        <v>72</v>
      </c>
      <c r="Z186" s="43">
        <f>IFERROR(IF(Z185="",0,Z185),"0")</f>
        <v>1.1160000000000001</v>
      </c>
      <c r="AA186" s="67"/>
      <c r="AB186" s="67"/>
      <c r="AC186" s="67"/>
    </row>
    <row r="187" spans="1:68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360</v>
      </c>
      <c r="Y187" s="43">
        <f>IFERROR(SUMPRODUCT(Y185:Y185*H185:H185),"0")</f>
        <v>360</v>
      </c>
      <c r="Z187" s="42"/>
      <c r="AA187" s="67"/>
      <c r="AB187" s="67"/>
      <c r="AC187" s="67"/>
    </row>
    <row r="188" spans="1:68" ht="27.75" hidden="1" customHeight="1" x14ac:dyDescent="0.2">
      <c r="A188" s="322" t="s">
        <v>289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290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210</v>
      </c>
      <c r="Y191" s="55">
        <f>IFERROR(IF(X191="","",X191),"")</f>
        <v>210</v>
      </c>
      <c r="Z191" s="41">
        <f>IFERROR(IF(X191="","",X191*0.01788),"")</f>
        <v>3.7547999999999999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711.48</v>
      </c>
      <c r="BN191" s="81">
        <f>IFERROR(Y191*I191,"0")</f>
        <v>711.48</v>
      </c>
      <c r="BO191" s="81">
        <f>IFERROR(X191/J191,"0")</f>
        <v>3</v>
      </c>
      <c r="BP191" s="81">
        <f>IFERROR(Y191/J191,"0")</f>
        <v>3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182</v>
      </c>
      <c r="Y192" s="55">
        <f>IFERROR(IF(X192="","",X192),"")</f>
        <v>182</v>
      </c>
      <c r="Z192" s="41">
        <f>IFERROR(IF(X192="","",X192*0.01788),"")</f>
        <v>3.2541600000000002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616.61599999999999</v>
      </c>
      <c r="BN192" s="81">
        <f>IFERROR(Y192*I192,"0")</f>
        <v>616.61599999999999</v>
      </c>
      <c r="BO192" s="81">
        <f>IFERROR(X192/J192,"0")</f>
        <v>2.6</v>
      </c>
      <c r="BP192" s="81">
        <f>IFERROR(Y192/J192,"0")</f>
        <v>2.6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182</v>
      </c>
      <c r="Y193" s="55">
        <f>IFERROR(IF(X193="","",X193),"")</f>
        <v>182</v>
      </c>
      <c r="Z193" s="41">
        <f>IFERROR(IF(X193="","",X193*0.01788),"")</f>
        <v>3.2541600000000002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679.952</v>
      </c>
      <c r="BN193" s="81">
        <f>IFERROR(Y193*I193,"0")</f>
        <v>679.952</v>
      </c>
      <c r="BO193" s="81">
        <f>IFERROR(X193/J193,"0")</f>
        <v>2.6</v>
      </c>
      <c r="BP193" s="81">
        <f>IFERROR(Y193/J193,"0")</f>
        <v>2.6</v>
      </c>
    </row>
    <row r="194" spans="1:68" ht="27" hidden="1" customHeight="1" x14ac:dyDescent="0.25">
      <c r="A194" s="63" t="s">
        <v>300</v>
      </c>
      <c r="B194" s="63" t="s">
        <v>301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574</v>
      </c>
      <c r="Y195" s="43">
        <f>IFERROR(SUM(Y191:Y194),"0")</f>
        <v>574</v>
      </c>
      <c r="Z195" s="43">
        <f>IFERROR(IF(Z191="",0,Z191),"0")+IFERROR(IF(Z192="",0,Z192),"0")+IFERROR(IF(Z193="",0,Z193),"0")+IFERROR(IF(Z194="",0,Z194),"0")</f>
        <v>10.263120000000001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1722</v>
      </c>
      <c r="Y196" s="43">
        <f>IFERROR(SUMPRODUCT(Y191:Y194*H191:H194),"0")</f>
        <v>1722</v>
      </c>
      <c r="Z196" s="42"/>
      <c r="AA196" s="67"/>
      <c r="AB196" s="67"/>
      <c r="AC196" s="67"/>
    </row>
    <row r="197" spans="1:68" ht="27.75" hidden="1" customHeight="1" x14ac:dyDescent="0.2">
      <c r="A197" s="322" t="s">
        <v>303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304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42</v>
      </c>
      <c r="Y200" s="55">
        <f>IFERROR(IF(X200="","",X200),"")</f>
        <v>42</v>
      </c>
      <c r="Z200" s="41">
        <f>IFERROR(IF(X200="","",X200*0.01788),"")</f>
        <v>0.75095999999999996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125.16</v>
      </c>
      <c r="BN200" s="81">
        <f>IFERROR(Y200*I200,"0")</f>
        <v>125.16</v>
      </c>
      <c r="BO200" s="81">
        <f>IFERROR(X200/J200,"0")</f>
        <v>0.6</v>
      </c>
      <c r="BP200" s="81">
        <f>IFERROR(Y200/J200,"0")</f>
        <v>0.6</v>
      </c>
    </row>
    <row r="201" spans="1:68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42</v>
      </c>
      <c r="Y201" s="43">
        <f>IFERROR(SUM(Y200:Y200),"0")</f>
        <v>42</v>
      </c>
      <c r="Z201" s="43">
        <f>IFERROR(IF(Z200="",0,Z200),"0")</f>
        <v>0.75095999999999996</v>
      </c>
      <c r="AA201" s="67"/>
      <c r="AB201" s="67"/>
      <c r="AC201" s="67"/>
    </row>
    <row r="202" spans="1:68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115.91999999999999</v>
      </c>
      <c r="Y202" s="43">
        <f>IFERROR(SUMPRODUCT(Y200:Y200*H200:H200),"0")</f>
        <v>115.91999999999999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311</v>
      </c>
      <c r="B205" s="63" t="s">
        <v>312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14</v>
      </c>
      <c r="Y205" s="55">
        <f>IFERROR(IF(X205="","",X205),"")</f>
        <v>14</v>
      </c>
      <c r="Z205" s="41">
        <f>IFERROR(IF(X205="","",X205*0.01788),"")</f>
        <v>0.25031999999999999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43.450400000000002</v>
      </c>
      <c r="BN205" s="81">
        <f>IFERROR(Y205*I205,"0")</f>
        <v>43.450400000000002</v>
      </c>
      <c r="BO205" s="81">
        <f>IFERROR(X205/J205,"0")</f>
        <v>0.2</v>
      </c>
      <c r="BP205" s="81">
        <f>IFERROR(Y205/J205,"0")</f>
        <v>0.2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14</v>
      </c>
      <c r="Y207" s="43">
        <f>IFERROR(SUM(Y204:Y206),"0")</f>
        <v>14</v>
      </c>
      <c r="Z207" s="43">
        <f>IFERROR(IF(Z204="",0,Z204),"0")+IFERROR(IF(Z205="",0,Z205),"0")+IFERROR(IF(Z206="",0,Z206),"0")</f>
        <v>0.25031999999999999</v>
      </c>
      <c r="AA207" s="67"/>
      <c r="AB207" s="67"/>
      <c r="AC207" s="67"/>
    </row>
    <row r="208" spans="1:68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33.6</v>
      </c>
      <c r="Y208" s="43">
        <f>IFERROR(SUMPRODUCT(Y204:Y206*H204:H206),"0")</f>
        <v>33.6</v>
      </c>
      <c r="Z208" s="42"/>
      <c r="AA208" s="67"/>
      <c r="AB208" s="67"/>
      <c r="AC208" s="67"/>
    </row>
    <row r="209" spans="1:68" ht="16.5" hidden="1" customHeight="1" x14ac:dyDescent="0.25">
      <c r="A209" s="323" t="s">
        <v>317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324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24</v>
      </c>
      <c r="Y217" s="55">
        <f>IFERROR(IF(X217="","",X217),"")</f>
        <v>24</v>
      </c>
      <c r="Z217" s="41">
        <f>IFERROR(IF(X217="","",X217*0.0155),"")</f>
        <v>0.372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125.52000000000001</v>
      </c>
      <c r="BN217" s="81">
        <f>IFERROR(Y217*I217,"0")</f>
        <v>125.52000000000001</v>
      </c>
      <c r="BO217" s="81">
        <f>IFERROR(X217/J217,"0")</f>
        <v>0.2857142857142857</v>
      </c>
      <c r="BP217" s="81">
        <f>IFERROR(Y217/J217,"0")</f>
        <v>0.2857142857142857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24</v>
      </c>
      <c r="Y218" s="43">
        <f>IFERROR(SUM(Y217:Y217),"0")</f>
        <v>24</v>
      </c>
      <c r="Z218" s="43">
        <f>IFERROR(IF(Z217="",0,Z217),"0")</f>
        <v>0.372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120</v>
      </c>
      <c r="Y219" s="43">
        <f>IFERROR(SUMPRODUCT(Y217:Y217*H217:H217),"0")</f>
        <v>120</v>
      </c>
      <c r="Z219" s="42"/>
      <c r="AA219" s="67"/>
      <c r="AB219" s="67"/>
      <c r="AC219" s="67"/>
    </row>
    <row r="220" spans="1:68" ht="16.5" hidden="1" customHeight="1" x14ac:dyDescent="0.25">
      <c r="A220" s="323" t="s">
        <v>328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332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333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337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338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339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345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345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352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352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356</v>
      </c>
      <c r="B256" s="63" t="s">
        <v>358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359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customHeight="1" x14ac:dyDescent="0.25">
      <c r="A260" s="63" t="s">
        <v>360</v>
      </c>
      <c r="B260" s="63" t="s">
        <v>361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96</v>
      </c>
      <c r="Y260" s="55">
        <f>IFERROR(IF(X260="","",X260),"")</f>
        <v>96</v>
      </c>
      <c r="Z260" s="41">
        <f>IFERROR(IF(X260="","",X260*0.0155),"")</f>
        <v>1.488</v>
      </c>
      <c r="AA260" s="68" t="s">
        <v>46</v>
      </c>
      <c r="AB260" s="69" t="s">
        <v>46</v>
      </c>
      <c r="AC260" s="263" t="s">
        <v>362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600.96</v>
      </c>
      <c r="BN260" s="81">
        <f>IFERROR(Y260*I260,"0")</f>
        <v>600.96</v>
      </c>
      <c r="BO260" s="81">
        <f>IFERROR(X260/J260,"0")</f>
        <v>1.1428571428571428</v>
      </c>
      <c r="BP260" s="81">
        <f>IFERROR(Y260/J260,"0")</f>
        <v>1.1428571428571428</v>
      </c>
    </row>
    <row r="261" spans="1:68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96</v>
      </c>
      <c r="Y261" s="43">
        <f>IFERROR(SUM(Y260:Y260),"0")</f>
        <v>96</v>
      </c>
      <c r="Z261" s="43">
        <f>IFERROR(IF(Z260="",0,Z260),"0")</f>
        <v>1.488</v>
      </c>
      <c r="AA261" s="67"/>
      <c r="AB261" s="67"/>
      <c r="AC261" s="67"/>
    </row>
    <row r="262" spans="1:68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576</v>
      </c>
      <c r="Y262" s="43">
        <f>IFERROR(SUMPRODUCT(Y260:Y260*H260:H260),"0")</f>
        <v>576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363</v>
      </c>
      <c r="B264" s="63" t="s">
        <v>364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365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108</v>
      </c>
      <c r="Y265" s="55">
        <f>IFERROR(IF(X265="","",X265),"")</f>
        <v>108</v>
      </c>
      <c r="Z265" s="41">
        <f>IFERROR(IF(X265="","",X265*0.0155),"")</f>
        <v>1.6739999999999999</v>
      </c>
      <c r="AA265" s="68" t="s">
        <v>46</v>
      </c>
      <c r="AB265" s="69" t="s">
        <v>46</v>
      </c>
      <c r="AC265" s="267" t="s">
        <v>365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565.38</v>
      </c>
      <c r="BN265" s="81">
        <f>IFERROR(Y265*I265,"0")</f>
        <v>565.38</v>
      </c>
      <c r="BO265" s="81">
        <f>IFERROR(X265/J265,"0")</f>
        <v>1.2857142857142858</v>
      </c>
      <c r="BP265" s="81">
        <f>IFERROR(Y265/J265,"0")</f>
        <v>1.2857142857142858</v>
      </c>
    </row>
    <row r="266" spans="1:68" ht="27" customHeight="1" x14ac:dyDescent="0.25">
      <c r="A266" s="63" t="s">
        <v>368</v>
      </c>
      <c r="B266" s="63" t="s">
        <v>369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28</v>
      </c>
      <c r="Y266" s="55">
        <f>IFERROR(IF(X266="","",X266),"")</f>
        <v>28</v>
      </c>
      <c r="Z266" s="41">
        <f>IFERROR(IF(X266="","",X266*0.00936),"")</f>
        <v>0.26207999999999998</v>
      </c>
      <c r="AA266" s="68" t="s">
        <v>46</v>
      </c>
      <c r="AB266" s="69" t="s">
        <v>46</v>
      </c>
      <c r="AC266" s="269" t="s">
        <v>365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68.096000000000004</v>
      </c>
      <c r="BN266" s="81">
        <f>IFERROR(Y266*I266,"0")</f>
        <v>68.096000000000004</v>
      </c>
      <c r="BO266" s="81">
        <f>IFERROR(X266/J266,"0")</f>
        <v>0.22222222222222221</v>
      </c>
      <c r="BP266" s="81">
        <f>IFERROR(Y266/J266,"0")</f>
        <v>0.22222222222222221</v>
      </c>
    </row>
    <row r="267" spans="1:68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136</v>
      </c>
      <c r="Y267" s="43">
        <f>IFERROR(SUM(Y264:Y266),"0")</f>
        <v>136</v>
      </c>
      <c r="Z267" s="43">
        <f>IFERROR(IF(Z264="",0,Z264),"0")+IFERROR(IF(Z265="",0,Z265),"0")+IFERROR(IF(Z266="",0,Z266),"0")</f>
        <v>1.93608</v>
      </c>
      <c r="AA267" s="67"/>
      <c r="AB267" s="67"/>
      <c r="AC267" s="67"/>
    </row>
    <row r="268" spans="1:68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602.72</v>
      </c>
      <c r="Y268" s="43">
        <f>IFERROR(SUMPRODUCT(Y264:Y266*H264:H266),"0")</f>
        <v>602.72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370</v>
      </c>
      <c r="B270" s="63" t="s">
        <v>371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373</v>
      </c>
      <c r="B271" s="63" t="s">
        <v>374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375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376</v>
      </c>
      <c r="B272" s="63" t="s">
        <v>377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378</v>
      </c>
      <c r="B273" s="63" t="s">
        <v>379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42</v>
      </c>
      <c r="Y273" s="55">
        <f t="shared" si="18"/>
        <v>42</v>
      </c>
      <c r="Z273" s="41">
        <f t="shared" ref="Z273:Z278" si="23">IFERROR(IF(X273="","",X273*0.00936),"")</f>
        <v>0.39312000000000002</v>
      </c>
      <c r="AA273" s="68" t="s">
        <v>46</v>
      </c>
      <c r="AB273" s="69" t="s">
        <v>46</v>
      </c>
      <c r="AC273" s="277" t="s">
        <v>375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134.06400000000002</v>
      </c>
      <c r="BN273" s="81">
        <f t="shared" si="20"/>
        <v>134.06400000000002</v>
      </c>
      <c r="BO273" s="81">
        <f t="shared" si="21"/>
        <v>0.33333333333333331</v>
      </c>
      <c r="BP273" s="81">
        <f t="shared" si="22"/>
        <v>0.33333333333333331</v>
      </c>
    </row>
    <row r="274" spans="1:68" ht="27" hidden="1" customHeight="1" x14ac:dyDescent="0.25">
      <c r="A274" s="63" t="s">
        <v>380</v>
      </c>
      <c r="B274" s="63" t="s">
        <v>381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384</v>
      </c>
      <c r="B276" s="63" t="s">
        <v>385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375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390</v>
      </c>
      <c r="B279" s="63" t="s">
        <v>391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372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42</v>
      </c>
      <c r="Y280" s="43">
        <f>IFERROR(SUM(Y270:Y279),"0")</f>
        <v>42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0.39312000000000002</v>
      </c>
      <c r="AA280" s="67"/>
      <c r="AB280" s="67"/>
      <c r="AC280" s="67"/>
    </row>
    <row r="281" spans="1:68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126</v>
      </c>
      <c r="Y281" s="43">
        <f>IFERROR(SUMPRODUCT(Y270:Y279*H270:H279),"0")</f>
        <v>126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15423.2</v>
      </c>
      <c r="Y282" s="43">
        <f>IFERROR(Y31+Y37+Y44+Y50+Y58+Y63+Y68+Y74+Y80+Y85+Y91+Y101+Y107+Y120+Y124+Y128+Y136+Y142+Y148+Y154+Y160+Y165+Y170+Y175+Y182+Y187+Y196+Y202+Y208+Y214+Y219+Y224+Y230+Y236+Y240+Y246+Y250+Y258+Y262+Y268+Y281,"0")</f>
        <v>15423.2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16861.446399999997</v>
      </c>
      <c r="Y283" s="43">
        <f>IFERROR(SUM(BN22:BN279),"0")</f>
        <v>16861.446399999997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42</v>
      </c>
      <c r="Y284" s="44">
        <f>ROUNDUP(SUM(BP22:BP279),0)</f>
        <v>42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17911.446399999997</v>
      </c>
      <c r="Y285" s="43">
        <f>GrossWeightTotalR+PalletQtyTotalR*25</f>
        <v>17911.446399999997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3532</v>
      </c>
      <c r="Y286" s="43">
        <f>IFERROR(Y30+Y36+Y43+Y49+Y57+Y62+Y67+Y73+Y79+Y84+Y90+Y100+Y106+Y119+Y123+Y127+Y135+Y141+Y147+Y153+Y159+Y164+Y169+Y174+Y181+Y186+Y195+Y201+Y207+Y213+Y218+Y223+Y229+Y235+Y239+Y245+Y249+Y257+Y261+Y267+Y280,"0")</f>
        <v>3532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53.424560000000007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278</v>
      </c>
      <c r="W289" s="291" t="s">
        <v>278</v>
      </c>
      <c r="X289" s="88" t="s">
        <v>289</v>
      </c>
      <c r="Y289" s="291" t="s">
        <v>303</v>
      </c>
      <c r="Z289" s="291" t="s">
        <v>303</v>
      </c>
      <c r="AA289" s="291" t="s">
        <v>303</v>
      </c>
      <c r="AB289" s="291" t="s">
        <v>303</v>
      </c>
      <c r="AC289" s="88" t="s">
        <v>332</v>
      </c>
      <c r="AD289" s="88" t="s">
        <v>337</v>
      </c>
      <c r="AE289" s="88" t="s">
        <v>345</v>
      </c>
      <c r="AF289" s="88" t="s">
        <v>352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255</v>
      </c>
      <c r="R290" s="291" t="s">
        <v>262</v>
      </c>
      <c r="S290" s="291" t="s">
        <v>267</v>
      </c>
      <c r="T290" s="291" t="s">
        <v>271</v>
      </c>
      <c r="U290" s="291" t="s">
        <v>274</v>
      </c>
      <c r="V290" s="291" t="s">
        <v>279</v>
      </c>
      <c r="W290" s="291" t="s">
        <v>286</v>
      </c>
      <c r="X290" s="291" t="s">
        <v>290</v>
      </c>
      <c r="Y290" s="291" t="s">
        <v>304</v>
      </c>
      <c r="Z290" s="291" t="s">
        <v>317</v>
      </c>
      <c r="AA290" s="291" t="s">
        <v>324</v>
      </c>
      <c r="AB290" s="291" t="s">
        <v>328</v>
      </c>
      <c r="AC290" s="291" t="s">
        <v>333</v>
      </c>
      <c r="AD290" s="291" t="s">
        <v>338</v>
      </c>
      <c r="AE290" s="291" t="s">
        <v>345</v>
      </c>
      <c r="AF290" s="291" t="s">
        <v>352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163.20000000000002</v>
      </c>
      <c r="C292" s="52">
        <f>IFERROR(X34*H34,"0")+IFERROR(X35*H35,"0")</f>
        <v>76.800000000000011</v>
      </c>
      <c r="D292" s="52">
        <f>IFERROR(X41*H41,"0")+IFERROR(X42*H42,"0")</f>
        <v>252</v>
      </c>
      <c r="E292" s="52">
        <f>IFERROR(X47*H47,"0")+IFERROR(X48*H48,"0")</f>
        <v>134.39999999999998</v>
      </c>
      <c r="F292" s="52">
        <f>IFERROR(X53*H53,"0")+IFERROR(X54*H54,"0")+IFERROR(X55*H55,"0")+IFERROR(X56*H56,"0")</f>
        <v>2932.8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780</v>
      </c>
      <c r="I292" s="52">
        <f>IFERROR(X83*H83,"0")</f>
        <v>100.8</v>
      </c>
      <c r="J292" s="52">
        <f>IFERROR(X88*H88,"0")+IFERROR(X89*H89,"0")</f>
        <v>50.4</v>
      </c>
      <c r="K292" s="52">
        <f>IFERROR(X94*H94,"0")+IFERROR(X95*H95,"0")+IFERROR(X96*H96,"0")+IFERROR(X97*H97,"0")+IFERROR(X98*H98,"0")+IFERROR(X99*H99,"0")</f>
        <v>663.59999999999991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4656</v>
      </c>
      <c r="N292" s="1"/>
      <c r="O292" s="52">
        <f>IFERROR(X131*H131,"0")+IFERROR(X132*H132,"0")+IFERROR(X133*H133,"0")+IFERROR(X134*H134,"0")+IFERROR(X138*H138,"0")+IFERROR(X139*H139,"0")+IFERROR(X140*H140,"0")</f>
        <v>381.36</v>
      </c>
      <c r="P292" s="52">
        <f>IFERROR(X145*H145,"0")+IFERROR(X146*H146,"0")</f>
        <v>924</v>
      </c>
      <c r="Q292" s="52">
        <f>IFERROR(X151*H151,"0")+IFERROR(X152*H152,"0")</f>
        <v>168</v>
      </c>
      <c r="R292" s="52">
        <f>IFERROR(X157*H157,"0")+IFERROR(X158*H158,"0")</f>
        <v>201.60000000000002</v>
      </c>
      <c r="S292" s="52">
        <f>IFERROR(X163*H163,"0")</f>
        <v>42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240</v>
      </c>
      <c r="W292" s="52">
        <f>IFERROR(X185*H185,"0")</f>
        <v>360</v>
      </c>
      <c r="X292" s="52">
        <f>IFERROR(X191*H191,"0")+IFERROR(X192*H192,"0")+IFERROR(X193*H193,"0")+IFERROR(X194*H194,"0")</f>
        <v>1722</v>
      </c>
      <c r="Y292" s="52">
        <f>IFERROR(X200*H200,"0")+IFERROR(X204*H204,"0")+IFERROR(X205*H205,"0")+IFERROR(X206*H206,"0")</f>
        <v>149.51999999999998</v>
      </c>
      <c r="Z292" s="52">
        <f>IFERROR(X211*H211,"0")+IFERROR(X212*H212,"0")</f>
        <v>0</v>
      </c>
      <c r="AA292" s="52">
        <f>IFERROR(X217*H217,"0")</f>
        <v>120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1304.72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9391.2000000000007</v>
      </c>
      <c r="B295" s="72">
        <f>SUMPRODUCT(--(BB:BB="ПГП"),--(W:W="кор"),H:H,Y:Y)+SUMPRODUCT(--(BB:BB="ПГП"),--(W:W="кг"),Y:Y)</f>
        <v>6032.0000000000009</v>
      </c>
      <c r="C295" s="72">
        <f>SUMPRODUCT(--(BB:BB="КИЗ"),--(W:W="кор"),H:H,Y:Y)+SUMPRODUCT(--(BB:BB="КИЗ"),--(W:W="кг"),Y:Y)</f>
        <v>0</v>
      </c>
    </row>
  </sheetData>
  <sheetProtection algorithmName="SHA-512" hashValue="woh/O9CUPdA5hh0HXW+8RDRPAChnXzJ9LIBxMxgLG3UuXdyCrcsjjbtpLkJNC0DfE94C3XdRZBjti65bmOCuaQ==" saltValue="Bv9XhGY0Uv5R+FGjObWbRA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22,00"/>
        <filter val="100,80"/>
        <filter val="108,00"/>
        <filter val="112,00"/>
        <filter val="115,92"/>
        <filter val="12,00"/>
        <filter val="120,00"/>
        <filter val="126,00"/>
        <filter val="134,40"/>
        <filter val="136,00"/>
        <filter val="14,00"/>
        <filter val="15 423,20"/>
        <filter val="156,00"/>
        <filter val="16 861,45"/>
        <filter val="163,20"/>
        <filter val="168,00"/>
        <filter val="17 911,45"/>
        <filter val="182,00"/>
        <filter val="2 932,80"/>
        <filter val="201,60"/>
        <filter val="210,00"/>
        <filter val="216,00"/>
        <filter val="224,00"/>
        <filter val="24,00"/>
        <filter val="240,00"/>
        <filter val="252,00"/>
        <filter val="28,00"/>
        <filter val="280,00"/>
        <filter val="3 532,00"/>
        <filter val="308,00"/>
        <filter val="312,00"/>
        <filter val="33,60"/>
        <filter val="36,00"/>
        <filter val="360,00"/>
        <filter val="381,36"/>
        <filter val="4 584,00"/>
        <filter val="42"/>
        <filter val="42,00"/>
        <filter val="420,00"/>
        <filter val="48,00"/>
        <filter val="50,40"/>
        <filter val="56,00"/>
        <filter val="574,00"/>
        <filter val="576,00"/>
        <filter val="602,72"/>
        <filter val="660,00"/>
        <filter val="663,60"/>
        <filter val="72,00"/>
        <filter val="76,80"/>
        <filter val="780,00"/>
        <filter val="84,00"/>
        <filter val="924,00"/>
        <filter val="96,0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9 X270 X254:X256 X248 X244 X238 X234 X228 X222 X211:X212 X204 X194 X185 X173 X163 X157 X151:X152 X146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1:X274 X264:X266 X260 X217 X205:X206 X200 X191:X193 X179:X180 X168 X158 X145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392</v>
      </c>
      <c r="H1" s="9"/>
    </row>
    <row r="3" spans="2:8" x14ac:dyDescent="0.2">
      <c r="B3" s="53" t="s">
        <v>393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395</v>
      </c>
      <c r="D6" s="53" t="s">
        <v>396</v>
      </c>
      <c r="E6" s="53" t="s">
        <v>46</v>
      </c>
    </row>
    <row r="8" spans="2:8" x14ac:dyDescent="0.2">
      <c r="B8" s="53" t="s">
        <v>80</v>
      </c>
      <c r="C8" s="53" t="s">
        <v>395</v>
      </c>
      <c r="D8" s="53" t="s">
        <v>46</v>
      </c>
      <c r="E8" s="53" t="s">
        <v>46</v>
      </c>
    </row>
    <row r="10" spans="2:8" x14ac:dyDescent="0.2">
      <c r="B10" s="53" t="s">
        <v>397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</sheetData>
  <sheetProtection algorithmName="SHA-512" hashValue="FUqR/SWITw/uEAEmYF/LoA4GMj4wHEy790IUkNKi5lHkpqI6s8bbZM8HM9feXHydgt+RkTlPo7sPFEynfDioAA==" saltValue="ZV1wWIcY4RDLDOenLEPt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