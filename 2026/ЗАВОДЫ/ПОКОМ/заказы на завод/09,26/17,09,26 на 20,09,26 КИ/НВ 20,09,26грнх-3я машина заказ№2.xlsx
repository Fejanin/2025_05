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F18DAD-80C7-46DB-9C44-A2CDBD2AD7E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P515" i="2"/>
  <c r="BO514" i="2"/>
  <c r="BM514" i="2"/>
  <c r="Y514" i="2"/>
  <c r="P514" i="2"/>
  <c r="X512" i="2"/>
  <c r="X511" i="2"/>
  <c r="BO510" i="2"/>
  <c r="BM510" i="2"/>
  <c r="Y510" i="2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Y406" i="2" s="1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Y393" i="2" s="1"/>
  <c r="P389" i="2"/>
  <c r="X387" i="2"/>
  <c r="X386" i="2"/>
  <c r="BO385" i="2"/>
  <c r="BM385" i="2"/>
  <c r="Y385" i="2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P38" i="2"/>
  <c r="BO37" i="2"/>
  <c r="BM37" i="2"/>
  <c r="Y37" i="2"/>
  <c r="C568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Y369" i="2" l="1"/>
  <c r="X558" i="2"/>
  <c r="F568" i="2"/>
  <c r="G568" i="2"/>
  <c r="X559" i="2"/>
  <c r="Y546" i="2"/>
  <c r="Z544" i="2"/>
  <c r="Z545" i="2" s="1"/>
  <c r="BP540" i="2"/>
  <c r="Y541" i="2"/>
  <c r="BP520" i="2"/>
  <c r="Z520" i="2"/>
  <c r="Z522" i="2"/>
  <c r="BN522" i="2"/>
  <c r="Z514" i="2"/>
  <c r="Y517" i="2"/>
  <c r="BN514" i="2"/>
  <c r="BP515" i="2"/>
  <c r="BN515" i="2"/>
  <c r="BP516" i="2"/>
  <c r="Z516" i="2"/>
  <c r="Z504" i="2"/>
  <c r="BN504" i="2"/>
  <c r="BP510" i="2"/>
  <c r="BN510" i="2"/>
  <c r="BP494" i="2"/>
  <c r="BN494" i="2"/>
  <c r="Y497" i="2"/>
  <c r="Y486" i="2"/>
  <c r="BP484" i="2"/>
  <c r="Z484" i="2"/>
  <c r="BP485" i="2"/>
  <c r="Z485" i="2"/>
  <c r="BN476" i="2"/>
  <c r="BP476" i="2"/>
  <c r="BP477" i="2"/>
  <c r="BN477" i="2"/>
  <c r="Z477" i="2"/>
  <c r="BP478" i="2"/>
  <c r="BN478" i="2"/>
  <c r="Z479" i="2"/>
  <c r="BN479" i="2"/>
  <c r="Z467" i="2"/>
  <c r="Y470" i="2"/>
  <c r="BN467" i="2"/>
  <c r="BP469" i="2"/>
  <c r="BN469" i="2"/>
  <c r="Z469" i="2"/>
  <c r="BN459" i="2"/>
  <c r="BP459" i="2"/>
  <c r="Z459" i="2"/>
  <c r="BP430" i="2"/>
  <c r="BN430" i="2"/>
  <c r="BN431" i="2"/>
  <c r="Z431" i="2"/>
  <c r="BN434" i="2"/>
  <c r="Z434" i="2"/>
  <c r="BN436" i="2"/>
  <c r="BP436" i="2"/>
  <c r="Z436" i="2"/>
  <c r="BN422" i="2"/>
  <c r="Z422" i="2"/>
  <c r="Z408" i="2"/>
  <c r="BN408" i="2"/>
  <c r="BP410" i="2"/>
  <c r="BN410" i="2"/>
  <c r="Z403" i="2"/>
  <c r="BN403" i="2"/>
  <c r="BN395" i="2"/>
  <c r="Z395" i="2"/>
  <c r="BN398" i="2"/>
  <c r="Z398" i="2"/>
  <c r="BN390" i="2"/>
  <c r="BP390" i="2"/>
  <c r="Z390" i="2"/>
  <c r="BP391" i="2"/>
  <c r="BN391" i="2"/>
  <c r="BP384" i="2"/>
  <c r="BN384" i="2"/>
  <c r="Z384" i="2"/>
  <c r="BP385" i="2"/>
  <c r="BN385" i="2"/>
  <c r="BP374" i="2"/>
  <c r="BN374" i="2"/>
  <c r="Z374" i="2"/>
  <c r="BP375" i="2"/>
  <c r="BN375" i="2"/>
  <c r="Z376" i="2"/>
  <c r="BN376" i="2"/>
  <c r="BP367" i="2"/>
  <c r="BN367" i="2"/>
  <c r="BP368" i="2"/>
  <c r="Z368" i="2"/>
  <c r="BP350" i="2"/>
  <c r="Y352" i="2"/>
  <c r="BN350" i="2"/>
  <c r="BN351" i="2"/>
  <c r="Z351" i="2"/>
  <c r="BP343" i="2"/>
  <c r="Z343" i="2"/>
  <c r="BN345" i="2"/>
  <c r="Z345" i="2"/>
  <c r="Q568" i="2"/>
  <c r="Y339" i="2"/>
  <c r="BP335" i="2"/>
  <c r="Z335" i="2"/>
  <c r="BP337" i="2"/>
  <c r="Z337" i="2"/>
  <c r="BP329" i="2"/>
  <c r="BN329" i="2"/>
  <c r="Z330" i="2"/>
  <c r="BN330" i="2"/>
  <c r="Z319" i="2"/>
  <c r="BN319" i="2"/>
  <c r="Y317" i="2"/>
  <c r="BN315" i="2"/>
  <c r="Y312" i="2"/>
  <c r="Y313" i="2"/>
  <c r="BP311" i="2"/>
  <c r="Z311" i="2"/>
  <c r="Z312" i="2" s="1"/>
  <c r="BP302" i="2"/>
  <c r="BN302" i="2"/>
  <c r="BP306" i="2"/>
  <c r="BN306" i="2"/>
  <c r="Z307" i="2"/>
  <c r="BN307" i="2"/>
  <c r="BP295" i="2"/>
  <c r="Y298" i="2"/>
  <c r="Z296" i="2"/>
  <c r="BN296" i="2"/>
  <c r="BP281" i="2"/>
  <c r="BN281" i="2"/>
  <c r="Z281" i="2"/>
  <c r="BP284" i="2"/>
  <c r="BN284" i="2"/>
  <c r="Z284" i="2"/>
  <c r="BP285" i="2"/>
  <c r="BN285" i="2"/>
  <c r="Z286" i="2"/>
  <c r="BN286" i="2"/>
  <c r="BP288" i="2"/>
  <c r="Z288" i="2"/>
  <c r="Z291" i="2"/>
  <c r="BN291" i="2"/>
  <c r="BN269" i="2"/>
  <c r="BP269" i="2"/>
  <c r="BP271" i="2"/>
  <c r="BN271" i="2"/>
  <c r="Z271" i="2"/>
  <c r="BP274" i="2"/>
  <c r="BN274" i="2"/>
  <c r="Z274" i="2"/>
  <c r="Y266" i="2"/>
  <c r="BP264" i="2"/>
  <c r="BN264" i="2"/>
  <c r="Z264" i="2"/>
  <c r="BP265" i="2"/>
  <c r="BN265" i="2"/>
  <c r="BP248" i="2"/>
  <c r="BN248" i="2"/>
  <c r="Z248" i="2"/>
  <c r="BP237" i="2"/>
  <c r="BN237" i="2"/>
  <c r="Z237" i="2"/>
  <c r="BP239" i="2"/>
  <c r="BN239" i="2"/>
  <c r="Z239" i="2"/>
  <c r="BN240" i="2"/>
  <c r="BP240" i="2"/>
  <c r="Z243" i="2"/>
  <c r="BN243" i="2"/>
  <c r="BP221" i="2"/>
  <c r="Z221" i="2"/>
  <c r="BN222" i="2"/>
  <c r="Z222" i="2"/>
  <c r="Z223" i="2"/>
  <c r="BP223" i="2"/>
  <c r="BP228" i="2"/>
  <c r="BN228" i="2"/>
  <c r="Z228" i="2"/>
  <c r="BP231" i="2"/>
  <c r="BN231" i="2"/>
  <c r="Z231" i="2"/>
  <c r="BP207" i="2"/>
  <c r="BN207" i="2"/>
  <c r="Z207" i="2"/>
  <c r="BN197" i="2"/>
  <c r="Y199" i="2"/>
  <c r="BP197" i="2"/>
  <c r="BN177" i="2"/>
  <c r="Z177" i="2"/>
  <c r="Z178" i="2"/>
  <c r="BP178" i="2"/>
  <c r="BN181" i="2"/>
  <c r="Z181" i="2"/>
  <c r="BP182" i="2"/>
  <c r="BN182" i="2"/>
  <c r="BP156" i="2"/>
  <c r="Y158" i="2"/>
  <c r="BN156" i="2"/>
  <c r="BN147" i="2"/>
  <c r="Y154" i="2"/>
  <c r="BP149" i="2"/>
  <c r="BN149" i="2"/>
  <c r="BP142" i="2"/>
  <c r="BN142" i="2"/>
  <c r="BN136" i="2"/>
  <c r="Y139" i="2"/>
  <c r="Z136" i="2"/>
  <c r="Y134" i="2"/>
  <c r="BN131" i="2"/>
  <c r="Y128" i="2"/>
  <c r="Y127" i="2"/>
  <c r="BN126" i="2"/>
  <c r="Z111" i="2"/>
  <c r="BP111" i="2"/>
  <c r="BN113" i="2"/>
  <c r="Z113" i="2"/>
  <c r="BN115" i="2"/>
  <c r="BP115" i="2"/>
  <c r="Z115" i="2"/>
  <c r="BP104" i="2"/>
  <c r="BN104" i="2"/>
  <c r="Z104" i="2"/>
  <c r="BP105" i="2"/>
  <c r="BN105" i="2"/>
  <c r="BP94" i="2"/>
  <c r="BN94" i="2"/>
  <c r="Z94" i="2"/>
  <c r="BP95" i="2"/>
  <c r="BN95" i="2"/>
  <c r="Z87" i="2"/>
  <c r="BN87" i="2"/>
  <c r="BP89" i="2"/>
  <c r="BN89" i="2"/>
  <c r="Z72" i="2"/>
  <c r="BN72" i="2"/>
  <c r="BN65" i="2"/>
  <c r="Z65" i="2"/>
  <c r="BP66" i="2"/>
  <c r="BN66" i="2"/>
  <c r="BN55" i="2"/>
  <c r="Z55" i="2"/>
  <c r="BP56" i="2"/>
  <c r="BN56" i="2"/>
  <c r="BN60" i="2"/>
  <c r="BP60" i="2"/>
  <c r="Z60" i="2"/>
  <c r="BP61" i="2"/>
  <c r="BN61" i="2"/>
  <c r="Z61" i="2"/>
  <c r="BN49" i="2"/>
  <c r="BP49" i="2"/>
  <c r="Z49" i="2"/>
  <c r="BP50" i="2"/>
  <c r="BN50" i="2"/>
  <c r="Z50" i="2"/>
  <c r="BN38" i="2"/>
  <c r="BP38" i="2"/>
  <c r="Z38" i="2"/>
  <c r="BP39" i="2"/>
  <c r="BN39" i="2"/>
  <c r="Z39" i="2"/>
  <c r="BP27" i="2"/>
  <c r="BN27" i="2"/>
  <c r="Z27" i="2"/>
  <c r="Z29" i="2"/>
  <c r="BN29" i="2"/>
  <c r="BP31" i="2"/>
  <c r="BN3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X561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Z69" i="2" s="1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99" i="2" l="1"/>
  <c r="Z266" i="2"/>
  <c r="Z338" i="2"/>
  <c r="Z91" i="2"/>
  <c r="Z437" i="2"/>
  <c r="Z481" i="2"/>
  <c r="Z62" i="2"/>
  <c r="Z42" i="2"/>
  <c r="Z405" i="2"/>
  <c r="Z190" i="2"/>
  <c r="Z51" i="2"/>
  <c r="Z517" i="2"/>
  <c r="Z470" i="2"/>
  <c r="Z322" i="2"/>
  <c r="Z443" i="2"/>
  <c r="Z98" i="2"/>
  <c r="Z164" i="2"/>
  <c r="Z138" i="2"/>
  <c r="Z497" i="2"/>
  <c r="Z486" i="2"/>
  <c r="Z454" i="2"/>
  <c r="Z210" i="2"/>
  <c r="Y562" i="2"/>
  <c r="Z75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<sst xmlns="http://schemas.openxmlformats.org/spreadsheetml/2006/main" count="4315" uniqueCount="916">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</sst>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Z13" sqref="Z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46285</v>
      </c>
      <c r="R5" s="992"/>
      <c r="T5" s="993" t="s">
        <v>3</v>
      </c>
      <c r="U5" s="994"/>
      <c r="V5" s="995" t="s">
        <v>875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891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Воскресенье</v>
      </c>
      <c r="R6" s="998"/>
      <c r="T6" s="999" t="s">
        <v>5</v>
      </c>
      <c r="U6" s="1000"/>
      <c r="V6" s="1001" t="s">
        <v>70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6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58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0.45833333333333331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71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55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72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73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74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75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61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59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66</v>
      </c>
      <c r="L17" s="944" t="s">
        <v>64</v>
      </c>
      <c r="M17" s="944" t="s">
        <v>2</v>
      </c>
      <c r="N17" s="944" t="s">
        <v>63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56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60</v>
      </c>
      <c r="AB17" s="950" t="s">
        <v>19</v>
      </c>
      <c r="AC17" s="950" t="s">
        <v>65</v>
      </c>
      <c r="AD17" s="952" t="s">
        <v>57</v>
      </c>
      <c r="AE17" s="953"/>
      <c r="AF17" s="954"/>
      <c r="AG17" s="77"/>
      <c r="BD17" s="76" t="s">
        <v>62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76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104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120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121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604.79999999999995</v>
      </c>
      <c r="Y47" s="53">
        <f>IFERROR(IF(X47="",0,CEILING((X47/$H47),1)*$H47),"")</f>
        <v>604.80000000000007</v>
      </c>
      <c r="Z47" s="39">
        <f>IFERROR(IF(Y47=0,"",ROUNDUP(Y47/H47,0)*0.01898),"")</f>
        <v>1.06288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627.76</v>
      </c>
      <c r="BN47" s="75">
        <f>IFERROR(Y47*I47/H47,"0")</f>
        <v>627.76</v>
      </c>
      <c r="BO47" s="75">
        <f>IFERROR(1/J47*(X47/H47),"0")</f>
        <v>0.87499999999999989</v>
      </c>
      <c r="BP47" s="75">
        <f>IFERROR(1/J47*(Y47/H47),"0")</f>
        <v>0.875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55.999999999999993</v>
      </c>
      <c r="Y51" s="41">
        <f>IFERROR(Y47/H47,"0")+IFERROR(Y48/H48,"0")+IFERROR(Y49/H49,"0")+IFERROR(Y50/H50,"0")</f>
        <v>56</v>
      </c>
      <c r="Z51" s="41">
        <f>IFERROR(IF(Z47="",0,Z47),"0")+IFERROR(IF(Z48="",0,Z48),"0")+IFERROR(IF(Z49="",0,Z49),"0")+IFERROR(IF(Z50="",0,Z50),"0")</f>
        <v>1.06288</v>
      </c>
      <c r="AA51" s="64"/>
      <c r="AB51" s="64"/>
      <c r="AC51" s="64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604.79999999999995</v>
      </c>
      <c r="Y52" s="41">
        <f>IFERROR(SUM(Y47:Y50),"0")</f>
        <v>604.80000000000007</v>
      </c>
      <c r="Z52" s="40"/>
      <c r="AA52" s="64"/>
      <c r="AB52" s="64"/>
      <c r="AC52" s="64"/>
    </row>
    <row r="53" spans="1:68" ht="16.5" hidden="1" customHeight="1" x14ac:dyDescent="0.25">
      <c r="A53" s="666" t="s">
        <v>137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268.8</v>
      </c>
      <c r="Y55" s="53">
        <f t="shared" ref="Y55:Y61" si="0">IFERROR(IF(X55="",0,CEILING((X55/$H55),1)*$H55),"")</f>
        <v>268.79999999999995</v>
      </c>
      <c r="Z55" s="39">
        <f>IFERROR(IF(Y55=0,"",ROUNDUP(Y55/H55,0)*0.01898),"")</f>
        <v>0.45552000000000004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278.64000000000004</v>
      </c>
      <c r="BN55" s="75">
        <f t="shared" ref="BN55:BN61" si="2">IFERROR(Y55*I55/H55,"0")</f>
        <v>278.63999999999993</v>
      </c>
      <c r="BO55" s="75">
        <f t="shared" ref="BO55:BO61" si="3">IFERROR(1/J55*(X55/H55),"0")</f>
        <v>0.37500000000000006</v>
      </c>
      <c r="BP55" s="75">
        <f t="shared" ref="BP55:BP61" si="4">IFERROR(1/J55*(Y55/H55),"0")</f>
        <v>0.37499999999999994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259.2</v>
      </c>
      <c r="Y56" s="53">
        <f t="shared" si="0"/>
        <v>259.20000000000005</v>
      </c>
      <c r="Z56" s="39">
        <f>IFERROR(IF(Y56=0,"",ROUNDUP(Y56/H56,0)*0.01898),"")</f>
        <v>0.45552000000000004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269.03999999999996</v>
      </c>
      <c r="BN56" s="75">
        <f t="shared" si="2"/>
        <v>269.04000000000002</v>
      </c>
      <c r="BO56" s="75">
        <f t="shared" si="3"/>
        <v>0.37499999999999994</v>
      </c>
      <c r="BP56" s="75">
        <f t="shared" si="4"/>
        <v>0.37500000000000006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48</v>
      </c>
      <c r="Y62" s="41">
        <f>IFERROR(Y55/H55,"0")+IFERROR(Y56/H56,"0")+IFERROR(Y57/H57,"0")+IFERROR(Y58/H58,"0")+IFERROR(Y59/H59,"0")+IFERROR(Y60/H60,"0")+IFERROR(Y61/H61,"0")</f>
        <v>48</v>
      </c>
      <c r="Z62" s="41">
        <f>IFERROR(IF(Z55="",0,Z55),"0")+IFERROR(IF(Z56="",0,Z56),"0")+IFERROR(IF(Z57="",0,Z57),"0")+IFERROR(IF(Z58="",0,Z58),"0")+IFERROR(IF(Z59="",0,Z59),"0")+IFERROR(IF(Z60="",0,Z60),"0")+IFERROR(IF(Z61="",0,Z61),"0")</f>
        <v>0.91104000000000007</v>
      </c>
      <c r="AA62" s="64"/>
      <c r="AB62" s="64"/>
      <c r="AC62" s="6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528</v>
      </c>
      <c r="Y63" s="41">
        <f>IFERROR(SUM(Y55:Y61),"0")</f>
        <v>528</v>
      </c>
      <c r="Z63" s="40"/>
      <c r="AA63" s="64"/>
      <c r="AB63" s="64"/>
      <c r="AC63" s="64"/>
    </row>
    <row r="64" spans="1:68" ht="14.25" hidden="1" customHeight="1" x14ac:dyDescent="0.25">
      <c r="A64" s="662" t="s">
        <v>157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662" t="s">
        <v>86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124.8</v>
      </c>
      <c r="Y78" s="53">
        <f>IFERROR(IF(X78="",0,CEILING((X78/$H78),1)*$H78),"")</f>
        <v>124.8</v>
      </c>
      <c r="Z78" s="39">
        <f>IFERROR(IF(Y78=0,"",ROUNDUP(Y78/H78,0)*0.01898),"")</f>
        <v>0.30368000000000001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131.36000000000001</v>
      </c>
      <c r="BN78" s="75">
        <f>IFERROR(Y78*I78/H78,"0")</f>
        <v>131.36000000000001</v>
      </c>
      <c r="BO78" s="75">
        <f>IFERROR(1/J78*(X78/H78),"0")</f>
        <v>0.25</v>
      </c>
      <c r="BP78" s="75">
        <f>IFERROR(1/J78*(Y78/H78),"0")</f>
        <v>0.25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16</v>
      </c>
      <c r="Y81" s="41">
        <f>IFERROR(Y78/H78,"0")+IFERROR(Y79/H79,"0")+IFERROR(Y80/H80,"0")</f>
        <v>16</v>
      </c>
      <c r="Z81" s="41">
        <f>IFERROR(IF(Z78="",0,Z78),"0")+IFERROR(IF(Z79="",0,Z79),"0")+IFERROR(IF(Z80="",0,Z80),"0")</f>
        <v>0.30368000000000001</v>
      </c>
      <c r="AA81" s="64"/>
      <c r="AB81" s="64"/>
      <c r="AC81" s="64"/>
    </row>
    <row r="82" spans="1:68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124.8</v>
      </c>
      <c r="Y82" s="41">
        <f>IFERROR(SUM(Y78:Y80),"0")</f>
        <v>124.8</v>
      </c>
      <c r="Z82" s="40"/>
      <c r="AA82" s="64"/>
      <c r="AB82" s="64"/>
      <c r="AC82" s="64"/>
    </row>
    <row r="83" spans="1:68" ht="16.5" hidden="1" customHeight="1" x14ac:dyDescent="0.25">
      <c r="A83" s="666" t="s">
        <v>183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122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259.2</v>
      </c>
      <c r="Y85" s="53">
        <f t="shared" ref="Y85:Y90" si="5"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 t="shared" ref="BM85:BM90" si="6">IFERROR(X85*I85/H85,"0")</f>
        <v>269.03999999999996</v>
      </c>
      <c r="BN85" s="75">
        <f t="shared" ref="BN85:BN90" si="7">IFERROR(Y85*I85/H85,"0")</f>
        <v>269.04000000000002</v>
      </c>
      <c r="BO85" s="75">
        <f t="shared" ref="BO85:BO90" si="8">IFERROR(1/J85*(X85/H85),"0")</f>
        <v>0.37499999999999994</v>
      </c>
      <c r="BP85" s="75">
        <f t="shared" ref="BP85:BP90" si="9"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  <c r="AG90" s="75"/>
      <c r="AJ90" s="79" t="s">
        <v>46</v>
      </c>
      <c r="AK90" s="79">
        <v>0</v>
      </c>
      <c r="BB90" s="158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23.999999999999996</v>
      </c>
      <c r="Y91" s="41">
        <f>IFERROR(Y85/H85,"0")+IFERROR(Y86/H86,"0")+IFERROR(Y87/H87,"0")+IFERROR(Y88/H88,"0")+IFERROR(Y89/H89,"0")+IFERROR(Y90/H90,"0")</f>
        <v>24.000000000000004</v>
      </c>
      <c r="Z91" s="41">
        <f>IFERROR(IF(Z85="",0,Z85),"0")+IFERROR(IF(Z86="",0,Z86),"0")+IFERROR(IF(Z87="",0,Z87),"0")+IFERROR(IF(Z88="",0,Z88),"0")+IFERROR(IF(Z89="",0,Z89),"0")+IFERROR(IF(Z90="",0,Z90),"0")</f>
        <v>0.45552000000000004</v>
      </c>
      <c r="AA91" s="64"/>
      <c r="AB91" s="64"/>
      <c r="AC91" s="64"/>
    </row>
    <row r="92" spans="1:68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259.2</v>
      </c>
      <c r="Y92" s="41">
        <f>IFERROR(SUM(Y85:Y90),"0")</f>
        <v>259.20000000000005</v>
      </c>
      <c r="Z92" s="40"/>
      <c r="AA92" s="64"/>
      <c r="AB92" s="64"/>
      <c r="AC92" s="64"/>
    </row>
    <row r="93" spans="1:68" ht="14.25" hidden="1" customHeight="1" x14ac:dyDescent="0.25">
      <c r="A93" s="662" t="s">
        <v>86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customHeight="1" x14ac:dyDescent="0.25">
      <c r="A94" s="60" t="s">
        <v>196</v>
      </c>
      <c r="B94" s="60" t="s">
        <v>197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194.4</v>
      </c>
      <c r="Y94" s="53">
        <f>IFERROR(IF(X94="",0,CEILING((X94/$H94),1)*$H94),"")</f>
        <v>194.39999999999998</v>
      </c>
      <c r="Z94" s="39">
        <f>IFERROR(IF(Y94=0,"",ROUNDUP(Y94/H94,0)*0.01898),"")</f>
        <v>0.45552000000000004</v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206.256</v>
      </c>
      <c r="BN94" s="75">
        <f>IFERROR(Y94*I94/H94,"0")</f>
        <v>206.25599999999997</v>
      </c>
      <c r="BO94" s="75">
        <f>IFERROR(1/J94*(X94/H94),"0")</f>
        <v>0.375</v>
      </c>
      <c r="BP94" s="75">
        <f>IFERROR(1/J94*(Y94/H94),"0")</f>
        <v>0.375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198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204</v>
      </c>
      <c r="B97" s="60" t="s">
        <v>205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24</v>
      </c>
      <c r="Y98" s="41">
        <f>IFERROR(Y94/H94,"0")+IFERROR(Y95/H95,"0")+IFERROR(Y96/H96,"0")+IFERROR(Y97/H97,"0")</f>
        <v>24</v>
      </c>
      <c r="Z98" s="41">
        <f>IFERROR(IF(Z94="",0,Z94),"0")+IFERROR(IF(Z95="",0,Z95),"0")+IFERROR(IF(Z96="",0,Z96),"0")+IFERROR(IF(Z97="",0,Z97),"0")</f>
        <v>0.45552000000000004</v>
      </c>
      <c r="AA98" s="64"/>
      <c r="AB98" s="64"/>
      <c r="AC98" s="64"/>
    </row>
    <row r="99" spans="1:68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194.4</v>
      </c>
      <c r="Y99" s="41">
        <f>IFERROR(SUM(Y94:Y97),"0")</f>
        <v>194.39999999999998</v>
      </c>
      <c r="Z99" s="40"/>
      <c r="AA99" s="64"/>
      <c r="AB99" s="64"/>
      <c r="AC99" s="64"/>
    </row>
    <row r="100" spans="1:68" ht="16.5" hidden="1" customHeight="1" x14ac:dyDescent="0.25">
      <c r="A100" s="666" t="s">
        <v>207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122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customHeight="1" x14ac:dyDescent="0.25">
      <c r="A102" s="60" t="s">
        <v>208</v>
      </c>
      <c r="B102" s="60" t="s">
        <v>209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259.2</v>
      </c>
      <c r="Y102" s="53">
        <f t="shared" ref="Y102:Y107" si="10">IFERROR(IF(X102="",0,CEILING((X102/$H102),1)*$H102),"")</f>
        <v>259.20000000000005</v>
      </c>
      <c r="Z102" s="39">
        <f>IFERROR(IF(Y102=0,"",ROUNDUP(Y102/H102,0)*0.01898),"")</f>
        <v>0.45552000000000004</v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67</v>
      </c>
      <c r="BM102" s="75">
        <f t="shared" ref="BM102:BM107" si="11">IFERROR(X102*I102/H102,"0")</f>
        <v>269.03999999999996</v>
      </c>
      <c r="BN102" s="75">
        <f t="shared" ref="BN102:BN107" si="12">IFERROR(Y102*I102/H102,"0")</f>
        <v>269.04000000000002</v>
      </c>
      <c r="BO102" s="75">
        <f t="shared" ref="BO102:BO107" si="13">IFERROR(1/J102*(X102/H102),"0")</f>
        <v>0.37499999999999994</v>
      </c>
      <c r="BP102" s="75">
        <f t="shared" ref="BP102:BP107" si="14">IFERROR(1/J102*(Y102/H102),"0")</f>
        <v>0.37500000000000006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23.999999999999996</v>
      </c>
      <c r="Y108" s="41">
        <f>IFERROR(Y102/H102,"0")+IFERROR(Y103/H103,"0")+IFERROR(Y104/H104,"0")+IFERROR(Y105/H105,"0")+IFERROR(Y106/H106,"0")+IFERROR(Y107/H107,"0")</f>
        <v>24.000000000000004</v>
      </c>
      <c r="Z108" s="41">
        <f>IFERROR(IF(Z102="",0,Z102),"0")+IFERROR(IF(Z103="",0,Z103),"0")+IFERROR(IF(Z104="",0,Z104),"0")+IFERROR(IF(Z105="",0,Z105),"0")+IFERROR(IF(Z106="",0,Z106),"0")+IFERROR(IF(Z107="",0,Z107),"0")</f>
        <v>0.45552000000000004</v>
      </c>
      <c r="AA108" s="64"/>
      <c r="AB108" s="64"/>
      <c r="AC108" s="6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259.2</v>
      </c>
      <c r="Y109" s="41">
        <f>IFERROR(SUM(Y102:Y107),"0")</f>
        <v>259.20000000000005</v>
      </c>
      <c r="Z109" s="40"/>
      <c r="AA109" s="64"/>
      <c r="AB109" s="64"/>
      <c r="AC109" s="64"/>
    </row>
    <row r="110" spans="1:68" ht="14.25" hidden="1" customHeight="1" x14ac:dyDescent="0.25">
      <c r="A110" s="662" t="s">
        <v>157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229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86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customHeight="1" x14ac:dyDescent="0.25">
      <c r="A119" s="60" t="s">
        <v>234</v>
      </c>
      <c r="B119" s="60" t="s">
        <v>235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129.6</v>
      </c>
      <c r="Y119" s="53">
        <f>IFERROR(IF(X119="",0,CEILING((X119/$H119),1)*$H119),"")</f>
        <v>129.6</v>
      </c>
      <c r="Z119" s="39">
        <f>IFERROR(IF(Y119=0,"",ROUNDUP(Y119/H119,0)*0.01898),"")</f>
        <v>0.30368000000000001</v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137.40799999999999</v>
      </c>
      <c r="BN119" s="75">
        <f>IFERROR(Y119*I119/H119,"0")</f>
        <v>137.40799999999999</v>
      </c>
      <c r="BO119" s="75">
        <f>IFERROR(1/J119*(X119/H119),"0")</f>
        <v>0.25</v>
      </c>
      <c r="BP119" s="75">
        <f>IFERROR(1/J119*(Y119/H119),"0")</f>
        <v>0.25</v>
      </c>
    </row>
    <row r="120" spans="1:68" ht="27" hidden="1" customHeight="1" x14ac:dyDescent="0.25">
      <c r="A120" s="60" t="s">
        <v>237</v>
      </c>
      <c r="B120" s="60" t="s">
        <v>238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236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241</v>
      </c>
      <c r="B122" s="60" t="s">
        <v>242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16</v>
      </c>
      <c r="Y123" s="41">
        <f>IFERROR(Y119/H119,"0")+IFERROR(Y120/H120,"0")+IFERROR(Y121/H121,"0")+IFERROR(Y122/H122,"0")</f>
        <v>16</v>
      </c>
      <c r="Z123" s="41">
        <f>IFERROR(IF(Z119="",0,Z119),"0")+IFERROR(IF(Z120="",0,Z120),"0")+IFERROR(IF(Z121="",0,Z121),"0")+IFERROR(IF(Z122="",0,Z122),"0")</f>
        <v>0.30368000000000001</v>
      </c>
      <c r="AA123" s="64"/>
      <c r="AB123" s="64"/>
      <c r="AC123" s="64"/>
    </row>
    <row r="124" spans="1:68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129.6</v>
      </c>
      <c r="Y124" s="41">
        <f>IFERROR(SUM(Y119:Y122),"0")</f>
        <v>129.6</v>
      </c>
      <c r="Z124" s="40"/>
      <c r="AA124" s="64"/>
      <c r="AB124" s="64"/>
      <c r="AC124" s="64"/>
    </row>
    <row r="125" spans="1:68" ht="14.25" hidden="1" customHeight="1" x14ac:dyDescent="0.25">
      <c r="A125" s="662" t="s">
        <v>175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244</v>
      </c>
      <c r="B126" s="60" t="s">
        <v>245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247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122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248</v>
      </c>
      <c r="B131" s="60" t="s">
        <v>249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248</v>
      </c>
      <c r="B132" s="60" t="s">
        <v>252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77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253</v>
      </c>
      <c r="B136" s="60" t="s">
        <v>254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253</v>
      </c>
      <c r="B137" s="60" t="s">
        <v>256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86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257</v>
      </c>
      <c r="B141" s="60" t="s">
        <v>258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250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257</v>
      </c>
      <c r="B142" s="60" t="s">
        <v>259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260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86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261</v>
      </c>
      <c r="B147" s="60" t="s">
        <v>262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263</v>
      </c>
      <c r="AG147" s="75"/>
      <c r="AJ147" s="79" t="s">
        <v>46</v>
      </c>
      <c r="AK147" s="79">
        <v>0</v>
      </c>
      <c r="BB147" s="212" t="s">
        <v>67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264</v>
      </c>
      <c r="B148" s="60" t="s">
        <v>265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264</v>
      </c>
      <c r="B149" s="60" t="s">
        <v>267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266</v>
      </c>
      <c r="AG149" s="75"/>
      <c r="AJ149" s="79" t="s">
        <v>46</v>
      </c>
      <c r="AK149" s="79">
        <v>0</v>
      </c>
      <c r="BB149" s="216" t="s">
        <v>67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268</v>
      </c>
      <c r="B150" s="60" t="s">
        <v>269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67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271</v>
      </c>
      <c r="B152" s="60" t="s">
        <v>274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273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275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276</v>
      </c>
      <c r="B156" s="60" t="s">
        <v>277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  <c r="AG156" s="75"/>
      <c r="AJ156" s="79" t="s">
        <v>46</v>
      </c>
      <c r="AK156" s="79">
        <v>0</v>
      </c>
      <c r="BB156" s="224" t="s">
        <v>279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120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122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282</v>
      </c>
      <c r="B161" s="60" t="s">
        <v>283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285</v>
      </c>
      <c r="B162" s="60" t="s">
        <v>286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288</v>
      </c>
      <c r="B163" s="60" t="s">
        <v>289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157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291</v>
      </c>
      <c r="B167" s="60" t="s">
        <v>292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294</v>
      </c>
      <c r="B168" s="60" t="s">
        <v>295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77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297</v>
      </c>
      <c r="B172" s="60" t="s">
        <v>298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299</v>
      </c>
      <c r="AG172" s="75"/>
      <c r="AJ172" s="79" t="s">
        <v>46</v>
      </c>
      <c r="AK172" s="79">
        <v>0</v>
      </c>
      <c r="BB172" s="236" t="s">
        <v>67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300</v>
      </c>
      <c r="B173" s="60" t="s">
        <v>301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303</v>
      </c>
      <c r="B175" s="60" t="s">
        <v>306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311</v>
      </c>
      <c r="B177" s="60" t="s">
        <v>312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311</v>
      </c>
      <c r="B178" s="60" t="s">
        <v>314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86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327</v>
      </c>
      <c r="B187" s="60" t="s">
        <v>328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  <c r="AG187" s="75"/>
      <c r="AJ187" s="79" t="s">
        <v>46</v>
      </c>
      <c r="AK187" s="79">
        <v>0</v>
      </c>
      <c r="BB187" s="260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330</v>
      </c>
      <c r="B188" s="60" t="s">
        <v>331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333</v>
      </c>
      <c r="B189" s="60" t="s">
        <v>334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275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336</v>
      </c>
      <c r="B193" s="60" t="s">
        <v>337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340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341</v>
      </c>
      <c r="B197" s="60" t="s">
        <v>342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344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345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122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346</v>
      </c>
      <c r="B203" s="60" t="s">
        <v>347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125</v>
      </c>
      <c r="AG203" s="75"/>
      <c r="AJ203" s="79" t="s">
        <v>46</v>
      </c>
      <c r="AK203" s="79">
        <v>0</v>
      </c>
      <c r="BB203" s="270" t="s">
        <v>67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348</v>
      </c>
      <c r="B204" s="60" t="s">
        <v>349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350</v>
      </c>
      <c r="AG204" s="75"/>
      <c r="AJ204" s="79" t="s">
        <v>46</v>
      </c>
      <c r="AK204" s="79">
        <v>0</v>
      </c>
      <c r="BB204" s="272" t="s">
        <v>67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351</v>
      </c>
      <c r="B205" s="60" t="s">
        <v>352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353</v>
      </c>
      <c r="AG205" s="75"/>
      <c r="AJ205" s="79" t="s">
        <v>46</v>
      </c>
      <c r="AK205" s="79">
        <v>0</v>
      </c>
      <c r="BB205" s="274" t="s">
        <v>67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354</v>
      </c>
      <c r="B206" s="60" t="s">
        <v>355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356</v>
      </c>
      <c r="AG206" s="75"/>
      <c r="AJ206" s="79" t="s">
        <v>46</v>
      </c>
      <c r="AK206" s="79">
        <v>0</v>
      </c>
      <c r="BB206" s="276" t="s">
        <v>67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357</v>
      </c>
      <c r="B207" s="60" t="s">
        <v>358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366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157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367</v>
      </c>
      <c r="B214" s="60" t="s">
        <v>368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  <c r="AG214" s="75"/>
      <c r="AJ214" s="79" t="s">
        <v>46</v>
      </c>
      <c r="AK214" s="79">
        <v>0</v>
      </c>
      <c r="BB214" s="284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77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customHeight="1" x14ac:dyDescent="0.25">
      <c r="A218" s="60" t="s">
        <v>370</v>
      </c>
      <c r="B218" s="60" t="s">
        <v>371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50.4</v>
      </c>
      <c r="Y218" s="53">
        <f t="shared" ref="Y218:Y232" si="32">IFERROR(IF(X218="",0,CEILING((X218/$H218),1)*$H218),"")</f>
        <v>50.400000000000006</v>
      </c>
      <c r="Z218" s="39">
        <f>IFERROR(IF(Y218=0,"",ROUNDUP(Y218/H218,0)*0.00902),"")</f>
        <v>0.10824</v>
      </c>
      <c r="AA218" s="65" t="s">
        <v>46</v>
      </c>
      <c r="AB218" s="66" t="s">
        <v>46</v>
      </c>
      <c r="AC218" s="285" t="s">
        <v>372</v>
      </c>
      <c r="AG218" s="75"/>
      <c r="AJ218" s="79" t="s">
        <v>46</v>
      </c>
      <c r="AK218" s="79">
        <v>0</v>
      </c>
      <c r="BB218" s="286" t="s">
        <v>67</v>
      </c>
      <c r="BM218" s="75">
        <f t="shared" ref="BM218:BM232" si="33">IFERROR(X218*I218/H218,"0")</f>
        <v>53.4</v>
      </c>
      <c r="BN218" s="75">
        <f t="shared" ref="BN218:BN232" si="34">IFERROR(Y218*I218/H218,"0")</f>
        <v>53.400000000000006</v>
      </c>
      <c r="BO218" s="75">
        <f t="shared" ref="BO218:BO232" si="35">IFERROR(1/J218*(X218/H218),"0")</f>
        <v>9.0909090909090912E-2</v>
      </c>
      <c r="BP218" s="75">
        <f t="shared" ref="BP218:BP232" si="36">IFERROR(1/J218*(Y218/H218),"0")</f>
        <v>9.0909090909090912E-2</v>
      </c>
    </row>
    <row r="219" spans="1:68" ht="27" hidden="1" customHeight="1" x14ac:dyDescent="0.25">
      <c r="A219" s="60" t="s">
        <v>373</v>
      </c>
      <c r="B219" s="60" t="s">
        <v>374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  <c r="AG219" s="75"/>
      <c r="AJ219" s="79" t="s">
        <v>46</v>
      </c>
      <c r="AK219" s="79">
        <v>0</v>
      </c>
      <c r="BB219" s="288" t="s">
        <v>67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customHeight="1" x14ac:dyDescent="0.25">
      <c r="A220" s="60" t="s">
        <v>376</v>
      </c>
      <c r="B220" s="60" t="s">
        <v>377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302.39999999999998</v>
      </c>
      <c r="Y220" s="53">
        <f t="shared" si="32"/>
        <v>302.40000000000003</v>
      </c>
      <c r="Z220" s="39">
        <f>IFERROR(IF(Y220=0,"",ROUNDUP(Y220/H220,0)*0.00902),"")</f>
        <v>0.64944000000000002</v>
      </c>
      <c r="AA220" s="65" t="s">
        <v>46</v>
      </c>
      <c r="AB220" s="66" t="s">
        <v>46</v>
      </c>
      <c r="AC220" s="289" t="s">
        <v>378</v>
      </c>
      <c r="AG220" s="75"/>
      <c r="AJ220" s="79" t="s">
        <v>46</v>
      </c>
      <c r="AK220" s="79">
        <v>0</v>
      </c>
      <c r="BB220" s="290" t="s">
        <v>67</v>
      </c>
      <c r="BM220" s="75">
        <f t="shared" si="33"/>
        <v>316.07999999999993</v>
      </c>
      <c r="BN220" s="75">
        <f t="shared" si="34"/>
        <v>316.08</v>
      </c>
      <c r="BO220" s="75">
        <f t="shared" si="35"/>
        <v>0.54545454545454541</v>
      </c>
      <c r="BP220" s="75">
        <f t="shared" si="36"/>
        <v>0.54545454545454541</v>
      </c>
    </row>
    <row r="221" spans="1:68" ht="37.5" hidden="1" customHeight="1" x14ac:dyDescent="0.25">
      <c r="A221" s="60" t="s">
        <v>379</v>
      </c>
      <c r="B221" s="60" t="s">
        <v>380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372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384</v>
      </c>
      <c r="B223" s="60" t="s">
        <v>385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386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375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391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392</v>
      </c>
      <c r="B226" s="60" t="s">
        <v>393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394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customHeight="1" x14ac:dyDescent="0.25">
      <c r="A229" s="60" t="s">
        <v>401</v>
      </c>
      <c r="B229" s="60" t="s">
        <v>402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75.599999999999994</v>
      </c>
      <c r="Y229" s="53">
        <f t="shared" si="32"/>
        <v>75.600000000000009</v>
      </c>
      <c r="Z229" s="39">
        <f>IFERROR(IF(Y229=0,"",ROUNDUP(Y229/H229,0)*0.00502),"")</f>
        <v>0.18071999999999999</v>
      </c>
      <c r="AA229" s="65" t="s">
        <v>46</v>
      </c>
      <c r="AB229" s="66" t="s">
        <v>46</v>
      </c>
      <c r="AC229" s="307" t="s">
        <v>378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79.199999999999989</v>
      </c>
      <c r="BN229" s="75">
        <f t="shared" si="34"/>
        <v>79.2</v>
      </c>
      <c r="BO229" s="75">
        <f t="shared" si="35"/>
        <v>0.15384615384615383</v>
      </c>
      <c r="BP229" s="75">
        <f t="shared" si="36"/>
        <v>0.15384615384615385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403</v>
      </c>
      <c r="B231" s="60" t="s">
        <v>405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119.99999999999997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0.93840000000000001</v>
      </c>
      <c r="AA233" s="64"/>
      <c r="AB233" s="64"/>
      <c r="AC233" s="64"/>
    </row>
    <row r="234" spans="1:68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428.4</v>
      </c>
      <c r="Y234" s="41">
        <f>IFERROR(SUM(Y218:Y232),"0")</f>
        <v>428.40000000000009</v>
      </c>
      <c r="Z234" s="40"/>
      <c r="AA234" s="64"/>
      <c r="AB234" s="64"/>
      <c r="AC234" s="64"/>
    </row>
    <row r="235" spans="1:68" ht="14.25" hidden="1" customHeight="1" x14ac:dyDescent="0.25">
      <c r="A235" s="662" t="s">
        <v>86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409</v>
      </c>
      <c r="B236" s="60" t="s">
        <v>410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  <c r="AG236" s="75"/>
      <c r="AJ236" s="79" t="s">
        <v>46</v>
      </c>
      <c r="AK236" s="79">
        <v>0</v>
      </c>
      <c r="BB236" s="316" t="s">
        <v>67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409</v>
      </c>
      <c r="B237" s="60" t="s">
        <v>412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  <c r="AG237" s="75"/>
      <c r="AJ237" s="79" t="s">
        <v>46</v>
      </c>
      <c r="AK237" s="79">
        <v>0</v>
      </c>
      <c r="BB237" s="318" t="s">
        <v>67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414</v>
      </c>
      <c r="B238" s="60" t="s">
        <v>415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  <c r="AG238" s="75"/>
      <c r="AJ238" s="79" t="s">
        <v>46</v>
      </c>
      <c r="AK238" s="79">
        <v>0</v>
      </c>
      <c r="BB238" s="320" t="s">
        <v>67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414</v>
      </c>
      <c r="B239" s="60" t="s">
        <v>417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  <c r="AG239" s="75"/>
      <c r="AJ239" s="79" t="s">
        <v>46</v>
      </c>
      <c r="AK239" s="79">
        <v>0</v>
      </c>
      <c r="BB239" s="322" t="s">
        <v>67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419</v>
      </c>
      <c r="B240" s="60" t="s">
        <v>420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419</v>
      </c>
      <c r="B241" s="60" t="s">
        <v>422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426</v>
      </c>
      <c r="B244" s="60" t="s">
        <v>428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275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429</v>
      </c>
      <c r="B248" s="60" t="s">
        <v>430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432</v>
      </c>
      <c r="B249" s="60" t="s">
        <v>433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  <c r="AG249" s="75"/>
      <c r="AJ249" s="79" t="s">
        <v>46</v>
      </c>
      <c r="AK249" s="79">
        <v>0</v>
      </c>
      <c r="BB249" s="336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437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438</v>
      </c>
      <c r="B254" s="60" t="s">
        <v>439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  <c r="AG254" s="75"/>
      <c r="AJ254" s="79" t="s">
        <v>46</v>
      </c>
      <c r="AK254" s="79">
        <v>0</v>
      </c>
      <c r="BB254" s="340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440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122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441</v>
      </c>
      <c r="B259" s="60" t="s">
        <v>442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  <c r="AG259" s="75"/>
      <c r="AJ259" s="79" t="s">
        <v>46</v>
      </c>
      <c r="AK259" s="79">
        <v>0</v>
      </c>
      <c r="BB259" s="342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  <c r="AG260" s="75"/>
      <c r="AJ260" s="79" t="s">
        <v>46</v>
      </c>
      <c r="AK260" s="79">
        <v>0</v>
      </c>
      <c r="BB260" s="344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157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446</v>
      </c>
      <c r="B264" s="60" t="s">
        <v>447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  <c r="AG264" s="75"/>
      <c r="AJ264" s="79" t="s">
        <v>46</v>
      </c>
      <c r="AK264" s="79">
        <v>0</v>
      </c>
      <c r="BB264" s="346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449</v>
      </c>
      <c r="B265" s="60" t="s">
        <v>450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  <c r="AG265" s="75"/>
      <c r="AJ265" s="79" t="s">
        <v>46</v>
      </c>
      <c r="AK265" s="79">
        <v>0</v>
      </c>
      <c r="BB265" s="348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77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customHeight="1" x14ac:dyDescent="0.25">
      <c r="A269" s="60" t="s">
        <v>451</v>
      </c>
      <c r="B269" s="60" t="s">
        <v>452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ref="Y269:Y276" si="43">IFERROR(IF(X269="",0,CEILING((X269/$H269),1)*$H269),"")</f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49" t="s">
        <v>453</v>
      </c>
      <c r="AG269" s="75"/>
      <c r="AJ269" s="79" t="s">
        <v>46</v>
      </c>
      <c r="AK269" s="79">
        <v>0</v>
      </c>
      <c r="BB269" s="350" t="s">
        <v>67</v>
      </c>
      <c r="BM269" s="75">
        <f t="shared" ref="BM269:BM276" si="44">IFERROR(X269*I269/H269,"0")</f>
        <v>201.23999999999998</v>
      </c>
      <c r="BN269" s="75">
        <f t="shared" ref="BN269:BN276" si="45">IFERROR(Y269*I269/H269,"0")</f>
        <v>201.23999999999998</v>
      </c>
      <c r="BO269" s="75">
        <f t="shared" ref="BO269:BO276" si="46">IFERROR(1/J269*(X269/H269),"0")</f>
        <v>0.27272727272727271</v>
      </c>
      <c r="BP269" s="75">
        <f t="shared" ref="BP269:BP276" si="47">IFERROR(1/J269*(Y269/H269),"0")</f>
        <v>0.27272727272727271</v>
      </c>
    </row>
    <row r="270" spans="1:68" ht="27" customHeight="1" x14ac:dyDescent="0.25">
      <c r="A270" s="60" t="s">
        <v>454</v>
      </c>
      <c r="B270" s="60" t="s">
        <v>455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194.4</v>
      </c>
      <c r="Y270" s="53">
        <f t="shared" si="43"/>
        <v>194.4</v>
      </c>
      <c r="Z270" s="39">
        <f>IFERROR(IF(Y270=0,"",ROUNDUP(Y270/H270,0)*0.00902),"")</f>
        <v>0.32472000000000001</v>
      </c>
      <c r="AA270" s="65" t="s">
        <v>46</v>
      </c>
      <c r="AB270" s="66" t="s">
        <v>46</v>
      </c>
      <c r="AC270" s="351" t="s">
        <v>456</v>
      </c>
      <c r="AG270" s="75"/>
      <c r="AJ270" s="79" t="s">
        <v>46</v>
      </c>
      <c r="AK270" s="79">
        <v>0</v>
      </c>
      <c r="BB270" s="352" t="s">
        <v>67</v>
      </c>
      <c r="BM270" s="75">
        <f t="shared" si="44"/>
        <v>201.23999999999998</v>
      </c>
      <c r="BN270" s="75">
        <f t="shared" si="45"/>
        <v>201.23999999999998</v>
      </c>
      <c r="BO270" s="75">
        <f t="shared" si="46"/>
        <v>0.27272727272727271</v>
      </c>
      <c r="BP270" s="75">
        <f t="shared" si="47"/>
        <v>0.27272727272727271</v>
      </c>
    </row>
    <row r="271" spans="1:68" ht="27" customHeight="1" x14ac:dyDescent="0.25">
      <c r="A271" s="60" t="s">
        <v>457</v>
      </c>
      <c r="B271" s="60" t="s">
        <v>458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194.4</v>
      </c>
      <c r="Y271" s="53">
        <f t="shared" si="43"/>
        <v>194.4</v>
      </c>
      <c r="Z271" s="39">
        <f>IFERROR(IF(Y271=0,"",ROUNDUP(Y271/H271,0)*0.00902),"")</f>
        <v>0.32472000000000001</v>
      </c>
      <c r="AA271" s="65" t="s">
        <v>46</v>
      </c>
      <c r="AB271" s="66" t="s">
        <v>46</v>
      </c>
      <c r="AC271" s="353" t="s">
        <v>459</v>
      </c>
      <c r="AG271" s="75"/>
      <c r="AJ271" s="79" t="s">
        <v>46</v>
      </c>
      <c r="AK271" s="79">
        <v>0</v>
      </c>
      <c r="BB271" s="354" t="s">
        <v>67</v>
      </c>
      <c r="BM271" s="75">
        <f t="shared" si="44"/>
        <v>201.23999999999998</v>
      </c>
      <c r="BN271" s="75">
        <f t="shared" si="45"/>
        <v>201.23999999999998</v>
      </c>
      <c r="BO271" s="75">
        <f t="shared" si="46"/>
        <v>0.27272727272727271</v>
      </c>
      <c r="BP271" s="75">
        <f t="shared" si="47"/>
        <v>0.27272727272727271</v>
      </c>
    </row>
    <row r="272" spans="1:68" ht="27" customHeight="1" x14ac:dyDescent="0.25">
      <c r="A272" s="60" t="s">
        <v>460</v>
      </c>
      <c r="B272" s="60" t="s">
        <v>461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194.4</v>
      </c>
      <c r="Y272" s="53">
        <f t="shared" si="43"/>
        <v>194.4</v>
      </c>
      <c r="Z272" s="39">
        <f>IFERROR(IF(Y272=0,"",ROUNDUP(Y272/H272,0)*0.00902),"")</f>
        <v>0.32472000000000001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si="44"/>
        <v>201.23999999999998</v>
      </c>
      <c r="BN272" s="75">
        <f t="shared" si="45"/>
        <v>201.23999999999998</v>
      </c>
      <c r="BO272" s="75">
        <f t="shared" si="46"/>
        <v>0.27272727272727271</v>
      </c>
      <c r="BP272" s="75">
        <f t="shared" si="47"/>
        <v>0.27272727272727271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469</v>
      </c>
      <c r="B276" s="60" t="s">
        <v>470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144</v>
      </c>
      <c r="Y277" s="41">
        <f>IFERROR(Y269/H269,"0")+IFERROR(Y270/H270,"0")+IFERROR(Y271/H271,"0")+IFERROR(Y272/H272,"0")+IFERROR(Y273/H273,"0")+IFERROR(Y274/H274,"0")+IFERROR(Y275/H275,"0")+IFERROR(Y276/H276,"0")</f>
        <v>144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1.29888</v>
      </c>
      <c r="AA277" s="64"/>
      <c r="AB277" s="64"/>
      <c r="AC277" s="64"/>
    </row>
    <row r="278" spans="1:68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777.6</v>
      </c>
      <c r="Y278" s="41">
        <f>IFERROR(SUM(Y269:Y276),"0")</f>
        <v>777.6</v>
      </c>
      <c r="Z278" s="40"/>
      <c r="AA278" s="64"/>
      <c r="AB278" s="64"/>
      <c r="AC278" s="64"/>
    </row>
    <row r="279" spans="1:68" ht="14.25" hidden="1" customHeight="1" x14ac:dyDescent="0.25">
      <c r="A279" s="662" t="s">
        <v>86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471</v>
      </c>
      <c r="B280" s="60" t="s">
        <v>472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473</v>
      </c>
      <c r="AG280" s="75"/>
      <c r="AJ280" s="79" t="s">
        <v>46</v>
      </c>
      <c r="AK280" s="79">
        <v>0</v>
      </c>
      <c r="BB280" s="366" t="s">
        <v>67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476</v>
      </c>
      <c r="AG281" s="75"/>
      <c r="AJ281" s="79" t="s">
        <v>46</v>
      </c>
      <c r="AK281" s="79">
        <v>0</v>
      </c>
      <c r="BB281" s="368" t="s">
        <v>67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customHeight="1" x14ac:dyDescent="0.25">
      <c r="A282" s="60" t="s">
        <v>477</v>
      </c>
      <c r="B282" s="60" t="s">
        <v>478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417.6</v>
      </c>
      <c r="Y282" s="53">
        <f t="shared" si="48"/>
        <v>417.59999999999997</v>
      </c>
      <c r="Z282" s="39">
        <f>IFERROR(IF(Y282=0,"",ROUNDUP(Y282/H282,0)*0.01898),"")</f>
        <v>0.91104000000000007</v>
      </c>
      <c r="AA282" s="65" t="s">
        <v>46</v>
      </c>
      <c r="AB282" s="66" t="s">
        <v>46</v>
      </c>
      <c r="AC282" s="369" t="s">
        <v>479</v>
      </c>
      <c r="AG282" s="75"/>
      <c r="AJ282" s="79" t="s">
        <v>46</v>
      </c>
      <c r="AK282" s="79">
        <v>0</v>
      </c>
      <c r="BB282" s="370" t="s">
        <v>67</v>
      </c>
      <c r="BM282" s="75">
        <f t="shared" si="49"/>
        <v>441.31200000000013</v>
      </c>
      <c r="BN282" s="75">
        <f t="shared" si="50"/>
        <v>441.31200000000007</v>
      </c>
      <c r="BO282" s="75">
        <f t="shared" si="51"/>
        <v>0.75000000000000011</v>
      </c>
      <c r="BP282" s="75">
        <f t="shared" si="52"/>
        <v>0.75</v>
      </c>
    </row>
    <row r="283" spans="1:68" ht="27" customHeight="1" x14ac:dyDescent="0.25">
      <c r="A283" s="60" t="s">
        <v>480</v>
      </c>
      <c r="B283" s="60" t="s">
        <v>481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8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1" t="s">
        <v>473</v>
      </c>
      <c r="AG283" s="75"/>
      <c r="AJ283" s="79" t="s">
        <v>46</v>
      </c>
      <c r="AK283" s="79">
        <v>0</v>
      </c>
      <c r="BB283" s="372" t="s">
        <v>67</v>
      </c>
      <c r="BM283" s="75">
        <f t="shared" si="49"/>
        <v>32.04</v>
      </c>
      <c r="BN283" s="75">
        <f t="shared" si="50"/>
        <v>32.039999999999992</v>
      </c>
      <c r="BO283" s="75">
        <f t="shared" si="51"/>
        <v>6.5934065934065936E-2</v>
      </c>
      <c r="BP283" s="75">
        <f t="shared" si="52"/>
        <v>6.5934065934065936E-2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484</v>
      </c>
      <c r="B285" s="60" t="s">
        <v>485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487</v>
      </c>
      <c r="B286" s="60" t="s">
        <v>488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28.8</v>
      </c>
      <c r="Y286" s="53">
        <f t="shared" si="48"/>
        <v>28.799999999999997</v>
      </c>
      <c r="Z286" s="39">
        <f>IFERROR(IF(Y286=0,"",ROUNDUP(Y286/H286,0)*0.00651),"")</f>
        <v>7.8119999999999995E-2</v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31.824000000000002</v>
      </c>
      <c r="BN286" s="75">
        <f t="shared" si="50"/>
        <v>31.824000000000002</v>
      </c>
      <c r="BO286" s="75">
        <f t="shared" si="51"/>
        <v>6.5934065934065936E-2</v>
      </c>
      <c r="BP286" s="75">
        <f t="shared" si="52"/>
        <v>6.5934065934065936E-2</v>
      </c>
    </row>
    <row r="287" spans="1:68" ht="27" hidden="1" customHeight="1" x14ac:dyDescent="0.25">
      <c r="A287" s="60" t="s">
        <v>489</v>
      </c>
      <c r="B287" s="60" t="s">
        <v>490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customHeight="1" x14ac:dyDescent="0.25">
      <c r="A288" s="60" t="s">
        <v>491</v>
      </c>
      <c r="B288" s="60" t="s">
        <v>492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86.4</v>
      </c>
      <c r="Y288" s="53">
        <f t="shared" si="48"/>
        <v>86.399999999999991</v>
      </c>
      <c r="Z288" s="39">
        <f>IFERROR(IF(Y288=0,"",ROUNDUP(Y288/H288,0)*0.00651),"")</f>
        <v>0.23436000000000001</v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95.472000000000023</v>
      </c>
      <c r="BN288" s="75">
        <f t="shared" si="50"/>
        <v>95.472000000000008</v>
      </c>
      <c r="BO288" s="75">
        <f t="shared" si="51"/>
        <v>0.19780219780219785</v>
      </c>
      <c r="BP288" s="75">
        <f t="shared" si="52"/>
        <v>0.19780219780219782</v>
      </c>
    </row>
    <row r="289" spans="1:68" ht="27" hidden="1" customHeight="1" x14ac:dyDescent="0.25">
      <c r="A289" s="60" t="s">
        <v>493</v>
      </c>
      <c r="B289" s="60" t="s">
        <v>494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495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customHeight="1" x14ac:dyDescent="0.25">
      <c r="A290" s="60" t="s">
        <v>496</v>
      </c>
      <c r="B290" s="60" t="s">
        <v>497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28.8</v>
      </c>
      <c r="Y290" s="53">
        <f t="shared" si="48"/>
        <v>28.799999999999997</v>
      </c>
      <c r="Z290" s="39">
        <f>IFERROR(IF(Y290=0,"",ROUNDUP(Y290/H290,0)*0.00651),"")</f>
        <v>7.8119999999999995E-2</v>
      </c>
      <c r="AA290" s="65" t="s">
        <v>46</v>
      </c>
      <c r="AB290" s="66" t="s">
        <v>46</v>
      </c>
      <c r="AC290" s="385" t="s">
        <v>498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31.896000000000001</v>
      </c>
      <c r="BN290" s="75">
        <f t="shared" si="50"/>
        <v>31.896000000000001</v>
      </c>
      <c r="BO290" s="75">
        <f t="shared" si="51"/>
        <v>6.5934065934065936E-2</v>
      </c>
      <c r="BP290" s="75">
        <f t="shared" si="52"/>
        <v>6.5934065934065936E-2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1.3797599999999999</v>
      </c>
      <c r="AA292" s="64"/>
      <c r="AB292" s="64"/>
      <c r="AC292" s="64"/>
    </row>
    <row r="293" spans="1:68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590.4</v>
      </c>
      <c r="Y293" s="41">
        <f>IFERROR(SUM(Y280:Y291),"0")</f>
        <v>590.4</v>
      </c>
      <c r="Z293" s="40"/>
      <c r="AA293" s="64"/>
      <c r="AB293" s="64"/>
      <c r="AC293" s="64"/>
    </row>
    <row r="294" spans="1:68" ht="14.25" hidden="1" customHeight="1" x14ac:dyDescent="0.25">
      <c r="A294" s="662" t="s">
        <v>175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502</v>
      </c>
      <c r="B295" s="60" t="s">
        <v>503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  <c r="AG295" s="75"/>
      <c r="AJ295" s="79" t="s">
        <v>46</v>
      </c>
      <c r="AK295" s="79">
        <v>0</v>
      </c>
      <c r="BB295" s="39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  <c r="AG296" s="75"/>
      <c r="AJ296" s="79" t="s">
        <v>46</v>
      </c>
      <c r="AK296" s="79">
        <v>0</v>
      </c>
      <c r="BB296" s="392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508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122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509</v>
      </c>
      <c r="B301" s="60" t="s">
        <v>510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  <c r="AG301" s="75"/>
      <c r="AJ301" s="79" t="s">
        <v>46</v>
      </c>
      <c r="AK301" s="79">
        <v>0</v>
      </c>
      <c r="BB301" s="394" t="s">
        <v>67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512</v>
      </c>
      <c r="B302" s="60" t="s">
        <v>513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  <c r="AG302" s="75"/>
      <c r="AJ302" s="79" t="s">
        <v>46</v>
      </c>
      <c r="AK302" s="79">
        <v>0</v>
      </c>
      <c r="BB302" s="396" t="s">
        <v>67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515</v>
      </c>
      <c r="B303" s="60" t="s">
        <v>516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  <c r="AG303" s="75"/>
      <c r="AJ303" s="79" t="s">
        <v>46</v>
      </c>
      <c r="AK303" s="79">
        <v>0</v>
      </c>
      <c r="BB303" s="398" t="s">
        <v>67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517</v>
      </c>
      <c r="B304" s="60" t="s">
        <v>518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  <c r="AG304" s="75"/>
      <c r="AJ304" s="79" t="s">
        <v>46</v>
      </c>
      <c r="AK304" s="79">
        <v>0</v>
      </c>
      <c r="BB304" s="400" t="s">
        <v>67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519</v>
      </c>
      <c r="B305" s="60" t="s">
        <v>520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522</v>
      </c>
      <c r="B306" s="60" t="s">
        <v>523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157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527</v>
      </c>
      <c r="B311" s="60" t="s">
        <v>528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  <c r="AG311" s="75"/>
      <c r="AJ311" s="79" t="s">
        <v>46</v>
      </c>
      <c r="AK311" s="79">
        <v>0</v>
      </c>
      <c r="BB311" s="40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530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  <c r="AG315" s="75"/>
      <c r="AJ315" s="79" t="s">
        <v>46</v>
      </c>
      <c r="AK315" s="79">
        <v>0</v>
      </c>
      <c r="BB315" s="41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340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534</v>
      </c>
      <c r="B319" s="60" t="s">
        <v>535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537</v>
      </c>
      <c r="B320" s="60" t="s">
        <v>538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  <c r="AG320" s="75"/>
      <c r="AJ320" s="79" t="s">
        <v>46</v>
      </c>
      <c r="AK320" s="79">
        <v>0</v>
      </c>
      <c r="BB320" s="41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539</v>
      </c>
      <c r="B321" s="60" t="s">
        <v>540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541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122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542</v>
      </c>
      <c r="B326" s="60" t="s">
        <v>543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545</v>
      </c>
      <c r="B327" s="60" t="s">
        <v>546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551</v>
      </c>
      <c r="B329" s="60" t="s">
        <v>552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557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86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558</v>
      </c>
      <c r="B335" s="60" t="s">
        <v>559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561</v>
      </c>
      <c r="B336" s="60" t="s">
        <v>562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28.8</v>
      </c>
      <c r="Y336" s="53">
        <f>IFERROR(IF(X336="",0,CEILING((X336/$H336),1)*$H336),"")</f>
        <v>28.799999999999997</v>
      </c>
      <c r="Z336" s="39">
        <f>IFERROR(IF(Y336=0,"",ROUNDUP(Y336/H336,0)*0.00651),"")</f>
        <v>7.8119999999999995E-2</v>
      </c>
      <c r="AA336" s="65" t="s">
        <v>46</v>
      </c>
      <c r="AB336" s="66" t="s">
        <v>46</v>
      </c>
      <c r="AC336" s="429" t="s">
        <v>563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31.824000000000002</v>
      </c>
      <c r="BN336" s="75">
        <f>IFERROR(Y336*I336/H336,"0")</f>
        <v>31.824000000000002</v>
      </c>
      <c r="BO336" s="75">
        <f>IFERROR(1/J336*(X336/H336),"0")</f>
        <v>6.5934065934065936E-2</v>
      </c>
      <c r="BP336" s="75">
        <f>IFERROR(1/J336*(Y336/H336),"0")</f>
        <v>6.5934065934065936E-2</v>
      </c>
    </row>
    <row r="337" spans="1:68" ht="27" customHeight="1" x14ac:dyDescent="0.25">
      <c r="A337" s="60" t="s">
        <v>564</v>
      </c>
      <c r="B337" s="60" t="s">
        <v>565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28.8</v>
      </c>
      <c r="Y337" s="53">
        <f>IFERROR(IF(X337="",0,CEILING((X337/$H337),1)*$H337),"")</f>
        <v>28.799999999999997</v>
      </c>
      <c r="Z337" s="39">
        <f>IFERROR(IF(Y337=0,"",ROUNDUP(Y337/H337,0)*0.00651),"")</f>
        <v>7.8119999999999995E-2</v>
      </c>
      <c r="AA337" s="65" t="s">
        <v>46</v>
      </c>
      <c r="AB337" s="66" t="s">
        <v>46</v>
      </c>
      <c r="AC337" s="431" t="s">
        <v>560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30.96</v>
      </c>
      <c r="BN337" s="75">
        <f>IFERROR(Y337*I337/H337,"0")</f>
        <v>30.959999999999997</v>
      </c>
      <c r="BO337" s="75">
        <f>IFERROR(1/J337*(X337/H337),"0")</f>
        <v>6.5934065934065936E-2</v>
      </c>
      <c r="BP337" s="75">
        <f>IFERROR(1/J337*(Y337/H337),"0")</f>
        <v>6.5934065934065936E-2</v>
      </c>
    </row>
    <row r="338" spans="1:68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24</v>
      </c>
      <c r="Y338" s="41">
        <f>IFERROR(Y335/H335,"0")+IFERROR(Y336/H336,"0")+IFERROR(Y337/H337,"0")</f>
        <v>24</v>
      </c>
      <c r="Z338" s="41">
        <f>IFERROR(IF(Z335="",0,Z335),"0")+IFERROR(IF(Z336="",0,Z336),"0")+IFERROR(IF(Z337="",0,Z337),"0")</f>
        <v>0.15623999999999999</v>
      </c>
      <c r="AA338" s="64"/>
      <c r="AB338" s="64"/>
      <c r="AC338" s="6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57.6</v>
      </c>
      <c r="Y339" s="41">
        <f>IFERROR(SUM(Y335:Y337),"0")</f>
        <v>57.599999999999994</v>
      </c>
      <c r="Z339" s="40"/>
      <c r="AA339" s="64"/>
      <c r="AB339" s="64"/>
      <c r="AC339" s="64"/>
    </row>
    <row r="340" spans="1:68" ht="16.5" hidden="1" customHeight="1" x14ac:dyDescent="0.25">
      <c r="A340" s="666" t="s">
        <v>566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77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567</v>
      </c>
      <c r="B342" s="60" t="s">
        <v>568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569</v>
      </c>
      <c r="B343" s="60" t="s">
        <v>570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572</v>
      </c>
      <c r="B344" s="60" t="s">
        <v>573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575</v>
      </c>
      <c r="B345" s="60" t="s">
        <v>576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86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581</v>
      </c>
      <c r="B350" s="60" t="s">
        <v>582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583</v>
      </c>
      <c r="AG350" s="75"/>
      <c r="AJ350" s="79" t="s">
        <v>46</v>
      </c>
      <c r="AK350" s="79">
        <v>0</v>
      </c>
      <c r="BB350" s="444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584</v>
      </c>
      <c r="B351" s="60" t="s">
        <v>585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587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122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588</v>
      </c>
      <c r="B356" s="60" t="s">
        <v>589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590</v>
      </c>
      <c r="B357" s="60" t="s">
        <v>591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593</v>
      </c>
      <c r="B358" s="60" t="s">
        <v>594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596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122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597</v>
      </c>
      <c r="B363" s="60" t="s">
        <v>598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599</v>
      </c>
      <c r="AG363" s="75"/>
      <c r="AJ363" s="79" t="s">
        <v>46</v>
      </c>
      <c r="AK363" s="79">
        <v>0</v>
      </c>
      <c r="BB363" s="454" t="s">
        <v>67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600</v>
      </c>
      <c r="B364" s="60" t="s">
        <v>601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602</v>
      </c>
      <c r="AG364" s="75"/>
      <c r="AJ364" s="79" t="s">
        <v>46</v>
      </c>
      <c r="AK364" s="79">
        <v>0</v>
      </c>
      <c r="BB364" s="456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603</v>
      </c>
      <c r="B365" s="60" t="s">
        <v>604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605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606</v>
      </c>
      <c r="B366" s="60" t="s">
        <v>607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77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614</v>
      </c>
      <c r="B372" s="60" t="s">
        <v>615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67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617</v>
      </c>
      <c r="B373" s="60" t="s">
        <v>618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619</v>
      </c>
      <c r="AG373" s="75"/>
      <c r="AJ373" s="79" t="s">
        <v>46</v>
      </c>
      <c r="AK373" s="79">
        <v>0</v>
      </c>
      <c r="BB373" s="468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620</v>
      </c>
      <c r="B374" s="60" t="s">
        <v>621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619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86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633</v>
      </c>
      <c r="B382" s="60" t="s">
        <v>634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635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636</v>
      </c>
      <c r="B383" s="60" t="s">
        <v>637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639</v>
      </c>
      <c r="B384" s="60" t="s">
        <v>640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175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customHeight="1" x14ac:dyDescent="0.25">
      <c r="A389" s="60" t="s">
        <v>644</v>
      </c>
      <c r="B389" s="60" t="s">
        <v>645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201.6</v>
      </c>
      <c r="Y389" s="53">
        <f>IFERROR(IF(X389="",0,CEILING((X389/$H389),1)*$H389),"")</f>
        <v>201.60000000000002</v>
      </c>
      <c r="Z389" s="39">
        <f>IFERROR(IF(Y389=0,"",ROUNDUP(Y389/H389,0)*0.01898),"")</f>
        <v>0.45552000000000004</v>
      </c>
      <c r="AA389" s="65" t="s">
        <v>46</v>
      </c>
      <c r="AB389" s="66" t="s">
        <v>46</v>
      </c>
      <c r="AC389" s="487" t="s">
        <v>646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213.45599999999999</v>
      </c>
      <c r="BN389" s="75">
        <f>IFERROR(Y389*I389/H389,"0")</f>
        <v>213.45600000000002</v>
      </c>
      <c r="BO389" s="75">
        <f>IFERROR(1/J389*(X389/H389),"0")</f>
        <v>0.375</v>
      </c>
      <c r="BP389" s="75">
        <f>IFERROR(1/J389*(Y389/H389),"0")</f>
        <v>0.375</v>
      </c>
    </row>
    <row r="390" spans="1:68" ht="27" customHeight="1" x14ac:dyDescent="0.25">
      <c r="A390" s="60" t="s">
        <v>647</v>
      </c>
      <c r="B390" s="60" t="s">
        <v>648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499.2</v>
      </c>
      <c r="Y390" s="53">
        <f>IFERROR(IF(X390="",0,CEILING((X390/$H390),1)*$H390),"")</f>
        <v>499.2</v>
      </c>
      <c r="Z390" s="39">
        <f>IFERROR(IF(Y390=0,"",ROUNDUP(Y390/H390,0)*0.01898),"")</f>
        <v>1.21472</v>
      </c>
      <c r="AA390" s="65" t="s">
        <v>46</v>
      </c>
      <c r="AB390" s="66" t="s">
        <v>46</v>
      </c>
      <c r="AC390" s="489" t="s">
        <v>649</v>
      </c>
      <c r="AG390" s="75"/>
      <c r="AJ390" s="79" t="s">
        <v>46</v>
      </c>
      <c r="AK390" s="79">
        <v>0</v>
      </c>
      <c r="BB390" s="490" t="s">
        <v>67</v>
      </c>
      <c r="BM390" s="75">
        <f>IFERROR(X390*I390/H390,"0")</f>
        <v>530.81600000000003</v>
      </c>
      <c r="BN390" s="75">
        <f>IFERROR(Y390*I390/H390,"0")</f>
        <v>530.81600000000003</v>
      </c>
      <c r="BO390" s="75">
        <f>IFERROR(1/J390*(X390/H390),"0")</f>
        <v>1</v>
      </c>
      <c r="BP390" s="75">
        <f>IFERROR(1/J390*(Y390/H390),"0")</f>
        <v>1</v>
      </c>
    </row>
    <row r="391" spans="1:68" ht="27" customHeight="1" x14ac:dyDescent="0.25">
      <c r="A391" s="60" t="s">
        <v>650</v>
      </c>
      <c r="B391" s="60" t="s">
        <v>651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134.4</v>
      </c>
      <c r="Y391" s="53">
        <f>IFERROR(IF(X391="",0,CEILING((X391/$H391),1)*$H391),"")</f>
        <v>134.4</v>
      </c>
      <c r="Z391" s="39">
        <f>IFERROR(IF(Y391=0,"",ROUNDUP(Y391/H391,0)*0.01898),"")</f>
        <v>0.30368000000000001</v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142.304</v>
      </c>
      <c r="BN391" s="75">
        <f>IFERROR(Y391*I391/H391,"0")</f>
        <v>142.304</v>
      </c>
      <c r="BO391" s="75">
        <f>IFERROR(1/J391*(X391/H391),"0")</f>
        <v>0.25</v>
      </c>
      <c r="BP391" s="75">
        <f>IFERROR(1/J391*(Y391/H391),"0")</f>
        <v>0.25</v>
      </c>
    </row>
    <row r="392" spans="1:68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104</v>
      </c>
      <c r="Y392" s="41">
        <f>IFERROR(Y389/H389,"0")+IFERROR(Y390/H390,"0")+IFERROR(Y391/H391,"0")</f>
        <v>104</v>
      </c>
      <c r="Z392" s="41">
        <f>IFERROR(IF(Z389="",0,Z389),"0")+IFERROR(IF(Z390="",0,Z390),"0")+IFERROR(IF(Z391="",0,Z391),"0")</f>
        <v>1.9739200000000001</v>
      </c>
      <c r="AA392" s="64"/>
      <c r="AB392" s="64"/>
      <c r="AC392" s="64"/>
    </row>
    <row r="393" spans="1:68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835.19999999999993</v>
      </c>
      <c r="Y393" s="41">
        <f>IFERROR(SUM(Y389:Y391),"0")</f>
        <v>835.19999999999993</v>
      </c>
      <c r="Z393" s="40"/>
      <c r="AA393" s="64"/>
      <c r="AB393" s="64"/>
      <c r="AC393" s="64"/>
    </row>
    <row r="394" spans="1:68" ht="14.25" hidden="1" customHeight="1" x14ac:dyDescent="0.25">
      <c r="A394" s="662" t="s">
        <v>275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653</v>
      </c>
      <c r="B395" s="60" t="s">
        <v>654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656</v>
      </c>
      <c r="B396" s="60" t="s">
        <v>657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658</v>
      </c>
      <c r="B397" s="60" t="s">
        <v>659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660</v>
      </c>
      <c r="B398" s="60" t="s">
        <v>661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655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662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663</v>
      </c>
      <c r="B402" s="60" t="s">
        <v>664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667</v>
      </c>
      <c r="B403" s="60" t="s">
        <v>668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  <c r="AG403" s="75"/>
      <c r="AJ403" s="79" t="s">
        <v>46</v>
      </c>
      <c r="AK403" s="79">
        <v>0</v>
      </c>
      <c r="BB403" s="504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671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672</v>
      </c>
      <c r="B408" s="60" t="s">
        <v>673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675</v>
      </c>
      <c r="B409" s="60" t="s">
        <v>676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  <c r="AG409" s="75"/>
      <c r="AJ409" s="79" t="s">
        <v>46</v>
      </c>
      <c r="AK409" s="79">
        <v>0</v>
      </c>
      <c r="BB409" s="51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678</v>
      </c>
      <c r="B410" s="60" t="s">
        <v>679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680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86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681</v>
      </c>
      <c r="B415" s="60" t="s">
        <v>682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  <c r="AG415" s="75"/>
      <c r="AJ415" s="79" t="s">
        <v>46</v>
      </c>
      <c r="AK415" s="79">
        <v>0</v>
      </c>
      <c r="BB415" s="51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684</v>
      </c>
      <c r="B416" s="60" t="s">
        <v>685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  <c r="AG416" s="75"/>
      <c r="AJ416" s="79" t="s">
        <v>46</v>
      </c>
      <c r="AK416" s="79">
        <v>0</v>
      </c>
      <c r="BB416" s="51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687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customHeight="1" x14ac:dyDescent="0.25">
      <c r="A421" s="60" t="s">
        <v>688</v>
      </c>
      <c r="B421" s="60" t="s">
        <v>689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129.6</v>
      </c>
      <c r="Y421" s="53">
        <f>IFERROR(IF(X421="",0,CEILING((X421/$H421),1)*$H421),"")</f>
        <v>129.6</v>
      </c>
      <c r="Z421" s="39">
        <f>IFERROR(IF(Y421=0,"",ROUNDUP(Y421/H421,0)*0.01898),"")</f>
        <v>0.30368000000000001</v>
      </c>
      <c r="AA421" s="65" t="s">
        <v>46</v>
      </c>
      <c r="AB421" s="66" t="s">
        <v>46</v>
      </c>
      <c r="AC421" s="517" t="s">
        <v>690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137.50399999999999</v>
      </c>
      <c r="BN421" s="75">
        <f>IFERROR(Y421*I421/H421,"0")</f>
        <v>137.50399999999999</v>
      </c>
      <c r="BO421" s="75">
        <f>IFERROR(1/J421*(X421/H421),"0")</f>
        <v>0.25</v>
      </c>
      <c r="BP421" s="75">
        <f>IFERROR(1/J421*(Y421/H421),"0")</f>
        <v>0.25</v>
      </c>
    </row>
    <row r="422" spans="1:68" ht="27" hidden="1" customHeight="1" x14ac:dyDescent="0.25">
      <c r="A422" s="60" t="s">
        <v>691</v>
      </c>
      <c r="B422" s="60" t="s">
        <v>692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693</v>
      </c>
      <c r="AG422" s="75"/>
      <c r="AJ422" s="79" t="s">
        <v>46</v>
      </c>
      <c r="AK422" s="79">
        <v>0</v>
      </c>
      <c r="BB422" s="520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694</v>
      </c>
      <c r="B423" s="60" t="s">
        <v>695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16</v>
      </c>
      <c r="Y424" s="41">
        <f>IFERROR(Y421/H421,"0")+IFERROR(Y422/H422,"0")+IFERROR(Y423/H423,"0")</f>
        <v>16</v>
      </c>
      <c r="Z424" s="41">
        <f>IFERROR(IF(Z421="",0,Z421),"0")+IFERROR(IF(Z422="",0,Z422),"0")+IFERROR(IF(Z423="",0,Z423),"0")</f>
        <v>0.30368000000000001</v>
      </c>
      <c r="AA424" s="64"/>
      <c r="AB424" s="64"/>
      <c r="AC424" s="64"/>
    </row>
    <row r="425" spans="1:68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129.6</v>
      </c>
      <c r="Y425" s="41">
        <f>IFERROR(SUM(Y421:Y423),"0")</f>
        <v>129.6</v>
      </c>
      <c r="Z425" s="40"/>
      <c r="AA425" s="64"/>
      <c r="AB425" s="64"/>
      <c r="AC425" s="64"/>
    </row>
    <row r="426" spans="1:68" ht="27.75" hidden="1" customHeight="1" x14ac:dyDescent="0.2">
      <c r="A426" s="677" t="s">
        <v>697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698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699</v>
      </c>
      <c r="B429" s="60" t="s">
        <v>700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  <c r="AG429" s="75"/>
      <c r="AJ429" s="79" t="s">
        <v>46</v>
      </c>
      <c r="AK429" s="79">
        <v>0</v>
      </c>
      <c r="BB429" s="524" t="s">
        <v>67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702</v>
      </c>
      <c r="B430" s="60" t="s">
        <v>703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600</v>
      </c>
      <c r="Y430" s="53">
        <f t="shared" si="68"/>
        <v>600</v>
      </c>
      <c r="Z430" s="39">
        <f>IFERROR(IF(Y430=0,"",ROUNDUP(Y430/H430,0)*0.02175),"")</f>
        <v>0.86999999999999988</v>
      </c>
      <c r="AA430" s="65" t="s">
        <v>46</v>
      </c>
      <c r="AB430" s="66" t="s">
        <v>46</v>
      </c>
      <c r="AC430" s="525" t="s">
        <v>704</v>
      </c>
      <c r="AG430" s="75"/>
      <c r="AJ430" s="79" t="s">
        <v>46</v>
      </c>
      <c r="AK430" s="79">
        <v>0</v>
      </c>
      <c r="BB430" s="526" t="s">
        <v>67</v>
      </c>
      <c r="BM430" s="75">
        <f t="shared" si="69"/>
        <v>618.79999999999995</v>
      </c>
      <c r="BN430" s="75">
        <f t="shared" si="70"/>
        <v>618.79999999999995</v>
      </c>
      <c r="BO430" s="75">
        <f t="shared" si="71"/>
        <v>0.83333333333333326</v>
      </c>
      <c r="BP430" s="75">
        <f t="shared" si="72"/>
        <v>0.83333333333333326</v>
      </c>
    </row>
    <row r="431" spans="1:68" ht="27" customHeight="1" x14ac:dyDescent="0.25">
      <c r="A431" s="60" t="s">
        <v>705</v>
      </c>
      <c r="B431" s="60" t="s">
        <v>706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360</v>
      </c>
      <c r="Y431" s="53">
        <f t="shared" si="68"/>
        <v>360</v>
      </c>
      <c r="Z431" s="39">
        <f>IFERROR(IF(Y431=0,"",ROUNDUP(Y431/H431,0)*0.02175),"")</f>
        <v>0.52200000000000002</v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si="69"/>
        <v>371.28</v>
      </c>
      <c r="BN431" s="75">
        <f t="shared" si="70"/>
        <v>371.28</v>
      </c>
      <c r="BO431" s="75">
        <f t="shared" si="71"/>
        <v>0.5</v>
      </c>
      <c r="BP431" s="75">
        <f t="shared" si="72"/>
        <v>0.5</v>
      </c>
    </row>
    <row r="432" spans="1:68" ht="27" customHeight="1" x14ac:dyDescent="0.25">
      <c r="A432" s="60" t="s">
        <v>708</v>
      </c>
      <c r="B432" s="60" t="s">
        <v>709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675</v>
      </c>
      <c r="Y432" s="53">
        <f t="shared" si="68"/>
        <v>675</v>
      </c>
      <c r="Z432" s="39">
        <f>IFERROR(IF(Y432=0,"",ROUNDUP(Y432/H432,0)*0.02175),"")</f>
        <v>0.9787499999999999</v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696.15</v>
      </c>
      <c r="BN432" s="75">
        <f t="shared" si="70"/>
        <v>696.15</v>
      </c>
      <c r="BO432" s="75">
        <f t="shared" si="71"/>
        <v>0.9375</v>
      </c>
      <c r="BP432" s="75">
        <f t="shared" si="72"/>
        <v>0.9375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720</v>
      </c>
      <c r="B436" s="60" t="s">
        <v>721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109</v>
      </c>
      <c r="Y437" s="41">
        <f>IFERROR(Y429/H429,"0")+IFERROR(Y430/H430,"0")+IFERROR(Y431/H431,"0")+IFERROR(Y432/H432,"0")+IFERROR(Y433/H433,"0")+IFERROR(Y434/H434,"0")+IFERROR(Y435/H435,"0")+IFERROR(Y436/H436,"0")</f>
        <v>109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2.3707499999999997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1635</v>
      </c>
      <c r="Y438" s="41">
        <f>IFERROR(SUM(Y429:Y436),"0")</f>
        <v>1635</v>
      </c>
      <c r="Z438" s="40"/>
      <c r="AA438" s="64"/>
      <c r="AB438" s="64"/>
      <c r="AC438" s="64"/>
    </row>
    <row r="439" spans="1:68" ht="14.25" hidden="1" customHeight="1" x14ac:dyDescent="0.25">
      <c r="A439" s="662" t="s">
        <v>157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723</v>
      </c>
      <c r="B440" s="60" t="s">
        <v>724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120</v>
      </c>
      <c r="Y440" s="53">
        <f>IFERROR(IF(X440="",0,CEILING((X440/$H440),1)*$H440),"")</f>
        <v>120</v>
      </c>
      <c r="Z440" s="39">
        <f>IFERROR(IF(Y440=0,"",ROUNDUP(Y440/H440,0)*0.02175),"")</f>
        <v>0.17399999999999999</v>
      </c>
      <c r="AA440" s="65" t="s">
        <v>46</v>
      </c>
      <c r="AB440" s="66" t="s">
        <v>46</v>
      </c>
      <c r="AC440" s="539" t="s">
        <v>725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123.76</v>
      </c>
      <c r="BN440" s="75">
        <f>IFERROR(Y440*I440/H440,"0")</f>
        <v>123.76</v>
      </c>
      <c r="BO440" s="75">
        <f>IFERROR(1/J440*(X440/H440),"0")</f>
        <v>0.16666666666666666</v>
      </c>
      <c r="BP440" s="75">
        <f>IFERROR(1/J440*(Y440/H440),"0")</f>
        <v>0.16666666666666666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  <c r="AG441" s="75"/>
      <c r="AJ441" s="79" t="s">
        <v>46</v>
      </c>
      <c r="AK441" s="79">
        <v>0</v>
      </c>
      <c r="BB441" s="542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8</v>
      </c>
      <c r="Y443" s="41">
        <f>IFERROR(Y440/H440,"0")+IFERROR(Y441/H441,"0")+IFERROR(Y442/H442,"0")</f>
        <v>8</v>
      </c>
      <c r="Z443" s="41">
        <f>IFERROR(IF(Z440="",0,Z440),"0")+IFERROR(IF(Z441="",0,Z441),"0")+IFERROR(IF(Z442="",0,Z442),"0")</f>
        <v>0.17399999999999999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120</v>
      </c>
      <c r="Y444" s="41">
        <f>IFERROR(SUM(Y440:Y442),"0")</f>
        <v>120</v>
      </c>
      <c r="Z444" s="40"/>
      <c r="AA444" s="64"/>
      <c r="AB444" s="64"/>
      <c r="AC444" s="64"/>
    </row>
    <row r="445" spans="1:68" ht="14.25" hidden="1" customHeight="1" x14ac:dyDescent="0.25">
      <c r="A445" s="662" t="s">
        <v>86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732</v>
      </c>
      <c r="B446" s="60" t="s">
        <v>733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734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735</v>
      </c>
      <c r="B447" s="60" t="s">
        <v>736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  <c r="AG447" s="75"/>
      <c r="AJ447" s="79" t="s">
        <v>46</v>
      </c>
      <c r="AK447" s="79">
        <v>0</v>
      </c>
      <c r="BB447" s="548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738</v>
      </c>
      <c r="B448" s="60" t="s">
        <v>739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175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741</v>
      </c>
      <c r="B452" s="60" t="s">
        <v>742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  <c r="AG452" s="75"/>
      <c r="AJ452" s="79" t="s">
        <v>46</v>
      </c>
      <c r="AK452" s="79">
        <v>0</v>
      </c>
      <c r="BB452" s="552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customHeight="1" x14ac:dyDescent="0.25">
      <c r="A453" s="60" t="s">
        <v>744</v>
      </c>
      <c r="B453" s="60" t="s">
        <v>745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216</v>
      </c>
      <c r="Y453" s="53">
        <f>IFERROR(IF(X453="",0,CEILING((X453/$H453),1)*$H453),"")</f>
        <v>216</v>
      </c>
      <c r="Z453" s="39">
        <f>IFERROR(IF(Y453=0,"",ROUNDUP(Y453/H453,0)*0.01898),"")</f>
        <v>0.45552000000000004</v>
      </c>
      <c r="AA453" s="65" t="s">
        <v>46</v>
      </c>
      <c r="AB453" s="66" t="s">
        <v>46</v>
      </c>
      <c r="AC453" s="553" t="s">
        <v>746</v>
      </c>
      <c r="AG453" s="75"/>
      <c r="AJ453" s="79" t="s">
        <v>46</v>
      </c>
      <c r="AK453" s="79">
        <v>0</v>
      </c>
      <c r="BB453" s="554" t="s">
        <v>67</v>
      </c>
      <c r="BM453" s="75">
        <f>IFERROR(X453*I453/H453,"0")</f>
        <v>227.85599999999997</v>
      </c>
      <c r="BN453" s="75">
        <f>IFERROR(Y453*I453/H453,"0")</f>
        <v>227.85599999999997</v>
      </c>
      <c r="BO453" s="75">
        <f>IFERROR(1/J453*(X453/H453),"0")</f>
        <v>0.375</v>
      </c>
      <c r="BP453" s="75">
        <f>IFERROR(1/J453*(Y453/H453),"0")</f>
        <v>0.375</v>
      </c>
    </row>
    <row r="454" spans="1:68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24</v>
      </c>
      <c r="Y454" s="41">
        <f>IFERROR(Y452/H452,"0")+IFERROR(Y453/H453,"0")</f>
        <v>24</v>
      </c>
      <c r="Z454" s="41">
        <f>IFERROR(IF(Z452="",0,Z452),"0")+IFERROR(IF(Z453="",0,Z453),"0")</f>
        <v>0.45552000000000004</v>
      </c>
      <c r="AA454" s="64"/>
      <c r="AB454" s="64"/>
      <c r="AC454" s="64"/>
    </row>
    <row r="455" spans="1:68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216</v>
      </c>
      <c r="Y455" s="41">
        <f>IFERROR(SUM(Y452:Y453),"0")</f>
        <v>216</v>
      </c>
      <c r="Z455" s="40"/>
      <c r="AA455" s="64"/>
      <c r="AB455" s="64"/>
      <c r="AC455" s="64"/>
    </row>
    <row r="456" spans="1:68" ht="16.5" hidden="1" customHeight="1" x14ac:dyDescent="0.25">
      <c r="A456" s="666" t="s">
        <v>747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122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748</v>
      </c>
      <c r="B458" s="60" t="s">
        <v>749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750</v>
      </c>
      <c r="AG458" s="75"/>
      <c r="AJ458" s="79" t="s">
        <v>46</v>
      </c>
      <c r="AK458" s="79">
        <v>0</v>
      </c>
      <c r="BB458" s="556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751</v>
      </c>
      <c r="B459" s="60" t="s">
        <v>752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  <c r="AG459" s="75"/>
      <c r="AJ459" s="79" t="s">
        <v>46</v>
      </c>
      <c r="AK459" s="79">
        <v>0</v>
      </c>
      <c r="BB459" s="558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77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753</v>
      </c>
      <c r="B463" s="60" t="s">
        <v>754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755</v>
      </c>
      <c r="AG463" s="75"/>
      <c r="AJ463" s="79" t="s">
        <v>46</v>
      </c>
      <c r="AK463" s="79">
        <v>0</v>
      </c>
      <c r="BB463" s="560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86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customHeight="1" x14ac:dyDescent="0.25">
      <c r="A467" s="60" t="s">
        <v>756</v>
      </c>
      <c r="B467" s="60" t="s">
        <v>757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288</v>
      </c>
      <c r="Y467" s="53">
        <f>IFERROR(IF(X467="",0,CEILING((X467/$H467),1)*$H467),"")</f>
        <v>288</v>
      </c>
      <c r="Z467" s="39">
        <f>IFERROR(IF(Y467=0,"",ROUNDUP(Y467/H467,0)*0.01898),"")</f>
        <v>0.60736000000000001</v>
      </c>
      <c r="AA467" s="65" t="s">
        <v>46</v>
      </c>
      <c r="AB467" s="66" t="s">
        <v>46</v>
      </c>
      <c r="AC467" s="561" t="s">
        <v>758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303.80799999999999</v>
      </c>
      <c r="BN467" s="75">
        <f>IFERROR(Y467*I467/H467,"0")</f>
        <v>303.80799999999999</v>
      </c>
      <c r="BO467" s="75">
        <f>IFERROR(1/J467*(X467/H467),"0")</f>
        <v>0.5</v>
      </c>
      <c r="BP467" s="75">
        <f>IFERROR(1/J467*(Y467/H467),"0")</f>
        <v>0.5</v>
      </c>
    </row>
    <row r="468" spans="1:68" ht="27" customHeight="1" x14ac:dyDescent="0.25">
      <c r="A468" s="60" t="s">
        <v>759</v>
      </c>
      <c r="B468" s="60" t="s">
        <v>760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28.8</v>
      </c>
      <c r="Y468" s="53">
        <f>IFERROR(IF(X468="",0,CEILING((X468/$H468),1)*$H468),"")</f>
        <v>28.799999999999997</v>
      </c>
      <c r="Z468" s="39">
        <f>IFERROR(IF(Y468=0,"",ROUNDUP(Y468/H468,0)*0.00651),"")</f>
        <v>7.8119999999999995E-2</v>
      </c>
      <c r="AA468" s="65" t="s">
        <v>46</v>
      </c>
      <c r="AB468" s="66" t="s">
        <v>46</v>
      </c>
      <c r="AC468" s="563" t="s">
        <v>758</v>
      </c>
      <c r="AG468" s="75"/>
      <c r="AJ468" s="79" t="s">
        <v>46</v>
      </c>
      <c r="AK468" s="79">
        <v>0</v>
      </c>
      <c r="BB468" s="564" t="s">
        <v>67</v>
      </c>
      <c r="BM468" s="75">
        <f>IFERROR(X468*I468/H468,"0")</f>
        <v>31.968000000000004</v>
      </c>
      <c r="BN468" s="75">
        <f>IFERROR(Y468*I468/H468,"0")</f>
        <v>31.967999999999996</v>
      </c>
      <c r="BO468" s="75">
        <f>IFERROR(1/J468*(X468/H468),"0")</f>
        <v>6.5934065934065936E-2</v>
      </c>
      <c r="BP468" s="75">
        <f>IFERROR(1/J468*(Y468/H468),"0")</f>
        <v>6.5934065934065936E-2</v>
      </c>
    </row>
    <row r="469" spans="1:68" ht="27" hidden="1" customHeight="1" x14ac:dyDescent="0.25">
      <c r="A469" s="60" t="s">
        <v>759</v>
      </c>
      <c r="B469" s="60" t="s">
        <v>761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44</v>
      </c>
      <c r="Y470" s="41">
        <f>IFERROR(Y467/H467,"0")+IFERROR(Y468/H468,"0")+IFERROR(Y469/H469,"0")</f>
        <v>44</v>
      </c>
      <c r="Z470" s="41">
        <f>IFERROR(IF(Z467="",0,Z467),"0")+IFERROR(IF(Z468="",0,Z468),"0")+IFERROR(IF(Z469="",0,Z469),"0")</f>
        <v>0.68547999999999998</v>
      </c>
      <c r="AA470" s="64"/>
      <c r="AB470" s="64"/>
      <c r="AC470" s="64"/>
    </row>
    <row r="471" spans="1:68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316.8</v>
      </c>
      <c r="Y471" s="41">
        <f>IFERROR(SUM(Y467:Y469),"0")</f>
        <v>316.8</v>
      </c>
      <c r="Z471" s="40"/>
      <c r="AA471" s="64"/>
      <c r="AB471" s="64"/>
      <c r="AC471" s="64"/>
    </row>
    <row r="472" spans="1:68" ht="27.75" hidden="1" customHeight="1" x14ac:dyDescent="0.2">
      <c r="A472" s="677" t="s">
        <v>763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764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77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765</v>
      </c>
      <c r="B475" s="60" t="s">
        <v>766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767</v>
      </c>
      <c r="AG475" s="75"/>
      <c r="AJ475" s="79" t="s">
        <v>46</v>
      </c>
      <c r="AK475" s="79">
        <v>0</v>
      </c>
      <c r="BB475" s="568" t="s">
        <v>67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768</v>
      </c>
      <c r="B476" s="60" t="s">
        <v>769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770</v>
      </c>
      <c r="AG476" s="75"/>
      <c r="AJ476" s="79" t="s">
        <v>46</v>
      </c>
      <c r="AK476" s="79">
        <v>0</v>
      </c>
      <c r="BB476" s="570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771</v>
      </c>
      <c r="B477" s="60" t="s">
        <v>772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  <c r="AG477" s="75"/>
      <c r="AJ477" s="79" t="s">
        <v>46</v>
      </c>
      <c r="AK477" s="79">
        <v>0</v>
      </c>
      <c r="BB477" s="572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779</v>
      </c>
      <c r="B480" s="60" t="s">
        <v>780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86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781</v>
      </c>
      <c r="B484" s="60" t="s">
        <v>782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  <c r="AG484" s="75"/>
      <c r="AJ484" s="79" t="s">
        <v>46</v>
      </c>
      <c r="AK484" s="79">
        <v>0</v>
      </c>
      <c r="BB484" s="580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784</v>
      </c>
      <c r="B485" s="60" t="s">
        <v>785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  <c r="AG485" s="75"/>
      <c r="AJ485" s="79" t="s">
        <v>46</v>
      </c>
      <c r="AK485" s="79">
        <v>0</v>
      </c>
      <c r="BB485" s="582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787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157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788</v>
      </c>
      <c r="B490" s="60" t="s">
        <v>789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  <c r="AG490" s="75"/>
      <c r="AJ490" s="79" t="s">
        <v>46</v>
      </c>
      <c r="AK490" s="79">
        <v>0</v>
      </c>
      <c r="BB490" s="584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77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791</v>
      </c>
      <c r="B494" s="60" t="s">
        <v>792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793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794</v>
      </c>
      <c r="B495" s="60" t="s">
        <v>795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  <c r="AG495" s="75"/>
      <c r="AJ495" s="79" t="s">
        <v>46</v>
      </c>
      <c r="AK495" s="79">
        <v>0</v>
      </c>
      <c r="BB495" s="588" t="s">
        <v>67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797</v>
      </c>
      <c r="B496" s="60" t="s">
        <v>798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799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799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122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800</v>
      </c>
      <c r="B502" s="60" t="s">
        <v>801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125</v>
      </c>
      <c r="AG502" s="75"/>
      <c r="AJ502" s="79" t="s">
        <v>46</v>
      </c>
      <c r="AK502" s="79">
        <v>0</v>
      </c>
      <c r="BB502" s="592" t="s">
        <v>67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804</v>
      </c>
      <c r="AG503" s="75"/>
      <c r="AJ503" s="79" t="s">
        <v>46</v>
      </c>
      <c r="AK503" s="79">
        <v>0</v>
      </c>
      <c r="BB503" s="594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807</v>
      </c>
      <c r="AG504" s="75"/>
      <c r="AJ504" s="79" t="s">
        <v>46</v>
      </c>
      <c r="AK504" s="79">
        <v>0</v>
      </c>
      <c r="BB504" s="596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84.48</v>
      </c>
      <c r="Y505" s="53">
        <f t="shared" si="78"/>
        <v>84.48</v>
      </c>
      <c r="Z505" s="39">
        <f t="shared" si="79"/>
        <v>0.19136</v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90.08</v>
      </c>
      <c r="BN505" s="75">
        <f t="shared" si="81"/>
        <v>90.08</v>
      </c>
      <c r="BO505" s="75">
        <f t="shared" si="82"/>
        <v>0.15384615384615385</v>
      </c>
      <c r="BP505" s="75">
        <f t="shared" si="83"/>
        <v>0.15384615384615385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customHeight="1" x14ac:dyDescent="0.25">
      <c r="A507" s="60" t="s">
        <v>814</v>
      </c>
      <c r="B507" s="60" t="s">
        <v>815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211.2</v>
      </c>
      <c r="Y507" s="53">
        <f t="shared" si="78"/>
        <v>211.20000000000002</v>
      </c>
      <c r="Z507" s="39">
        <f t="shared" si="79"/>
        <v>0.47839999999999999</v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225.19999999999996</v>
      </c>
      <c r="BN507" s="75">
        <f t="shared" si="81"/>
        <v>225.2</v>
      </c>
      <c r="BO507" s="75">
        <f t="shared" si="82"/>
        <v>0.38461538461538458</v>
      </c>
      <c r="BP507" s="75">
        <f t="shared" si="83"/>
        <v>0.38461538461538464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55.999999999999993</v>
      </c>
      <c r="Y511" s="41">
        <f>IFERROR(Y502/H502,"0")+IFERROR(Y503/H503,"0")+IFERROR(Y504/H504,"0")+IFERROR(Y505/H505,"0")+IFERROR(Y506/H506,"0")+IFERROR(Y507/H507,"0")+IFERROR(Y508/H508,"0")+IFERROR(Y509/H509,"0")+IFERROR(Y510/H510,"0")</f>
        <v>56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0.66976000000000002</v>
      </c>
      <c r="AA511" s="64"/>
      <c r="AB511" s="64"/>
      <c r="AC511" s="64"/>
    </row>
    <row r="512" spans="1:68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295.68</v>
      </c>
      <c r="Y512" s="41">
        <f>IFERROR(SUM(Y502:Y510),"0")</f>
        <v>295.68</v>
      </c>
      <c r="Z512" s="40"/>
      <c r="AA512" s="64"/>
      <c r="AB512" s="64"/>
      <c r="AC512" s="64"/>
    </row>
    <row r="513" spans="1:68" ht="14.25" hidden="1" customHeight="1" x14ac:dyDescent="0.25">
      <c r="A513" s="662" t="s">
        <v>157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customHeight="1" x14ac:dyDescent="0.25">
      <c r="A514" s="60" t="s">
        <v>823</v>
      </c>
      <c r="B514" s="60" t="s">
        <v>824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42.24</v>
      </c>
      <c r="Y514" s="53">
        <f>IFERROR(IF(X514="",0,CEILING((X514/$H514),1)*$H514),"")</f>
        <v>42.24</v>
      </c>
      <c r="Z514" s="39">
        <f>IFERROR(IF(Y514=0,"",ROUNDUP(Y514/H514,0)*0.01196),"")</f>
        <v>9.5680000000000001E-2</v>
      </c>
      <c r="AA514" s="65" t="s">
        <v>46</v>
      </c>
      <c r="AB514" s="66" t="s">
        <v>46</v>
      </c>
      <c r="AC514" s="609" t="s">
        <v>825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45.04</v>
      </c>
      <c r="BN514" s="75">
        <f>IFERROR(Y514*I514/H514,"0")</f>
        <v>45.04</v>
      </c>
      <c r="BO514" s="75">
        <f>IFERROR(1/J514*(X514/H514),"0")</f>
        <v>7.6923076923076927E-2</v>
      </c>
      <c r="BP514" s="75">
        <f>IFERROR(1/J514*(Y514/H514),"0")</f>
        <v>7.6923076923076927E-2</v>
      </c>
    </row>
    <row r="515" spans="1:68" ht="16.5" hidden="1" customHeight="1" x14ac:dyDescent="0.25">
      <c r="A515" s="60" t="s">
        <v>826</v>
      </c>
      <c r="B515" s="60" t="s">
        <v>827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  <c r="AG515" s="75"/>
      <c r="AJ515" s="79" t="s">
        <v>46</v>
      </c>
      <c r="AK515" s="79">
        <v>0</v>
      </c>
      <c r="BB515" s="612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828</v>
      </c>
      <c r="B516" s="60" t="s">
        <v>829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8</v>
      </c>
      <c r="Y517" s="41">
        <f>IFERROR(Y514/H514,"0")+IFERROR(Y515/H515,"0")+IFERROR(Y516/H516,"0")</f>
        <v>8</v>
      </c>
      <c r="Z517" s="41">
        <f>IFERROR(IF(Z514="",0,Z514),"0")+IFERROR(IF(Z515="",0,Z515),"0")+IFERROR(IF(Z516="",0,Z516),"0")</f>
        <v>9.5680000000000001E-2</v>
      </c>
      <c r="AA517" s="64"/>
      <c r="AB517" s="64"/>
      <c r="AC517" s="64"/>
    </row>
    <row r="518" spans="1:68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42.24</v>
      </c>
      <c r="Y518" s="41">
        <f>IFERROR(SUM(Y514:Y516),"0")</f>
        <v>42.24</v>
      </c>
      <c r="Z518" s="40"/>
      <c r="AA518" s="64"/>
      <c r="AB518" s="64"/>
      <c r="AC518" s="64"/>
    </row>
    <row r="519" spans="1:68" ht="14.25" hidden="1" customHeight="1" x14ac:dyDescent="0.25">
      <c r="A519" s="662" t="s">
        <v>77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customHeight="1" x14ac:dyDescent="0.25">
      <c r="A520" s="60" t="s">
        <v>830</v>
      </c>
      <c r="B520" s="60" t="s">
        <v>831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42.24</v>
      </c>
      <c r="Y520" s="53">
        <f t="shared" ref="Y520:Y526" si="84">IFERROR(IF(X520="",0,CEILING((X520/$H520),1)*$H520),"")</f>
        <v>42.24</v>
      </c>
      <c r="Z520" s="39">
        <f>IFERROR(IF(Y520=0,"",ROUNDUP(Y520/H520,0)*0.01196),"")</f>
        <v>9.5680000000000001E-2</v>
      </c>
      <c r="AA520" s="65" t="s">
        <v>46</v>
      </c>
      <c r="AB520" s="66" t="s">
        <v>46</v>
      </c>
      <c r="AC520" s="615" t="s">
        <v>832</v>
      </c>
      <c r="AG520" s="75"/>
      <c r="AJ520" s="79" t="s">
        <v>46</v>
      </c>
      <c r="AK520" s="79">
        <v>0</v>
      </c>
      <c r="BB520" s="616" t="s">
        <v>67</v>
      </c>
      <c r="BM520" s="75">
        <f t="shared" ref="BM520:BM526" si="85">IFERROR(X520*I520/H520,"0")</f>
        <v>45.04</v>
      </c>
      <c r="BN520" s="75">
        <f t="shared" ref="BN520:BN526" si="86">IFERROR(Y520*I520/H520,"0")</f>
        <v>45.04</v>
      </c>
      <c r="BO520" s="75">
        <f t="shared" ref="BO520:BO526" si="87">IFERROR(1/J520*(X520/H520),"0")</f>
        <v>7.6923076923076927E-2</v>
      </c>
      <c r="BP520" s="75">
        <f t="shared" ref="BP520:BP526" si="88">IFERROR(1/J520*(Y520/H520),"0")</f>
        <v>7.6923076923076927E-2</v>
      </c>
    </row>
    <row r="521" spans="1:68" ht="27" customHeight="1" x14ac:dyDescent="0.25">
      <c r="A521" s="60" t="s">
        <v>833</v>
      </c>
      <c r="B521" s="60" t="s">
        <v>834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42.24</v>
      </c>
      <c r="Y521" s="53">
        <f t="shared" si="84"/>
        <v>42.24</v>
      </c>
      <c r="Z521" s="39">
        <f>IFERROR(IF(Y521=0,"",ROUNDUP(Y521/H521,0)*0.01196),"")</f>
        <v>9.5680000000000001E-2</v>
      </c>
      <c r="AA521" s="65" t="s">
        <v>46</v>
      </c>
      <c r="AB521" s="66" t="s">
        <v>46</v>
      </c>
      <c r="AC521" s="617" t="s">
        <v>835</v>
      </c>
      <c r="AG521" s="75"/>
      <c r="AJ521" s="79" t="s">
        <v>46</v>
      </c>
      <c r="AK521" s="79">
        <v>0</v>
      </c>
      <c r="BB521" s="618" t="s">
        <v>67</v>
      </c>
      <c r="BM521" s="75">
        <f t="shared" si="85"/>
        <v>45.04</v>
      </c>
      <c r="BN521" s="75">
        <f t="shared" si="86"/>
        <v>45.04</v>
      </c>
      <c r="BO521" s="75">
        <f t="shared" si="87"/>
        <v>7.6923076923076927E-2</v>
      </c>
      <c r="BP521" s="75">
        <f t="shared" si="88"/>
        <v>7.6923076923076927E-2</v>
      </c>
    </row>
    <row r="522" spans="1:68" ht="27" customHeight="1" x14ac:dyDescent="0.25">
      <c r="A522" s="60" t="s">
        <v>836</v>
      </c>
      <c r="B522" s="60" t="s">
        <v>837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42.24</v>
      </c>
      <c r="Y522" s="53">
        <f t="shared" si="84"/>
        <v>42.24</v>
      </c>
      <c r="Z522" s="39">
        <f>IFERROR(IF(Y522=0,"",ROUNDUP(Y522/H522,0)*0.01196),"")</f>
        <v>9.5680000000000001E-2</v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si="85"/>
        <v>45.04</v>
      </c>
      <c r="BN522" s="75">
        <f t="shared" si="86"/>
        <v>45.04</v>
      </c>
      <c r="BO522" s="75">
        <f t="shared" si="87"/>
        <v>7.6923076923076927E-2</v>
      </c>
      <c r="BP522" s="75">
        <f t="shared" si="88"/>
        <v>7.6923076923076927E-2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843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24</v>
      </c>
      <c r="Y527" s="41">
        <f>IFERROR(Y520/H520,"0")+IFERROR(Y521/H521,"0")+IFERROR(Y522/H522,"0")+IFERROR(Y523/H523,"0")+IFERROR(Y524/H524,"0")+IFERROR(Y525/H525,"0")+IFERROR(Y526/H526,"0")</f>
        <v>24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0.28704000000000002</v>
      </c>
      <c r="AA527" s="64"/>
      <c r="AB527" s="64"/>
      <c r="AC527" s="64"/>
    </row>
    <row r="528" spans="1:68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126.72</v>
      </c>
      <c r="Y528" s="41">
        <f>IFERROR(SUM(Y520:Y526),"0")</f>
        <v>126.72</v>
      </c>
      <c r="Z528" s="40"/>
      <c r="AA528" s="64"/>
      <c r="AB528" s="64"/>
      <c r="AC528" s="64"/>
    </row>
    <row r="529" spans="1:68" ht="27.75" hidden="1" customHeight="1" x14ac:dyDescent="0.2">
      <c r="A529" s="677" t="s">
        <v>846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846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122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847</v>
      </c>
      <c r="B532" s="60" t="s">
        <v>848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  <c r="AG532" s="75"/>
      <c r="AJ532" s="79" t="s">
        <v>46</v>
      </c>
      <c r="AK532" s="79">
        <v>0</v>
      </c>
      <c r="BB532" s="630" t="s">
        <v>67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157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850</v>
      </c>
      <c r="B536" s="60" t="s">
        <v>851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  <c r="AG536" s="75"/>
      <c r="AJ536" s="79" t="s">
        <v>46</v>
      </c>
      <c r="AK536" s="79">
        <v>0</v>
      </c>
      <c r="BB536" s="632" t="s">
        <v>67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77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853</v>
      </c>
      <c r="B540" s="60" t="s">
        <v>854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855</v>
      </c>
      <c r="AG540" s="75"/>
      <c r="AJ540" s="79" t="s">
        <v>46</v>
      </c>
      <c r="AK540" s="79">
        <v>0</v>
      </c>
      <c r="BB540" s="634" t="s">
        <v>67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86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856</v>
      </c>
      <c r="B544" s="60" t="s">
        <v>857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  <c r="AG544" s="75"/>
      <c r="AJ544" s="79" t="s">
        <v>46</v>
      </c>
      <c r="AK544" s="79">
        <v>0</v>
      </c>
      <c r="BB544" s="636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175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859</v>
      </c>
      <c r="B548" s="60" t="s">
        <v>860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  <c r="AG548" s="75"/>
      <c r="AJ548" s="79" t="s">
        <v>46</v>
      </c>
      <c r="AK548" s="79">
        <v>0</v>
      </c>
      <c r="BB548" s="638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862</v>
      </c>
      <c r="B549" s="60" t="s">
        <v>863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  <c r="AG549" s="75"/>
      <c r="AJ549" s="79" t="s">
        <v>46</v>
      </c>
      <c r="AK549" s="79">
        <v>0</v>
      </c>
      <c r="BB549" s="640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865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157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866</v>
      </c>
      <c r="B554" s="60" t="s">
        <v>867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  <c r="AG554" s="75"/>
      <c r="AJ554" s="79" t="s">
        <v>46</v>
      </c>
      <c r="AK554" s="79">
        <v>0</v>
      </c>
      <c r="BB554" s="642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869</v>
      </c>
      <c r="B555" s="60" t="s">
        <v>870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649" t="s">
        <v>871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  <c r="AG555" s="75"/>
      <c r="AJ555" s="79" t="s">
        <v>46</v>
      </c>
      <c r="AK555" s="79">
        <v>0</v>
      </c>
      <c r="BB555" s="644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7930.4400000000005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7930.4400000000014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8299.6939999999995</v>
      </c>
      <c r="Y559" s="41">
        <f>IFERROR(SUM(BN22:BN555),"0")</f>
        <v>8299.6939999999977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13</v>
      </c>
      <c r="Y560" s="42">
        <f>ROUNDUP(SUM(BP22:BP555),0)</f>
        <v>13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8624.6939999999995</v>
      </c>
      <c r="Y561" s="41">
        <f>GrossWeightTotalR+PalletQtyTotalR*25</f>
        <v>8624.6939999999977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1033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1033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15.192469999999997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76</v>
      </c>
      <c r="C565" s="80" t="s">
        <v>45</v>
      </c>
      <c r="D565" s="645" t="s">
        <v>120</v>
      </c>
      <c r="E565" s="645" t="s">
        <v>120</v>
      </c>
      <c r="F565" s="645" t="s">
        <v>120</v>
      </c>
      <c r="G565" s="645" t="s">
        <v>120</v>
      </c>
      <c r="H565" s="645" t="s">
        <v>120</v>
      </c>
      <c r="I565" s="645" t="s">
        <v>120</v>
      </c>
      <c r="J565" s="645" t="s">
        <v>120</v>
      </c>
      <c r="K565" s="645" t="s">
        <v>344</v>
      </c>
      <c r="L565" s="645" t="s">
        <v>344</v>
      </c>
      <c r="M565" s="645" t="s">
        <v>344</v>
      </c>
      <c r="N565" s="661"/>
      <c r="O565" s="645" t="s">
        <v>344</v>
      </c>
      <c r="P565" s="645" t="s">
        <v>344</v>
      </c>
      <c r="Q565" s="645" t="s">
        <v>344</v>
      </c>
      <c r="R565" s="645" t="s">
        <v>344</v>
      </c>
      <c r="S565" s="645" t="s">
        <v>344</v>
      </c>
      <c r="T565" s="645" t="s">
        <v>344</v>
      </c>
      <c r="U565" s="645" t="s">
        <v>344</v>
      </c>
      <c r="V565" s="645" t="s">
        <v>344</v>
      </c>
      <c r="W565" s="645" t="s">
        <v>697</v>
      </c>
      <c r="X565" s="645" t="s">
        <v>697</v>
      </c>
      <c r="Y565" s="645" t="s">
        <v>763</v>
      </c>
      <c r="Z565" s="645" t="s">
        <v>763</v>
      </c>
      <c r="AA565" s="80" t="s">
        <v>799</v>
      </c>
      <c r="AB565" s="645" t="s">
        <v>846</v>
      </c>
      <c r="AC565" s="645" t="s">
        <v>846</v>
      </c>
      <c r="AF565" s="1"/>
    </row>
    <row r="566" spans="1:32" ht="14.25" customHeight="1" thickTop="1" x14ac:dyDescent="0.2">
      <c r="A566" s="646" t="s">
        <v>10</v>
      </c>
      <c r="B566" s="645" t="s">
        <v>76</v>
      </c>
      <c r="C566" s="645" t="s">
        <v>104</v>
      </c>
      <c r="D566" s="645" t="s">
        <v>121</v>
      </c>
      <c r="E566" s="645" t="s">
        <v>137</v>
      </c>
      <c r="F566" s="645" t="s">
        <v>183</v>
      </c>
      <c r="G566" s="645" t="s">
        <v>207</v>
      </c>
      <c r="H566" s="645" t="s">
        <v>247</v>
      </c>
      <c r="I566" s="645" t="s">
        <v>260</v>
      </c>
      <c r="J566" s="645" t="s">
        <v>120</v>
      </c>
      <c r="K566" s="645" t="s">
        <v>345</v>
      </c>
      <c r="L566" s="645" t="s">
        <v>366</v>
      </c>
      <c r="M566" s="645" t="s">
        <v>440</v>
      </c>
      <c r="N566" s="1"/>
      <c r="O566" s="645" t="s">
        <v>508</v>
      </c>
      <c r="P566" s="645" t="s">
        <v>541</v>
      </c>
      <c r="Q566" s="645" t="s">
        <v>557</v>
      </c>
      <c r="R566" s="645" t="s">
        <v>566</v>
      </c>
      <c r="S566" s="645" t="s">
        <v>587</v>
      </c>
      <c r="T566" s="645" t="s">
        <v>596</v>
      </c>
      <c r="U566" s="645" t="s">
        <v>680</v>
      </c>
      <c r="V566" s="645" t="s">
        <v>687</v>
      </c>
      <c r="W566" s="645" t="s">
        <v>698</v>
      </c>
      <c r="X566" s="645" t="s">
        <v>747</v>
      </c>
      <c r="Y566" s="645" t="s">
        <v>764</v>
      </c>
      <c r="Z566" s="645" t="s">
        <v>787</v>
      </c>
      <c r="AA566" s="645" t="s">
        <v>799</v>
      </c>
      <c r="AB566" s="645" t="s">
        <v>846</v>
      </c>
      <c r="AC566" s="645" t="s">
        <v>865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604.80000000000007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912</v>
      </c>
      <c r="F568" s="50">
        <f>IFERROR(Y85*1,"0")+IFERROR(Y86*1,"0")+IFERROR(Y87*1,"0")+IFERROR(Y88*1,"0")+IFERROR(Y89*1,"0")+IFERROR(Y90*1,"0")+IFERROR(Y94*1,"0")+IFERROR(Y95*1,"0")+IFERROR(Y96*1,"0")+IFERROR(Y97*1,"0")</f>
        <v>453.6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388.80000000000007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428.40000000000009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1368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57.599999999999994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835.19999999999993</v>
      </c>
      <c r="U568" s="50">
        <f>IFERROR(Y415*1,"0")+IFERROR(Y416*1,"0")</f>
        <v>0</v>
      </c>
      <c r="V568" s="50">
        <f>IFERROR(Y421*1,"0")+IFERROR(Y422*1,"0")+IFERROR(Y423*1,"0")</f>
        <v>129.6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1971</v>
      </c>
      <c r="X568" s="50">
        <f>IFERROR(Y458*1,"0")+IFERROR(Y459*1,"0")+IFERROR(Y463*1,"0")+IFERROR(Y467*1,"0")+IFERROR(Y468*1,"0")+IFERROR(Y469*1,"0")</f>
        <v>316.8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464.64000000000004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3,00"/>
        <filter val="1 635,00"/>
        <filter val="104,00"/>
        <filter val="109,00"/>
        <filter val="120,00"/>
        <filter val="124,80"/>
        <filter val="126,72"/>
        <filter val="129,60"/>
        <filter val="13"/>
        <filter val="134,40"/>
        <filter val="144,00"/>
        <filter val="16,00"/>
        <filter val="194,40"/>
        <filter val="201,60"/>
        <filter val="211,20"/>
        <filter val="216,00"/>
        <filter val="24,00"/>
        <filter val="259,20"/>
        <filter val="268,80"/>
        <filter val="28,80"/>
        <filter val="288,00"/>
        <filter val="295,68"/>
        <filter val="302,40"/>
        <filter val="316,80"/>
        <filter val="360,00"/>
        <filter val="417,60"/>
        <filter val="42,24"/>
        <filter val="428,40"/>
        <filter val="44,00"/>
        <filter val="48,00"/>
        <filter val="499,20"/>
        <filter val="50,40"/>
        <filter val="528,00"/>
        <filter val="56,00"/>
        <filter val="57,60"/>
        <filter val="590,40"/>
        <filter val="600,00"/>
        <filter val="604,80"/>
        <filter val="675,00"/>
        <filter val="7 930,44"/>
        <filter val="75,60"/>
        <filter val="777,60"/>
        <filter val="8 299,69"/>
        <filter val="8 624,69"/>
        <filter val="8,00"/>
        <filter val="835,20"/>
        <filter val="84,48"/>
        <filter val="86,4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2026-09-17T12:13:27Z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