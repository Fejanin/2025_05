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4796028-9815-4157-9BFE-D912F9C9CA4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N455" i="2"/>
  <c r="BM455" i="2"/>
  <c r="Y455" i="2"/>
  <c r="Z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Z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P262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N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P88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40" i="2" l="1"/>
  <c r="Z127" i="2"/>
  <c r="Z128" i="2" s="1"/>
  <c r="BN137" i="2"/>
  <c r="Z372" i="2"/>
  <c r="BP312" i="2"/>
  <c r="BP323" i="2"/>
  <c r="Z460" i="2"/>
  <c r="Z461" i="2" s="1"/>
  <c r="Z68" i="2"/>
  <c r="Z113" i="2"/>
  <c r="Z233" i="2"/>
  <c r="BP270" i="2"/>
  <c r="Z300" i="2"/>
  <c r="Z388" i="2"/>
  <c r="BN388" i="2"/>
  <c r="Z437" i="2"/>
  <c r="BP473" i="2"/>
  <c r="BN121" i="2"/>
  <c r="BN189" i="2"/>
  <c r="BP189" i="2"/>
  <c r="Y213" i="2"/>
  <c r="BN226" i="2"/>
  <c r="BP226" i="2"/>
  <c r="BP234" i="2"/>
  <c r="BN277" i="2"/>
  <c r="BP277" i="2"/>
  <c r="BN392" i="2"/>
  <c r="Z56" i="2"/>
  <c r="BN67" i="2"/>
  <c r="BP67" i="2"/>
  <c r="Z80" i="2"/>
  <c r="Z89" i="2"/>
  <c r="BN89" i="2"/>
  <c r="BP104" i="2"/>
  <c r="BN107" i="2"/>
  <c r="BP107" i="2"/>
  <c r="BN112" i="2"/>
  <c r="BP112" i="2"/>
  <c r="BN142" i="2"/>
  <c r="BN168" i="2"/>
  <c r="BP173" i="2"/>
  <c r="BN178" i="2"/>
  <c r="Z190" i="2"/>
  <c r="BN190" i="2"/>
  <c r="Z211" i="2"/>
  <c r="Z212" i="2" s="1"/>
  <c r="Z227" i="2"/>
  <c r="BN227" i="2"/>
  <c r="Z234" i="2"/>
  <c r="BN246" i="2"/>
  <c r="BP251" i="2"/>
  <c r="Y252" i="2"/>
  <c r="Y253" i="2"/>
  <c r="Z267" i="2"/>
  <c r="BN267" i="2"/>
  <c r="BP287" i="2"/>
  <c r="BP308" i="2"/>
  <c r="Z354" i="2"/>
  <c r="Z370" i="2"/>
  <c r="Z374" i="2"/>
  <c r="Z399" i="2"/>
  <c r="BN399" i="2"/>
  <c r="BN430" i="2"/>
  <c r="BP430" i="2"/>
  <c r="Z445" i="2"/>
  <c r="Y446" i="2"/>
  <c r="BP460" i="2"/>
  <c r="BP503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69" i="2" s="1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Z457" i="2" s="1"/>
  <c r="BP101" i="2"/>
  <c r="Z355" i="2" l="1"/>
  <c r="Z440" i="2"/>
  <c r="Z343" i="2"/>
  <c r="Z494" i="2"/>
  <c r="Z154" i="2"/>
  <c r="X557" i="2"/>
  <c r="Z81" i="2"/>
  <c r="Z191" i="2"/>
  <c r="Z258" i="2"/>
  <c r="Z62" i="2"/>
  <c r="Z376" i="2"/>
  <c r="Z32" i="2"/>
  <c r="Z334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Z274" i="2"/>
  <c r="Z434" i="2"/>
  <c r="Y557" i="2" l="1"/>
  <c r="Z559" i="2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<sst xmlns="http://schemas.openxmlformats.org/spreadsheetml/2006/main" count="4298" uniqueCount="916">
  <si>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</si>
  <si>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</si>
  <si>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</si>
  <si>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</si>
  <si>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</si>
  <si>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</si>
  <si>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</si>
  <si>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</si>
  <si>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</si>
  <si>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</si>
  <si>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</si>
  <si>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</si>
  <si>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</si>
  <si>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</si>
  <si>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</si>
  <si>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</si>
  <si>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</si>
  <si>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</si>
  <si>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</si>
  <si>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</si>
  <si>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</si>
  <si>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</si>
  <si>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</si>
  <si>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</si>
  <si>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</si>
  <si>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</si>
  <si>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</si>
  <si>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</si>
  <si>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</si>
  <si>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</si>
  <si>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</si>
  <si>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</si>
  <si>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</si>
  <si>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</si>
  <si>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</si>
  <si>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</si>
  <si>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</si>
  <si>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</si>
  <si>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</si>
  <si>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</si>
  <si>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</si>
  <si>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</si>
  <si>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</si>
  <si>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</si>
  <si>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</si>
  <si>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</si>
  <si>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</si>
  <si>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</si>
  <si>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</si>
  <si>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</si>
  <si>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</si>
  <si>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</si>
  <si>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</si>
  <si>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</si>
  <si>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</si>
  <si>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</si>
  <si>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</si>
  <si>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</si>
  <si>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</si>
  <si>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</si>
  <si>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</si>
  <si>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</si>
  <si>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</si>
  <si>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</si>
  <si>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</si>
  <si>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</si>
  <si>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</si>
  <si>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</si>
  <si>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</si>
  <si>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</si>
  <si>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</si>
  <si>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</si>
  <si>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</si>
  <si>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</si>
  <si>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</si>
  <si>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</si>
  <si>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</si>
  <si>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</si>
  <si>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</si>
  <si>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</si>
  <si>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</si>
  <si>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</si>
  <si>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</si>
  <si>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</si>
  <si>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</si>
  <si>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</si>
  <si>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</si>
  <si>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</si>
  <si>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</si>
  <si>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</si>
  <si>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</si>
  <si>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</si>
  <si>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</si>
  <si>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</si>
  <si>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</si>
  <si>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</si>
  <si>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</si>
  <si>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</si>
  <si>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</si>
  <si>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</si>
  <si>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</si>
  <si>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</si>
  <si>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</si>
  <si>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</si>
  <si>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</si>
  <si>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</si>
  <si>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</si>
  <si>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</si>
  <si>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</si>
  <si>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</si>
  <si>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</si>
  <si>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</si>
  <si>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</si>
  <si>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</si>
  <si>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</si>
  <si>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</si>
  <si>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</si>
  <si>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</si>
  <si>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</si>
  <si>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</si>
  <si>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</si>
  <si>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</si>
  <si>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</si>
  <si>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</si>
  <si>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</si>
  <si>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</si>
  <si>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</si>
  <si>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</si>
  <si>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</si>
  <si>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</si>
  <si>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</si>
  <si>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</si>
  <si>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</si>
  <si>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</si>
  <si>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</si>
  <si>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</si>
  <si>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</si>
  <si>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</si>
  <si>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</si>
  <si>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</si>
  <si>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</si>
  <si>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</si>
  <si>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</si>
  <si>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</si>
  <si>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</si>
  <si>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</si>
  <si>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</si>
  <si>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</si>
  <si>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</si>
  <si>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</si>
  <si>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</si>
  <si>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</si>
  <si>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</si>
  <si>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</si>
  <si>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</si>
  <si>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</si>
  <si>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</si>
  <si>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</si>
  <si>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</si>
  <si>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</si>
  <si>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</si>
  <si>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</si>
  <si>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</si>
  <si>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</si>
  <si>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</si>
  <si>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</si>
  <si>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</si>
  <si>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</si>
  <si>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</si>
  <si>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</si>
  <si>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</si>
  <si>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</si>
  <si>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</si>
  <si>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</si>
  <si>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</si>
  <si>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</si>
  <si>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</si>
  <si>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</si>
  <si>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</si>
  <si>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</si>
  <si>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</si>
  <si>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</si>
  <si>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</si>
  <si>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</si>
  <si>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</si>
  <si>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</si>
  <si>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</si>
  <si>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</si>
  <si>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</si>
  <si>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</si>
  <si>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</si>
  <si>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</si>
  <si>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</si>
  <si>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</si>
  <si>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</si>
  <si>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</si>
  <si>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</si>
  <si>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</si>
  <si>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</si>
  <si>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</si>
  <si>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</si>
  <si>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</si>
  <si>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</si>
  <si>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</si>
  <si>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</si>
  <si>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</si>
  <si>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</si>
  <si>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</si>
  <si>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</si>
  <si>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</si>
  <si>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</si>
  <si>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</si>
  <si>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</si>
  <si>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</si>
  <si>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</si>
  <si>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</si>
  <si>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</si>
  <si>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</si>
  <si>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</si>
  <si>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</si>
  <si>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</si>
  <si>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</si>
  <si>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</si>
  <si>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</si>
  <si>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</si>
  <si>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</si>
  <si>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</si>
  <si>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</si>
  <si>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</si>
  <si>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</si>
  <si>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</si>
  <si>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</si>
  <si>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</si>
  <si>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</si>
  <si>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</si>
  <si>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</si>
  <si>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</si>
  <si>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</si>
  <si>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</si>
  <si>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</si>
  <si>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</si>
  <si>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</si>
  <si>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</si>
  <si>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</si>
  <si>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</si>
  <si>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</si>
  <si>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</si>
  <si>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</si>
  <si>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</si>
  <si>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</si>
  <si>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</si>
  <si>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</si>
  <si>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</si>
  <si>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</si>
  <si>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</si>
  <si>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</si>
  <si>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</si>
  <si>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</si>
  <si>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</si>
  <si>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</si>
  <si>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</si>
  <si>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</si>
  <si>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</si>
  <si>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</si>
  <si>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</si>
  <si>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</si>
  <si>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</si>
  <si>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</si>
  <si>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</si>
  <si>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</si>
  <si>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</si>
  <si>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</si>
  <si>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</si>
  <si>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</si>
  <si>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</si>
  <si>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</si>
  <si>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</si>
  <si>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</si>
  <si>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</si>
  <si>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</si>
  <si>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</si>
  <si>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</si>
  <si>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</si>
  <si>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</si>
  <si>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</si>
  <si>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</si>
  <si>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</si>
  <si>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</si>
  <si>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</si>
  <si>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</si>
  <si>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</si>
  <si>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</si>
  <si>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</si>
  <si>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</si>
  <si>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</si>
  <si>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</si>
  <si>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</si>
  <si>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</si>
  <si>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</si>
  <si>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</si>
  <si>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</si>
  <si>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</si>
  <si>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</si>
  <si>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</si>
  <si>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</si>
  <si>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</si>
  <si>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</si>
  <si>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</si>
  <si>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</si>
  <si>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</si>
  <si>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</si>
  <si>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</si>
  <si>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</si>
  <si>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</si>
  <si>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</si>
  <si>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</si>
  <si>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</si>
  <si>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</si>
  <si>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</si>
  <si>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</si>
  <si>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</si>
  <si>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</si>
  <si>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</si>
  <si>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</si>
  <si>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</si>
  <si>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</si>
  <si>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</si>
  <si>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</si>
  <si>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</si>
  <si>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</si>
  <si>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</si>
  <si>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</si>
  <si>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</si>
  <si>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</si>
  <si>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</si>
  <si>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</si>
  <si>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</si>
  <si>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</si>
  <si>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</si>
  <si>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</si>
  <si>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</si>
  <si>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</si>
  <si>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</si>
  <si>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</si>
  <si>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</si>
  <si>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</si>
  <si>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</si>
  <si>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</si>
  <si>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</si>
  <si>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</si>
  <si>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</si>
  <si>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</si>
  <si>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</si>
  <si>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</si>
  <si>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</si>
  <si>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</si>
  <si>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</si>
  <si>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</si>
  <si>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</si>
  <si>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</si>
  <si>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</si>
  <si>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</si>
  <si>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</si>
  <si>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</si>
  <si>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</si>
  <si>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</si>
  <si>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</si>
  <si>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</si>
  <si>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</si>
  <si>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</si>
  <si>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</si>
  <si>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</si>
  <si>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</si>
  <si>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</si>
  <si>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</si>
  <si>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</si>
  <si>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</si>
  <si>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</si>
  <si>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</si>
  <si>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</si>
  <si>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</si>
  <si>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</si>
  <si>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</si>
  <si>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</si>
  <si>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</si>
  <si>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</si>
  <si>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</si>
  <si>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</si>
  <si>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</si>
  <si>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</si>
  <si>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</si>
  <si>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</si>
  <si>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</si>
  <si>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</si>
  <si>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</si>
  <si>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</si>
  <si>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</si>
  <si>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</si>
  <si>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</si>
  <si>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</si>
  <si>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</si>
  <si>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</si>
  <si>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</si>
  <si>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</si>
  <si>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</si>
  <si>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</si>
  <si>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</si>
  <si>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</si>
  <si>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</si>
  <si>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</si>
  <si>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</si>
  <si>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</si>
  <si>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</si>
  <si>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</si>
  <si>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</si>
  <si>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</si>
  <si>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</si>
  <si>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</si>
  <si>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</si>
  <si>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</si>
  <si>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</si>
  <si>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</si>
  <si>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</si>
  <si>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</si>
  <si>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</si>
  <si>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</si>
  <si>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</si>
  <si>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</si>
  <si>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</si>
  <si>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</si>
  <si>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</si>
  <si>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</si>
  <si>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</si>
  <si>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</si>
  <si>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</si>
  <si>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</si>
  <si>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</si>
  <si>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</si>
  <si>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</si>
  <si>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</si>
  <si>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</si>
  <si>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</si>
  <si>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</si>
  <si>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</si>
  <si>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</si>
  <si>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</si>
  <si>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</si>
  <si>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</si>
  <si>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</si>
  <si>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</si>
  <si>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</si>
  <si>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</si>
  <si>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</si>
  <si>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</si>
  <si>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</si>
  <si>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</si>
  <si>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</si>
  <si>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</si>
  <si>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</si>
  <si>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</si>
  <si>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</si>
  <si>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</si>
  <si>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</si>
  <si>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</si>
  <si>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</si>
  <si>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</si>
  <si>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</si>
  <si>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</si>
  <si>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</si>
  <si>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</si>
  <si>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</si>
  <si>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</si>
  <si>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</si>
  <si>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</si>
  <si>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</si>
  <si>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</si>
  <si>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</si>
  <si>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</si>
  <si>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</si>
  <si>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</si>
  <si>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</si>
  <si>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</si>
  <si>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</si>
  <si>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</si>
  <si>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</si>
  <si>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</si>
  <si>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</si>
  <si>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</si>
  <si>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</si>
  <si>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</si>
  <si>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</si>
  <si>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</si>
  <si>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</si>
  <si>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</si>
  <si>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</si>
  <si>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</si>
  <si>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</si>
  <si>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</si>
  <si>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</si>
  <si>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</si>
  <si>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</si>
  <si>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</si>
  <si>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</si>
  <si>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</si>
  <si>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</si>
  <si>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</si>
  <si>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</si>
  <si>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</si>
  <si>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</si>
  <si>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</si>
  <si>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</si>
  <si>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</si>
  <si>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</si>
  <si>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</si>
  <si>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</si>
  <si>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</si>
  <si>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</si>
  <si>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</si>
  <si>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</si>
  <si>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</si>
  <si>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</si>
  <si>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</si>
  <si>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</si>
  <si>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</si>
  <si>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</si>
  <si>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</si>
  <si>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</si>
  <si>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</si>
  <si>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</si>
  <si>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</si>
  <si>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</si>
  <si>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</si>
  <si>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</si>
  <si>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</si>
  <si>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</si>
  <si>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</si>
  <si>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</si>
  <si>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</si>
  <si>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</si>
  <si>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</si>
  <si>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</si>
  <si>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</si>
  <si>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</si>
  <si>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</si>
  <si>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</si>
  <si>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</si>
  <si>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</si>
  <si>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</si>
  <si>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</si>
  <si>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</si>
  <si>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</si>
  <si>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</si>
  <si>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</si>
  <si>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</si>
  <si>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</si>
  <si>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</si>
  <si>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</si>
  <si>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</si>
  <si>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</si>
  <si>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</si>
  <si>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</si>
  <si>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</si>
  <si>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</si>
  <si>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</si>
  <si>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</si>
  <si>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</si>
  <si>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</si>
  <si>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</si>
  <si>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</si>
  <si>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</si>
  <si>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</si>
  <si>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</si>
  <si>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</si>
  <si>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</si>
  <si>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</si>
  <si>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</si>
  <si>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</si>
  <si>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</si>
  <si>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</si>
  <si>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</si>
  <si>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</si>
  <si>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</si>
  <si>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</si>
  <si>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</si>
  <si>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</si>
  <si>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</si>
  <si>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</si>
  <si>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</si>
  <si>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</si>
  <si>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</si>
  <si>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</si>
  <si>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</si>
  <si>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</si>
  <si>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</si>
  <si>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</si>
  <si>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</si>
  <si>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</si>
  <si>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</si>
  <si>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</si>
  <si>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</si>
  <si>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</si>
  <si>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</si>
  <si>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</si>
  <si>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</si>
  <si>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</si>
  <si>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</si>
  <si>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</si>
  <si>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</si>
  <si>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</si>
  <si>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</si>
  <si>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</si>
  <si>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</si>
  <si>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</si>
  <si>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</si>
  <si>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</si>
  <si>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</si>
  <si>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</si>
  <si>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</si>
  <si>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</si>
  <si>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</si>
  <si>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</si>
  <si>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</si>
  <si>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</si>
  <si>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</si>
  <si>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</si>
  <si>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</si>
  <si>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</si>
  <si>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</si>
  <si>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</si>
  <si>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</si>
  <si>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</si>
  <si>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</si>
  <si>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</si>
  <si>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</si>
  <si>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</si>
  <si>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</si>
  <si>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</si>
  <si>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</si>
  <si>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</si>
  <si>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</si>
  <si>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</si>
  <si>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</si>
  <si>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</si>
  <si>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</si>
  <si>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</si>
  <si>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</si>
  <si>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</si>
  <si>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</si>
  <si>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</si>
  <si>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</si>
  <si>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</si>
  <si>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</si>
  <si>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</si>
  <si>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</si>
  <si>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</si>
  <si>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</si>
  <si>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</si>
  <si>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</si>
  <si>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</si>
  <si>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</si>
  <si>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</si>
  <si>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</si>
  <si>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</si>
  <si>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</si>
  <si>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</si>
  <si>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</si>
  <si>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</si>
  <si>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</si>
  <si>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</si>
  <si>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</si>
  <si>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</si>
  <si>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</si>
  <si>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</si>
  <si>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</si>
  <si>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</si>
  <si>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</si>
  <si>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</si>
  <si>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</si>
  <si>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</si>
  <si>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</si>
  <si>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</si>
  <si>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</si>
  <si>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</si>
  <si>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</si>
  <si>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</si>
  <si>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</si>
  <si>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</si>
  <si>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</si>
  <si>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</si>
  <si>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</si>
  <si>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</si>
  <si>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</si>
  <si>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</si>
  <si>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</si>
  <si>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</si>
  <si>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</si>
  <si>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</si>
  <si>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</si>
  <si>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</si>
  <si>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</si>
  <si>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</si>
  <si>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</si>
  <si>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</si>
  <si>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</si>
  <si>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</si>
  <si>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</si>
  <si>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</si>
  <si>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</si>
  <si>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</si>
  <si>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</si>
  <si>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</si>
  <si>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</si>
  <si>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</si>
  <si>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</si>
  <si>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</si>
  <si>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</si>
  <si>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</si>
  <si>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</si>
  <si>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</si>
  <si>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</si>
  <si>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</si>
  <si>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</si>
  <si>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</si>
  <si>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</si>
  <si>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</si>
  <si>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</si>
  <si>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</si>
  <si>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</si>
  <si>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</si>
  <si>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</si>
  <si>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</si>
  <si>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</si>
  <si>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</si>
  <si>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</si>
  <si>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</si>
  <si>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</si>
  <si>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</si>
  <si>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</si>
  <si>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</si>
  <si>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</si>
  <si>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</si>
  <si>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</si>
  <si>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</si>
  <si>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</si>
  <si>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</si>
  <si>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</si>
  <si>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</si>
  <si>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</si>
  <si>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</si>
  <si>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</si>
  <si>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</si>
  <si>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</si>
  <si>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</si>
  <si>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</si>
  <si>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</si>
  <si>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</si>
  <si>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</si>
  <si>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</si>
  <si>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</si>
  <si>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</si>
  <si>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</si>
  <si>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</si>
  <si>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</si>
  <si>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</si>
  <si>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</si>
  <si>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</si>
  <si>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</si>
  <si>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</si>
  <si>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</si>
  <si>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</si>
  <si>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</si>
  <si>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</si>
  <si>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</si>
  <si>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</si>
  <si>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</si>
  <si>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</si>
  <si>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</si>
  <si>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</si>
  <si>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</si>
  <si>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</si>
  <si>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</si>
  <si>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</si>
  <si>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</si>
  <si>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</si>
  <si>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</si>
  <si>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</si>
  <si>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</si>
  <si>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</si>
  <si>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</si>
  <si>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</si>
  <si>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</si>
  <si>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</si>
  <si>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</si>
  <si>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</si>
  <si>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</si>
  <si>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</si>
  <si>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</si>
  <si>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</si>
  <si>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</si>
  <si>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</si>
  <si>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</si>
  <si>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</si>
  <si>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</si>
  <si>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</si>
  <si>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</si>
  <si>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</si>
  <si>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</si>
  <si>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</si>
  <si>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</si>
  <si>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</si>
  <si>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</si>
  <si>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</si>
  <si>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</si>
  <si>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</si>
  <si>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</si>
  <si>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</si>
  <si>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</si>
  <si>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</si>
  <si>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</si>
  <si>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</si>
  <si>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</si>
  <si>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</si>
  <si>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</si>
  <si>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</si>
  <si>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</si>
  <si>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</si>
  <si>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</si>
  <si>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</si>
  <si>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</si>
  <si>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</si>
  <si>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</si>
  <si>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</si>
  <si>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</si>
  <si>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</si>
  <si>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</si>
  <si>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</si>
  <si>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</si>
  <si>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</si>
  <si>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</si>
  <si>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</si>
  <si>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</si>
  <si>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</si>
  <si>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</si>
  <si>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</si>
  <si>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</si>
  <si>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</si>
  <si>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</si>
  <si>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</si>
  <si>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</si>
  <si>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</si>
  <si>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</si>
  <si>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</si>
  <si>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</si>
  <si>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</si>
  <si>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</si>
  <si>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</si>
  <si>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</si>
  <si>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</si>
  <si>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</si>
  <si>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</si>
  <si>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</si>
  <si>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</si>
  <si>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</si>
  <si>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</si>
  <si>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</si>
  <si>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</si>
  <si>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</si>
  <si>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</si>
  <si>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</si>
  <si>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</si>
  <si>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</si>
  <si>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</si>
  <si>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</si>
  <si>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</si>
  <si>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</si>
  <si>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</si>
  <si>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</si>
  <si>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</si>
  <si>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</si>
  <si>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</si>
  <si>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</si>
  <si>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</si>
  <si>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</si>
  <si>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</si>
  <si>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</si>
  <si>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</si>
  <si>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</si>
  <si>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</si>
  <si>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</si>
  <si>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</si>
  <si>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</si>
  <si>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</si>
  <si>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</si>
  <si>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</si>
  <si>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</si>
  <si>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</si>
  <si>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</si>
  <si>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</si>
  <si>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</si>
  <si>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</si>
  <si>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</si>
  <si>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</si>
  <si>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</si>
  <si>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</si>
  <si>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</si>
  <si>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</si>
  <si>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</si>
  <si>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</si>
  <si>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</si>
  <si>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</si>
  <si>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</si>
  <si>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</si>
  <si>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</si>
  <si>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</si>
  <si>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TSO001123600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</si>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</sst>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40" sqref="AA4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66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67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 t="s">
        <v>914</v>
      </c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874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 t="s">
        <v>887</v>
      </c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69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 t="str">
        <f>IFERROR(VLOOKUP(DeliveryAddress,Table,3,0),1)</f>
        <v>5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57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0.5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70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915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71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72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73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60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58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65</v>
      </c>
      <c r="L17" s="689" t="s">
        <v>63</v>
      </c>
      <c r="M17" s="689" t="s">
        <v>2</v>
      </c>
      <c r="N17" s="689" t="s">
        <v>62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55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59</v>
      </c>
      <c r="AB17" s="703" t="s">
        <v>19</v>
      </c>
      <c r="AC17" s="703" t="s">
        <v>64</v>
      </c>
      <c r="AD17" s="705" t="s">
        <v>56</v>
      </c>
      <c r="AE17" s="706"/>
      <c r="AF17" s="707"/>
      <c r="AG17" s="77"/>
      <c r="BD17" s="76" t="s">
        <v>61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75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75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76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85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103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85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119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120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121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136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121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156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85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174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182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121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125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85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197</v>
      </c>
      <c r="B94" s="60" t="s">
        <v>198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90</v>
      </c>
      <c r="L94" s="35" t="s">
        <v>46</v>
      </c>
      <c r="M94" s="36" t="s">
        <v>89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199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90</v>
      </c>
      <c r="L95" s="35" t="s">
        <v>46</v>
      </c>
      <c r="M95" s="36" t="s">
        <v>96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202</v>
      </c>
      <c r="B96" s="60" t="s">
        <v>203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205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121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206</v>
      </c>
      <c r="B101" s="60" t="s">
        <v>207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126</v>
      </c>
      <c r="L101" s="35" t="s">
        <v>46</v>
      </c>
      <c r="M101" s="36" t="s">
        <v>125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208</v>
      </c>
      <c r="AG101" s="75"/>
      <c r="AJ101" s="79" t="s">
        <v>46</v>
      </c>
      <c r="AK101" s="79">
        <v>0</v>
      </c>
      <c r="BB101" s="166" t="s">
        <v>66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206</v>
      </c>
      <c r="B102" s="60" t="s">
        <v>209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66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66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208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210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208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210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90</v>
      </c>
      <c r="L108" s="35" t="s">
        <v>46</v>
      </c>
      <c r="M108" s="36" t="s">
        <v>125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156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224</v>
      </c>
      <c r="B112" s="60" t="s">
        <v>225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126</v>
      </c>
      <c r="L112" s="35" t="s">
        <v>46</v>
      </c>
      <c r="M112" s="36" t="s">
        <v>125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227</v>
      </c>
      <c r="B113" s="60" t="s">
        <v>228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230</v>
      </c>
      <c r="L113" s="35" t="s">
        <v>46</v>
      </c>
      <c r="M113" s="36" t="s">
        <v>80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229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227</v>
      </c>
      <c r="B114" s="60" t="s">
        <v>231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230</v>
      </c>
      <c r="L114" s="35" t="s">
        <v>46</v>
      </c>
      <c r="M114" s="36" t="s">
        <v>80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125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226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125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226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85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236</v>
      </c>
      <c r="B120" s="60" t="s">
        <v>237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126</v>
      </c>
      <c r="L120" s="35" t="s">
        <v>46</v>
      </c>
      <c r="M120" s="36" t="s">
        <v>89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238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243</v>
      </c>
      <c r="B123" s="60" t="s">
        <v>244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245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174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246</v>
      </c>
      <c r="B127" s="60" t="s">
        <v>247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248</v>
      </c>
      <c r="AG127" s="75"/>
      <c r="AJ127" s="79" t="s">
        <v>46</v>
      </c>
      <c r="AK127" s="79">
        <v>0</v>
      </c>
      <c r="BB127" s="200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249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121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250</v>
      </c>
      <c r="B132" s="60" t="s">
        <v>251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253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252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250</v>
      </c>
      <c r="B133" s="60" t="s">
        <v>254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253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76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255</v>
      </c>
      <c r="B137" s="60" t="s">
        <v>256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253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257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255</v>
      </c>
      <c r="B138" s="60" t="s">
        <v>258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253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85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259</v>
      </c>
      <c r="B142" s="60" t="s">
        <v>260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253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252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259</v>
      </c>
      <c r="B143" s="60" t="s">
        <v>261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253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262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85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263</v>
      </c>
      <c r="B148" s="60" t="s">
        <v>264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266</v>
      </c>
      <c r="B149" s="60" t="s">
        <v>267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268</v>
      </c>
      <c r="AG149" s="75"/>
      <c r="AJ149" s="79" t="s">
        <v>46</v>
      </c>
      <c r="AK149" s="79">
        <v>0</v>
      </c>
      <c r="BB149" s="216" t="s">
        <v>66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266</v>
      </c>
      <c r="B150" s="60" t="s">
        <v>269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276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277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278</v>
      </c>
      <c r="B157" s="60" t="s">
        <v>279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283</v>
      </c>
      <c r="L157" s="35" t="s">
        <v>46</v>
      </c>
      <c r="M157" s="36" t="s">
        <v>282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280</v>
      </c>
      <c r="AG157" s="75"/>
      <c r="AJ157" s="79" t="s">
        <v>46</v>
      </c>
      <c r="AK157" s="79">
        <v>0</v>
      </c>
      <c r="BB157" s="226" t="s">
        <v>281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119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121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284</v>
      </c>
      <c r="B162" s="60" t="s">
        <v>285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126</v>
      </c>
      <c r="L162" s="35" t="s">
        <v>46</v>
      </c>
      <c r="M162" s="36" t="s">
        <v>125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287</v>
      </c>
      <c r="B163" s="60" t="s">
        <v>288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133</v>
      </c>
      <c r="L163" s="35" t="s">
        <v>46</v>
      </c>
      <c r="M163" s="36" t="s">
        <v>125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290</v>
      </c>
      <c r="B164" s="60" t="s">
        <v>291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90</v>
      </c>
      <c r="L164" s="35" t="s">
        <v>46</v>
      </c>
      <c r="M164" s="36" t="s">
        <v>89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156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293</v>
      </c>
      <c r="B168" s="60" t="s">
        <v>294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81</v>
      </c>
      <c r="L168" s="35" t="s">
        <v>46</v>
      </c>
      <c r="M168" s="36" t="s">
        <v>80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296</v>
      </c>
      <c r="B169" s="60" t="s">
        <v>297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81</v>
      </c>
      <c r="L169" s="35" t="s">
        <v>46</v>
      </c>
      <c r="M169" s="36" t="s">
        <v>125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298</v>
      </c>
      <c r="AG169" s="75"/>
      <c r="AJ169" s="79" t="s">
        <v>46</v>
      </c>
      <c r="AK169" s="79">
        <v>0</v>
      </c>
      <c r="BB169" s="236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76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299</v>
      </c>
      <c r="B173" s="60" t="s">
        <v>300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305</v>
      </c>
      <c r="B175" s="60" t="s">
        <v>306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66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305</v>
      </c>
      <c r="B176" s="60" t="s">
        <v>308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310</v>
      </c>
      <c r="B177" s="60" t="s">
        <v>311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315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313</v>
      </c>
      <c r="B179" s="60" t="s">
        <v>316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315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81</v>
      </c>
      <c r="L180" s="35" t="s">
        <v>46</v>
      </c>
      <c r="M180" s="36" t="s">
        <v>80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301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130</v>
      </c>
      <c r="L181" s="35" t="s">
        <v>46</v>
      </c>
      <c r="M181" s="36" t="s">
        <v>80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309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130</v>
      </c>
      <c r="L183" s="35" t="s">
        <v>46</v>
      </c>
      <c r="M183" s="36" t="s">
        <v>80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326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327</v>
      </c>
      <c r="B184" s="60" t="s">
        <v>328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312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85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329</v>
      </c>
      <c r="B188" s="60" t="s">
        <v>330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332</v>
      </c>
      <c r="B189" s="60" t="s">
        <v>333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335</v>
      </c>
      <c r="B190" s="60" t="s">
        <v>336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337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338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339</v>
      </c>
      <c r="B194" s="60" t="s">
        <v>340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342</v>
      </c>
      <c r="L194" s="35" t="s">
        <v>46</v>
      </c>
      <c r="M194" s="36" t="s">
        <v>282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341</v>
      </c>
      <c r="AG194" s="75"/>
      <c r="AJ194" s="79" t="s">
        <v>46</v>
      </c>
      <c r="AK194" s="79">
        <v>0</v>
      </c>
      <c r="BB194" s="268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343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344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121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345</v>
      </c>
      <c r="B200" s="60" t="s">
        <v>346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126</v>
      </c>
      <c r="L200" s="35" t="s">
        <v>46</v>
      </c>
      <c r="M200" s="36" t="s">
        <v>89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124</v>
      </c>
      <c r="AG200" s="75"/>
      <c r="AJ200" s="79" t="s">
        <v>46</v>
      </c>
      <c r="AK200" s="79">
        <v>0</v>
      </c>
      <c r="BB200" s="270" t="s">
        <v>66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126</v>
      </c>
      <c r="L201" s="35" t="s">
        <v>46</v>
      </c>
      <c r="M201" s="36" t="s">
        <v>89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349</v>
      </c>
      <c r="AG201" s="75"/>
      <c r="AJ201" s="79" t="s">
        <v>46</v>
      </c>
      <c r="AK201" s="79">
        <v>0</v>
      </c>
      <c r="BB201" s="272" t="s">
        <v>66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350</v>
      </c>
      <c r="B202" s="60" t="s">
        <v>351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126</v>
      </c>
      <c r="L202" s="35" t="s">
        <v>46</v>
      </c>
      <c r="M202" s="36" t="s">
        <v>89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352</v>
      </c>
      <c r="AG202" s="75"/>
      <c r="AJ202" s="79" t="s">
        <v>46</v>
      </c>
      <c r="AK202" s="79">
        <v>0</v>
      </c>
      <c r="BB202" s="274" t="s">
        <v>66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355</v>
      </c>
      <c r="AG203" s="75"/>
      <c r="AJ203" s="79" t="s">
        <v>46</v>
      </c>
      <c r="AK203" s="79">
        <v>0</v>
      </c>
      <c r="BB203" s="276" t="s">
        <v>66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356</v>
      </c>
      <c r="B204" s="60" t="s">
        <v>357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358</v>
      </c>
      <c r="AG204" s="75"/>
      <c r="AJ204" s="79" t="s">
        <v>46</v>
      </c>
      <c r="AK204" s="79">
        <v>0</v>
      </c>
      <c r="BB204" s="278" t="s">
        <v>66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359</v>
      </c>
      <c r="B205" s="60" t="s">
        <v>360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361</v>
      </c>
      <c r="AG205" s="75"/>
      <c r="AJ205" s="79" t="s">
        <v>46</v>
      </c>
      <c r="AK205" s="79">
        <v>0</v>
      </c>
      <c r="BB205" s="280" t="s">
        <v>66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362</v>
      </c>
      <c r="B206" s="60" t="s">
        <v>363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364</v>
      </c>
      <c r="AG206" s="75"/>
      <c r="AJ206" s="79" t="s">
        <v>46</v>
      </c>
      <c r="AK206" s="79">
        <v>0</v>
      </c>
      <c r="BB206" s="282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365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156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366</v>
      </c>
      <c r="B211" s="60" t="s">
        <v>367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81</v>
      </c>
      <c r="L211" s="35" t="s">
        <v>46</v>
      </c>
      <c r="M211" s="36" t="s">
        <v>80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368</v>
      </c>
      <c r="AG211" s="75"/>
      <c r="AJ211" s="79" t="s">
        <v>46</v>
      </c>
      <c r="AK211" s="79">
        <v>0</v>
      </c>
      <c r="BB211" s="284" t="s">
        <v>66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76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369</v>
      </c>
      <c r="B215" s="60" t="s">
        <v>370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133</v>
      </c>
      <c r="L215" s="35" t="s">
        <v>46</v>
      </c>
      <c r="M215" s="36" t="s">
        <v>80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371</v>
      </c>
      <c r="AG215" s="75"/>
      <c r="AJ215" s="79" t="s">
        <v>46</v>
      </c>
      <c r="AK215" s="79">
        <v>0</v>
      </c>
      <c r="BB215" s="286" t="s">
        <v>66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133</v>
      </c>
      <c r="L216" s="35" t="s">
        <v>46</v>
      </c>
      <c r="M216" s="36" t="s">
        <v>80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374</v>
      </c>
      <c r="AG216" s="75"/>
      <c r="AJ216" s="79" t="s">
        <v>46</v>
      </c>
      <c r="AK216" s="79">
        <v>0</v>
      </c>
      <c r="BB216" s="288" t="s">
        <v>66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133</v>
      </c>
      <c r="L217" s="35" t="s">
        <v>46</v>
      </c>
      <c r="M217" s="36" t="s">
        <v>80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377</v>
      </c>
      <c r="AG217" s="75"/>
      <c r="AJ217" s="79" t="s">
        <v>46</v>
      </c>
      <c r="AK217" s="79">
        <v>0</v>
      </c>
      <c r="BB217" s="290" t="s">
        <v>66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378</v>
      </c>
      <c r="B218" s="60" t="s">
        <v>379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380</v>
      </c>
      <c r="AG218" s="75"/>
      <c r="AJ218" s="79" t="s">
        <v>46</v>
      </c>
      <c r="AK218" s="79">
        <v>0</v>
      </c>
      <c r="BB218" s="292" t="s">
        <v>66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381</v>
      </c>
      <c r="B219" s="60" t="s">
        <v>382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371</v>
      </c>
      <c r="AG219" s="75"/>
      <c r="AJ219" s="79" t="s">
        <v>46</v>
      </c>
      <c r="AK219" s="79">
        <v>0</v>
      </c>
      <c r="BB219" s="294" t="s">
        <v>66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385</v>
      </c>
      <c r="AG220" s="75"/>
      <c r="AJ220" s="79" t="s">
        <v>46</v>
      </c>
      <c r="AK220" s="79">
        <v>0</v>
      </c>
      <c r="BB220" s="296" t="s">
        <v>66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386</v>
      </c>
      <c r="B221" s="60" t="s">
        <v>387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374</v>
      </c>
      <c r="AG221" s="75"/>
      <c r="AJ221" s="79" t="s">
        <v>46</v>
      </c>
      <c r="AK221" s="79">
        <v>0</v>
      </c>
      <c r="BB221" s="298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390</v>
      </c>
      <c r="AG222" s="75"/>
      <c r="AJ222" s="79" t="s">
        <v>46</v>
      </c>
      <c r="AK222" s="79">
        <v>0</v>
      </c>
      <c r="BB222" s="300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393</v>
      </c>
      <c r="AG223" s="75"/>
      <c r="AJ223" s="79" t="s">
        <v>46</v>
      </c>
      <c r="AK223" s="79">
        <v>0</v>
      </c>
      <c r="BB223" s="302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394</v>
      </c>
      <c r="B224" s="60" t="s">
        <v>395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396</v>
      </c>
      <c r="AG224" s="75"/>
      <c r="AJ224" s="79" t="s">
        <v>46</v>
      </c>
      <c r="AK224" s="79">
        <v>0</v>
      </c>
      <c r="BB224" s="304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397</v>
      </c>
      <c r="B225" s="60" t="s">
        <v>398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130</v>
      </c>
      <c r="L225" s="35" t="s">
        <v>46</v>
      </c>
      <c r="M225" s="36" t="s">
        <v>80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399</v>
      </c>
      <c r="AG225" s="75"/>
      <c r="AJ225" s="79" t="s">
        <v>46</v>
      </c>
      <c r="AK225" s="79">
        <v>0</v>
      </c>
      <c r="BB225" s="306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400</v>
      </c>
      <c r="B226" s="60" t="s">
        <v>401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377</v>
      </c>
      <c r="AG226" s="75"/>
      <c r="AJ226" s="79" t="s">
        <v>46</v>
      </c>
      <c r="AK226" s="79">
        <v>0</v>
      </c>
      <c r="BB226" s="308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402</v>
      </c>
      <c r="B227" s="60" t="s">
        <v>403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90</v>
      </c>
      <c r="L227" s="35" t="s">
        <v>46</v>
      </c>
      <c r="M227" s="36" t="s">
        <v>80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377</v>
      </c>
      <c r="AG227" s="75"/>
      <c r="AJ227" s="79" t="s">
        <v>46</v>
      </c>
      <c r="AK227" s="79">
        <v>0</v>
      </c>
      <c r="BB227" s="310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402</v>
      </c>
      <c r="B228" s="60" t="s">
        <v>404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90</v>
      </c>
      <c r="L228" s="35" t="s">
        <v>46</v>
      </c>
      <c r="M228" s="36" t="s">
        <v>80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377</v>
      </c>
      <c r="AG228" s="75"/>
      <c r="AJ228" s="79" t="s">
        <v>46</v>
      </c>
      <c r="AK228" s="79">
        <v>0</v>
      </c>
      <c r="BB228" s="312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405</v>
      </c>
      <c r="B229" s="60" t="s">
        <v>406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407</v>
      </c>
      <c r="AG229" s="75"/>
      <c r="AJ229" s="79" t="s">
        <v>46</v>
      </c>
      <c r="AK229" s="79">
        <v>0</v>
      </c>
      <c r="BB229" s="314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85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408</v>
      </c>
      <c r="B233" s="60" t="s">
        <v>409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126</v>
      </c>
      <c r="L233" s="35" t="s">
        <v>46</v>
      </c>
      <c r="M233" s="36" t="s">
        <v>96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410</v>
      </c>
      <c r="AG233" s="75"/>
      <c r="AJ233" s="79" t="s">
        <v>46</v>
      </c>
      <c r="AK233" s="79">
        <v>0</v>
      </c>
      <c r="BB233" s="316" t="s">
        <v>66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408</v>
      </c>
      <c r="B234" s="60" t="s">
        <v>411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126</v>
      </c>
      <c r="L234" s="35" t="s">
        <v>46</v>
      </c>
      <c r="M234" s="36" t="s">
        <v>96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412</v>
      </c>
      <c r="AG234" s="75"/>
      <c r="AJ234" s="79" t="s">
        <v>46</v>
      </c>
      <c r="AK234" s="79">
        <v>0</v>
      </c>
      <c r="BB234" s="318" t="s">
        <v>66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413</v>
      </c>
      <c r="B235" s="60" t="s">
        <v>414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126</v>
      </c>
      <c r="L235" s="35" t="s">
        <v>46</v>
      </c>
      <c r="M235" s="36" t="s">
        <v>96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415</v>
      </c>
      <c r="AG235" s="75"/>
      <c r="AJ235" s="79" t="s">
        <v>46</v>
      </c>
      <c r="AK235" s="79">
        <v>0</v>
      </c>
      <c r="BB235" s="320" t="s">
        <v>66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413</v>
      </c>
      <c r="B236" s="60" t="s">
        <v>416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417</v>
      </c>
      <c r="AG236" s="75"/>
      <c r="AJ236" s="79" t="s">
        <v>46</v>
      </c>
      <c r="AK236" s="79">
        <v>0</v>
      </c>
      <c r="BB236" s="322" t="s">
        <v>66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418</v>
      </c>
      <c r="B237" s="60" t="s">
        <v>419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133</v>
      </c>
      <c r="L237" s="35" t="s">
        <v>46</v>
      </c>
      <c r="M237" s="36" t="s">
        <v>96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420</v>
      </c>
      <c r="AG237" s="75"/>
      <c r="AJ237" s="79" t="s">
        <v>46</v>
      </c>
      <c r="AK237" s="79">
        <v>0</v>
      </c>
      <c r="BB237" s="324" t="s">
        <v>66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418</v>
      </c>
      <c r="B238" s="60" t="s">
        <v>421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133</v>
      </c>
      <c r="L238" s="35" t="s">
        <v>46</v>
      </c>
      <c r="M238" s="36" t="s">
        <v>96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412</v>
      </c>
      <c r="AG238" s="75"/>
      <c r="AJ238" s="79" t="s">
        <v>46</v>
      </c>
      <c r="AK238" s="79">
        <v>0</v>
      </c>
      <c r="BB238" s="326" t="s">
        <v>66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422</v>
      </c>
      <c r="B239" s="60" t="s">
        <v>423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133</v>
      </c>
      <c r="L239" s="35" t="s">
        <v>46</v>
      </c>
      <c r="M239" s="36" t="s">
        <v>96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424</v>
      </c>
      <c r="AG239" s="75"/>
      <c r="AJ239" s="79" t="s">
        <v>46</v>
      </c>
      <c r="AK239" s="79">
        <v>0</v>
      </c>
      <c r="BB239" s="328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425</v>
      </c>
      <c r="B240" s="60" t="s">
        <v>426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415</v>
      </c>
      <c r="AG240" s="75"/>
      <c r="AJ240" s="79" t="s">
        <v>46</v>
      </c>
      <c r="AK240" s="79">
        <v>0</v>
      </c>
      <c r="BB240" s="330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425</v>
      </c>
      <c r="B241" s="60" t="s">
        <v>427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417</v>
      </c>
      <c r="AG241" s="75"/>
      <c r="AJ241" s="79" t="s">
        <v>46</v>
      </c>
      <c r="AK241" s="79">
        <v>0</v>
      </c>
      <c r="BB241" s="332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277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428</v>
      </c>
      <c r="B245" s="60" t="s">
        <v>429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342</v>
      </c>
      <c r="L245" s="35" t="s">
        <v>46</v>
      </c>
      <c r="M245" s="36" t="s">
        <v>282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430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431</v>
      </c>
      <c r="B246" s="60" t="s">
        <v>432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342</v>
      </c>
      <c r="L246" s="35" t="s">
        <v>46</v>
      </c>
      <c r="M246" s="36" t="s">
        <v>282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433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342</v>
      </c>
      <c r="L247" s="35" t="s">
        <v>46</v>
      </c>
      <c r="M247" s="36" t="s">
        <v>282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433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436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342</v>
      </c>
      <c r="L251" s="35" t="s">
        <v>46</v>
      </c>
      <c r="M251" s="36" t="s">
        <v>282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439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121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440</v>
      </c>
      <c r="B256" s="60" t="s">
        <v>441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126</v>
      </c>
      <c r="L256" s="35" t="s">
        <v>46</v>
      </c>
      <c r="M256" s="36" t="s">
        <v>125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442</v>
      </c>
      <c r="AG256" s="75"/>
      <c r="AJ256" s="79" t="s">
        <v>46</v>
      </c>
      <c r="AK256" s="79">
        <v>0</v>
      </c>
      <c r="BB256" s="342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443</v>
      </c>
      <c r="B257" s="60" t="s">
        <v>444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90</v>
      </c>
      <c r="L257" s="35" t="s">
        <v>46</v>
      </c>
      <c r="M257" s="36" t="s">
        <v>125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442</v>
      </c>
      <c r="AG257" s="75"/>
      <c r="AJ257" s="79" t="s">
        <v>46</v>
      </c>
      <c r="AK257" s="79">
        <v>0</v>
      </c>
      <c r="BB257" s="344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156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445</v>
      </c>
      <c r="B261" s="60" t="s">
        <v>446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447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448</v>
      </c>
      <c r="B262" s="60" t="s">
        <v>449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447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76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450</v>
      </c>
      <c r="B266" s="60" t="s">
        <v>451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133</v>
      </c>
      <c r="L266" s="35" t="s">
        <v>46</v>
      </c>
      <c r="M266" s="36" t="s">
        <v>80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452</v>
      </c>
      <c r="AG266" s="75"/>
      <c r="AJ266" s="79" t="s">
        <v>46</v>
      </c>
      <c r="AK266" s="79">
        <v>0</v>
      </c>
      <c r="BB266" s="350" t="s">
        <v>66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453</v>
      </c>
      <c r="B267" s="60" t="s">
        <v>454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133</v>
      </c>
      <c r="L267" s="35" t="s">
        <v>46</v>
      </c>
      <c r="M267" s="36" t="s">
        <v>80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455</v>
      </c>
      <c r="AG267" s="75"/>
      <c r="AJ267" s="79" t="s">
        <v>46</v>
      </c>
      <c r="AK267" s="79">
        <v>0</v>
      </c>
      <c r="BB267" s="352" t="s">
        <v>66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456</v>
      </c>
      <c r="B268" s="60" t="s">
        <v>457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133</v>
      </c>
      <c r="L268" s="35" t="s">
        <v>46</v>
      </c>
      <c r="M268" s="36" t="s">
        <v>80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458</v>
      </c>
      <c r="AG268" s="75"/>
      <c r="AJ268" s="79" t="s">
        <v>46</v>
      </c>
      <c r="AK268" s="79">
        <v>0</v>
      </c>
      <c r="BB268" s="354" t="s">
        <v>66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461</v>
      </c>
      <c r="AG269" s="75"/>
      <c r="AJ269" s="79" t="s">
        <v>46</v>
      </c>
      <c r="AK269" s="79">
        <v>0</v>
      </c>
      <c r="BB269" s="356" t="s">
        <v>66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452</v>
      </c>
      <c r="AG270" s="75"/>
      <c r="AJ270" s="79" t="s">
        <v>46</v>
      </c>
      <c r="AK270" s="79">
        <v>0</v>
      </c>
      <c r="BB270" s="358" t="s">
        <v>66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455</v>
      </c>
      <c r="AG271" s="75"/>
      <c r="AJ271" s="79" t="s">
        <v>46</v>
      </c>
      <c r="AK271" s="79">
        <v>0</v>
      </c>
      <c r="BB271" s="360" t="s">
        <v>66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458</v>
      </c>
      <c r="AG272" s="75"/>
      <c r="AJ272" s="79" t="s">
        <v>46</v>
      </c>
      <c r="AK272" s="79">
        <v>0</v>
      </c>
      <c r="BB272" s="362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468</v>
      </c>
      <c r="B273" s="60" t="s">
        <v>469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461</v>
      </c>
      <c r="AG273" s="75"/>
      <c r="AJ273" s="79" t="s">
        <v>46</v>
      </c>
      <c r="AK273" s="79">
        <v>0</v>
      </c>
      <c r="BB273" s="364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85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470</v>
      </c>
      <c r="B277" s="60" t="s">
        <v>471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126</v>
      </c>
      <c r="L277" s="35" t="s">
        <v>46</v>
      </c>
      <c r="M277" s="36" t="s">
        <v>89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472</v>
      </c>
      <c r="AG277" s="75"/>
      <c r="AJ277" s="79" t="s">
        <v>46</v>
      </c>
      <c r="AK277" s="79">
        <v>0</v>
      </c>
      <c r="BB277" s="366" t="s">
        <v>66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473</v>
      </c>
      <c r="B278" s="60" t="s">
        <v>474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126</v>
      </c>
      <c r="L278" s="35" t="s">
        <v>46</v>
      </c>
      <c r="M278" s="36" t="s">
        <v>89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475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126</v>
      </c>
      <c r="L279" s="35" t="s">
        <v>46</v>
      </c>
      <c r="M279" s="36" t="s">
        <v>89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478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66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90</v>
      </c>
      <c r="L281" s="35" t="s">
        <v>46</v>
      </c>
      <c r="M281" s="36" t="s">
        <v>96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478</v>
      </c>
      <c r="AG281" s="75"/>
      <c r="AJ281" s="79" t="s">
        <v>46</v>
      </c>
      <c r="AK281" s="79">
        <v>0</v>
      </c>
      <c r="BB281" s="374" t="s">
        <v>66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133</v>
      </c>
      <c r="L282" s="35" t="s">
        <v>46</v>
      </c>
      <c r="M282" s="36" t="s">
        <v>89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485</v>
      </c>
      <c r="AG282" s="75"/>
      <c r="AJ282" s="79" t="s">
        <v>46</v>
      </c>
      <c r="AK282" s="79">
        <v>0</v>
      </c>
      <c r="BB282" s="376" t="s">
        <v>66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478</v>
      </c>
      <c r="AG283" s="75"/>
      <c r="AJ283" s="79" t="s">
        <v>46</v>
      </c>
      <c r="AK283" s="79">
        <v>0</v>
      </c>
      <c r="BB283" s="378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485</v>
      </c>
      <c r="AG284" s="75"/>
      <c r="AJ284" s="79" t="s">
        <v>46</v>
      </c>
      <c r="AK284" s="79">
        <v>0</v>
      </c>
      <c r="BB284" s="380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478</v>
      </c>
      <c r="AG285" s="75"/>
      <c r="AJ285" s="79" t="s">
        <v>46</v>
      </c>
      <c r="AK285" s="79">
        <v>0</v>
      </c>
      <c r="BB285" s="382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492</v>
      </c>
      <c r="B286" s="60" t="s">
        <v>493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494</v>
      </c>
      <c r="AG286" s="75"/>
      <c r="AJ286" s="79" t="s">
        <v>46</v>
      </c>
      <c r="AK286" s="79">
        <v>0</v>
      </c>
      <c r="BB286" s="384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497</v>
      </c>
      <c r="AG287" s="75"/>
      <c r="AJ287" s="79" t="s">
        <v>46</v>
      </c>
      <c r="AK287" s="79">
        <v>0</v>
      </c>
      <c r="BB287" s="386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500</v>
      </c>
      <c r="AG288" s="75"/>
      <c r="AJ288" s="79" t="s">
        <v>46</v>
      </c>
      <c r="AK288" s="79">
        <v>0</v>
      </c>
      <c r="BB288" s="388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174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501</v>
      </c>
      <c r="B292" s="60" t="s">
        <v>502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507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121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508</v>
      </c>
      <c r="B298" s="60" t="s">
        <v>509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126</v>
      </c>
      <c r="L298" s="35" t="s">
        <v>46</v>
      </c>
      <c r="M298" s="36" t="s">
        <v>125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510</v>
      </c>
      <c r="AG298" s="75"/>
      <c r="AJ298" s="79" t="s">
        <v>46</v>
      </c>
      <c r="AK298" s="79">
        <v>0</v>
      </c>
      <c r="BB298" s="394" t="s">
        <v>66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511</v>
      </c>
      <c r="B299" s="60" t="s">
        <v>512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126</v>
      </c>
      <c r="L299" s="35" t="s">
        <v>46</v>
      </c>
      <c r="M299" s="36" t="s">
        <v>125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513</v>
      </c>
      <c r="AG299" s="75"/>
      <c r="AJ299" s="79" t="s">
        <v>46</v>
      </c>
      <c r="AK299" s="79">
        <v>0</v>
      </c>
      <c r="BB299" s="396" t="s">
        <v>66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126</v>
      </c>
      <c r="L300" s="35" t="s">
        <v>46</v>
      </c>
      <c r="M300" s="36" t="s">
        <v>125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361</v>
      </c>
      <c r="AG300" s="75"/>
      <c r="AJ300" s="79" t="s">
        <v>46</v>
      </c>
      <c r="AK300" s="79">
        <v>0</v>
      </c>
      <c r="BB300" s="398" t="s">
        <v>66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516</v>
      </c>
      <c r="B301" s="60" t="s">
        <v>517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133</v>
      </c>
      <c r="L301" s="35" t="s">
        <v>46</v>
      </c>
      <c r="M301" s="36" t="s">
        <v>125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510</v>
      </c>
      <c r="AG301" s="75"/>
      <c r="AJ301" s="79" t="s">
        <v>46</v>
      </c>
      <c r="AK301" s="79">
        <v>0</v>
      </c>
      <c r="BB301" s="400" t="s">
        <v>66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133</v>
      </c>
      <c r="L302" s="35" t="s">
        <v>46</v>
      </c>
      <c r="M302" s="36" t="s">
        <v>125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520</v>
      </c>
      <c r="AG302" s="75"/>
      <c r="AJ302" s="79" t="s">
        <v>46</v>
      </c>
      <c r="AK302" s="79">
        <v>0</v>
      </c>
      <c r="BB302" s="402" t="s">
        <v>66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90</v>
      </c>
      <c r="L303" s="35" t="s">
        <v>46</v>
      </c>
      <c r="M303" s="36" t="s">
        <v>125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523</v>
      </c>
      <c r="AG303" s="75"/>
      <c r="AJ303" s="79" t="s">
        <v>46</v>
      </c>
      <c r="AK303" s="79">
        <v>0</v>
      </c>
      <c r="BB303" s="404" t="s">
        <v>66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361</v>
      </c>
      <c r="AG304" s="75"/>
      <c r="AJ304" s="79" t="s">
        <v>46</v>
      </c>
      <c r="AK304" s="79">
        <v>0</v>
      </c>
      <c r="BB304" s="406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156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526</v>
      </c>
      <c r="B308" s="60" t="s">
        <v>527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81</v>
      </c>
      <c r="L308" s="35" t="s">
        <v>46</v>
      </c>
      <c r="M308" s="36" t="s">
        <v>89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528</v>
      </c>
      <c r="AG308" s="75"/>
      <c r="AJ308" s="79" t="s">
        <v>46</v>
      </c>
      <c r="AK308" s="79">
        <v>0</v>
      </c>
      <c r="BB308" s="408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529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530</v>
      </c>
      <c r="B312" s="60" t="s">
        <v>531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342</v>
      </c>
      <c r="L312" s="35" t="s">
        <v>46</v>
      </c>
      <c r="M312" s="36" t="s">
        <v>282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532</v>
      </c>
      <c r="AG312" s="75"/>
      <c r="AJ312" s="79" t="s">
        <v>46</v>
      </c>
      <c r="AK312" s="79">
        <v>0</v>
      </c>
      <c r="BB312" s="410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338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533</v>
      </c>
      <c r="B316" s="60" t="s">
        <v>534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342</v>
      </c>
      <c r="L316" s="35" t="s">
        <v>46</v>
      </c>
      <c r="M316" s="36" t="s">
        <v>282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535</v>
      </c>
      <c r="AG316" s="75"/>
      <c r="AJ316" s="79" t="s">
        <v>46</v>
      </c>
      <c r="AK316" s="79">
        <v>0</v>
      </c>
      <c r="BB316" s="412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536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121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537</v>
      </c>
      <c r="B321" s="60" t="s">
        <v>538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126</v>
      </c>
      <c r="L321" s="35" t="s">
        <v>46</v>
      </c>
      <c r="M321" s="36" t="s">
        <v>125</v>
      </c>
      <c r="N321" s="36"/>
      <c r="O321" s="35">
        <v>55</v>
      </c>
      <c r="P321" s="888" t="s">
        <v>539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541</v>
      </c>
      <c r="AC321" s="413" t="s">
        <v>540</v>
      </c>
      <c r="AG321" s="75"/>
      <c r="AJ321" s="79" t="s">
        <v>46</v>
      </c>
      <c r="AK321" s="79">
        <v>0</v>
      </c>
      <c r="BB321" s="414" t="s">
        <v>66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542</v>
      </c>
      <c r="B322" s="60" t="s">
        <v>543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126</v>
      </c>
      <c r="L322" s="35" t="s">
        <v>46</v>
      </c>
      <c r="M322" s="36" t="s">
        <v>125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544</v>
      </c>
      <c r="AG322" s="75"/>
      <c r="AJ322" s="79" t="s">
        <v>46</v>
      </c>
      <c r="AK322" s="79">
        <v>0</v>
      </c>
      <c r="BB322" s="416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545</v>
      </c>
      <c r="B323" s="60" t="s">
        <v>546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126</v>
      </c>
      <c r="L323" s="35" t="s">
        <v>46</v>
      </c>
      <c r="M323" s="36" t="s">
        <v>125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547</v>
      </c>
      <c r="AG323" s="75"/>
      <c r="AJ323" s="79" t="s">
        <v>46</v>
      </c>
      <c r="AK323" s="79">
        <v>0</v>
      </c>
      <c r="BB323" s="418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126</v>
      </c>
      <c r="L324" s="35" t="s">
        <v>46</v>
      </c>
      <c r="M324" s="36" t="s">
        <v>125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550</v>
      </c>
      <c r="AG324" s="75"/>
      <c r="AJ324" s="79" t="s">
        <v>46</v>
      </c>
      <c r="AK324" s="79">
        <v>0</v>
      </c>
      <c r="BB324" s="420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551</v>
      </c>
      <c r="B325" s="60" t="s">
        <v>552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133</v>
      </c>
      <c r="L325" s="35" t="s">
        <v>46</v>
      </c>
      <c r="M325" s="36" t="s">
        <v>125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553</v>
      </c>
      <c r="AG325" s="75"/>
      <c r="AJ325" s="79" t="s">
        <v>46</v>
      </c>
      <c r="AK325" s="79">
        <v>0</v>
      </c>
      <c r="BB325" s="422" t="s">
        <v>66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554</v>
      </c>
      <c r="B326" s="60" t="s">
        <v>555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133</v>
      </c>
      <c r="L326" s="35" t="s">
        <v>46</v>
      </c>
      <c r="M326" s="36" t="s">
        <v>125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556</v>
      </c>
      <c r="AG326" s="75"/>
      <c r="AJ326" s="79" t="s">
        <v>46</v>
      </c>
      <c r="AK326" s="79">
        <v>0</v>
      </c>
      <c r="BB326" s="424" t="s">
        <v>66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557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85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558</v>
      </c>
      <c r="B331" s="60" t="s">
        <v>559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560</v>
      </c>
      <c r="AG331" s="75"/>
      <c r="AJ331" s="79" t="s">
        <v>46</v>
      </c>
      <c r="AK331" s="79">
        <v>0</v>
      </c>
      <c r="BB331" s="426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561</v>
      </c>
      <c r="B332" s="60" t="s">
        <v>562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563</v>
      </c>
      <c r="AG332" s="75"/>
      <c r="AJ332" s="79" t="s">
        <v>46</v>
      </c>
      <c r="AK332" s="79">
        <v>0</v>
      </c>
      <c r="BB332" s="428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564</v>
      </c>
      <c r="B333" s="60" t="s">
        <v>565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560</v>
      </c>
      <c r="AG333" s="75"/>
      <c r="AJ333" s="79" t="s">
        <v>46</v>
      </c>
      <c r="AK333" s="79">
        <v>0</v>
      </c>
      <c r="BB333" s="430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566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76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393</v>
      </c>
      <c r="AG338" s="75"/>
      <c r="AJ338" s="79" t="s">
        <v>46</v>
      </c>
      <c r="AK338" s="79">
        <v>0</v>
      </c>
      <c r="BB338" s="432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571</v>
      </c>
      <c r="AG339" s="75"/>
      <c r="AJ339" s="79" t="s">
        <v>46</v>
      </c>
      <c r="AK339" s="79">
        <v>0</v>
      </c>
      <c r="BB339" s="434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574</v>
      </c>
      <c r="AG340" s="75"/>
      <c r="AJ340" s="79" t="s">
        <v>46</v>
      </c>
      <c r="AK340" s="79">
        <v>0</v>
      </c>
      <c r="BB340" s="436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575</v>
      </c>
      <c r="B341" s="60" t="s">
        <v>576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577</v>
      </c>
      <c r="AG341" s="75"/>
      <c r="AJ341" s="79" t="s">
        <v>46</v>
      </c>
      <c r="AK341" s="79">
        <v>0</v>
      </c>
      <c r="BB341" s="438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578</v>
      </c>
      <c r="B342" s="60" t="s">
        <v>579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580</v>
      </c>
      <c r="AG342" s="75"/>
      <c r="AJ342" s="79" t="s">
        <v>46</v>
      </c>
      <c r="AK342" s="79">
        <v>0</v>
      </c>
      <c r="BB342" s="440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85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581</v>
      </c>
      <c r="B346" s="60" t="s">
        <v>582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133</v>
      </c>
      <c r="L346" s="35" t="s">
        <v>46</v>
      </c>
      <c r="M346" s="36" t="s">
        <v>89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583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584</v>
      </c>
      <c r="B347" s="60" t="s">
        <v>585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133</v>
      </c>
      <c r="L347" s="35" t="s">
        <v>46</v>
      </c>
      <c r="M347" s="36" t="s">
        <v>89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586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587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121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588</v>
      </c>
      <c r="B352" s="60" t="s">
        <v>589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126</v>
      </c>
      <c r="L352" s="35" t="s">
        <v>46</v>
      </c>
      <c r="M352" s="36" t="s">
        <v>89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352</v>
      </c>
      <c r="AG352" s="75"/>
      <c r="AJ352" s="79" t="s">
        <v>46</v>
      </c>
      <c r="AK352" s="79">
        <v>0</v>
      </c>
      <c r="BB352" s="446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590</v>
      </c>
      <c r="B353" s="60" t="s">
        <v>591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126</v>
      </c>
      <c r="L353" s="35" t="s">
        <v>46</v>
      </c>
      <c r="M353" s="36" t="s">
        <v>89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592</v>
      </c>
      <c r="AG353" s="75"/>
      <c r="AJ353" s="79" t="s">
        <v>46</v>
      </c>
      <c r="AK353" s="79">
        <v>0</v>
      </c>
      <c r="BB353" s="448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126</v>
      </c>
      <c r="L354" s="35" t="s">
        <v>46</v>
      </c>
      <c r="M354" s="36" t="s">
        <v>89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595</v>
      </c>
      <c r="AG354" s="75"/>
      <c r="AJ354" s="79" t="s">
        <v>46</v>
      </c>
      <c r="AK354" s="79">
        <v>0</v>
      </c>
      <c r="BB354" s="45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596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121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126</v>
      </c>
      <c r="L359" s="35" t="s">
        <v>46</v>
      </c>
      <c r="M359" s="36" t="s">
        <v>125</v>
      </c>
      <c r="N359" s="36"/>
      <c r="O359" s="35">
        <v>55</v>
      </c>
      <c r="P359" s="907" t="s">
        <v>599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541</v>
      </c>
      <c r="AC359" s="451" t="s">
        <v>520</v>
      </c>
      <c r="AG359" s="75"/>
      <c r="AJ359" s="79" t="s">
        <v>46</v>
      </c>
      <c r="AK359" s="79">
        <v>0</v>
      </c>
      <c r="BB359" s="452" t="s">
        <v>66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600</v>
      </c>
      <c r="B360" s="60" t="s">
        <v>601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126</v>
      </c>
      <c r="L360" s="35" t="s">
        <v>46</v>
      </c>
      <c r="M360" s="36" t="s">
        <v>125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602</v>
      </c>
      <c r="AG360" s="75"/>
      <c r="AJ360" s="79" t="s">
        <v>46</v>
      </c>
      <c r="AK360" s="79">
        <v>0</v>
      </c>
      <c r="BB360" s="454" t="s">
        <v>66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603</v>
      </c>
      <c r="B361" s="60" t="s">
        <v>604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126</v>
      </c>
      <c r="L361" s="35" t="s">
        <v>46</v>
      </c>
      <c r="M361" s="36" t="s">
        <v>125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605</v>
      </c>
      <c r="AG361" s="75"/>
      <c r="AJ361" s="79" t="s">
        <v>46</v>
      </c>
      <c r="AK361" s="79">
        <v>0</v>
      </c>
      <c r="BB361" s="456" t="s">
        <v>66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606</v>
      </c>
      <c r="B362" s="60" t="s">
        <v>607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126</v>
      </c>
      <c r="L362" s="35" t="s">
        <v>46</v>
      </c>
      <c r="M362" s="36" t="s">
        <v>125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608</v>
      </c>
      <c r="AG362" s="75"/>
      <c r="AJ362" s="79" t="s">
        <v>46</v>
      </c>
      <c r="AK362" s="79">
        <v>0</v>
      </c>
      <c r="BB362" s="458" t="s">
        <v>66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609</v>
      </c>
      <c r="B363" s="60" t="s">
        <v>610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89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611</v>
      </c>
      <c r="AG363" s="75"/>
      <c r="AJ363" s="79" t="s">
        <v>46</v>
      </c>
      <c r="AK363" s="79">
        <v>0</v>
      </c>
      <c r="BB363" s="460" t="s">
        <v>66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612</v>
      </c>
      <c r="B364" s="60" t="s">
        <v>613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133</v>
      </c>
      <c r="L364" s="35" t="s">
        <v>46</v>
      </c>
      <c r="M364" s="36" t="s">
        <v>125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605</v>
      </c>
      <c r="AG364" s="75"/>
      <c r="AJ364" s="79" t="s">
        <v>46</v>
      </c>
      <c r="AK364" s="79">
        <v>0</v>
      </c>
      <c r="BB364" s="462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614</v>
      </c>
      <c r="B365" s="60" t="s">
        <v>615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133</v>
      </c>
      <c r="L365" s="35" t="s">
        <v>46</v>
      </c>
      <c r="M365" s="36" t="s">
        <v>125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616</v>
      </c>
      <c r="AG365" s="75"/>
      <c r="AJ365" s="79" t="s">
        <v>46</v>
      </c>
      <c r="AK365" s="79">
        <v>0</v>
      </c>
      <c r="BB365" s="464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76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617</v>
      </c>
      <c r="B369" s="60" t="s">
        <v>618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133</v>
      </c>
      <c r="L369" s="35" t="s">
        <v>46</v>
      </c>
      <c r="M369" s="36" t="s">
        <v>80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619</v>
      </c>
      <c r="AG369" s="75"/>
      <c r="AJ369" s="79" t="s">
        <v>46</v>
      </c>
      <c r="AK369" s="79">
        <v>0</v>
      </c>
      <c r="BB369" s="466" t="s">
        <v>66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620</v>
      </c>
      <c r="B370" s="60" t="s">
        <v>621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133</v>
      </c>
      <c r="L370" s="35" t="s">
        <v>46</v>
      </c>
      <c r="M370" s="36" t="s">
        <v>80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622</v>
      </c>
      <c r="AG370" s="75"/>
      <c r="AJ370" s="79" t="s">
        <v>46</v>
      </c>
      <c r="AK370" s="79">
        <v>0</v>
      </c>
      <c r="BB370" s="468" t="s">
        <v>66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623</v>
      </c>
      <c r="B371" s="60" t="s">
        <v>624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133</v>
      </c>
      <c r="L371" s="35" t="s">
        <v>46</v>
      </c>
      <c r="M371" s="36" t="s">
        <v>80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625</v>
      </c>
      <c r="AG371" s="75"/>
      <c r="AJ371" s="79" t="s">
        <v>46</v>
      </c>
      <c r="AK371" s="79">
        <v>0</v>
      </c>
      <c r="BB371" s="470" t="s">
        <v>66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626</v>
      </c>
      <c r="B372" s="60" t="s">
        <v>627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81</v>
      </c>
      <c r="L372" s="35" t="s">
        <v>46</v>
      </c>
      <c r="M372" s="36" t="s">
        <v>80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622</v>
      </c>
      <c r="AG372" s="75"/>
      <c r="AJ372" s="79" t="s">
        <v>46</v>
      </c>
      <c r="AK372" s="79">
        <v>0</v>
      </c>
      <c r="BB372" s="472" t="s">
        <v>66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628</v>
      </c>
      <c r="B373" s="60" t="s">
        <v>629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81</v>
      </c>
      <c r="L373" s="35" t="s">
        <v>46</v>
      </c>
      <c r="M373" s="36" t="s">
        <v>80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630</v>
      </c>
      <c r="AG373" s="75"/>
      <c r="AJ373" s="79" t="s">
        <v>46</v>
      </c>
      <c r="AK373" s="79">
        <v>0</v>
      </c>
      <c r="BB373" s="474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631</v>
      </c>
      <c r="B374" s="60" t="s">
        <v>632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625</v>
      </c>
      <c r="AG374" s="75"/>
      <c r="AJ374" s="79" t="s">
        <v>46</v>
      </c>
      <c r="AK374" s="79">
        <v>0</v>
      </c>
      <c r="BB374" s="476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633</v>
      </c>
      <c r="B375" s="60" t="s">
        <v>634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90</v>
      </c>
      <c r="L375" s="35" t="s">
        <v>46</v>
      </c>
      <c r="M375" s="36" t="s">
        <v>80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635</v>
      </c>
      <c r="AG375" s="75"/>
      <c r="AJ375" s="79" t="s">
        <v>46</v>
      </c>
      <c r="AK375" s="79">
        <v>0</v>
      </c>
      <c r="BB375" s="478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85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636</v>
      </c>
      <c r="B379" s="60" t="s">
        <v>637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126</v>
      </c>
      <c r="L379" s="35" t="s">
        <v>46</v>
      </c>
      <c r="M379" s="36" t="s">
        <v>89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638</v>
      </c>
      <c r="AG379" s="75"/>
      <c r="AJ379" s="79" t="s">
        <v>46</v>
      </c>
      <c r="AK379" s="79">
        <v>0</v>
      </c>
      <c r="BB379" s="480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639</v>
      </c>
      <c r="B380" s="60" t="s">
        <v>640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126</v>
      </c>
      <c r="L380" s="35" t="s">
        <v>46</v>
      </c>
      <c r="M380" s="36" t="s">
        <v>89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641</v>
      </c>
      <c r="AG380" s="75"/>
      <c r="AJ380" s="79" t="s">
        <v>46</v>
      </c>
      <c r="AK380" s="79">
        <v>0</v>
      </c>
      <c r="BB380" s="482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642</v>
      </c>
      <c r="B381" s="60" t="s">
        <v>643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126</v>
      </c>
      <c r="L381" s="35" t="s">
        <v>46</v>
      </c>
      <c r="M381" s="36" t="s">
        <v>89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644</v>
      </c>
      <c r="AG381" s="75"/>
      <c r="AJ381" s="79" t="s">
        <v>46</v>
      </c>
      <c r="AK381" s="79">
        <v>0</v>
      </c>
      <c r="BB381" s="484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645</v>
      </c>
      <c r="B382" s="60" t="s">
        <v>646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90</v>
      </c>
      <c r="L382" s="35" t="s">
        <v>46</v>
      </c>
      <c r="M382" s="36" t="s">
        <v>89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174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647</v>
      </c>
      <c r="B386" s="60" t="s">
        <v>648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649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650</v>
      </c>
      <c r="B387" s="60" t="s">
        <v>651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652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653</v>
      </c>
      <c r="B388" s="60" t="s">
        <v>654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126</v>
      </c>
      <c r="L388" s="35" t="s">
        <v>46</v>
      </c>
      <c r="M388" s="36" t="s">
        <v>96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655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277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656</v>
      </c>
      <c r="B392" s="60" t="s">
        <v>657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133</v>
      </c>
      <c r="L392" s="35" t="s">
        <v>46</v>
      </c>
      <c r="M392" s="36" t="s">
        <v>253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658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659</v>
      </c>
      <c r="B393" s="60" t="s">
        <v>660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133</v>
      </c>
      <c r="L393" s="35" t="s">
        <v>46</v>
      </c>
      <c r="M393" s="36" t="s">
        <v>253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661</v>
      </c>
      <c r="B394" s="60" t="s">
        <v>662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90</v>
      </c>
      <c r="L394" s="35" t="s">
        <v>46</v>
      </c>
      <c r="M394" s="36" t="s">
        <v>253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658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663</v>
      </c>
      <c r="B395" s="60" t="s">
        <v>664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90</v>
      </c>
      <c r="L395" s="35" t="s">
        <v>46</v>
      </c>
      <c r="M395" s="36" t="s">
        <v>253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658</v>
      </c>
      <c r="AG395" s="75"/>
      <c r="AJ395" s="79" t="s">
        <v>46</v>
      </c>
      <c r="AK395" s="79">
        <v>0</v>
      </c>
      <c r="BB395" s="500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665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666</v>
      </c>
      <c r="B399" s="60" t="s">
        <v>667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669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668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670</v>
      </c>
      <c r="B400" s="60" t="s">
        <v>671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90</v>
      </c>
      <c r="L400" s="35" t="s">
        <v>46</v>
      </c>
      <c r="M400" s="36" t="s">
        <v>669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668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672</v>
      </c>
      <c r="B401" s="60" t="s">
        <v>673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668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674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675</v>
      </c>
      <c r="B405" s="60" t="s">
        <v>676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669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678</v>
      </c>
      <c r="B406" s="60" t="s">
        <v>679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133</v>
      </c>
      <c r="L406" s="35" t="s">
        <v>46</v>
      </c>
      <c r="M406" s="36" t="s">
        <v>669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681</v>
      </c>
      <c r="B407" s="60" t="s">
        <v>682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677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683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85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684</v>
      </c>
      <c r="B412" s="60" t="s">
        <v>685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126</v>
      </c>
      <c r="L412" s="35" t="s">
        <v>46</v>
      </c>
      <c r="M412" s="36" t="s">
        <v>89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686</v>
      </c>
      <c r="AG412" s="75"/>
      <c r="AJ412" s="79" t="s">
        <v>46</v>
      </c>
      <c r="AK412" s="79">
        <v>0</v>
      </c>
      <c r="BB412" s="514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687</v>
      </c>
      <c r="B413" s="60" t="s">
        <v>688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126</v>
      </c>
      <c r="L413" s="35" t="s">
        <v>46</v>
      </c>
      <c r="M413" s="36" t="s">
        <v>89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689</v>
      </c>
      <c r="AG413" s="75"/>
      <c r="AJ413" s="79" t="s">
        <v>46</v>
      </c>
      <c r="AK413" s="79">
        <v>0</v>
      </c>
      <c r="BB413" s="516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690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85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691</v>
      </c>
      <c r="B418" s="60" t="s">
        <v>692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126</v>
      </c>
      <c r="L418" s="35" t="s">
        <v>46</v>
      </c>
      <c r="M418" s="36" t="s">
        <v>96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693</v>
      </c>
      <c r="AG418" s="75"/>
      <c r="AJ418" s="79" t="s">
        <v>46</v>
      </c>
      <c r="AK418" s="79">
        <v>0</v>
      </c>
      <c r="BB418" s="51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694</v>
      </c>
      <c r="B419" s="60" t="s">
        <v>695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90</v>
      </c>
      <c r="L419" s="35" t="s">
        <v>46</v>
      </c>
      <c r="M419" s="36" t="s">
        <v>89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696</v>
      </c>
      <c r="AG419" s="75"/>
      <c r="AJ419" s="79" t="s">
        <v>46</v>
      </c>
      <c r="AK419" s="79">
        <v>0</v>
      </c>
      <c r="BB419" s="52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697</v>
      </c>
      <c r="B420" s="60" t="s">
        <v>698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90</v>
      </c>
      <c r="L420" s="35" t="s">
        <v>46</v>
      </c>
      <c r="M420" s="36" t="s">
        <v>96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699</v>
      </c>
      <c r="AG420" s="75"/>
      <c r="AJ420" s="79" t="s">
        <v>46</v>
      </c>
      <c r="AK420" s="79">
        <v>0</v>
      </c>
      <c r="BB420" s="52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700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701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121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702</v>
      </c>
      <c r="B426" s="60" t="s">
        <v>703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126</v>
      </c>
      <c r="L426" s="35" t="s">
        <v>46</v>
      </c>
      <c r="M426" s="36" t="s">
        <v>96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704</v>
      </c>
      <c r="AG426" s="75"/>
      <c r="AJ426" s="79" t="s">
        <v>46</v>
      </c>
      <c r="AK426" s="79">
        <v>0</v>
      </c>
      <c r="BB426" s="524" t="s">
        <v>66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705</v>
      </c>
      <c r="B427" s="60" t="s">
        <v>706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126</v>
      </c>
      <c r="L427" s="35" t="s">
        <v>46</v>
      </c>
      <c r="M427" s="36" t="s">
        <v>80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360</v>
      </c>
      <c r="Y427" s="53">
        <f t="shared" si="68"/>
        <v>360</v>
      </c>
      <c r="Z427" s="39">
        <f>IFERROR(IF(Y427=0,"",ROUNDUP(Y427/H427,0)*0.02175),"")</f>
        <v>0.52200000000000002</v>
      </c>
      <c r="AA427" s="65" t="s">
        <v>46</v>
      </c>
      <c r="AB427" s="66" t="s">
        <v>46</v>
      </c>
      <c r="AC427" s="525" t="s">
        <v>707</v>
      </c>
      <c r="AG427" s="75"/>
      <c r="AJ427" s="79" t="s">
        <v>46</v>
      </c>
      <c r="AK427" s="79">
        <v>0</v>
      </c>
      <c r="BB427" s="526" t="s">
        <v>66</v>
      </c>
      <c r="BM427" s="75">
        <f t="shared" si="69"/>
        <v>371.28</v>
      </c>
      <c r="BN427" s="75">
        <f t="shared" si="70"/>
        <v>371.28</v>
      </c>
      <c r="BO427" s="75">
        <f t="shared" si="71"/>
        <v>0.5</v>
      </c>
      <c r="BP427" s="75">
        <f t="shared" si="72"/>
        <v>0.5</v>
      </c>
    </row>
    <row r="428" spans="1:68" ht="27" customHeight="1" x14ac:dyDescent="0.25">
      <c r="A428" s="60" t="s">
        <v>708</v>
      </c>
      <c r="B428" s="60" t="s">
        <v>709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126</v>
      </c>
      <c r="L428" s="35" t="s">
        <v>46</v>
      </c>
      <c r="M428" s="36" t="s">
        <v>125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390</v>
      </c>
      <c r="Y428" s="53">
        <f t="shared" si="68"/>
        <v>390</v>
      </c>
      <c r="Z428" s="39">
        <f>IFERROR(IF(Y428=0,"",ROUNDUP(Y428/H428,0)*0.02175),"")</f>
        <v>0.5655</v>
      </c>
      <c r="AA428" s="65" t="s">
        <v>46</v>
      </c>
      <c r="AB428" s="66" t="s">
        <v>46</v>
      </c>
      <c r="AC428" s="527" t="s">
        <v>710</v>
      </c>
      <c r="AG428" s="75"/>
      <c r="AJ428" s="79" t="s">
        <v>46</v>
      </c>
      <c r="AK428" s="79">
        <v>0</v>
      </c>
      <c r="BB428" s="528" t="s">
        <v>66</v>
      </c>
      <c r="BM428" s="75">
        <f t="shared" si="69"/>
        <v>402.22</v>
      </c>
      <c r="BN428" s="75">
        <f t="shared" si="70"/>
        <v>402.22</v>
      </c>
      <c r="BO428" s="75">
        <f t="shared" si="71"/>
        <v>0.54166666666666663</v>
      </c>
      <c r="BP428" s="75">
        <f t="shared" si="72"/>
        <v>0.54166666666666663</v>
      </c>
    </row>
    <row r="429" spans="1:68" ht="27" customHeight="1" x14ac:dyDescent="0.25">
      <c r="A429" s="60" t="s">
        <v>711</v>
      </c>
      <c r="B429" s="60" t="s">
        <v>712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80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390</v>
      </c>
      <c r="Y429" s="53">
        <f t="shared" si="68"/>
        <v>390</v>
      </c>
      <c r="Z429" s="39">
        <f>IFERROR(IF(Y429=0,"",ROUNDUP(Y429/H429,0)*0.02175),"")</f>
        <v>0.5655</v>
      </c>
      <c r="AA429" s="65" t="s">
        <v>46</v>
      </c>
      <c r="AB429" s="66" t="s">
        <v>46</v>
      </c>
      <c r="AC429" s="529" t="s">
        <v>713</v>
      </c>
      <c r="AG429" s="75"/>
      <c r="AJ429" s="79" t="s">
        <v>46</v>
      </c>
      <c r="AK429" s="79">
        <v>0</v>
      </c>
      <c r="BB429" s="530" t="s">
        <v>66</v>
      </c>
      <c r="BM429" s="75">
        <f t="shared" si="69"/>
        <v>402.22</v>
      </c>
      <c r="BN429" s="75">
        <f t="shared" si="70"/>
        <v>402.22</v>
      </c>
      <c r="BO429" s="75">
        <f t="shared" si="71"/>
        <v>0.54166666666666663</v>
      </c>
      <c r="BP429" s="75">
        <f t="shared" si="72"/>
        <v>0.54166666666666663</v>
      </c>
    </row>
    <row r="430" spans="1:68" ht="27" hidden="1" customHeight="1" x14ac:dyDescent="0.25">
      <c r="A430" s="60" t="s">
        <v>714</v>
      </c>
      <c r="B430" s="60" t="s">
        <v>715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96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716</v>
      </c>
      <c r="AG430" s="75"/>
      <c r="AJ430" s="79" t="s">
        <v>46</v>
      </c>
      <c r="AK430" s="79">
        <v>0</v>
      </c>
      <c r="BB430" s="532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717</v>
      </c>
      <c r="B431" s="60" t="s">
        <v>718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133</v>
      </c>
      <c r="L431" s="35" t="s">
        <v>46</v>
      </c>
      <c r="M431" s="36" t="s">
        <v>125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719</v>
      </c>
      <c r="AG431" s="75"/>
      <c r="AJ431" s="79" t="s">
        <v>46</v>
      </c>
      <c r="AK431" s="79">
        <v>0</v>
      </c>
      <c r="BB431" s="534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720</v>
      </c>
      <c r="B432" s="60" t="s">
        <v>721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133</v>
      </c>
      <c r="L432" s="35" t="s">
        <v>46</v>
      </c>
      <c r="M432" s="36" t="s">
        <v>80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722</v>
      </c>
      <c r="AG432" s="75"/>
      <c r="AJ432" s="79" t="s">
        <v>46</v>
      </c>
      <c r="AK432" s="79">
        <v>0</v>
      </c>
      <c r="BB432" s="536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723</v>
      </c>
      <c r="B433" s="60" t="s">
        <v>724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133</v>
      </c>
      <c r="L433" s="35" t="s">
        <v>46</v>
      </c>
      <c r="M433" s="36" t="s">
        <v>80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725</v>
      </c>
      <c r="AG433" s="75"/>
      <c r="AJ433" s="79" t="s">
        <v>46</v>
      </c>
      <c r="AK433" s="79">
        <v>0</v>
      </c>
      <c r="BB433" s="538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76</v>
      </c>
      <c r="Y434" s="41">
        <f>IFERROR(Y426/H426,"0")+IFERROR(Y427/H427,"0")+IFERROR(Y428/H428,"0")+IFERROR(Y429/H429,"0")+IFERROR(Y430/H430,"0")+IFERROR(Y431/H431,"0")+IFERROR(Y432/H432,"0")+IFERROR(Y433/H433,"0")</f>
        <v>76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1.653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1140</v>
      </c>
      <c r="Y435" s="41">
        <f>IFERROR(SUM(Y426:Y433),"0")</f>
        <v>1140</v>
      </c>
      <c r="Z435" s="40"/>
      <c r="AA435" s="64"/>
      <c r="AB435" s="64"/>
      <c r="AC435" s="64"/>
    </row>
    <row r="436" spans="1:68" ht="14.25" hidden="1" customHeight="1" x14ac:dyDescent="0.25">
      <c r="A436" s="713" t="s">
        <v>156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customHeight="1" x14ac:dyDescent="0.25">
      <c r="A437" s="60" t="s">
        <v>726</v>
      </c>
      <c r="B437" s="60" t="s">
        <v>727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126</v>
      </c>
      <c r="L437" s="35" t="s">
        <v>46</v>
      </c>
      <c r="M437" s="36" t="s">
        <v>125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270</v>
      </c>
      <c r="Y437" s="53">
        <f>IFERROR(IF(X437="",0,CEILING((X437/$H437),1)*$H437),"")</f>
        <v>270</v>
      </c>
      <c r="Z437" s="39">
        <f>IFERROR(IF(Y437=0,"",ROUNDUP(Y437/H437,0)*0.02175),"")</f>
        <v>0.39149999999999996</v>
      </c>
      <c r="AA437" s="65" t="s">
        <v>46</v>
      </c>
      <c r="AB437" s="66" t="s">
        <v>46</v>
      </c>
      <c r="AC437" s="539" t="s">
        <v>728</v>
      </c>
      <c r="AG437" s="75"/>
      <c r="AJ437" s="79" t="s">
        <v>46</v>
      </c>
      <c r="AK437" s="79">
        <v>0</v>
      </c>
      <c r="BB437" s="540" t="s">
        <v>66</v>
      </c>
      <c r="BM437" s="75">
        <f>IFERROR(X437*I437/H437,"0")</f>
        <v>278.46000000000004</v>
      </c>
      <c r="BN437" s="75">
        <f>IFERROR(Y437*I437/H437,"0")</f>
        <v>278.46000000000004</v>
      </c>
      <c r="BO437" s="75">
        <f>IFERROR(1/J437*(X437/H437),"0")</f>
        <v>0.375</v>
      </c>
      <c r="BP437" s="75">
        <f>IFERROR(1/J437*(Y437/H437),"0")</f>
        <v>0.375</v>
      </c>
    </row>
    <row r="438" spans="1:68" ht="27" hidden="1" customHeight="1" x14ac:dyDescent="0.25">
      <c r="A438" s="60" t="s">
        <v>729</v>
      </c>
      <c r="B438" s="60" t="s">
        <v>730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126</v>
      </c>
      <c r="L438" s="35" t="s">
        <v>46</v>
      </c>
      <c r="M438" s="36" t="s">
        <v>125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731</v>
      </c>
      <c r="AG438" s="75"/>
      <c r="AJ438" s="79" t="s">
        <v>46</v>
      </c>
      <c r="AK438" s="79">
        <v>0</v>
      </c>
      <c r="BB438" s="542" t="s">
        <v>66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732</v>
      </c>
      <c r="B439" s="60" t="s">
        <v>733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133</v>
      </c>
      <c r="L439" s="35" t="s">
        <v>46</v>
      </c>
      <c r="M439" s="36" t="s">
        <v>125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734</v>
      </c>
      <c r="AG439" s="75"/>
      <c r="AJ439" s="79" t="s">
        <v>46</v>
      </c>
      <c r="AK439" s="79">
        <v>0</v>
      </c>
      <c r="BB439" s="54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18</v>
      </c>
      <c r="Y440" s="41">
        <f>IFERROR(Y437/H437,"0")+IFERROR(Y438/H438,"0")+IFERROR(Y439/H439,"0")</f>
        <v>18</v>
      </c>
      <c r="Z440" s="41">
        <f>IFERROR(IF(Z437="",0,Z437),"0")+IFERROR(IF(Z438="",0,Z438),"0")+IFERROR(IF(Z439="",0,Z439),"0")</f>
        <v>0.39149999999999996</v>
      </c>
      <c r="AA440" s="64"/>
      <c r="AB440" s="64"/>
      <c r="AC440" s="64"/>
    </row>
    <row r="441" spans="1:68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270</v>
      </c>
      <c r="Y441" s="41">
        <f>IFERROR(SUM(Y437:Y439),"0")</f>
        <v>270</v>
      </c>
      <c r="Z441" s="40"/>
      <c r="AA441" s="64"/>
      <c r="AB441" s="64"/>
      <c r="AC441" s="64"/>
    </row>
    <row r="442" spans="1:68" ht="14.25" hidden="1" customHeight="1" x14ac:dyDescent="0.25">
      <c r="A442" s="713" t="s">
        <v>85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735</v>
      </c>
      <c r="B443" s="60" t="s">
        <v>736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126</v>
      </c>
      <c r="L443" s="35" t="s">
        <v>46</v>
      </c>
      <c r="M443" s="36" t="s">
        <v>89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737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738</v>
      </c>
      <c r="B444" s="60" t="s">
        <v>739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126</v>
      </c>
      <c r="L444" s="35" t="s">
        <v>46</v>
      </c>
      <c r="M444" s="36" t="s">
        <v>89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740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741</v>
      </c>
      <c r="B445" s="60" t="s">
        <v>742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126</v>
      </c>
      <c r="L445" s="35" t="s">
        <v>46</v>
      </c>
      <c r="M445" s="36" t="s">
        <v>89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743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174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744</v>
      </c>
      <c r="B449" s="60" t="s">
        <v>745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126</v>
      </c>
      <c r="L449" s="35" t="s">
        <v>46</v>
      </c>
      <c r="M449" s="36" t="s">
        <v>89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746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747</v>
      </c>
      <c r="B450" s="60" t="s">
        <v>748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749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750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121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751</v>
      </c>
      <c r="B455" s="60" t="s">
        <v>752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126</v>
      </c>
      <c r="L455" s="35" t="s">
        <v>46</v>
      </c>
      <c r="M455" s="36" t="s">
        <v>80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753</v>
      </c>
      <c r="AG455" s="75"/>
      <c r="AJ455" s="79" t="s">
        <v>46</v>
      </c>
      <c r="AK455" s="79">
        <v>0</v>
      </c>
      <c r="BB455" s="556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754</v>
      </c>
      <c r="B456" s="60" t="s">
        <v>755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133</v>
      </c>
      <c r="L456" s="35" t="s">
        <v>46</v>
      </c>
      <c r="M456" s="36" t="s">
        <v>80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753</v>
      </c>
      <c r="AG456" s="75"/>
      <c r="AJ456" s="79" t="s">
        <v>46</v>
      </c>
      <c r="AK456" s="79">
        <v>0</v>
      </c>
      <c r="BB456" s="55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76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756</v>
      </c>
      <c r="B460" s="60" t="s">
        <v>757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133</v>
      </c>
      <c r="L460" s="35" t="s">
        <v>46</v>
      </c>
      <c r="M460" s="36" t="s">
        <v>80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758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85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759</v>
      </c>
      <c r="B464" s="60" t="s">
        <v>760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126</v>
      </c>
      <c r="L464" s="35" t="s">
        <v>46</v>
      </c>
      <c r="M464" s="36" t="s">
        <v>89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761</v>
      </c>
      <c r="AG464" s="75"/>
      <c r="AJ464" s="79" t="s">
        <v>46</v>
      </c>
      <c r="AK464" s="79">
        <v>0</v>
      </c>
      <c r="BB464" s="562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762</v>
      </c>
      <c r="B465" s="60" t="s">
        <v>763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90</v>
      </c>
      <c r="L465" s="35" t="s">
        <v>46</v>
      </c>
      <c r="M465" s="36" t="s">
        <v>89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762</v>
      </c>
      <c r="B466" s="60" t="s">
        <v>764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90</v>
      </c>
      <c r="L466" s="35" t="s">
        <v>46</v>
      </c>
      <c r="M466" s="36" t="s">
        <v>89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765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766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767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76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768</v>
      </c>
      <c r="B472" s="60" t="s">
        <v>769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133</v>
      </c>
      <c r="L472" s="35" t="s">
        <v>46</v>
      </c>
      <c r="M472" s="36" t="s">
        <v>80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770</v>
      </c>
      <c r="AG472" s="75"/>
      <c r="AJ472" s="79" t="s">
        <v>46</v>
      </c>
      <c r="AK472" s="79">
        <v>0</v>
      </c>
      <c r="BB472" s="568" t="s">
        <v>66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771</v>
      </c>
      <c r="B473" s="60" t="s">
        <v>772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133</v>
      </c>
      <c r="L473" s="35" t="s">
        <v>46</v>
      </c>
      <c r="M473" s="36" t="s">
        <v>80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773</v>
      </c>
      <c r="AG473" s="75"/>
      <c r="AJ473" s="79" t="s">
        <v>46</v>
      </c>
      <c r="AK473" s="79">
        <v>0</v>
      </c>
      <c r="BB473" s="570" t="s">
        <v>66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774</v>
      </c>
      <c r="B474" s="60" t="s">
        <v>775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770</v>
      </c>
      <c r="AG474" s="75"/>
      <c r="AJ474" s="79" t="s">
        <v>46</v>
      </c>
      <c r="AK474" s="79">
        <v>0</v>
      </c>
      <c r="BB474" s="572" t="s">
        <v>66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778</v>
      </c>
      <c r="AG475" s="75"/>
      <c r="AJ475" s="79" t="s">
        <v>46</v>
      </c>
      <c r="AK475" s="79">
        <v>0</v>
      </c>
      <c r="BB475" s="574" t="s">
        <v>66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779</v>
      </c>
      <c r="B476" s="60" t="s">
        <v>780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81</v>
      </c>
      <c r="L476" s="35" t="s">
        <v>46</v>
      </c>
      <c r="M476" s="36" t="s">
        <v>80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781</v>
      </c>
      <c r="AG476" s="75"/>
      <c r="AJ476" s="79" t="s">
        <v>46</v>
      </c>
      <c r="AK476" s="79">
        <v>0</v>
      </c>
      <c r="BB476" s="576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782</v>
      </c>
      <c r="B477" s="60" t="s">
        <v>783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778</v>
      </c>
      <c r="AG477" s="75"/>
      <c r="AJ477" s="79" t="s">
        <v>46</v>
      </c>
      <c r="AK477" s="79">
        <v>0</v>
      </c>
      <c r="BB477" s="578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85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784</v>
      </c>
      <c r="B481" s="60" t="s">
        <v>785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133</v>
      </c>
      <c r="L481" s="35" t="s">
        <v>46</v>
      </c>
      <c r="M481" s="36" t="s">
        <v>89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786</v>
      </c>
      <c r="AG481" s="75"/>
      <c r="AJ481" s="79" t="s">
        <v>46</v>
      </c>
      <c r="AK481" s="79">
        <v>0</v>
      </c>
      <c r="BB481" s="580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787</v>
      </c>
      <c r="B482" s="60" t="s">
        <v>788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90</v>
      </c>
      <c r="L482" s="35" t="s">
        <v>46</v>
      </c>
      <c r="M482" s="36" t="s">
        <v>89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789</v>
      </c>
      <c r="AG482" s="75"/>
      <c r="AJ482" s="79" t="s">
        <v>46</v>
      </c>
      <c r="AK482" s="79">
        <v>0</v>
      </c>
      <c r="BB482" s="582" t="s">
        <v>66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790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156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791</v>
      </c>
      <c r="B487" s="60" t="s">
        <v>792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90</v>
      </c>
      <c r="L487" s="35" t="s">
        <v>46</v>
      </c>
      <c r="M487" s="36" t="s">
        <v>80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793</v>
      </c>
      <c r="AG487" s="75"/>
      <c r="AJ487" s="79" t="s">
        <v>46</v>
      </c>
      <c r="AK487" s="79">
        <v>0</v>
      </c>
      <c r="BB487" s="58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76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794</v>
      </c>
      <c r="B491" s="60" t="s">
        <v>795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133</v>
      </c>
      <c r="L491" s="35" t="s">
        <v>46</v>
      </c>
      <c r="M491" s="36" t="s">
        <v>80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796</v>
      </c>
      <c r="AG491" s="75"/>
      <c r="AJ491" s="79" t="s">
        <v>46</v>
      </c>
      <c r="AK491" s="79">
        <v>0</v>
      </c>
      <c r="BB491" s="586" t="s">
        <v>66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797</v>
      </c>
      <c r="B492" s="60" t="s">
        <v>798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81</v>
      </c>
      <c r="L492" s="35" t="s">
        <v>46</v>
      </c>
      <c r="M492" s="36" t="s">
        <v>80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799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800</v>
      </c>
      <c r="B493" s="60" t="s">
        <v>801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81</v>
      </c>
      <c r="L493" s="35" t="s">
        <v>46</v>
      </c>
      <c r="M493" s="36" t="s">
        <v>80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799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802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802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121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803</v>
      </c>
      <c r="B499" s="60" t="s">
        <v>804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126</v>
      </c>
      <c r="L499" s="35" t="s">
        <v>46</v>
      </c>
      <c r="M499" s="36" t="s">
        <v>89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124</v>
      </c>
      <c r="AG499" s="75"/>
      <c r="AJ499" s="79" t="s">
        <v>46</v>
      </c>
      <c r="AK499" s="79">
        <v>0</v>
      </c>
      <c r="BB499" s="592" t="s">
        <v>66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805</v>
      </c>
      <c r="B500" s="60" t="s">
        <v>806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126</v>
      </c>
      <c r="L500" s="35" t="s">
        <v>46</v>
      </c>
      <c r="M500" s="36" t="s">
        <v>125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807</v>
      </c>
      <c r="AG500" s="75"/>
      <c r="AJ500" s="79" t="s">
        <v>46</v>
      </c>
      <c r="AK500" s="79">
        <v>0</v>
      </c>
      <c r="BB500" s="594" t="s">
        <v>66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808</v>
      </c>
      <c r="B501" s="60" t="s">
        <v>809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126</v>
      </c>
      <c r="L501" s="35" t="s">
        <v>46</v>
      </c>
      <c r="M501" s="36" t="s">
        <v>125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810</v>
      </c>
      <c r="AG501" s="75"/>
      <c r="AJ501" s="79" t="s">
        <v>46</v>
      </c>
      <c r="AK501" s="79">
        <v>0</v>
      </c>
      <c r="BB501" s="596" t="s">
        <v>66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811</v>
      </c>
      <c r="B502" s="60" t="s">
        <v>812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125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813</v>
      </c>
      <c r="AG502" s="75"/>
      <c r="AJ502" s="79" t="s">
        <v>46</v>
      </c>
      <c r="AK502" s="79">
        <v>0</v>
      </c>
      <c r="BB502" s="598" t="s">
        <v>66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814</v>
      </c>
      <c r="B503" s="60" t="s">
        <v>815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89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816</v>
      </c>
      <c r="AG503" s="75"/>
      <c r="AJ503" s="79" t="s">
        <v>46</v>
      </c>
      <c r="AK503" s="79">
        <v>0</v>
      </c>
      <c r="BB503" s="600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817</v>
      </c>
      <c r="B504" s="60" t="s">
        <v>818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819</v>
      </c>
      <c r="AG504" s="75"/>
      <c r="AJ504" s="79" t="s">
        <v>46</v>
      </c>
      <c r="AK504" s="79">
        <v>0</v>
      </c>
      <c r="BB504" s="602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820</v>
      </c>
      <c r="B505" s="60" t="s">
        <v>821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90</v>
      </c>
      <c r="L505" s="35" t="s">
        <v>46</v>
      </c>
      <c r="M505" s="36" t="s">
        <v>89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124</v>
      </c>
      <c r="AG505" s="75"/>
      <c r="AJ505" s="79" t="s">
        <v>46</v>
      </c>
      <c r="AK505" s="79">
        <v>0</v>
      </c>
      <c r="BB505" s="604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133</v>
      </c>
      <c r="L506" s="35" t="s">
        <v>46</v>
      </c>
      <c r="M506" s="36" t="s">
        <v>89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124</v>
      </c>
      <c r="AG506" s="75"/>
      <c r="AJ506" s="79" t="s">
        <v>46</v>
      </c>
      <c r="AK506" s="79">
        <v>0</v>
      </c>
      <c r="BB506" s="606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824</v>
      </c>
      <c r="B507" s="60" t="s">
        <v>825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133</v>
      </c>
      <c r="L507" s="35" t="s">
        <v>46</v>
      </c>
      <c r="M507" s="36" t="s">
        <v>125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819</v>
      </c>
      <c r="AG507" s="75"/>
      <c r="AJ507" s="79" t="s">
        <v>46</v>
      </c>
      <c r="AK507" s="79">
        <v>0</v>
      </c>
      <c r="BB507" s="608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156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826</v>
      </c>
      <c r="B511" s="60" t="s">
        <v>827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126</v>
      </c>
      <c r="L511" s="35" t="s">
        <v>46</v>
      </c>
      <c r="M511" s="36" t="s">
        <v>89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828</v>
      </c>
      <c r="AG511" s="75"/>
      <c r="AJ511" s="79" t="s">
        <v>46</v>
      </c>
      <c r="AK511" s="79">
        <v>0</v>
      </c>
      <c r="BB511" s="610" t="s">
        <v>66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829</v>
      </c>
      <c r="B512" s="60" t="s">
        <v>830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90</v>
      </c>
      <c r="L512" s="35" t="s">
        <v>46</v>
      </c>
      <c r="M512" s="36" t="s">
        <v>125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828</v>
      </c>
      <c r="AG512" s="75"/>
      <c r="AJ512" s="79" t="s">
        <v>46</v>
      </c>
      <c r="AK512" s="79">
        <v>0</v>
      </c>
      <c r="BB512" s="612" t="s">
        <v>66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828</v>
      </c>
      <c r="AG513" s="75"/>
      <c r="AJ513" s="79" t="s">
        <v>46</v>
      </c>
      <c r="AK513" s="79">
        <v>0</v>
      </c>
      <c r="BB513" s="614" t="s">
        <v>66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76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833</v>
      </c>
      <c r="B517" s="60" t="s">
        <v>834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125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835</v>
      </c>
      <c r="AG517" s="75"/>
      <c r="AJ517" s="79" t="s">
        <v>46</v>
      </c>
      <c r="AK517" s="79">
        <v>0</v>
      </c>
      <c r="BB517" s="616" t="s">
        <v>66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836</v>
      </c>
      <c r="B518" s="60" t="s">
        <v>837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126</v>
      </c>
      <c r="L518" s="35" t="s">
        <v>46</v>
      </c>
      <c r="M518" s="36" t="s">
        <v>80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838</v>
      </c>
      <c r="AG518" s="75"/>
      <c r="AJ518" s="79" t="s">
        <v>46</v>
      </c>
      <c r="AK518" s="79">
        <v>0</v>
      </c>
      <c r="BB518" s="618" t="s">
        <v>66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839</v>
      </c>
      <c r="B519" s="60" t="s">
        <v>840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126</v>
      </c>
      <c r="L519" s="35" t="s">
        <v>46</v>
      </c>
      <c r="M519" s="36" t="s">
        <v>80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841</v>
      </c>
      <c r="AG519" s="75"/>
      <c r="AJ519" s="79" t="s">
        <v>46</v>
      </c>
      <c r="AK519" s="79">
        <v>0</v>
      </c>
      <c r="BB519" s="620" t="s">
        <v>66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842</v>
      </c>
      <c r="B520" s="60" t="s">
        <v>843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133</v>
      </c>
      <c r="L520" s="35" t="s">
        <v>46</v>
      </c>
      <c r="M520" s="36" t="s">
        <v>125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835</v>
      </c>
      <c r="AG520" s="75"/>
      <c r="AJ520" s="79" t="s">
        <v>46</v>
      </c>
      <c r="AK520" s="79">
        <v>0</v>
      </c>
      <c r="BB520" s="622" t="s">
        <v>66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133</v>
      </c>
      <c r="L521" s="35" t="s">
        <v>46</v>
      </c>
      <c r="M521" s="36" t="s">
        <v>80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838</v>
      </c>
      <c r="AG521" s="75"/>
      <c r="AJ521" s="79" t="s">
        <v>46</v>
      </c>
      <c r="AK521" s="79">
        <v>0</v>
      </c>
      <c r="BB521" s="624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844</v>
      </c>
      <c r="B522" s="60" t="s">
        <v>846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133</v>
      </c>
      <c r="L522" s="35" t="s">
        <v>46</v>
      </c>
      <c r="M522" s="36" t="s">
        <v>80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838</v>
      </c>
      <c r="AG522" s="75"/>
      <c r="AJ522" s="79" t="s">
        <v>46</v>
      </c>
      <c r="AK522" s="79">
        <v>0</v>
      </c>
      <c r="BB522" s="626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847</v>
      </c>
      <c r="B523" s="60" t="s">
        <v>848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133</v>
      </c>
      <c r="L523" s="35" t="s">
        <v>46</v>
      </c>
      <c r="M523" s="36" t="s">
        <v>80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841</v>
      </c>
      <c r="AG523" s="75"/>
      <c r="AJ523" s="79" t="s">
        <v>46</v>
      </c>
      <c r="AK523" s="79">
        <v>0</v>
      </c>
      <c r="BB523" s="628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849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849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850</v>
      </c>
      <c r="B529" s="60" t="s">
        <v>851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126</v>
      </c>
      <c r="L529" s="35" t="s">
        <v>46</v>
      </c>
      <c r="M529" s="36" t="s">
        <v>125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852</v>
      </c>
      <c r="AG529" s="75"/>
      <c r="AJ529" s="79" t="s">
        <v>46</v>
      </c>
      <c r="AK529" s="79">
        <v>0</v>
      </c>
      <c r="BB529" s="63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156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853</v>
      </c>
      <c r="B533" s="60" t="s">
        <v>854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126</v>
      </c>
      <c r="L533" s="35" t="s">
        <v>46</v>
      </c>
      <c r="M533" s="36" t="s">
        <v>125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855</v>
      </c>
      <c r="AG533" s="75"/>
      <c r="AJ533" s="79" t="s">
        <v>46</v>
      </c>
      <c r="AK533" s="79">
        <v>0</v>
      </c>
      <c r="BB533" s="63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76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856</v>
      </c>
      <c r="B537" s="60" t="s">
        <v>857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133</v>
      </c>
      <c r="L537" s="35" t="s">
        <v>46</v>
      </c>
      <c r="M537" s="36" t="s">
        <v>80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858</v>
      </c>
      <c r="AG537" s="75"/>
      <c r="AJ537" s="79" t="s">
        <v>46</v>
      </c>
      <c r="AK537" s="79">
        <v>0</v>
      </c>
      <c r="BB537" s="63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85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859</v>
      </c>
      <c r="B541" s="60" t="s">
        <v>860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126</v>
      </c>
      <c r="L541" s="35" t="s">
        <v>46</v>
      </c>
      <c r="M541" s="36" t="s">
        <v>89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861</v>
      </c>
      <c r="AG541" s="75"/>
      <c r="AJ541" s="79" t="s">
        <v>46</v>
      </c>
      <c r="AK541" s="79">
        <v>0</v>
      </c>
      <c r="BB541" s="63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174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862</v>
      </c>
      <c r="B545" s="60" t="s">
        <v>863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126</v>
      </c>
      <c r="L545" s="35" t="s">
        <v>46</v>
      </c>
      <c r="M545" s="36" t="s">
        <v>89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864</v>
      </c>
      <c r="AG545" s="75"/>
      <c r="AJ545" s="79" t="s">
        <v>46</v>
      </c>
      <c r="AK545" s="79">
        <v>0</v>
      </c>
      <c r="BB545" s="638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865</v>
      </c>
      <c r="B546" s="60" t="s">
        <v>866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867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868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156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869</v>
      </c>
      <c r="B551" s="60" t="s">
        <v>870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126</v>
      </c>
      <c r="L551" s="35" t="s">
        <v>46</v>
      </c>
      <c r="M551" s="36" t="s">
        <v>125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871</v>
      </c>
      <c r="AG551" s="75"/>
      <c r="AJ551" s="79" t="s">
        <v>46</v>
      </c>
      <c r="AK551" s="79">
        <v>0</v>
      </c>
      <c r="BB551" s="642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1410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1410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1454.18</v>
      </c>
      <c r="Y555" s="41">
        <f>IFERROR(SUM(BN22:BN551),"0")</f>
        <v>1454.18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2</v>
      </c>
      <c r="Y556" s="42">
        <f>ROUNDUP(SUM(BP22:BP551),0)</f>
        <v>2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1504.18</v>
      </c>
      <c r="Y557" s="41">
        <f>GrossWeightTotalR+PalletQtyTotalR*25</f>
        <v>1504.18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94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94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2.0445000000000002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75</v>
      </c>
      <c r="C561" s="80" t="s">
        <v>45</v>
      </c>
      <c r="D561" s="1007" t="s">
        <v>119</v>
      </c>
      <c r="E561" s="1007" t="s">
        <v>119</v>
      </c>
      <c r="F561" s="1007" t="s">
        <v>119</v>
      </c>
      <c r="G561" s="1007" t="s">
        <v>119</v>
      </c>
      <c r="H561" s="1007" t="s">
        <v>119</v>
      </c>
      <c r="I561" s="1007" t="s">
        <v>119</v>
      </c>
      <c r="J561" s="1007" t="s">
        <v>119</v>
      </c>
      <c r="K561" s="1007" t="s">
        <v>343</v>
      </c>
      <c r="L561" s="1007" t="s">
        <v>343</v>
      </c>
      <c r="M561" s="1007" t="s">
        <v>343</v>
      </c>
      <c r="N561" s="1008"/>
      <c r="O561" s="1007" t="s">
        <v>343</v>
      </c>
      <c r="P561" s="1007" t="s">
        <v>343</v>
      </c>
      <c r="Q561" s="1007" t="s">
        <v>343</v>
      </c>
      <c r="R561" s="1007" t="s">
        <v>343</v>
      </c>
      <c r="S561" s="1007" t="s">
        <v>343</v>
      </c>
      <c r="T561" s="1007" t="s">
        <v>343</v>
      </c>
      <c r="U561" s="1007" t="s">
        <v>343</v>
      </c>
      <c r="V561" s="1007" t="s">
        <v>343</v>
      </c>
      <c r="W561" s="1007" t="s">
        <v>700</v>
      </c>
      <c r="X561" s="1007" t="s">
        <v>700</v>
      </c>
      <c r="Y561" s="1007" t="s">
        <v>766</v>
      </c>
      <c r="Z561" s="1007" t="s">
        <v>766</v>
      </c>
      <c r="AA561" s="80" t="s">
        <v>802</v>
      </c>
      <c r="AB561" s="1007" t="s">
        <v>849</v>
      </c>
      <c r="AC561" s="1007" t="s">
        <v>849</v>
      </c>
      <c r="AF561" s="1"/>
    </row>
    <row r="562" spans="1:32" ht="14.25" customHeight="1" thickTop="1" x14ac:dyDescent="0.2">
      <c r="A562" s="1009" t="s">
        <v>10</v>
      </c>
      <c r="B562" s="1007" t="s">
        <v>75</v>
      </c>
      <c r="C562" s="1007" t="s">
        <v>103</v>
      </c>
      <c r="D562" s="1007" t="s">
        <v>120</v>
      </c>
      <c r="E562" s="1007" t="s">
        <v>136</v>
      </c>
      <c r="F562" s="1007" t="s">
        <v>182</v>
      </c>
      <c r="G562" s="1007" t="s">
        <v>205</v>
      </c>
      <c r="H562" s="1007" t="s">
        <v>249</v>
      </c>
      <c r="I562" s="1007" t="s">
        <v>262</v>
      </c>
      <c r="J562" s="1007" t="s">
        <v>119</v>
      </c>
      <c r="K562" s="1007" t="s">
        <v>344</v>
      </c>
      <c r="L562" s="1007" t="s">
        <v>365</v>
      </c>
      <c r="M562" s="1007" t="s">
        <v>439</v>
      </c>
      <c r="N562" s="1"/>
      <c r="O562" s="1007" t="s">
        <v>507</v>
      </c>
      <c r="P562" s="1007" t="s">
        <v>536</v>
      </c>
      <c r="Q562" s="1007" t="s">
        <v>557</v>
      </c>
      <c r="R562" s="1007" t="s">
        <v>566</v>
      </c>
      <c r="S562" s="1007" t="s">
        <v>587</v>
      </c>
      <c r="T562" s="1007" t="s">
        <v>596</v>
      </c>
      <c r="U562" s="1007" t="s">
        <v>683</v>
      </c>
      <c r="V562" s="1007" t="s">
        <v>690</v>
      </c>
      <c r="W562" s="1007" t="s">
        <v>701</v>
      </c>
      <c r="X562" s="1007" t="s">
        <v>750</v>
      </c>
      <c r="Y562" s="1007" t="s">
        <v>767</v>
      </c>
      <c r="Z562" s="1007" t="s">
        <v>790</v>
      </c>
      <c r="AA562" s="1007" t="s">
        <v>802</v>
      </c>
      <c r="AB562" s="1007" t="s">
        <v>849</v>
      </c>
      <c r="AC562" s="1007" t="s">
        <v>868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1410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560,00"/>
        <filter val="1 608,88"/>
        <filter val="1 683,88"/>
        <filter val="104,00"/>
        <filter val="3"/>
        <filter val="300,00"/>
        <filter val="34,00"/>
        <filter val="360,00"/>
        <filter val="390,00"/>
        <filter val="510,00"/>
        <filter val="70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2026-09-21T09:44:50Z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