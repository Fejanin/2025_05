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766FF54-A746-46D8-8A52-EB5973923E0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O525" i="1"/>
  <c r="BN525" i="1"/>
  <c r="BM525" i="1"/>
  <c r="Y525" i="1"/>
  <c r="BP525" i="1" s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O495" i="1"/>
  <c r="BN495" i="1"/>
  <c r="BM495" i="1"/>
  <c r="Y495" i="1"/>
  <c r="BP495" i="1" s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BN476" i="1" s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Y454" i="1" s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O441" i="1"/>
  <c r="BN441" i="1"/>
  <c r="BM441" i="1"/>
  <c r="Y441" i="1"/>
  <c r="BP441" i="1" s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BN429" i="1" s="1"/>
  <c r="P429" i="1"/>
  <c r="X425" i="1"/>
  <c r="X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O403" i="1"/>
  <c r="BN403" i="1"/>
  <c r="BM403" i="1"/>
  <c r="Y403" i="1"/>
  <c r="BP403" i="1" s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N391" i="1"/>
  <c r="BM391" i="1"/>
  <c r="Y391" i="1"/>
  <c r="BP391" i="1" s="1"/>
  <c r="P391" i="1"/>
  <c r="BO390" i="1"/>
  <c r="BM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O365" i="1"/>
  <c r="BN365" i="1"/>
  <c r="BM365" i="1"/>
  <c r="Y365" i="1"/>
  <c r="BP365" i="1" s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O345" i="1"/>
  <c r="BN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N327" i="1"/>
  <c r="BM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N295" i="1"/>
  <c r="BM295" i="1"/>
  <c r="Y295" i="1"/>
  <c r="BP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Y286" i="1"/>
  <c r="Z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O276" i="1"/>
  <c r="BN276" i="1"/>
  <c r="BM276" i="1"/>
  <c r="Y276" i="1"/>
  <c r="BP276" i="1" s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BN264" i="1" s="1"/>
  <c r="P264" i="1"/>
  <c r="X262" i="1"/>
  <c r="Y261" i="1"/>
  <c r="X261" i="1"/>
  <c r="BO260" i="1"/>
  <c r="BN260" i="1"/>
  <c r="BM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O239" i="1"/>
  <c r="BN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N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N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O161" i="1"/>
  <c r="BM161" i="1"/>
  <c r="Y161" i="1"/>
  <c r="BN161" i="1" s="1"/>
  <c r="P161" i="1"/>
  <c r="X158" i="1"/>
  <c r="Y157" i="1"/>
  <c r="X157" i="1"/>
  <c r="BO156" i="1"/>
  <c r="BN156" i="1"/>
  <c r="BM156" i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P141" i="1"/>
  <c r="BO141" i="1"/>
  <c r="BM141" i="1"/>
  <c r="Z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N120" i="1" s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N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O89" i="1"/>
  <c r="BN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O78" i="1"/>
  <c r="BN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N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M49" i="1"/>
  <c r="Z49" i="1"/>
  <c r="Y49" i="1"/>
  <c r="BN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N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Z120" i="1" l="1"/>
  <c r="BP120" i="1"/>
  <c r="Z161" i="1"/>
  <c r="BP161" i="1"/>
  <c r="Z188" i="1"/>
  <c r="BP188" i="1"/>
  <c r="Z227" i="1"/>
  <c r="BP227" i="1"/>
  <c r="Z264" i="1"/>
  <c r="BP264" i="1"/>
  <c r="Z429" i="1"/>
  <c r="BP429" i="1"/>
  <c r="Z476" i="1"/>
  <c r="BP476" i="1"/>
  <c r="X558" i="1"/>
  <c r="Z78" i="1"/>
  <c r="Z104" i="1"/>
  <c r="Z219" i="1"/>
  <c r="Z239" i="1"/>
  <c r="Z276" i="1"/>
  <c r="Z295" i="1"/>
  <c r="Z345" i="1"/>
  <c r="Z403" i="1"/>
  <c r="Z441" i="1"/>
  <c r="Z495" i="1"/>
  <c r="Z525" i="1"/>
  <c r="AB568" i="1"/>
  <c r="I568" i="1"/>
  <c r="Z37" i="1"/>
  <c r="Z66" i="1"/>
  <c r="Z89" i="1"/>
  <c r="Z156" i="1"/>
  <c r="Z157" i="1" s="1"/>
  <c r="BP156" i="1"/>
  <c r="Z260" i="1"/>
  <c r="Z327" i="1"/>
  <c r="Z365" i="1"/>
  <c r="Z391" i="1"/>
  <c r="BP112" i="1"/>
  <c r="BN112" i="1"/>
  <c r="Z112" i="1"/>
  <c r="BP150" i="1"/>
  <c r="BN150" i="1"/>
  <c r="Z150" i="1"/>
  <c r="BP179" i="1"/>
  <c r="BN179" i="1"/>
  <c r="Z179" i="1"/>
  <c r="BP223" i="1"/>
  <c r="BN223" i="1"/>
  <c r="Z223" i="1"/>
  <c r="BP243" i="1"/>
  <c r="BN243" i="1"/>
  <c r="Z243" i="1"/>
  <c r="BP282" i="1"/>
  <c r="BN282" i="1"/>
  <c r="Z282" i="1"/>
  <c r="BP306" i="1"/>
  <c r="BN306" i="1"/>
  <c r="Z306" i="1"/>
  <c r="BP356" i="1"/>
  <c r="BN356" i="1"/>
  <c r="Z356" i="1"/>
  <c r="BP385" i="1"/>
  <c r="BN385" i="1"/>
  <c r="Z385" i="1"/>
  <c r="BP416" i="1"/>
  <c r="BN416" i="1"/>
  <c r="Z416" i="1"/>
  <c r="BP421" i="1"/>
  <c r="BN421" i="1"/>
  <c r="Z421" i="1"/>
  <c r="BP453" i="1"/>
  <c r="BN453" i="1"/>
  <c r="Z453" i="1"/>
  <c r="BP458" i="1"/>
  <c r="BN458" i="1"/>
  <c r="Z458" i="1"/>
  <c r="BP505" i="1"/>
  <c r="BN505" i="1"/>
  <c r="Z505" i="1"/>
  <c r="Z29" i="1"/>
  <c r="BN29" i="1"/>
  <c r="Z41" i="1"/>
  <c r="BN41" i="1"/>
  <c r="Z58" i="1"/>
  <c r="BN58" i="1"/>
  <c r="Z72" i="1"/>
  <c r="BN72" i="1"/>
  <c r="Z85" i="1"/>
  <c r="BN85" i="1"/>
  <c r="Z97" i="1"/>
  <c r="BN97" i="1"/>
  <c r="Y128" i="1"/>
  <c r="Y127" i="1"/>
  <c r="BP126" i="1"/>
  <c r="BN126" i="1"/>
  <c r="Z126" i="1"/>
  <c r="Z127" i="1" s="1"/>
  <c r="BP131" i="1"/>
  <c r="BN131" i="1"/>
  <c r="Z131" i="1"/>
  <c r="BP167" i="1"/>
  <c r="BN167" i="1"/>
  <c r="Z167" i="1"/>
  <c r="BP206" i="1"/>
  <c r="BN206" i="1"/>
  <c r="Z206" i="1"/>
  <c r="BP231" i="1"/>
  <c r="BN231" i="1"/>
  <c r="Z231" i="1"/>
  <c r="BP272" i="1"/>
  <c r="BN272" i="1"/>
  <c r="Z272" i="1"/>
  <c r="BP289" i="1"/>
  <c r="BN289" i="1"/>
  <c r="Z289" i="1"/>
  <c r="BP336" i="1"/>
  <c r="BN336" i="1"/>
  <c r="Z336" i="1"/>
  <c r="BP373" i="1"/>
  <c r="BN373" i="1"/>
  <c r="Z373" i="1"/>
  <c r="BP395" i="1"/>
  <c r="BN395" i="1"/>
  <c r="Z395" i="1"/>
  <c r="BP433" i="1"/>
  <c r="BN433" i="1"/>
  <c r="Z433" i="1"/>
  <c r="BP480" i="1"/>
  <c r="BN480" i="1"/>
  <c r="Z480" i="1"/>
  <c r="BP521" i="1"/>
  <c r="BN521" i="1"/>
  <c r="Z521" i="1"/>
  <c r="Y184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Y24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Y352" i="1"/>
  <c r="BP396" i="1"/>
  <c r="BN396" i="1"/>
  <c r="Z396" i="1"/>
  <c r="Y400" i="1"/>
  <c r="BP404" i="1"/>
  <c r="BN404" i="1"/>
  <c r="Z404" i="1"/>
  <c r="Y406" i="1"/>
  <c r="Y411" i="1"/>
  <c r="BP408" i="1"/>
  <c r="BN408" i="1"/>
  <c r="Z408" i="1"/>
  <c r="Y412" i="1"/>
  <c r="BP422" i="1"/>
  <c r="BN422" i="1"/>
  <c r="Z422" i="1"/>
  <c r="Z424" i="1" s="1"/>
  <c r="Y424" i="1"/>
  <c r="P568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Z75" i="1" s="1"/>
  <c r="BN73" i="1"/>
  <c r="Z79" i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Z386" i="1" s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399" i="1" l="1"/>
  <c r="Z550" i="1"/>
  <c r="Z454" i="1"/>
  <c r="Z369" i="1"/>
  <c r="Z359" i="1"/>
  <c r="Z164" i="1"/>
  <c r="Z91" i="1"/>
  <c r="Z32" i="1"/>
  <c r="Z352" i="1"/>
  <c r="Z556" i="1"/>
  <c r="Z481" i="1"/>
  <c r="Z443" i="1"/>
  <c r="Z486" i="1"/>
  <c r="Z470" i="1"/>
  <c r="Z449" i="1"/>
  <c r="Z437" i="1"/>
  <c r="Z331" i="1"/>
  <c r="Z308" i="1"/>
  <c r="Z292" i="1"/>
  <c r="Z184" i="1"/>
  <c r="Z153" i="1"/>
  <c r="Z123" i="1"/>
  <c r="Z108" i="1"/>
  <c r="Z98" i="1"/>
  <c r="Z81" i="1"/>
  <c r="Z51" i="1"/>
  <c r="Z42" i="1"/>
  <c r="Z527" i="1"/>
  <c r="Y558" i="1"/>
  <c r="Z497" i="1"/>
  <c r="Z338" i="1"/>
  <c r="Z379" i="1"/>
  <c r="Z233" i="1"/>
  <c r="Z116" i="1"/>
  <c r="Z69" i="1"/>
  <c r="Z62" i="1"/>
  <c r="Y560" i="1"/>
  <c r="Z322" i="1"/>
  <c r="Z277" i="1"/>
  <c r="Z251" i="1"/>
  <c r="Y562" i="1"/>
  <c r="Z511" i="1"/>
  <c r="Y559" i="1"/>
  <c r="Z411" i="1"/>
  <c r="Z347" i="1"/>
  <c r="Z245" i="1"/>
  <c r="Z210" i="1"/>
  <c r="Z563" i="1" l="1"/>
  <c r="Y561" i="1"/>
</calcChain>
</file>

<file path=xl/sharedStrings.xml><?xml version="1.0" encoding="utf-8"?>
<sst xmlns="http://schemas.openxmlformats.org/spreadsheetml/2006/main" count="2542" uniqueCount="915">
  <si>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</si>
  <si>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</si>
  <si>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</si>
  <si>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</si>
  <si>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</si>
  <si>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</si>
  <si>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</si>
  <si>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</si>
  <si>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</si>
  <si>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</si>
  <si>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</si>
  <si>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</si>
  <si>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</si>
  <si>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</si>
  <si>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</si>
  <si>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</si>
  <si>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</si>
  <si>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</si>
  <si>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</si>
  <si>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</si>
  <si>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</si>
  <si>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</si>
  <si>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</si>
  <si>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</si>
  <si>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</si>
  <si>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</si>
  <si>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</si>
  <si>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</si>
  <si>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</si>
  <si>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</si>
  <si>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</si>
  <si>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</si>
  <si>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</si>
  <si>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</si>
  <si>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</si>
  <si>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</si>
  <si>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</si>
  <si>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</si>
  <si>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</si>
  <si>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</si>
  <si>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</si>
  <si>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</si>
  <si>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</si>
  <si>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</si>
  <si>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</si>
  <si>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</si>
  <si>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</si>
  <si>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</si>
  <si>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</si>
  <si>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</si>
  <si>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</si>
  <si>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</si>
  <si>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</si>
  <si>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</si>
  <si>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</si>
  <si>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</si>
  <si>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</si>
  <si>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</si>
  <si>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</si>
  <si>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</si>
  <si>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</si>
  <si>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</si>
  <si>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</si>
  <si>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</si>
  <si>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</si>
  <si>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</si>
  <si>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</si>
  <si>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</si>
  <si>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</si>
  <si>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</si>
  <si>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</si>
  <si>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</si>
  <si>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</si>
  <si>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</si>
  <si>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</si>
  <si>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</si>
  <si>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</si>
  <si>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</si>
  <si>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</si>
  <si>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</si>
  <si>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</si>
  <si>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</si>
  <si>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</si>
  <si>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</si>
  <si>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</si>
  <si>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</si>
  <si>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</si>
  <si>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</si>
  <si>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</si>
  <si>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</si>
  <si>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</si>
  <si>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</si>
  <si>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</si>
  <si>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</si>
  <si>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</si>
  <si>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</si>
  <si>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</si>
  <si>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</si>
  <si>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</si>
  <si>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</si>
  <si>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</si>
  <si>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</si>
  <si>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</si>
  <si>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</si>
  <si>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</si>
  <si>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</si>
  <si>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</si>
  <si>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</si>
  <si>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</si>
  <si>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</si>
  <si>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</si>
  <si>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</si>
  <si>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</si>
  <si>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</si>
  <si>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</si>
  <si>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</si>
  <si>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</si>
  <si>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</si>
  <si>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</si>
  <si>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</si>
  <si>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</si>
  <si>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</si>
  <si>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</si>
  <si>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</si>
  <si>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</si>
  <si>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</si>
  <si>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</si>
  <si>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</si>
  <si>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</si>
  <si>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</si>
  <si>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</si>
  <si>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</si>
  <si>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</si>
  <si>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</si>
  <si>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</si>
  <si>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</si>
  <si>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</si>
  <si>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</si>
  <si>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</si>
  <si>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</si>
  <si>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</si>
  <si>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</si>
  <si>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</si>
  <si>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</si>
  <si>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</si>
  <si>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</si>
  <si>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</si>
  <si>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</si>
  <si>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</si>
  <si>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</si>
  <si>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</si>
  <si>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</si>
  <si>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</si>
  <si>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</si>
  <si>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</si>
  <si>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</si>
  <si>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</si>
  <si>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</si>
  <si>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</si>
  <si>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</si>
  <si>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</si>
  <si>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</si>
  <si>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</si>
  <si>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</si>
  <si>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</si>
  <si>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</si>
  <si>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</si>
  <si>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</si>
  <si>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</si>
  <si>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</si>
  <si>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</si>
  <si>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</si>
  <si>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</si>
  <si>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</si>
  <si>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</si>
  <si>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</si>
  <si>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</si>
  <si>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</si>
  <si>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</si>
  <si>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</si>
  <si>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</si>
  <si>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</si>
  <si>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</si>
  <si>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</si>
  <si>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</si>
  <si>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</si>
  <si>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</si>
  <si>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</si>
  <si>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</si>
  <si>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</si>
  <si>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</si>
  <si>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</si>
  <si>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</si>
  <si>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</si>
  <si>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</si>
  <si>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</si>
  <si>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</si>
  <si>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</si>
  <si>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</si>
  <si>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</si>
  <si>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</si>
  <si>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</si>
  <si>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</si>
  <si>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</si>
  <si>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</si>
  <si>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</si>
  <si>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</si>
  <si>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</si>
  <si>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</si>
  <si>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</si>
  <si>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</si>
  <si>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</si>
  <si>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</si>
  <si>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</si>
  <si>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</si>
  <si>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</si>
  <si>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</si>
  <si>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</si>
  <si>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</si>
  <si>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</si>
  <si>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</si>
  <si>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</si>
  <si>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</si>
  <si>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</si>
  <si>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</si>
  <si>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</si>
  <si>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</si>
  <si>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</si>
  <si>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</si>
  <si>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</si>
  <si>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</si>
  <si>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</si>
  <si>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</si>
  <si>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</si>
  <si>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</si>
  <si>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</si>
  <si>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</si>
  <si>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</si>
  <si>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</si>
  <si>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</si>
  <si>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</si>
  <si>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</si>
  <si>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</si>
  <si>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</si>
  <si>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</si>
  <si>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</si>
  <si>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</si>
  <si>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</si>
  <si>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</si>
  <si>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</si>
  <si>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</si>
  <si>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</si>
  <si>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</si>
  <si>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</si>
  <si>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</si>
  <si>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</si>
  <si>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</si>
  <si>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</si>
  <si>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</si>
  <si>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</si>
  <si>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</si>
  <si>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</si>
  <si>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</si>
  <si>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</si>
  <si>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</si>
  <si>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</si>
  <si>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</si>
  <si>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</si>
  <si>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</si>
  <si>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</si>
  <si>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</si>
  <si>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</si>
  <si>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</si>
  <si>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</si>
  <si>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</si>
  <si>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</si>
  <si>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</si>
  <si>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</si>
  <si>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</si>
  <si>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</si>
  <si>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</si>
  <si>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</si>
  <si>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</si>
  <si>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</si>
  <si>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</si>
  <si>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</si>
  <si>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</si>
  <si>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</si>
  <si>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</si>
  <si>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</si>
  <si>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</si>
  <si>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</si>
  <si>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</si>
  <si>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</si>
  <si>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</si>
  <si>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</si>
  <si>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</si>
  <si>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</si>
  <si>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</si>
  <si>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</si>
  <si>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</si>
  <si>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</si>
  <si>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</si>
  <si>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</si>
  <si>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</si>
  <si>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</si>
  <si>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</si>
  <si>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</si>
  <si>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</si>
  <si>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</si>
  <si>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</si>
  <si>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</si>
  <si>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</si>
  <si>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</si>
  <si>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</si>
  <si>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</si>
  <si>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</si>
  <si>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</si>
  <si>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</si>
  <si>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</si>
  <si>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</si>
  <si>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</si>
  <si>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</si>
  <si>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</si>
  <si>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</si>
  <si>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</si>
  <si>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</si>
  <si>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</si>
  <si>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</si>
  <si>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</si>
  <si>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</si>
  <si>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</si>
  <si>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</si>
  <si>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</si>
  <si>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</si>
  <si>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</si>
  <si>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</si>
  <si>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</si>
  <si>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</si>
  <si>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</si>
  <si>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</si>
  <si>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</si>
  <si>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</si>
  <si>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</si>
  <si>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</si>
  <si>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</si>
  <si>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</si>
  <si>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</si>
  <si>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</si>
  <si>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</si>
  <si>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</si>
  <si>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</si>
  <si>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</si>
  <si>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</si>
  <si>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</si>
  <si>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</si>
  <si>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</si>
  <si>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</si>
  <si>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</si>
  <si>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</si>
  <si>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</si>
  <si>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</si>
  <si>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</si>
  <si>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</si>
  <si>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</si>
  <si>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</si>
  <si>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</si>
  <si>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</si>
  <si>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</si>
  <si>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</si>
  <si>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</si>
  <si>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</si>
  <si>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</si>
  <si>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</si>
  <si>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</si>
  <si>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</si>
  <si>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</si>
  <si>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</si>
  <si>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</si>
  <si>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</si>
  <si>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</si>
  <si>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</si>
  <si>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</si>
  <si>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</si>
  <si>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</si>
  <si>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</si>
  <si>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</si>
  <si>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</si>
  <si>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</si>
  <si>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</si>
  <si>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</si>
  <si>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</si>
  <si>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</si>
  <si>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</si>
  <si>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</si>
  <si>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</si>
  <si>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</si>
  <si>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</si>
  <si>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</si>
  <si>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</si>
  <si>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</si>
  <si>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</si>
  <si>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</si>
  <si>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</si>
  <si>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</si>
  <si>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</si>
  <si>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</si>
  <si>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</si>
  <si>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</si>
  <si>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</si>
  <si>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</si>
  <si>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</si>
  <si>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</si>
  <si>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</si>
  <si>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</si>
  <si>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</si>
  <si>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</si>
  <si>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</si>
  <si>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</si>
  <si>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</si>
  <si>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</si>
  <si>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</si>
  <si>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</si>
  <si>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</si>
  <si>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</si>
  <si>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</si>
  <si>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</si>
  <si>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</si>
  <si>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</si>
  <si>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</si>
  <si>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</si>
  <si>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</si>
  <si>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</si>
  <si>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</si>
  <si>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</si>
  <si>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</si>
  <si>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</si>
  <si>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</si>
  <si>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</si>
  <si>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</si>
  <si>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</si>
  <si>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</si>
  <si>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</si>
  <si>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</si>
  <si>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</si>
  <si>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</si>
  <si>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</si>
  <si>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</si>
  <si>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</si>
  <si>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</si>
  <si>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</si>
  <si>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</si>
  <si>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</si>
  <si>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</si>
  <si>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</si>
  <si>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</si>
  <si>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</si>
  <si>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</si>
  <si>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</si>
  <si>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</si>
  <si>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</si>
  <si>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</si>
  <si>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</si>
  <si>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</si>
  <si>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</si>
  <si>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</si>
  <si>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</si>
  <si>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</si>
  <si>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</si>
  <si>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</si>
  <si>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</si>
  <si>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</si>
  <si>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</si>
  <si>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</si>
  <si>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</si>
  <si>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</si>
  <si>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</si>
  <si>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</si>
  <si>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</si>
  <si>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</si>
  <si>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</si>
  <si>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</si>
  <si>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</si>
  <si>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</si>
  <si>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</si>
  <si>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</si>
  <si>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</si>
  <si>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</si>
  <si>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</si>
  <si>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</si>
  <si>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</si>
  <si>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</si>
  <si>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</si>
  <si>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</si>
  <si>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</si>
  <si>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</si>
  <si>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</si>
  <si>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</si>
  <si>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</si>
  <si>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</si>
  <si>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</si>
  <si>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</si>
  <si>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</si>
  <si>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</si>
  <si>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</si>
  <si>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</si>
  <si>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</si>
  <si>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</si>
  <si>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</si>
  <si>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</si>
  <si>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</si>
  <si>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</si>
  <si>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</si>
  <si>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</si>
  <si>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</si>
  <si>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</si>
  <si>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</si>
  <si>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</si>
  <si>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</si>
  <si>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</si>
  <si>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</si>
  <si>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</si>
  <si>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</si>
  <si>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</si>
  <si>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</si>
  <si>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</si>
  <si>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</si>
  <si>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</si>
  <si>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</si>
  <si>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</si>
  <si>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</si>
  <si>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</si>
  <si>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</si>
  <si>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</si>
  <si>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</si>
  <si>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</si>
  <si>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</si>
  <si>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</si>
  <si>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</si>
  <si>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</si>
  <si>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</si>
  <si>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</si>
  <si>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</si>
  <si>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</si>
  <si>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</si>
  <si>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</si>
  <si>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</si>
  <si>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</si>
  <si>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</si>
  <si>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</si>
  <si>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</si>
  <si>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</si>
  <si>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</si>
  <si>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</si>
  <si>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</si>
  <si>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</si>
  <si>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</si>
  <si>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</si>
  <si>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</si>
  <si>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</si>
  <si>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</si>
  <si>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</si>
  <si>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</si>
  <si>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</si>
  <si>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</si>
  <si>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</si>
  <si>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</si>
  <si>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</si>
  <si>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</si>
  <si>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</si>
  <si>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</si>
  <si>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</si>
  <si>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</si>
  <si>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</si>
  <si>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</si>
  <si>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</si>
  <si>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</si>
  <si>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</si>
  <si>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</si>
  <si>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</si>
  <si>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</si>
  <si>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</si>
  <si>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</si>
  <si>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</si>
  <si>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</si>
  <si>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</si>
  <si>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</si>
  <si>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</si>
  <si>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</si>
  <si>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</si>
  <si>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</si>
  <si>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</si>
  <si>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</si>
  <si>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</si>
  <si>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</si>
  <si>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</si>
  <si>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</si>
  <si>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</si>
  <si>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</si>
  <si>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</si>
  <si>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</si>
  <si>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</si>
  <si>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</si>
  <si>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</si>
  <si>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</si>
  <si>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</si>
  <si>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</si>
  <si>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</si>
  <si>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</si>
  <si>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</si>
  <si>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</si>
  <si>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</si>
  <si>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</si>
  <si>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</si>
  <si>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</si>
  <si>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</si>
  <si>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</si>
  <si>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</si>
  <si>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</si>
  <si>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</si>
  <si>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</si>
  <si>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</si>
  <si>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</si>
  <si>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</si>
  <si>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</si>
  <si>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</si>
  <si>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</si>
  <si>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</si>
  <si>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</si>
  <si>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</si>
  <si>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</si>
  <si>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</si>
  <si>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</si>
  <si>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</si>
  <si>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</si>
  <si>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</si>
  <si>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</si>
  <si>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</si>
  <si>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</si>
  <si>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</si>
  <si>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</si>
  <si>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</si>
  <si>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</si>
  <si>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</si>
  <si>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</si>
  <si>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</si>
  <si>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</si>
  <si>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</si>
  <si>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</si>
  <si>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</si>
  <si>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</si>
  <si>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</si>
  <si>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</si>
  <si>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</si>
  <si>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</si>
  <si>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</si>
  <si>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</si>
  <si>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</si>
  <si>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</si>
  <si>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</si>
  <si>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</si>
  <si>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</si>
  <si>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</si>
  <si>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</si>
  <si>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</si>
  <si>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</si>
  <si>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</si>
  <si>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</si>
  <si>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</si>
  <si>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</si>
  <si>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</si>
  <si>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</si>
  <si>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</si>
  <si>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</si>
  <si>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</si>
  <si>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</si>
  <si>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</si>
  <si>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</si>
  <si>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</si>
  <si>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</si>
  <si>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</si>
  <si>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</si>
  <si>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</si>
  <si>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</si>
  <si>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</si>
  <si>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</si>
  <si>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</si>
  <si>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</si>
  <si>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</si>
  <si>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</si>
  <si>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</si>
  <si>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</si>
  <si>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</si>
  <si>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</si>
  <si>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</si>
  <si>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</si>
  <si>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</si>
  <si>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</si>
  <si>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</si>
  <si>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</si>
  <si>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</si>
  <si>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</si>
  <si>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</si>
  <si>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</si>
  <si>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</si>
  <si>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</si>
  <si>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</si>
  <si>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</si>
  <si>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</si>
  <si>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</si>
  <si>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</si>
  <si>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</si>
  <si>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</si>
  <si>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</si>
  <si>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</si>
  <si>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</si>
  <si>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</si>
  <si>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</si>
  <si>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</si>
  <si>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</si>
  <si>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</si>
  <si>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</si>
  <si>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</si>
  <si>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</si>
  <si>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</si>
  <si>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</si>
  <si>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</si>
  <si>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</si>
  <si>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</si>
  <si>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</si>
  <si>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</si>
  <si>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</si>
  <si>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</si>
  <si>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</si>
  <si>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</si>
  <si>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</si>
  <si>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</si>
  <si>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</si>
  <si>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</si>
  <si>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</si>
  <si>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</si>
  <si>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</si>
  <si>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</si>
  <si>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</si>
  <si>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</si>
  <si>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</si>
  <si>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</si>
  <si>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</si>
  <si>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</si>
  <si>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</si>
  <si>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</si>
  <si>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</si>
  <si>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</si>
  <si>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</si>
  <si>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</si>
  <si>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</si>
  <si>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</si>
  <si>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</si>
  <si>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</si>
  <si>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</si>
  <si>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</si>
  <si>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</si>
  <si>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</si>
  <si>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</si>
  <si>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</si>
  <si>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</si>
  <si>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</si>
  <si>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</si>
  <si>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</si>
  <si>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</si>
  <si>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</si>
  <si>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</si>
  <si>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</si>
  <si>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</si>
  <si>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</si>
  <si>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</si>
  <si>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</si>
  <si>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</si>
  <si>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</si>
  <si>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</si>
  <si>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</si>
  <si>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</si>
  <si>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</si>
  <si>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</si>
  <si>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</si>
  <si>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</si>
  <si>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</si>
  <si>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</si>
  <si>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</si>
  <si>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</si>
  <si>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</si>
  <si>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</si>
  <si>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</si>
  <si>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</si>
  <si>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</si>
  <si>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</si>
  <si>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</si>
  <si>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</si>
  <si>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</si>
  <si>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</si>
  <si>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</si>
  <si>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</si>
  <si>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</si>
  <si>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</si>
  <si>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</si>
  <si>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</si>
  <si>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</si>
  <si>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</si>
  <si>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</si>
  <si>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</si>
  <si>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</si>
  <si>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</si>
  <si>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</si>
  <si>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</si>
  <si>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</si>
  <si>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</si>
  <si>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</si>
  <si>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</si>
  <si>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</si>
  <si>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</si>
  <si>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</si>
  <si>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</si>
  <si>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</si>
  <si>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</si>
  <si>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</si>
  <si>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</si>
  <si>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</si>
  <si>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</si>
  <si>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</si>
  <si>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</si>
  <si>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</si>
  <si>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</si>
  <si>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</si>
  <si>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</si>
  <si>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</si>
  <si>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</si>
  <si>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</si>
  <si>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</si>
  <si>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</si>
  <si>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</si>
  <si>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</si>
  <si>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</si>
  <si>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</si>
  <si>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</si>
  <si>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</si>
  <si>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</si>
  <si>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</si>
  <si>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</si>
  <si>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</si>
  <si>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</si>
  <si>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</si>
  <si>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</si>
  <si>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</si>
  <si>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</si>
  <si>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</si>
  <si>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</si>
  <si>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</si>
  <si>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</si>
  <si>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</si>
  <si>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</si>
  <si>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</si>
  <si>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</si>
  <si>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</si>
  <si>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</si>
  <si>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</si>
  <si>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</si>
  <si>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</si>
  <si>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</si>
  <si>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</si>
  <si>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</si>
  <si>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</si>
  <si>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</si>
  <si>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</si>
  <si>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</si>
  <si>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</si>
  <si>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</si>
  <si>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</si>
  <si>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</si>
  <si>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</si>
  <si>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</si>
  <si>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</si>
  <si>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</si>
  <si>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</si>
  <si>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</si>
  <si>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</si>
  <si>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</si>
  <si>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</si>
  <si>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</si>
  <si>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</si>
  <si>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</si>
  <si>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</si>
  <si>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</si>
  <si>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</si>
  <si>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</si>
  <si>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</si>
  <si>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</si>
  <si>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</si>
  <si>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</si>
  <si>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</si>
  <si>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</si>
  <si>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</si>
  <si>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</si>
  <si>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</si>
  <si>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</si>
  <si>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</si>
  <si>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</si>
  <si>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</si>
  <si>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</si>
  <si>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</si>
  <si>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</si>
  <si>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</si>
  <si>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</si>
  <si>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</si>
  <si>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</si>
  <si>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 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</si>
</sst>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6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Y13" sqref="Y13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51" t="s">
        <v>0</v>
      </c>
      <c r="E1" s="685"/>
      <c r="F1" s="685"/>
      <c r="G1" s="12" t="s">
        <v>1</v>
      </c>
      <c r="H1" s="751" t="s">
        <v>2</v>
      </c>
      <c r="I1" s="685"/>
      <c r="J1" s="685"/>
      <c r="K1" s="685"/>
      <c r="L1" s="685"/>
      <c r="M1" s="685"/>
      <c r="N1" s="685"/>
      <c r="O1" s="685"/>
      <c r="P1" s="685"/>
      <c r="Q1" s="685"/>
      <c r="R1" s="684" t="s">
        <v>3</v>
      </c>
      <c r="S1" s="685"/>
      <c r="T1" s="68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6"/>
      <c r="R2" s="656"/>
      <c r="S2" s="656"/>
      <c r="T2" s="656"/>
      <c r="U2" s="656"/>
      <c r="V2" s="656"/>
      <c r="W2" s="656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6"/>
      <c r="Q3" s="656"/>
      <c r="R3" s="656"/>
      <c r="S3" s="656"/>
      <c r="T3" s="656"/>
      <c r="U3" s="656"/>
      <c r="V3" s="656"/>
      <c r="W3" s="656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57" t="s">
        <v>8</v>
      </c>
      <c r="B5" s="674"/>
      <c r="C5" s="675"/>
      <c r="D5" s="738"/>
      <c r="E5" s="739"/>
      <c r="F5" s="964" t="s">
        <v>9</v>
      </c>
      <c r="G5" s="675"/>
      <c r="H5" s="738" t="s">
        <v>914</v>
      </c>
      <c r="I5" s="902"/>
      <c r="J5" s="902"/>
      <c r="K5" s="902"/>
      <c r="L5" s="902"/>
      <c r="M5" s="739"/>
      <c r="N5" s="58"/>
      <c r="P5" s="24" t="s">
        <v>10</v>
      </c>
      <c r="Q5" s="971">
        <v>46285</v>
      </c>
      <c r="R5" s="756"/>
      <c r="T5" s="838" t="s">
        <v>11</v>
      </c>
      <c r="U5" s="839"/>
      <c r="V5" s="840" t="s">
        <v>12</v>
      </c>
      <c r="W5" s="756"/>
      <c r="AB5" s="51"/>
      <c r="AC5" s="51"/>
      <c r="AD5" s="51"/>
      <c r="AE5" s="51"/>
    </row>
    <row r="6" spans="1:32" s="638" customFormat="1" ht="24" customHeight="1" x14ac:dyDescent="0.2">
      <c r="A6" s="757" t="s">
        <v>13</v>
      </c>
      <c r="B6" s="674"/>
      <c r="C6" s="675"/>
      <c r="D6" s="905" t="s">
        <v>893</v>
      </c>
      <c r="E6" s="906"/>
      <c r="F6" s="906"/>
      <c r="G6" s="906"/>
      <c r="H6" s="906"/>
      <c r="I6" s="906"/>
      <c r="J6" s="906"/>
      <c r="K6" s="906"/>
      <c r="L6" s="906"/>
      <c r="M6" s="756"/>
      <c r="N6" s="59"/>
      <c r="P6" s="24" t="s">
        <v>14</v>
      </c>
      <c r="Q6" s="987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845" t="s">
        <v>15</v>
      </c>
      <c r="U6" s="839"/>
      <c r="V6" s="887" t="s">
        <v>16</v>
      </c>
      <c r="W6" s="646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1" t="str">
        <f>IFERROR(VLOOKUP(DeliveryAddress,Table,3,0),1)</f>
        <v>7</v>
      </c>
      <c r="E7" s="702"/>
      <c r="F7" s="702"/>
      <c r="G7" s="702"/>
      <c r="H7" s="702"/>
      <c r="I7" s="702"/>
      <c r="J7" s="702"/>
      <c r="K7" s="702"/>
      <c r="L7" s="702"/>
      <c r="M7" s="703"/>
      <c r="N7" s="60"/>
      <c r="P7" s="24"/>
      <c r="Q7" s="42"/>
      <c r="R7" s="42"/>
      <c r="T7" s="656"/>
      <c r="U7" s="839"/>
      <c r="V7" s="888"/>
      <c r="W7" s="889"/>
      <c r="AB7" s="51"/>
      <c r="AC7" s="51"/>
      <c r="AD7" s="51"/>
      <c r="AE7" s="51"/>
    </row>
    <row r="8" spans="1:32" s="638" customFormat="1" ht="25.5" customHeight="1" x14ac:dyDescent="0.2">
      <c r="A8" s="993" t="s">
        <v>17</v>
      </c>
      <c r="B8" s="668"/>
      <c r="C8" s="669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18</v>
      </c>
      <c r="Q8" s="722">
        <v>0.41666666666666669</v>
      </c>
      <c r="R8" s="703"/>
      <c r="T8" s="656"/>
      <c r="U8" s="839"/>
      <c r="V8" s="888"/>
      <c r="W8" s="889"/>
      <c r="AB8" s="51"/>
      <c r="AC8" s="51"/>
      <c r="AD8" s="51"/>
      <c r="AE8" s="51"/>
    </row>
    <row r="9" spans="1:32" s="638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6"/>
      <c r="C9" s="656"/>
      <c r="D9" s="792"/>
      <c r="E9" s="709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6"/>
      <c r="H9" s="708" t="str">
        <f>IF(AND($A$9="Тип доверенности/получателя при получении в адресе перегруза:",$D$9="Разовая доверенность"),"Введите ФИО","")</f>
        <v/>
      </c>
      <c r="I9" s="709"/>
      <c r="J9" s="7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09"/>
      <c r="L9" s="709"/>
      <c r="M9" s="709"/>
      <c r="N9" s="639"/>
      <c r="P9" s="26" t="s">
        <v>19</v>
      </c>
      <c r="Q9" s="753"/>
      <c r="R9" s="754"/>
      <c r="T9" s="656"/>
      <c r="U9" s="839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6"/>
      <c r="C10" s="656"/>
      <c r="D10" s="792"/>
      <c r="E10" s="709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6"/>
      <c r="H10" s="1000" t="str">
        <f>IFERROR(VLOOKUP($D$10,Proxy,2,FALSE),"")</f>
        <v/>
      </c>
      <c r="I10" s="656"/>
      <c r="J10" s="656"/>
      <c r="K10" s="656"/>
      <c r="L10" s="656"/>
      <c r="M10" s="656"/>
      <c r="N10" s="637"/>
      <c r="P10" s="26" t="s">
        <v>20</v>
      </c>
      <c r="Q10" s="846"/>
      <c r="R10" s="847"/>
      <c r="U10" s="24" t="s">
        <v>21</v>
      </c>
      <c r="V10" s="645" t="s">
        <v>22</v>
      </c>
      <c r="W10" s="646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5"/>
      <c r="R11" s="756"/>
      <c r="U11" s="24" t="s">
        <v>25</v>
      </c>
      <c r="V11" s="926" t="s">
        <v>26</v>
      </c>
      <c r="W11" s="754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7" t="s">
        <v>27</v>
      </c>
      <c r="B12" s="67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5"/>
      <c r="N12" s="62"/>
      <c r="P12" s="24" t="s">
        <v>28</v>
      </c>
      <c r="Q12" s="722"/>
      <c r="R12" s="703"/>
      <c r="S12" s="23"/>
      <c r="U12" s="24"/>
      <c r="V12" s="685"/>
      <c r="W12" s="656"/>
      <c r="AB12" s="51"/>
      <c r="AC12" s="51"/>
      <c r="AD12" s="51"/>
      <c r="AE12" s="51"/>
    </row>
    <row r="13" spans="1:32" s="638" customFormat="1" ht="23.25" customHeight="1" x14ac:dyDescent="0.2">
      <c r="A13" s="827" t="s">
        <v>29</v>
      </c>
      <c r="B13" s="674"/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5"/>
      <c r="N13" s="62"/>
      <c r="O13" s="26"/>
      <c r="P13" s="26" t="s">
        <v>30</v>
      </c>
      <c r="Q13" s="926"/>
      <c r="R13" s="7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7" t="s">
        <v>31</v>
      </c>
      <c r="B14" s="674"/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55" t="s">
        <v>32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5"/>
      <c r="N15" s="63"/>
      <c r="P15" s="832" t="s">
        <v>33</v>
      </c>
      <c r="Q15" s="685"/>
      <c r="R15" s="685"/>
      <c r="S15" s="685"/>
      <c r="T15" s="68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3"/>
      <c r="Q16" s="833"/>
      <c r="R16" s="833"/>
      <c r="S16" s="833"/>
      <c r="T16" s="8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9" t="s">
        <v>34</v>
      </c>
      <c r="B17" s="699" t="s">
        <v>35</v>
      </c>
      <c r="C17" s="835" t="s">
        <v>36</v>
      </c>
      <c r="D17" s="699" t="s">
        <v>37</v>
      </c>
      <c r="E17" s="764"/>
      <c r="F17" s="699" t="s">
        <v>38</v>
      </c>
      <c r="G17" s="699" t="s">
        <v>39</v>
      </c>
      <c r="H17" s="699" t="s">
        <v>40</v>
      </c>
      <c r="I17" s="699" t="s">
        <v>41</v>
      </c>
      <c r="J17" s="699" t="s">
        <v>42</v>
      </c>
      <c r="K17" s="699" t="s">
        <v>43</v>
      </c>
      <c r="L17" s="699" t="s">
        <v>44</v>
      </c>
      <c r="M17" s="699" t="s">
        <v>45</v>
      </c>
      <c r="N17" s="699" t="s">
        <v>46</v>
      </c>
      <c r="O17" s="699" t="s">
        <v>47</v>
      </c>
      <c r="P17" s="699" t="s">
        <v>48</v>
      </c>
      <c r="Q17" s="763"/>
      <c r="R17" s="763"/>
      <c r="S17" s="763"/>
      <c r="T17" s="764"/>
      <c r="U17" s="858" t="s">
        <v>49</v>
      </c>
      <c r="V17" s="675"/>
      <c r="W17" s="699" t="s">
        <v>50</v>
      </c>
      <c r="X17" s="699" t="s">
        <v>51</v>
      </c>
      <c r="Y17" s="1009" t="s">
        <v>52</v>
      </c>
      <c r="Z17" s="1017" t="s">
        <v>53</v>
      </c>
      <c r="AA17" s="882" t="s">
        <v>54</v>
      </c>
      <c r="AB17" s="882" t="s">
        <v>55</v>
      </c>
      <c r="AC17" s="882" t="s">
        <v>56</v>
      </c>
      <c r="AD17" s="882" t="s">
        <v>57</v>
      </c>
      <c r="AE17" s="959"/>
      <c r="AF17" s="960"/>
      <c r="AG17" s="66"/>
      <c r="BD17" s="65" t="s">
        <v>58</v>
      </c>
    </row>
    <row r="18" spans="1:68" ht="14.25" customHeight="1" x14ac:dyDescent="0.2">
      <c r="A18" s="700"/>
      <c r="B18" s="700"/>
      <c r="C18" s="700"/>
      <c r="D18" s="765"/>
      <c r="E18" s="767"/>
      <c r="F18" s="700"/>
      <c r="G18" s="700"/>
      <c r="H18" s="700"/>
      <c r="I18" s="700"/>
      <c r="J18" s="700"/>
      <c r="K18" s="700"/>
      <c r="L18" s="700"/>
      <c r="M18" s="700"/>
      <c r="N18" s="700"/>
      <c r="O18" s="700"/>
      <c r="P18" s="765"/>
      <c r="Q18" s="766"/>
      <c r="R18" s="766"/>
      <c r="S18" s="766"/>
      <c r="T18" s="767"/>
      <c r="U18" s="67" t="s">
        <v>59</v>
      </c>
      <c r="V18" s="67" t="s">
        <v>60</v>
      </c>
      <c r="W18" s="700"/>
      <c r="X18" s="700"/>
      <c r="Y18" s="1010"/>
      <c r="Z18" s="1018"/>
      <c r="AA18" s="883"/>
      <c r="AB18" s="883"/>
      <c r="AC18" s="883"/>
      <c r="AD18" s="961"/>
      <c r="AE18" s="962"/>
      <c r="AF18" s="963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66" t="s">
        <v>61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36"/>
      <c r="AB20" s="636"/>
      <c r="AC20" s="636"/>
    </row>
    <row r="21" spans="1:68" ht="14.25" hidden="1" customHeight="1" x14ac:dyDescent="0.25">
      <c r="A21" s="672" t="s">
        <v>62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50">
        <v>4680115886643</v>
      </c>
      <c r="E22" s="651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50">
        <v>4680115889071</v>
      </c>
      <c r="E23" s="651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3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67" t="s">
        <v>72</v>
      </c>
      <c r="Q24" s="668"/>
      <c r="R24" s="668"/>
      <c r="S24" s="668"/>
      <c r="T24" s="668"/>
      <c r="U24" s="668"/>
      <c r="V24" s="669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67" t="s">
        <v>72</v>
      </c>
      <c r="Q25" s="668"/>
      <c r="R25" s="668"/>
      <c r="S25" s="668"/>
      <c r="T25" s="668"/>
      <c r="U25" s="668"/>
      <c r="V25" s="669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2" t="s">
        <v>74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50">
        <v>4680115885912</v>
      </c>
      <c r="E27" s="651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10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50">
        <v>4607091388237</v>
      </c>
      <c r="E28" s="651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50">
        <v>4680115887350</v>
      </c>
      <c r="E29" s="651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67</v>
      </c>
      <c r="X29" s="641">
        <v>38</v>
      </c>
      <c r="Y29" s="642">
        <f>IFERROR(IF(X29="",0,CEILING((X29/$H29),1)*$H29),"")</f>
        <v>39.6</v>
      </c>
      <c r="Z29" s="36">
        <f>IFERROR(IF(Y29=0,"",ROUNDUP(Y29/H29,0)*0.00651),"")</f>
        <v>0.14322000000000001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67.13333333333334</v>
      </c>
      <c r="BN29" s="64">
        <f>IFERROR(Y29*I29/H29,"0")</f>
        <v>69.960000000000008</v>
      </c>
      <c r="BO29" s="64">
        <f>IFERROR(1/J29*(X29/H29),"0")</f>
        <v>0.115995115995116</v>
      </c>
      <c r="BP29" s="64">
        <f>IFERROR(1/J29*(Y29/H29),"0")</f>
        <v>0.12087912087912089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50">
        <v>4680115885905</v>
      </c>
      <c r="E30" s="651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67</v>
      </c>
      <c r="X30" s="641">
        <v>38</v>
      </c>
      <c r="Y30" s="642">
        <f>IFERROR(IF(X30="",0,CEILING((X30/$H30),1)*$H30),"")</f>
        <v>39.6</v>
      </c>
      <c r="Z30" s="36">
        <f>IFERROR(IF(Y30=0,"",ROUNDUP(Y30/H30,0)*0.00651),"")</f>
        <v>0.14322000000000001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67.13333333333334</v>
      </c>
      <c r="BN30" s="64">
        <f>IFERROR(Y30*I30/H30,"0")</f>
        <v>69.960000000000008</v>
      </c>
      <c r="BO30" s="64">
        <f>IFERROR(1/J30*(X30/H30),"0")</f>
        <v>0.115995115995116</v>
      </c>
      <c r="BP30" s="64">
        <f>IFERROR(1/J30*(Y30/H30),"0")</f>
        <v>0.12087912087912089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50">
        <v>4680115887619</v>
      </c>
      <c r="E31" s="651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5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67" t="s">
        <v>72</v>
      </c>
      <c r="Q32" s="668"/>
      <c r="R32" s="668"/>
      <c r="S32" s="668"/>
      <c r="T32" s="668"/>
      <c r="U32" s="668"/>
      <c r="V32" s="669"/>
      <c r="W32" s="37" t="s">
        <v>73</v>
      </c>
      <c r="X32" s="643">
        <f>IFERROR(X27/H27,"0")+IFERROR(X28/H28,"0")+IFERROR(X29/H29,"0")+IFERROR(X30/H30,"0")+IFERROR(X31/H31,"0")</f>
        <v>42.222222222222221</v>
      </c>
      <c r="Y32" s="643">
        <f>IFERROR(Y27/H27,"0")+IFERROR(Y28/H28,"0")+IFERROR(Y29/H29,"0")+IFERROR(Y30/H30,"0")+IFERROR(Y31/H31,"0")</f>
        <v>44</v>
      </c>
      <c r="Z32" s="643">
        <f>IFERROR(IF(Z27="",0,Z27),"0")+IFERROR(IF(Z28="",0,Z28),"0")+IFERROR(IF(Z29="",0,Z29),"0")+IFERROR(IF(Z30="",0,Z30),"0")+IFERROR(IF(Z31="",0,Z31),"0")</f>
        <v>0.28644000000000003</v>
      </c>
      <c r="AA32" s="644"/>
      <c r="AB32" s="644"/>
      <c r="AC32" s="644"/>
    </row>
    <row r="33" spans="1:68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67" t="s">
        <v>72</v>
      </c>
      <c r="Q33" s="668"/>
      <c r="R33" s="668"/>
      <c r="S33" s="668"/>
      <c r="T33" s="668"/>
      <c r="U33" s="668"/>
      <c r="V33" s="669"/>
      <c r="W33" s="37" t="s">
        <v>67</v>
      </c>
      <c r="X33" s="643">
        <f>IFERROR(SUM(X27:X31),"0")</f>
        <v>76</v>
      </c>
      <c r="Y33" s="643">
        <f>IFERROR(SUM(Y27:Y31),"0")</f>
        <v>79.2</v>
      </c>
      <c r="Z33" s="37"/>
      <c r="AA33" s="644"/>
      <c r="AB33" s="644"/>
      <c r="AC33" s="644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66" t="s">
        <v>93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36"/>
      <c r="AB35" s="636"/>
      <c r="AC35" s="636"/>
    </row>
    <row r="36" spans="1:68" ht="14.25" hidden="1" customHeight="1" x14ac:dyDescent="0.25">
      <c r="A36" s="672" t="s">
        <v>74</v>
      </c>
      <c r="B36" s="656"/>
      <c r="C36" s="656"/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V36" s="656"/>
      <c r="W36" s="656"/>
      <c r="X36" s="656"/>
      <c r="Y36" s="656"/>
      <c r="Z36" s="656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50">
        <v>4680115889354</v>
      </c>
      <c r="E37" s="651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50">
        <v>4680115888463</v>
      </c>
      <c r="E38" s="651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50">
        <v>4680115889590</v>
      </c>
      <c r="E39" s="651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50">
        <v>4680115888272</v>
      </c>
      <c r="E40" s="651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50">
        <v>4680115888364</v>
      </c>
      <c r="E41" s="651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67" t="s">
        <v>72</v>
      </c>
      <c r="Q42" s="668"/>
      <c r="R42" s="668"/>
      <c r="S42" s="668"/>
      <c r="T42" s="668"/>
      <c r="U42" s="668"/>
      <c r="V42" s="669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67" t="s">
        <v>72</v>
      </c>
      <c r="Q43" s="668"/>
      <c r="R43" s="668"/>
      <c r="S43" s="668"/>
      <c r="T43" s="668"/>
      <c r="U43" s="668"/>
      <c r="V43" s="669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66" t="s">
        <v>110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36"/>
      <c r="AB45" s="636"/>
      <c r="AC45" s="636"/>
    </row>
    <row r="46" spans="1:68" ht="14.25" hidden="1" customHeight="1" x14ac:dyDescent="0.25">
      <c r="A46" s="672" t="s">
        <v>111</v>
      </c>
      <c r="B46" s="656"/>
      <c r="C46" s="656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50">
        <v>4607091385670</v>
      </c>
      <c r="E47" s="651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67</v>
      </c>
      <c r="X47" s="641">
        <v>300</v>
      </c>
      <c r="Y47" s="642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311.38888888888891</v>
      </c>
      <c r="BN47" s="64">
        <f>IFERROR(Y47*I47/H47,"0")</f>
        <v>313.88</v>
      </c>
      <c r="BO47" s="64">
        <f>IFERROR(1/J47*(X47/H47),"0")</f>
        <v>0.43402777777777773</v>
      </c>
      <c r="BP47" s="64">
        <f>IFERROR(1/J47*(Y47/H47),"0")</f>
        <v>0.4375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50">
        <v>4680115887725</v>
      </c>
      <c r="E48" s="651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50">
        <v>4607091385687</v>
      </c>
      <c r="E49" s="651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50">
        <v>4680115882539</v>
      </c>
      <c r="E50" s="651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5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67" t="s">
        <v>72</v>
      </c>
      <c r="Q51" s="668"/>
      <c r="R51" s="668"/>
      <c r="S51" s="668"/>
      <c r="T51" s="668"/>
      <c r="U51" s="668"/>
      <c r="V51" s="669"/>
      <c r="W51" s="37" t="s">
        <v>73</v>
      </c>
      <c r="X51" s="643">
        <f>IFERROR(X47/H47,"0")+IFERROR(X48/H48,"0")+IFERROR(X49/H49,"0")+IFERROR(X50/H50,"0")</f>
        <v>27.777777777777775</v>
      </c>
      <c r="Y51" s="643">
        <f>IFERROR(Y47/H47,"0")+IFERROR(Y48/H48,"0")+IFERROR(Y49/H49,"0")+IFERROR(Y50/H50,"0")</f>
        <v>28</v>
      </c>
      <c r="Z51" s="643">
        <f>IFERROR(IF(Z47="",0,Z47),"0")+IFERROR(IF(Z48="",0,Z48),"0")+IFERROR(IF(Z49="",0,Z49),"0")+IFERROR(IF(Z50="",0,Z50),"0")</f>
        <v>0.53144000000000002</v>
      </c>
      <c r="AA51" s="644"/>
      <c r="AB51" s="644"/>
      <c r="AC51" s="64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67" t="s">
        <v>72</v>
      </c>
      <c r="Q52" s="668"/>
      <c r="R52" s="668"/>
      <c r="S52" s="668"/>
      <c r="T52" s="668"/>
      <c r="U52" s="668"/>
      <c r="V52" s="669"/>
      <c r="W52" s="37" t="s">
        <v>67</v>
      </c>
      <c r="X52" s="643">
        <f>IFERROR(SUM(X47:X50),"0")</f>
        <v>300</v>
      </c>
      <c r="Y52" s="643">
        <f>IFERROR(SUM(Y47:Y50),"0")</f>
        <v>302.40000000000003</v>
      </c>
      <c r="Z52" s="37"/>
      <c r="AA52" s="644"/>
      <c r="AB52" s="644"/>
      <c r="AC52" s="644"/>
    </row>
    <row r="53" spans="1:68" ht="16.5" hidden="1" customHeight="1" x14ac:dyDescent="0.25">
      <c r="A53" s="666" t="s">
        <v>126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36"/>
      <c r="AB53" s="636"/>
      <c r="AC53" s="636"/>
    </row>
    <row r="54" spans="1:68" ht="14.25" hidden="1" customHeight="1" x14ac:dyDescent="0.25">
      <c r="A54" s="672" t="s">
        <v>111</v>
      </c>
      <c r="B54" s="656"/>
      <c r="C54" s="656"/>
      <c r="D54" s="656"/>
      <c r="E54" s="656"/>
      <c r="F54" s="656"/>
      <c r="G54" s="656"/>
      <c r="H54" s="656"/>
      <c r="I54" s="656"/>
      <c r="J54" s="656"/>
      <c r="K54" s="656"/>
      <c r="L54" s="656"/>
      <c r="M54" s="656"/>
      <c r="N54" s="656"/>
      <c r="O54" s="656"/>
      <c r="P54" s="656"/>
      <c r="Q54" s="656"/>
      <c r="R54" s="656"/>
      <c r="S54" s="656"/>
      <c r="T54" s="656"/>
      <c r="U54" s="656"/>
      <c r="V54" s="656"/>
      <c r="W54" s="656"/>
      <c r="X54" s="656"/>
      <c r="Y54" s="656"/>
      <c r="Z54" s="656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50">
        <v>4680115885882</v>
      </c>
      <c r="E55" s="651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67</v>
      </c>
      <c r="X55" s="641">
        <v>4</v>
      </c>
      <c r="Y55" s="642">
        <f t="shared" ref="Y55:Y61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4.1464285714285714</v>
      </c>
      <c r="BN55" s="64">
        <f t="shared" ref="BN55:BN61" si="2">IFERROR(Y55*I55/H55,"0")</f>
        <v>11.61</v>
      </c>
      <c r="BO55" s="64">
        <f t="shared" ref="BO55:BO61" si="3">IFERROR(1/J55*(X55/H55),"0")</f>
        <v>5.580357142857143E-3</v>
      </c>
      <c r="BP55" s="64">
        <f t="shared" ref="BP55:BP61" si="4">IFERROR(1/J55*(Y55/H55),"0")</f>
        <v>1.5625E-2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50">
        <v>4680115881426</v>
      </c>
      <c r="E56" s="651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50">
        <v>4680115880283</v>
      </c>
      <c r="E57" s="651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8"/>
      <c r="R57" s="648"/>
      <c r="S57" s="648"/>
      <c r="T57" s="649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50">
        <v>4680115881525</v>
      </c>
      <c r="E58" s="651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8"/>
      <c r="R58" s="648"/>
      <c r="S58" s="648"/>
      <c r="T58" s="649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50">
        <v>4680115881525</v>
      </c>
      <c r="E59" s="651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1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8"/>
      <c r="R59" s="648"/>
      <c r="S59" s="648"/>
      <c r="T59" s="649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50">
        <v>4680115885899</v>
      </c>
      <c r="E60" s="651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8"/>
      <c r="R60" s="648"/>
      <c r="S60" s="648"/>
      <c r="T60" s="649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50">
        <v>4680115881419</v>
      </c>
      <c r="E61" s="651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1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67</v>
      </c>
      <c r="X61" s="641">
        <v>21</v>
      </c>
      <c r="Y61" s="642">
        <f t="shared" si="0"/>
        <v>22.5</v>
      </c>
      <c r="Z61" s="36">
        <f>IFERROR(IF(Y61=0,"",ROUNDUP(Y61/H61,0)*0.00902),"")</f>
        <v>4.5100000000000001E-2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21.88666666666667</v>
      </c>
      <c r="BN61" s="64">
        <f t="shared" si="2"/>
        <v>23.450000000000003</v>
      </c>
      <c r="BO61" s="64">
        <f t="shared" si="3"/>
        <v>3.5353535353535359E-2</v>
      </c>
      <c r="BP61" s="64">
        <f t="shared" si="4"/>
        <v>3.787878787878788E-2</v>
      </c>
    </row>
    <row r="62" spans="1:68" x14ac:dyDescent="0.2">
      <c r="A62" s="655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67" t="s">
        <v>72</v>
      </c>
      <c r="Q62" s="668"/>
      <c r="R62" s="668"/>
      <c r="S62" s="668"/>
      <c r="T62" s="668"/>
      <c r="U62" s="668"/>
      <c r="V62" s="669"/>
      <c r="W62" s="37" t="s">
        <v>73</v>
      </c>
      <c r="X62" s="643">
        <f>IFERROR(X55/H55,"0")+IFERROR(X56/H56,"0")+IFERROR(X57/H57,"0")+IFERROR(X58/H58,"0")+IFERROR(X59/H59,"0")+IFERROR(X60/H60,"0")+IFERROR(X61/H61,"0")</f>
        <v>5.0238095238095237</v>
      </c>
      <c r="Y62" s="643">
        <f>IFERROR(Y55/H55,"0")+IFERROR(Y56/H56,"0")+IFERROR(Y57/H57,"0")+IFERROR(Y58/H58,"0")+IFERROR(Y59/H59,"0")+IFERROR(Y60/H60,"0")+IFERROR(Y61/H61,"0")</f>
        <v>6</v>
      </c>
      <c r="Z62" s="643">
        <f>IFERROR(IF(Z55="",0,Z55),"0")+IFERROR(IF(Z56="",0,Z56),"0")+IFERROR(IF(Z57="",0,Z57),"0")+IFERROR(IF(Z58="",0,Z58),"0")+IFERROR(IF(Z59="",0,Z59),"0")+IFERROR(IF(Z60="",0,Z60),"0")+IFERROR(IF(Z61="",0,Z61),"0")</f>
        <v>6.4079999999999998E-2</v>
      </c>
      <c r="AA62" s="644"/>
      <c r="AB62" s="644"/>
      <c r="AC62" s="64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67" t="s">
        <v>72</v>
      </c>
      <c r="Q63" s="668"/>
      <c r="R63" s="668"/>
      <c r="S63" s="668"/>
      <c r="T63" s="668"/>
      <c r="U63" s="668"/>
      <c r="V63" s="669"/>
      <c r="W63" s="37" t="s">
        <v>67</v>
      </c>
      <c r="X63" s="643">
        <f>IFERROR(SUM(X55:X61),"0")</f>
        <v>25</v>
      </c>
      <c r="Y63" s="643">
        <f>IFERROR(SUM(Y55:Y61),"0")</f>
        <v>33.700000000000003</v>
      </c>
      <c r="Z63" s="37"/>
      <c r="AA63" s="644"/>
      <c r="AB63" s="644"/>
      <c r="AC63" s="644"/>
    </row>
    <row r="64" spans="1:68" ht="14.25" hidden="1" customHeight="1" x14ac:dyDescent="0.25">
      <c r="A64" s="672" t="s">
        <v>146</v>
      </c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656"/>
      <c r="S64" s="656"/>
      <c r="T64" s="656"/>
      <c r="U64" s="656"/>
      <c r="V64" s="656"/>
      <c r="W64" s="656"/>
      <c r="X64" s="656"/>
      <c r="Y64" s="656"/>
      <c r="Z64" s="656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50">
        <v>4680115881440</v>
      </c>
      <c r="E65" s="651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8"/>
      <c r="R65" s="648"/>
      <c r="S65" s="648"/>
      <c r="T65" s="649"/>
      <c r="U65" s="34"/>
      <c r="V65" s="34"/>
      <c r="W65" s="35" t="s">
        <v>67</v>
      </c>
      <c r="X65" s="641">
        <v>49</v>
      </c>
      <c r="Y65" s="642">
        <f>IFERROR(IF(X65="",0,CEILING((X65/$H65),1)*$H65),"")</f>
        <v>54</v>
      </c>
      <c r="Z65" s="36">
        <f>IFERROR(IF(Y65=0,"",ROUNDUP(Y65/H65,0)*0.01898),"")</f>
        <v>9.4899999999999998E-2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50.860185185185188</v>
      </c>
      <c r="BN65" s="64">
        <f>IFERROR(Y65*I65/H65,"0")</f>
        <v>56.05</v>
      </c>
      <c r="BO65" s="64">
        <f>IFERROR(1/J65*(X65/H65),"0")</f>
        <v>7.0891203703703692E-2</v>
      </c>
      <c r="BP65" s="64">
        <f>IFERROR(1/J65*(Y65/H65),"0")</f>
        <v>7.8125E-2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50">
        <v>4680115885950</v>
      </c>
      <c r="E66" s="651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8"/>
      <c r="R66" s="648"/>
      <c r="S66" s="648"/>
      <c r="T66" s="649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50">
        <v>4680115887688</v>
      </c>
      <c r="E67" s="651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8"/>
      <c r="R67" s="648"/>
      <c r="S67" s="648"/>
      <c r="T67" s="649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50">
        <v>4680115881433</v>
      </c>
      <c r="E68" s="651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8"/>
      <c r="R68" s="648"/>
      <c r="S68" s="648"/>
      <c r="T68" s="649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67" t="s">
        <v>72</v>
      </c>
      <c r="Q69" s="668"/>
      <c r="R69" s="668"/>
      <c r="S69" s="668"/>
      <c r="T69" s="668"/>
      <c r="U69" s="668"/>
      <c r="V69" s="669"/>
      <c r="W69" s="37" t="s">
        <v>73</v>
      </c>
      <c r="X69" s="643">
        <f>IFERROR(X65/H65,"0")+IFERROR(X66/H66,"0")+IFERROR(X67/H67,"0")+IFERROR(X68/H68,"0")</f>
        <v>4.5370370370370363</v>
      </c>
      <c r="Y69" s="643">
        <f>IFERROR(Y65/H65,"0")+IFERROR(Y66/H66,"0")+IFERROR(Y67/H67,"0")+IFERROR(Y68/H68,"0")</f>
        <v>5</v>
      </c>
      <c r="Z69" s="643">
        <f>IFERROR(IF(Z65="",0,Z65),"0")+IFERROR(IF(Z66="",0,Z66),"0")+IFERROR(IF(Z67="",0,Z67),"0")+IFERROR(IF(Z68="",0,Z68),"0")</f>
        <v>9.4899999999999998E-2</v>
      </c>
      <c r="AA69" s="644"/>
      <c r="AB69" s="644"/>
      <c r="AC69" s="64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67" t="s">
        <v>72</v>
      </c>
      <c r="Q70" s="668"/>
      <c r="R70" s="668"/>
      <c r="S70" s="668"/>
      <c r="T70" s="668"/>
      <c r="U70" s="668"/>
      <c r="V70" s="669"/>
      <c r="W70" s="37" t="s">
        <v>67</v>
      </c>
      <c r="X70" s="643">
        <f>IFERROR(SUM(X65:X68),"0")</f>
        <v>49</v>
      </c>
      <c r="Y70" s="643">
        <f>IFERROR(SUM(Y65:Y68),"0")</f>
        <v>54</v>
      </c>
      <c r="Z70" s="37"/>
      <c r="AA70" s="644"/>
      <c r="AB70" s="644"/>
      <c r="AC70" s="644"/>
    </row>
    <row r="71" spans="1:68" ht="14.25" hidden="1" customHeight="1" x14ac:dyDescent="0.25">
      <c r="A71" s="672" t="s">
        <v>74</v>
      </c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6"/>
      <c r="P71" s="656"/>
      <c r="Q71" s="656"/>
      <c r="R71" s="656"/>
      <c r="S71" s="656"/>
      <c r="T71" s="656"/>
      <c r="U71" s="656"/>
      <c r="V71" s="656"/>
      <c r="W71" s="656"/>
      <c r="X71" s="656"/>
      <c r="Y71" s="656"/>
      <c r="Z71" s="656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50">
        <v>4680115884311</v>
      </c>
      <c r="E72" s="651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8"/>
      <c r="R72" s="648"/>
      <c r="S72" s="648"/>
      <c r="T72" s="649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50">
        <v>4680115884403</v>
      </c>
      <c r="E73" s="651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8"/>
      <c r="R73" s="648"/>
      <c r="S73" s="648"/>
      <c r="T73" s="649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50">
        <v>4680115884403</v>
      </c>
      <c r="E74" s="651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8"/>
      <c r="R74" s="648"/>
      <c r="S74" s="648"/>
      <c r="T74" s="649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67" t="s">
        <v>72</v>
      </c>
      <c r="Q75" s="668"/>
      <c r="R75" s="668"/>
      <c r="S75" s="668"/>
      <c r="T75" s="668"/>
      <c r="U75" s="668"/>
      <c r="V75" s="669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67" t="s">
        <v>72</v>
      </c>
      <c r="Q76" s="668"/>
      <c r="R76" s="668"/>
      <c r="S76" s="668"/>
      <c r="T76" s="668"/>
      <c r="U76" s="668"/>
      <c r="V76" s="669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2" t="s">
        <v>164</v>
      </c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6"/>
      <c r="P77" s="656"/>
      <c r="Q77" s="656"/>
      <c r="R77" s="656"/>
      <c r="S77" s="656"/>
      <c r="T77" s="656"/>
      <c r="U77" s="656"/>
      <c r="V77" s="656"/>
      <c r="W77" s="656"/>
      <c r="X77" s="656"/>
      <c r="Y77" s="656"/>
      <c r="Z77" s="656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50">
        <v>4680115881532</v>
      </c>
      <c r="E78" s="651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8"/>
      <c r="R78" s="648"/>
      <c r="S78" s="648"/>
      <c r="T78" s="649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50">
        <v>4680115881532</v>
      </c>
      <c r="E79" s="651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8"/>
      <c r="R79" s="648"/>
      <c r="S79" s="648"/>
      <c r="T79" s="649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50">
        <v>4680115881464</v>
      </c>
      <c r="E80" s="651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8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5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67" t="s">
        <v>72</v>
      </c>
      <c r="Q81" s="668"/>
      <c r="R81" s="668"/>
      <c r="S81" s="668"/>
      <c r="T81" s="668"/>
      <c r="U81" s="668"/>
      <c r="V81" s="669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67" t="s">
        <v>72</v>
      </c>
      <c r="Q82" s="668"/>
      <c r="R82" s="668"/>
      <c r="S82" s="668"/>
      <c r="T82" s="668"/>
      <c r="U82" s="668"/>
      <c r="V82" s="669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6" t="s">
        <v>172</v>
      </c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6"/>
      <c r="P83" s="656"/>
      <c r="Q83" s="656"/>
      <c r="R83" s="656"/>
      <c r="S83" s="656"/>
      <c r="T83" s="656"/>
      <c r="U83" s="656"/>
      <c r="V83" s="656"/>
      <c r="W83" s="656"/>
      <c r="X83" s="656"/>
      <c r="Y83" s="656"/>
      <c r="Z83" s="656"/>
      <c r="AA83" s="636"/>
      <c r="AB83" s="636"/>
      <c r="AC83" s="636"/>
    </row>
    <row r="84" spans="1:68" ht="14.25" hidden="1" customHeight="1" x14ac:dyDescent="0.25">
      <c r="A84" s="672" t="s">
        <v>111</v>
      </c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6"/>
      <c r="P84" s="656"/>
      <c r="Q84" s="656"/>
      <c r="R84" s="656"/>
      <c r="S84" s="656"/>
      <c r="T84" s="656"/>
      <c r="U84" s="656"/>
      <c r="V84" s="656"/>
      <c r="W84" s="656"/>
      <c r="X84" s="656"/>
      <c r="Y84" s="656"/>
      <c r="Z84" s="656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50">
        <v>4680115881327</v>
      </c>
      <c r="E85" s="651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4"/>
      <c r="V85" s="34"/>
      <c r="W85" s="35" t="s">
        <v>67</v>
      </c>
      <c r="X85" s="641">
        <v>73</v>
      </c>
      <c r="Y85" s="642">
        <f t="shared" ref="Y85:Y90" si="5">IFERROR(IF(X85="",0,CEILING((X85/$H85),1)*$H85),"")</f>
        <v>75.600000000000009</v>
      </c>
      <c r="Z85" s="36">
        <f>IFERROR(IF(Y85=0,"",ROUNDUP(Y85/H85,0)*0.01898),"")</f>
        <v>0.13286000000000001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75.771296296296299</v>
      </c>
      <c r="BN85" s="64">
        <f t="shared" ref="BN85:BN90" si="7">IFERROR(Y85*I85/H85,"0")</f>
        <v>78.47</v>
      </c>
      <c r="BO85" s="64">
        <f t="shared" ref="BO85:BO90" si="8">IFERROR(1/J85*(X85/H85),"0")</f>
        <v>0.10561342592592592</v>
      </c>
      <c r="BP85" s="64">
        <f t="shared" ref="BP85:BP90" si="9">IFERROR(1/J85*(Y85/H85),"0")</f>
        <v>0.109375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50">
        <v>4680115887732</v>
      </c>
      <c r="E86" s="651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50">
        <v>4680115887732</v>
      </c>
      <c r="E87" s="651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8"/>
      <c r="R87" s="648"/>
      <c r="S87" s="648"/>
      <c r="T87" s="649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50">
        <v>4680115881518</v>
      </c>
      <c r="E88" s="651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8"/>
      <c r="R88" s="648"/>
      <c r="S88" s="648"/>
      <c r="T88" s="649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50">
        <v>4680115881303</v>
      </c>
      <c r="E89" s="651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8"/>
      <c r="R89" s="648"/>
      <c r="S89" s="648"/>
      <c r="T89" s="649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50">
        <v>4680115881303</v>
      </c>
      <c r="E90" s="651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101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8"/>
      <c r="R90" s="648"/>
      <c r="S90" s="648"/>
      <c r="T90" s="649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5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67" t="s">
        <v>72</v>
      </c>
      <c r="Q91" s="668"/>
      <c r="R91" s="668"/>
      <c r="S91" s="668"/>
      <c r="T91" s="668"/>
      <c r="U91" s="668"/>
      <c r="V91" s="669"/>
      <c r="W91" s="37" t="s">
        <v>73</v>
      </c>
      <c r="X91" s="643">
        <f>IFERROR(X85/H85,"0")+IFERROR(X86/H86,"0")+IFERROR(X87/H87,"0")+IFERROR(X88/H88,"0")+IFERROR(X89/H89,"0")+IFERROR(X90/H90,"0")</f>
        <v>6.7592592592592586</v>
      </c>
      <c r="Y91" s="643">
        <f>IFERROR(Y85/H85,"0")+IFERROR(Y86/H86,"0")+IFERROR(Y87/H87,"0")+IFERROR(Y88/H88,"0")+IFERROR(Y89/H89,"0")+IFERROR(Y90/H90,"0")</f>
        <v>7</v>
      </c>
      <c r="Z91" s="643">
        <f>IFERROR(IF(Z85="",0,Z85),"0")+IFERROR(IF(Z86="",0,Z86),"0")+IFERROR(IF(Z87="",0,Z87),"0")+IFERROR(IF(Z88="",0,Z88),"0")+IFERROR(IF(Z89="",0,Z89),"0")+IFERROR(IF(Z90="",0,Z90),"0")</f>
        <v>0.13286000000000001</v>
      </c>
      <c r="AA91" s="644"/>
      <c r="AB91" s="644"/>
      <c r="AC91" s="644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67" t="s">
        <v>72</v>
      </c>
      <c r="Q92" s="668"/>
      <c r="R92" s="668"/>
      <c r="S92" s="668"/>
      <c r="T92" s="668"/>
      <c r="U92" s="668"/>
      <c r="V92" s="669"/>
      <c r="W92" s="37" t="s">
        <v>67</v>
      </c>
      <c r="X92" s="643">
        <f>IFERROR(SUM(X85:X90),"0")</f>
        <v>73</v>
      </c>
      <c r="Y92" s="643">
        <f>IFERROR(SUM(Y85:Y90),"0")</f>
        <v>75.600000000000009</v>
      </c>
      <c r="Z92" s="37"/>
      <c r="AA92" s="644"/>
      <c r="AB92" s="644"/>
      <c r="AC92" s="644"/>
    </row>
    <row r="93" spans="1:68" ht="14.25" hidden="1" customHeight="1" x14ac:dyDescent="0.25">
      <c r="A93" s="672" t="s">
        <v>74</v>
      </c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6"/>
      <c r="P93" s="656"/>
      <c r="Q93" s="656"/>
      <c r="R93" s="656"/>
      <c r="S93" s="656"/>
      <c r="T93" s="656"/>
      <c r="U93" s="656"/>
      <c r="V93" s="656"/>
      <c r="W93" s="656"/>
      <c r="X93" s="656"/>
      <c r="Y93" s="656"/>
      <c r="Z93" s="656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50">
        <v>4607091386967</v>
      </c>
      <c r="E94" s="651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3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8"/>
      <c r="R94" s="648"/>
      <c r="S94" s="648"/>
      <c r="T94" s="649"/>
      <c r="U94" s="34"/>
      <c r="V94" s="34"/>
      <c r="W94" s="35" t="s">
        <v>67</v>
      </c>
      <c r="X94" s="641">
        <v>139</v>
      </c>
      <c r="Y94" s="642">
        <f>IFERROR(IF(X94="",0,CEILING((X94/$H94),1)*$H94),"")</f>
        <v>145.79999999999998</v>
      </c>
      <c r="Z94" s="36">
        <f>IFERROR(IF(Y94=0,"",ROUNDUP(Y94/H94,0)*0.01898),"")</f>
        <v>0.34164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147.47728395061731</v>
      </c>
      <c r="BN94" s="64">
        <f>IFERROR(Y94*I94/H94,"0")</f>
        <v>154.69199999999998</v>
      </c>
      <c r="BO94" s="64">
        <f>IFERROR(1/J94*(X94/H94),"0")</f>
        <v>0.26813271604938271</v>
      </c>
      <c r="BP94" s="64">
        <f>IFERROR(1/J94*(Y94/H94),"0")</f>
        <v>0.28125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50">
        <v>4680115884953</v>
      </c>
      <c r="E95" s="651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1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50">
        <v>4607091385731</v>
      </c>
      <c r="E96" s="651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10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67</v>
      </c>
      <c r="X96" s="641">
        <v>68</v>
      </c>
      <c r="Y96" s="642">
        <f>IFERROR(IF(X96="",0,CEILING((X96/$H96),1)*$H96),"")</f>
        <v>70.2</v>
      </c>
      <c r="Z96" s="36">
        <f>IFERROR(IF(Y96=0,"",ROUNDUP(Y96/H96,0)*0.00651),"")</f>
        <v>0.16925999999999999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74.346666666666664</v>
      </c>
      <c r="BN96" s="64">
        <f>IFERROR(Y96*I96/H96,"0")</f>
        <v>76.751999999999995</v>
      </c>
      <c r="BO96" s="64">
        <f>IFERROR(1/J96*(X96/H96),"0")</f>
        <v>0.13838013838013838</v>
      </c>
      <c r="BP96" s="64">
        <f>IFERROR(1/J96*(Y96/H96),"0")</f>
        <v>0.14285714285714288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50">
        <v>4680115880894</v>
      </c>
      <c r="E97" s="651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8"/>
      <c r="R97" s="648"/>
      <c r="S97" s="648"/>
      <c r="T97" s="649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5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67" t="s">
        <v>72</v>
      </c>
      <c r="Q98" s="668"/>
      <c r="R98" s="668"/>
      <c r="S98" s="668"/>
      <c r="T98" s="668"/>
      <c r="U98" s="668"/>
      <c r="V98" s="669"/>
      <c r="W98" s="37" t="s">
        <v>73</v>
      </c>
      <c r="X98" s="643">
        <f>IFERROR(X94/H94,"0")+IFERROR(X95/H95,"0")+IFERROR(X96/H96,"0")+IFERROR(X97/H97,"0")</f>
        <v>42.345679012345677</v>
      </c>
      <c r="Y98" s="643">
        <f>IFERROR(Y94/H94,"0")+IFERROR(Y95/H95,"0")+IFERROR(Y96/H96,"0")+IFERROR(Y97/H97,"0")</f>
        <v>44</v>
      </c>
      <c r="Z98" s="643">
        <f>IFERROR(IF(Z94="",0,Z94),"0")+IFERROR(IF(Z95="",0,Z95),"0")+IFERROR(IF(Z96="",0,Z96),"0")+IFERROR(IF(Z97="",0,Z97),"0")</f>
        <v>0.51090000000000002</v>
      </c>
      <c r="AA98" s="644"/>
      <c r="AB98" s="644"/>
      <c r="AC98" s="644"/>
    </row>
    <row r="99" spans="1:68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67" t="s">
        <v>72</v>
      </c>
      <c r="Q99" s="668"/>
      <c r="R99" s="668"/>
      <c r="S99" s="668"/>
      <c r="T99" s="668"/>
      <c r="U99" s="668"/>
      <c r="V99" s="669"/>
      <c r="W99" s="37" t="s">
        <v>67</v>
      </c>
      <c r="X99" s="643">
        <f>IFERROR(SUM(X94:X97),"0")</f>
        <v>207</v>
      </c>
      <c r="Y99" s="643">
        <f>IFERROR(SUM(Y94:Y97),"0")</f>
        <v>216</v>
      </c>
      <c r="Z99" s="37"/>
      <c r="AA99" s="644"/>
      <c r="AB99" s="644"/>
      <c r="AC99" s="644"/>
    </row>
    <row r="100" spans="1:68" ht="16.5" hidden="1" customHeight="1" x14ac:dyDescent="0.25">
      <c r="A100" s="666" t="s">
        <v>196</v>
      </c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6"/>
      <c r="P100" s="656"/>
      <c r="Q100" s="656"/>
      <c r="R100" s="656"/>
      <c r="S100" s="656"/>
      <c r="T100" s="656"/>
      <c r="U100" s="656"/>
      <c r="V100" s="656"/>
      <c r="W100" s="656"/>
      <c r="X100" s="656"/>
      <c r="Y100" s="656"/>
      <c r="Z100" s="656"/>
      <c r="AA100" s="636"/>
      <c r="AB100" s="636"/>
      <c r="AC100" s="636"/>
    </row>
    <row r="101" spans="1:68" ht="14.25" hidden="1" customHeight="1" x14ac:dyDescent="0.25">
      <c r="A101" s="672" t="s">
        <v>111</v>
      </c>
      <c r="B101" s="656"/>
      <c r="C101" s="656"/>
      <c r="D101" s="656"/>
      <c r="E101" s="656"/>
      <c r="F101" s="656"/>
      <c r="G101" s="656"/>
      <c r="H101" s="656"/>
      <c r="I101" s="656"/>
      <c r="J101" s="656"/>
      <c r="K101" s="656"/>
      <c r="L101" s="656"/>
      <c r="M101" s="656"/>
      <c r="N101" s="656"/>
      <c r="O101" s="656"/>
      <c r="P101" s="656"/>
      <c r="Q101" s="656"/>
      <c r="R101" s="656"/>
      <c r="S101" s="656"/>
      <c r="T101" s="656"/>
      <c r="U101" s="656"/>
      <c r="V101" s="656"/>
      <c r="W101" s="656"/>
      <c r="X101" s="656"/>
      <c r="Y101" s="656"/>
      <c r="Z101" s="656"/>
      <c r="AA101" s="635"/>
      <c r="AB101" s="635"/>
      <c r="AC101" s="635"/>
    </row>
    <row r="102" spans="1:68" ht="37.5" hidden="1" customHeight="1" x14ac:dyDescent="0.25">
      <c r="A102" s="54" t="s">
        <v>197</v>
      </c>
      <c r="B102" s="54" t="s">
        <v>198</v>
      </c>
      <c r="C102" s="31">
        <v>4301011514</v>
      </c>
      <c r="D102" s="650">
        <v>4680115882133</v>
      </c>
      <c r="E102" s="651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8"/>
      <c r="R102" s="648"/>
      <c r="S102" s="648"/>
      <c r="T102" s="649"/>
      <c r="U102" s="34"/>
      <c r="V102" s="34"/>
      <c r="W102" s="35" t="s">
        <v>67</v>
      </c>
      <c r="X102" s="641">
        <v>0</v>
      </c>
      <c r="Y102" s="642">
        <f t="shared" ref="Y102:Y107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0</v>
      </c>
      <c r="BN102" s="64">
        <f t="shared" ref="BN102:BN107" si="12">IFERROR(Y102*I102/H102,"0")</f>
        <v>0</v>
      </c>
      <c r="BO102" s="64">
        <f t="shared" ref="BO102:BO107" si="13">IFERROR(1/J102*(X102/H102),"0")</f>
        <v>0</v>
      </c>
      <c r="BP102" s="64">
        <f t="shared" ref="BP102:BP107" si="14">IFERROR(1/J102*(Y102/H102),"0")</f>
        <v>0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50">
        <v>4680115887718</v>
      </c>
      <c r="E103" s="651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8"/>
      <c r="R103" s="648"/>
      <c r="S103" s="648"/>
      <c r="T103" s="649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50">
        <v>4680115880269</v>
      </c>
      <c r="E104" s="651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50">
        <v>4680115880429</v>
      </c>
      <c r="E105" s="651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3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8"/>
      <c r="R105" s="648"/>
      <c r="S105" s="648"/>
      <c r="T105" s="649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50">
        <v>4680115881457</v>
      </c>
      <c r="E106" s="651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8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50">
        <v>4680115881457</v>
      </c>
      <c r="E107" s="651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8"/>
      <c r="R107" s="648"/>
      <c r="S107" s="648"/>
      <c r="T107" s="649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55"/>
      <c r="B108" s="656"/>
      <c r="C108" s="656"/>
      <c r="D108" s="656"/>
      <c r="E108" s="656"/>
      <c r="F108" s="656"/>
      <c r="G108" s="656"/>
      <c r="H108" s="656"/>
      <c r="I108" s="656"/>
      <c r="J108" s="656"/>
      <c r="K108" s="656"/>
      <c r="L108" s="656"/>
      <c r="M108" s="656"/>
      <c r="N108" s="656"/>
      <c r="O108" s="657"/>
      <c r="P108" s="667" t="s">
        <v>72</v>
      </c>
      <c r="Q108" s="668"/>
      <c r="R108" s="668"/>
      <c r="S108" s="668"/>
      <c r="T108" s="668"/>
      <c r="U108" s="668"/>
      <c r="V108" s="669"/>
      <c r="W108" s="37" t="s">
        <v>73</v>
      </c>
      <c r="X108" s="643">
        <f>IFERROR(X102/H102,"0")+IFERROR(X103/H103,"0")+IFERROR(X104/H104,"0")+IFERROR(X105/H105,"0")+IFERROR(X106/H106,"0")+IFERROR(X107/H107,"0")</f>
        <v>0</v>
      </c>
      <c r="Y108" s="643">
        <f>IFERROR(Y102/H102,"0")+IFERROR(Y103/H103,"0")+IFERROR(Y104/H104,"0")+IFERROR(Y105/H105,"0")+IFERROR(Y106/H106,"0")+IFERROR(Y107/H107,"0")</f>
        <v>0</v>
      </c>
      <c r="Z108" s="643">
        <f>IFERROR(IF(Z102="",0,Z102),"0")+IFERROR(IF(Z103="",0,Z103),"0")+IFERROR(IF(Z104="",0,Z104),"0")+IFERROR(IF(Z105="",0,Z105),"0")+IFERROR(IF(Z106="",0,Z106),"0")+IFERROR(IF(Z107="",0,Z107),"0")</f>
        <v>0</v>
      </c>
      <c r="AA108" s="644"/>
      <c r="AB108" s="644"/>
      <c r="AC108" s="644"/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67" t="s">
        <v>72</v>
      </c>
      <c r="Q109" s="668"/>
      <c r="R109" s="668"/>
      <c r="S109" s="668"/>
      <c r="T109" s="668"/>
      <c r="U109" s="668"/>
      <c r="V109" s="669"/>
      <c r="W109" s="37" t="s">
        <v>67</v>
      </c>
      <c r="X109" s="643">
        <f>IFERROR(SUM(X102:X107),"0")</f>
        <v>0</v>
      </c>
      <c r="Y109" s="643">
        <f>IFERROR(SUM(Y102:Y107),"0")</f>
        <v>0</v>
      </c>
      <c r="Z109" s="37"/>
      <c r="AA109" s="644"/>
      <c r="AB109" s="644"/>
      <c r="AC109" s="644"/>
    </row>
    <row r="110" spans="1:68" ht="14.25" hidden="1" customHeight="1" x14ac:dyDescent="0.25">
      <c r="A110" s="672" t="s">
        <v>146</v>
      </c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6"/>
      <c r="P110" s="656"/>
      <c r="Q110" s="656"/>
      <c r="R110" s="656"/>
      <c r="S110" s="656"/>
      <c r="T110" s="656"/>
      <c r="U110" s="656"/>
      <c r="V110" s="656"/>
      <c r="W110" s="656"/>
      <c r="X110" s="656"/>
      <c r="Y110" s="656"/>
      <c r="Z110" s="656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50">
        <v>4680115881488</v>
      </c>
      <c r="E111" s="651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8"/>
      <c r="R111" s="648"/>
      <c r="S111" s="648"/>
      <c r="T111" s="649"/>
      <c r="U111" s="34"/>
      <c r="V111" s="34"/>
      <c r="W111" s="35" t="s">
        <v>67</v>
      </c>
      <c r="X111" s="641">
        <v>28</v>
      </c>
      <c r="Y111" s="642">
        <f>IFERROR(IF(X111="",0,CEILING((X111/$H111),1)*$H111),"")</f>
        <v>32.400000000000006</v>
      </c>
      <c r="Z111" s="36">
        <f>IFERROR(IF(Y111=0,"",ROUNDUP(Y111/H111,0)*0.01898),"")</f>
        <v>5.6940000000000004E-2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29.06296296296296</v>
      </c>
      <c r="BN111" s="64">
        <f>IFERROR(Y111*I111/H111,"0")</f>
        <v>33.630000000000003</v>
      </c>
      <c r="BO111" s="64">
        <f>IFERROR(1/J111*(X111/H111),"0")</f>
        <v>4.0509259259259259E-2</v>
      </c>
      <c r="BP111" s="64">
        <f>IFERROR(1/J111*(Y111/H111),"0")</f>
        <v>4.6875000000000007E-2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50">
        <v>4680115887664</v>
      </c>
      <c r="E112" s="651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50">
        <v>4680115887664</v>
      </c>
      <c r="E113" s="651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6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50">
        <v>4680115882775</v>
      </c>
      <c r="E114" s="651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2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8"/>
      <c r="R114" s="648"/>
      <c r="S114" s="648"/>
      <c r="T114" s="649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50">
        <v>4680115880658</v>
      </c>
      <c r="E115" s="651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8"/>
      <c r="R115" s="648"/>
      <c r="S115" s="648"/>
      <c r="T115" s="649"/>
      <c r="U115" s="34"/>
      <c r="V115" s="34"/>
      <c r="W115" s="35" t="s">
        <v>67</v>
      </c>
      <c r="X115" s="641">
        <v>3</v>
      </c>
      <c r="Y115" s="642">
        <f>IFERROR(IF(X115="",0,CEILING((X115/$H115),1)*$H115),"")</f>
        <v>4.8</v>
      </c>
      <c r="Z115" s="36">
        <f>IFERROR(IF(Y115=0,"",ROUNDUP(Y115/H115,0)*0.00651),"")</f>
        <v>1.302E-2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3.2250000000000001</v>
      </c>
      <c r="BN115" s="64">
        <f>IFERROR(Y115*I115/H115,"0")</f>
        <v>5.16</v>
      </c>
      <c r="BO115" s="64">
        <f>IFERROR(1/J115*(X115/H115),"0")</f>
        <v>6.8681318681318689E-3</v>
      </c>
      <c r="BP115" s="64">
        <f>IFERROR(1/J115*(Y115/H115),"0")</f>
        <v>1.098901098901099E-2</v>
      </c>
    </row>
    <row r="116" spans="1:68" x14ac:dyDescent="0.2">
      <c r="A116" s="655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67" t="s">
        <v>72</v>
      </c>
      <c r="Q116" s="668"/>
      <c r="R116" s="668"/>
      <c r="S116" s="668"/>
      <c r="T116" s="668"/>
      <c r="U116" s="668"/>
      <c r="V116" s="669"/>
      <c r="W116" s="37" t="s">
        <v>73</v>
      </c>
      <c r="X116" s="643">
        <f>IFERROR(X111/H111,"0")+IFERROR(X112/H112,"0")+IFERROR(X113/H113,"0")+IFERROR(X114/H114,"0")+IFERROR(X115/H115,"0")</f>
        <v>3.8425925925925926</v>
      </c>
      <c r="Y116" s="643">
        <f>IFERROR(Y111/H111,"0")+IFERROR(Y112/H112,"0")+IFERROR(Y113/H113,"0")+IFERROR(Y114/H114,"0")+IFERROR(Y115/H115,"0")</f>
        <v>5</v>
      </c>
      <c r="Z116" s="643">
        <f>IFERROR(IF(Z111="",0,Z111),"0")+IFERROR(IF(Z112="",0,Z112),"0")+IFERROR(IF(Z113="",0,Z113),"0")+IFERROR(IF(Z114="",0,Z114),"0")+IFERROR(IF(Z115="",0,Z115),"0")</f>
        <v>6.9960000000000008E-2</v>
      </c>
      <c r="AA116" s="644"/>
      <c r="AB116" s="644"/>
      <c r="AC116" s="644"/>
    </row>
    <row r="117" spans="1:68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67" t="s">
        <v>72</v>
      </c>
      <c r="Q117" s="668"/>
      <c r="R117" s="668"/>
      <c r="S117" s="668"/>
      <c r="T117" s="668"/>
      <c r="U117" s="668"/>
      <c r="V117" s="669"/>
      <c r="W117" s="37" t="s">
        <v>67</v>
      </c>
      <c r="X117" s="643">
        <f>IFERROR(SUM(X111:X115),"0")</f>
        <v>31</v>
      </c>
      <c r="Y117" s="643">
        <f>IFERROR(SUM(Y111:Y115),"0")</f>
        <v>37.200000000000003</v>
      </c>
      <c r="Z117" s="37"/>
      <c r="AA117" s="644"/>
      <c r="AB117" s="644"/>
      <c r="AC117" s="644"/>
    </row>
    <row r="118" spans="1:68" ht="14.25" hidden="1" customHeight="1" x14ac:dyDescent="0.25">
      <c r="A118" s="672" t="s">
        <v>74</v>
      </c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6"/>
      <c r="P118" s="656"/>
      <c r="Q118" s="656"/>
      <c r="R118" s="656"/>
      <c r="S118" s="656"/>
      <c r="T118" s="656"/>
      <c r="U118" s="656"/>
      <c r="V118" s="656"/>
      <c r="W118" s="656"/>
      <c r="X118" s="656"/>
      <c r="Y118" s="656"/>
      <c r="Z118" s="656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50">
        <v>4607091385168</v>
      </c>
      <c r="E119" s="651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80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8"/>
      <c r="R119" s="648"/>
      <c r="S119" s="648"/>
      <c r="T119" s="649"/>
      <c r="U119" s="34"/>
      <c r="V119" s="34"/>
      <c r="W119" s="35" t="s">
        <v>67</v>
      </c>
      <c r="X119" s="641">
        <v>138</v>
      </c>
      <c r="Y119" s="642">
        <f>IFERROR(IF(X119="",0,CEILING((X119/$H119),1)*$H119),"")</f>
        <v>145.79999999999998</v>
      </c>
      <c r="Z119" s="36">
        <f>IFERROR(IF(Y119=0,"",ROUNDUP(Y119/H119,0)*0.01898),"")</f>
        <v>0.34164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146.31407407407406</v>
      </c>
      <c r="BN119" s="64">
        <f>IFERROR(Y119*I119/H119,"0")</f>
        <v>154.58399999999997</v>
      </c>
      <c r="BO119" s="64">
        <f>IFERROR(1/J119*(X119/H119),"0")</f>
        <v>0.26620370370370372</v>
      </c>
      <c r="BP119" s="64">
        <f>IFERROR(1/J119*(Y119/H119),"0")</f>
        <v>0.28125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50">
        <v>4607091383256</v>
      </c>
      <c r="E120" s="651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80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8"/>
      <c r="R120" s="648"/>
      <c r="S120" s="648"/>
      <c r="T120" s="649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50">
        <v>4607091385748</v>
      </c>
      <c r="E121" s="651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5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8"/>
      <c r="R121" s="648"/>
      <c r="S121" s="648"/>
      <c r="T121" s="649"/>
      <c r="U121" s="34"/>
      <c r="V121" s="34"/>
      <c r="W121" s="35" t="s">
        <v>67</v>
      </c>
      <c r="X121" s="641">
        <v>45</v>
      </c>
      <c r="Y121" s="642">
        <f>IFERROR(IF(X121="",0,CEILING((X121/$H121),1)*$H121),"")</f>
        <v>45.900000000000006</v>
      </c>
      <c r="Z121" s="36">
        <f>IFERROR(IF(Y121=0,"",ROUNDUP(Y121/H121,0)*0.00651),"")</f>
        <v>0.11067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49.199999999999996</v>
      </c>
      <c r="BN121" s="64">
        <f>IFERROR(Y121*I121/H121,"0")</f>
        <v>50.183999999999997</v>
      </c>
      <c r="BO121" s="64">
        <f>IFERROR(1/J121*(X121/H121),"0")</f>
        <v>9.1575091575091569E-2</v>
      </c>
      <c r="BP121" s="64">
        <f>IFERROR(1/J121*(Y121/H121),"0")</f>
        <v>9.3406593406593408E-2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50">
        <v>4680115884533</v>
      </c>
      <c r="E122" s="651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13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8"/>
      <c r="R122" s="648"/>
      <c r="S122" s="648"/>
      <c r="T122" s="649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5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67" t="s">
        <v>72</v>
      </c>
      <c r="Q123" s="668"/>
      <c r="R123" s="668"/>
      <c r="S123" s="668"/>
      <c r="T123" s="668"/>
      <c r="U123" s="668"/>
      <c r="V123" s="669"/>
      <c r="W123" s="37" t="s">
        <v>73</v>
      </c>
      <c r="X123" s="643">
        <f>IFERROR(X119/H119,"0")+IFERROR(X120/H120,"0")+IFERROR(X121/H121,"0")+IFERROR(X122/H122,"0")</f>
        <v>33.703703703703702</v>
      </c>
      <c r="Y123" s="643">
        <f>IFERROR(Y119/H119,"0")+IFERROR(Y120/H120,"0")+IFERROR(Y121/H121,"0")+IFERROR(Y122/H122,"0")</f>
        <v>35</v>
      </c>
      <c r="Z123" s="643">
        <f>IFERROR(IF(Z119="",0,Z119),"0")+IFERROR(IF(Z120="",0,Z120),"0")+IFERROR(IF(Z121="",0,Z121),"0")+IFERROR(IF(Z122="",0,Z122),"0")</f>
        <v>0.45230999999999999</v>
      </c>
      <c r="AA123" s="644"/>
      <c r="AB123" s="644"/>
      <c r="AC123" s="644"/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67" t="s">
        <v>72</v>
      </c>
      <c r="Q124" s="668"/>
      <c r="R124" s="668"/>
      <c r="S124" s="668"/>
      <c r="T124" s="668"/>
      <c r="U124" s="668"/>
      <c r="V124" s="669"/>
      <c r="W124" s="37" t="s">
        <v>67</v>
      </c>
      <c r="X124" s="643">
        <f>IFERROR(SUM(X119:X122),"0")</f>
        <v>183</v>
      </c>
      <c r="Y124" s="643">
        <f>IFERROR(SUM(Y119:Y122),"0")</f>
        <v>191.7</v>
      </c>
      <c r="Z124" s="37"/>
      <c r="AA124" s="644"/>
      <c r="AB124" s="644"/>
      <c r="AC124" s="644"/>
    </row>
    <row r="125" spans="1:68" ht="14.25" hidden="1" customHeight="1" x14ac:dyDescent="0.25">
      <c r="A125" s="672" t="s">
        <v>164</v>
      </c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6"/>
      <c r="P125" s="656"/>
      <c r="Q125" s="656"/>
      <c r="R125" s="656"/>
      <c r="S125" s="656"/>
      <c r="T125" s="656"/>
      <c r="U125" s="656"/>
      <c r="V125" s="656"/>
      <c r="W125" s="656"/>
      <c r="X125" s="656"/>
      <c r="Y125" s="656"/>
      <c r="Z125" s="656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50">
        <v>4680115880238</v>
      </c>
      <c r="E126" s="651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99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8"/>
      <c r="R126" s="648"/>
      <c r="S126" s="648"/>
      <c r="T126" s="649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5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67" t="s">
        <v>72</v>
      </c>
      <c r="Q127" s="668"/>
      <c r="R127" s="668"/>
      <c r="S127" s="668"/>
      <c r="T127" s="668"/>
      <c r="U127" s="668"/>
      <c r="V127" s="669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67" t="s">
        <v>72</v>
      </c>
      <c r="Q128" s="668"/>
      <c r="R128" s="668"/>
      <c r="S128" s="668"/>
      <c r="T128" s="668"/>
      <c r="U128" s="668"/>
      <c r="V128" s="669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6" t="s">
        <v>236</v>
      </c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6"/>
      <c r="P129" s="656"/>
      <c r="Q129" s="656"/>
      <c r="R129" s="656"/>
      <c r="S129" s="656"/>
      <c r="T129" s="656"/>
      <c r="U129" s="656"/>
      <c r="V129" s="656"/>
      <c r="W129" s="656"/>
      <c r="X129" s="656"/>
      <c r="Y129" s="656"/>
      <c r="Z129" s="656"/>
      <c r="AA129" s="636"/>
      <c r="AB129" s="636"/>
      <c r="AC129" s="636"/>
    </row>
    <row r="130" spans="1:68" ht="14.25" hidden="1" customHeight="1" x14ac:dyDescent="0.25">
      <c r="A130" s="672" t="s">
        <v>111</v>
      </c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6"/>
      <c r="P130" s="656"/>
      <c r="Q130" s="656"/>
      <c r="R130" s="656"/>
      <c r="S130" s="656"/>
      <c r="T130" s="656"/>
      <c r="U130" s="656"/>
      <c r="V130" s="656"/>
      <c r="W130" s="656"/>
      <c r="X130" s="656"/>
      <c r="Y130" s="656"/>
      <c r="Z130" s="656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50">
        <v>4680115882577</v>
      </c>
      <c r="E131" s="651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8"/>
      <c r="R131" s="648"/>
      <c r="S131" s="648"/>
      <c r="T131" s="649"/>
      <c r="U131" s="34"/>
      <c r="V131" s="34"/>
      <c r="W131" s="35" t="s">
        <v>67</v>
      </c>
      <c r="X131" s="641">
        <v>60</v>
      </c>
      <c r="Y131" s="642">
        <f>IFERROR(IF(X131="",0,CEILING((X131/$H131),1)*$H131),"")</f>
        <v>60.800000000000004</v>
      </c>
      <c r="Z131" s="36">
        <f>IFERROR(IF(Y131=0,"",ROUNDUP(Y131/H131,0)*0.00651),"")</f>
        <v>0.12369000000000001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63.374999999999993</v>
      </c>
      <c r="BN131" s="64">
        <f>IFERROR(Y131*I131/H131,"0")</f>
        <v>64.22</v>
      </c>
      <c r="BO131" s="64">
        <f>IFERROR(1/J131*(X131/H131),"0")</f>
        <v>0.10302197802197803</v>
      </c>
      <c r="BP131" s="64">
        <f>IFERROR(1/J131*(Y131/H131),"0")</f>
        <v>0.1043956043956044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50">
        <v>4680115882577</v>
      </c>
      <c r="E132" s="651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79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8"/>
      <c r="R132" s="648"/>
      <c r="S132" s="648"/>
      <c r="T132" s="649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5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67" t="s">
        <v>72</v>
      </c>
      <c r="Q133" s="668"/>
      <c r="R133" s="668"/>
      <c r="S133" s="668"/>
      <c r="T133" s="668"/>
      <c r="U133" s="668"/>
      <c r="V133" s="669"/>
      <c r="W133" s="37" t="s">
        <v>73</v>
      </c>
      <c r="X133" s="643">
        <f>IFERROR(X131/H131,"0")+IFERROR(X132/H132,"0")</f>
        <v>18.75</v>
      </c>
      <c r="Y133" s="643">
        <f>IFERROR(Y131/H131,"0")+IFERROR(Y132/H132,"0")</f>
        <v>19</v>
      </c>
      <c r="Z133" s="643">
        <f>IFERROR(IF(Z131="",0,Z131),"0")+IFERROR(IF(Z132="",0,Z132),"0")</f>
        <v>0.12369000000000001</v>
      </c>
      <c r="AA133" s="644"/>
      <c r="AB133" s="644"/>
      <c r="AC133" s="644"/>
    </row>
    <row r="134" spans="1:68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67" t="s">
        <v>72</v>
      </c>
      <c r="Q134" s="668"/>
      <c r="R134" s="668"/>
      <c r="S134" s="668"/>
      <c r="T134" s="668"/>
      <c r="U134" s="668"/>
      <c r="V134" s="669"/>
      <c r="W134" s="37" t="s">
        <v>67</v>
      </c>
      <c r="X134" s="643">
        <f>IFERROR(SUM(X131:X132),"0")</f>
        <v>60</v>
      </c>
      <c r="Y134" s="643">
        <f>IFERROR(SUM(Y131:Y132),"0")</f>
        <v>60.800000000000004</v>
      </c>
      <c r="Z134" s="37"/>
      <c r="AA134" s="644"/>
      <c r="AB134" s="644"/>
      <c r="AC134" s="644"/>
    </row>
    <row r="135" spans="1:68" ht="14.25" hidden="1" customHeight="1" x14ac:dyDescent="0.25">
      <c r="A135" s="672" t="s">
        <v>62</v>
      </c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6"/>
      <c r="P135" s="656"/>
      <c r="Q135" s="656"/>
      <c r="R135" s="656"/>
      <c r="S135" s="656"/>
      <c r="T135" s="656"/>
      <c r="U135" s="656"/>
      <c r="V135" s="656"/>
      <c r="W135" s="656"/>
      <c r="X135" s="656"/>
      <c r="Y135" s="656"/>
      <c r="Z135" s="656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50">
        <v>4680115883444</v>
      </c>
      <c r="E136" s="651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4"/>
      <c r="V136" s="34"/>
      <c r="W136" s="35" t="s">
        <v>67</v>
      </c>
      <c r="X136" s="641">
        <v>70</v>
      </c>
      <c r="Y136" s="642">
        <f>IFERROR(IF(X136="",0,CEILING((X136/$H136),1)*$H136),"")</f>
        <v>70</v>
      </c>
      <c r="Z136" s="36">
        <f>IFERROR(IF(Y136=0,"",ROUNDUP(Y136/H136,0)*0.00651),"")</f>
        <v>0.16275000000000001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76.7</v>
      </c>
      <c r="BN136" s="64">
        <f>IFERROR(Y136*I136/H136,"0")</f>
        <v>76.7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50">
        <v>4680115883444</v>
      </c>
      <c r="E137" s="651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80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8"/>
      <c r="R137" s="648"/>
      <c r="S137" s="648"/>
      <c r="T137" s="649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5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67" t="s">
        <v>72</v>
      </c>
      <c r="Q138" s="668"/>
      <c r="R138" s="668"/>
      <c r="S138" s="668"/>
      <c r="T138" s="668"/>
      <c r="U138" s="668"/>
      <c r="V138" s="669"/>
      <c r="W138" s="37" t="s">
        <v>73</v>
      </c>
      <c r="X138" s="643">
        <f>IFERROR(X136/H136,"0")+IFERROR(X137/H137,"0")</f>
        <v>25</v>
      </c>
      <c r="Y138" s="643">
        <f>IFERROR(Y136/H136,"0")+IFERROR(Y137/H137,"0")</f>
        <v>25</v>
      </c>
      <c r="Z138" s="643">
        <f>IFERROR(IF(Z136="",0,Z136),"0")+IFERROR(IF(Z137="",0,Z137),"0")</f>
        <v>0.16275000000000001</v>
      </c>
      <c r="AA138" s="644"/>
      <c r="AB138" s="644"/>
      <c r="AC138" s="644"/>
    </row>
    <row r="139" spans="1:68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67" t="s">
        <v>72</v>
      </c>
      <c r="Q139" s="668"/>
      <c r="R139" s="668"/>
      <c r="S139" s="668"/>
      <c r="T139" s="668"/>
      <c r="U139" s="668"/>
      <c r="V139" s="669"/>
      <c r="W139" s="37" t="s">
        <v>67</v>
      </c>
      <c r="X139" s="643">
        <f>IFERROR(SUM(X136:X137),"0")</f>
        <v>70</v>
      </c>
      <c r="Y139" s="643">
        <f>IFERROR(SUM(Y136:Y137),"0")</f>
        <v>70</v>
      </c>
      <c r="Z139" s="37"/>
      <c r="AA139" s="644"/>
      <c r="AB139" s="644"/>
      <c r="AC139" s="644"/>
    </row>
    <row r="140" spans="1:68" ht="14.25" hidden="1" customHeight="1" x14ac:dyDescent="0.25">
      <c r="A140" s="672" t="s">
        <v>74</v>
      </c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6"/>
      <c r="P140" s="656"/>
      <c r="Q140" s="656"/>
      <c r="R140" s="656"/>
      <c r="S140" s="656"/>
      <c r="T140" s="656"/>
      <c r="U140" s="656"/>
      <c r="V140" s="656"/>
      <c r="W140" s="656"/>
      <c r="X140" s="656"/>
      <c r="Y140" s="656"/>
      <c r="Z140" s="656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50">
        <v>4680115882584</v>
      </c>
      <c r="E141" s="651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8"/>
      <c r="R141" s="648"/>
      <c r="S141" s="648"/>
      <c r="T141" s="649"/>
      <c r="U141" s="34"/>
      <c r="V141" s="34"/>
      <c r="W141" s="35" t="s">
        <v>67</v>
      </c>
      <c r="X141" s="641">
        <v>66</v>
      </c>
      <c r="Y141" s="642">
        <f>IFERROR(IF(X141="",0,CEILING((X141/$H141),1)*$H141),"")</f>
        <v>66</v>
      </c>
      <c r="Z141" s="36">
        <f>IFERROR(IF(Y141=0,"",ROUNDUP(Y141/H141,0)*0.00651),"")</f>
        <v>0.16275000000000001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72.699999999999989</v>
      </c>
      <c r="BN141" s="64">
        <f>IFERROR(Y141*I141/H141,"0")</f>
        <v>72.699999999999989</v>
      </c>
      <c r="BO141" s="64">
        <f>IFERROR(1/J141*(X141/H141),"0")</f>
        <v>0.13736263736263737</v>
      </c>
      <c r="BP141" s="64">
        <f>IFERROR(1/J141*(Y141/H141),"0")</f>
        <v>0.13736263736263737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50">
        <v>4680115882584</v>
      </c>
      <c r="E142" s="651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8"/>
      <c r="R142" s="648"/>
      <c r="S142" s="648"/>
      <c r="T142" s="649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5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67" t="s">
        <v>72</v>
      </c>
      <c r="Q143" s="668"/>
      <c r="R143" s="668"/>
      <c r="S143" s="668"/>
      <c r="T143" s="668"/>
      <c r="U143" s="668"/>
      <c r="V143" s="669"/>
      <c r="W143" s="37" t="s">
        <v>73</v>
      </c>
      <c r="X143" s="643">
        <f>IFERROR(X141/H141,"0")+IFERROR(X142/H142,"0")</f>
        <v>25</v>
      </c>
      <c r="Y143" s="643">
        <f>IFERROR(Y141/H141,"0")+IFERROR(Y142/H142,"0")</f>
        <v>25</v>
      </c>
      <c r="Z143" s="643">
        <f>IFERROR(IF(Z141="",0,Z141),"0")+IFERROR(IF(Z142="",0,Z142),"0")</f>
        <v>0.16275000000000001</v>
      </c>
      <c r="AA143" s="644"/>
      <c r="AB143" s="644"/>
      <c r="AC143" s="644"/>
    </row>
    <row r="144" spans="1:68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67" t="s">
        <v>72</v>
      </c>
      <c r="Q144" s="668"/>
      <c r="R144" s="668"/>
      <c r="S144" s="668"/>
      <c r="T144" s="668"/>
      <c r="U144" s="668"/>
      <c r="V144" s="669"/>
      <c r="W144" s="37" t="s">
        <v>67</v>
      </c>
      <c r="X144" s="643">
        <f>IFERROR(SUM(X141:X142),"0")</f>
        <v>66</v>
      </c>
      <c r="Y144" s="643">
        <f>IFERROR(SUM(Y141:Y142),"0")</f>
        <v>66</v>
      </c>
      <c r="Z144" s="37"/>
      <c r="AA144" s="644"/>
      <c r="AB144" s="644"/>
      <c r="AC144" s="644"/>
    </row>
    <row r="145" spans="1:68" ht="16.5" hidden="1" customHeight="1" x14ac:dyDescent="0.25">
      <c r="A145" s="666" t="s">
        <v>249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36"/>
      <c r="AB145" s="636"/>
      <c r="AC145" s="636"/>
    </row>
    <row r="146" spans="1:68" ht="14.25" hidden="1" customHeight="1" x14ac:dyDescent="0.25">
      <c r="A146" s="672" t="s">
        <v>74</v>
      </c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6"/>
      <c r="P146" s="656"/>
      <c r="Q146" s="656"/>
      <c r="R146" s="656"/>
      <c r="S146" s="656"/>
      <c r="T146" s="656"/>
      <c r="U146" s="656"/>
      <c r="V146" s="656"/>
      <c r="W146" s="656"/>
      <c r="X146" s="656"/>
      <c r="Y146" s="656"/>
      <c r="Z146" s="656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50">
        <v>4680115888203</v>
      </c>
      <c r="E147" s="651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2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8"/>
      <c r="R147" s="648"/>
      <c r="S147" s="648"/>
      <c r="T147" s="649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50">
        <v>4680115888180</v>
      </c>
      <c r="E148" s="651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4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8"/>
      <c r="R148" s="648"/>
      <c r="S148" s="648"/>
      <c r="T148" s="649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50">
        <v>4680115888180</v>
      </c>
      <c r="E149" s="651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8"/>
      <c r="R149" s="648"/>
      <c r="S149" s="648"/>
      <c r="T149" s="649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50">
        <v>4680115888197</v>
      </c>
      <c r="E150" s="651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50">
        <v>4680115888210</v>
      </c>
      <c r="E151" s="651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8"/>
      <c r="R151" s="648"/>
      <c r="S151" s="648"/>
      <c r="T151" s="649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50">
        <v>4680115888210</v>
      </c>
      <c r="E152" s="651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8"/>
      <c r="R152" s="648"/>
      <c r="S152" s="648"/>
      <c r="T152" s="649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5"/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7"/>
      <c r="P153" s="667" t="s">
        <v>72</v>
      </c>
      <c r="Q153" s="668"/>
      <c r="R153" s="668"/>
      <c r="S153" s="668"/>
      <c r="T153" s="668"/>
      <c r="U153" s="668"/>
      <c r="V153" s="669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67" t="s">
        <v>72</v>
      </c>
      <c r="Q154" s="668"/>
      <c r="R154" s="668"/>
      <c r="S154" s="668"/>
      <c r="T154" s="668"/>
      <c r="U154" s="668"/>
      <c r="V154" s="669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2" t="s">
        <v>264</v>
      </c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6"/>
      <c r="P155" s="656"/>
      <c r="Q155" s="656"/>
      <c r="R155" s="656"/>
      <c r="S155" s="656"/>
      <c r="T155" s="656"/>
      <c r="U155" s="656"/>
      <c r="V155" s="656"/>
      <c r="W155" s="656"/>
      <c r="X155" s="656"/>
      <c r="Y155" s="656"/>
      <c r="Z155" s="656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50">
        <v>4680115889132</v>
      </c>
      <c r="E156" s="651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7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8"/>
      <c r="R156" s="648"/>
      <c r="S156" s="648"/>
      <c r="T156" s="649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5"/>
      <c r="B157" s="656"/>
      <c r="C157" s="656"/>
      <c r="D157" s="656"/>
      <c r="E157" s="656"/>
      <c r="F157" s="656"/>
      <c r="G157" s="656"/>
      <c r="H157" s="656"/>
      <c r="I157" s="656"/>
      <c r="J157" s="656"/>
      <c r="K157" s="656"/>
      <c r="L157" s="656"/>
      <c r="M157" s="656"/>
      <c r="N157" s="656"/>
      <c r="O157" s="657"/>
      <c r="P157" s="667" t="s">
        <v>72</v>
      </c>
      <c r="Q157" s="668"/>
      <c r="R157" s="668"/>
      <c r="S157" s="668"/>
      <c r="T157" s="668"/>
      <c r="U157" s="668"/>
      <c r="V157" s="669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67" t="s">
        <v>72</v>
      </c>
      <c r="Q158" s="668"/>
      <c r="R158" s="668"/>
      <c r="S158" s="668"/>
      <c r="T158" s="668"/>
      <c r="U158" s="668"/>
      <c r="V158" s="669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6" t="s">
        <v>109</v>
      </c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6"/>
      <c r="P159" s="656"/>
      <c r="Q159" s="656"/>
      <c r="R159" s="656"/>
      <c r="S159" s="656"/>
      <c r="T159" s="656"/>
      <c r="U159" s="656"/>
      <c r="V159" s="656"/>
      <c r="W159" s="656"/>
      <c r="X159" s="656"/>
      <c r="Y159" s="656"/>
      <c r="Z159" s="656"/>
      <c r="AA159" s="636"/>
      <c r="AB159" s="636"/>
      <c r="AC159" s="636"/>
    </row>
    <row r="160" spans="1:68" ht="14.25" hidden="1" customHeight="1" x14ac:dyDescent="0.25">
      <c r="A160" s="672" t="s">
        <v>111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50">
        <v>4680115887374</v>
      </c>
      <c r="E161" s="651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10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8"/>
      <c r="R161" s="648"/>
      <c r="S161" s="648"/>
      <c r="T161" s="649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50">
        <v>4607091384604</v>
      </c>
      <c r="E162" s="651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8"/>
      <c r="R162" s="648"/>
      <c r="S162" s="648"/>
      <c r="T162" s="649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50">
        <v>4680115888876</v>
      </c>
      <c r="E163" s="651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3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8"/>
      <c r="R163" s="648"/>
      <c r="S163" s="648"/>
      <c r="T163" s="649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5"/>
      <c r="B164" s="656"/>
      <c r="C164" s="656"/>
      <c r="D164" s="656"/>
      <c r="E164" s="656"/>
      <c r="F164" s="656"/>
      <c r="G164" s="656"/>
      <c r="H164" s="656"/>
      <c r="I164" s="656"/>
      <c r="J164" s="656"/>
      <c r="K164" s="656"/>
      <c r="L164" s="656"/>
      <c r="M164" s="656"/>
      <c r="N164" s="656"/>
      <c r="O164" s="657"/>
      <c r="P164" s="667" t="s">
        <v>72</v>
      </c>
      <c r="Q164" s="668"/>
      <c r="R164" s="668"/>
      <c r="S164" s="668"/>
      <c r="T164" s="668"/>
      <c r="U164" s="668"/>
      <c r="V164" s="669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67" t="s">
        <v>72</v>
      </c>
      <c r="Q165" s="668"/>
      <c r="R165" s="668"/>
      <c r="S165" s="668"/>
      <c r="T165" s="668"/>
      <c r="U165" s="668"/>
      <c r="V165" s="669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2" t="s">
        <v>146</v>
      </c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6"/>
      <c r="P166" s="656"/>
      <c r="Q166" s="656"/>
      <c r="R166" s="656"/>
      <c r="S166" s="656"/>
      <c r="T166" s="656"/>
      <c r="U166" s="656"/>
      <c r="V166" s="656"/>
      <c r="W166" s="656"/>
      <c r="X166" s="656"/>
      <c r="Y166" s="656"/>
      <c r="Z166" s="656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50">
        <v>4680115887695</v>
      </c>
      <c r="E167" s="651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8"/>
      <c r="R167" s="648"/>
      <c r="S167" s="648"/>
      <c r="T167" s="649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50">
        <v>4680115889491</v>
      </c>
      <c r="E168" s="651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5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8"/>
      <c r="R168" s="648"/>
      <c r="S168" s="648"/>
      <c r="T168" s="649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5"/>
      <c r="B169" s="656"/>
      <c r="C169" s="656"/>
      <c r="D169" s="656"/>
      <c r="E169" s="656"/>
      <c r="F169" s="656"/>
      <c r="G169" s="656"/>
      <c r="H169" s="656"/>
      <c r="I169" s="656"/>
      <c r="J169" s="656"/>
      <c r="K169" s="656"/>
      <c r="L169" s="656"/>
      <c r="M169" s="656"/>
      <c r="N169" s="656"/>
      <c r="O169" s="657"/>
      <c r="P169" s="667" t="s">
        <v>72</v>
      </c>
      <c r="Q169" s="668"/>
      <c r="R169" s="668"/>
      <c r="S169" s="668"/>
      <c r="T169" s="668"/>
      <c r="U169" s="668"/>
      <c r="V169" s="669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67" t="s">
        <v>72</v>
      </c>
      <c r="Q170" s="668"/>
      <c r="R170" s="668"/>
      <c r="S170" s="668"/>
      <c r="T170" s="668"/>
      <c r="U170" s="668"/>
      <c r="V170" s="669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2" t="s">
        <v>62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50">
        <v>4680115887428</v>
      </c>
      <c r="E172" s="651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8"/>
      <c r="R172" s="648"/>
      <c r="S172" s="648"/>
      <c r="T172" s="649"/>
      <c r="U172" s="34"/>
      <c r="V172" s="34"/>
      <c r="W172" s="35" t="s">
        <v>67</v>
      </c>
      <c r="X172" s="641">
        <v>250</v>
      </c>
      <c r="Y172" s="642">
        <f t="shared" ref="Y172:Y183" si="21">IFERROR(IF(X172="",0,CEILING((X172/$H172),1)*$H172),"")</f>
        <v>252</v>
      </c>
      <c r="Z172" s="36">
        <f>IFERROR(IF(Y172=0,"",ROUNDUP(Y172/H172,0)*0.00902),"")</f>
        <v>0.64944000000000002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263.57142857142856</v>
      </c>
      <c r="BN172" s="64">
        <f t="shared" ref="BN172:BN183" si="23">IFERROR(Y172*I172/H172,"0")</f>
        <v>265.68</v>
      </c>
      <c r="BO172" s="64">
        <f t="shared" ref="BO172:BO183" si="24">IFERROR(1/J172*(X172/H172),"0")</f>
        <v>0.54112554112554112</v>
      </c>
      <c r="BP172" s="64">
        <f t="shared" ref="BP172:BP183" si="25">IFERROR(1/J172*(Y172/H172),"0")</f>
        <v>0.54545454545454541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50">
        <v>4680115889170</v>
      </c>
      <c r="E173" s="651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8"/>
      <c r="R173" s="648"/>
      <c r="S173" s="648"/>
      <c r="T173" s="649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50">
        <v>4680115887398</v>
      </c>
      <c r="E174" s="651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98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8"/>
      <c r="R174" s="648"/>
      <c r="S174" s="648"/>
      <c r="T174" s="649"/>
      <c r="U174" s="34"/>
      <c r="V174" s="34"/>
      <c r="W174" s="35" t="s">
        <v>67</v>
      </c>
      <c r="X174" s="641">
        <v>250</v>
      </c>
      <c r="Y174" s="642">
        <f t="shared" si="21"/>
        <v>252</v>
      </c>
      <c r="Z174" s="36">
        <f>IFERROR(IF(Y174=0,"",ROUNDUP(Y174/H174,0)*0.00902),"")</f>
        <v>0.64944000000000002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263.57142857142856</v>
      </c>
      <c r="BN174" s="64">
        <f t="shared" si="23"/>
        <v>265.68</v>
      </c>
      <c r="BO174" s="64">
        <f t="shared" si="24"/>
        <v>0.54112554112554112</v>
      </c>
      <c r="BP174" s="64">
        <f t="shared" si="25"/>
        <v>0.54545454545454541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50">
        <v>4680115887398</v>
      </c>
      <c r="E175" s="651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0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8"/>
      <c r="R175" s="648"/>
      <c r="S175" s="648"/>
      <c r="T175" s="649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50">
        <v>4680115887336</v>
      </c>
      <c r="E176" s="651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2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67</v>
      </c>
      <c r="X176" s="641">
        <v>250</v>
      </c>
      <c r="Y176" s="642">
        <f t="shared" si="21"/>
        <v>252</v>
      </c>
      <c r="Z176" s="36">
        <f>IFERROR(IF(Y176=0,"",ROUNDUP(Y176/H176,0)*0.00902),"")</f>
        <v>0.64944000000000002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263.57142857142856</v>
      </c>
      <c r="BN176" s="64">
        <f t="shared" si="23"/>
        <v>265.68</v>
      </c>
      <c r="BO176" s="64">
        <f t="shared" si="24"/>
        <v>0.54112554112554112</v>
      </c>
      <c r="BP176" s="64">
        <f t="shared" si="25"/>
        <v>0.54545454545454541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50">
        <v>4680115887787</v>
      </c>
      <c r="E177" s="651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8"/>
      <c r="R177" s="648"/>
      <c r="S177" s="648"/>
      <c r="T177" s="649"/>
      <c r="U177" s="34"/>
      <c r="V177" s="34"/>
      <c r="W177" s="35" t="s">
        <v>67</v>
      </c>
      <c r="X177" s="641">
        <v>4</v>
      </c>
      <c r="Y177" s="642">
        <f t="shared" si="21"/>
        <v>4.5</v>
      </c>
      <c r="Z177" s="36">
        <f>IFERROR(IF(Y177=0,"",ROUNDUP(Y177/H177,0)*0.00417),"")</f>
        <v>2.085E-2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4.9333333333333336</v>
      </c>
      <c r="BN177" s="64">
        <f t="shared" si="23"/>
        <v>5.55</v>
      </c>
      <c r="BO177" s="64">
        <f t="shared" si="24"/>
        <v>1.3227513227513227E-2</v>
      </c>
      <c r="BP177" s="64">
        <f t="shared" si="25"/>
        <v>1.488095238095238E-2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50">
        <v>4680115887787</v>
      </c>
      <c r="E178" s="651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3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8"/>
      <c r="R178" s="648"/>
      <c r="S178" s="648"/>
      <c r="T178" s="649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50">
        <v>4680115887503</v>
      </c>
      <c r="E179" s="651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6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8"/>
      <c r="R179" s="648"/>
      <c r="S179" s="648"/>
      <c r="T179" s="649"/>
      <c r="U179" s="34"/>
      <c r="V179" s="34"/>
      <c r="W179" s="35" t="s">
        <v>67</v>
      </c>
      <c r="X179" s="641">
        <v>70</v>
      </c>
      <c r="Y179" s="642">
        <f t="shared" si="21"/>
        <v>70.56</v>
      </c>
      <c r="Z179" s="36">
        <f>IFERROR(IF(Y179=0,"",ROUNDUP(Y179/H179,0)*0.00502),"")</f>
        <v>0.21084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74.166666666666671</v>
      </c>
      <c r="BN179" s="64">
        <f t="shared" si="23"/>
        <v>74.760000000000005</v>
      </c>
      <c r="BO179" s="64">
        <f t="shared" si="24"/>
        <v>0.17806267806267811</v>
      </c>
      <c r="BP179" s="64">
        <f t="shared" si="25"/>
        <v>0.17948717948717952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50">
        <v>4680115887763</v>
      </c>
      <c r="E180" s="651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50">
        <v>4680115887480</v>
      </c>
      <c r="E181" s="651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8"/>
      <c r="R181" s="648"/>
      <c r="S181" s="648"/>
      <c r="T181" s="649"/>
      <c r="U181" s="34"/>
      <c r="V181" s="34"/>
      <c r="W181" s="35" t="s">
        <v>67</v>
      </c>
      <c r="X181" s="641">
        <v>70</v>
      </c>
      <c r="Y181" s="642">
        <f t="shared" si="21"/>
        <v>70.56</v>
      </c>
      <c r="Z181" s="36">
        <f>IFERROR(IF(Y181=0,"",ROUNDUP(Y181/H181,0)*0.00502),"")</f>
        <v>0.21084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74.166666666666671</v>
      </c>
      <c r="BN181" s="64">
        <f t="shared" si="23"/>
        <v>74.760000000000005</v>
      </c>
      <c r="BO181" s="64">
        <f t="shared" si="24"/>
        <v>0.17806267806267811</v>
      </c>
      <c r="BP181" s="64">
        <f t="shared" si="25"/>
        <v>0.17948717948717952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50">
        <v>4680115888067</v>
      </c>
      <c r="E182" s="651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8"/>
      <c r="R182" s="648"/>
      <c r="S182" s="648"/>
      <c r="T182" s="649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50">
        <v>4680115887435</v>
      </c>
      <c r="E183" s="651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8"/>
      <c r="R183" s="648"/>
      <c r="S183" s="648"/>
      <c r="T183" s="649"/>
      <c r="U183" s="34"/>
      <c r="V183" s="34"/>
      <c r="W183" s="35" t="s">
        <v>67</v>
      </c>
      <c r="X183" s="641">
        <v>70</v>
      </c>
      <c r="Y183" s="642">
        <f t="shared" si="21"/>
        <v>70.56</v>
      </c>
      <c r="Z183" s="36">
        <f>IFERROR(IF(Y183=0,"",ROUNDUP(Y183/H183,0)*0.00502),"")</f>
        <v>0.21084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74.166666666666671</v>
      </c>
      <c r="BN183" s="64">
        <f t="shared" si="23"/>
        <v>74.760000000000005</v>
      </c>
      <c r="BO183" s="64">
        <f t="shared" si="24"/>
        <v>0.17806267806267811</v>
      </c>
      <c r="BP183" s="64">
        <f t="shared" si="25"/>
        <v>0.17948717948717952</v>
      </c>
    </row>
    <row r="184" spans="1:68" x14ac:dyDescent="0.2">
      <c r="A184" s="655"/>
      <c r="B184" s="656"/>
      <c r="C184" s="656"/>
      <c r="D184" s="656"/>
      <c r="E184" s="656"/>
      <c r="F184" s="656"/>
      <c r="G184" s="656"/>
      <c r="H184" s="656"/>
      <c r="I184" s="656"/>
      <c r="J184" s="656"/>
      <c r="K184" s="656"/>
      <c r="L184" s="656"/>
      <c r="M184" s="656"/>
      <c r="N184" s="656"/>
      <c r="O184" s="657"/>
      <c r="P184" s="667" t="s">
        <v>72</v>
      </c>
      <c r="Q184" s="668"/>
      <c r="R184" s="668"/>
      <c r="S184" s="668"/>
      <c r="T184" s="668"/>
      <c r="U184" s="668"/>
      <c r="V184" s="669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343.73015873015879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347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2.6016900000000005</v>
      </c>
      <c r="AA184" s="644"/>
      <c r="AB184" s="644"/>
      <c r="AC184" s="644"/>
    </row>
    <row r="185" spans="1:68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67" t="s">
        <v>72</v>
      </c>
      <c r="Q185" s="668"/>
      <c r="R185" s="668"/>
      <c r="S185" s="668"/>
      <c r="T185" s="668"/>
      <c r="U185" s="668"/>
      <c r="V185" s="669"/>
      <c r="W185" s="37" t="s">
        <v>67</v>
      </c>
      <c r="X185" s="643">
        <f>IFERROR(SUM(X172:X183),"0")</f>
        <v>964</v>
      </c>
      <c r="Y185" s="643">
        <f>IFERROR(SUM(Y172:Y183),"0")</f>
        <v>972.17999999999984</v>
      </c>
      <c r="Z185" s="37"/>
      <c r="AA185" s="644"/>
      <c r="AB185" s="644"/>
      <c r="AC185" s="644"/>
    </row>
    <row r="186" spans="1:68" ht="14.25" hidden="1" customHeight="1" x14ac:dyDescent="0.25">
      <c r="A186" s="672" t="s">
        <v>74</v>
      </c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6"/>
      <c r="P186" s="656"/>
      <c r="Q186" s="656"/>
      <c r="R186" s="656"/>
      <c r="S186" s="656"/>
      <c r="T186" s="656"/>
      <c r="U186" s="656"/>
      <c r="V186" s="656"/>
      <c r="W186" s="656"/>
      <c r="X186" s="656"/>
      <c r="Y186" s="656"/>
      <c r="Z186" s="656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50">
        <v>4680115888395</v>
      </c>
      <c r="E187" s="651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7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8"/>
      <c r="R187" s="648"/>
      <c r="S187" s="648"/>
      <c r="T187" s="649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50">
        <v>4680115888371</v>
      </c>
      <c r="E188" s="651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1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8"/>
      <c r="R188" s="648"/>
      <c r="S188" s="648"/>
      <c r="T188" s="649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50">
        <v>4680115887459</v>
      </c>
      <c r="E189" s="651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8"/>
      <c r="R189" s="648"/>
      <c r="S189" s="648"/>
      <c r="T189" s="649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5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67" t="s">
        <v>72</v>
      </c>
      <c r="Q190" s="668"/>
      <c r="R190" s="668"/>
      <c r="S190" s="668"/>
      <c r="T190" s="668"/>
      <c r="U190" s="668"/>
      <c r="V190" s="669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67" t="s">
        <v>72</v>
      </c>
      <c r="Q191" s="668"/>
      <c r="R191" s="668"/>
      <c r="S191" s="668"/>
      <c r="T191" s="668"/>
      <c r="U191" s="668"/>
      <c r="V191" s="669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2" t="s">
        <v>264</v>
      </c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6"/>
      <c r="P192" s="656"/>
      <c r="Q192" s="656"/>
      <c r="R192" s="656"/>
      <c r="S192" s="656"/>
      <c r="T192" s="656"/>
      <c r="U192" s="656"/>
      <c r="V192" s="656"/>
      <c r="W192" s="656"/>
      <c r="X192" s="656"/>
      <c r="Y192" s="656"/>
      <c r="Z192" s="656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50">
        <v>4680115889026</v>
      </c>
      <c r="E193" s="651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89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8"/>
      <c r="R193" s="648"/>
      <c r="S193" s="648"/>
      <c r="T193" s="649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5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67" t="s">
        <v>72</v>
      </c>
      <c r="Q194" s="668"/>
      <c r="R194" s="668"/>
      <c r="S194" s="668"/>
      <c r="T194" s="668"/>
      <c r="U194" s="668"/>
      <c r="V194" s="669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67" t="s">
        <v>72</v>
      </c>
      <c r="Q195" s="668"/>
      <c r="R195" s="668"/>
      <c r="S195" s="668"/>
      <c r="T195" s="668"/>
      <c r="U195" s="668"/>
      <c r="V195" s="669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2" t="s">
        <v>329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50">
        <v>4680115889033</v>
      </c>
      <c r="E197" s="651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8"/>
      <c r="R197" s="648"/>
      <c r="S197" s="648"/>
      <c r="T197" s="649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5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67" t="s">
        <v>72</v>
      </c>
      <c r="Q198" s="668"/>
      <c r="R198" s="668"/>
      <c r="S198" s="668"/>
      <c r="T198" s="668"/>
      <c r="U198" s="668"/>
      <c r="V198" s="669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67" t="s">
        <v>72</v>
      </c>
      <c r="Q199" s="668"/>
      <c r="R199" s="668"/>
      <c r="S199" s="668"/>
      <c r="T199" s="668"/>
      <c r="U199" s="668"/>
      <c r="V199" s="669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4" t="s">
        <v>333</v>
      </c>
      <c r="B200" s="665"/>
      <c r="C200" s="665"/>
      <c r="D200" s="665"/>
      <c r="E200" s="665"/>
      <c r="F200" s="665"/>
      <c r="G200" s="665"/>
      <c r="H200" s="665"/>
      <c r="I200" s="665"/>
      <c r="J200" s="665"/>
      <c r="K200" s="665"/>
      <c r="L200" s="665"/>
      <c r="M200" s="665"/>
      <c r="N200" s="665"/>
      <c r="O200" s="665"/>
      <c r="P200" s="665"/>
      <c r="Q200" s="665"/>
      <c r="R200" s="665"/>
      <c r="S200" s="665"/>
      <c r="T200" s="665"/>
      <c r="U200" s="665"/>
      <c r="V200" s="665"/>
      <c r="W200" s="665"/>
      <c r="X200" s="665"/>
      <c r="Y200" s="665"/>
      <c r="Z200" s="665"/>
      <c r="AA200" s="48"/>
      <c r="AB200" s="48"/>
      <c r="AC200" s="48"/>
    </row>
    <row r="201" spans="1:68" ht="16.5" hidden="1" customHeight="1" x14ac:dyDescent="0.25">
      <c r="A201" s="666" t="s">
        <v>334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36"/>
      <c r="AB201" s="636"/>
      <c r="AC201" s="636"/>
    </row>
    <row r="202" spans="1:68" ht="14.25" hidden="1" customHeight="1" x14ac:dyDescent="0.25">
      <c r="A202" s="672" t="s">
        <v>111</v>
      </c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6"/>
      <c r="P202" s="656"/>
      <c r="Q202" s="656"/>
      <c r="R202" s="656"/>
      <c r="S202" s="656"/>
      <c r="T202" s="656"/>
      <c r="U202" s="656"/>
      <c r="V202" s="656"/>
      <c r="W202" s="656"/>
      <c r="X202" s="656"/>
      <c r="Y202" s="656"/>
      <c r="Z202" s="656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50">
        <v>4607091383423</v>
      </c>
      <c r="E203" s="651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8"/>
      <c r="R203" s="648"/>
      <c r="S203" s="648"/>
      <c r="T203" s="649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50">
        <v>4680115888760</v>
      </c>
      <c r="E204" s="651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8"/>
      <c r="R204" s="648"/>
      <c r="S204" s="648"/>
      <c r="T204" s="649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50">
        <v>4680115888807</v>
      </c>
      <c r="E205" s="651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9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8"/>
      <c r="R205" s="648"/>
      <c r="S205" s="648"/>
      <c r="T205" s="649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50">
        <v>4680115888852</v>
      </c>
      <c r="E206" s="651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8"/>
      <c r="R206" s="648"/>
      <c r="S206" s="648"/>
      <c r="T206" s="649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50">
        <v>4680115886957</v>
      </c>
      <c r="E207" s="651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8"/>
      <c r="R207" s="648"/>
      <c r="S207" s="648"/>
      <c r="T207" s="649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50">
        <v>4680115885660</v>
      </c>
      <c r="E208" s="651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8"/>
      <c r="R208" s="648"/>
      <c r="S208" s="648"/>
      <c r="T208" s="649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50">
        <v>4680115886773</v>
      </c>
      <c r="E209" s="651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5"/>
      <c r="B210" s="656"/>
      <c r="C210" s="656"/>
      <c r="D210" s="656"/>
      <c r="E210" s="656"/>
      <c r="F210" s="656"/>
      <c r="G210" s="656"/>
      <c r="H210" s="656"/>
      <c r="I210" s="656"/>
      <c r="J210" s="656"/>
      <c r="K210" s="656"/>
      <c r="L210" s="656"/>
      <c r="M210" s="656"/>
      <c r="N210" s="656"/>
      <c r="O210" s="657"/>
      <c r="P210" s="667" t="s">
        <v>72</v>
      </c>
      <c r="Q210" s="668"/>
      <c r="R210" s="668"/>
      <c r="S210" s="668"/>
      <c r="T210" s="668"/>
      <c r="U210" s="668"/>
      <c r="V210" s="669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67" t="s">
        <v>72</v>
      </c>
      <c r="Q211" s="668"/>
      <c r="R211" s="668"/>
      <c r="S211" s="668"/>
      <c r="T211" s="668"/>
      <c r="U211" s="668"/>
      <c r="V211" s="669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6" t="s">
        <v>355</v>
      </c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6"/>
      <c r="P212" s="656"/>
      <c r="Q212" s="656"/>
      <c r="R212" s="656"/>
      <c r="S212" s="656"/>
      <c r="T212" s="656"/>
      <c r="U212" s="656"/>
      <c r="V212" s="656"/>
      <c r="W212" s="656"/>
      <c r="X212" s="656"/>
      <c r="Y212" s="656"/>
      <c r="Z212" s="656"/>
      <c r="AA212" s="636"/>
      <c r="AB212" s="636"/>
      <c r="AC212" s="636"/>
    </row>
    <row r="213" spans="1:68" ht="14.25" hidden="1" customHeight="1" x14ac:dyDescent="0.25">
      <c r="A213" s="672" t="s">
        <v>146</v>
      </c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6"/>
      <c r="P213" s="656"/>
      <c r="Q213" s="656"/>
      <c r="R213" s="656"/>
      <c r="S213" s="656"/>
      <c r="T213" s="656"/>
      <c r="U213" s="656"/>
      <c r="V213" s="656"/>
      <c r="W213" s="656"/>
      <c r="X213" s="656"/>
      <c r="Y213" s="656"/>
      <c r="Z213" s="656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50">
        <v>4680115886223</v>
      </c>
      <c r="E214" s="651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8"/>
      <c r="R214" s="648"/>
      <c r="S214" s="648"/>
      <c r="T214" s="649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5"/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7"/>
      <c r="P215" s="667" t="s">
        <v>72</v>
      </c>
      <c r="Q215" s="668"/>
      <c r="R215" s="668"/>
      <c r="S215" s="668"/>
      <c r="T215" s="668"/>
      <c r="U215" s="668"/>
      <c r="V215" s="669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6"/>
      <c r="B216" s="656"/>
      <c r="C216" s="656"/>
      <c r="D216" s="656"/>
      <c r="E216" s="656"/>
      <c r="F216" s="656"/>
      <c r="G216" s="656"/>
      <c r="H216" s="656"/>
      <c r="I216" s="656"/>
      <c r="J216" s="656"/>
      <c r="K216" s="656"/>
      <c r="L216" s="656"/>
      <c r="M216" s="656"/>
      <c r="N216" s="656"/>
      <c r="O216" s="657"/>
      <c r="P216" s="667" t="s">
        <v>72</v>
      </c>
      <c r="Q216" s="668"/>
      <c r="R216" s="668"/>
      <c r="S216" s="668"/>
      <c r="T216" s="668"/>
      <c r="U216" s="668"/>
      <c r="V216" s="669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2" t="s">
        <v>62</v>
      </c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6"/>
      <c r="P217" s="656"/>
      <c r="Q217" s="656"/>
      <c r="R217" s="656"/>
      <c r="S217" s="656"/>
      <c r="T217" s="656"/>
      <c r="U217" s="656"/>
      <c r="V217" s="656"/>
      <c r="W217" s="656"/>
      <c r="X217" s="656"/>
      <c r="Y217" s="656"/>
      <c r="Z217" s="656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50">
        <v>4680115880993</v>
      </c>
      <c r="E218" s="651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99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8"/>
      <c r="R218" s="648"/>
      <c r="S218" s="648"/>
      <c r="T218" s="649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50">
        <v>4680115881761</v>
      </c>
      <c r="E219" s="651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8"/>
      <c r="R219" s="648"/>
      <c r="S219" s="648"/>
      <c r="T219" s="649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50">
        <v>4680115881563</v>
      </c>
      <c r="E220" s="651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8"/>
      <c r="R220" s="648"/>
      <c r="S220" s="648"/>
      <c r="T220" s="649"/>
      <c r="U220" s="34"/>
      <c r="V220" s="34"/>
      <c r="W220" s="35" t="s">
        <v>67</v>
      </c>
      <c r="X220" s="641">
        <v>100</v>
      </c>
      <c r="Y220" s="642">
        <f t="shared" si="32"/>
        <v>100.80000000000001</v>
      </c>
      <c r="Z220" s="36">
        <f>IFERROR(IF(Y220=0,"",ROUNDUP(Y220/H220,0)*0.00902),"")</f>
        <v>0.21648000000000001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104.5238095238095</v>
      </c>
      <c r="BN220" s="64">
        <f t="shared" si="34"/>
        <v>105.36</v>
      </c>
      <c r="BO220" s="64">
        <f t="shared" si="35"/>
        <v>0.18037518037518038</v>
      </c>
      <c r="BP220" s="64">
        <f t="shared" si="36"/>
        <v>0.18181818181818182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50">
        <v>4680115887565</v>
      </c>
      <c r="E221" s="651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8"/>
      <c r="R221" s="648"/>
      <c r="S221" s="648"/>
      <c r="T221" s="649"/>
      <c r="U221" s="34"/>
      <c r="V221" s="34"/>
      <c r="W221" s="35" t="s">
        <v>67</v>
      </c>
      <c r="X221" s="641">
        <v>8</v>
      </c>
      <c r="Y221" s="642">
        <f t="shared" si="32"/>
        <v>8</v>
      </c>
      <c r="Z221" s="36">
        <f>IFERROR(IF(Y221=0,"",ROUNDUP(Y221/H221,0)*0.00556),"")</f>
        <v>5.5599999999999997E-2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9.3000000000000007</v>
      </c>
      <c r="BN221" s="64">
        <f t="shared" si="34"/>
        <v>9.3000000000000007</v>
      </c>
      <c r="BO221" s="64">
        <f t="shared" si="35"/>
        <v>3.968253968253968E-2</v>
      </c>
      <c r="BP221" s="64">
        <f t="shared" si="36"/>
        <v>3.968253968253968E-2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50">
        <v>4680115880986</v>
      </c>
      <c r="E222" s="651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8"/>
      <c r="R222" s="648"/>
      <c r="S222" s="648"/>
      <c r="T222" s="649"/>
      <c r="U222" s="34"/>
      <c r="V222" s="34"/>
      <c r="W222" s="35" t="s">
        <v>67</v>
      </c>
      <c r="X222" s="641">
        <v>53</v>
      </c>
      <c r="Y222" s="642">
        <f t="shared" si="32"/>
        <v>54.6</v>
      </c>
      <c r="Z222" s="36">
        <f t="shared" ref="Z222:Z227" si="37">IFERROR(IF(Y222=0,"",ROUNDUP(Y222/H222,0)*0.00502),"")</f>
        <v>0.13052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56.280952380952378</v>
      </c>
      <c r="BN222" s="64">
        <f t="shared" si="34"/>
        <v>57.98</v>
      </c>
      <c r="BO222" s="64">
        <f t="shared" si="35"/>
        <v>0.10785510785510787</v>
      </c>
      <c r="BP222" s="64">
        <f t="shared" si="36"/>
        <v>0.11111111111111112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50">
        <v>4680115887213</v>
      </c>
      <c r="E223" s="651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8"/>
      <c r="R223" s="648"/>
      <c r="S223" s="648"/>
      <c r="T223" s="649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50">
        <v>4680115881785</v>
      </c>
      <c r="E224" s="651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8"/>
      <c r="R224" s="648"/>
      <c r="S224" s="648"/>
      <c r="T224" s="649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50">
        <v>4680115888432</v>
      </c>
      <c r="E225" s="651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8"/>
      <c r="R225" s="648"/>
      <c r="S225" s="648"/>
      <c r="T225" s="649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50">
        <v>4680115888104</v>
      </c>
      <c r="E226" s="651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7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8"/>
      <c r="R226" s="648"/>
      <c r="S226" s="648"/>
      <c r="T226" s="649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50">
        <v>4680115886537</v>
      </c>
      <c r="E227" s="651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8"/>
      <c r="R227" s="648"/>
      <c r="S227" s="648"/>
      <c r="T227" s="649"/>
      <c r="U227" s="34"/>
      <c r="V227" s="34"/>
      <c r="W227" s="35" t="s">
        <v>67</v>
      </c>
      <c r="X227" s="641">
        <v>18</v>
      </c>
      <c r="Y227" s="642">
        <f t="shared" si="32"/>
        <v>18</v>
      </c>
      <c r="Z227" s="36">
        <f t="shared" si="37"/>
        <v>5.0200000000000002E-2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19.3</v>
      </c>
      <c r="BN227" s="64">
        <f t="shared" si="34"/>
        <v>19.3</v>
      </c>
      <c r="BO227" s="64">
        <f t="shared" si="35"/>
        <v>4.2735042735042736E-2</v>
      </c>
      <c r="BP227" s="64">
        <f t="shared" si="36"/>
        <v>4.2735042735042736E-2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50">
        <v>4680115887596</v>
      </c>
      <c r="E228" s="651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8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8"/>
      <c r="R228" s="648"/>
      <c r="S228" s="648"/>
      <c r="T228" s="649"/>
      <c r="U228" s="34"/>
      <c r="V228" s="34"/>
      <c r="W228" s="35" t="s">
        <v>67</v>
      </c>
      <c r="X228" s="641">
        <v>4</v>
      </c>
      <c r="Y228" s="642">
        <f t="shared" si="32"/>
        <v>4</v>
      </c>
      <c r="Z228" s="36">
        <f>IFERROR(IF(Y228=0,"",ROUNDUP(Y228/H228,0)*0.00417),"")</f>
        <v>2.085E-2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5.05</v>
      </c>
      <c r="BN228" s="64">
        <f t="shared" si="34"/>
        <v>5.05</v>
      </c>
      <c r="BO228" s="64">
        <f t="shared" si="35"/>
        <v>1.488095238095238E-2</v>
      </c>
      <c r="BP228" s="64">
        <f t="shared" si="36"/>
        <v>1.488095238095238E-2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50">
        <v>4680115881679</v>
      </c>
      <c r="E229" s="651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8"/>
      <c r="R229" s="648"/>
      <c r="S229" s="648"/>
      <c r="T229" s="649"/>
      <c r="U229" s="34"/>
      <c r="V229" s="34"/>
      <c r="W229" s="35" t="s">
        <v>67</v>
      </c>
      <c r="X229" s="641">
        <v>88</v>
      </c>
      <c r="Y229" s="642">
        <f t="shared" si="32"/>
        <v>88.2</v>
      </c>
      <c r="Z229" s="36">
        <f>IFERROR(IF(Y229=0,"",ROUNDUP(Y229/H229,0)*0.00502),"")</f>
        <v>0.21084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92.190476190476204</v>
      </c>
      <c r="BN229" s="64">
        <f t="shared" si="34"/>
        <v>92.4</v>
      </c>
      <c r="BO229" s="64">
        <f t="shared" si="35"/>
        <v>0.17908017908017909</v>
      </c>
      <c r="BP229" s="64">
        <f t="shared" si="36"/>
        <v>0.17948717948717952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50">
        <v>4680115880191</v>
      </c>
      <c r="E230" s="651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8"/>
      <c r="R230" s="648"/>
      <c r="S230" s="648"/>
      <c r="T230" s="649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50">
        <v>4680115880191</v>
      </c>
      <c r="E231" s="651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50">
        <v>4680115883963</v>
      </c>
      <c r="E232" s="651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10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8"/>
      <c r="R232" s="648"/>
      <c r="S232" s="648"/>
      <c r="T232" s="649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5"/>
      <c r="B233" s="656"/>
      <c r="C233" s="656"/>
      <c r="D233" s="656"/>
      <c r="E233" s="656"/>
      <c r="F233" s="656"/>
      <c r="G233" s="656"/>
      <c r="H233" s="656"/>
      <c r="I233" s="656"/>
      <c r="J233" s="656"/>
      <c r="K233" s="656"/>
      <c r="L233" s="656"/>
      <c r="M233" s="656"/>
      <c r="N233" s="656"/>
      <c r="O233" s="657"/>
      <c r="P233" s="667" t="s">
        <v>72</v>
      </c>
      <c r="Q233" s="668"/>
      <c r="R233" s="668"/>
      <c r="S233" s="668"/>
      <c r="T233" s="668"/>
      <c r="U233" s="668"/>
      <c r="V233" s="669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115.95238095238096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117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0.68448999999999993</v>
      </c>
      <c r="AA233" s="644"/>
      <c r="AB233" s="644"/>
      <c r="AC233" s="644"/>
    </row>
    <row r="234" spans="1:68" x14ac:dyDescent="0.2">
      <c r="A234" s="656"/>
      <c r="B234" s="656"/>
      <c r="C234" s="656"/>
      <c r="D234" s="656"/>
      <c r="E234" s="656"/>
      <c r="F234" s="656"/>
      <c r="G234" s="656"/>
      <c r="H234" s="656"/>
      <c r="I234" s="656"/>
      <c r="J234" s="656"/>
      <c r="K234" s="656"/>
      <c r="L234" s="656"/>
      <c r="M234" s="656"/>
      <c r="N234" s="656"/>
      <c r="O234" s="657"/>
      <c r="P234" s="667" t="s">
        <v>72</v>
      </c>
      <c r="Q234" s="668"/>
      <c r="R234" s="668"/>
      <c r="S234" s="668"/>
      <c r="T234" s="668"/>
      <c r="U234" s="668"/>
      <c r="V234" s="669"/>
      <c r="W234" s="37" t="s">
        <v>67</v>
      </c>
      <c r="X234" s="643">
        <f>IFERROR(SUM(X218:X232),"0")</f>
        <v>271</v>
      </c>
      <c r="Y234" s="643">
        <f>IFERROR(SUM(Y218:Y232),"0")</f>
        <v>273.60000000000002</v>
      </c>
      <c r="Z234" s="37"/>
      <c r="AA234" s="644"/>
      <c r="AB234" s="644"/>
      <c r="AC234" s="644"/>
    </row>
    <row r="235" spans="1:68" ht="14.25" hidden="1" customHeight="1" x14ac:dyDescent="0.25">
      <c r="A235" s="672" t="s">
        <v>74</v>
      </c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6"/>
      <c r="P235" s="656"/>
      <c r="Q235" s="656"/>
      <c r="R235" s="656"/>
      <c r="S235" s="656"/>
      <c r="T235" s="656"/>
      <c r="U235" s="656"/>
      <c r="V235" s="656"/>
      <c r="W235" s="656"/>
      <c r="X235" s="656"/>
      <c r="Y235" s="656"/>
      <c r="Z235" s="656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50">
        <v>4680115888692</v>
      </c>
      <c r="E236" s="651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0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8"/>
      <c r="R236" s="648"/>
      <c r="S236" s="648"/>
      <c r="T236" s="649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50">
        <v>4680115888692</v>
      </c>
      <c r="E237" s="651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8"/>
      <c r="R237" s="648"/>
      <c r="S237" s="648"/>
      <c r="T237" s="649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50">
        <v>4680115888722</v>
      </c>
      <c r="E238" s="651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5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50">
        <v>4680115888722</v>
      </c>
      <c r="E239" s="651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79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50">
        <v>4680115888951</v>
      </c>
      <c r="E240" s="651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8"/>
      <c r="R240" s="648"/>
      <c r="S240" s="648"/>
      <c r="T240" s="649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50">
        <v>4680115888951</v>
      </c>
      <c r="E241" s="651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8"/>
      <c r="R241" s="648"/>
      <c r="S241" s="648"/>
      <c r="T241" s="649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50">
        <v>4680115888975</v>
      </c>
      <c r="E242" s="651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8"/>
      <c r="R242" s="648"/>
      <c r="S242" s="648"/>
      <c r="T242" s="649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50">
        <v>4680115888982</v>
      </c>
      <c r="E243" s="651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8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50">
        <v>4680115888982</v>
      </c>
      <c r="E244" s="651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5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67" t="s">
        <v>72</v>
      </c>
      <c r="Q245" s="668"/>
      <c r="R245" s="668"/>
      <c r="S245" s="668"/>
      <c r="T245" s="668"/>
      <c r="U245" s="668"/>
      <c r="V245" s="669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67" t="s">
        <v>72</v>
      </c>
      <c r="Q246" s="668"/>
      <c r="R246" s="668"/>
      <c r="S246" s="668"/>
      <c r="T246" s="668"/>
      <c r="U246" s="668"/>
      <c r="V246" s="669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2" t="s">
        <v>264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50">
        <v>4680115886780</v>
      </c>
      <c r="E248" s="651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4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421</v>
      </c>
      <c r="B249" s="54" t="s">
        <v>422</v>
      </c>
      <c r="C249" s="31">
        <v>4301032051</v>
      </c>
      <c r="D249" s="650">
        <v>4680115886742</v>
      </c>
      <c r="E249" s="651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4"/>
      <c r="V249" s="34"/>
      <c r="W249" s="35" t="s">
        <v>67</v>
      </c>
      <c r="X249" s="641">
        <v>4</v>
      </c>
      <c r="Y249" s="642">
        <f>IFERROR(IF(X249="",0,CEILING((X249/$H249),1)*$H249),"")</f>
        <v>5.04</v>
      </c>
      <c r="Z249" s="36">
        <f>IFERROR(IF(Y249=0,"",ROUNDUP(Y249/H249,0)*0.0059),"")</f>
        <v>2.3599999999999999E-2</v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4.6031746031746028</v>
      </c>
      <c r="BN249" s="64">
        <f>IFERROR(Y249*I249/H249,"0")</f>
        <v>5.8</v>
      </c>
      <c r="BO249" s="64">
        <f>IFERROR(1/J249*(X249/H249),"0")</f>
        <v>1.469723691945914E-2</v>
      </c>
      <c r="BP249" s="64">
        <f>IFERROR(1/J249*(Y249/H249),"0")</f>
        <v>1.8518518518518517E-2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50">
        <v>4680115886766</v>
      </c>
      <c r="E250" s="651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7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67</v>
      </c>
      <c r="X250" s="641">
        <v>4</v>
      </c>
      <c r="Y250" s="642">
        <f>IFERROR(IF(X250="",0,CEILING((X250/$H250),1)*$H250),"")</f>
        <v>5.04</v>
      </c>
      <c r="Z250" s="36">
        <f>IFERROR(IF(Y250=0,"",ROUNDUP(Y250/H250,0)*0.0059),"")</f>
        <v>2.3599999999999999E-2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4.6031746031746028</v>
      </c>
      <c r="BN250" s="64">
        <f>IFERROR(Y250*I250/H250,"0")</f>
        <v>5.8</v>
      </c>
      <c r="BO250" s="64">
        <f>IFERROR(1/J250*(X250/H250),"0")</f>
        <v>1.469723691945914E-2</v>
      </c>
      <c r="BP250" s="64">
        <f>IFERROR(1/J250*(Y250/H250),"0")</f>
        <v>1.8518518518518517E-2</v>
      </c>
    </row>
    <row r="251" spans="1:68" x14ac:dyDescent="0.2">
      <c r="A251" s="655"/>
      <c r="B251" s="656"/>
      <c r="C251" s="656"/>
      <c r="D251" s="656"/>
      <c r="E251" s="656"/>
      <c r="F251" s="656"/>
      <c r="G251" s="656"/>
      <c r="H251" s="656"/>
      <c r="I251" s="656"/>
      <c r="J251" s="656"/>
      <c r="K251" s="656"/>
      <c r="L251" s="656"/>
      <c r="M251" s="656"/>
      <c r="N251" s="656"/>
      <c r="O251" s="657"/>
      <c r="P251" s="667" t="s">
        <v>72</v>
      </c>
      <c r="Q251" s="668"/>
      <c r="R251" s="668"/>
      <c r="S251" s="668"/>
      <c r="T251" s="668"/>
      <c r="U251" s="668"/>
      <c r="V251" s="669"/>
      <c r="W251" s="37" t="s">
        <v>73</v>
      </c>
      <c r="X251" s="643">
        <f>IFERROR(X248/H248,"0")+IFERROR(X249/H249,"0")+IFERROR(X250/H250,"0")</f>
        <v>6.3492063492063489</v>
      </c>
      <c r="Y251" s="643">
        <f>IFERROR(Y248/H248,"0")+IFERROR(Y249/H249,"0")+IFERROR(Y250/H250,"0")</f>
        <v>8</v>
      </c>
      <c r="Z251" s="643">
        <f>IFERROR(IF(Z248="",0,Z248),"0")+IFERROR(IF(Z249="",0,Z249),"0")+IFERROR(IF(Z250="",0,Z250),"0")</f>
        <v>4.7199999999999999E-2</v>
      </c>
      <c r="AA251" s="644"/>
      <c r="AB251" s="644"/>
      <c r="AC251" s="644"/>
    </row>
    <row r="252" spans="1:68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67" t="s">
        <v>72</v>
      </c>
      <c r="Q252" s="668"/>
      <c r="R252" s="668"/>
      <c r="S252" s="668"/>
      <c r="T252" s="668"/>
      <c r="U252" s="668"/>
      <c r="V252" s="669"/>
      <c r="W252" s="37" t="s">
        <v>67</v>
      </c>
      <c r="X252" s="643">
        <f>IFERROR(SUM(X248:X250),"0")</f>
        <v>8</v>
      </c>
      <c r="Y252" s="643">
        <f>IFERROR(SUM(Y248:Y250),"0")</f>
        <v>10.08</v>
      </c>
      <c r="Z252" s="37"/>
      <c r="AA252" s="644"/>
      <c r="AB252" s="644"/>
      <c r="AC252" s="644"/>
    </row>
    <row r="253" spans="1:68" ht="14.25" hidden="1" customHeight="1" x14ac:dyDescent="0.25">
      <c r="A253" s="672" t="s">
        <v>426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50">
        <v>4680115886797</v>
      </c>
      <c r="E254" s="651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5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67" t="s">
        <v>72</v>
      </c>
      <c r="Q255" s="668"/>
      <c r="R255" s="668"/>
      <c r="S255" s="668"/>
      <c r="T255" s="668"/>
      <c r="U255" s="668"/>
      <c r="V255" s="669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6"/>
      <c r="B256" s="656"/>
      <c r="C256" s="656"/>
      <c r="D256" s="656"/>
      <c r="E256" s="656"/>
      <c r="F256" s="656"/>
      <c r="G256" s="656"/>
      <c r="H256" s="656"/>
      <c r="I256" s="656"/>
      <c r="J256" s="656"/>
      <c r="K256" s="656"/>
      <c r="L256" s="656"/>
      <c r="M256" s="656"/>
      <c r="N256" s="656"/>
      <c r="O256" s="657"/>
      <c r="P256" s="667" t="s">
        <v>72</v>
      </c>
      <c r="Q256" s="668"/>
      <c r="R256" s="668"/>
      <c r="S256" s="668"/>
      <c r="T256" s="668"/>
      <c r="U256" s="668"/>
      <c r="V256" s="669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6" t="s">
        <v>429</v>
      </c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6"/>
      <c r="P257" s="656"/>
      <c r="Q257" s="656"/>
      <c r="R257" s="656"/>
      <c r="S257" s="656"/>
      <c r="T257" s="656"/>
      <c r="U257" s="656"/>
      <c r="V257" s="656"/>
      <c r="W257" s="656"/>
      <c r="X257" s="656"/>
      <c r="Y257" s="656"/>
      <c r="Z257" s="656"/>
      <c r="AA257" s="636"/>
      <c r="AB257" s="636"/>
      <c r="AC257" s="636"/>
    </row>
    <row r="258" spans="1:68" ht="14.25" hidden="1" customHeight="1" x14ac:dyDescent="0.25">
      <c r="A258" s="672" t="s">
        <v>111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50">
        <v>4680115881402</v>
      </c>
      <c r="E259" s="651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50">
        <v>4680115881396</v>
      </c>
      <c r="E260" s="651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5"/>
      <c r="B261" s="656"/>
      <c r="C261" s="656"/>
      <c r="D261" s="656"/>
      <c r="E261" s="656"/>
      <c r="F261" s="656"/>
      <c r="G261" s="656"/>
      <c r="H261" s="656"/>
      <c r="I261" s="656"/>
      <c r="J261" s="656"/>
      <c r="K261" s="656"/>
      <c r="L261" s="656"/>
      <c r="M261" s="656"/>
      <c r="N261" s="656"/>
      <c r="O261" s="657"/>
      <c r="P261" s="667" t="s">
        <v>72</v>
      </c>
      <c r="Q261" s="668"/>
      <c r="R261" s="668"/>
      <c r="S261" s="668"/>
      <c r="T261" s="668"/>
      <c r="U261" s="668"/>
      <c r="V261" s="669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6"/>
      <c r="B262" s="656"/>
      <c r="C262" s="656"/>
      <c r="D262" s="656"/>
      <c r="E262" s="656"/>
      <c r="F262" s="656"/>
      <c r="G262" s="656"/>
      <c r="H262" s="656"/>
      <c r="I262" s="656"/>
      <c r="J262" s="656"/>
      <c r="K262" s="656"/>
      <c r="L262" s="656"/>
      <c r="M262" s="656"/>
      <c r="N262" s="656"/>
      <c r="O262" s="657"/>
      <c r="P262" s="667" t="s">
        <v>72</v>
      </c>
      <c r="Q262" s="668"/>
      <c r="R262" s="668"/>
      <c r="S262" s="668"/>
      <c r="T262" s="668"/>
      <c r="U262" s="668"/>
      <c r="V262" s="669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2" t="s">
        <v>146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50">
        <v>4680115882935</v>
      </c>
      <c r="E264" s="651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50">
        <v>4680115880764</v>
      </c>
      <c r="E265" s="651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5"/>
      <c r="B266" s="656"/>
      <c r="C266" s="656"/>
      <c r="D266" s="656"/>
      <c r="E266" s="656"/>
      <c r="F266" s="656"/>
      <c r="G266" s="656"/>
      <c r="H266" s="656"/>
      <c r="I266" s="656"/>
      <c r="J266" s="656"/>
      <c r="K266" s="656"/>
      <c r="L266" s="656"/>
      <c r="M266" s="656"/>
      <c r="N266" s="656"/>
      <c r="O266" s="657"/>
      <c r="P266" s="667" t="s">
        <v>72</v>
      </c>
      <c r="Q266" s="668"/>
      <c r="R266" s="668"/>
      <c r="S266" s="668"/>
      <c r="T266" s="668"/>
      <c r="U266" s="668"/>
      <c r="V266" s="669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6"/>
      <c r="B267" s="656"/>
      <c r="C267" s="656"/>
      <c r="D267" s="656"/>
      <c r="E267" s="656"/>
      <c r="F267" s="656"/>
      <c r="G267" s="656"/>
      <c r="H267" s="656"/>
      <c r="I267" s="656"/>
      <c r="J267" s="656"/>
      <c r="K267" s="656"/>
      <c r="L267" s="656"/>
      <c r="M267" s="656"/>
      <c r="N267" s="656"/>
      <c r="O267" s="657"/>
      <c r="P267" s="667" t="s">
        <v>72</v>
      </c>
      <c r="Q267" s="668"/>
      <c r="R267" s="668"/>
      <c r="S267" s="668"/>
      <c r="T267" s="668"/>
      <c r="U267" s="668"/>
      <c r="V267" s="669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2" t="s">
        <v>62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50">
        <v>4680115882683</v>
      </c>
      <c r="E269" s="651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8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4"/>
      <c r="V269" s="34"/>
      <c r="W269" s="35" t="s">
        <v>67</v>
      </c>
      <c r="X269" s="641">
        <v>70</v>
      </c>
      <c r="Y269" s="642">
        <f t="shared" ref="Y269:Y276" si="43">IFERROR(IF(X269="",0,CEILING((X269/$H269),1)*$H269),"")</f>
        <v>70.2</v>
      </c>
      <c r="Z269" s="36">
        <f>IFERROR(IF(Y269=0,"",ROUNDUP(Y269/H269,0)*0.00902),"")</f>
        <v>0.11726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72.462962962962962</v>
      </c>
      <c r="BN269" s="64">
        <f t="shared" ref="BN269:BN276" si="45">IFERROR(Y269*I269/H269,"0")</f>
        <v>72.67</v>
      </c>
      <c r="BO269" s="64">
        <f t="shared" ref="BO269:BO276" si="46">IFERROR(1/J269*(X269/H269),"0")</f>
        <v>9.8204264870931535E-2</v>
      </c>
      <c r="BP269" s="64">
        <f t="shared" ref="BP269:BP276" si="47">IFERROR(1/J269*(Y269/H269),"0")</f>
        <v>9.8484848484848481E-2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50">
        <v>4680115882690</v>
      </c>
      <c r="E270" s="651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50">
        <v>4680115882669</v>
      </c>
      <c r="E271" s="651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3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67</v>
      </c>
      <c r="X271" s="641">
        <v>100</v>
      </c>
      <c r="Y271" s="642">
        <f t="shared" si="43"/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103.5185185185185</v>
      </c>
      <c r="BN271" s="64">
        <f t="shared" si="45"/>
        <v>106.21</v>
      </c>
      <c r="BO271" s="64">
        <f t="shared" si="46"/>
        <v>0.14029180695847362</v>
      </c>
      <c r="BP271" s="64">
        <f t="shared" si="47"/>
        <v>0.14393939393939395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50">
        <v>4680115882676</v>
      </c>
      <c r="E272" s="651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67</v>
      </c>
      <c r="X272" s="641">
        <v>40</v>
      </c>
      <c r="Y272" s="642">
        <f t="shared" si="43"/>
        <v>43.2</v>
      </c>
      <c r="Z272" s="36">
        <f>IFERROR(IF(Y272=0,"",ROUNDUP(Y272/H272,0)*0.00902),"")</f>
        <v>7.2160000000000002E-2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41.407407407407405</v>
      </c>
      <c r="BN272" s="64">
        <f t="shared" si="45"/>
        <v>44.72</v>
      </c>
      <c r="BO272" s="64">
        <f t="shared" si="46"/>
        <v>5.6116722783389444E-2</v>
      </c>
      <c r="BP272" s="64">
        <f t="shared" si="47"/>
        <v>6.0606060606060608E-2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50">
        <v>4680115884014</v>
      </c>
      <c r="E273" s="651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4"/>
      <c r="V273" s="34"/>
      <c r="W273" s="35" t="s">
        <v>67</v>
      </c>
      <c r="X273" s="641">
        <v>36</v>
      </c>
      <c r="Y273" s="642">
        <f t="shared" si="43"/>
        <v>36</v>
      </c>
      <c r="Z273" s="36">
        <f>IFERROR(IF(Y273=0,"",ROUNDUP(Y273/H273,0)*0.00502),"")</f>
        <v>0.1004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38.6</v>
      </c>
      <c r="BN273" s="64">
        <f t="shared" si="45"/>
        <v>38.6</v>
      </c>
      <c r="BO273" s="64">
        <f t="shared" si="46"/>
        <v>8.5470085470085472E-2</v>
      </c>
      <c r="BP273" s="64">
        <f t="shared" si="47"/>
        <v>8.5470085470085472E-2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50">
        <v>4680115884007</v>
      </c>
      <c r="E274" s="651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4"/>
      <c r="V274" s="34"/>
      <c r="W274" s="35" t="s">
        <v>67</v>
      </c>
      <c r="X274" s="641">
        <v>36</v>
      </c>
      <c r="Y274" s="642">
        <f t="shared" si="43"/>
        <v>36</v>
      </c>
      <c r="Z274" s="36">
        <f>IFERROR(IF(Y274=0,"",ROUNDUP(Y274/H274,0)*0.00502),"")</f>
        <v>0.1004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37.999999999999993</v>
      </c>
      <c r="BN274" s="64">
        <f t="shared" si="45"/>
        <v>37.999999999999993</v>
      </c>
      <c r="BO274" s="64">
        <f t="shared" si="46"/>
        <v>8.5470085470085472E-2</v>
      </c>
      <c r="BP274" s="64">
        <f t="shared" si="47"/>
        <v>8.5470085470085472E-2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50">
        <v>4680115884038</v>
      </c>
      <c r="E275" s="651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50">
        <v>4680115884021</v>
      </c>
      <c r="E276" s="651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67</v>
      </c>
      <c r="X276" s="641">
        <v>39</v>
      </c>
      <c r="Y276" s="642">
        <f t="shared" si="43"/>
        <v>39.6</v>
      </c>
      <c r="Z276" s="36">
        <f>IFERROR(IF(Y276=0,"",ROUNDUP(Y276/H276,0)*0.00502),"")</f>
        <v>0.11044000000000001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41.166666666666664</v>
      </c>
      <c r="BN276" s="64">
        <f t="shared" si="45"/>
        <v>41.8</v>
      </c>
      <c r="BO276" s="64">
        <f t="shared" si="46"/>
        <v>9.2592592592592601E-2</v>
      </c>
      <c r="BP276" s="64">
        <f t="shared" si="47"/>
        <v>9.401709401709403E-2</v>
      </c>
    </row>
    <row r="277" spans="1:68" x14ac:dyDescent="0.2">
      <c r="A277" s="655"/>
      <c r="B277" s="656"/>
      <c r="C277" s="656"/>
      <c r="D277" s="656"/>
      <c r="E277" s="656"/>
      <c r="F277" s="656"/>
      <c r="G277" s="656"/>
      <c r="H277" s="656"/>
      <c r="I277" s="656"/>
      <c r="J277" s="656"/>
      <c r="K277" s="656"/>
      <c r="L277" s="656"/>
      <c r="M277" s="656"/>
      <c r="N277" s="656"/>
      <c r="O277" s="657"/>
      <c r="P277" s="667" t="s">
        <v>72</v>
      </c>
      <c r="Q277" s="668"/>
      <c r="R277" s="668"/>
      <c r="S277" s="668"/>
      <c r="T277" s="668"/>
      <c r="U277" s="668"/>
      <c r="V277" s="669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119.07407407407408</v>
      </c>
      <c r="Y277" s="643">
        <f>IFERROR(Y269/H269,"0")+IFERROR(Y270/H270,"0")+IFERROR(Y271/H271,"0")+IFERROR(Y272/H272,"0")+IFERROR(Y273/H273,"0")+IFERROR(Y274/H274,"0")+IFERROR(Y275/H275,"0")+IFERROR(Y276/H276,"0")</f>
        <v>121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0.84342000000000006</v>
      </c>
      <c r="AA277" s="644"/>
      <c r="AB277" s="644"/>
      <c r="AC277" s="644"/>
    </row>
    <row r="278" spans="1:68" x14ac:dyDescent="0.2">
      <c r="A278" s="656"/>
      <c r="B278" s="656"/>
      <c r="C278" s="656"/>
      <c r="D278" s="656"/>
      <c r="E278" s="656"/>
      <c r="F278" s="656"/>
      <c r="G278" s="656"/>
      <c r="H278" s="656"/>
      <c r="I278" s="656"/>
      <c r="J278" s="656"/>
      <c r="K278" s="656"/>
      <c r="L278" s="656"/>
      <c r="M278" s="656"/>
      <c r="N278" s="656"/>
      <c r="O278" s="657"/>
      <c r="P278" s="667" t="s">
        <v>72</v>
      </c>
      <c r="Q278" s="668"/>
      <c r="R278" s="668"/>
      <c r="S278" s="668"/>
      <c r="T278" s="668"/>
      <c r="U278" s="668"/>
      <c r="V278" s="669"/>
      <c r="W278" s="37" t="s">
        <v>67</v>
      </c>
      <c r="X278" s="643">
        <f>IFERROR(SUM(X269:X276),"0")</f>
        <v>421</v>
      </c>
      <c r="Y278" s="643">
        <f>IFERROR(SUM(Y269:Y276),"0")</f>
        <v>430.20000000000005</v>
      </c>
      <c r="Z278" s="37"/>
      <c r="AA278" s="644"/>
      <c r="AB278" s="644"/>
      <c r="AC278" s="644"/>
    </row>
    <row r="279" spans="1:68" ht="14.25" hidden="1" customHeight="1" x14ac:dyDescent="0.25">
      <c r="A279" s="672" t="s">
        <v>74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50">
        <v>4680115881594</v>
      </c>
      <c r="E280" s="651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2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4"/>
      <c r="V280" s="34"/>
      <c r="W280" s="35" t="s">
        <v>67</v>
      </c>
      <c r="X280" s="641">
        <v>100</v>
      </c>
      <c r="Y280" s="642">
        <f t="shared" ref="Y280:Y291" si="48">IFERROR(IF(X280="",0,CEILING((X280/$H280),1)*$H280),"")</f>
        <v>105.3</v>
      </c>
      <c r="Z280" s="36">
        <f>IFERROR(IF(Y280=0,"",ROUNDUP(Y280/H280,0)*0.01898),"")</f>
        <v>0.24674000000000001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106.09876543209877</v>
      </c>
      <c r="BN280" s="64">
        <f t="shared" ref="BN280:BN291" si="50">IFERROR(Y280*I280/H280,"0")</f>
        <v>111.72199999999999</v>
      </c>
      <c r="BO280" s="64">
        <f t="shared" ref="BO280:BO291" si="51">IFERROR(1/J280*(X280/H280),"0")</f>
        <v>0.19290123456790123</v>
      </c>
      <c r="BP280" s="64">
        <f t="shared" ref="BP280:BP291" si="52">IFERROR(1/J280*(Y280/H280),"0")</f>
        <v>0.203125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50">
        <v>4680115881617</v>
      </c>
      <c r="E281" s="651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4"/>
      <c r="V281" s="34"/>
      <c r="W281" s="35" t="s">
        <v>67</v>
      </c>
      <c r="X281" s="641">
        <v>50</v>
      </c>
      <c r="Y281" s="642">
        <f t="shared" si="48"/>
        <v>56.699999999999996</v>
      </c>
      <c r="Z281" s="36">
        <f>IFERROR(IF(Y281=0,"",ROUNDUP(Y281/H281,0)*0.01898),"")</f>
        <v>0.13286000000000001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52.938271604938272</v>
      </c>
      <c r="BN281" s="64">
        <f t="shared" si="50"/>
        <v>60.031999999999996</v>
      </c>
      <c r="BO281" s="64">
        <f t="shared" si="51"/>
        <v>9.6450617283950615E-2</v>
      </c>
      <c r="BP281" s="64">
        <f t="shared" si="52"/>
        <v>0.109375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50">
        <v>4680115880573</v>
      </c>
      <c r="E282" s="651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4"/>
      <c r="V282" s="34"/>
      <c r="W282" s="35" t="s">
        <v>67</v>
      </c>
      <c r="X282" s="641">
        <v>100</v>
      </c>
      <c r="Y282" s="642">
        <f t="shared" si="48"/>
        <v>104.39999999999999</v>
      </c>
      <c r="Z282" s="36">
        <f>IFERROR(IF(Y282=0,"",ROUNDUP(Y282/H282,0)*0.01898),"")</f>
        <v>0.22776000000000002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105.67816091954025</v>
      </c>
      <c r="BN282" s="64">
        <f t="shared" si="50"/>
        <v>110.32800000000002</v>
      </c>
      <c r="BO282" s="64">
        <f t="shared" si="51"/>
        <v>0.1795977011494253</v>
      </c>
      <c r="BP282" s="64">
        <f t="shared" si="52"/>
        <v>0.1875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50">
        <v>4680115882195</v>
      </c>
      <c r="E283" s="651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50">
        <v>4680115882607</v>
      </c>
      <c r="E284" s="651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50">
        <v>4680115882607</v>
      </c>
      <c r="E285" s="651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1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4301051666</v>
      </c>
      <c r="D286" s="650">
        <v>4680115880092</v>
      </c>
      <c r="E286" s="651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4"/>
      <c r="V286" s="34"/>
      <c r="W286" s="35" t="s">
        <v>67</v>
      </c>
      <c r="X286" s="641">
        <v>0</v>
      </c>
      <c r="Y286" s="642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50">
        <v>4680115889064</v>
      </c>
      <c r="E287" s="651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50">
        <v>4680115880221</v>
      </c>
      <c r="E288" s="651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67</v>
      </c>
      <c r="X288" s="641">
        <v>24</v>
      </c>
      <c r="Y288" s="642">
        <f t="shared" si="48"/>
        <v>24</v>
      </c>
      <c r="Z288" s="36">
        <f>IFERROR(IF(Y288=0,"",ROUNDUP(Y288/H288,0)*0.00651),"")</f>
        <v>6.5100000000000005E-2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26.520000000000003</v>
      </c>
      <c r="BN288" s="64">
        <f t="shared" si="50"/>
        <v>26.520000000000003</v>
      </c>
      <c r="BO288" s="64">
        <f t="shared" si="51"/>
        <v>5.4945054945054951E-2</v>
      </c>
      <c r="BP288" s="64">
        <f t="shared" si="52"/>
        <v>5.4945054945054951E-2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50">
        <v>4680115880504</v>
      </c>
      <c r="E289" s="651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4"/>
      <c r="V289" s="34"/>
      <c r="W289" s="35" t="s">
        <v>67</v>
      </c>
      <c r="X289" s="641">
        <v>20</v>
      </c>
      <c r="Y289" s="642">
        <f t="shared" si="48"/>
        <v>21.599999999999998</v>
      </c>
      <c r="Z289" s="36">
        <f>IFERROR(IF(Y289=0,"",ROUNDUP(Y289/H289,0)*0.00651),"")</f>
        <v>5.8590000000000003E-2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22.100000000000005</v>
      </c>
      <c r="BN289" s="64">
        <f t="shared" si="50"/>
        <v>23.868000000000002</v>
      </c>
      <c r="BO289" s="64">
        <f t="shared" si="51"/>
        <v>4.5787545787545791E-2</v>
      </c>
      <c r="BP289" s="64">
        <f t="shared" si="52"/>
        <v>4.9450549450549455E-2</v>
      </c>
    </row>
    <row r="290" spans="1:68" ht="27" hidden="1" customHeight="1" x14ac:dyDescent="0.25">
      <c r="A290" s="54" t="s">
        <v>485</v>
      </c>
      <c r="B290" s="54" t="s">
        <v>486</v>
      </c>
      <c r="C290" s="31">
        <v>4301051410</v>
      </c>
      <c r="D290" s="650">
        <v>4680115882164</v>
      </c>
      <c r="E290" s="651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67</v>
      </c>
      <c r="X290" s="641">
        <v>0</v>
      </c>
      <c r="Y290" s="642">
        <f t="shared" si="48"/>
        <v>0</v>
      </c>
      <c r="Z290" s="36" t="str">
        <f>IFERROR(IF(Y290=0,"",ROUNDUP(Y290/H290,0)*0.00651),"")</f>
        <v/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50">
        <v>4680115888340</v>
      </c>
      <c r="E291" s="651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5"/>
      <c r="B292" s="656"/>
      <c r="C292" s="656"/>
      <c r="D292" s="656"/>
      <c r="E292" s="656"/>
      <c r="F292" s="656"/>
      <c r="G292" s="656"/>
      <c r="H292" s="656"/>
      <c r="I292" s="656"/>
      <c r="J292" s="656"/>
      <c r="K292" s="656"/>
      <c r="L292" s="656"/>
      <c r="M292" s="656"/>
      <c r="N292" s="656"/>
      <c r="O292" s="657"/>
      <c r="P292" s="667" t="s">
        <v>72</v>
      </c>
      <c r="Q292" s="668"/>
      <c r="R292" s="668"/>
      <c r="S292" s="668"/>
      <c r="T292" s="668"/>
      <c r="U292" s="668"/>
      <c r="V292" s="669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48.346104725415074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51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0.7310500000000002</v>
      </c>
      <c r="AA292" s="644"/>
      <c r="AB292" s="644"/>
      <c r="AC292" s="644"/>
    </row>
    <row r="293" spans="1:68" x14ac:dyDescent="0.2">
      <c r="A293" s="656"/>
      <c r="B293" s="656"/>
      <c r="C293" s="656"/>
      <c r="D293" s="656"/>
      <c r="E293" s="656"/>
      <c r="F293" s="656"/>
      <c r="G293" s="656"/>
      <c r="H293" s="656"/>
      <c r="I293" s="656"/>
      <c r="J293" s="656"/>
      <c r="K293" s="656"/>
      <c r="L293" s="656"/>
      <c r="M293" s="656"/>
      <c r="N293" s="656"/>
      <c r="O293" s="657"/>
      <c r="P293" s="667" t="s">
        <v>72</v>
      </c>
      <c r="Q293" s="668"/>
      <c r="R293" s="668"/>
      <c r="S293" s="668"/>
      <c r="T293" s="668"/>
      <c r="U293" s="668"/>
      <c r="V293" s="669"/>
      <c r="W293" s="37" t="s">
        <v>67</v>
      </c>
      <c r="X293" s="643">
        <f>IFERROR(SUM(X280:X291),"0")</f>
        <v>294</v>
      </c>
      <c r="Y293" s="643">
        <f>IFERROR(SUM(Y280:Y291),"0")</f>
        <v>312</v>
      </c>
      <c r="Z293" s="37"/>
      <c r="AA293" s="644"/>
      <c r="AB293" s="644"/>
      <c r="AC293" s="644"/>
    </row>
    <row r="294" spans="1:68" ht="14.25" hidden="1" customHeight="1" x14ac:dyDescent="0.25">
      <c r="A294" s="672" t="s">
        <v>164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35"/>
      <c r="AB294" s="635"/>
      <c r="AC294" s="635"/>
    </row>
    <row r="295" spans="1:68" ht="27" customHeight="1" x14ac:dyDescent="0.25">
      <c r="A295" s="54" t="s">
        <v>491</v>
      </c>
      <c r="B295" s="54" t="s">
        <v>492</v>
      </c>
      <c r="C295" s="31">
        <v>4301060463</v>
      </c>
      <c r="D295" s="650">
        <v>4680115880818</v>
      </c>
      <c r="E295" s="651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4"/>
      <c r="V295" s="34"/>
      <c r="W295" s="35" t="s">
        <v>67</v>
      </c>
      <c r="X295" s="641">
        <v>20</v>
      </c>
      <c r="Y295" s="642">
        <f>IFERROR(IF(X295="",0,CEILING((X295/$H295),1)*$H295),"")</f>
        <v>21.599999999999998</v>
      </c>
      <c r="Z295" s="36">
        <f>IFERROR(IF(Y295=0,"",ROUNDUP(Y295/H295,0)*0.00651),"")</f>
        <v>5.8590000000000003E-2</v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22.100000000000005</v>
      </c>
      <c r="BN295" s="64">
        <f>IFERROR(Y295*I295/H295,"0")</f>
        <v>23.868000000000002</v>
      </c>
      <c r="BO295" s="64">
        <f>IFERROR(1/J295*(X295/H295),"0")</f>
        <v>4.5787545787545791E-2</v>
      </c>
      <c r="BP295" s="64">
        <f>IFERROR(1/J295*(Y295/H295),"0")</f>
        <v>4.9450549450549455E-2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50">
        <v>4680115880801</v>
      </c>
      <c r="E296" s="651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5"/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7"/>
      <c r="P297" s="667" t="s">
        <v>72</v>
      </c>
      <c r="Q297" s="668"/>
      <c r="R297" s="668"/>
      <c r="S297" s="668"/>
      <c r="T297" s="668"/>
      <c r="U297" s="668"/>
      <c r="V297" s="669"/>
      <c r="W297" s="37" t="s">
        <v>73</v>
      </c>
      <c r="X297" s="643">
        <f>IFERROR(X295/H295,"0")+IFERROR(X296/H296,"0")</f>
        <v>16.666666666666668</v>
      </c>
      <c r="Y297" s="643">
        <f>IFERROR(Y295/H295,"0")+IFERROR(Y296/H296,"0")</f>
        <v>18</v>
      </c>
      <c r="Z297" s="643">
        <f>IFERROR(IF(Z295="",0,Z295),"0")+IFERROR(IF(Z296="",0,Z296),"0")</f>
        <v>0.11718000000000001</v>
      </c>
      <c r="AA297" s="644"/>
      <c r="AB297" s="644"/>
      <c r="AC297" s="644"/>
    </row>
    <row r="298" spans="1:68" x14ac:dyDescent="0.2">
      <c r="A298" s="656"/>
      <c r="B298" s="656"/>
      <c r="C298" s="656"/>
      <c r="D298" s="656"/>
      <c r="E298" s="656"/>
      <c r="F298" s="656"/>
      <c r="G298" s="656"/>
      <c r="H298" s="656"/>
      <c r="I298" s="656"/>
      <c r="J298" s="656"/>
      <c r="K298" s="656"/>
      <c r="L298" s="656"/>
      <c r="M298" s="656"/>
      <c r="N298" s="656"/>
      <c r="O298" s="657"/>
      <c r="P298" s="667" t="s">
        <v>72</v>
      </c>
      <c r="Q298" s="668"/>
      <c r="R298" s="668"/>
      <c r="S298" s="668"/>
      <c r="T298" s="668"/>
      <c r="U298" s="668"/>
      <c r="V298" s="669"/>
      <c r="W298" s="37" t="s">
        <v>67</v>
      </c>
      <c r="X298" s="643">
        <f>IFERROR(SUM(X295:X296),"0")</f>
        <v>40</v>
      </c>
      <c r="Y298" s="643">
        <f>IFERROR(SUM(Y295:Y296),"0")</f>
        <v>43.199999999999996</v>
      </c>
      <c r="Z298" s="37"/>
      <c r="AA298" s="644"/>
      <c r="AB298" s="644"/>
      <c r="AC298" s="644"/>
    </row>
    <row r="299" spans="1:68" ht="16.5" hidden="1" customHeight="1" x14ac:dyDescent="0.25">
      <c r="A299" s="666" t="s">
        <v>497</v>
      </c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6"/>
      <c r="P299" s="656"/>
      <c r="Q299" s="656"/>
      <c r="R299" s="656"/>
      <c r="S299" s="656"/>
      <c r="T299" s="656"/>
      <c r="U299" s="656"/>
      <c r="V299" s="656"/>
      <c r="W299" s="656"/>
      <c r="X299" s="656"/>
      <c r="Y299" s="656"/>
      <c r="Z299" s="656"/>
      <c r="AA299" s="636"/>
      <c r="AB299" s="636"/>
      <c r="AC299" s="636"/>
    </row>
    <row r="300" spans="1:68" ht="14.25" hidden="1" customHeight="1" x14ac:dyDescent="0.25">
      <c r="A300" s="672" t="s">
        <v>111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35"/>
      <c r="AB300" s="635"/>
      <c r="AC300" s="635"/>
    </row>
    <row r="301" spans="1:68" ht="27" customHeight="1" x14ac:dyDescent="0.25">
      <c r="A301" s="54" t="s">
        <v>498</v>
      </c>
      <c r="B301" s="54" t="s">
        <v>499</v>
      </c>
      <c r="C301" s="31">
        <v>4301011826</v>
      </c>
      <c r="D301" s="650">
        <v>4680115884137</v>
      </c>
      <c r="E301" s="651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4"/>
      <c r="V301" s="34"/>
      <c r="W301" s="35" t="s">
        <v>67</v>
      </c>
      <c r="X301" s="641">
        <v>12</v>
      </c>
      <c r="Y301" s="642">
        <f t="shared" ref="Y301:Y307" si="53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12.424137931034483</v>
      </c>
      <c r="BN301" s="64">
        <f t="shared" ref="BN301:BN307" si="55">IFERROR(Y301*I301/H301,"0")</f>
        <v>24.02</v>
      </c>
      <c r="BO301" s="64">
        <f t="shared" ref="BO301:BO307" si="56">IFERROR(1/J301*(X301/H301),"0")</f>
        <v>1.6163793103448277E-2</v>
      </c>
      <c r="BP301" s="64">
        <f t="shared" ref="BP301:BP307" si="57">IFERROR(1/J301*(Y301/H301),"0")</f>
        <v>3.125E-2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50">
        <v>4680115884236</v>
      </c>
      <c r="E302" s="651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50">
        <v>4680115884175</v>
      </c>
      <c r="E303" s="651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50">
        <v>4680115884144</v>
      </c>
      <c r="E304" s="651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50">
        <v>4680115886551</v>
      </c>
      <c r="E305" s="651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50">
        <v>4680115887282</v>
      </c>
      <c r="E306" s="651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50">
        <v>4680115884205</v>
      </c>
      <c r="E307" s="651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x14ac:dyDescent="0.2">
      <c r="A308" s="655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67" t="s">
        <v>72</v>
      </c>
      <c r="Q308" s="668"/>
      <c r="R308" s="668"/>
      <c r="S308" s="668"/>
      <c r="T308" s="668"/>
      <c r="U308" s="668"/>
      <c r="V308" s="669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1.0344827586206897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44"/>
      <c r="AB308" s="644"/>
      <c r="AC308" s="644"/>
    </row>
    <row r="309" spans="1:68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67" t="s">
        <v>72</v>
      </c>
      <c r="Q309" s="668"/>
      <c r="R309" s="668"/>
      <c r="S309" s="668"/>
      <c r="T309" s="668"/>
      <c r="U309" s="668"/>
      <c r="V309" s="669"/>
      <c r="W309" s="37" t="s">
        <v>67</v>
      </c>
      <c r="X309" s="643">
        <f>IFERROR(SUM(X301:X307),"0")</f>
        <v>12</v>
      </c>
      <c r="Y309" s="643">
        <f>IFERROR(SUM(Y301:Y307),"0")</f>
        <v>23.2</v>
      </c>
      <c r="Z309" s="37"/>
      <c r="AA309" s="644"/>
      <c r="AB309" s="644"/>
      <c r="AC309" s="644"/>
    </row>
    <row r="310" spans="1:68" ht="14.25" hidden="1" customHeight="1" x14ac:dyDescent="0.25">
      <c r="A310" s="672" t="s">
        <v>146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50">
        <v>4680115885981</v>
      </c>
      <c r="E311" s="651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5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67" t="s">
        <v>72</v>
      </c>
      <c r="Q312" s="668"/>
      <c r="R312" s="668"/>
      <c r="S312" s="668"/>
      <c r="T312" s="668"/>
      <c r="U312" s="668"/>
      <c r="V312" s="669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67" t="s">
        <v>72</v>
      </c>
      <c r="Q313" s="668"/>
      <c r="R313" s="668"/>
      <c r="S313" s="668"/>
      <c r="T313" s="668"/>
      <c r="U313" s="668"/>
      <c r="V313" s="669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2" t="s">
        <v>519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50">
        <v>4680115886803</v>
      </c>
      <c r="E315" s="651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4"/>
      <c r="V315" s="34"/>
      <c r="W315" s="35" t="s">
        <v>67</v>
      </c>
      <c r="X315" s="641">
        <v>2</v>
      </c>
      <c r="Y315" s="642">
        <f>IFERROR(IF(X315="",0,CEILING((X315/$H315),1)*$H315),"")</f>
        <v>3.6</v>
      </c>
      <c r="Z315" s="36">
        <f>IFERROR(IF(Y315=0,"",ROUNDUP(Y315/H315,0)*0.0059),"")</f>
        <v>1.18E-2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2.1944444444444446</v>
      </c>
      <c r="BN315" s="64">
        <f>IFERROR(Y315*I315/H315,"0")</f>
        <v>3.95</v>
      </c>
      <c r="BO315" s="64">
        <f>IFERROR(1/J315*(X315/H315),"0")</f>
        <v>5.1440329218106996E-3</v>
      </c>
      <c r="BP315" s="64">
        <f>IFERROR(1/J315*(Y315/H315),"0")</f>
        <v>9.2592592592592587E-3</v>
      </c>
    </row>
    <row r="316" spans="1:68" x14ac:dyDescent="0.2">
      <c r="A316" s="655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67" t="s">
        <v>72</v>
      </c>
      <c r="Q316" s="668"/>
      <c r="R316" s="668"/>
      <c r="S316" s="668"/>
      <c r="T316" s="668"/>
      <c r="U316" s="668"/>
      <c r="V316" s="669"/>
      <c r="W316" s="37" t="s">
        <v>73</v>
      </c>
      <c r="X316" s="643">
        <f>IFERROR(X315/H315,"0")</f>
        <v>1.1111111111111112</v>
      </c>
      <c r="Y316" s="643">
        <f>IFERROR(Y315/H315,"0")</f>
        <v>2</v>
      </c>
      <c r="Z316" s="643">
        <f>IFERROR(IF(Z315="",0,Z315),"0")</f>
        <v>1.18E-2</v>
      </c>
      <c r="AA316" s="644"/>
      <c r="AB316" s="644"/>
      <c r="AC316" s="644"/>
    </row>
    <row r="317" spans="1:68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67" t="s">
        <v>72</v>
      </c>
      <c r="Q317" s="668"/>
      <c r="R317" s="668"/>
      <c r="S317" s="668"/>
      <c r="T317" s="668"/>
      <c r="U317" s="668"/>
      <c r="V317" s="669"/>
      <c r="W317" s="37" t="s">
        <v>67</v>
      </c>
      <c r="X317" s="643">
        <f>IFERROR(SUM(X315:X315),"0")</f>
        <v>2</v>
      </c>
      <c r="Y317" s="643">
        <f>IFERROR(SUM(Y315:Y315),"0")</f>
        <v>3.6</v>
      </c>
      <c r="Z317" s="37"/>
      <c r="AA317" s="644"/>
      <c r="AB317" s="644"/>
      <c r="AC317" s="644"/>
    </row>
    <row r="318" spans="1:68" ht="14.25" hidden="1" customHeight="1" x14ac:dyDescent="0.25">
      <c r="A318" s="672" t="s">
        <v>329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50">
        <v>4680115886704</v>
      </c>
      <c r="E319" s="651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50">
        <v>4680115886681</v>
      </c>
      <c r="E320" s="651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50">
        <v>4680115886735</v>
      </c>
      <c r="E321" s="651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2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5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67" t="s">
        <v>72</v>
      </c>
      <c r="Q322" s="668"/>
      <c r="R322" s="668"/>
      <c r="S322" s="668"/>
      <c r="T322" s="668"/>
      <c r="U322" s="668"/>
      <c r="V322" s="669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67" t="s">
        <v>72</v>
      </c>
      <c r="Q323" s="668"/>
      <c r="R323" s="668"/>
      <c r="S323" s="668"/>
      <c r="T323" s="668"/>
      <c r="U323" s="668"/>
      <c r="V323" s="669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6" t="s">
        <v>530</v>
      </c>
      <c r="B324" s="656"/>
      <c r="C324" s="656"/>
      <c r="D324" s="656"/>
      <c r="E324" s="656"/>
      <c r="F324" s="656"/>
      <c r="G324" s="656"/>
      <c r="H324" s="656"/>
      <c r="I324" s="656"/>
      <c r="J324" s="656"/>
      <c r="K324" s="656"/>
      <c r="L324" s="656"/>
      <c r="M324" s="656"/>
      <c r="N324" s="656"/>
      <c r="O324" s="656"/>
      <c r="P324" s="656"/>
      <c r="Q324" s="656"/>
      <c r="R324" s="656"/>
      <c r="S324" s="656"/>
      <c r="T324" s="656"/>
      <c r="U324" s="656"/>
      <c r="V324" s="656"/>
      <c r="W324" s="656"/>
      <c r="X324" s="656"/>
      <c r="Y324" s="656"/>
      <c r="Z324" s="656"/>
      <c r="AA324" s="636"/>
      <c r="AB324" s="636"/>
      <c r="AC324" s="636"/>
    </row>
    <row r="325" spans="1:68" ht="14.25" hidden="1" customHeight="1" x14ac:dyDescent="0.25">
      <c r="A325" s="672" t="s">
        <v>111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50">
        <v>4680115885837</v>
      </c>
      <c r="E326" s="651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50">
        <v>4680115887237</v>
      </c>
      <c r="E327" s="651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50">
        <v>4680115885806</v>
      </c>
      <c r="E328" s="651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50">
        <v>4680115885844</v>
      </c>
      <c r="E329" s="651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1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50">
        <v>4680115885820</v>
      </c>
      <c r="E330" s="651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10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5"/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7"/>
      <c r="P331" s="667" t="s">
        <v>72</v>
      </c>
      <c r="Q331" s="668"/>
      <c r="R331" s="668"/>
      <c r="S331" s="668"/>
      <c r="T331" s="668"/>
      <c r="U331" s="668"/>
      <c r="V331" s="669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67" t="s">
        <v>72</v>
      </c>
      <c r="Q332" s="668"/>
      <c r="R332" s="668"/>
      <c r="S332" s="668"/>
      <c r="T332" s="668"/>
      <c r="U332" s="668"/>
      <c r="V332" s="669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6" t="s">
        <v>546</v>
      </c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6"/>
      <c r="P333" s="656"/>
      <c r="Q333" s="656"/>
      <c r="R333" s="656"/>
      <c r="S333" s="656"/>
      <c r="T333" s="656"/>
      <c r="U333" s="656"/>
      <c r="V333" s="656"/>
      <c r="W333" s="656"/>
      <c r="X333" s="656"/>
      <c r="Y333" s="656"/>
      <c r="Z333" s="656"/>
      <c r="AA333" s="636"/>
      <c r="AB333" s="636"/>
      <c r="AC333" s="636"/>
    </row>
    <row r="334" spans="1:68" ht="14.25" hidden="1" customHeight="1" x14ac:dyDescent="0.25">
      <c r="A334" s="672" t="s">
        <v>74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50">
        <v>4680115886186</v>
      </c>
      <c r="E335" s="651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50">
        <v>4680115881228</v>
      </c>
      <c r="E336" s="651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4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4"/>
      <c r="V336" s="34"/>
      <c r="W336" s="35" t="s">
        <v>67</v>
      </c>
      <c r="X336" s="641">
        <v>18</v>
      </c>
      <c r="Y336" s="642">
        <f>IFERROR(IF(X336="",0,CEILING((X336/$H336),1)*$H336),"")</f>
        <v>19.2</v>
      </c>
      <c r="Z336" s="36">
        <f>IFERROR(IF(Y336=0,"",ROUNDUP(Y336/H336,0)*0.00651),"")</f>
        <v>5.2080000000000001E-2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19.890000000000004</v>
      </c>
      <c r="BN336" s="64">
        <f>IFERROR(Y336*I336/H336,"0")</f>
        <v>21.216000000000001</v>
      </c>
      <c r="BO336" s="64">
        <f>IFERROR(1/J336*(X336/H336),"0")</f>
        <v>4.1208791208791215E-2</v>
      </c>
      <c r="BP336" s="64">
        <f>IFERROR(1/J336*(Y336/H336),"0")</f>
        <v>4.3956043956043959E-2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50">
        <v>4680115881211</v>
      </c>
      <c r="E337" s="651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3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4"/>
      <c r="V337" s="34"/>
      <c r="W337" s="35" t="s">
        <v>67</v>
      </c>
      <c r="X337" s="641">
        <v>60</v>
      </c>
      <c r="Y337" s="642">
        <f>IFERROR(IF(X337="",0,CEILING((X337/$H337),1)*$H337),"")</f>
        <v>60</v>
      </c>
      <c r="Z337" s="36">
        <f>IFERROR(IF(Y337=0,"",ROUNDUP(Y337/H337,0)*0.00651),"")</f>
        <v>0.16275000000000001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64.500000000000014</v>
      </c>
      <c r="BN337" s="64">
        <f>IFERROR(Y337*I337/H337,"0")</f>
        <v>64.500000000000014</v>
      </c>
      <c r="BO337" s="64">
        <f>IFERROR(1/J337*(X337/H337),"0")</f>
        <v>0.13736263736263737</v>
      </c>
      <c r="BP337" s="64">
        <f>IFERROR(1/J337*(Y337/H337),"0")</f>
        <v>0.13736263736263737</v>
      </c>
    </row>
    <row r="338" spans="1:68" x14ac:dyDescent="0.2">
      <c r="A338" s="655"/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7"/>
      <c r="P338" s="667" t="s">
        <v>72</v>
      </c>
      <c r="Q338" s="668"/>
      <c r="R338" s="668"/>
      <c r="S338" s="668"/>
      <c r="T338" s="668"/>
      <c r="U338" s="668"/>
      <c r="V338" s="669"/>
      <c r="W338" s="37" t="s">
        <v>73</v>
      </c>
      <c r="X338" s="643">
        <f>IFERROR(X335/H335,"0")+IFERROR(X336/H336,"0")+IFERROR(X337/H337,"0")</f>
        <v>32.5</v>
      </c>
      <c r="Y338" s="643">
        <f>IFERROR(Y335/H335,"0")+IFERROR(Y336/H336,"0")+IFERROR(Y337/H337,"0")</f>
        <v>33</v>
      </c>
      <c r="Z338" s="643">
        <f>IFERROR(IF(Z335="",0,Z335),"0")+IFERROR(IF(Z336="",0,Z336),"0")+IFERROR(IF(Z337="",0,Z337),"0")</f>
        <v>0.21483000000000002</v>
      </c>
      <c r="AA338" s="644"/>
      <c r="AB338" s="644"/>
      <c r="AC338" s="644"/>
    </row>
    <row r="339" spans="1:68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67" t="s">
        <v>72</v>
      </c>
      <c r="Q339" s="668"/>
      <c r="R339" s="668"/>
      <c r="S339" s="668"/>
      <c r="T339" s="668"/>
      <c r="U339" s="668"/>
      <c r="V339" s="669"/>
      <c r="W339" s="37" t="s">
        <v>67</v>
      </c>
      <c r="X339" s="643">
        <f>IFERROR(SUM(X335:X337),"0")</f>
        <v>78</v>
      </c>
      <c r="Y339" s="643">
        <f>IFERROR(SUM(Y335:Y337),"0")</f>
        <v>79.2</v>
      </c>
      <c r="Z339" s="37"/>
      <c r="AA339" s="644"/>
      <c r="AB339" s="644"/>
      <c r="AC339" s="644"/>
    </row>
    <row r="340" spans="1:68" ht="16.5" hidden="1" customHeight="1" x14ac:dyDescent="0.25">
      <c r="A340" s="666" t="s">
        <v>555</v>
      </c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6"/>
      <c r="P340" s="656"/>
      <c r="Q340" s="656"/>
      <c r="R340" s="656"/>
      <c r="S340" s="656"/>
      <c r="T340" s="656"/>
      <c r="U340" s="656"/>
      <c r="V340" s="656"/>
      <c r="W340" s="656"/>
      <c r="X340" s="656"/>
      <c r="Y340" s="656"/>
      <c r="Z340" s="656"/>
      <c r="AA340" s="636"/>
      <c r="AB340" s="636"/>
      <c r="AC340" s="636"/>
    </row>
    <row r="341" spans="1:68" ht="14.25" hidden="1" customHeight="1" x14ac:dyDescent="0.25">
      <c r="A341" s="672" t="s">
        <v>62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50">
        <v>4680115888319</v>
      </c>
      <c r="E342" s="651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50">
        <v>4680115884700</v>
      </c>
      <c r="E343" s="651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50">
        <v>4680115880344</v>
      </c>
      <c r="E344" s="651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50">
        <v>4680115886919</v>
      </c>
      <c r="E345" s="651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50">
        <v>4680115883970</v>
      </c>
      <c r="E346" s="651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5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67" t="s">
        <v>72</v>
      </c>
      <c r="Q347" s="668"/>
      <c r="R347" s="668"/>
      <c r="S347" s="668"/>
      <c r="T347" s="668"/>
      <c r="U347" s="668"/>
      <c r="V347" s="669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67" t="s">
        <v>72</v>
      </c>
      <c r="Q348" s="668"/>
      <c r="R348" s="668"/>
      <c r="S348" s="668"/>
      <c r="T348" s="668"/>
      <c r="U348" s="668"/>
      <c r="V348" s="669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2" t="s">
        <v>74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50">
        <v>4680115884618</v>
      </c>
      <c r="E350" s="651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50">
        <v>4680115887114</v>
      </c>
      <c r="E351" s="651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5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67" t="s">
        <v>72</v>
      </c>
      <c r="Q352" s="668"/>
      <c r="R352" s="668"/>
      <c r="S352" s="668"/>
      <c r="T352" s="668"/>
      <c r="U352" s="668"/>
      <c r="V352" s="669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67" t="s">
        <v>72</v>
      </c>
      <c r="Q353" s="668"/>
      <c r="R353" s="668"/>
      <c r="S353" s="668"/>
      <c r="T353" s="668"/>
      <c r="U353" s="668"/>
      <c r="V353" s="669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6" t="s">
        <v>576</v>
      </c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6"/>
      <c r="P354" s="656"/>
      <c r="Q354" s="656"/>
      <c r="R354" s="656"/>
      <c r="S354" s="656"/>
      <c r="T354" s="656"/>
      <c r="U354" s="656"/>
      <c r="V354" s="656"/>
      <c r="W354" s="656"/>
      <c r="X354" s="656"/>
      <c r="Y354" s="656"/>
      <c r="Z354" s="656"/>
      <c r="AA354" s="636"/>
      <c r="AB354" s="636"/>
      <c r="AC354" s="636"/>
    </row>
    <row r="355" spans="1:68" ht="14.25" hidden="1" customHeight="1" x14ac:dyDescent="0.25">
      <c r="A355" s="672" t="s">
        <v>111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50">
        <v>4680115887947</v>
      </c>
      <c r="E356" s="651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50">
        <v>4680115887978</v>
      </c>
      <c r="E357" s="651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67</v>
      </c>
      <c r="X357" s="641">
        <v>86</v>
      </c>
      <c r="Y357" s="642">
        <f>IFERROR(IF(X357="",0,CEILING((X357/$H357),1)*$H357),"")</f>
        <v>93.6</v>
      </c>
      <c r="Z357" s="36">
        <f>IFERROR(IF(Y357=0,"",ROUNDUP(Y357/H357,0)*0.01898),"")</f>
        <v>0.22776000000000002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90.520512820512835</v>
      </c>
      <c r="BN357" s="64">
        <f>IFERROR(Y357*I357/H357,"0")</f>
        <v>98.52000000000001</v>
      </c>
      <c r="BO357" s="64">
        <f>IFERROR(1/J357*(X357/H357),"0")</f>
        <v>0.17227564102564102</v>
      </c>
      <c r="BP357" s="64">
        <f>IFERROR(1/J357*(Y357/H357),"0")</f>
        <v>0.1875</v>
      </c>
    </row>
    <row r="358" spans="1:68" ht="27" hidden="1" customHeight="1" x14ac:dyDescent="0.25">
      <c r="A358" s="54" t="s">
        <v>582</v>
      </c>
      <c r="B358" s="54" t="s">
        <v>583</v>
      </c>
      <c r="C358" s="31">
        <v>4301012327</v>
      </c>
      <c r="D358" s="650">
        <v>4680115887992</v>
      </c>
      <c r="E358" s="651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8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67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5"/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7"/>
      <c r="P359" s="667" t="s">
        <v>72</v>
      </c>
      <c r="Q359" s="668"/>
      <c r="R359" s="668"/>
      <c r="S359" s="668"/>
      <c r="T359" s="668"/>
      <c r="U359" s="668"/>
      <c r="V359" s="669"/>
      <c r="W359" s="37" t="s">
        <v>73</v>
      </c>
      <c r="X359" s="643">
        <f>IFERROR(X356/H356,"0")+IFERROR(X357/H357,"0")+IFERROR(X358/H358,"0")</f>
        <v>11.025641025641026</v>
      </c>
      <c r="Y359" s="643">
        <f>IFERROR(Y356/H356,"0")+IFERROR(Y357/H357,"0")+IFERROR(Y358/H358,"0")</f>
        <v>12</v>
      </c>
      <c r="Z359" s="643">
        <f>IFERROR(IF(Z356="",0,Z356),"0")+IFERROR(IF(Z357="",0,Z357),"0")+IFERROR(IF(Z358="",0,Z358),"0")</f>
        <v>0.22776000000000002</v>
      </c>
      <c r="AA359" s="644"/>
      <c r="AB359" s="644"/>
      <c r="AC359" s="644"/>
    </row>
    <row r="360" spans="1:68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67" t="s">
        <v>72</v>
      </c>
      <c r="Q360" s="668"/>
      <c r="R360" s="668"/>
      <c r="S360" s="668"/>
      <c r="T360" s="668"/>
      <c r="U360" s="668"/>
      <c r="V360" s="669"/>
      <c r="W360" s="37" t="s">
        <v>67</v>
      </c>
      <c r="X360" s="643">
        <f>IFERROR(SUM(X356:X358),"0")</f>
        <v>86</v>
      </c>
      <c r="Y360" s="643">
        <f>IFERROR(SUM(Y356:Y358),"0")</f>
        <v>93.6</v>
      </c>
      <c r="Z360" s="37"/>
      <c r="AA360" s="644"/>
      <c r="AB360" s="644"/>
      <c r="AC360" s="644"/>
    </row>
    <row r="361" spans="1:68" ht="16.5" hidden="1" customHeight="1" x14ac:dyDescent="0.25">
      <c r="A361" s="666" t="s">
        <v>585</v>
      </c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6"/>
      <c r="P361" s="656"/>
      <c r="Q361" s="656"/>
      <c r="R361" s="656"/>
      <c r="S361" s="656"/>
      <c r="T361" s="656"/>
      <c r="U361" s="656"/>
      <c r="V361" s="656"/>
      <c r="W361" s="656"/>
      <c r="X361" s="656"/>
      <c r="Y361" s="656"/>
      <c r="Z361" s="656"/>
      <c r="AA361" s="636"/>
      <c r="AB361" s="636"/>
      <c r="AC361" s="636"/>
    </row>
    <row r="362" spans="1:68" ht="14.25" hidden="1" customHeight="1" x14ac:dyDescent="0.25">
      <c r="A362" s="672" t="s">
        <v>111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50">
        <v>4680115889293</v>
      </c>
      <c r="E363" s="651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0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50">
        <v>4680115887190</v>
      </c>
      <c r="E364" s="651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50">
        <v>4680115887138</v>
      </c>
      <c r="E365" s="651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50">
        <v>4680115885554</v>
      </c>
      <c r="E366" s="651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6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50">
        <v>4680115887220</v>
      </c>
      <c r="E367" s="651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50">
        <v>4680115885608</v>
      </c>
      <c r="E368" s="651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5"/>
      <c r="B369" s="656"/>
      <c r="C369" s="656"/>
      <c r="D369" s="656"/>
      <c r="E369" s="656"/>
      <c r="F369" s="656"/>
      <c r="G369" s="656"/>
      <c r="H369" s="656"/>
      <c r="I369" s="656"/>
      <c r="J369" s="656"/>
      <c r="K369" s="656"/>
      <c r="L369" s="656"/>
      <c r="M369" s="656"/>
      <c r="N369" s="656"/>
      <c r="O369" s="657"/>
      <c r="P369" s="667" t="s">
        <v>72</v>
      </c>
      <c r="Q369" s="668"/>
      <c r="R369" s="668"/>
      <c r="S369" s="668"/>
      <c r="T369" s="668"/>
      <c r="U369" s="668"/>
      <c r="V369" s="669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6"/>
      <c r="B370" s="656"/>
      <c r="C370" s="656"/>
      <c r="D370" s="656"/>
      <c r="E370" s="656"/>
      <c r="F370" s="656"/>
      <c r="G370" s="656"/>
      <c r="H370" s="656"/>
      <c r="I370" s="656"/>
      <c r="J370" s="656"/>
      <c r="K370" s="656"/>
      <c r="L370" s="656"/>
      <c r="M370" s="656"/>
      <c r="N370" s="656"/>
      <c r="O370" s="657"/>
      <c r="P370" s="667" t="s">
        <v>72</v>
      </c>
      <c r="Q370" s="668"/>
      <c r="R370" s="668"/>
      <c r="S370" s="668"/>
      <c r="T370" s="668"/>
      <c r="U370" s="668"/>
      <c r="V370" s="669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2" t="s">
        <v>62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50">
        <v>4607091387193</v>
      </c>
      <c r="E372" s="651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50">
        <v>4607091387230</v>
      </c>
      <c r="E373" s="651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50">
        <v>4607091387292</v>
      </c>
      <c r="E374" s="651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50">
        <v>4607091387285</v>
      </c>
      <c r="E375" s="651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6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50">
        <v>4607091389845</v>
      </c>
      <c r="E376" s="651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50">
        <v>4680115887442</v>
      </c>
      <c r="E377" s="651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50">
        <v>4607091383836</v>
      </c>
      <c r="E378" s="651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4"/>
      <c r="V378" s="34"/>
      <c r="W378" s="35" t="s">
        <v>67</v>
      </c>
      <c r="X378" s="641">
        <v>18</v>
      </c>
      <c r="Y378" s="642">
        <f t="shared" si="63"/>
        <v>18</v>
      </c>
      <c r="Z378" s="36">
        <f>IFERROR(IF(Y378=0,"",ROUNDUP(Y378/H378,0)*0.00651),"")</f>
        <v>6.5100000000000005E-2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20.279999999999998</v>
      </c>
      <c r="BN378" s="64">
        <f t="shared" si="65"/>
        <v>20.279999999999998</v>
      </c>
      <c r="BO378" s="64">
        <f t="shared" si="66"/>
        <v>5.4945054945054951E-2</v>
      </c>
      <c r="BP378" s="64">
        <f t="shared" si="67"/>
        <v>5.4945054945054951E-2</v>
      </c>
    </row>
    <row r="379" spans="1:68" x14ac:dyDescent="0.2">
      <c r="A379" s="655"/>
      <c r="B379" s="656"/>
      <c r="C379" s="656"/>
      <c r="D379" s="656"/>
      <c r="E379" s="656"/>
      <c r="F379" s="656"/>
      <c r="G379" s="656"/>
      <c r="H379" s="656"/>
      <c r="I379" s="656"/>
      <c r="J379" s="656"/>
      <c r="K379" s="656"/>
      <c r="L379" s="656"/>
      <c r="M379" s="656"/>
      <c r="N379" s="656"/>
      <c r="O379" s="657"/>
      <c r="P379" s="667" t="s">
        <v>72</v>
      </c>
      <c r="Q379" s="668"/>
      <c r="R379" s="668"/>
      <c r="S379" s="668"/>
      <c r="T379" s="668"/>
      <c r="U379" s="668"/>
      <c r="V379" s="669"/>
      <c r="W379" s="37" t="s">
        <v>73</v>
      </c>
      <c r="X379" s="643">
        <f>IFERROR(X372/H372,"0")+IFERROR(X373/H373,"0")+IFERROR(X374/H374,"0")+IFERROR(X375/H375,"0")+IFERROR(X376/H376,"0")+IFERROR(X377/H377,"0")+IFERROR(X378/H378,"0")</f>
        <v>10</v>
      </c>
      <c r="Y379" s="643">
        <f>IFERROR(Y372/H372,"0")+IFERROR(Y373/H373,"0")+IFERROR(Y374/H374,"0")+IFERROR(Y375/H375,"0")+IFERROR(Y376/H376,"0")+IFERROR(Y377/H377,"0")+IFERROR(Y378/H378,"0")</f>
        <v>10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6.5100000000000005E-2</v>
      </c>
      <c r="AA379" s="644"/>
      <c r="AB379" s="644"/>
      <c r="AC379" s="644"/>
    </row>
    <row r="380" spans="1:68" x14ac:dyDescent="0.2">
      <c r="A380" s="656"/>
      <c r="B380" s="656"/>
      <c r="C380" s="656"/>
      <c r="D380" s="656"/>
      <c r="E380" s="656"/>
      <c r="F380" s="656"/>
      <c r="G380" s="656"/>
      <c r="H380" s="656"/>
      <c r="I380" s="656"/>
      <c r="J380" s="656"/>
      <c r="K380" s="656"/>
      <c r="L380" s="656"/>
      <c r="M380" s="656"/>
      <c r="N380" s="656"/>
      <c r="O380" s="657"/>
      <c r="P380" s="667" t="s">
        <v>72</v>
      </c>
      <c r="Q380" s="668"/>
      <c r="R380" s="668"/>
      <c r="S380" s="668"/>
      <c r="T380" s="668"/>
      <c r="U380" s="668"/>
      <c r="V380" s="669"/>
      <c r="W380" s="37" t="s">
        <v>67</v>
      </c>
      <c r="X380" s="643">
        <f>IFERROR(SUM(X372:X378),"0")</f>
        <v>18</v>
      </c>
      <c r="Y380" s="643">
        <f>IFERROR(SUM(Y372:Y378),"0")</f>
        <v>18</v>
      </c>
      <c r="Z380" s="37"/>
      <c r="AA380" s="644"/>
      <c r="AB380" s="644"/>
      <c r="AC380" s="644"/>
    </row>
    <row r="381" spans="1:68" ht="14.25" hidden="1" customHeight="1" x14ac:dyDescent="0.25">
      <c r="A381" s="672" t="s">
        <v>74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50">
        <v>4607091387766</v>
      </c>
      <c r="E382" s="651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4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50">
        <v>4607091387957</v>
      </c>
      <c r="E383" s="651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50">
        <v>4607091387964</v>
      </c>
      <c r="E384" s="651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8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50">
        <v>4680115884588</v>
      </c>
      <c r="E385" s="651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9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5"/>
      <c r="B386" s="656"/>
      <c r="C386" s="656"/>
      <c r="D386" s="656"/>
      <c r="E386" s="656"/>
      <c r="F386" s="656"/>
      <c r="G386" s="656"/>
      <c r="H386" s="656"/>
      <c r="I386" s="656"/>
      <c r="J386" s="656"/>
      <c r="K386" s="656"/>
      <c r="L386" s="656"/>
      <c r="M386" s="656"/>
      <c r="N386" s="656"/>
      <c r="O386" s="657"/>
      <c r="P386" s="667" t="s">
        <v>72</v>
      </c>
      <c r="Q386" s="668"/>
      <c r="R386" s="668"/>
      <c r="S386" s="668"/>
      <c r="T386" s="668"/>
      <c r="U386" s="668"/>
      <c r="V386" s="669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6"/>
      <c r="B387" s="656"/>
      <c r="C387" s="656"/>
      <c r="D387" s="656"/>
      <c r="E387" s="656"/>
      <c r="F387" s="656"/>
      <c r="G387" s="656"/>
      <c r="H387" s="656"/>
      <c r="I387" s="656"/>
      <c r="J387" s="656"/>
      <c r="K387" s="656"/>
      <c r="L387" s="656"/>
      <c r="M387" s="656"/>
      <c r="N387" s="656"/>
      <c r="O387" s="657"/>
      <c r="P387" s="667" t="s">
        <v>72</v>
      </c>
      <c r="Q387" s="668"/>
      <c r="R387" s="668"/>
      <c r="S387" s="668"/>
      <c r="T387" s="668"/>
      <c r="U387" s="668"/>
      <c r="V387" s="669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2" t="s">
        <v>164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50">
        <v>4607091380880</v>
      </c>
      <c r="E389" s="651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50">
        <v>4607091384482</v>
      </c>
      <c r="E390" s="651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4"/>
      <c r="V390" s="34"/>
      <c r="W390" s="35" t="s">
        <v>67</v>
      </c>
      <c r="X390" s="641">
        <v>150</v>
      </c>
      <c r="Y390" s="642">
        <f>IFERROR(IF(X390="",0,CEILING((X390/$H390),1)*$H390),"")</f>
        <v>156</v>
      </c>
      <c r="Z390" s="36">
        <f>IFERROR(IF(Y390=0,"",ROUNDUP(Y390/H390,0)*0.01898),"")</f>
        <v>0.37959999999999999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159.50000000000003</v>
      </c>
      <c r="BN390" s="64">
        <f>IFERROR(Y390*I390/H390,"0")</f>
        <v>165.88</v>
      </c>
      <c r="BO390" s="64">
        <f>IFERROR(1/J390*(X390/H390),"0")</f>
        <v>0.30048076923076922</v>
      </c>
      <c r="BP390" s="64">
        <f>IFERROR(1/J390*(Y390/H390),"0")</f>
        <v>0.3125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50">
        <v>4607091380897</v>
      </c>
      <c r="E391" s="651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5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67" t="s">
        <v>72</v>
      </c>
      <c r="Q392" s="668"/>
      <c r="R392" s="668"/>
      <c r="S392" s="668"/>
      <c r="T392" s="668"/>
      <c r="U392" s="668"/>
      <c r="V392" s="669"/>
      <c r="W392" s="37" t="s">
        <v>73</v>
      </c>
      <c r="X392" s="643">
        <f>IFERROR(X389/H389,"0")+IFERROR(X390/H390,"0")+IFERROR(X391/H391,"0")</f>
        <v>19.23076923076923</v>
      </c>
      <c r="Y392" s="643">
        <f>IFERROR(Y389/H389,"0")+IFERROR(Y390/H390,"0")+IFERROR(Y391/H391,"0")</f>
        <v>20</v>
      </c>
      <c r="Z392" s="643">
        <f>IFERROR(IF(Z389="",0,Z389),"0")+IFERROR(IF(Z390="",0,Z390),"0")+IFERROR(IF(Z391="",0,Z391),"0")</f>
        <v>0.37959999999999999</v>
      </c>
      <c r="AA392" s="644"/>
      <c r="AB392" s="644"/>
      <c r="AC392" s="644"/>
    </row>
    <row r="393" spans="1:68" x14ac:dyDescent="0.2">
      <c r="A393" s="656"/>
      <c r="B393" s="656"/>
      <c r="C393" s="656"/>
      <c r="D393" s="656"/>
      <c r="E393" s="656"/>
      <c r="F393" s="656"/>
      <c r="G393" s="656"/>
      <c r="H393" s="656"/>
      <c r="I393" s="656"/>
      <c r="J393" s="656"/>
      <c r="K393" s="656"/>
      <c r="L393" s="656"/>
      <c r="M393" s="656"/>
      <c r="N393" s="656"/>
      <c r="O393" s="657"/>
      <c r="P393" s="667" t="s">
        <v>72</v>
      </c>
      <c r="Q393" s="668"/>
      <c r="R393" s="668"/>
      <c r="S393" s="668"/>
      <c r="T393" s="668"/>
      <c r="U393" s="668"/>
      <c r="V393" s="669"/>
      <c r="W393" s="37" t="s">
        <v>67</v>
      </c>
      <c r="X393" s="643">
        <f>IFERROR(SUM(X389:X391),"0")</f>
        <v>150</v>
      </c>
      <c r="Y393" s="643">
        <f>IFERROR(SUM(Y389:Y391),"0")</f>
        <v>156</v>
      </c>
      <c r="Z393" s="37"/>
      <c r="AA393" s="644"/>
      <c r="AB393" s="644"/>
      <c r="AC393" s="644"/>
    </row>
    <row r="394" spans="1:68" ht="14.25" hidden="1" customHeight="1" x14ac:dyDescent="0.25">
      <c r="A394" s="672" t="s">
        <v>264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50">
        <v>4607091388381</v>
      </c>
      <c r="E395" s="651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10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50">
        <v>4607091388374</v>
      </c>
      <c r="E396" s="651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50">
        <v>4607091383102</v>
      </c>
      <c r="E397" s="651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50">
        <v>4607091388404</v>
      </c>
      <c r="E398" s="651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4"/>
      <c r="V398" s="34"/>
      <c r="W398" s="35" t="s">
        <v>67</v>
      </c>
      <c r="X398" s="641">
        <v>34</v>
      </c>
      <c r="Y398" s="642">
        <f>IFERROR(IF(X398="",0,CEILING((X398/$H398),1)*$H398),"")</f>
        <v>35.699999999999996</v>
      </c>
      <c r="Z398" s="36">
        <f>IFERROR(IF(Y398=0,"",ROUNDUP(Y398/H398,0)*0.00651),"")</f>
        <v>9.1139999999999999E-2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38.400000000000006</v>
      </c>
      <c r="BN398" s="64">
        <f>IFERROR(Y398*I398/H398,"0")</f>
        <v>40.32</v>
      </c>
      <c r="BO398" s="64">
        <f>IFERROR(1/J398*(X398/H398),"0")</f>
        <v>7.3260073260073263E-2</v>
      </c>
      <c r="BP398" s="64">
        <f>IFERROR(1/J398*(Y398/H398),"0")</f>
        <v>7.6923076923076927E-2</v>
      </c>
    </row>
    <row r="399" spans="1:68" x14ac:dyDescent="0.2">
      <c r="A399" s="655"/>
      <c r="B399" s="656"/>
      <c r="C399" s="656"/>
      <c r="D399" s="656"/>
      <c r="E399" s="656"/>
      <c r="F399" s="656"/>
      <c r="G399" s="656"/>
      <c r="H399" s="656"/>
      <c r="I399" s="656"/>
      <c r="J399" s="656"/>
      <c r="K399" s="656"/>
      <c r="L399" s="656"/>
      <c r="M399" s="656"/>
      <c r="N399" s="656"/>
      <c r="O399" s="657"/>
      <c r="P399" s="667" t="s">
        <v>72</v>
      </c>
      <c r="Q399" s="668"/>
      <c r="R399" s="668"/>
      <c r="S399" s="668"/>
      <c r="T399" s="668"/>
      <c r="U399" s="668"/>
      <c r="V399" s="669"/>
      <c r="W399" s="37" t="s">
        <v>73</v>
      </c>
      <c r="X399" s="643">
        <f>IFERROR(X395/H395,"0")+IFERROR(X396/H396,"0")+IFERROR(X397/H397,"0")+IFERROR(X398/H398,"0")</f>
        <v>13.333333333333334</v>
      </c>
      <c r="Y399" s="643">
        <f>IFERROR(Y395/H395,"0")+IFERROR(Y396/H396,"0")+IFERROR(Y397/H397,"0")+IFERROR(Y398/H398,"0")</f>
        <v>14</v>
      </c>
      <c r="Z399" s="643">
        <f>IFERROR(IF(Z395="",0,Z395),"0")+IFERROR(IF(Z396="",0,Z396),"0")+IFERROR(IF(Z397="",0,Z397),"0")+IFERROR(IF(Z398="",0,Z398),"0")</f>
        <v>9.1139999999999999E-2</v>
      </c>
      <c r="AA399" s="644"/>
      <c r="AB399" s="644"/>
      <c r="AC399" s="644"/>
    </row>
    <row r="400" spans="1:68" x14ac:dyDescent="0.2">
      <c r="A400" s="656"/>
      <c r="B400" s="656"/>
      <c r="C400" s="656"/>
      <c r="D400" s="656"/>
      <c r="E400" s="656"/>
      <c r="F400" s="656"/>
      <c r="G400" s="656"/>
      <c r="H400" s="656"/>
      <c r="I400" s="656"/>
      <c r="J400" s="656"/>
      <c r="K400" s="656"/>
      <c r="L400" s="656"/>
      <c r="M400" s="656"/>
      <c r="N400" s="656"/>
      <c r="O400" s="657"/>
      <c r="P400" s="667" t="s">
        <v>72</v>
      </c>
      <c r="Q400" s="668"/>
      <c r="R400" s="668"/>
      <c r="S400" s="668"/>
      <c r="T400" s="668"/>
      <c r="U400" s="668"/>
      <c r="V400" s="669"/>
      <c r="W400" s="37" t="s">
        <v>67</v>
      </c>
      <c r="X400" s="643">
        <f>IFERROR(SUM(X395:X398),"0")</f>
        <v>34</v>
      </c>
      <c r="Y400" s="643">
        <f>IFERROR(SUM(Y395:Y398),"0")</f>
        <v>35.699999999999996</v>
      </c>
      <c r="Z400" s="37"/>
      <c r="AA400" s="644"/>
      <c r="AB400" s="644"/>
      <c r="AC400" s="644"/>
    </row>
    <row r="401" spans="1:68" ht="14.25" hidden="1" customHeight="1" x14ac:dyDescent="0.25">
      <c r="A401" s="672" t="s">
        <v>651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35"/>
      <c r="AB401" s="635"/>
      <c r="AC401" s="635"/>
    </row>
    <row r="402" spans="1:68" ht="16.5" hidden="1" customHeight="1" x14ac:dyDescent="0.25">
      <c r="A402" s="54" t="s">
        <v>652</v>
      </c>
      <c r="B402" s="54" t="s">
        <v>653</v>
      </c>
      <c r="C402" s="31">
        <v>4301180007</v>
      </c>
      <c r="D402" s="650">
        <v>4680115881808</v>
      </c>
      <c r="E402" s="651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4"/>
      <c r="V402" s="34"/>
      <c r="W402" s="35" t="s">
        <v>67</v>
      </c>
      <c r="X402" s="641">
        <v>0</v>
      </c>
      <c r="Y402" s="642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656</v>
      </c>
      <c r="B403" s="54" t="s">
        <v>657</v>
      </c>
      <c r="C403" s="31">
        <v>4301180006</v>
      </c>
      <c r="D403" s="650">
        <v>4680115881822</v>
      </c>
      <c r="E403" s="651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67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658</v>
      </c>
      <c r="B404" s="54" t="s">
        <v>659</v>
      </c>
      <c r="C404" s="31">
        <v>4301180001</v>
      </c>
      <c r="D404" s="650">
        <v>4680115880016</v>
      </c>
      <c r="E404" s="651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4"/>
      <c r="V404" s="34"/>
      <c r="W404" s="35" t="s">
        <v>67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655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67" t="s">
        <v>72</v>
      </c>
      <c r="Q405" s="668"/>
      <c r="R405" s="668"/>
      <c r="S405" s="668"/>
      <c r="T405" s="668"/>
      <c r="U405" s="668"/>
      <c r="V405" s="669"/>
      <c r="W405" s="37" t="s">
        <v>73</v>
      </c>
      <c r="X405" s="643">
        <f>IFERROR(X402/H402,"0")+IFERROR(X403/H403,"0")+IFERROR(X404/H404,"0")</f>
        <v>0</v>
      </c>
      <c r="Y405" s="643">
        <f>IFERROR(Y402/H402,"0")+IFERROR(Y403/H403,"0")+IFERROR(Y404/H404,"0")</f>
        <v>0</v>
      </c>
      <c r="Z405" s="643">
        <f>IFERROR(IF(Z402="",0,Z402),"0")+IFERROR(IF(Z403="",0,Z403),"0")+IFERROR(IF(Z404="",0,Z404),"0")</f>
        <v>0</v>
      </c>
      <c r="AA405" s="644"/>
      <c r="AB405" s="644"/>
      <c r="AC405" s="644"/>
    </row>
    <row r="406" spans="1:68" hidden="1" x14ac:dyDescent="0.2">
      <c r="A406" s="656"/>
      <c r="B406" s="656"/>
      <c r="C406" s="656"/>
      <c r="D406" s="656"/>
      <c r="E406" s="656"/>
      <c r="F406" s="656"/>
      <c r="G406" s="656"/>
      <c r="H406" s="656"/>
      <c r="I406" s="656"/>
      <c r="J406" s="656"/>
      <c r="K406" s="656"/>
      <c r="L406" s="656"/>
      <c r="M406" s="656"/>
      <c r="N406" s="656"/>
      <c r="O406" s="657"/>
      <c r="P406" s="667" t="s">
        <v>72</v>
      </c>
      <c r="Q406" s="668"/>
      <c r="R406" s="668"/>
      <c r="S406" s="668"/>
      <c r="T406" s="668"/>
      <c r="U406" s="668"/>
      <c r="V406" s="669"/>
      <c r="W406" s="37" t="s">
        <v>67</v>
      </c>
      <c r="X406" s="643">
        <f>IFERROR(SUM(X402:X404),"0")</f>
        <v>0</v>
      </c>
      <c r="Y406" s="643">
        <f>IFERROR(SUM(Y402:Y404),"0")</f>
        <v>0</v>
      </c>
      <c r="Z406" s="37"/>
      <c r="AA406" s="644"/>
      <c r="AB406" s="644"/>
      <c r="AC406" s="644"/>
    </row>
    <row r="407" spans="1:68" ht="14.25" hidden="1" customHeight="1" x14ac:dyDescent="0.25">
      <c r="A407" s="672" t="s">
        <v>660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35"/>
      <c r="AB407" s="635"/>
      <c r="AC407" s="635"/>
    </row>
    <row r="408" spans="1:68" ht="27" customHeight="1" x14ac:dyDescent="0.25">
      <c r="A408" s="54" t="s">
        <v>661</v>
      </c>
      <c r="B408" s="54" t="s">
        <v>662</v>
      </c>
      <c r="C408" s="31">
        <v>4301220003</v>
      </c>
      <c r="D408" s="650">
        <v>4680115888678</v>
      </c>
      <c r="E408" s="651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4"/>
      <c r="V408" s="34"/>
      <c r="W408" s="35" t="s">
        <v>67</v>
      </c>
      <c r="X408" s="641">
        <v>77</v>
      </c>
      <c r="Y408" s="642">
        <f>IFERROR(IF(X408="",0,CEILING((X408/$H408),1)*$H408),"")</f>
        <v>78</v>
      </c>
      <c r="Z408" s="36">
        <f>IFERROR(IF(Y408=0,"",ROUNDUP(Y408/H408,0)*0.0045),"")</f>
        <v>0.11699999999999999</v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82.646666666666675</v>
      </c>
      <c r="BN408" s="64">
        <f>IFERROR(Y408*I408/H408,"0")</f>
        <v>83.720000000000013</v>
      </c>
      <c r="BO408" s="64">
        <f>IFERROR(1/J408*(X408/H408),"0")</f>
        <v>0.11458333333333333</v>
      </c>
      <c r="BP408" s="64">
        <f>IFERROR(1/J408*(Y408/H408),"0")</f>
        <v>0.11607142857142856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50">
        <v>4680115888654</v>
      </c>
      <c r="E409" s="651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1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667</v>
      </c>
      <c r="B410" s="54" t="s">
        <v>668</v>
      </c>
      <c r="C410" s="31">
        <v>4301220002</v>
      </c>
      <c r="D410" s="650">
        <v>4680115888753</v>
      </c>
      <c r="E410" s="651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99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4"/>
      <c r="V410" s="34"/>
      <c r="W410" s="35" t="s">
        <v>67</v>
      </c>
      <c r="X410" s="641">
        <v>75</v>
      </c>
      <c r="Y410" s="642">
        <f>IFERROR(IF(X410="",0,CEILING((X410/$H410),1)*$H410),"")</f>
        <v>75</v>
      </c>
      <c r="Z410" s="36">
        <f>IFERROR(IF(Y410=0,"",ROUNDUP(Y410/H410,0)*0.0045),"")</f>
        <v>0.11249999999999999</v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80.500000000000014</v>
      </c>
      <c r="BN410" s="64">
        <f>IFERROR(Y410*I410/H410,"0")</f>
        <v>80.500000000000014</v>
      </c>
      <c r="BO410" s="64">
        <f>IFERROR(1/J410*(X410/H410),"0")</f>
        <v>0.11160714285714285</v>
      </c>
      <c r="BP410" s="64">
        <f>IFERROR(1/J410*(Y410/H410),"0")</f>
        <v>0.11160714285714285</v>
      </c>
    </row>
    <row r="411" spans="1:68" x14ac:dyDescent="0.2">
      <c r="A411" s="655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67" t="s">
        <v>72</v>
      </c>
      <c r="Q411" s="668"/>
      <c r="R411" s="668"/>
      <c r="S411" s="668"/>
      <c r="T411" s="668"/>
      <c r="U411" s="668"/>
      <c r="V411" s="669"/>
      <c r="W411" s="37" t="s">
        <v>73</v>
      </c>
      <c r="X411" s="643">
        <f>IFERROR(X408/H408,"0")+IFERROR(X409/H409,"0")+IFERROR(X410/H410,"0")</f>
        <v>50.666666666666671</v>
      </c>
      <c r="Y411" s="643">
        <f>IFERROR(Y408/H408,"0")+IFERROR(Y409/H409,"0")+IFERROR(Y410/H410,"0")</f>
        <v>51</v>
      </c>
      <c r="Z411" s="643">
        <f>IFERROR(IF(Z408="",0,Z408),"0")+IFERROR(IF(Z409="",0,Z409),"0")+IFERROR(IF(Z410="",0,Z410),"0")</f>
        <v>0.22949999999999998</v>
      </c>
      <c r="AA411" s="644"/>
      <c r="AB411" s="644"/>
      <c r="AC411" s="644"/>
    </row>
    <row r="412" spans="1:68" x14ac:dyDescent="0.2">
      <c r="A412" s="656"/>
      <c r="B412" s="656"/>
      <c r="C412" s="656"/>
      <c r="D412" s="656"/>
      <c r="E412" s="656"/>
      <c r="F412" s="656"/>
      <c r="G412" s="656"/>
      <c r="H412" s="656"/>
      <c r="I412" s="656"/>
      <c r="J412" s="656"/>
      <c r="K412" s="656"/>
      <c r="L412" s="656"/>
      <c r="M412" s="656"/>
      <c r="N412" s="656"/>
      <c r="O412" s="657"/>
      <c r="P412" s="667" t="s">
        <v>72</v>
      </c>
      <c r="Q412" s="668"/>
      <c r="R412" s="668"/>
      <c r="S412" s="668"/>
      <c r="T412" s="668"/>
      <c r="U412" s="668"/>
      <c r="V412" s="669"/>
      <c r="W412" s="37" t="s">
        <v>67</v>
      </c>
      <c r="X412" s="643">
        <f>IFERROR(SUM(X408:X410),"0")</f>
        <v>152</v>
      </c>
      <c r="Y412" s="643">
        <f>IFERROR(SUM(Y408:Y410),"0")</f>
        <v>153</v>
      </c>
      <c r="Z412" s="37"/>
      <c r="AA412" s="644"/>
      <c r="AB412" s="644"/>
      <c r="AC412" s="644"/>
    </row>
    <row r="413" spans="1:68" ht="16.5" hidden="1" customHeight="1" x14ac:dyDescent="0.25">
      <c r="A413" s="666" t="s">
        <v>669</v>
      </c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6"/>
      <c r="P413" s="656"/>
      <c r="Q413" s="656"/>
      <c r="R413" s="656"/>
      <c r="S413" s="656"/>
      <c r="T413" s="656"/>
      <c r="U413" s="656"/>
      <c r="V413" s="656"/>
      <c r="W413" s="656"/>
      <c r="X413" s="656"/>
      <c r="Y413" s="656"/>
      <c r="Z413" s="656"/>
      <c r="AA413" s="636"/>
      <c r="AB413" s="636"/>
      <c r="AC413" s="636"/>
    </row>
    <row r="414" spans="1:68" ht="14.25" hidden="1" customHeight="1" x14ac:dyDescent="0.25">
      <c r="A414" s="672" t="s">
        <v>74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50">
        <v>4680115889415</v>
      </c>
      <c r="E415" s="651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8"/>
      <c r="R415" s="648"/>
      <c r="S415" s="648"/>
      <c r="T415" s="649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50">
        <v>4680115889422</v>
      </c>
      <c r="E416" s="651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5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67" t="s">
        <v>72</v>
      </c>
      <c r="Q417" s="668"/>
      <c r="R417" s="668"/>
      <c r="S417" s="668"/>
      <c r="T417" s="668"/>
      <c r="U417" s="668"/>
      <c r="V417" s="669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6"/>
      <c r="B418" s="656"/>
      <c r="C418" s="656"/>
      <c r="D418" s="656"/>
      <c r="E418" s="656"/>
      <c r="F418" s="656"/>
      <c r="G418" s="656"/>
      <c r="H418" s="656"/>
      <c r="I418" s="656"/>
      <c r="J418" s="656"/>
      <c r="K418" s="656"/>
      <c r="L418" s="656"/>
      <c r="M418" s="656"/>
      <c r="N418" s="656"/>
      <c r="O418" s="657"/>
      <c r="P418" s="667" t="s">
        <v>72</v>
      </c>
      <c r="Q418" s="668"/>
      <c r="R418" s="668"/>
      <c r="S418" s="668"/>
      <c r="T418" s="668"/>
      <c r="U418" s="668"/>
      <c r="V418" s="669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6" t="s">
        <v>676</v>
      </c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6"/>
      <c r="P419" s="656"/>
      <c r="Q419" s="656"/>
      <c r="R419" s="656"/>
      <c r="S419" s="656"/>
      <c r="T419" s="656"/>
      <c r="U419" s="656"/>
      <c r="V419" s="656"/>
      <c r="W419" s="656"/>
      <c r="X419" s="656"/>
      <c r="Y419" s="656"/>
      <c r="Z419" s="656"/>
      <c r="AA419" s="636"/>
      <c r="AB419" s="636"/>
      <c r="AC419" s="636"/>
    </row>
    <row r="420" spans="1:68" ht="14.25" hidden="1" customHeight="1" x14ac:dyDescent="0.25">
      <c r="A420" s="672" t="s">
        <v>74</v>
      </c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6"/>
      <c r="P420" s="656"/>
      <c r="Q420" s="656"/>
      <c r="R420" s="656"/>
      <c r="S420" s="656"/>
      <c r="T420" s="656"/>
      <c r="U420" s="656"/>
      <c r="V420" s="656"/>
      <c r="W420" s="656"/>
      <c r="X420" s="656"/>
      <c r="Y420" s="656"/>
      <c r="Z420" s="656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50">
        <v>4607091387919</v>
      </c>
      <c r="E421" s="651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8"/>
      <c r="R421" s="648"/>
      <c r="S421" s="648"/>
      <c r="T421" s="649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50">
        <v>4680115883604</v>
      </c>
      <c r="E422" s="651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8"/>
      <c r="R422" s="648"/>
      <c r="S422" s="648"/>
      <c r="T422" s="649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50">
        <v>4680115883567</v>
      </c>
      <c r="E423" s="651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67</v>
      </c>
      <c r="X423" s="641">
        <v>7</v>
      </c>
      <c r="Y423" s="642">
        <f>IFERROR(IF(X423="",0,CEILING((X423/$H423),1)*$H423),"")</f>
        <v>8.4</v>
      </c>
      <c r="Z423" s="36">
        <f>IFERROR(IF(Y423=0,"",ROUNDUP(Y423/H423,0)*0.00651),"")</f>
        <v>2.6040000000000001E-2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7.7999999999999989</v>
      </c>
      <c r="BN423" s="64">
        <f>IFERROR(Y423*I423/H423,"0")</f>
        <v>9.36</v>
      </c>
      <c r="BO423" s="64">
        <f>IFERROR(1/J423*(X423/H423),"0")</f>
        <v>1.8315018315018316E-2</v>
      </c>
      <c r="BP423" s="64">
        <f>IFERROR(1/J423*(Y423/H423),"0")</f>
        <v>2.197802197802198E-2</v>
      </c>
    </row>
    <row r="424" spans="1:68" x14ac:dyDescent="0.2">
      <c r="A424" s="655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67" t="s">
        <v>72</v>
      </c>
      <c r="Q424" s="668"/>
      <c r="R424" s="668"/>
      <c r="S424" s="668"/>
      <c r="T424" s="668"/>
      <c r="U424" s="668"/>
      <c r="V424" s="669"/>
      <c r="W424" s="37" t="s">
        <v>73</v>
      </c>
      <c r="X424" s="643">
        <f>IFERROR(X421/H421,"0")+IFERROR(X422/H422,"0")+IFERROR(X423/H423,"0")</f>
        <v>3.333333333333333</v>
      </c>
      <c r="Y424" s="643">
        <f>IFERROR(Y421/H421,"0")+IFERROR(Y422/H422,"0")+IFERROR(Y423/H423,"0")</f>
        <v>4</v>
      </c>
      <c r="Z424" s="643">
        <f>IFERROR(IF(Z421="",0,Z421),"0")+IFERROR(IF(Z422="",0,Z422),"0")+IFERROR(IF(Z423="",0,Z423),"0")</f>
        <v>2.6040000000000001E-2</v>
      </c>
      <c r="AA424" s="644"/>
      <c r="AB424" s="644"/>
      <c r="AC424" s="644"/>
    </row>
    <row r="425" spans="1:68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67" t="s">
        <v>72</v>
      </c>
      <c r="Q425" s="668"/>
      <c r="R425" s="668"/>
      <c r="S425" s="668"/>
      <c r="T425" s="668"/>
      <c r="U425" s="668"/>
      <c r="V425" s="669"/>
      <c r="W425" s="37" t="s">
        <v>67</v>
      </c>
      <c r="X425" s="643">
        <f>IFERROR(SUM(X421:X423),"0")</f>
        <v>7</v>
      </c>
      <c r="Y425" s="643">
        <f>IFERROR(SUM(Y421:Y423),"0")</f>
        <v>8.4</v>
      </c>
      <c r="Z425" s="37"/>
      <c r="AA425" s="644"/>
      <c r="AB425" s="644"/>
      <c r="AC425" s="644"/>
    </row>
    <row r="426" spans="1:68" ht="27.75" hidden="1" customHeight="1" x14ac:dyDescent="0.2">
      <c r="A426" s="664" t="s">
        <v>686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48"/>
      <c r="AB426" s="48"/>
      <c r="AC426" s="48"/>
    </row>
    <row r="427" spans="1:68" ht="16.5" hidden="1" customHeight="1" x14ac:dyDescent="0.25">
      <c r="A427" s="666" t="s">
        <v>687</v>
      </c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6"/>
      <c r="P427" s="656"/>
      <c r="Q427" s="656"/>
      <c r="R427" s="656"/>
      <c r="S427" s="656"/>
      <c r="T427" s="656"/>
      <c r="U427" s="656"/>
      <c r="V427" s="656"/>
      <c r="W427" s="656"/>
      <c r="X427" s="656"/>
      <c r="Y427" s="656"/>
      <c r="Z427" s="656"/>
      <c r="AA427" s="636"/>
      <c r="AB427" s="636"/>
      <c r="AC427" s="636"/>
    </row>
    <row r="428" spans="1:68" ht="14.25" hidden="1" customHeight="1" x14ac:dyDescent="0.25">
      <c r="A428" s="672" t="s">
        <v>111</v>
      </c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6"/>
      <c r="P428" s="656"/>
      <c r="Q428" s="656"/>
      <c r="R428" s="656"/>
      <c r="S428" s="656"/>
      <c r="T428" s="656"/>
      <c r="U428" s="656"/>
      <c r="V428" s="656"/>
      <c r="W428" s="656"/>
      <c r="X428" s="656"/>
      <c r="Y428" s="656"/>
      <c r="Z428" s="656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50">
        <v>4680115888401</v>
      </c>
      <c r="E429" s="651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7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8"/>
      <c r="R429" s="648"/>
      <c r="S429" s="648"/>
      <c r="T429" s="649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50">
        <v>4680115884847</v>
      </c>
      <c r="E430" s="651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67</v>
      </c>
      <c r="X430" s="641">
        <v>1030</v>
      </c>
      <c r="Y430" s="642">
        <f t="shared" si="68"/>
        <v>1035</v>
      </c>
      <c r="Z430" s="36">
        <f>IFERROR(IF(Y430=0,"",ROUNDUP(Y430/H430,0)*0.02175),"")</f>
        <v>1.5007499999999998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1062.2733333333333</v>
      </c>
      <c r="BN430" s="64">
        <f t="shared" si="70"/>
        <v>1067.43</v>
      </c>
      <c r="BO430" s="64">
        <f t="shared" si="71"/>
        <v>1.4305555555555556</v>
      </c>
      <c r="BP430" s="64">
        <f t="shared" si="72"/>
        <v>1.4375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50">
        <v>4680115884854</v>
      </c>
      <c r="E431" s="651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8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8"/>
      <c r="R431" s="648"/>
      <c r="S431" s="648"/>
      <c r="T431" s="649"/>
      <c r="U431" s="34"/>
      <c r="V431" s="34"/>
      <c r="W431" s="35" t="s">
        <v>67</v>
      </c>
      <c r="X431" s="641">
        <v>744</v>
      </c>
      <c r="Y431" s="642">
        <f t="shared" si="68"/>
        <v>750</v>
      </c>
      <c r="Z431" s="36">
        <f>IFERROR(IF(Y431=0,"",ROUNDUP(Y431/H431,0)*0.02175),"")</f>
        <v>1.0874999999999999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767.31200000000001</v>
      </c>
      <c r="BN431" s="64">
        <f t="shared" si="70"/>
        <v>773.5</v>
      </c>
      <c r="BO431" s="64">
        <f t="shared" si="71"/>
        <v>1.0333333333333332</v>
      </c>
      <c r="BP431" s="64">
        <f t="shared" si="72"/>
        <v>1.0416666666666665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50">
        <v>4680115884830</v>
      </c>
      <c r="E432" s="651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67</v>
      </c>
      <c r="X432" s="641">
        <v>584</v>
      </c>
      <c r="Y432" s="642">
        <f t="shared" si="68"/>
        <v>585</v>
      </c>
      <c r="Z432" s="36">
        <f>IFERROR(IF(Y432=0,"",ROUNDUP(Y432/H432,0)*0.02175),"")</f>
        <v>0.84824999999999995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602.29866666666669</v>
      </c>
      <c r="BN432" s="64">
        <f t="shared" si="70"/>
        <v>603.33000000000004</v>
      </c>
      <c r="BO432" s="64">
        <f t="shared" si="71"/>
        <v>0.81111111111111101</v>
      </c>
      <c r="BP432" s="64">
        <f t="shared" si="72"/>
        <v>0.8125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50">
        <v>4680115889231</v>
      </c>
      <c r="E433" s="651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8"/>
      <c r="R433" s="648"/>
      <c r="S433" s="648"/>
      <c r="T433" s="649"/>
      <c r="U433" s="34"/>
      <c r="V433" s="34"/>
      <c r="W433" s="35" t="s">
        <v>67</v>
      </c>
      <c r="X433" s="641">
        <v>563</v>
      </c>
      <c r="Y433" s="642">
        <f t="shared" si="68"/>
        <v>570</v>
      </c>
      <c r="Z433" s="36">
        <f>IFERROR(IF(Y433=0,"",ROUNDUP(Y433/H433,0)*0.02175),"")</f>
        <v>0.8264999999999999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580.64066666666668</v>
      </c>
      <c r="BN433" s="64">
        <f t="shared" si="70"/>
        <v>587.86</v>
      </c>
      <c r="BO433" s="64">
        <f t="shared" si="71"/>
        <v>0.78194444444444433</v>
      </c>
      <c r="BP433" s="64">
        <f t="shared" si="72"/>
        <v>0.79166666666666663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50">
        <v>4680115882638</v>
      </c>
      <c r="E434" s="651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7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8"/>
      <c r="R434" s="648"/>
      <c r="S434" s="648"/>
      <c r="T434" s="649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50">
        <v>4680115884922</v>
      </c>
      <c r="E435" s="651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8"/>
      <c r="R435" s="648"/>
      <c r="S435" s="648"/>
      <c r="T435" s="649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50">
        <v>4680115884861</v>
      </c>
      <c r="E436" s="651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8"/>
      <c r="R436" s="648"/>
      <c r="S436" s="648"/>
      <c r="T436" s="649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5"/>
      <c r="B437" s="656"/>
      <c r="C437" s="656"/>
      <c r="D437" s="656"/>
      <c r="E437" s="656"/>
      <c r="F437" s="656"/>
      <c r="G437" s="656"/>
      <c r="H437" s="656"/>
      <c r="I437" s="656"/>
      <c r="J437" s="656"/>
      <c r="K437" s="656"/>
      <c r="L437" s="656"/>
      <c r="M437" s="656"/>
      <c r="N437" s="656"/>
      <c r="O437" s="657"/>
      <c r="P437" s="667" t="s">
        <v>72</v>
      </c>
      <c r="Q437" s="668"/>
      <c r="R437" s="668"/>
      <c r="S437" s="668"/>
      <c r="T437" s="668"/>
      <c r="U437" s="668"/>
      <c r="V437" s="669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194.73333333333335</v>
      </c>
      <c r="Y437" s="643">
        <f>IFERROR(Y429/H429,"0")+IFERROR(Y430/H430,"0")+IFERROR(Y431/H431,"0")+IFERROR(Y432/H432,"0")+IFERROR(Y433/H433,"0")+IFERROR(Y434/H434,"0")+IFERROR(Y435/H435,"0")+IFERROR(Y436/H436,"0")</f>
        <v>196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4.2629999999999999</v>
      </c>
      <c r="AA437" s="644"/>
      <c r="AB437" s="644"/>
      <c r="AC437" s="644"/>
    </row>
    <row r="438" spans="1:68" x14ac:dyDescent="0.2">
      <c r="A438" s="656"/>
      <c r="B438" s="656"/>
      <c r="C438" s="656"/>
      <c r="D438" s="656"/>
      <c r="E438" s="656"/>
      <c r="F438" s="656"/>
      <c r="G438" s="656"/>
      <c r="H438" s="656"/>
      <c r="I438" s="656"/>
      <c r="J438" s="656"/>
      <c r="K438" s="656"/>
      <c r="L438" s="656"/>
      <c r="M438" s="656"/>
      <c r="N438" s="656"/>
      <c r="O438" s="657"/>
      <c r="P438" s="667" t="s">
        <v>72</v>
      </c>
      <c r="Q438" s="668"/>
      <c r="R438" s="668"/>
      <c r="S438" s="668"/>
      <c r="T438" s="668"/>
      <c r="U438" s="668"/>
      <c r="V438" s="669"/>
      <c r="W438" s="37" t="s">
        <v>67</v>
      </c>
      <c r="X438" s="643">
        <f>IFERROR(SUM(X429:X436),"0")</f>
        <v>2921</v>
      </c>
      <c r="Y438" s="643">
        <f>IFERROR(SUM(Y429:Y436),"0")</f>
        <v>2940</v>
      </c>
      <c r="Z438" s="37"/>
      <c r="AA438" s="644"/>
      <c r="AB438" s="644"/>
      <c r="AC438" s="644"/>
    </row>
    <row r="439" spans="1:68" ht="14.25" hidden="1" customHeight="1" x14ac:dyDescent="0.25">
      <c r="A439" s="672" t="s">
        <v>146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50">
        <v>4607091383980</v>
      </c>
      <c r="E440" s="651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8"/>
      <c r="R440" s="648"/>
      <c r="S440" s="648"/>
      <c r="T440" s="649"/>
      <c r="U440" s="34"/>
      <c r="V440" s="34"/>
      <c r="W440" s="35" t="s">
        <v>67</v>
      </c>
      <c r="X440" s="641">
        <v>464</v>
      </c>
      <c r="Y440" s="642">
        <f>IFERROR(IF(X440="",0,CEILING((X440/$H440),1)*$H440),"")</f>
        <v>465</v>
      </c>
      <c r="Z440" s="36">
        <f>IFERROR(IF(Y440=0,"",ROUNDUP(Y440/H440,0)*0.02175),"")</f>
        <v>0.6742499999999999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478.53866666666664</v>
      </c>
      <c r="BN440" s="64">
        <f>IFERROR(Y440*I440/H440,"0")</f>
        <v>479.57</v>
      </c>
      <c r="BO440" s="64">
        <f>IFERROR(1/J440*(X440/H440),"0")</f>
        <v>0.64444444444444438</v>
      </c>
      <c r="BP440" s="64">
        <f>IFERROR(1/J440*(Y440/H440),"0")</f>
        <v>0.64583333333333326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50">
        <v>4680115888425</v>
      </c>
      <c r="E441" s="651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8"/>
      <c r="R441" s="648"/>
      <c r="S441" s="648"/>
      <c r="T441" s="649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50">
        <v>4607091384178</v>
      </c>
      <c r="E442" s="651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8"/>
      <c r="R442" s="648"/>
      <c r="S442" s="648"/>
      <c r="T442" s="649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5"/>
      <c r="B443" s="656"/>
      <c r="C443" s="656"/>
      <c r="D443" s="656"/>
      <c r="E443" s="656"/>
      <c r="F443" s="656"/>
      <c r="G443" s="656"/>
      <c r="H443" s="656"/>
      <c r="I443" s="656"/>
      <c r="J443" s="656"/>
      <c r="K443" s="656"/>
      <c r="L443" s="656"/>
      <c r="M443" s="656"/>
      <c r="N443" s="656"/>
      <c r="O443" s="657"/>
      <c r="P443" s="667" t="s">
        <v>72</v>
      </c>
      <c r="Q443" s="668"/>
      <c r="R443" s="668"/>
      <c r="S443" s="668"/>
      <c r="T443" s="668"/>
      <c r="U443" s="668"/>
      <c r="V443" s="669"/>
      <c r="W443" s="37" t="s">
        <v>73</v>
      </c>
      <c r="X443" s="643">
        <f>IFERROR(X440/H440,"0")+IFERROR(X441/H441,"0")+IFERROR(X442/H442,"0")</f>
        <v>30.933333333333334</v>
      </c>
      <c r="Y443" s="643">
        <f>IFERROR(Y440/H440,"0")+IFERROR(Y441/H441,"0")+IFERROR(Y442/H442,"0")</f>
        <v>31</v>
      </c>
      <c r="Z443" s="643">
        <f>IFERROR(IF(Z440="",0,Z440),"0")+IFERROR(IF(Z441="",0,Z441),"0")+IFERROR(IF(Z442="",0,Z442),"0")</f>
        <v>0.6742499999999999</v>
      </c>
      <c r="AA443" s="644"/>
      <c r="AB443" s="644"/>
      <c r="AC443" s="644"/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67" t="s">
        <v>72</v>
      </c>
      <c r="Q444" s="668"/>
      <c r="R444" s="668"/>
      <c r="S444" s="668"/>
      <c r="T444" s="668"/>
      <c r="U444" s="668"/>
      <c r="V444" s="669"/>
      <c r="W444" s="37" t="s">
        <v>67</v>
      </c>
      <c r="X444" s="643">
        <f>IFERROR(SUM(X440:X442),"0")</f>
        <v>464</v>
      </c>
      <c r="Y444" s="643">
        <f>IFERROR(SUM(Y440:Y442),"0")</f>
        <v>465</v>
      </c>
      <c r="Z444" s="37"/>
      <c r="AA444" s="644"/>
      <c r="AB444" s="644"/>
      <c r="AC444" s="644"/>
    </row>
    <row r="445" spans="1:68" ht="14.25" hidden="1" customHeight="1" x14ac:dyDescent="0.25">
      <c r="A445" s="672" t="s">
        <v>74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50">
        <v>4607091383928</v>
      </c>
      <c r="E446" s="651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8"/>
      <c r="R446" s="648"/>
      <c r="S446" s="648"/>
      <c r="T446" s="649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724</v>
      </c>
      <c r="B447" s="54" t="s">
        <v>725</v>
      </c>
      <c r="C447" s="31">
        <v>4301051897</v>
      </c>
      <c r="D447" s="650">
        <v>4607091384260</v>
      </c>
      <c r="E447" s="651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9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67</v>
      </c>
      <c r="X447" s="641">
        <v>54</v>
      </c>
      <c r="Y447" s="642">
        <f>IFERROR(IF(X447="",0,CEILING((X447/$H447),1)*$H447),"")</f>
        <v>54</v>
      </c>
      <c r="Z447" s="36">
        <f>IFERROR(IF(Y447=0,"",ROUNDUP(Y447/H447,0)*0.01898),"")</f>
        <v>0.11388000000000001</v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56.963999999999992</v>
      </c>
      <c r="BN447" s="64">
        <f>IFERROR(Y447*I447/H447,"0")</f>
        <v>56.963999999999992</v>
      </c>
      <c r="BO447" s="64">
        <f>IFERROR(1/J447*(X447/H447),"0")</f>
        <v>9.375E-2</v>
      </c>
      <c r="BP447" s="64">
        <f>IFERROR(1/J447*(Y447/H447),"0")</f>
        <v>9.375E-2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50">
        <v>4680115889538</v>
      </c>
      <c r="E448" s="651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x14ac:dyDescent="0.2">
      <c r="A449" s="655"/>
      <c r="B449" s="656"/>
      <c r="C449" s="656"/>
      <c r="D449" s="656"/>
      <c r="E449" s="656"/>
      <c r="F449" s="656"/>
      <c r="G449" s="656"/>
      <c r="H449" s="656"/>
      <c r="I449" s="656"/>
      <c r="J449" s="656"/>
      <c r="K449" s="656"/>
      <c r="L449" s="656"/>
      <c r="M449" s="656"/>
      <c r="N449" s="656"/>
      <c r="O449" s="657"/>
      <c r="P449" s="667" t="s">
        <v>72</v>
      </c>
      <c r="Q449" s="668"/>
      <c r="R449" s="668"/>
      <c r="S449" s="668"/>
      <c r="T449" s="668"/>
      <c r="U449" s="668"/>
      <c r="V449" s="669"/>
      <c r="W449" s="37" t="s">
        <v>73</v>
      </c>
      <c r="X449" s="643">
        <f>IFERROR(X446/H446,"0")+IFERROR(X447/H447,"0")+IFERROR(X448/H448,"0")</f>
        <v>6</v>
      </c>
      <c r="Y449" s="643">
        <f>IFERROR(Y446/H446,"0")+IFERROR(Y447/H447,"0")+IFERROR(Y448/H448,"0")</f>
        <v>6</v>
      </c>
      <c r="Z449" s="643">
        <f>IFERROR(IF(Z446="",0,Z446),"0")+IFERROR(IF(Z447="",0,Z447),"0")+IFERROR(IF(Z448="",0,Z448),"0")</f>
        <v>0.11388000000000001</v>
      </c>
      <c r="AA449" s="644"/>
      <c r="AB449" s="644"/>
      <c r="AC449" s="644"/>
    </row>
    <row r="450" spans="1:68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67" t="s">
        <v>72</v>
      </c>
      <c r="Q450" s="668"/>
      <c r="R450" s="668"/>
      <c r="S450" s="668"/>
      <c r="T450" s="668"/>
      <c r="U450" s="668"/>
      <c r="V450" s="669"/>
      <c r="W450" s="37" t="s">
        <v>67</v>
      </c>
      <c r="X450" s="643">
        <f>IFERROR(SUM(X446:X448),"0")</f>
        <v>54</v>
      </c>
      <c r="Y450" s="643">
        <f>IFERROR(SUM(Y446:Y448),"0")</f>
        <v>54</v>
      </c>
      <c r="Z450" s="37"/>
      <c r="AA450" s="644"/>
      <c r="AB450" s="644"/>
      <c r="AC450" s="644"/>
    </row>
    <row r="451" spans="1:68" ht="14.25" hidden="1" customHeight="1" x14ac:dyDescent="0.25">
      <c r="A451" s="672" t="s">
        <v>164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50">
        <v>4680115889545</v>
      </c>
      <c r="E452" s="651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8"/>
      <c r="R452" s="648"/>
      <c r="S452" s="648"/>
      <c r="T452" s="649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50">
        <v>4607091384673</v>
      </c>
      <c r="E453" s="651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8"/>
      <c r="R453" s="648"/>
      <c r="S453" s="648"/>
      <c r="T453" s="649"/>
      <c r="U453" s="34"/>
      <c r="V453" s="34"/>
      <c r="W453" s="35" t="s">
        <v>67</v>
      </c>
      <c r="X453" s="641">
        <v>30</v>
      </c>
      <c r="Y453" s="642">
        <f>IFERROR(IF(X453="",0,CEILING((X453/$H453),1)*$H453),"")</f>
        <v>36</v>
      </c>
      <c r="Z453" s="36">
        <f>IFERROR(IF(Y453=0,"",ROUNDUP(Y453/H453,0)*0.01898),"")</f>
        <v>7.5920000000000001E-2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31.646666666666665</v>
      </c>
      <c r="BN453" s="64">
        <f>IFERROR(Y453*I453/H453,"0")</f>
        <v>37.975999999999999</v>
      </c>
      <c r="BO453" s="64">
        <f>IFERROR(1/J453*(X453/H453),"0")</f>
        <v>5.2083333333333336E-2</v>
      </c>
      <c r="BP453" s="64">
        <f>IFERROR(1/J453*(Y453/H453),"0")</f>
        <v>6.25E-2</v>
      </c>
    </row>
    <row r="454" spans="1:68" x14ac:dyDescent="0.2">
      <c r="A454" s="655"/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7"/>
      <c r="P454" s="667" t="s">
        <v>72</v>
      </c>
      <c r="Q454" s="668"/>
      <c r="R454" s="668"/>
      <c r="S454" s="668"/>
      <c r="T454" s="668"/>
      <c r="U454" s="668"/>
      <c r="V454" s="669"/>
      <c r="W454" s="37" t="s">
        <v>73</v>
      </c>
      <c r="X454" s="643">
        <f>IFERROR(X452/H452,"0")+IFERROR(X453/H453,"0")</f>
        <v>3.3333333333333335</v>
      </c>
      <c r="Y454" s="643">
        <f>IFERROR(Y452/H452,"0")+IFERROR(Y453/H453,"0")</f>
        <v>4</v>
      </c>
      <c r="Z454" s="643">
        <f>IFERROR(IF(Z452="",0,Z452),"0")+IFERROR(IF(Z453="",0,Z453),"0")</f>
        <v>7.5920000000000001E-2</v>
      </c>
      <c r="AA454" s="644"/>
      <c r="AB454" s="644"/>
      <c r="AC454" s="644"/>
    </row>
    <row r="455" spans="1:68" x14ac:dyDescent="0.2">
      <c r="A455" s="656"/>
      <c r="B455" s="656"/>
      <c r="C455" s="656"/>
      <c r="D455" s="656"/>
      <c r="E455" s="656"/>
      <c r="F455" s="656"/>
      <c r="G455" s="656"/>
      <c r="H455" s="656"/>
      <c r="I455" s="656"/>
      <c r="J455" s="656"/>
      <c r="K455" s="656"/>
      <c r="L455" s="656"/>
      <c r="M455" s="656"/>
      <c r="N455" s="656"/>
      <c r="O455" s="657"/>
      <c r="P455" s="667" t="s">
        <v>72</v>
      </c>
      <c r="Q455" s="668"/>
      <c r="R455" s="668"/>
      <c r="S455" s="668"/>
      <c r="T455" s="668"/>
      <c r="U455" s="668"/>
      <c r="V455" s="669"/>
      <c r="W455" s="37" t="s">
        <v>67</v>
      </c>
      <c r="X455" s="643">
        <f>IFERROR(SUM(X452:X453),"0")</f>
        <v>30</v>
      </c>
      <c r="Y455" s="643">
        <f>IFERROR(SUM(Y452:Y453),"0")</f>
        <v>36</v>
      </c>
      <c r="Z455" s="37"/>
      <c r="AA455" s="644"/>
      <c r="AB455" s="644"/>
      <c r="AC455" s="644"/>
    </row>
    <row r="456" spans="1:68" ht="16.5" hidden="1" customHeight="1" x14ac:dyDescent="0.25">
      <c r="A456" s="666" t="s">
        <v>736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36"/>
      <c r="AB456" s="636"/>
      <c r="AC456" s="636"/>
    </row>
    <row r="457" spans="1:68" ht="14.25" hidden="1" customHeight="1" x14ac:dyDescent="0.25">
      <c r="A457" s="672" t="s">
        <v>111</v>
      </c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6"/>
      <c r="P457" s="656"/>
      <c r="Q457" s="656"/>
      <c r="R457" s="656"/>
      <c r="S457" s="656"/>
      <c r="T457" s="656"/>
      <c r="U457" s="656"/>
      <c r="V457" s="656"/>
      <c r="W457" s="656"/>
      <c r="X457" s="656"/>
      <c r="Y457" s="656"/>
      <c r="Z457" s="656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50">
        <v>4680115884885</v>
      </c>
      <c r="E458" s="651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8"/>
      <c r="R458" s="648"/>
      <c r="S458" s="648"/>
      <c r="T458" s="649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50">
        <v>4680115884908</v>
      </c>
      <c r="E459" s="651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10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8"/>
      <c r="R459" s="648"/>
      <c r="S459" s="648"/>
      <c r="T459" s="649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5"/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7"/>
      <c r="P460" s="667" t="s">
        <v>72</v>
      </c>
      <c r="Q460" s="668"/>
      <c r="R460" s="668"/>
      <c r="S460" s="668"/>
      <c r="T460" s="668"/>
      <c r="U460" s="668"/>
      <c r="V460" s="669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67" t="s">
        <v>72</v>
      </c>
      <c r="Q461" s="668"/>
      <c r="R461" s="668"/>
      <c r="S461" s="668"/>
      <c r="T461" s="668"/>
      <c r="U461" s="668"/>
      <c r="V461" s="669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2" t="s">
        <v>62</v>
      </c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6"/>
      <c r="P462" s="656"/>
      <c r="Q462" s="656"/>
      <c r="R462" s="656"/>
      <c r="S462" s="656"/>
      <c r="T462" s="656"/>
      <c r="U462" s="656"/>
      <c r="V462" s="656"/>
      <c r="W462" s="656"/>
      <c r="X462" s="656"/>
      <c r="Y462" s="656"/>
      <c r="Z462" s="656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50">
        <v>4607091384802</v>
      </c>
      <c r="E463" s="651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8"/>
      <c r="R463" s="648"/>
      <c r="S463" s="648"/>
      <c r="T463" s="649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5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67" t="s">
        <v>72</v>
      </c>
      <c r="Q464" s="668"/>
      <c r="R464" s="668"/>
      <c r="S464" s="668"/>
      <c r="T464" s="668"/>
      <c r="U464" s="668"/>
      <c r="V464" s="669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6"/>
      <c r="B465" s="656"/>
      <c r="C465" s="656"/>
      <c r="D465" s="656"/>
      <c r="E465" s="656"/>
      <c r="F465" s="656"/>
      <c r="G465" s="656"/>
      <c r="H465" s="656"/>
      <c r="I465" s="656"/>
      <c r="J465" s="656"/>
      <c r="K465" s="656"/>
      <c r="L465" s="656"/>
      <c r="M465" s="656"/>
      <c r="N465" s="656"/>
      <c r="O465" s="657"/>
      <c r="P465" s="667" t="s">
        <v>72</v>
      </c>
      <c r="Q465" s="668"/>
      <c r="R465" s="668"/>
      <c r="S465" s="668"/>
      <c r="T465" s="668"/>
      <c r="U465" s="668"/>
      <c r="V465" s="669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2" t="s">
        <v>74</v>
      </c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6"/>
      <c r="P466" s="656"/>
      <c r="Q466" s="656"/>
      <c r="R466" s="656"/>
      <c r="S466" s="656"/>
      <c r="T466" s="656"/>
      <c r="U466" s="656"/>
      <c r="V466" s="656"/>
      <c r="W466" s="656"/>
      <c r="X466" s="656"/>
      <c r="Y466" s="656"/>
      <c r="Z466" s="656"/>
      <c r="AA466" s="635"/>
      <c r="AB466" s="635"/>
      <c r="AC466" s="635"/>
    </row>
    <row r="467" spans="1:68" ht="27" hidden="1" customHeight="1" x14ac:dyDescent="0.25">
      <c r="A467" s="54" t="s">
        <v>745</v>
      </c>
      <c r="B467" s="54" t="s">
        <v>746</v>
      </c>
      <c r="C467" s="31">
        <v>4301051899</v>
      </c>
      <c r="D467" s="650">
        <v>4607091384246</v>
      </c>
      <c r="E467" s="651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8"/>
      <c r="R467" s="648"/>
      <c r="S467" s="648"/>
      <c r="T467" s="649"/>
      <c r="U467" s="34"/>
      <c r="V467" s="34"/>
      <c r="W467" s="35" t="s">
        <v>67</v>
      </c>
      <c r="X467" s="641">
        <v>0</v>
      </c>
      <c r="Y467" s="642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50">
        <v>4607091384253</v>
      </c>
      <c r="E468" s="651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67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8"/>
      <c r="R468" s="648"/>
      <c r="S468" s="648"/>
      <c r="T468" s="649"/>
      <c r="U468" s="34"/>
      <c r="V468" s="34"/>
      <c r="W468" s="35" t="s">
        <v>67</v>
      </c>
      <c r="X468" s="641">
        <v>12</v>
      </c>
      <c r="Y468" s="642">
        <f>IFERROR(IF(X468="",0,CEILING((X468/$H468),1)*$H468),"")</f>
        <v>12</v>
      </c>
      <c r="Z468" s="36">
        <f>IFERROR(IF(Y468=0,"",ROUNDUP(Y468/H468,0)*0.00651),"")</f>
        <v>3.2550000000000003E-2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13.320000000000002</v>
      </c>
      <c r="BN468" s="64">
        <f>IFERROR(Y468*I468/H468,"0")</f>
        <v>13.320000000000002</v>
      </c>
      <c r="BO468" s="64">
        <f>IFERROR(1/J468*(X468/H468),"0")</f>
        <v>2.7472527472527476E-2</v>
      </c>
      <c r="BP468" s="64">
        <f>IFERROR(1/J468*(Y468/H468),"0")</f>
        <v>2.7472527472527476E-2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50">
        <v>4607091384253</v>
      </c>
      <c r="E469" s="651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98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8"/>
      <c r="R469" s="648"/>
      <c r="S469" s="648"/>
      <c r="T469" s="649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5"/>
      <c r="B470" s="656"/>
      <c r="C470" s="656"/>
      <c r="D470" s="656"/>
      <c r="E470" s="656"/>
      <c r="F470" s="656"/>
      <c r="G470" s="656"/>
      <c r="H470" s="656"/>
      <c r="I470" s="656"/>
      <c r="J470" s="656"/>
      <c r="K470" s="656"/>
      <c r="L470" s="656"/>
      <c r="M470" s="656"/>
      <c r="N470" s="656"/>
      <c r="O470" s="657"/>
      <c r="P470" s="667" t="s">
        <v>72</v>
      </c>
      <c r="Q470" s="668"/>
      <c r="R470" s="668"/>
      <c r="S470" s="668"/>
      <c r="T470" s="668"/>
      <c r="U470" s="668"/>
      <c r="V470" s="669"/>
      <c r="W470" s="37" t="s">
        <v>73</v>
      </c>
      <c r="X470" s="643">
        <f>IFERROR(X467/H467,"0")+IFERROR(X468/H468,"0")+IFERROR(X469/H469,"0")</f>
        <v>5</v>
      </c>
      <c r="Y470" s="643">
        <f>IFERROR(Y467/H467,"0")+IFERROR(Y468/H468,"0")+IFERROR(Y469/H469,"0")</f>
        <v>5</v>
      </c>
      <c r="Z470" s="643">
        <f>IFERROR(IF(Z467="",0,Z467),"0")+IFERROR(IF(Z468="",0,Z468),"0")+IFERROR(IF(Z469="",0,Z469),"0")</f>
        <v>3.2550000000000003E-2</v>
      </c>
      <c r="AA470" s="644"/>
      <c r="AB470" s="644"/>
      <c r="AC470" s="644"/>
    </row>
    <row r="471" spans="1:68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67" t="s">
        <v>72</v>
      </c>
      <c r="Q471" s="668"/>
      <c r="R471" s="668"/>
      <c r="S471" s="668"/>
      <c r="T471" s="668"/>
      <c r="U471" s="668"/>
      <c r="V471" s="669"/>
      <c r="W471" s="37" t="s">
        <v>67</v>
      </c>
      <c r="X471" s="643">
        <f>IFERROR(SUM(X467:X469),"0")</f>
        <v>12</v>
      </c>
      <c r="Y471" s="643">
        <f>IFERROR(SUM(Y467:Y469),"0")</f>
        <v>12</v>
      </c>
      <c r="Z471" s="37"/>
      <c r="AA471" s="644"/>
      <c r="AB471" s="644"/>
      <c r="AC471" s="644"/>
    </row>
    <row r="472" spans="1:68" ht="27.75" hidden="1" customHeight="1" x14ac:dyDescent="0.2">
      <c r="A472" s="664" t="s">
        <v>752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48"/>
      <c r="AB472" s="48"/>
      <c r="AC472" s="48"/>
    </row>
    <row r="473" spans="1:68" ht="16.5" hidden="1" customHeight="1" x14ac:dyDescent="0.25">
      <c r="A473" s="666" t="s">
        <v>753</v>
      </c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6"/>
      <c r="P473" s="656"/>
      <c r="Q473" s="656"/>
      <c r="R473" s="656"/>
      <c r="S473" s="656"/>
      <c r="T473" s="656"/>
      <c r="U473" s="656"/>
      <c r="V473" s="656"/>
      <c r="W473" s="656"/>
      <c r="X473" s="656"/>
      <c r="Y473" s="656"/>
      <c r="Z473" s="656"/>
      <c r="AA473" s="636"/>
      <c r="AB473" s="636"/>
      <c r="AC473" s="636"/>
    </row>
    <row r="474" spans="1:68" ht="14.25" hidden="1" customHeight="1" x14ac:dyDescent="0.25">
      <c r="A474" s="672" t="s">
        <v>62</v>
      </c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6"/>
      <c r="P474" s="656"/>
      <c r="Q474" s="656"/>
      <c r="R474" s="656"/>
      <c r="S474" s="656"/>
      <c r="T474" s="656"/>
      <c r="U474" s="656"/>
      <c r="V474" s="656"/>
      <c r="W474" s="656"/>
      <c r="X474" s="656"/>
      <c r="Y474" s="656"/>
      <c r="Z474" s="656"/>
      <c r="AA474" s="635"/>
      <c r="AB474" s="635"/>
      <c r="AC474" s="635"/>
    </row>
    <row r="475" spans="1:68" ht="27" customHeight="1" x14ac:dyDescent="0.25">
      <c r="A475" s="54" t="s">
        <v>754</v>
      </c>
      <c r="B475" s="54" t="s">
        <v>755</v>
      </c>
      <c r="C475" s="31">
        <v>4301031405</v>
      </c>
      <c r="D475" s="650">
        <v>4680115886100</v>
      </c>
      <c r="E475" s="651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8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8"/>
      <c r="R475" s="648"/>
      <c r="S475" s="648"/>
      <c r="T475" s="649"/>
      <c r="U475" s="34"/>
      <c r="V475" s="34"/>
      <c r="W475" s="35" t="s">
        <v>67</v>
      </c>
      <c r="X475" s="641">
        <v>40</v>
      </c>
      <c r="Y475" s="642">
        <f t="shared" ref="Y475:Y480" si="73">IFERROR(IF(X475="",0,CEILING((X475/$H475),1)*$H475),"")</f>
        <v>43.2</v>
      </c>
      <c r="Z475" s="36">
        <f>IFERROR(IF(Y475=0,"",ROUNDUP(Y475/H475,0)*0.00902),"")</f>
        <v>7.2160000000000002E-2</v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41.407407407407405</v>
      </c>
      <c r="BN475" s="64">
        <f t="shared" ref="BN475:BN480" si="75">IFERROR(Y475*I475/H475,"0")</f>
        <v>44.72</v>
      </c>
      <c r="BO475" s="64">
        <f t="shared" ref="BO475:BO480" si="76">IFERROR(1/J475*(X475/H475),"0")</f>
        <v>5.6116722783389444E-2</v>
      </c>
      <c r="BP475" s="64">
        <f t="shared" ref="BP475:BP480" si="77">IFERROR(1/J475*(Y475/H475),"0")</f>
        <v>6.0606060606060608E-2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50">
        <v>4680115886124</v>
      </c>
      <c r="E476" s="651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50">
        <v>4607091384338</v>
      </c>
      <c r="E477" s="651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8"/>
      <c r="R477" s="648"/>
      <c r="S477" s="648"/>
      <c r="T477" s="649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50">
        <v>4680115883161</v>
      </c>
      <c r="E478" s="651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4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8"/>
      <c r="R478" s="648"/>
      <c r="S478" s="648"/>
      <c r="T478" s="649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50">
        <v>4607091389531</v>
      </c>
      <c r="E479" s="651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8"/>
      <c r="R479" s="648"/>
      <c r="S479" s="648"/>
      <c r="T479" s="649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50">
        <v>4607091384345</v>
      </c>
      <c r="E480" s="651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2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8"/>
      <c r="R480" s="648"/>
      <c r="S480" s="648"/>
      <c r="T480" s="649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x14ac:dyDescent="0.2">
      <c r="A481" s="655"/>
      <c r="B481" s="656"/>
      <c r="C481" s="656"/>
      <c r="D481" s="656"/>
      <c r="E481" s="656"/>
      <c r="F481" s="656"/>
      <c r="G481" s="656"/>
      <c r="H481" s="656"/>
      <c r="I481" s="656"/>
      <c r="J481" s="656"/>
      <c r="K481" s="656"/>
      <c r="L481" s="656"/>
      <c r="M481" s="656"/>
      <c r="N481" s="656"/>
      <c r="O481" s="657"/>
      <c r="P481" s="667" t="s">
        <v>72</v>
      </c>
      <c r="Q481" s="668"/>
      <c r="R481" s="668"/>
      <c r="S481" s="668"/>
      <c r="T481" s="668"/>
      <c r="U481" s="668"/>
      <c r="V481" s="669"/>
      <c r="W481" s="37" t="s">
        <v>73</v>
      </c>
      <c r="X481" s="643">
        <f>IFERROR(X475/H475,"0")+IFERROR(X476/H476,"0")+IFERROR(X477/H477,"0")+IFERROR(X478/H478,"0")+IFERROR(X479/H479,"0")+IFERROR(X480/H480,"0")</f>
        <v>7.4074074074074066</v>
      </c>
      <c r="Y481" s="643">
        <f>IFERROR(Y475/H475,"0")+IFERROR(Y476/H476,"0")+IFERROR(Y477/H477,"0")+IFERROR(Y478/H478,"0")+IFERROR(Y479/H479,"0")+IFERROR(Y480/H480,"0")</f>
        <v>8</v>
      </c>
      <c r="Z481" s="643">
        <f>IFERROR(IF(Z475="",0,Z475),"0")+IFERROR(IF(Z476="",0,Z476),"0")+IFERROR(IF(Z477="",0,Z477),"0")+IFERROR(IF(Z478="",0,Z478),"0")+IFERROR(IF(Z479="",0,Z479),"0")+IFERROR(IF(Z480="",0,Z480),"0")</f>
        <v>7.2160000000000002E-2</v>
      </c>
      <c r="AA481" s="644"/>
      <c r="AB481" s="644"/>
      <c r="AC481" s="644"/>
    </row>
    <row r="482" spans="1:68" x14ac:dyDescent="0.2">
      <c r="A482" s="656"/>
      <c r="B482" s="656"/>
      <c r="C482" s="656"/>
      <c r="D482" s="656"/>
      <c r="E482" s="656"/>
      <c r="F482" s="656"/>
      <c r="G482" s="656"/>
      <c r="H482" s="656"/>
      <c r="I482" s="656"/>
      <c r="J482" s="656"/>
      <c r="K482" s="656"/>
      <c r="L482" s="656"/>
      <c r="M482" s="656"/>
      <c r="N482" s="656"/>
      <c r="O482" s="657"/>
      <c r="P482" s="667" t="s">
        <v>72</v>
      </c>
      <c r="Q482" s="668"/>
      <c r="R482" s="668"/>
      <c r="S482" s="668"/>
      <c r="T482" s="668"/>
      <c r="U482" s="668"/>
      <c r="V482" s="669"/>
      <c r="W482" s="37" t="s">
        <v>67</v>
      </c>
      <c r="X482" s="643">
        <f>IFERROR(SUM(X475:X480),"0")</f>
        <v>40</v>
      </c>
      <c r="Y482" s="643">
        <f>IFERROR(SUM(Y475:Y480),"0")</f>
        <v>43.2</v>
      </c>
      <c r="Z482" s="37"/>
      <c r="AA482" s="644"/>
      <c r="AB482" s="644"/>
      <c r="AC482" s="644"/>
    </row>
    <row r="483" spans="1:68" ht="14.25" hidden="1" customHeight="1" x14ac:dyDescent="0.25">
      <c r="A483" s="672" t="s">
        <v>74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50">
        <v>4607091384352</v>
      </c>
      <c r="E484" s="651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8"/>
      <c r="R484" s="648"/>
      <c r="S484" s="648"/>
      <c r="T484" s="649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50">
        <v>4607091389654</v>
      </c>
      <c r="E485" s="651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8"/>
      <c r="R485" s="648"/>
      <c r="S485" s="648"/>
      <c r="T485" s="649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5"/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7"/>
      <c r="P486" s="667" t="s">
        <v>72</v>
      </c>
      <c r="Q486" s="668"/>
      <c r="R486" s="668"/>
      <c r="S486" s="668"/>
      <c r="T486" s="668"/>
      <c r="U486" s="668"/>
      <c r="V486" s="669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6"/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7"/>
      <c r="P487" s="667" t="s">
        <v>72</v>
      </c>
      <c r="Q487" s="668"/>
      <c r="R487" s="668"/>
      <c r="S487" s="668"/>
      <c r="T487" s="668"/>
      <c r="U487" s="668"/>
      <c r="V487" s="669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6" t="s">
        <v>776</v>
      </c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6"/>
      <c r="P488" s="656"/>
      <c r="Q488" s="656"/>
      <c r="R488" s="656"/>
      <c r="S488" s="656"/>
      <c r="T488" s="656"/>
      <c r="U488" s="656"/>
      <c r="V488" s="656"/>
      <c r="W488" s="656"/>
      <c r="X488" s="656"/>
      <c r="Y488" s="656"/>
      <c r="Z488" s="656"/>
      <c r="AA488" s="636"/>
      <c r="AB488" s="636"/>
      <c r="AC488" s="636"/>
    </row>
    <row r="489" spans="1:68" ht="14.25" hidden="1" customHeight="1" x14ac:dyDescent="0.25">
      <c r="A489" s="672" t="s">
        <v>146</v>
      </c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6"/>
      <c r="P489" s="656"/>
      <c r="Q489" s="656"/>
      <c r="R489" s="656"/>
      <c r="S489" s="656"/>
      <c r="T489" s="656"/>
      <c r="U489" s="656"/>
      <c r="V489" s="656"/>
      <c r="W489" s="656"/>
      <c r="X489" s="656"/>
      <c r="Y489" s="656"/>
      <c r="Z489" s="656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50">
        <v>4680115885240</v>
      </c>
      <c r="E490" s="651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8"/>
      <c r="R490" s="648"/>
      <c r="S490" s="648"/>
      <c r="T490" s="649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5"/>
      <c r="B491" s="656"/>
      <c r="C491" s="656"/>
      <c r="D491" s="656"/>
      <c r="E491" s="656"/>
      <c r="F491" s="656"/>
      <c r="G491" s="656"/>
      <c r="H491" s="656"/>
      <c r="I491" s="656"/>
      <c r="J491" s="656"/>
      <c r="K491" s="656"/>
      <c r="L491" s="656"/>
      <c r="M491" s="656"/>
      <c r="N491" s="656"/>
      <c r="O491" s="657"/>
      <c r="P491" s="667" t="s">
        <v>72</v>
      </c>
      <c r="Q491" s="668"/>
      <c r="R491" s="668"/>
      <c r="S491" s="668"/>
      <c r="T491" s="668"/>
      <c r="U491" s="668"/>
      <c r="V491" s="669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67" t="s">
        <v>72</v>
      </c>
      <c r="Q492" s="668"/>
      <c r="R492" s="668"/>
      <c r="S492" s="668"/>
      <c r="T492" s="668"/>
      <c r="U492" s="668"/>
      <c r="V492" s="669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2" t="s">
        <v>62</v>
      </c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6"/>
      <c r="P493" s="656"/>
      <c r="Q493" s="656"/>
      <c r="R493" s="656"/>
      <c r="S493" s="656"/>
      <c r="T493" s="656"/>
      <c r="U493" s="656"/>
      <c r="V493" s="656"/>
      <c r="W493" s="656"/>
      <c r="X493" s="656"/>
      <c r="Y493" s="656"/>
      <c r="Z493" s="656"/>
      <c r="AA493" s="635"/>
      <c r="AB493" s="635"/>
      <c r="AC493" s="635"/>
    </row>
    <row r="494" spans="1:68" ht="27" customHeight="1" x14ac:dyDescent="0.25">
      <c r="A494" s="54" t="s">
        <v>780</v>
      </c>
      <c r="B494" s="54" t="s">
        <v>781</v>
      </c>
      <c r="C494" s="31">
        <v>4301031407</v>
      </c>
      <c r="D494" s="650">
        <v>4680115886094</v>
      </c>
      <c r="E494" s="651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8"/>
      <c r="R494" s="648"/>
      <c r="S494" s="648"/>
      <c r="T494" s="649"/>
      <c r="U494" s="34"/>
      <c r="V494" s="34"/>
      <c r="W494" s="35" t="s">
        <v>67</v>
      </c>
      <c r="X494" s="641">
        <v>150</v>
      </c>
      <c r="Y494" s="642">
        <f>IFERROR(IF(X494="",0,CEILING((X494/$H494),1)*$H494),"")</f>
        <v>151.20000000000002</v>
      </c>
      <c r="Z494" s="36">
        <f>IFERROR(IF(Y494=0,"",ROUNDUP(Y494/H494,0)*0.00902),"")</f>
        <v>0.25256000000000001</v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155.27777777777777</v>
      </c>
      <c r="BN494" s="64">
        <f>IFERROR(Y494*I494/H494,"0")</f>
        <v>156.52000000000001</v>
      </c>
      <c r="BO494" s="64">
        <f>IFERROR(1/J494*(X494/H494),"0")</f>
        <v>0.21043771043771042</v>
      </c>
      <c r="BP494" s="64">
        <f>IFERROR(1/J494*(Y494/H494),"0")</f>
        <v>0.21212121212121213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50">
        <v>4680115880771</v>
      </c>
      <c r="E495" s="651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8"/>
      <c r="R495" s="648"/>
      <c r="S495" s="648"/>
      <c r="T495" s="649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50">
        <v>4607091389500</v>
      </c>
      <c r="E496" s="651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8"/>
      <c r="R496" s="648"/>
      <c r="S496" s="648"/>
      <c r="T496" s="649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x14ac:dyDescent="0.2">
      <c r="A497" s="655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67" t="s">
        <v>72</v>
      </c>
      <c r="Q497" s="668"/>
      <c r="R497" s="668"/>
      <c r="S497" s="668"/>
      <c r="T497" s="668"/>
      <c r="U497" s="668"/>
      <c r="V497" s="669"/>
      <c r="W497" s="37" t="s">
        <v>73</v>
      </c>
      <c r="X497" s="643">
        <f>IFERROR(X494/H494,"0")+IFERROR(X495/H495,"0")+IFERROR(X496/H496,"0")</f>
        <v>27.777777777777775</v>
      </c>
      <c r="Y497" s="643">
        <f>IFERROR(Y494/H494,"0")+IFERROR(Y495/H495,"0")+IFERROR(Y496/H496,"0")</f>
        <v>28</v>
      </c>
      <c r="Z497" s="643">
        <f>IFERROR(IF(Z494="",0,Z494),"0")+IFERROR(IF(Z495="",0,Z495),"0")+IFERROR(IF(Z496="",0,Z496),"0")</f>
        <v>0.25256000000000001</v>
      </c>
      <c r="AA497" s="644"/>
      <c r="AB497" s="644"/>
      <c r="AC497" s="644"/>
    </row>
    <row r="498" spans="1:68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67" t="s">
        <v>72</v>
      </c>
      <c r="Q498" s="668"/>
      <c r="R498" s="668"/>
      <c r="S498" s="668"/>
      <c r="T498" s="668"/>
      <c r="U498" s="668"/>
      <c r="V498" s="669"/>
      <c r="W498" s="37" t="s">
        <v>67</v>
      </c>
      <c r="X498" s="643">
        <f>IFERROR(SUM(X494:X496),"0")</f>
        <v>150</v>
      </c>
      <c r="Y498" s="643">
        <f>IFERROR(SUM(Y494:Y496),"0")</f>
        <v>151.20000000000002</v>
      </c>
      <c r="Z498" s="37"/>
      <c r="AA498" s="644"/>
      <c r="AB498" s="644"/>
      <c r="AC498" s="644"/>
    </row>
    <row r="499" spans="1:68" ht="27.75" hidden="1" customHeight="1" x14ac:dyDescent="0.2">
      <c r="A499" s="664" t="s">
        <v>788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48"/>
      <c r="AB499" s="48"/>
      <c r="AC499" s="48"/>
    </row>
    <row r="500" spans="1:68" ht="16.5" hidden="1" customHeight="1" x14ac:dyDescent="0.25">
      <c r="A500" s="666" t="s">
        <v>788</v>
      </c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6"/>
      <c r="P500" s="656"/>
      <c r="Q500" s="656"/>
      <c r="R500" s="656"/>
      <c r="S500" s="656"/>
      <c r="T500" s="656"/>
      <c r="U500" s="656"/>
      <c r="V500" s="656"/>
      <c r="W500" s="656"/>
      <c r="X500" s="656"/>
      <c r="Y500" s="656"/>
      <c r="Z500" s="656"/>
      <c r="AA500" s="636"/>
      <c r="AB500" s="636"/>
      <c r="AC500" s="636"/>
    </row>
    <row r="501" spans="1:68" ht="14.25" hidden="1" customHeight="1" x14ac:dyDescent="0.25">
      <c r="A501" s="672" t="s">
        <v>111</v>
      </c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6"/>
      <c r="P501" s="656"/>
      <c r="Q501" s="656"/>
      <c r="R501" s="656"/>
      <c r="S501" s="656"/>
      <c r="T501" s="656"/>
      <c r="U501" s="656"/>
      <c r="V501" s="656"/>
      <c r="W501" s="656"/>
      <c r="X501" s="656"/>
      <c r="Y501" s="656"/>
      <c r="Z501" s="656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50">
        <v>4607091389067</v>
      </c>
      <c r="E502" s="651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8"/>
      <c r="R502" s="648"/>
      <c r="S502" s="648"/>
      <c r="T502" s="649"/>
      <c r="U502" s="34"/>
      <c r="V502" s="34"/>
      <c r="W502" s="35" t="s">
        <v>67</v>
      </c>
      <c r="X502" s="641">
        <v>103</v>
      </c>
      <c r="Y502" s="642">
        <f t="shared" ref="Y502:Y510" si="78">IFERROR(IF(X502="",0,CEILING((X502/$H502),1)*$H502),"")</f>
        <v>105.60000000000001</v>
      </c>
      <c r="Z502" s="36">
        <f t="shared" ref="Z502:Z507" si="79">IFERROR(IF(Y502=0,"",ROUNDUP(Y502/H502,0)*0.01196),"")</f>
        <v>0.2392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109.8276515151515</v>
      </c>
      <c r="BN502" s="64">
        <f t="shared" ref="BN502:BN510" si="81">IFERROR(Y502*I502/H502,"0")</f>
        <v>112.6</v>
      </c>
      <c r="BO502" s="64">
        <f t="shared" ref="BO502:BO510" si="82">IFERROR(1/J502*(X502/H502),"0")</f>
        <v>0.18757284382284384</v>
      </c>
      <c r="BP502" s="64">
        <f t="shared" ref="BP502:BP510" si="83">IFERROR(1/J502*(Y502/H502),"0")</f>
        <v>0.19230769230769232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50">
        <v>4680115889576</v>
      </c>
      <c r="E503" s="651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10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8"/>
      <c r="R503" s="648"/>
      <c r="S503" s="648"/>
      <c r="T503" s="649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50">
        <v>4680115885271</v>
      </c>
      <c r="E504" s="651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8"/>
      <c r="R504" s="648"/>
      <c r="S504" s="648"/>
      <c r="T504" s="649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4301011369</v>
      </c>
      <c r="D505" s="650">
        <v>4680115885226</v>
      </c>
      <c r="E505" s="651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91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8"/>
      <c r="R505" s="648"/>
      <c r="S505" s="648"/>
      <c r="T505" s="649"/>
      <c r="U505" s="34"/>
      <c r="V505" s="34"/>
      <c r="W505" s="35" t="s">
        <v>67</v>
      </c>
      <c r="X505" s="641">
        <v>0</v>
      </c>
      <c r="Y505" s="642">
        <f t="shared" si="78"/>
        <v>0</v>
      </c>
      <c r="Z505" s="36" t="str">
        <f t="shared" si="79"/>
        <v/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50">
        <v>4680115884502</v>
      </c>
      <c r="E506" s="651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8"/>
      <c r="R506" s="648"/>
      <c r="S506" s="648"/>
      <c r="T506" s="649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50">
        <v>4607091389104</v>
      </c>
      <c r="E507" s="651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91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8"/>
      <c r="R507" s="648"/>
      <c r="S507" s="648"/>
      <c r="T507" s="649"/>
      <c r="U507" s="34"/>
      <c r="V507" s="34"/>
      <c r="W507" s="35" t="s">
        <v>67</v>
      </c>
      <c r="X507" s="641">
        <v>236</v>
      </c>
      <c r="Y507" s="642">
        <f t="shared" si="78"/>
        <v>237.60000000000002</v>
      </c>
      <c r="Z507" s="36">
        <f t="shared" si="79"/>
        <v>0.53820000000000001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251.64393939393941</v>
      </c>
      <c r="BN507" s="64">
        <f t="shared" si="81"/>
        <v>253.35</v>
      </c>
      <c r="BO507" s="64">
        <f t="shared" si="82"/>
        <v>0.42977855477855481</v>
      </c>
      <c r="BP507" s="64">
        <f t="shared" si="83"/>
        <v>0.43269230769230771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50">
        <v>4680115886391</v>
      </c>
      <c r="E508" s="651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8"/>
      <c r="R508" s="648"/>
      <c r="S508" s="648"/>
      <c r="T508" s="649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50">
        <v>4680115880603</v>
      </c>
      <c r="E509" s="651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8"/>
      <c r="R509" s="648"/>
      <c r="S509" s="648"/>
      <c r="T509" s="649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50">
        <v>4607091389982</v>
      </c>
      <c r="E510" s="651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8"/>
      <c r="R510" s="648"/>
      <c r="S510" s="648"/>
      <c r="T510" s="649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5"/>
      <c r="B511" s="656"/>
      <c r="C511" s="656"/>
      <c r="D511" s="656"/>
      <c r="E511" s="656"/>
      <c r="F511" s="656"/>
      <c r="G511" s="656"/>
      <c r="H511" s="656"/>
      <c r="I511" s="656"/>
      <c r="J511" s="656"/>
      <c r="K511" s="656"/>
      <c r="L511" s="656"/>
      <c r="M511" s="656"/>
      <c r="N511" s="656"/>
      <c r="O511" s="657"/>
      <c r="P511" s="667" t="s">
        <v>72</v>
      </c>
      <c r="Q511" s="668"/>
      <c r="R511" s="668"/>
      <c r="S511" s="668"/>
      <c r="T511" s="668"/>
      <c r="U511" s="668"/>
      <c r="V511" s="669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64.204545454545453</v>
      </c>
      <c r="Y511" s="643">
        <f>IFERROR(Y502/H502,"0")+IFERROR(Y503/H503,"0")+IFERROR(Y504/H504,"0")+IFERROR(Y505/H505,"0")+IFERROR(Y506/H506,"0")+IFERROR(Y507/H507,"0")+IFERROR(Y508/H508,"0")+IFERROR(Y509/H509,"0")+IFERROR(Y510/H510,"0")</f>
        <v>65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0.77739999999999998</v>
      </c>
      <c r="AA511" s="644"/>
      <c r="AB511" s="644"/>
      <c r="AC511" s="644"/>
    </row>
    <row r="512" spans="1:68" x14ac:dyDescent="0.2">
      <c r="A512" s="656"/>
      <c r="B512" s="656"/>
      <c r="C512" s="656"/>
      <c r="D512" s="656"/>
      <c r="E512" s="656"/>
      <c r="F512" s="656"/>
      <c r="G512" s="656"/>
      <c r="H512" s="656"/>
      <c r="I512" s="656"/>
      <c r="J512" s="656"/>
      <c r="K512" s="656"/>
      <c r="L512" s="656"/>
      <c r="M512" s="656"/>
      <c r="N512" s="656"/>
      <c r="O512" s="657"/>
      <c r="P512" s="667" t="s">
        <v>72</v>
      </c>
      <c r="Q512" s="668"/>
      <c r="R512" s="668"/>
      <c r="S512" s="668"/>
      <c r="T512" s="668"/>
      <c r="U512" s="668"/>
      <c r="V512" s="669"/>
      <c r="W512" s="37" t="s">
        <v>67</v>
      </c>
      <c r="X512" s="643">
        <f>IFERROR(SUM(X502:X510),"0")</f>
        <v>339</v>
      </c>
      <c r="Y512" s="643">
        <f>IFERROR(SUM(Y502:Y510),"0")</f>
        <v>343.20000000000005</v>
      </c>
      <c r="Z512" s="37"/>
      <c r="AA512" s="644"/>
      <c r="AB512" s="644"/>
      <c r="AC512" s="644"/>
    </row>
    <row r="513" spans="1:68" ht="14.25" hidden="1" customHeight="1" x14ac:dyDescent="0.25">
      <c r="A513" s="672" t="s">
        <v>146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35"/>
      <c r="AB513" s="635"/>
      <c r="AC513" s="635"/>
    </row>
    <row r="514" spans="1:68" ht="16.5" hidden="1" customHeight="1" x14ac:dyDescent="0.25">
      <c r="A514" s="54" t="s">
        <v>812</v>
      </c>
      <c r="B514" s="54" t="s">
        <v>813</v>
      </c>
      <c r="C514" s="31">
        <v>4301020334</v>
      </c>
      <c r="D514" s="650">
        <v>4607091388930</v>
      </c>
      <c r="E514" s="651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1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8"/>
      <c r="R514" s="648"/>
      <c r="S514" s="648"/>
      <c r="T514" s="649"/>
      <c r="U514" s="34"/>
      <c r="V514" s="34"/>
      <c r="W514" s="35" t="s">
        <v>67</v>
      </c>
      <c r="X514" s="641">
        <v>0</v>
      </c>
      <c r="Y514" s="642">
        <f>IFERROR(IF(X514="",0,CEILING((X514/$H514),1)*$H514),"")</f>
        <v>0</v>
      </c>
      <c r="Z514" s="36" t="str">
        <f>IFERROR(IF(Y514=0,"",ROUNDUP(Y514/H514,0)*0.01196),"")</f>
        <v/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50">
        <v>4680115886407</v>
      </c>
      <c r="E515" s="651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8"/>
      <c r="R515" s="648"/>
      <c r="S515" s="648"/>
      <c r="T515" s="649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50">
        <v>4680115880054</v>
      </c>
      <c r="E516" s="651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8"/>
      <c r="R516" s="648"/>
      <c r="S516" s="648"/>
      <c r="T516" s="649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idden="1" x14ac:dyDescent="0.2">
      <c r="A517" s="655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67" t="s">
        <v>72</v>
      </c>
      <c r="Q517" s="668"/>
      <c r="R517" s="668"/>
      <c r="S517" s="668"/>
      <c r="T517" s="668"/>
      <c r="U517" s="668"/>
      <c r="V517" s="669"/>
      <c r="W517" s="37" t="s">
        <v>73</v>
      </c>
      <c r="X517" s="643">
        <f>IFERROR(X514/H514,"0")+IFERROR(X515/H515,"0")+IFERROR(X516/H516,"0")</f>
        <v>0</v>
      </c>
      <c r="Y517" s="643">
        <f>IFERROR(Y514/H514,"0")+IFERROR(Y515/H515,"0")+IFERROR(Y516/H516,"0")</f>
        <v>0</v>
      </c>
      <c r="Z517" s="643">
        <f>IFERROR(IF(Z514="",0,Z514),"0")+IFERROR(IF(Z515="",0,Z515),"0")+IFERROR(IF(Z516="",0,Z516),"0")</f>
        <v>0</v>
      </c>
      <c r="AA517" s="644"/>
      <c r="AB517" s="644"/>
      <c r="AC517" s="644"/>
    </row>
    <row r="518" spans="1:68" hidden="1" x14ac:dyDescent="0.2">
      <c r="A518" s="656"/>
      <c r="B518" s="656"/>
      <c r="C518" s="656"/>
      <c r="D518" s="656"/>
      <c r="E518" s="656"/>
      <c r="F518" s="656"/>
      <c r="G518" s="656"/>
      <c r="H518" s="656"/>
      <c r="I518" s="656"/>
      <c r="J518" s="656"/>
      <c r="K518" s="656"/>
      <c r="L518" s="656"/>
      <c r="M518" s="656"/>
      <c r="N518" s="656"/>
      <c r="O518" s="657"/>
      <c r="P518" s="667" t="s">
        <v>72</v>
      </c>
      <c r="Q518" s="668"/>
      <c r="R518" s="668"/>
      <c r="S518" s="668"/>
      <c r="T518" s="668"/>
      <c r="U518" s="668"/>
      <c r="V518" s="669"/>
      <c r="W518" s="37" t="s">
        <v>67</v>
      </c>
      <c r="X518" s="643">
        <f>IFERROR(SUM(X514:X516),"0")</f>
        <v>0</v>
      </c>
      <c r="Y518" s="643">
        <f>IFERROR(SUM(Y514:Y516),"0")</f>
        <v>0</v>
      </c>
      <c r="Z518" s="37"/>
      <c r="AA518" s="644"/>
      <c r="AB518" s="644"/>
      <c r="AC518" s="644"/>
    </row>
    <row r="519" spans="1:68" ht="14.25" hidden="1" customHeight="1" x14ac:dyDescent="0.25">
      <c r="A519" s="672" t="s">
        <v>62</v>
      </c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6"/>
      <c r="P519" s="656"/>
      <c r="Q519" s="656"/>
      <c r="R519" s="656"/>
      <c r="S519" s="656"/>
      <c r="T519" s="656"/>
      <c r="U519" s="656"/>
      <c r="V519" s="656"/>
      <c r="W519" s="656"/>
      <c r="X519" s="656"/>
      <c r="Y519" s="656"/>
      <c r="Z519" s="656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50">
        <v>4680115883116</v>
      </c>
      <c r="E520" s="651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8"/>
      <c r="R520" s="648"/>
      <c r="S520" s="648"/>
      <c r="T520" s="649"/>
      <c r="U520" s="34"/>
      <c r="V520" s="34"/>
      <c r="W520" s="35" t="s">
        <v>67</v>
      </c>
      <c r="X520" s="641">
        <v>207</v>
      </c>
      <c r="Y520" s="642">
        <f t="shared" ref="Y520:Y526" si="84">IFERROR(IF(X520="",0,CEILING((X520/$H520),1)*$H520),"")</f>
        <v>211.20000000000002</v>
      </c>
      <c r="Z520" s="36">
        <f>IFERROR(IF(Y520=0,"",ROUNDUP(Y520/H520,0)*0.01196),"")</f>
        <v>0.47839999999999999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220.72159090909091</v>
      </c>
      <c r="BN520" s="64">
        <f t="shared" ref="BN520:BN526" si="86">IFERROR(Y520*I520/H520,"0")</f>
        <v>225.2</v>
      </c>
      <c r="BO520" s="64">
        <f t="shared" ref="BO520:BO526" si="87">IFERROR(1/J520*(X520/H520),"0")</f>
        <v>0.37696678321678323</v>
      </c>
      <c r="BP520" s="64">
        <f t="shared" ref="BP520:BP526" si="88">IFERROR(1/J520*(Y520/H520),"0")</f>
        <v>0.38461538461538464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50">
        <v>4680115883093</v>
      </c>
      <c r="E521" s="651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8"/>
      <c r="R521" s="648"/>
      <c r="S521" s="648"/>
      <c r="T521" s="649"/>
      <c r="U521" s="34"/>
      <c r="V521" s="34"/>
      <c r="W521" s="35" t="s">
        <v>67</v>
      </c>
      <c r="X521" s="641">
        <v>350</v>
      </c>
      <c r="Y521" s="642">
        <f t="shared" si="84"/>
        <v>353.76</v>
      </c>
      <c r="Z521" s="36">
        <f>IFERROR(IF(Y521=0,"",ROUNDUP(Y521/H521,0)*0.01196),"")</f>
        <v>0.80132000000000003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373.20075757575756</v>
      </c>
      <c r="BN521" s="64">
        <f t="shared" si="86"/>
        <v>377.21</v>
      </c>
      <c r="BO521" s="64">
        <f t="shared" si="87"/>
        <v>0.63738344988344986</v>
      </c>
      <c r="BP521" s="64">
        <f t="shared" si="88"/>
        <v>0.64423076923076927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50">
        <v>4680115883109</v>
      </c>
      <c r="E522" s="651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8"/>
      <c r="R522" s="648"/>
      <c r="S522" s="648"/>
      <c r="T522" s="649"/>
      <c r="U522" s="34"/>
      <c r="V522" s="34"/>
      <c r="W522" s="35" t="s">
        <v>67</v>
      </c>
      <c r="X522" s="641">
        <v>150</v>
      </c>
      <c r="Y522" s="642">
        <f t="shared" si="84"/>
        <v>153.12</v>
      </c>
      <c r="Z522" s="36">
        <f>IFERROR(IF(Y522=0,"",ROUNDUP(Y522/H522,0)*0.01196),"")</f>
        <v>0.34683999999999998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159.94318181818181</v>
      </c>
      <c r="BN522" s="64">
        <f t="shared" si="86"/>
        <v>163.26999999999998</v>
      </c>
      <c r="BO522" s="64">
        <f t="shared" si="87"/>
        <v>0.27316433566433568</v>
      </c>
      <c r="BP522" s="64">
        <f t="shared" si="88"/>
        <v>0.27884615384615385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50">
        <v>4680115882072</v>
      </c>
      <c r="E523" s="651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8"/>
      <c r="R523" s="648"/>
      <c r="S523" s="648"/>
      <c r="T523" s="649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50">
        <v>4680115882102</v>
      </c>
      <c r="E524" s="651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7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8"/>
      <c r="R524" s="648"/>
      <c r="S524" s="648"/>
      <c r="T524" s="649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50">
        <v>4680115882102</v>
      </c>
      <c r="E525" s="651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8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50">
        <v>4680115882096</v>
      </c>
      <c r="E526" s="651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101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5"/>
      <c r="B527" s="656"/>
      <c r="C527" s="656"/>
      <c r="D527" s="656"/>
      <c r="E527" s="656"/>
      <c r="F527" s="656"/>
      <c r="G527" s="656"/>
      <c r="H527" s="656"/>
      <c r="I527" s="656"/>
      <c r="J527" s="656"/>
      <c r="K527" s="656"/>
      <c r="L527" s="656"/>
      <c r="M527" s="656"/>
      <c r="N527" s="656"/>
      <c r="O527" s="657"/>
      <c r="P527" s="667" t="s">
        <v>72</v>
      </c>
      <c r="Q527" s="668"/>
      <c r="R527" s="668"/>
      <c r="S527" s="668"/>
      <c r="T527" s="668"/>
      <c r="U527" s="668"/>
      <c r="V527" s="669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133.90151515151513</v>
      </c>
      <c r="Y527" s="643">
        <f>IFERROR(Y520/H520,"0")+IFERROR(Y521/H521,"0")+IFERROR(Y522/H522,"0")+IFERROR(Y523/H523,"0")+IFERROR(Y524/H524,"0")+IFERROR(Y525/H525,"0")+IFERROR(Y526/H526,"0")</f>
        <v>136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1.62656</v>
      </c>
      <c r="AA527" s="644"/>
      <c r="AB527" s="644"/>
      <c r="AC527" s="644"/>
    </row>
    <row r="528" spans="1:68" x14ac:dyDescent="0.2">
      <c r="A528" s="656"/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7"/>
      <c r="P528" s="667" t="s">
        <v>72</v>
      </c>
      <c r="Q528" s="668"/>
      <c r="R528" s="668"/>
      <c r="S528" s="668"/>
      <c r="T528" s="668"/>
      <c r="U528" s="668"/>
      <c r="V528" s="669"/>
      <c r="W528" s="37" t="s">
        <v>67</v>
      </c>
      <c r="X528" s="643">
        <f>IFERROR(SUM(X520:X526),"0")</f>
        <v>707</v>
      </c>
      <c r="Y528" s="643">
        <f>IFERROR(SUM(Y520:Y526),"0")</f>
        <v>718.08</v>
      </c>
      <c r="Z528" s="37"/>
      <c r="AA528" s="644"/>
      <c r="AB528" s="644"/>
      <c r="AC528" s="644"/>
    </row>
    <row r="529" spans="1:68" ht="27.75" hidden="1" customHeight="1" x14ac:dyDescent="0.2">
      <c r="A529" s="664" t="s">
        <v>835</v>
      </c>
      <c r="B529" s="665"/>
      <c r="C529" s="665"/>
      <c r="D529" s="665"/>
      <c r="E529" s="665"/>
      <c r="F529" s="665"/>
      <c r="G529" s="665"/>
      <c r="H529" s="665"/>
      <c r="I529" s="665"/>
      <c r="J529" s="665"/>
      <c r="K529" s="665"/>
      <c r="L529" s="665"/>
      <c r="M529" s="665"/>
      <c r="N529" s="665"/>
      <c r="O529" s="665"/>
      <c r="P529" s="665"/>
      <c r="Q529" s="665"/>
      <c r="R529" s="665"/>
      <c r="S529" s="665"/>
      <c r="T529" s="665"/>
      <c r="U529" s="665"/>
      <c r="V529" s="665"/>
      <c r="W529" s="665"/>
      <c r="X529" s="665"/>
      <c r="Y529" s="665"/>
      <c r="Z529" s="665"/>
      <c r="AA529" s="48"/>
      <c r="AB529" s="48"/>
      <c r="AC529" s="48"/>
    </row>
    <row r="530" spans="1:68" ht="16.5" hidden="1" customHeight="1" x14ac:dyDescent="0.25">
      <c r="A530" s="666" t="s">
        <v>835</v>
      </c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6"/>
      <c r="P530" s="656"/>
      <c r="Q530" s="656"/>
      <c r="R530" s="656"/>
      <c r="S530" s="656"/>
      <c r="T530" s="656"/>
      <c r="U530" s="656"/>
      <c r="V530" s="656"/>
      <c r="W530" s="656"/>
      <c r="X530" s="656"/>
      <c r="Y530" s="656"/>
      <c r="Z530" s="656"/>
      <c r="AA530" s="636"/>
      <c r="AB530" s="636"/>
      <c r="AC530" s="636"/>
    </row>
    <row r="531" spans="1:68" ht="14.25" hidden="1" customHeight="1" x14ac:dyDescent="0.25">
      <c r="A531" s="672" t="s">
        <v>111</v>
      </c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6"/>
      <c r="P531" s="656"/>
      <c r="Q531" s="656"/>
      <c r="R531" s="656"/>
      <c r="S531" s="656"/>
      <c r="T531" s="656"/>
      <c r="U531" s="656"/>
      <c r="V531" s="656"/>
      <c r="W531" s="656"/>
      <c r="X531" s="656"/>
      <c r="Y531" s="656"/>
      <c r="Z531" s="656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50">
        <v>4640242180564</v>
      </c>
      <c r="E532" s="651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8"/>
      <c r="R532" s="648"/>
      <c r="S532" s="648"/>
      <c r="T532" s="649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5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67" t="s">
        <v>72</v>
      </c>
      <c r="Q533" s="668"/>
      <c r="R533" s="668"/>
      <c r="S533" s="668"/>
      <c r="T533" s="668"/>
      <c r="U533" s="668"/>
      <c r="V533" s="669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67" t="s">
        <v>72</v>
      </c>
      <c r="Q534" s="668"/>
      <c r="R534" s="668"/>
      <c r="S534" s="668"/>
      <c r="T534" s="668"/>
      <c r="U534" s="668"/>
      <c r="V534" s="669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2" t="s">
        <v>146</v>
      </c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6"/>
      <c r="P535" s="656"/>
      <c r="Q535" s="656"/>
      <c r="R535" s="656"/>
      <c r="S535" s="656"/>
      <c r="T535" s="656"/>
      <c r="U535" s="656"/>
      <c r="V535" s="656"/>
      <c r="W535" s="656"/>
      <c r="X535" s="656"/>
      <c r="Y535" s="656"/>
      <c r="Z535" s="656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50">
        <v>4640242180519</v>
      </c>
      <c r="E536" s="651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8"/>
      <c r="R536" s="648"/>
      <c r="S536" s="648"/>
      <c r="T536" s="649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5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67" t="s">
        <v>72</v>
      </c>
      <c r="Q537" s="668"/>
      <c r="R537" s="668"/>
      <c r="S537" s="668"/>
      <c r="T537" s="668"/>
      <c r="U537" s="668"/>
      <c r="V537" s="669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67" t="s">
        <v>72</v>
      </c>
      <c r="Q538" s="668"/>
      <c r="R538" s="668"/>
      <c r="S538" s="668"/>
      <c r="T538" s="668"/>
      <c r="U538" s="668"/>
      <c r="V538" s="669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2" t="s">
        <v>62</v>
      </c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6"/>
      <c r="P539" s="656"/>
      <c r="Q539" s="656"/>
      <c r="R539" s="656"/>
      <c r="S539" s="656"/>
      <c r="T539" s="656"/>
      <c r="U539" s="656"/>
      <c r="V539" s="656"/>
      <c r="W539" s="656"/>
      <c r="X539" s="656"/>
      <c r="Y539" s="656"/>
      <c r="Z539" s="656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50">
        <v>4640242180595</v>
      </c>
      <c r="E540" s="651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4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8"/>
      <c r="R540" s="648"/>
      <c r="S540" s="648"/>
      <c r="T540" s="649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5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67" t="s">
        <v>72</v>
      </c>
      <c r="Q541" s="668"/>
      <c r="R541" s="668"/>
      <c r="S541" s="668"/>
      <c r="T541" s="668"/>
      <c r="U541" s="668"/>
      <c r="V541" s="669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67" t="s">
        <v>72</v>
      </c>
      <c r="Q542" s="668"/>
      <c r="R542" s="668"/>
      <c r="S542" s="668"/>
      <c r="T542" s="668"/>
      <c r="U542" s="668"/>
      <c r="V542" s="669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2" t="s">
        <v>74</v>
      </c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6"/>
      <c r="P543" s="656"/>
      <c r="Q543" s="656"/>
      <c r="R543" s="656"/>
      <c r="S543" s="656"/>
      <c r="T543" s="656"/>
      <c r="U543" s="656"/>
      <c r="V543" s="656"/>
      <c r="W543" s="656"/>
      <c r="X543" s="656"/>
      <c r="Y543" s="656"/>
      <c r="Z543" s="656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50">
        <v>4640242180533</v>
      </c>
      <c r="E544" s="651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8"/>
      <c r="R544" s="648"/>
      <c r="S544" s="648"/>
      <c r="T544" s="649"/>
      <c r="U544" s="34"/>
      <c r="V544" s="34"/>
      <c r="W544" s="35" t="s">
        <v>67</v>
      </c>
      <c r="X544" s="641">
        <v>40</v>
      </c>
      <c r="Y544" s="642">
        <f>IFERROR(IF(X544="",0,CEILING((X544/$H544),1)*$H544),"")</f>
        <v>45</v>
      </c>
      <c r="Z544" s="36">
        <f>IFERROR(IF(Y544=0,"",ROUNDUP(Y544/H544,0)*0.01898),"")</f>
        <v>9.4899999999999998E-2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42.195555555555558</v>
      </c>
      <c r="BN544" s="64">
        <f>IFERROR(Y544*I544/H544,"0")</f>
        <v>47.47</v>
      </c>
      <c r="BO544" s="64">
        <f>IFERROR(1/J544*(X544/H544),"0")</f>
        <v>6.9444444444444448E-2</v>
      </c>
      <c r="BP544" s="64">
        <f>IFERROR(1/J544*(Y544/H544),"0")</f>
        <v>7.8125E-2</v>
      </c>
    </row>
    <row r="545" spans="1:68" x14ac:dyDescent="0.2">
      <c r="A545" s="655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67" t="s">
        <v>72</v>
      </c>
      <c r="Q545" s="668"/>
      <c r="R545" s="668"/>
      <c r="S545" s="668"/>
      <c r="T545" s="668"/>
      <c r="U545" s="668"/>
      <c r="V545" s="669"/>
      <c r="W545" s="37" t="s">
        <v>73</v>
      </c>
      <c r="X545" s="643">
        <f>IFERROR(X544/H544,"0")</f>
        <v>4.4444444444444446</v>
      </c>
      <c r="Y545" s="643">
        <f>IFERROR(Y544/H544,"0")</f>
        <v>5</v>
      </c>
      <c r="Z545" s="643">
        <f>IFERROR(IF(Z544="",0,Z544),"0")</f>
        <v>9.4899999999999998E-2</v>
      </c>
      <c r="AA545" s="644"/>
      <c r="AB545" s="644"/>
      <c r="AC545" s="644"/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67" t="s">
        <v>72</v>
      </c>
      <c r="Q546" s="668"/>
      <c r="R546" s="668"/>
      <c r="S546" s="668"/>
      <c r="T546" s="668"/>
      <c r="U546" s="668"/>
      <c r="V546" s="669"/>
      <c r="W546" s="37" t="s">
        <v>67</v>
      </c>
      <c r="X546" s="643">
        <f>IFERROR(SUM(X544:X544),"0")</f>
        <v>40</v>
      </c>
      <c r="Y546" s="643">
        <f>IFERROR(SUM(Y544:Y544),"0")</f>
        <v>45</v>
      </c>
      <c r="Z546" s="37"/>
      <c r="AA546" s="644"/>
      <c r="AB546" s="644"/>
      <c r="AC546" s="644"/>
    </row>
    <row r="547" spans="1:68" ht="14.25" hidden="1" customHeight="1" x14ac:dyDescent="0.25">
      <c r="A547" s="672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50">
        <v>4640242180120</v>
      </c>
      <c r="E548" s="651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8"/>
      <c r="R548" s="648"/>
      <c r="S548" s="648"/>
      <c r="T548" s="649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50">
        <v>4640242180137</v>
      </c>
      <c r="E549" s="651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5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67" t="s">
        <v>72</v>
      </c>
      <c r="Q550" s="668"/>
      <c r="R550" s="668"/>
      <c r="S550" s="668"/>
      <c r="T550" s="668"/>
      <c r="U550" s="668"/>
      <c r="V550" s="669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67" t="s">
        <v>72</v>
      </c>
      <c r="Q551" s="668"/>
      <c r="R551" s="668"/>
      <c r="S551" s="668"/>
      <c r="T551" s="668"/>
      <c r="U551" s="668"/>
      <c r="V551" s="669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6" t="s">
        <v>854</v>
      </c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6"/>
      <c r="P552" s="656"/>
      <c r="Q552" s="656"/>
      <c r="R552" s="656"/>
      <c r="S552" s="656"/>
      <c r="T552" s="656"/>
      <c r="U552" s="656"/>
      <c r="V552" s="656"/>
      <c r="W552" s="656"/>
      <c r="X552" s="656"/>
      <c r="Y552" s="656"/>
      <c r="Z552" s="656"/>
      <c r="AA552" s="636"/>
      <c r="AB552" s="636"/>
      <c r="AC552" s="636"/>
    </row>
    <row r="553" spans="1:68" ht="14.25" hidden="1" customHeight="1" x14ac:dyDescent="0.25">
      <c r="A553" s="672" t="s">
        <v>146</v>
      </c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6"/>
      <c r="P553" s="656"/>
      <c r="Q553" s="656"/>
      <c r="R553" s="656"/>
      <c r="S553" s="656"/>
      <c r="T553" s="656"/>
      <c r="U553" s="656"/>
      <c r="V553" s="656"/>
      <c r="W553" s="656"/>
      <c r="X553" s="656"/>
      <c r="Y553" s="656"/>
      <c r="Z553" s="656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50">
        <v>4640242180090</v>
      </c>
      <c r="E554" s="651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8"/>
      <c r="R554" s="648"/>
      <c r="S554" s="648"/>
      <c r="T554" s="649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50">
        <v>4680115889798</v>
      </c>
      <c r="E555" s="651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0" t="s">
        <v>860</v>
      </c>
      <c r="Q555" s="648"/>
      <c r="R555" s="648"/>
      <c r="S555" s="648"/>
      <c r="T555" s="649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5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67" t="s">
        <v>72</v>
      </c>
      <c r="Q556" s="668"/>
      <c r="R556" s="668"/>
      <c r="S556" s="668"/>
      <c r="T556" s="668"/>
      <c r="U556" s="668"/>
      <c r="V556" s="669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67" t="s">
        <v>72</v>
      </c>
      <c r="Q557" s="668"/>
      <c r="R557" s="668"/>
      <c r="S557" s="668"/>
      <c r="T557" s="668"/>
      <c r="U557" s="668"/>
      <c r="V557" s="669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29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839"/>
      <c r="P558" s="673" t="s">
        <v>862</v>
      </c>
      <c r="Q558" s="674"/>
      <c r="R558" s="674"/>
      <c r="S558" s="674"/>
      <c r="T558" s="674"/>
      <c r="U558" s="674"/>
      <c r="V558" s="675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8434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8606.24</v>
      </c>
      <c r="Z558" s="37"/>
      <c r="AA558" s="644"/>
      <c r="AB558" s="644"/>
      <c r="AC558" s="644"/>
    </row>
    <row r="559" spans="1:68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839"/>
      <c r="P559" s="673" t="s">
        <v>863</v>
      </c>
      <c r="Q559" s="674"/>
      <c r="R559" s="674"/>
      <c r="S559" s="674"/>
      <c r="T559" s="674"/>
      <c r="U559" s="674"/>
      <c r="V559" s="675"/>
      <c r="W559" s="37" t="s">
        <v>67</v>
      </c>
      <c r="X559" s="643">
        <f>IFERROR(SUM(BM22:BM555),"0")</f>
        <v>8896.797222124831</v>
      </c>
      <c r="Y559" s="643">
        <f>IFERROR(SUM(BN22:BN555),"0")</f>
        <v>9080.8340000000007</v>
      </c>
      <c r="Z559" s="37"/>
      <c r="AA559" s="644"/>
      <c r="AB559" s="644"/>
      <c r="AC559" s="644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839"/>
      <c r="P560" s="673" t="s">
        <v>864</v>
      </c>
      <c r="Q560" s="674"/>
      <c r="R560" s="674"/>
      <c r="S560" s="674"/>
      <c r="T560" s="674"/>
      <c r="U560" s="674"/>
      <c r="V560" s="675"/>
      <c r="W560" s="37" t="s">
        <v>865</v>
      </c>
      <c r="X560" s="38">
        <f>ROUNDUP(SUM(BO22:BO555),0)</f>
        <v>15</v>
      </c>
      <c r="Y560" s="38">
        <f>ROUNDUP(SUM(BP22:BP555),0)</f>
        <v>15</v>
      </c>
      <c r="Z560" s="37"/>
      <c r="AA560" s="644"/>
      <c r="AB560" s="644"/>
      <c r="AC560" s="64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839"/>
      <c r="P561" s="673" t="s">
        <v>866</v>
      </c>
      <c r="Q561" s="674"/>
      <c r="R561" s="674"/>
      <c r="S561" s="674"/>
      <c r="T561" s="674"/>
      <c r="U561" s="674"/>
      <c r="V561" s="675"/>
      <c r="W561" s="37" t="s">
        <v>67</v>
      </c>
      <c r="X561" s="643">
        <f>GrossWeightTotal+PalletQtyTotal*25</f>
        <v>9271.797222124831</v>
      </c>
      <c r="Y561" s="643">
        <f>GrossWeightTotalR+PalletQtyTotalR*25</f>
        <v>9455.8340000000007</v>
      </c>
      <c r="Z561" s="37"/>
      <c r="AA561" s="644"/>
      <c r="AB561" s="644"/>
      <c r="AC561" s="64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839"/>
      <c r="P562" s="673" t="s">
        <v>867</v>
      </c>
      <c r="Q562" s="674"/>
      <c r="R562" s="674"/>
      <c r="S562" s="674"/>
      <c r="T562" s="674"/>
      <c r="U562" s="674"/>
      <c r="V562" s="675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1505.0517003218151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1537</v>
      </c>
      <c r="Z562" s="37"/>
      <c r="AA562" s="644"/>
      <c r="AB562" s="644"/>
      <c r="AC562" s="644"/>
    </row>
    <row r="563" spans="1:32" ht="14.25" hidden="1" customHeight="1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839"/>
      <c r="P563" s="673" t="s">
        <v>868</v>
      </c>
      <c r="Q563" s="674"/>
      <c r="R563" s="674"/>
      <c r="S563" s="674"/>
      <c r="T563" s="674"/>
      <c r="U563" s="674"/>
      <c r="V563" s="675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16.884020000000003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2" t="s">
        <v>109</v>
      </c>
      <c r="E565" s="970"/>
      <c r="F565" s="970"/>
      <c r="G565" s="970"/>
      <c r="H565" s="970"/>
      <c r="I565" s="970"/>
      <c r="J565" s="769"/>
      <c r="K565" s="662" t="s">
        <v>333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769"/>
      <c r="W565" s="662" t="s">
        <v>686</v>
      </c>
      <c r="X565" s="769"/>
      <c r="Y565" s="662" t="s">
        <v>752</v>
      </c>
      <c r="Z565" s="769"/>
      <c r="AA565" s="633" t="s">
        <v>788</v>
      </c>
      <c r="AB565" s="662" t="s">
        <v>835</v>
      </c>
      <c r="AC565" s="769"/>
      <c r="AF565" s="634"/>
    </row>
    <row r="566" spans="1:32" ht="14.25" customHeight="1" thickTop="1" x14ac:dyDescent="0.2">
      <c r="A566" s="660" t="s">
        <v>871</v>
      </c>
      <c r="B566" s="662" t="s">
        <v>61</v>
      </c>
      <c r="C566" s="662" t="s">
        <v>93</v>
      </c>
      <c r="D566" s="662" t="s">
        <v>110</v>
      </c>
      <c r="E566" s="662" t="s">
        <v>126</v>
      </c>
      <c r="F566" s="662" t="s">
        <v>172</v>
      </c>
      <c r="G566" s="662" t="s">
        <v>196</v>
      </c>
      <c r="H566" s="662" t="s">
        <v>236</v>
      </c>
      <c r="I566" s="662" t="s">
        <v>249</v>
      </c>
      <c r="J566" s="662" t="s">
        <v>109</v>
      </c>
      <c r="K566" s="662" t="s">
        <v>334</v>
      </c>
      <c r="L566" s="662" t="s">
        <v>355</v>
      </c>
      <c r="M566" s="662" t="s">
        <v>429</v>
      </c>
      <c r="N566" s="634"/>
      <c r="O566" s="662" t="s">
        <v>497</v>
      </c>
      <c r="P566" s="662" t="s">
        <v>530</v>
      </c>
      <c r="Q566" s="662" t="s">
        <v>546</v>
      </c>
      <c r="R566" s="662" t="s">
        <v>555</v>
      </c>
      <c r="S566" s="662" t="s">
        <v>576</v>
      </c>
      <c r="T566" s="662" t="s">
        <v>585</v>
      </c>
      <c r="U566" s="662" t="s">
        <v>669</v>
      </c>
      <c r="V566" s="662" t="s">
        <v>676</v>
      </c>
      <c r="W566" s="662" t="s">
        <v>687</v>
      </c>
      <c r="X566" s="662" t="s">
        <v>736</v>
      </c>
      <c r="Y566" s="662" t="s">
        <v>753</v>
      </c>
      <c r="Z566" s="662" t="s">
        <v>776</v>
      </c>
      <c r="AA566" s="662" t="s">
        <v>788</v>
      </c>
      <c r="AB566" s="662" t="s">
        <v>835</v>
      </c>
      <c r="AC566" s="662" t="s">
        <v>854</v>
      </c>
      <c r="AF566" s="634"/>
    </row>
    <row r="567" spans="1:32" ht="13.5" customHeight="1" thickBot="1" x14ac:dyDescent="0.25">
      <c r="A567" s="661"/>
      <c r="B567" s="663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34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  <c r="AA567" s="663"/>
      <c r="AB567" s="663"/>
      <c r="AC567" s="663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79.2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302.40000000000003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87.7</v>
      </c>
      <c r="F568" s="46">
        <f>IFERROR(Y85*1,"0")+IFERROR(Y86*1,"0")+IFERROR(Y87*1,"0")+IFERROR(Y88*1,"0")+IFERROR(Y89*1,"0")+IFERROR(Y90*1,"0")+IFERROR(Y94*1,"0")+IFERROR(Y95*1,"0")+IFERROR(Y96*1,"0")+IFERROR(Y97*1,"0")</f>
        <v>291.59999999999997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228.9</v>
      </c>
      <c r="H568" s="46">
        <f>IFERROR(Y131*1,"0")+IFERROR(Y132*1,"0")+IFERROR(Y136*1,"0")+IFERROR(Y137*1,"0")+IFERROR(Y141*1,"0")+IFERROR(Y142*1,"0")</f>
        <v>196.8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972.17999999999984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283.68000000000006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785.40000000000009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26.8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79.2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93.6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362.7</v>
      </c>
      <c r="U568" s="46">
        <f>IFERROR(Y415*1,"0")+IFERROR(Y416*1,"0")</f>
        <v>0</v>
      </c>
      <c r="V568" s="46">
        <f>IFERROR(Y421*1,"0")+IFERROR(Y422*1,"0")+IFERROR(Y423*1,"0")</f>
        <v>8.4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3495</v>
      </c>
      <c r="X568" s="46">
        <f>IFERROR(Y458*1,"0")+IFERROR(Y459*1,"0")+IFERROR(Y463*1,"0")+IFERROR(Y467*1,"0")+IFERROR(Y468*1,"0")+IFERROR(Y469*1,"0")</f>
        <v>12</v>
      </c>
      <c r="Y568" s="46">
        <f>IFERROR(Y475*1,"0")+IFERROR(Y476*1,"0")+IFERROR(Y477*1,"0")+IFERROR(Y478*1,"0")+IFERROR(Y479*1,"0")+IFERROR(Y480*1,"0")+IFERROR(Y484*1,"0")+IFERROR(Y485*1,"0")</f>
        <v>43.2</v>
      </c>
      <c r="Z568" s="46">
        <f>IFERROR(Y490*1,"0")+IFERROR(Y494*1,"0")+IFERROR(Y495*1,"0")+IFERROR(Y496*1,"0")</f>
        <v>151.20000000000002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1061.2800000000002</v>
      </c>
      <c r="AB568" s="46">
        <f>IFERROR(Y532*1,"0")+IFERROR(Y536*1,"0")+IFERROR(Y540*1,"0")+IFERROR(Y544*1,"0")+IFERROR(Y548*1,"0")+IFERROR(Y549*1,"0")</f>
        <v>45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0,00"/>
        <filter val="1 505,05"/>
        <filter val="1,03"/>
        <filter val="1,11"/>
        <filter val="10,00"/>
        <filter val="100,00"/>
        <filter val="103,00"/>
        <filter val="11,03"/>
        <filter val="115,95"/>
        <filter val="119,07"/>
        <filter val="12,00"/>
        <filter val="13,33"/>
        <filter val="133,90"/>
        <filter val="138,00"/>
        <filter val="139,00"/>
        <filter val="15"/>
        <filter val="150,00"/>
        <filter val="152,00"/>
        <filter val="16,67"/>
        <filter val="18,00"/>
        <filter val="18,75"/>
        <filter val="183,00"/>
        <filter val="19,23"/>
        <filter val="194,73"/>
        <filter val="2 921,00"/>
        <filter val="2,00"/>
        <filter val="20,00"/>
        <filter val="207,00"/>
        <filter val="21,00"/>
        <filter val="236,00"/>
        <filter val="24,00"/>
        <filter val="25,00"/>
        <filter val="250,00"/>
        <filter val="27,78"/>
        <filter val="271,00"/>
        <filter val="28,00"/>
        <filter val="294,00"/>
        <filter val="3,00"/>
        <filter val="3,33"/>
        <filter val="3,84"/>
        <filter val="30,00"/>
        <filter val="30,93"/>
        <filter val="300,00"/>
        <filter val="31,00"/>
        <filter val="32,50"/>
        <filter val="33,70"/>
        <filter val="339,00"/>
        <filter val="34,00"/>
        <filter val="343,73"/>
        <filter val="350,00"/>
        <filter val="36,00"/>
        <filter val="38,00"/>
        <filter val="39,00"/>
        <filter val="4,00"/>
        <filter val="4,44"/>
        <filter val="4,54"/>
        <filter val="40,00"/>
        <filter val="42,22"/>
        <filter val="42,35"/>
        <filter val="421,00"/>
        <filter val="45,00"/>
        <filter val="464,00"/>
        <filter val="48,35"/>
        <filter val="49,00"/>
        <filter val="5,00"/>
        <filter val="5,02"/>
        <filter val="50,00"/>
        <filter val="50,67"/>
        <filter val="53,00"/>
        <filter val="54,00"/>
        <filter val="563,00"/>
        <filter val="584,00"/>
        <filter val="6,00"/>
        <filter val="6,35"/>
        <filter val="6,76"/>
        <filter val="60,00"/>
        <filter val="64,20"/>
        <filter val="66,00"/>
        <filter val="68,00"/>
        <filter val="7,00"/>
        <filter val="7,41"/>
        <filter val="70,00"/>
        <filter val="707,00"/>
        <filter val="73,00"/>
        <filter val="744,00"/>
        <filter val="75,00"/>
        <filter val="76,00"/>
        <filter val="77,00"/>
        <filter val="78,00"/>
        <filter val="8 434,00"/>
        <filter val="8 896,80"/>
        <filter val="8,00"/>
        <filter val="86,00"/>
        <filter val="88,00"/>
        <filter val="9 271,80"/>
        <filter val="964,00"/>
      </filters>
    </filterColumn>
    <filterColumn colId="29" showButton="0"/>
    <filterColumn colId="30" showButton="0"/>
  </autoFilter>
  <mergeCells count="1001"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P526:T526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80:E80"/>
    <mergeCell ref="H10:M10"/>
    <mergeCell ref="D296:E296"/>
    <mergeCell ref="A157:O158"/>
    <mergeCell ref="P27:T27"/>
    <mergeCell ref="A186:Z186"/>
    <mergeCell ref="P232:T232"/>
    <mergeCell ref="P330:T330"/>
    <mergeCell ref="P395:T395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D269:E269"/>
    <mergeCell ref="D440:E440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P363:T363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15:T16"/>
    <mergeCell ref="P23:T23"/>
    <mergeCell ref="A44:Z44"/>
    <mergeCell ref="A17:A18"/>
    <mergeCell ref="K17:K18"/>
    <mergeCell ref="C17:C18"/>
    <mergeCell ref="D37:E37"/>
    <mergeCell ref="P66:T66"/>
    <mergeCell ref="D477:E477"/>
    <mergeCell ref="D490:E490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208:T208"/>
    <mergeCell ref="D396:E396"/>
    <mergeCell ref="P219:T219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75:V75"/>
    <mergeCell ref="A118:Z118"/>
    <mergeCell ref="D103:E103"/>
    <mergeCell ref="A474:Z474"/>
    <mergeCell ref="P296:T296"/>
    <mergeCell ref="A486:O487"/>
    <mergeCell ref="D476:E476"/>
    <mergeCell ref="P455:V455"/>
    <mergeCell ref="A451:Z451"/>
    <mergeCell ref="A454:O455"/>
    <mergeCell ref="P207:T207"/>
    <mergeCell ref="A445:Z445"/>
    <mergeCell ref="P99:V99"/>
    <mergeCell ref="P317:V317"/>
    <mergeCell ref="A472:Z472"/>
    <mergeCell ref="P128:V128"/>
    <mergeCell ref="D402:E402"/>
    <mergeCell ref="P431:T431"/>
    <mergeCell ref="D230:E230"/>
    <mergeCell ref="P358:T358"/>
    <mergeCell ref="D168:E168"/>
    <mergeCell ref="P380:V3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A517:O518"/>
    <mergeCell ref="P170:V170"/>
    <mergeCell ref="P527:V527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D259:E259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P486:V486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527:O528"/>
    <mergeCell ref="D122:E122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Q9:R9"/>
    <mergeCell ref="Q11:R11"/>
    <mergeCell ref="A6:C6"/>
    <mergeCell ref="P167:T167"/>
    <mergeCell ref="P378:T378"/>
    <mergeCell ref="P55:T55"/>
    <mergeCell ref="H1:Q1"/>
    <mergeCell ref="A116:O117"/>
    <mergeCell ref="P277:V277"/>
    <mergeCell ref="P284:T284"/>
    <mergeCell ref="P348:V348"/>
    <mergeCell ref="P17:T18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P261:V261"/>
    <mergeCell ref="P332:V332"/>
    <mergeCell ref="P389:T389"/>
    <mergeCell ref="P56:T56"/>
    <mergeCell ref="D224:E224"/>
    <mergeCell ref="A407:Z407"/>
    <mergeCell ref="P403:T403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H9:I9"/>
    <mergeCell ref="P24:V24"/>
    <mergeCell ref="D281:E281"/>
    <mergeCell ref="P322:V322"/>
    <mergeCell ref="P211:V211"/>
    <mergeCell ref="A36:Z36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D351:E351"/>
    <mergeCell ref="P551:V551"/>
    <mergeCell ref="A501:Z501"/>
    <mergeCell ref="P557:V557"/>
    <mergeCell ref="A545:O546"/>
    <mergeCell ref="P113:T113"/>
    <mergeCell ref="D232:E232"/>
    <mergeCell ref="D448:E448"/>
    <mergeCell ref="A261:O262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