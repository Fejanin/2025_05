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FD1366D-3723-493F-ACD2-D2174338B7B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P511" i="2"/>
  <c r="X509" i="2"/>
  <c r="X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N504" i="2" s="1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BN481" i="2" s="1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BN475" i="2" s="1"/>
  <c r="P475" i="2"/>
  <c r="BO474" i="2"/>
  <c r="BM474" i="2"/>
  <c r="Y474" i="2"/>
  <c r="P474" i="2"/>
  <c r="BO473" i="2"/>
  <c r="BM473" i="2"/>
  <c r="Y473" i="2"/>
  <c r="BN473" i="2" s="1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BN460" i="2" s="1"/>
  <c r="P460" i="2"/>
  <c r="X458" i="2"/>
  <c r="X457" i="2"/>
  <c r="BO456" i="2"/>
  <c r="BM456" i="2"/>
  <c r="Y456" i="2"/>
  <c r="BN456" i="2" s="1"/>
  <c r="P456" i="2"/>
  <c r="BO455" i="2"/>
  <c r="BN455" i="2"/>
  <c r="BM455" i="2"/>
  <c r="Y455" i="2"/>
  <c r="Z455" i="2" s="1"/>
  <c r="P455" i="2"/>
  <c r="X452" i="2"/>
  <c r="X451" i="2"/>
  <c r="BO450" i="2"/>
  <c r="BM450" i="2"/>
  <c r="Y450" i="2"/>
  <c r="BN450" i="2" s="1"/>
  <c r="P450" i="2"/>
  <c r="BO449" i="2"/>
  <c r="BM449" i="2"/>
  <c r="Y449" i="2"/>
  <c r="Y452" i="2" s="1"/>
  <c r="P449" i="2"/>
  <c r="X447" i="2"/>
  <c r="X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BN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P418" i="2"/>
  <c r="X415" i="2"/>
  <c r="X414" i="2"/>
  <c r="BO413" i="2"/>
  <c r="BM413" i="2"/>
  <c r="Y413" i="2"/>
  <c r="BP413" i="2" s="1"/>
  <c r="P413" i="2"/>
  <c r="BO412" i="2"/>
  <c r="BM412" i="2"/>
  <c r="Y412" i="2"/>
  <c r="Y415" i="2" s="1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BN395" i="2" s="1"/>
  <c r="P395" i="2"/>
  <c r="BO394" i="2"/>
  <c r="BM394" i="2"/>
  <c r="Y394" i="2"/>
  <c r="Z394" i="2" s="1"/>
  <c r="P394" i="2"/>
  <c r="BP393" i="2"/>
  <c r="BO393" i="2"/>
  <c r="BM393" i="2"/>
  <c r="Y393" i="2"/>
  <c r="BN393" i="2" s="1"/>
  <c r="P393" i="2"/>
  <c r="BO392" i="2"/>
  <c r="BM392" i="2"/>
  <c r="Y392" i="2"/>
  <c r="Z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BN374" i="2" s="1"/>
  <c r="P374" i="2"/>
  <c r="BO373" i="2"/>
  <c r="BM373" i="2"/>
  <c r="Y373" i="2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N362" i="2" s="1"/>
  <c r="P362" i="2"/>
  <c r="BO361" i="2"/>
  <c r="BM361" i="2"/>
  <c r="Y361" i="2"/>
  <c r="P361" i="2"/>
  <c r="BO360" i="2"/>
  <c r="BM360" i="2"/>
  <c r="Y360" i="2"/>
  <c r="BN360" i="2" s="1"/>
  <c r="P360" i="2"/>
  <c r="BO359" i="2"/>
  <c r="BM359" i="2"/>
  <c r="Y359" i="2"/>
  <c r="X356" i="2"/>
  <c r="X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BN352" i="2" s="1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N324" i="2" s="1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N321" i="2" s="1"/>
  <c r="X318" i="2"/>
  <c r="X317" i="2"/>
  <c r="BO316" i="2"/>
  <c r="BM316" i="2"/>
  <c r="Y316" i="2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Z301" i="2" s="1"/>
  <c r="P301" i="2"/>
  <c r="BO300" i="2"/>
  <c r="BM300" i="2"/>
  <c r="Y300" i="2"/>
  <c r="BN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Z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X264" i="2"/>
  <c r="X263" i="2"/>
  <c r="BP262" i="2"/>
  <c r="BO262" i="2"/>
  <c r="BM262" i="2"/>
  <c r="Y262" i="2"/>
  <c r="Z262" i="2" s="1"/>
  <c r="P262" i="2"/>
  <c r="BO261" i="2"/>
  <c r="BM261" i="2"/>
  <c r="Y261" i="2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BN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N234" i="2" s="1"/>
  <c r="P234" i="2"/>
  <c r="BO233" i="2"/>
  <c r="BM233" i="2"/>
  <c r="Y233" i="2"/>
  <c r="BN233" i="2" s="1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Z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BN211" i="2" s="1"/>
  <c r="P211" i="2"/>
  <c r="X208" i="2"/>
  <c r="X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BN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N200" i="2" s="1"/>
  <c r="P200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BP190" i="2" s="1"/>
  <c r="P190" i="2"/>
  <c r="BO189" i="2"/>
  <c r="BM189" i="2"/>
  <c r="Y189" i="2"/>
  <c r="Z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X171" i="2"/>
  <c r="X170" i="2"/>
  <c r="BO169" i="2"/>
  <c r="BM169" i="2"/>
  <c r="Y169" i="2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Y148" i="2"/>
  <c r="Z148" i="2" s="1"/>
  <c r="P148" i="2"/>
  <c r="X145" i="2"/>
  <c r="X144" i="2"/>
  <c r="BO143" i="2"/>
  <c r="BM143" i="2"/>
  <c r="Y143" i="2"/>
  <c r="BN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Z137" i="2"/>
  <c r="Y137" i="2"/>
  <c r="BP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Z132" i="2" s="1"/>
  <c r="P132" i="2"/>
  <c r="X129" i="2"/>
  <c r="X128" i="2"/>
  <c r="BO127" i="2"/>
  <c r="BN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BP89" i="2" s="1"/>
  <c r="P89" i="2"/>
  <c r="BP88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N66" i="2" s="1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Z372" i="2" l="1"/>
  <c r="Z40" i="2"/>
  <c r="Z127" i="2"/>
  <c r="Z128" i="2" s="1"/>
  <c r="BN137" i="2"/>
  <c r="BP312" i="2"/>
  <c r="BP323" i="2"/>
  <c r="Z460" i="2"/>
  <c r="Z461" i="2" s="1"/>
  <c r="Z68" i="2"/>
  <c r="Z113" i="2"/>
  <c r="Z233" i="2"/>
  <c r="BP270" i="2"/>
  <c r="Z300" i="2"/>
  <c r="Z388" i="2"/>
  <c r="BN388" i="2"/>
  <c r="Z437" i="2"/>
  <c r="BP473" i="2"/>
  <c r="BN121" i="2"/>
  <c r="BN189" i="2"/>
  <c r="BP189" i="2"/>
  <c r="Y213" i="2"/>
  <c r="BN226" i="2"/>
  <c r="BP226" i="2"/>
  <c r="BP234" i="2"/>
  <c r="BN277" i="2"/>
  <c r="BP277" i="2"/>
  <c r="BN392" i="2"/>
  <c r="Z56" i="2"/>
  <c r="BN67" i="2"/>
  <c r="BP67" i="2"/>
  <c r="Z80" i="2"/>
  <c r="Z89" i="2"/>
  <c r="BN89" i="2"/>
  <c r="BP104" i="2"/>
  <c r="BN107" i="2"/>
  <c r="BP107" i="2"/>
  <c r="BN112" i="2"/>
  <c r="BP112" i="2"/>
  <c r="BN142" i="2"/>
  <c r="BN168" i="2"/>
  <c r="BP173" i="2"/>
  <c r="BN178" i="2"/>
  <c r="Z190" i="2"/>
  <c r="BN190" i="2"/>
  <c r="Z211" i="2"/>
  <c r="Z212" i="2" s="1"/>
  <c r="Z227" i="2"/>
  <c r="BN227" i="2"/>
  <c r="Z234" i="2"/>
  <c r="BN246" i="2"/>
  <c r="BP251" i="2"/>
  <c r="Y252" i="2"/>
  <c r="Y253" i="2"/>
  <c r="Z267" i="2"/>
  <c r="BN267" i="2"/>
  <c r="BP287" i="2"/>
  <c r="BP308" i="2"/>
  <c r="Z354" i="2"/>
  <c r="Z370" i="2"/>
  <c r="Z374" i="2"/>
  <c r="Z399" i="2"/>
  <c r="BN399" i="2"/>
  <c r="BN430" i="2"/>
  <c r="BP430" i="2"/>
  <c r="Z445" i="2"/>
  <c r="Y446" i="2"/>
  <c r="BP460" i="2"/>
  <c r="BP503" i="2"/>
  <c r="Z73" i="2"/>
  <c r="BP174" i="2"/>
  <c r="BN55" i="2"/>
  <c r="Y125" i="2"/>
  <c r="BN215" i="2"/>
  <c r="Y335" i="2"/>
  <c r="Z340" i="2"/>
  <c r="BN505" i="2"/>
  <c r="BN428" i="2"/>
  <c r="Z48" i="2"/>
  <c r="Z104" i="2"/>
  <c r="BP120" i="2"/>
  <c r="BN224" i="2"/>
  <c r="BN340" i="2"/>
  <c r="BP520" i="2"/>
  <c r="BN151" i="2"/>
  <c r="BP184" i="2"/>
  <c r="BP428" i="2"/>
  <c r="BN114" i="2"/>
  <c r="Y171" i="2"/>
  <c r="BP175" i="2"/>
  <c r="Z180" i="2"/>
  <c r="Y192" i="2"/>
  <c r="Z246" i="2"/>
  <c r="Z269" i="2"/>
  <c r="BP370" i="2"/>
  <c r="BP374" i="2"/>
  <c r="BP394" i="2"/>
  <c r="BP456" i="2"/>
  <c r="BN30" i="2"/>
  <c r="Y154" i="2"/>
  <c r="BP151" i="2"/>
  <c r="Y263" i="2"/>
  <c r="Z382" i="2"/>
  <c r="BP433" i="2"/>
  <c r="BN493" i="2"/>
  <c r="Z194" i="2"/>
  <c r="Z195" i="2" s="1"/>
  <c r="Z225" i="2"/>
  <c r="BN235" i="2"/>
  <c r="BN256" i="2"/>
  <c r="Y458" i="2"/>
  <c r="BN49" i="2"/>
  <c r="BN68" i="2"/>
  <c r="BN148" i="2"/>
  <c r="BP300" i="2"/>
  <c r="BN341" i="2"/>
  <c r="Z352" i="2"/>
  <c r="Z413" i="2"/>
  <c r="Z450" i="2"/>
  <c r="Z27" i="2"/>
  <c r="BN163" i="2"/>
  <c r="BN194" i="2"/>
  <c r="BP221" i="2"/>
  <c r="BP375" i="2"/>
  <c r="BP382" i="2"/>
  <c r="BP443" i="2"/>
  <c r="BP115" i="2"/>
  <c r="BP148" i="2"/>
  <c r="BN203" i="2"/>
  <c r="BN217" i="2"/>
  <c r="Y259" i="2"/>
  <c r="BP321" i="2"/>
  <c r="BP360" i="2"/>
  <c r="BN413" i="2"/>
  <c r="BP194" i="2"/>
  <c r="BP352" i="2"/>
  <c r="Y509" i="2"/>
  <c r="BP49" i="2"/>
  <c r="Y42" i="2"/>
  <c r="BN41" i="2"/>
  <c r="BN236" i="2"/>
  <c r="BN286" i="2"/>
  <c r="BN338" i="2"/>
  <c r="BP365" i="2"/>
  <c r="Y195" i="2"/>
  <c r="Y384" i="2"/>
  <c r="Y514" i="2"/>
  <c r="BN37" i="2"/>
  <c r="BN116" i="2"/>
  <c r="Z123" i="2"/>
  <c r="Z204" i="2"/>
  <c r="Y212" i="2"/>
  <c r="BN282" i="2"/>
  <c r="BP372" i="2"/>
  <c r="Z386" i="2"/>
  <c r="Y414" i="2"/>
  <c r="Y461" i="2"/>
  <c r="BN123" i="2"/>
  <c r="Z174" i="2"/>
  <c r="Z331" i="2"/>
  <c r="BP504" i="2"/>
  <c r="D564" i="2"/>
  <c r="Z88" i="2"/>
  <c r="Y166" i="2"/>
  <c r="BP204" i="2"/>
  <c r="BN237" i="2"/>
  <c r="Z362" i="2"/>
  <c r="Y422" i="2"/>
  <c r="Y462" i="2"/>
  <c r="BP427" i="2"/>
  <c r="Z31" i="2"/>
  <c r="Z59" i="2"/>
  <c r="Z182" i="2"/>
  <c r="Z285" i="2"/>
  <c r="Z325" i="2"/>
  <c r="BN394" i="2"/>
  <c r="Z518" i="2"/>
  <c r="BN27" i="2"/>
  <c r="BN48" i="2"/>
  <c r="Z66" i="2"/>
  <c r="Z72" i="2"/>
  <c r="Z78" i="2"/>
  <c r="BN113" i="2"/>
  <c r="BN188" i="2"/>
  <c r="Z205" i="2"/>
  <c r="BN225" i="2"/>
  <c r="Z299" i="2"/>
  <c r="Y309" i="2"/>
  <c r="BN354" i="2"/>
  <c r="BN407" i="2"/>
  <c r="Y447" i="2"/>
  <c r="Z522" i="2"/>
  <c r="BN182" i="2"/>
  <c r="BN285" i="2"/>
  <c r="BN325" i="2"/>
  <c r="Z473" i="2"/>
  <c r="BN518" i="2"/>
  <c r="BN72" i="2"/>
  <c r="BN78" i="2"/>
  <c r="Z86" i="2"/>
  <c r="Z169" i="2"/>
  <c r="Z179" i="2"/>
  <c r="BN205" i="2"/>
  <c r="BN299" i="2"/>
  <c r="Y310" i="2"/>
  <c r="Y383" i="2"/>
  <c r="Z401" i="2"/>
  <c r="BP407" i="2"/>
  <c r="Y440" i="2"/>
  <c r="Y495" i="2"/>
  <c r="Z506" i="2"/>
  <c r="BP235" i="2"/>
  <c r="BN292" i="2"/>
  <c r="Y389" i="2"/>
  <c r="BN418" i="2"/>
  <c r="BN443" i="2"/>
  <c r="BN59" i="2"/>
  <c r="Y32" i="2"/>
  <c r="Y98" i="2"/>
  <c r="Z114" i="2"/>
  <c r="Z120" i="2"/>
  <c r="Z133" i="2"/>
  <c r="Z134" i="2" s="1"/>
  <c r="Z215" i="2"/>
  <c r="Z341" i="2"/>
  <c r="BP362" i="2"/>
  <c r="Z395" i="2"/>
  <c r="Z427" i="2"/>
  <c r="BN506" i="2"/>
  <c r="BP169" i="2"/>
  <c r="BP179" i="2"/>
  <c r="BP401" i="2"/>
  <c r="BP418" i="2"/>
  <c r="Z79" i="2"/>
  <c r="Y124" i="2"/>
  <c r="Z203" i="2"/>
  <c r="Z223" i="2"/>
  <c r="Z236" i="2"/>
  <c r="Z256" i="2"/>
  <c r="Z380" i="2"/>
  <c r="BN503" i="2"/>
  <c r="BN523" i="2"/>
  <c r="BN491" i="2"/>
  <c r="BN513" i="2"/>
  <c r="BN537" i="2"/>
  <c r="BN380" i="2"/>
  <c r="Y403" i="2"/>
  <c r="Z444" i="2"/>
  <c r="Z446" i="2" s="1"/>
  <c r="Z481" i="2"/>
  <c r="BP523" i="2"/>
  <c r="BN546" i="2"/>
  <c r="Z61" i="2"/>
  <c r="Z94" i="2"/>
  <c r="Y230" i="2"/>
  <c r="BP240" i="2"/>
  <c r="Z279" i="2"/>
  <c r="BN323" i="2"/>
  <c r="BN386" i="2"/>
  <c r="BP491" i="2"/>
  <c r="Z500" i="2"/>
  <c r="Z507" i="2"/>
  <c r="BP513" i="2"/>
  <c r="BP537" i="2"/>
  <c r="BP37" i="2"/>
  <c r="BN73" i="2"/>
  <c r="Z150" i="2"/>
  <c r="Y25" i="2"/>
  <c r="Y109" i="2"/>
  <c r="Y118" i="2"/>
  <c r="Z115" i="2"/>
  <c r="Z143" i="2"/>
  <c r="Z173" i="2"/>
  <c r="BN180" i="2"/>
  <c r="Z184" i="2"/>
  <c r="Z216" i="2"/>
  <c r="BN269" i="2"/>
  <c r="BP338" i="2"/>
  <c r="Z342" i="2"/>
  <c r="Z360" i="2"/>
  <c r="BP392" i="2"/>
  <c r="Y408" i="2"/>
  <c r="Z432" i="2"/>
  <c r="BN438" i="2"/>
  <c r="BP450" i="2"/>
  <c r="BN466" i="2"/>
  <c r="Z520" i="2"/>
  <c r="X555" i="2"/>
  <c r="BN150" i="2"/>
  <c r="BN279" i="2"/>
  <c r="Y538" i="2"/>
  <c r="Z24" i="2"/>
  <c r="Y43" i="2"/>
  <c r="Z38" i="2"/>
  <c r="Z58" i="2"/>
  <c r="BP94" i="2"/>
  <c r="Z177" i="2"/>
  <c r="Z200" i="2"/>
  <c r="BP273" i="2"/>
  <c r="Y306" i="2"/>
  <c r="Z420" i="2"/>
  <c r="BN432" i="2"/>
  <c r="BP438" i="2"/>
  <c r="Y451" i="2"/>
  <c r="BP466" i="2"/>
  <c r="Z475" i="2"/>
  <c r="BP500" i="2"/>
  <c r="BP507" i="2"/>
  <c r="BN106" i="2"/>
  <c r="BN241" i="2"/>
  <c r="BN257" i="2"/>
  <c r="Y356" i="2"/>
  <c r="BN58" i="2"/>
  <c r="BN420" i="2"/>
  <c r="Y539" i="2"/>
  <c r="Z69" i="2"/>
  <c r="Z103" i="2"/>
  <c r="Z122" i="2"/>
  <c r="BP200" i="2"/>
  <c r="BP257" i="2"/>
  <c r="BN284" i="2"/>
  <c r="BN298" i="2"/>
  <c r="BN301" i="2"/>
  <c r="BN375" i="2"/>
  <c r="BN445" i="2"/>
  <c r="BP475" i="2"/>
  <c r="X558" i="2"/>
  <c r="BP30" i="2"/>
  <c r="BP181" i="2"/>
  <c r="Y191" i="2"/>
  <c r="BP211" i="2"/>
  <c r="Z217" i="2"/>
  <c r="Z221" i="2"/>
  <c r="Z251" i="2"/>
  <c r="Z252" i="2" s="1"/>
  <c r="BN270" i="2"/>
  <c r="BN308" i="2"/>
  <c r="BP324" i="2"/>
  <c r="BN365" i="2"/>
  <c r="Z493" i="2"/>
  <c r="Z505" i="2"/>
  <c r="X556" i="2"/>
  <c r="BP95" i="2"/>
  <c r="BN103" i="2"/>
  <c r="BN122" i="2"/>
  <c r="Y258" i="2"/>
  <c r="BP298" i="2"/>
  <c r="BP301" i="2"/>
  <c r="Y402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T564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39" i="2" s="1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Z414" i="2" s="1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29" i="2"/>
  <c r="X564" i="2"/>
  <c r="BP477" i="2"/>
  <c r="BN477" i="2"/>
  <c r="Z492" i="2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X554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61" i="2"/>
  <c r="Z263" i="2" s="1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451" i="2" s="1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Z389" i="2" s="1"/>
  <c r="Y390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Y483" i="2"/>
  <c r="BP487" i="2"/>
  <c r="Z504" i="2"/>
  <c r="BP74" i="2"/>
  <c r="BN29" i="2"/>
  <c r="Y52" i="2"/>
  <c r="C564" i="2"/>
  <c r="BN87" i="2"/>
  <c r="M564" i="2"/>
  <c r="Y328" i="2"/>
  <c r="Y355" i="2"/>
  <c r="BP379" i="2"/>
  <c r="BN379" i="2"/>
  <c r="Z379" i="2"/>
  <c r="Z393" i="2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Y144" i="2"/>
  <c r="BN162" i="2"/>
  <c r="Z257" i="2"/>
  <c r="BN262" i="2"/>
  <c r="Z273" i="2"/>
  <c r="BN278" i="2"/>
  <c r="BP281" i="2"/>
  <c r="BN281" i="2"/>
  <c r="Z287" i="2"/>
  <c r="BP304" i="2"/>
  <c r="Y344" i="2"/>
  <c r="Z439" i="2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68" i="2"/>
  <c r="Z170" i="2" s="1"/>
  <c r="Z178" i="2"/>
  <c r="Z188" i="2"/>
  <c r="Z241" i="2"/>
  <c r="Z284" i="2"/>
  <c r="Z418" i="2"/>
  <c r="BP455" i="2"/>
  <c r="BN522" i="2"/>
  <c r="Z546" i="2"/>
  <c r="G564" i="2"/>
  <c r="Z433" i="2"/>
  <c r="Z456" i="2"/>
  <c r="Z457" i="2" s="1"/>
  <c r="BP101" i="2"/>
  <c r="Z355" i="2" l="1"/>
  <c r="Z440" i="2"/>
  <c r="Z343" i="2"/>
  <c r="Z494" i="2"/>
  <c r="Z154" i="2"/>
  <c r="X557" i="2"/>
  <c r="Z81" i="2"/>
  <c r="Z191" i="2"/>
  <c r="Z258" i="2"/>
  <c r="Z62" i="2"/>
  <c r="Z376" i="2"/>
  <c r="Z32" i="2"/>
  <c r="Z334" i="2"/>
  <c r="Z117" i="2"/>
  <c r="Z289" i="2"/>
  <c r="Y554" i="2"/>
  <c r="Z467" i="2"/>
  <c r="Z185" i="2"/>
  <c r="Z124" i="2"/>
  <c r="Z75" i="2"/>
  <c r="Z144" i="2"/>
  <c r="Z402" i="2"/>
  <c r="Z230" i="2"/>
  <c r="Y555" i="2"/>
  <c r="Z396" i="2"/>
  <c r="Z483" i="2"/>
  <c r="Z51" i="2"/>
  <c r="Z478" i="2"/>
  <c r="Z242" i="2"/>
  <c r="Z514" i="2"/>
  <c r="Z97" i="2"/>
  <c r="Z248" i="2"/>
  <c r="Z524" i="2"/>
  <c r="Z207" i="2"/>
  <c r="Z305" i="2"/>
  <c r="Z508" i="2"/>
  <c r="Z421" i="2"/>
  <c r="Z90" i="2"/>
  <c r="Y558" i="2"/>
  <c r="Z547" i="2"/>
  <c r="Z366" i="2"/>
  <c r="Z383" i="2"/>
  <c r="Z408" i="2"/>
  <c r="Z348" i="2"/>
  <c r="Z327" i="2"/>
  <c r="Z294" i="2"/>
  <c r="Z165" i="2"/>
  <c r="Z109" i="2"/>
  <c r="Z42" i="2"/>
  <c r="Y556" i="2"/>
  <c r="Y557" i="2" s="1"/>
  <c r="Z274" i="2"/>
  <c r="Z434" i="2"/>
  <c r="Z559" i="2" l="1"/>
</calcChain>
</file>

<file path=xl/sharedStrings.xml><?xml version="1.0" encoding="utf-8"?>
<sst xmlns="http://schemas.openxmlformats.org/spreadsheetml/2006/main" count="4298" uniqueCount="916">
  <si>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</si>
  <si>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</si>
  <si>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</si>
  <si>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</si>
  <si>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</si>
  <si>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</si>
  <si>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</si>
  <si>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</si>
  <si>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</si>
  <si>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</si>
  <si>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</si>
  <si>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</si>
  <si>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</si>
  <si>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</si>
  <si>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</si>
  <si>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</si>
  <si>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</si>
  <si>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</si>
  <si>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</si>
  <si>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</si>
  <si>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</si>
  <si>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</si>
  <si>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</si>
  <si>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</si>
  <si>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</si>
  <si>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</si>
  <si>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</si>
  <si>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</si>
  <si>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</si>
  <si>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</si>
  <si>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</si>
  <si>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</si>
  <si>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</si>
  <si>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</si>
  <si>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</si>
  <si>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</si>
  <si>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</si>
  <si>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</si>
  <si>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</si>
  <si>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</si>
  <si>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</si>
  <si>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</si>
  <si>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</si>
  <si>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</si>
  <si>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</si>
  <si>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</si>
  <si>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</si>
  <si>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</si>
  <si>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</si>
  <si>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</si>
  <si>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</si>
  <si>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</si>
  <si>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</si>
  <si>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</si>
  <si>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</si>
  <si>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</si>
  <si>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</si>
  <si>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</si>
  <si>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</si>
  <si>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</si>
  <si>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</si>
  <si>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</si>
  <si>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</si>
  <si>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</si>
  <si>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</si>
  <si>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</si>
  <si>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</si>
  <si>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</si>
  <si>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</si>
  <si>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</si>
  <si>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</si>
  <si>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</si>
  <si>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</si>
  <si>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</si>
  <si>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</si>
  <si>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</si>
  <si>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</si>
  <si>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</si>
  <si>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</si>
  <si>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</si>
  <si>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</si>
  <si>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</si>
  <si>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</si>
  <si>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</si>
  <si>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</si>
  <si>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</si>
  <si>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</si>
  <si>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</si>
  <si>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</si>
  <si>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</si>
  <si>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</si>
  <si>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</si>
  <si>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</si>
  <si>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</si>
  <si>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</si>
  <si>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</si>
  <si>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</si>
  <si>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</si>
  <si>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</si>
  <si>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</si>
  <si>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</si>
  <si>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</si>
  <si>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</si>
  <si>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</si>
  <si>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</si>
  <si>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</si>
  <si>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</si>
  <si>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</si>
  <si>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</si>
  <si>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</si>
  <si>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</si>
  <si>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</si>
  <si>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</si>
  <si>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</si>
  <si>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</si>
  <si>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</si>
  <si>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</si>
  <si>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</si>
  <si>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</si>
  <si>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</si>
  <si>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</si>
  <si>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</si>
  <si>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</si>
  <si>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</si>
  <si>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</si>
  <si>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</si>
  <si>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</si>
  <si>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</si>
  <si>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</si>
  <si>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</si>
  <si>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</si>
  <si>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</si>
  <si>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</si>
  <si>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</si>
  <si>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</si>
  <si>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</si>
  <si>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</si>
  <si>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</si>
  <si>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</si>
  <si>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</si>
  <si>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</si>
  <si>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</si>
  <si>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</si>
  <si>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</si>
  <si>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</si>
  <si>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</si>
  <si>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</si>
  <si>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</si>
  <si>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</si>
  <si>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</si>
  <si>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</si>
  <si>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</si>
  <si>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</si>
  <si>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</si>
  <si>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</si>
  <si>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</si>
  <si>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</si>
  <si>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</si>
  <si>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</si>
  <si>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</si>
  <si>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</si>
  <si>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</si>
  <si>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</si>
  <si>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</si>
  <si>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</si>
  <si>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</si>
  <si>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</si>
  <si>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</si>
  <si>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</si>
  <si>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</si>
  <si>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</si>
  <si>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</si>
  <si>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</si>
  <si>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</si>
  <si>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</si>
  <si>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</si>
  <si>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</si>
  <si>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</si>
  <si>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</si>
  <si>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</si>
  <si>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</si>
  <si>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</si>
  <si>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</si>
  <si>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</si>
  <si>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</si>
  <si>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</si>
  <si>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</si>
  <si>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</si>
  <si>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</si>
  <si>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</si>
  <si>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</si>
  <si>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</si>
  <si>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</si>
  <si>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</si>
  <si>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</si>
  <si>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</si>
  <si>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</si>
  <si>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</si>
  <si>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</si>
  <si>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</si>
  <si>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</si>
  <si>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</si>
  <si>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</si>
  <si>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</si>
  <si>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</si>
  <si>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</si>
  <si>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</si>
  <si>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</si>
  <si>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</si>
  <si>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</si>
  <si>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</si>
  <si>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</si>
  <si>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</si>
  <si>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</si>
  <si>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</si>
  <si>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</si>
  <si>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</si>
  <si>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</si>
  <si>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</si>
  <si>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</si>
  <si>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</si>
  <si>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</si>
  <si>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</si>
  <si>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</si>
  <si>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</si>
  <si>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</si>
  <si>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</si>
  <si>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</si>
  <si>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</si>
  <si>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</si>
  <si>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</si>
  <si>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</si>
  <si>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</si>
  <si>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</si>
  <si>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</si>
  <si>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</si>
  <si>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</si>
  <si>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</si>
  <si>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</si>
  <si>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</si>
  <si>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</si>
  <si>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</si>
  <si>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</si>
  <si>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</si>
  <si>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</si>
  <si>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</si>
  <si>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</si>
  <si>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</si>
  <si>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</si>
  <si>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</si>
  <si>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</si>
  <si>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</si>
  <si>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</si>
  <si>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</si>
  <si>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</si>
  <si>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</si>
  <si>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</si>
  <si>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</si>
  <si>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</si>
  <si>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</si>
  <si>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</si>
  <si>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</si>
  <si>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</si>
  <si>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</si>
  <si>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</si>
  <si>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</si>
  <si>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</si>
  <si>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</si>
  <si>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</si>
  <si>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</si>
  <si>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</si>
  <si>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</si>
  <si>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</si>
  <si>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</si>
  <si>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</si>
  <si>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</si>
  <si>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</si>
  <si>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</si>
  <si>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</si>
  <si>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</si>
  <si>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</si>
  <si>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</si>
  <si>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</si>
  <si>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</si>
  <si>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</si>
  <si>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</si>
  <si>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</si>
  <si>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</si>
  <si>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</si>
  <si>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</si>
  <si>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</si>
  <si>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</si>
  <si>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</si>
  <si>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</si>
  <si>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</si>
  <si>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</si>
  <si>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</si>
  <si>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</si>
  <si>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</si>
  <si>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</si>
  <si>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</si>
  <si>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</si>
  <si>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</si>
  <si>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</si>
  <si>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</si>
  <si>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</si>
  <si>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</si>
  <si>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</si>
  <si>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</si>
  <si>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</si>
  <si>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</si>
  <si>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</si>
  <si>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</si>
  <si>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</si>
  <si>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</si>
  <si>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</si>
  <si>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</si>
  <si>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</si>
  <si>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</si>
  <si>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</si>
  <si>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</si>
  <si>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</si>
  <si>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</si>
  <si>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</si>
  <si>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</si>
  <si>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</si>
  <si>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</si>
  <si>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</si>
  <si>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</si>
  <si>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</si>
  <si>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</si>
  <si>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</si>
  <si>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</si>
  <si>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</si>
  <si>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</si>
  <si>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</si>
  <si>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</si>
  <si>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</si>
  <si>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</si>
  <si>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</si>
  <si>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</si>
  <si>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</si>
  <si>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</si>
  <si>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</si>
  <si>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</si>
  <si>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</si>
  <si>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</si>
  <si>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</si>
  <si>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</si>
  <si>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</si>
  <si>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</si>
  <si>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</si>
  <si>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</si>
  <si>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</si>
  <si>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</si>
  <si>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</si>
  <si>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</si>
  <si>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</si>
  <si>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</si>
  <si>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</si>
  <si>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</si>
  <si>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</si>
  <si>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</si>
  <si>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</si>
  <si>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</si>
  <si>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</si>
  <si>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</si>
  <si>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</si>
  <si>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</si>
  <si>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</si>
  <si>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</si>
  <si>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</si>
  <si>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</si>
  <si>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</si>
  <si>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</si>
  <si>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</si>
  <si>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</si>
  <si>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</si>
  <si>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</si>
  <si>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</si>
  <si>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</si>
  <si>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</si>
  <si>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</si>
  <si>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</si>
  <si>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</si>
  <si>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</si>
  <si>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</si>
  <si>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</si>
  <si>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</si>
  <si>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</si>
  <si>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</si>
  <si>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</si>
  <si>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</si>
  <si>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</si>
  <si>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</si>
  <si>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</si>
  <si>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</si>
  <si>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</si>
  <si>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</si>
  <si>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</si>
  <si>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</si>
  <si>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</si>
  <si>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</si>
  <si>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</si>
  <si>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</si>
  <si>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</si>
  <si>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</si>
  <si>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</si>
  <si>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</si>
  <si>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</si>
  <si>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</si>
  <si>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</si>
  <si>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</si>
  <si>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</si>
  <si>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</si>
  <si>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</si>
  <si>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</si>
  <si>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</si>
  <si>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</si>
  <si>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</si>
  <si>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</si>
  <si>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</si>
  <si>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</si>
  <si>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</si>
  <si>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</si>
  <si>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</si>
  <si>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</si>
  <si>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</si>
  <si>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</si>
  <si>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</si>
  <si>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</si>
  <si>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</si>
  <si>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</si>
  <si>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</si>
  <si>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</si>
  <si>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</si>
  <si>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</si>
  <si>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</si>
  <si>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</si>
  <si>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</si>
  <si>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</si>
  <si>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</si>
  <si>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</si>
  <si>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</si>
  <si>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</si>
  <si>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</si>
  <si>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</si>
  <si>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</si>
  <si>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</si>
  <si>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</si>
  <si>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</si>
  <si>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</si>
  <si>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</si>
  <si>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</si>
  <si>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</si>
  <si>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</si>
  <si>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</si>
  <si>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</si>
  <si>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</si>
  <si>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</si>
  <si>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</si>
  <si>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</si>
  <si>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</si>
  <si>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</si>
  <si>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</si>
  <si>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</si>
  <si>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</si>
  <si>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</si>
  <si>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</si>
  <si>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</si>
  <si>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</si>
  <si>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</si>
  <si>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</si>
  <si>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</si>
  <si>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</si>
  <si>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</si>
  <si>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</si>
  <si>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</si>
  <si>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</si>
  <si>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</si>
  <si>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</si>
  <si>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</si>
  <si>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</si>
  <si>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</si>
  <si>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</si>
  <si>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</si>
  <si>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</si>
  <si>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</si>
  <si>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</si>
  <si>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</si>
  <si>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</si>
  <si>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</si>
  <si>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</si>
  <si>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</si>
  <si>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</si>
  <si>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</si>
  <si>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</si>
  <si>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</si>
  <si>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</si>
  <si>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</si>
  <si>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</si>
  <si>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</si>
  <si>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</si>
  <si>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</si>
  <si>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</si>
  <si>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</si>
  <si>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</si>
  <si>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</si>
  <si>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</si>
  <si>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</si>
  <si>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</si>
  <si>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</si>
  <si>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</si>
  <si>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</si>
  <si>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</si>
  <si>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</si>
  <si>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</si>
  <si>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</si>
  <si>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</si>
  <si>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</si>
  <si>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</si>
  <si>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</si>
  <si>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</si>
  <si>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</si>
  <si>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</si>
  <si>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</si>
  <si>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</si>
  <si>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</si>
  <si>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</si>
  <si>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</si>
  <si>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</si>
  <si>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</si>
  <si>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</si>
  <si>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</si>
  <si>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</si>
  <si>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</si>
  <si>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</si>
  <si>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</si>
  <si>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</si>
  <si>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</si>
  <si>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</si>
  <si>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</si>
  <si>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</si>
  <si>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</si>
  <si>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</si>
  <si>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</si>
  <si>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</si>
  <si>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</si>
  <si>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</si>
  <si>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</si>
  <si>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</si>
  <si>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</si>
  <si>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</si>
  <si>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</si>
  <si>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</si>
  <si>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</si>
  <si>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</si>
  <si>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</si>
  <si>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</si>
  <si>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</si>
  <si>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</si>
  <si>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</si>
  <si>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</si>
  <si>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</si>
  <si>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</si>
  <si>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</si>
  <si>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</si>
  <si>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</si>
  <si>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</si>
  <si>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</si>
  <si>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</si>
  <si>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</si>
  <si>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</si>
  <si>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</si>
  <si>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</si>
  <si>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</si>
  <si>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</si>
  <si>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</si>
  <si>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</si>
  <si>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</si>
  <si>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</si>
  <si>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</si>
  <si>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</si>
  <si>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</si>
  <si>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</si>
  <si>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</si>
  <si>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</si>
  <si>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</si>
  <si>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</si>
  <si>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</si>
  <si>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</si>
  <si>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</si>
  <si>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</si>
  <si>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</si>
  <si>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</si>
  <si>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</si>
  <si>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</si>
  <si>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</si>
  <si>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</si>
  <si>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</si>
  <si>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</si>
  <si>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</si>
  <si>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</si>
  <si>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</si>
  <si>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</si>
  <si>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</si>
  <si>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</si>
  <si>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</si>
  <si>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</si>
  <si>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</si>
  <si>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</si>
  <si>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</si>
  <si>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</si>
  <si>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</si>
  <si>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</si>
  <si>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</si>
  <si>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</si>
  <si>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</si>
  <si>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</si>
  <si>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</si>
  <si>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</si>
  <si>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</si>
  <si>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</si>
  <si>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</si>
  <si>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</si>
  <si>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</si>
  <si>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</si>
  <si>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</si>
  <si>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</si>
  <si>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</si>
  <si>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</si>
  <si>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</si>
  <si>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</si>
  <si>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</si>
  <si>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</si>
  <si>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</si>
  <si>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</si>
  <si>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</si>
  <si>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</si>
  <si>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</si>
  <si>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</si>
  <si>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</si>
  <si>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</si>
  <si>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</si>
  <si>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</si>
  <si>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</si>
  <si>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</si>
  <si>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</si>
  <si>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</si>
  <si>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</si>
  <si>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</si>
  <si>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</si>
  <si>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</si>
  <si>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</si>
  <si>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</si>
  <si>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</si>
  <si>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</si>
  <si>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</si>
  <si>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</si>
  <si>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</si>
  <si>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</si>
  <si>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</si>
  <si>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</si>
  <si>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</si>
  <si>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</si>
  <si>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</si>
  <si>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</si>
  <si>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</si>
  <si>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</si>
  <si>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</si>
  <si>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</si>
  <si>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</si>
  <si>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</si>
  <si>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</si>
  <si>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</si>
  <si>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</si>
  <si>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</si>
  <si>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</si>
  <si>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</si>
  <si>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</si>
  <si>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</si>
  <si>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</si>
  <si>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</si>
  <si>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</si>
  <si>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</si>
  <si>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</si>
  <si>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</si>
  <si>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</si>
  <si>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</si>
  <si>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</si>
  <si>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</si>
  <si>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</si>
  <si>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</si>
  <si>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</si>
  <si>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</si>
  <si>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</si>
  <si>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</si>
  <si>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</si>
  <si>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</si>
  <si>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</si>
  <si>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</si>
  <si>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</si>
  <si>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</si>
  <si>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</si>
  <si>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</si>
  <si>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</si>
  <si>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</si>
  <si>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</si>
  <si>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</si>
  <si>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</si>
  <si>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</si>
  <si>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</si>
  <si>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</si>
  <si>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</si>
  <si>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</si>
  <si>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</si>
  <si>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</si>
  <si>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</si>
  <si>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</si>
  <si>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</si>
  <si>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</si>
  <si>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</si>
  <si>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</si>
  <si>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</si>
  <si>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</si>
  <si>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</si>
  <si>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</si>
  <si>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</si>
  <si>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</si>
  <si>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</si>
  <si>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</si>
  <si>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</si>
  <si>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</si>
  <si>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</si>
  <si>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</si>
  <si>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</si>
  <si>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</si>
  <si>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</si>
  <si>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</si>
  <si>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</si>
  <si>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</si>
  <si>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</si>
  <si>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</si>
  <si>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</si>
  <si>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</si>
  <si>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</si>
  <si>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</si>
  <si>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</si>
  <si>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</si>
  <si>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</si>
  <si>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</si>
  <si>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</si>
  <si>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</si>
  <si>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</si>
  <si>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</si>
  <si>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</si>
  <si>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</si>
  <si>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</si>
  <si>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</si>
  <si>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</si>
  <si>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</si>
  <si>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</si>
  <si>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</si>
  <si>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</si>
  <si>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</si>
  <si>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</si>
  <si>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</si>
  <si>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</si>
  <si>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</si>
  <si>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</si>
  <si>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</si>
  <si>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</si>
  <si>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</si>
  <si>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</si>
  <si>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</si>
  <si>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</si>
  <si>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</si>
  <si>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</si>
  <si>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</si>
  <si>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</si>
  <si>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</si>
  <si>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</si>
  <si>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</si>
  <si>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</si>
  <si>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</si>
  <si>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</si>
  <si>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</si>
  <si>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</si>
  <si>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</si>
  <si>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</si>
  <si>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</si>
  <si>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</si>
  <si>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</si>
  <si>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</si>
  <si>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</si>
  <si>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</si>
  <si>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</si>
  <si>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</si>
  <si>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</si>
  <si>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</si>
  <si>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</si>
  <si>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</si>
  <si>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</si>
  <si>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</si>
  <si>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</si>
  <si>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</si>
  <si>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</si>
  <si>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</si>
  <si>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</si>
  <si>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</si>
  <si>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</si>
  <si>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</si>
  <si>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</si>
  <si>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</si>
  <si>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</si>
  <si>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</si>
  <si>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</si>
  <si>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</si>
  <si>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</si>
  <si>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</si>
  <si>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</si>
  <si>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</si>
  <si>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</si>
  <si>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</si>
  <si>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</si>
  <si>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</si>
  <si>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</si>
  <si>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</si>
  <si>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</si>
  <si>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</si>
  <si>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</si>
  <si>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</si>
  <si>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</si>
  <si>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</si>
  <si>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</si>
  <si>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</si>
  <si>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</si>
  <si>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</si>
  <si>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</si>
  <si>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</si>
  <si>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</si>
  <si>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</si>
  <si>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</si>
  <si>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</si>
  <si>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</si>
  <si>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</si>
  <si>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</si>
  <si>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</si>
  <si>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</si>
  <si>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</si>
  <si>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</si>
  <si>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</si>
  <si>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</si>
  <si>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</si>
  <si>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</si>
  <si>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</si>
  <si>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</si>
  <si>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</si>
  <si>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</si>
  <si>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</si>
  <si>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</si>
  <si>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</si>
  <si>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</si>
  <si>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</si>
  <si>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</si>
  <si>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</si>
  <si>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</si>
  <si>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</si>
  <si>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</si>
  <si>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</si>
  <si>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</si>
  <si>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</si>
  <si>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</si>
  <si>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</si>
  <si>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</si>
  <si>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</si>
  <si>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</si>
  <si>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</si>
  <si>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</si>
  <si>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</si>
  <si>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</si>
  <si>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</si>
  <si>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</si>
  <si>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</si>
  <si>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</si>
  <si>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</si>
  <si>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</si>
  <si>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</si>
  <si>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</si>
  <si>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</si>
  <si>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</si>
  <si>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</si>
  <si>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</si>
  <si>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</si>
  <si>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</si>
  <si>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</si>
  <si>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</si>
  <si>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</si>
  <si>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</si>
  <si>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</si>
  <si>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</si>
  <si>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</si>
  <si>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</si>
  <si>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</si>
  <si>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</si>
  <si>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</si>
  <si>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</si>
  <si>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</si>
  <si>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</si>
  <si>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</si>
  <si>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</si>
  <si>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</si>
  <si>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</si>
  <si>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</si>
  <si>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TSO001123595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</si>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</sst>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0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83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27" sqref="AA42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00" t="s">
        <v>26</v>
      </c>
      <c r="E1" s="1000"/>
      <c r="F1" s="1000"/>
      <c r="G1" s="14" t="s">
        <v>66</v>
      </c>
      <c r="H1" s="1000" t="s">
        <v>47</v>
      </c>
      <c r="I1" s="1000"/>
      <c r="J1" s="1000"/>
      <c r="K1" s="1000"/>
      <c r="L1" s="1000"/>
      <c r="M1" s="1000"/>
      <c r="N1" s="1000"/>
      <c r="O1" s="1000"/>
      <c r="P1" s="1000"/>
      <c r="Q1" s="1000"/>
      <c r="R1" s="1001" t="s">
        <v>67</v>
      </c>
      <c r="S1" s="1002"/>
      <c r="T1" s="100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3"/>
      <c r="R2" s="1003"/>
      <c r="S2" s="1003"/>
      <c r="T2" s="1003"/>
      <c r="U2" s="1003"/>
      <c r="V2" s="1003"/>
      <c r="W2" s="1003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3"/>
      <c r="Q3" s="1003"/>
      <c r="R3" s="1003"/>
      <c r="S3" s="1003"/>
      <c r="T3" s="1003"/>
      <c r="U3" s="1003"/>
      <c r="V3" s="1003"/>
      <c r="W3" s="1003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82" t="s">
        <v>8</v>
      </c>
      <c r="B5" s="982"/>
      <c r="C5" s="982"/>
      <c r="D5" s="1004"/>
      <c r="E5" s="1004"/>
      <c r="F5" s="1005" t="s">
        <v>14</v>
      </c>
      <c r="G5" s="1005"/>
      <c r="H5" s="1004" t="s">
        <v>914</v>
      </c>
      <c r="I5" s="1004"/>
      <c r="J5" s="1004"/>
      <c r="K5" s="1004"/>
      <c r="L5" s="1004"/>
      <c r="M5" s="1004"/>
      <c r="N5" s="69"/>
      <c r="P5" s="26" t="s">
        <v>4</v>
      </c>
      <c r="Q5" s="1006">
        <v>46286</v>
      </c>
      <c r="R5" s="1006"/>
      <c r="T5" s="1007" t="s">
        <v>3</v>
      </c>
      <c r="U5" s="1008"/>
      <c r="V5" s="1009" t="s">
        <v>874</v>
      </c>
      <c r="W5" s="1010"/>
      <c r="AB5" s="57"/>
      <c r="AC5" s="57"/>
      <c r="AD5" s="57"/>
      <c r="AE5" s="57"/>
    </row>
    <row r="6" spans="1:32" s="17" customFormat="1" ht="24" customHeight="1" x14ac:dyDescent="0.2">
      <c r="A6" s="982" t="s">
        <v>1</v>
      </c>
      <c r="B6" s="982"/>
      <c r="C6" s="982"/>
      <c r="D6" s="983" t="s">
        <v>875</v>
      </c>
      <c r="E6" s="983"/>
      <c r="F6" s="983"/>
      <c r="G6" s="983"/>
      <c r="H6" s="983"/>
      <c r="I6" s="983"/>
      <c r="J6" s="983"/>
      <c r="K6" s="983"/>
      <c r="L6" s="983"/>
      <c r="M6" s="983"/>
      <c r="N6" s="70"/>
      <c r="P6" s="26" t="s">
        <v>27</v>
      </c>
      <c r="Q6" s="984" t="str">
        <f>IF(Q5=0," ",CHOOSE(WEEKDAY(Q5,2),"Понедельник","Вторник","Среда","Четверг","Пятница","Суббота","Воскресенье"))</f>
        <v>Понедельник</v>
      </c>
      <c r="R6" s="984"/>
      <c r="T6" s="985" t="s">
        <v>5</v>
      </c>
      <c r="U6" s="986"/>
      <c r="V6" s="987" t="s">
        <v>69</v>
      </c>
      <c r="W6" s="98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93" t="str">
        <f>IFERROR(VLOOKUP(DeliveryAddress,Table,3,0),1)</f>
        <v>1</v>
      </c>
      <c r="E7" s="994"/>
      <c r="F7" s="994"/>
      <c r="G7" s="994"/>
      <c r="H7" s="994"/>
      <c r="I7" s="994"/>
      <c r="J7" s="994"/>
      <c r="K7" s="994"/>
      <c r="L7" s="994"/>
      <c r="M7" s="995"/>
      <c r="N7" s="71"/>
      <c r="P7" s="26"/>
      <c r="Q7" s="46"/>
      <c r="R7" s="46"/>
      <c r="T7" s="985"/>
      <c r="U7" s="986"/>
      <c r="V7" s="989"/>
      <c r="W7" s="990"/>
      <c r="AB7" s="57"/>
      <c r="AC7" s="57"/>
      <c r="AD7" s="57"/>
      <c r="AE7" s="57"/>
    </row>
    <row r="8" spans="1:32" s="17" customFormat="1" ht="25.5" customHeight="1" x14ac:dyDescent="0.2">
      <c r="A8" s="996" t="s">
        <v>57</v>
      </c>
      <c r="B8" s="996"/>
      <c r="C8" s="996"/>
      <c r="D8" s="997"/>
      <c r="E8" s="997"/>
      <c r="F8" s="997"/>
      <c r="G8" s="997"/>
      <c r="H8" s="997"/>
      <c r="I8" s="997"/>
      <c r="J8" s="997"/>
      <c r="K8" s="997"/>
      <c r="L8" s="997"/>
      <c r="M8" s="997"/>
      <c r="N8" s="72"/>
      <c r="P8" s="26" t="s">
        <v>11</v>
      </c>
      <c r="Q8" s="980">
        <v>0.5</v>
      </c>
      <c r="R8" s="980"/>
      <c r="T8" s="985"/>
      <c r="U8" s="986"/>
      <c r="V8" s="989"/>
      <c r="W8" s="990"/>
      <c r="AB8" s="57"/>
      <c r="AC8" s="57"/>
      <c r="AD8" s="57"/>
      <c r="AE8" s="57"/>
    </row>
    <row r="9" spans="1:32" s="17" customFormat="1" ht="39.950000000000003" customHeight="1" x14ac:dyDescent="0.2">
      <c r="A9" s="9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2"/>
      <c r="C9" s="972"/>
      <c r="D9" s="973" t="s">
        <v>46</v>
      </c>
      <c r="E9" s="974"/>
      <c r="F9" s="9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2"/>
      <c r="H9" s="998" t="str">
        <f>IF(AND($A$9="Тип доверенности/получателя при получении в адресе перегруза:",$D$9="Разовая доверенность"),"Введите ФИО","")</f>
        <v/>
      </c>
      <c r="I9" s="998"/>
      <c r="J9" s="99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8"/>
      <c r="L9" s="998"/>
      <c r="M9" s="998"/>
      <c r="N9" s="67"/>
      <c r="P9" s="29" t="s">
        <v>15</v>
      </c>
      <c r="Q9" s="999"/>
      <c r="R9" s="999"/>
      <c r="T9" s="985"/>
      <c r="U9" s="986"/>
      <c r="V9" s="991"/>
      <c r="W9" s="99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2"/>
      <c r="C10" s="972"/>
      <c r="D10" s="973"/>
      <c r="E10" s="974"/>
      <c r="F10" s="9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2"/>
      <c r="H10" s="975" t="str">
        <f>IFERROR(VLOOKUP($D$10,Proxy,2,FALSE),"")</f>
        <v/>
      </c>
      <c r="I10" s="975"/>
      <c r="J10" s="975"/>
      <c r="K10" s="975"/>
      <c r="L10" s="975"/>
      <c r="M10" s="975"/>
      <c r="N10" s="68"/>
      <c r="P10" s="29" t="s">
        <v>32</v>
      </c>
      <c r="Q10" s="976"/>
      <c r="R10" s="976"/>
      <c r="U10" s="26" t="s">
        <v>12</v>
      </c>
      <c r="V10" s="977" t="s">
        <v>70</v>
      </c>
      <c r="W10" s="978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9"/>
      <c r="R11" s="979"/>
      <c r="U11" s="26" t="s">
        <v>28</v>
      </c>
      <c r="V11" s="958" t="s">
        <v>915</v>
      </c>
      <c r="W11" s="95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57" t="s">
        <v>71</v>
      </c>
      <c r="B12" s="957"/>
      <c r="C12" s="957"/>
      <c r="D12" s="957"/>
      <c r="E12" s="957"/>
      <c r="F12" s="957"/>
      <c r="G12" s="957"/>
      <c r="H12" s="957"/>
      <c r="I12" s="957"/>
      <c r="J12" s="957"/>
      <c r="K12" s="957"/>
      <c r="L12" s="957"/>
      <c r="M12" s="957"/>
      <c r="N12" s="73"/>
      <c r="P12" s="26" t="s">
        <v>30</v>
      </c>
      <c r="Q12" s="980"/>
      <c r="R12" s="980"/>
      <c r="S12" s="27"/>
      <c r="T12"/>
      <c r="U12" s="26" t="s">
        <v>46</v>
      </c>
      <c r="V12" s="981"/>
      <c r="W12" s="981"/>
      <c r="X12"/>
      <c r="AB12" s="57"/>
      <c r="AC12" s="57"/>
      <c r="AD12" s="57"/>
      <c r="AE12" s="57"/>
    </row>
    <row r="13" spans="1:32" s="17" customFormat="1" ht="23.25" customHeight="1" x14ac:dyDescent="0.2">
      <c r="A13" s="957" t="s">
        <v>72</v>
      </c>
      <c r="B13" s="957"/>
      <c r="C13" s="957"/>
      <c r="D13" s="957"/>
      <c r="E13" s="957"/>
      <c r="F13" s="957"/>
      <c r="G13" s="957"/>
      <c r="H13" s="957"/>
      <c r="I13" s="957"/>
      <c r="J13" s="957"/>
      <c r="K13" s="957"/>
      <c r="L13" s="957"/>
      <c r="M13" s="957"/>
      <c r="N13" s="73"/>
      <c r="O13" s="29"/>
      <c r="P13" s="29" t="s">
        <v>31</v>
      </c>
      <c r="Q13" s="958"/>
      <c r="R13" s="95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57" t="s">
        <v>73</v>
      </c>
      <c r="B14" s="957"/>
      <c r="C14" s="957"/>
      <c r="D14" s="957"/>
      <c r="E14" s="957"/>
      <c r="F14" s="957"/>
      <c r="G14" s="957"/>
      <c r="H14" s="957"/>
      <c r="I14" s="957"/>
      <c r="J14" s="957"/>
      <c r="K14" s="957"/>
      <c r="L14" s="957"/>
      <c r="M14" s="957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59" t="s">
        <v>74</v>
      </c>
      <c r="B15" s="959"/>
      <c r="C15" s="959"/>
      <c r="D15" s="959"/>
      <c r="E15" s="959"/>
      <c r="F15" s="959"/>
      <c r="G15" s="959"/>
      <c r="H15" s="959"/>
      <c r="I15" s="959"/>
      <c r="J15" s="959"/>
      <c r="K15" s="959"/>
      <c r="L15" s="959"/>
      <c r="M15" s="959"/>
      <c r="N15" s="74"/>
      <c r="O15"/>
      <c r="P15" s="960" t="s">
        <v>60</v>
      </c>
      <c r="Q15" s="960"/>
      <c r="R15" s="960"/>
      <c r="S15" s="960"/>
      <c r="T15" s="960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1"/>
      <c r="Q16" s="961"/>
      <c r="R16" s="961"/>
      <c r="S16" s="961"/>
      <c r="T16" s="96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3" t="s">
        <v>58</v>
      </c>
      <c r="B17" s="943" t="s">
        <v>49</v>
      </c>
      <c r="C17" s="964" t="s">
        <v>48</v>
      </c>
      <c r="D17" s="966" t="s">
        <v>50</v>
      </c>
      <c r="E17" s="967"/>
      <c r="F17" s="943" t="s">
        <v>21</v>
      </c>
      <c r="G17" s="943" t="s">
        <v>24</v>
      </c>
      <c r="H17" s="943" t="s">
        <v>22</v>
      </c>
      <c r="I17" s="943" t="s">
        <v>23</v>
      </c>
      <c r="J17" s="943" t="s">
        <v>16</v>
      </c>
      <c r="K17" s="943" t="s">
        <v>65</v>
      </c>
      <c r="L17" s="943" t="s">
        <v>63</v>
      </c>
      <c r="M17" s="943" t="s">
        <v>2</v>
      </c>
      <c r="N17" s="943" t="s">
        <v>62</v>
      </c>
      <c r="O17" s="943" t="s">
        <v>25</v>
      </c>
      <c r="P17" s="966" t="s">
        <v>17</v>
      </c>
      <c r="Q17" s="970"/>
      <c r="R17" s="970"/>
      <c r="S17" s="970"/>
      <c r="T17" s="967"/>
      <c r="U17" s="962" t="s">
        <v>55</v>
      </c>
      <c r="V17" s="963"/>
      <c r="W17" s="943" t="s">
        <v>6</v>
      </c>
      <c r="X17" s="943" t="s">
        <v>41</v>
      </c>
      <c r="Y17" s="945" t="s">
        <v>54</v>
      </c>
      <c r="Z17" s="947" t="s">
        <v>18</v>
      </c>
      <c r="AA17" s="949" t="s">
        <v>59</v>
      </c>
      <c r="AB17" s="949" t="s">
        <v>19</v>
      </c>
      <c r="AC17" s="949" t="s">
        <v>64</v>
      </c>
      <c r="AD17" s="951" t="s">
        <v>56</v>
      </c>
      <c r="AE17" s="952"/>
      <c r="AF17" s="953"/>
      <c r="AG17" s="77"/>
      <c r="BD17" s="76" t="s">
        <v>61</v>
      </c>
    </row>
    <row r="18" spans="1:68" ht="14.25" customHeight="1" x14ac:dyDescent="0.2">
      <c r="A18" s="944"/>
      <c r="B18" s="944"/>
      <c r="C18" s="965"/>
      <c r="D18" s="968"/>
      <c r="E18" s="969"/>
      <c r="F18" s="944"/>
      <c r="G18" s="944"/>
      <c r="H18" s="944"/>
      <c r="I18" s="944"/>
      <c r="J18" s="944"/>
      <c r="K18" s="944"/>
      <c r="L18" s="944"/>
      <c r="M18" s="944"/>
      <c r="N18" s="944"/>
      <c r="O18" s="944"/>
      <c r="P18" s="968"/>
      <c r="Q18" s="971"/>
      <c r="R18" s="971"/>
      <c r="S18" s="971"/>
      <c r="T18" s="969"/>
      <c r="U18" s="78" t="s">
        <v>44</v>
      </c>
      <c r="V18" s="78" t="s">
        <v>43</v>
      </c>
      <c r="W18" s="944"/>
      <c r="X18" s="944"/>
      <c r="Y18" s="946"/>
      <c r="Z18" s="948"/>
      <c r="AA18" s="950"/>
      <c r="AB18" s="950"/>
      <c r="AC18" s="950"/>
      <c r="AD18" s="954"/>
      <c r="AE18" s="955"/>
      <c r="AF18" s="956"/>
      <c r="AG18" s="77"/>
      <c r="BD18" s="76"/>
    </row>
    <row r="19" spans="1:68" ht="27.75" hidden="1" customHeight="1" x14ac:dyDescent="0.2">
      <c r="A19" s="668" t="s">
        <v>75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2"/>
      <c r="AB19" s="52"/>
      <c r="AC19" s="52"/>
    </row>
    <row r="20" spans="1:68" ht="16.5" hidden="1" customHeight="1" x14ac:dyDescent="0.25">
      <c r="A20" s="647" t="s">
        <v>75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2"/>
      <c r="AB20" s="62"/>
      <c r="AC20" s="62"/>
    </row>
    <row r="21" spans="1:68" ht="14.25" hidden="1" customHeight="1" x14ac:dyDescent="0.25">
      <c r="A21" s="648" t="s">
        <v>76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49">
        <v>4680115886643</v>
      </c>
      <c r="E22" s="649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4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1"/>
      <c r="R22" s="651"/>
      <c r="S22" s="651"/>
      <c r="T22" s="652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49">
        <v>4680115889071</v>
      </c>
      <c r="E23" s="649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4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1"/>
      <c r="R23" s="651"/>
      <c r="S23" s="651"/>
      <c r="T23" s="652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48" t="s">
        <v>85</v>
      </c>
      <c r="B26" s="648"/>
      <c r="C26" s="648"/>
      <c r="D26" s="648"/>
      <c r="E26" s="648"/>
      <c r="F26" s="648"/>
      <c r="G26" s="648"/>
      <c r="H26" s="648"/>
      <c r="I26" s="648"/>
      <c r="J26" s="648"/>
      <c r="K26" s="648"/>
      <c r="L26" s="648"/>
      <c r="M26" s="648"/>
      <c r="N26" s="648"/>
      <c r="O26" s="648"/>
      <c r="P26" s="648"/>
      <c r="Q26" s="648"/>
      <c r="R26" s="648"/>
      <c r="S26" s="648"/>
      <c r="T26" s="648"/>
      <c r="U26" s="648"/>
      <c r="V26" s="648"/>
      <c r="W26" s="648"/>
      <c r="X26" s="648"/>
      <c r="Y26" s="648"/>
      <c r="Z26" s="648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49">
        <v>4680115885912</v>
      </c>
      <c r="E27" s="649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1"/>
      <c r="R27" s="651"/>
      <c r="S27" s="651"/>
      <c r="T27" s="652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49">
        <v>4607091388237</v>
      </c>
      <c r="E28" s="649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1"/>
      <c r="R28" s="651"/>
      <c r="S28" s="651"/>
      <c r="T28" s="652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49">
        <v>4680115887350</v>
      </c>
      <c r="E29" s="649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1"/>
      <c r="R29" s="651"/>
      <c r="S29" s="651"/>
      <c r="T29" s="652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49">
        <v>4680115885905</v>
      </c>
      <c r="E30" s="649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1"/>
      <c r="R30" s="651"/>
      <c r="S30" s="651"/>
      <c r="T30" s="652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49">
        <v>4680115887619</v>
      </c>
      <c r="E31" s="649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1"/>
      <c r="R31" s="651"/>
      <c r="S31" s="651"/>
      <c r="T31" s="652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2"/>
      <c r="AB34" s="52"/>
      <c r="AC34" s="52"/>
    </row>
    <row r="35" spans="1:68" ht="16.5" hidden="1" customHeight="1" x14ac:dyDescent="0.25">
      <c r="A35" s="647" t="s">
        <v>103</v>
      </c>
      <c r="B35" s="647"/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7"/>
      <c r="O35" s="647"/>
      <c r="P35" s="647"/>
      <c r="Q35" s="647"/>
      <c r="R35" s="647"/>
      <c r="S35" s="647"/>
      <c r="T35" s="647"/>
      <c r="U35" s="647"/>
      <c r="V35" s="647"/>
      <c r="W35" s="647"/>
      <c r="X35" s="647"/>
      <c r="Y35" s="647"/>
      <c r="Z35" s="647"/>
      <c r="AA35" s="62"/>
      <c r="AB35" s="62"/>
      <c r="AC35" s="62"/>
    </row>
    <row r="36" spans="1:68" ht="14.25" hidden="1" customHeight="1" x14ac:dyDescent="0.25">
      <c r="A36" s="648" t="s">
        <v>85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649">
        <v>4680115889354</v>
      </c>
      <c r="E37" s="649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9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1"/>
      <c r="R37" s="651"/>
      <c r="S37" s="651"/>
      <c r="T37" s="652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649">
        <v>4680115888463</v>
      </c>
      <c r="E38" s="649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9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1"/>
      <c r="R38" s="651"/>
      <c r="S38" s="651"/>
      <c r="T38" s="652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649">
        <v>4680115889590</v>
      </c>
      <c r="E39" s="649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9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1"/>
      <c r="R39" s="651"/>
      <c r="S39" s="651"/>
      <c r="T39" s="652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649">
        <v>4680115888272</v>
      </c>
      <c r="E40" s="649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9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1"/>
      <c r="R40" s="651"/>
      <c r="S40" s="651"/>
      <c r="T40" s="652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649">
        <v>4680115888364</v>
      </c>
      <c r="E41" s="649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1"/>
      <c r="R41" s="651"/>
      <c r="S41" s="651"/>
      <c r="T41" s="652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68" t="s">
        <v>119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2"/>
      <c r="AB44" s="52"/>
      <c r="AC44" s="52"/>
    </row>
    <row r="45" spans="1:68" ht="16.5" hidden="1" customHeight="1" x14ac:dyDescent="0.25">
      <c r="A45" s="647" t="s">
        <v>120</v>
      </c>
      <c r="B45" s="647"/>
      <c r="C45" s="647"/>
      <c r="D45" s="647"/>
      <c r="E45" s="647"/>
      <c r="F45" s="647"/>
      <c r="G45" s="647"/>
      <c r="H45" s="647"/>
      <c r="I45" s="647"/>
      <c r="J45" s="647"/>
      <c r="K45" s="647"/>
      <c r="L45" s="647"/>
      <c r="M45" s="647"/>
      <c r="N45" s="647"/>
      <c r="O45" s="647"/>
      <c r="P45" s="647"/>
      <c r="Q45" s="647"/>
      <c r="R45" s="647"/>
      <c r="S45" s="647"/>
      <c r="T45" s="647"/>
      <c r="U45" s="647"/>
      <c r="V45" s="647"/>
      <c r="W45" s="647"/>
      <c r="X45" s="647"/>
      <c r="Y45" s="647"/>
      <c r="Z45" s="647"/>
      <c r="AA45" s="62"/>
      <c r="AB45" s="62"/>
      <c r="AC45" s="62"/>
    </row>
    <row r="46" spans="1:68" ht="14.25" hidden="1" customHeight="1" x14ac:dyDescent="0.25">
      <c r="A46" s="648" t="s">
        <v>121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649">
        <v>4607091385670</v>
      </c>
      <c r="E47" s="649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92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1"/>
      <c r="R47" s="651"/>
      <c r="S47" s="651"/>
      <c r="T47" s="652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649">
        <v>4680115887725</v>
      </c>
      <c r="E48" s="649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92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1"/>
      <c r="R48" s="651"/>
      <c r="S48" s="651"/>
      <c r="T48" s="652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649">
        <v>4607091385687</v>
      </c>
      <c r="E49" s="649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9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1"/>
      <c r="R49" s="651"/>
      <c r="S49" s="651"/>
      <c r="T49" s="652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649">
        <v>4680115882539</v>
      </c>
      <c r="E50" s="649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92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1"/>
      <c r="R50" s="651"/>
      <c r="S50" s="651"/>
      <c r="T50" s="652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47" t="s">
        <v>136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7"/>
      <c r="Q53" s="647"/>
      <c r="R53" s="647"/>
      <c r="S53" s="647"/>
      <c r="T53" s="647"/>
      <c r="U53" s="647"/>
      <c r="V53" s="647"/>
      <c r="W53" s="647"/>
      <c r="X53" s="647"/>
      <c r="Y53" s="647"/>
      <c r="Z53" s="647"/>
      <c r="AA53" s="62"/>
      <c r="AB53" s="62"/>
      <c r="AC53" s="62"/>
    </row>
    <row r="54" spans="1:68" ht="14.25" hidden="1" customHeight="1" x14ac:dyDescent="0.25">
      <c r="A54" s="648" t="s">
        <v>121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649">
        <v>4680115885882</v>
      </c>
      <c r="E55" s="649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92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1"/>
      <c r="R55" s="651"/>
      <c r="S55" s="651"/>
      <c r="T55" s="652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649">
        <v>4680115881426</v>
      </c>
      <c r="E56" s="649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1"/>
      <c r="R56" s="651"/>
      <c r="S56" s="651"/>
      <c r="T56" s="652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49">
        <v>4680115880283</v>
      </c>
      <c r="E57" s="649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92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1"/>
      <c r="R57" s="651"/>
      <c r="S57" s="651"/>
      <c r="T57" s="652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49">
        <v>4680115881525</v>
      </c>
      <c r="E58" s="649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1"/>
      <c r="R58" s="651"/>
      <c r="S58" s="651"/>
      <c r="T58" s="652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649">
        <v>4680115881525</v>
      </c>
      <c r="E59" s="649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133</v>
      </c>
      <c r="L59" s="35" t="s">
        <v>46</v>
      </c>
      <c r="M59" s="36" t="s">
        <v>125</v>
      </c>
      <c r="N59" s="36"/>
      <c r="O59" s="35">
        <v>50</v>
      </c>
      <c r="P59" s="92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1"/>
      <c r="R59" s="651"/>
      <c r="S59" s="651"/>
      <c r="T59" s="652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150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151</v>
      </c>
      <c r="B60" s="60" t="s">
        <v>152</v>
      </c>
      <c r="C60" s="34">
        <v>4301012165</v>
      </c>
      <c r="D60" s="649">
        <v>4680115885899</v>
      </c>
      <c r="E60" s="649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90</v>
      </c>
      <c r="L60" s="35" t="s">
        <v>46</v>
      </c>
      <c r="M60" s="36" t="s">
        <v>125</v>
      </c>
      <c r="N60" s="36"/>
      <c r="O60" s="35">
        <v>50</v>
      </c>
      <c r="P60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1"/>
      <c r="R60" s="651"/>
      <c r="S60" s="651"/>
      <c r="T60" s="652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139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153</v>
      </c>
      <c r="B61" s="60" t="s">
        <v>154</v>
      </c>
      <c r="C61" s="34">
        <v>4301011801</v>
      </c>
      <c r="D61" s="649">
        <v>4680115881419</v>
      </c>
      <c r="E61" s="649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133</v>
      </c>
      <c r="L61" s="35" t="s">
        <v>46</v>
      </c>
      <c r="M61" s="36" t="s">
        <v>125</v>
      </c>
      <c r="N61" s="36"/>
      <c r="O61" s="35">
        <v>50</v>
      </c>
      <c r="P61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1"/>
      <c r="R61" s="651"/>
      <c r="S61" s="651"/>
      <c r="T61" s="652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155</v>
      </c>
      <c r="AG61" s="75"/>
      <c r="AJ61" s="79" t="s">
        <v>46</v>
      </c>
      <c r="AK61" s="79">
        <v>0</v>
      </c>
      <c r="BB61" s="126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3" t="s">
        <v>40</v>
      </c>
      <c r="Q62" s="654"/>
      <c r="R62" s="654"/>
      <c r="S62" s="654"/>
      <c r="T62" s="654"/>
      <c r="U62" s="654"/>
      <c r="V62" s="655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53" t="s">
        <v>40</v>
      </c>
      <c r="Q63" s="654"/>
      <c r="R63" s="654"/>
      <c r="S63" s="654"/>
      <c r="T63" s="654"/>
      <c r="U63" s="654"/>
      <c r="V63" s="655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648" t="s">
        <v>156</v>
      </c>
      <c r="B64" s="648"/>
      <c r="C64" s="648"/>
      <c r="D64" s="648"/>
      <c r="E64" s="648"/>
      <c r="F64" s="648"/>
      <c r="G64" s="648"/>
      <c r="H64" s="648"/>
      <c r="I64" s="648"/>
      <c r="J64" s="648"/>
      <c r="K64" s="648"/>
      <c r="L64" s="648"/>
      <c r="M64" s="648"/>
      <c r="N64" s="648"/>
      <c r="O64" s="648"/>
      <c r="P64" s="648"/>
      <c r="Q64" s="648"/>
      <c r="R64" s="648"/>
      <c r="S64" s="648"/>
      <c r="T64" s="648"/>
      <c r="U64" s="648"/>
      <c r="V64" s="648"/>
      <c r="W64" s="648"/>
      <c r="X64" s="648"/>
      <c r="Y64" s="648"/>
      <c r="Z64" s="648"/>
      <c r="AA64" s="63"/>
      <c r="AB64" s="63"/>
      <c r="AC64" s="63"/>
    </row>
    <row r="65" spans="1:68" ht="16.5" hidden="1" customHeight="1" x14ac:dyDescent="0.25">
      <c r="A65" s="60" t="s">
        <v>157</v>
      </c>
      <c r="B65" s="60" t="s">
        <v>158</v>
      </c>
      <c r="C65" s="34">
        <v>4301020298</v>
      </c>
      <c r="D65" s="649">
        <v>4680115881440</v>
      </c>
      <c r="E65" s="649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126</v>
      </c>
      <c r="L65" s="35" t="s">
        <v>46</v>
      </c>
      <c r="M65" s="36" t="s">
        <v>125</v>
      </c>
      <c r="N65" s="36"/>
      <c r="O65" s="35">
        <v>50</v>
      </c>
      <c r="P65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1"/>
      <c r="R65" s="651"/>
      <c r="S65" s="651"/>
      <c r="T65" s="652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159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4301020358</v>
      </c>
      <c r="D66" s="649">
        <v>4680115885950</v>
      </c>
      <c r="E66" s="649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90</v>
      </c>
      <c r="L66" s="35" t="s">
        <v>46</v>
      </c>
      <c r="M66" s="36" t="s">
        <v>89</v>
      </c>
      <c r="N66" s="36"/>
      <c r="O66" s="35">
        <v>50</v>
      </c>
      <c r="P66" s="9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1"/>
      <c r="R66" s="651"/>
      <c r="S66" s="651"/>
      <c r="T66" s="652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159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162</v>
      </c>
      <c r="B67" s="60" t="s">
        <v>163</v>
      </c>
      <c r="C67" s="34">
        <v>4301020371</v>
      </c>
      <c r="D67" s="649">
        <v>4680115887688</v>
      </c>
      <c r="E67" s="649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130</v>
      </c>
      <c r="L67" s="35" t="s">
        <v>46</v>
      </c>
      <c r="M67" s="36" t="s">
        <v>80</v>
      </c>
      <c r="N67" s="36"/>
      <c r="O67" s="35">
        <v>30</v>
      </c>
      <c r="P67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1"/>
      <c r="R67" s="651"/>
      <c r="S67" s="651"/>
      <c r="T67" s="652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164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165</v>
      </c>
      <c r="B68" s="60" t="s">
        <v>166</v>
      </c>
      <c r="C68" s="34">
        <v>4301020296</v>
      </c>
      <c r="D68" s="649">
        <v>4680115881433</v>
      </c>
      <c r="E68" s="649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90</v>
      </c>
      <c r="L68" s="35" t="s">
        <v>46</v>
      </c>
      <c r="M68" s="36" t="s">
        <v>125</v>
      </c>
      <c r="N68" s="36"/>
      <c r="O68" s="35">
        <v>50</v>
      </c>
      <c r="P68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1"/>
      <c r="R68" s="651"/>
      <c r="S68" s="651"/>
      <c r="T68" s="652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159</v>
      </c>
      <c r="AG68" s="75"/>
      <c r="AJ68" s="79" t="s">
        <v>46</v>
      </c>
      <c r="AK68" s="79">
        <v>0</v>
      </c>
      <c r="BB68" s="134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3" t="s">
        <v>40</v>
      </c>
      <c r="Q69" s="654"/>
      <c r="R69" s="654"/>
      <c r="S69" s="654"/>
      <c r="T69" s="654"/>
      <c r="U69" s="654"/>
      <c r="V69" s="655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53" t="s">
        <v>40</v>
      </c>
      <c r="Q70" s="654"/>
      <c r="R70" s="654"/>
      <c r="S70" s="654"/>
      <c r="T70" s="654"/>
      <c r="U70" s="654"/>
      <c r="V70" s="655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648" t="s">
        <v>85</v>
      </c>
      <c r="B71" s="648"/>
      <c r="C71" s="648"/>
      <c r="D71" s="648"/>
      <c r="E71" s="648"/>
      <c r="F71" s="648"/>
      <c r="G71" s="648"/>
      <c r="H71" s="648"/>
      <c r="I71" s="648"/>
      <c r="J71" s="648"/>
      <c r="K71" s="648"/>
      <c r="L71" s="648"/>
      <c r="M71" s="648"/>
      <c r="N71" s="648"/>
      <c r="O71" s="648"/>
      <c r="P71" s="648"/>
      <c r="Q71" s="648"/>
      <c r="R71" s="648"/>
      <c r="S71" s="648"/>
      <c r="T71" s="648"/>
      <c r="U71" s="648"/>
      <c r="V71" s="648"/>
      <c r="W71" s="648"/>
      <c r="X71" s="648"/>
      <c r="Y71" s="648"/>
      <c r="Z71" s="648"/>
      <c r="AA71" s="63"/>
      <c r="AB71" s="63"/>
      <c r="AC71" s="63"/>
    </row>
    <row r="72" spans="1:68" ht="16.5" hidden="1" customHeight="1" x14ac:dyDescent="0.25">
      <c r="A72" s="60" t="s">
        <v>167</v>
      </c>
      <c r="B72" s="60" t="s">
        <v>168</v>
      </c>
      <c r="C72" s="34">
        <v>4301051837</v>
      </c>
      <c r="D72" s="649">
        <v>4680115884311</v>
      </c>
      <c r="E72" s="649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91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1"/>
      <c r="R72" s="651"/>
      <c r="S72" s="651"/>
      <c r="T72" s="652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169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170</v>
      </c>
      <c r="B73" s="60" t="s">
        <v>171</v>
      </c>
      <c r="C73" s="34">
        <v>4301051929</v>
      </c>
      <c r="D73" s="649">
        <v>4680115884403</v>
      </c>
      <c r="E73" s="649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91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1"/>
      <c r="R73" s="651"/>
      <c r="S73" s="651"/>
      <c r="T73" s="652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172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170</v>
      </c>
      <c r="B74" s="60" t="s">
        <v>173</v>
      </c>
      <c r="C74" s="34">
        <v>4301052083</v>
      </c>
      <c r="D74" s="649">
        <v>4680115884403</v>
      </c>
      <c r="E74" s="649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90</v>
      </c>
      <c r="L74" s="35" t="s">
        <v>46</v>
      </c>
      <c r="M74" s="36" t="s">
        <v>89</v>
      </c>
      <c r="N74" s="36"/>
      <c r="O74" s="35">
        <v>40</v>
      </c>
      <c r="P74" s="91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1"/>
      <c r="R74" s="651"/>
      <c r="S74" s="651"/>
      <c r="T74" s="652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172</v>
      </c>
      <c r="AG74" s="75"/>
      <c r="AJ74" s="79" t="s">
        <v>46</v>
      </c>
      <c r="AK74" s="79">
        <v>0</v>
      </c>
      <c r="BB74" s="140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53" t="s">
        <v>40</v>
      </c>
      <c r="Q76" s="654"/>
      <c r="R76" s="654"/>
      <c r="S76" s="654"/>
      <c r="T76" s="654"/>
      <c r="U76" s="654"/>
      <c r="V76" s="655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648" t="s">
        <v>174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3"/>
      <c r="AB77" s="63"/>
      <c r="AC77" s="63"/>
    </row>
    <row r="78" spans="1:68" ht="27" hidden="1" customHeight="1" x14ac:dyDescent="0.25">
      <c r="A78" s="60" t="s">
        <v>175</v>
      </c>
      <c r="B78" s="60" t="s">
        <v>176</v>
      </c>
      <c r="C78" s="34">
        <v>4301060455</v>
      </c>
      <c r="D78" s="649">
        <v>4680115881532</v>
      </c>
      <c r="E78" s="649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91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1"/>
      <c r="R78" s="651"/>
      <c r="S78" s="651"/>
      <c r="T78" s="652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177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175</v>
      </c>
      <c r="B79" s="60" t="s">
        <v>178</v>
      </c>
      <c r="C79" s="34">
        <v>4301060526</v>
      </c>
      <c r="D79" s="649">
        <v>4680115881532</v>
      </c>
      <c r="E79" s="649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126</v>
      </c>
      <c r="L79" s="35" t="s">
        <v>46</v>
      </c>
      <c r="M79" s="36" t="s">
        <v>96</v>
      </c>
      <c r="N79" s="36"/>
      <c r="O79" s="35">
        <v>30</v>
      </c>
      <c r="P79" s="91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1"/>
      <c r="R79" s="651"/>
      <c r="S79" s="651"/>
      <c r="T79" s="652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177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179</v>
      </c>
      <c r="B80" s="60" t="s">
        <v>180</v>
      </c>
      <c r="C80" s="34">
        <v>4301060527</v>
      </c>
      <c r="D80" s="649">
        <v>4680115881464</v>
      </c>
      <c r="E80" s="649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91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1"/>
      <c r="R80" s="651"/>
      <c r="S80" s="651"/>
      <c r="T80" s="652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181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647" t="s">
        <v>182</v>
      </c>
      <c r="B83" s="647"/>
      <c r="C83" s="647"/>
      <c r="D83" s="647"/>
      <c r="E83" s="647"/>
      <c r="F83" s="647"/>
      <c r="G83" s="647"/>
      <c r="H83" s="647"/>
      <c r="I83" s="647"/>
      <c r="J83" s="647"/>
      <c r="K83" s="647"/>
      <c r="L83" s="647"/>
      <c r="M83" s="647"/>
      <c r="N83" s="647"/>
      <c r="O83" s="647"/>
      <c r="P83" s="647"/>
      <c r="Q83" s="647"/>
      <c r="R83" s="647"/>
      <c r="S83" s="647"/>
      <c r="T83" s="647"/>
      <c r="U83" s="647"/>
      <c r="V83" s="647"/>
      <c r="W83" s="647"/>
      <c r="X83" s="647"/>
      <c r="Y83" s="647"/>
      <c r="Z83" s="647"/>
      <c r="AA83" s="62"/>
      <c r="AB83" s="62"/>
      <c r="AC83" s="62"/>
    </row>
    <row r="84" spans="1:68" ht="14.25" hidden="1" customHeight="1" x14ac:dyDescent="0.25">
      <c r="A84" s="648" t="s">
        <v>121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3"/>
      <c r="AB84" s="63"/>
      <c r="AC84" s="63"/>
    </row>
    <row r="85" spans="1:68" ht="27" hidden="1" customHeight="1" x14ac:dyDescent="0.25">
      <c r="A85" s="60" t="s">
        <v>183</v>
      </c>
      <c r="B85" s="60" t="s">
        <v>184</v>
      </c>
      <c r="C85" s="34">
        <v>4301011468</v>
      </c>
      <c r="D85" s="649">
        <v>4680115881327</v>
      </c>
      <c r="E85" s="649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90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1"/>
      <c r="R85" s="651"/>
      <c r="S85" s="651"/>
      <c r="T85" s="652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66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649">
        <v>4680115887732</v>
      </c>
      <c r="E86" s="649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90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1"/>
      <c r="R86" s="651"/>
      <c r="S86" s="651"/>
      <c r="T86" s="652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66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649">
        <v>4680115887732</v>
      </c>
      <c r="E87" s="649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90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1"/>
      <c r="R87" s="651"/>
      <c r="S87" s="651"/>
      <c r="T87" s="652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649">
        <v>4680115881518</v>
      </c>
      <c r="E88" s="649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1"/>
      <c r="R88" s="651"/>
      <c r="S88" s="651"/>
      <c r="T88" s="652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4301012250</v>
      </c>
      <c r="D89" s="649">
        <v>4680115881303</v>
      </c>
      <c r="E89" s="649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125</v>
      </c>
      <c r="N89" s="36"/>
      <c r="O89" s="35">
        <v>50</v>
      </c>
      <c r="P89" s="90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1"/>
      <c r="R89" s="651"/>
      <c r="S89" s="651"/>
      <c r="T89" s="652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656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3" t="s">
        <v>40</v>
      </c>
      <c r="Q90" s="654"/>
      <c r="R90" s="654"/>
      <c r="S90" s="654"/>
      <c r="T90" s="654"/>
      <c r="U90" s="654"/>
      <c r="V90" s="655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648" t="s">
        <v>85</v>
      </c>
      <c r="B92" s="648"/>
      <c r="C92" s="648"/>
      <c r="D92" s="648"/>
      <c r="E92" s="648"/>
      <c r="F92" s="648"/>
      <c r="G92" s="648"/>
      <c r="H92" s="648"/>
      <c r="I92" s="648"/>
      <c r="J92" s="648"/>
      <c r="K92" s="648"/>
      <c r="L92" s="648"/>
      <c r="M92" s="648"/>
      <c r="N92" s="648"/>
      <c r="O92" s="648"/>
      <c r="P92" s="648"/>
      <c r="Q92" s="648"/>
      <c r="R92" s="648"/>
      <c r="S92" s="648"/>
      <c r="T92" s="648"/>
      <c r="U92" s="648"/>
      <c r="V92" s="648"/>
      <c r="W92" s="648"/>
      <c r="X92" s="648"/>
      <c r="Y92" s="648"/>
      <c r="Z92" s="648"/>
      <c r="AA92" s="63"/>
      <c r="AB92" s="63"/>
      <c r="AC92" s="63"/>
    </row>
    <row r="93" spans="1:68" ht="27" hidden="1" customHeight="1" x14ac:dyDescent="0.25">
      <c r="A93" s="60" t="s">
        <v>194</v>
      </c>
      <c r="B93" s="60" t="s">
        <v>195</v>
      </c>
      <c r="C93" s="34">
        <v>4301052101</v>
      </c>
      <c r="D93" s="649">
        <v>4607091386967</v>
      </c>
      <c r="E93" s="649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126</v>
      </c>
      <c r="L93" s="35" t="s">
        <v>46</v>
      </c>
      <c r="M93" s="36" t="s">
        <v>96</v>
      </c>
      <c r="N93" s="36"/>
      <c r="O93" s="35">
        <v>45</v>
      </c>
      <c r="P93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1"/>
      <c r="R93" s="651"/>
      <c r="S93" s="651"/>
      <c r="T93" s="652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196</v>
      </c>
      <c r="AG93" s="75"/>
      <c r="AJ93" s="79" t="s">
        <v>46</v>
      </c>
      <c r="AK93" s="79">
        <v>0</v>
      </c>
      <c r="BB93" s="158" t="s">
        <v>66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197</v>
      </c>
      <c r="B94" s="60" t="s">
        <v>198</v>
      </c>
      <c r="C94" s="34">
        <v>4301052090</v>
      </c>
      <c r="D94" s="649">
        <v>4680115884953</v>
      </c>
      <c r="E94" s="649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90</v>
      </c>
      <c r="L94" s="35" t="s">
        <v>46</v>
      </c>
      <c r="M94" s="36" t="s">
        <v>89</v>
      </c>
      <c r="N94" s="36"/>
      <c r="O94" s="35">
        <v>45</v>
      </c>
      <c r="P94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1"/>
      <c r="R94" s="651"/>
      <c r="S94" s="651"/>
      <c r="T94" s="652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199</v>
      </c>
      <c r="AG94" s="75"/>
      <c r="AJ94" s="79" t="s">
        <v>46</v>
      </c>
      <c r="AK94" s="79">
        <v>0</v>
      </c>
      <c r="BB94" s="160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200</v>
      </c>
      <c r="B95" s="60" t="s">
        <v>201</v>
      </c>
      <c r="C95" s="34">
        <v>4301052094</v>
      </c>
      <c r="D95" s="649">
        <v>4607091385731</v>
      </c>
      <c r="E95" s="649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90</v>
      </c>
      <c r="L95" s="35" t="s">
        <v>46</v>
      </c>
      <c r="M95" s="36" t="s">
        <v>96</v>
      </c>
      <c r="N95" s="36"/>
      <c r="O95" s="35">
        <v>45</v>
      </c>
      <c r="P95" s="9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1"/>
      <c r="R95" s="651"/>
      <c r="S95" s="651"/>
      <c r="T95" s="652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196</v>
      </c>
      <c r="AG95" s="75"/>
      <c r="AJ95" s="79" t="s">
        <v>46</v>
      </c>
      <c r="AK95" s="79">
        <v>0</v>
      </c>
      <c r="BB95" s="162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202</v>
      </c>
      <c r="B96" s="60" t="s">
        <v>203</v>
      </c>
      <c r="C96" s="34">
        <v>4301052092</v>
      </c>
      <c r="D96" s="649">
        <v>4680115880894</v>
      </c>
      <c r="E96" s="649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90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1"/>
      <c r="R96" s="651"/>
      <c r="S96" s="651"/>
      <c r="T96" s="652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204</v>
      </c>
      <c r="AG96" s="75"/>
      <c r="AJ96" s="79" t="s">
        <v>46</v>
      </c>
      <c r="AK96" s="79">
        <v>0</v>
      </c>
      <c r="BB96" s="164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idden="1" x14ac:dyDescent="0.2">
      <c r="A97" s="656"/>
      <c r="B97" s="656"/>
      <c r="C97" s="656"/>
      <c r="D97" s="656"/>
      <c r="E97" s="656"/>
      <c r="F97" s="656"/>
      <c r="G97" s="656"/>
      <c r="H97" s="656"/>
      <c r="I97" s="656"/>
      <c r="J97" s="656"/>
      <c r="K97" s="656"/>
      <c r="L97" s="656"/>
      <c r="M97" s="656"/>
      <c r="N97" s="656"/>
      <c r="O97" s="657"/>
      <c r="P97" s="653" t="s">
        <v>40</v>
      </c>
      <c r="Q97" s="654"/>
      <c r="R97" s="654"/>
      <c r="S97" s="654"/>
      <c r="T97" s="654"/>
      <c r="U97" s="654"/>
      <c r="V97" s="655"/>
      <c r="W97" s="40" t="s">
        <v>39</v>
      </c>
      <c r="X97" s="41">
        <f>IFERROR(X93/H93,"0")+IFERROR(X94/H94,"0")+IFERROR(X95/H95,"0")+IFERROR(X96/H96,"0")</f>
        <v>0</v>
      </c>
      <c r="Y97" s="41">
        <f>IFERROR(Y93/H93,"0")+IFERROR(Y94/H94,"0")+IFERROR(Y95/H95,"0")+IFERROR(Y96/H96,"0")</f>
        <v>0</v>
      </c>
      <c r="Z97" s="41">
        <f>IFERROR(IF(Z93="",0,Z93),"0")+IFERROR(IF(Z94="",0,Z94),"0")+IFERROR(IF(Z95="",0,Z95),"0")+IFERROR(IF(Z96="",0,Z96),"0")</f>
        <v>0</v>
      </c>
      <c r="AA97" s="64"/>
      <c r="AB97" s="64"/>
      <c r="AC97" s="64"/>
    </row>
    <row r="98" spans="1:68" hidden="1" x14ac:dyDescent="0.2">
      <c r="A98" s="656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53" t="s">
        <v>40</v>
      </c>
      <c r="Q98" s="654"/>
      <c r="R98" s="654"/>
      <c r="S98" s="654"/>
      <c r="T98" s="654"/>
      <c r="U98" s="654"/>
      <c r="V98" s="655"/>
      <c r="W98" s="40" t="s">
        <v>0</v>
      </c>
      <c r="X98" s="41">
        <f>IFERROR(SUM(X93:X96),"0")</f>
        <v>0</v>
      </c>
      <c r="Y98" s="41">
        <f>IFERROR(SUM(Y93:Y96),"0")</f>
        <v>0</v>
      </c>
      <c r="Z98" s="40"/>
      <c r="AA98" s="64"/>
      <c r="AB98" s="64"/>
      <c r="AC98" s="64"/>
    </row>
    <row r="99" spans="1:68" ht="16.5" hidden="1" customHeight="1" x14ac:dyDescent="0.25">
      <c r="A99" s="647" t="s">
        <v>205</v>
      </c>
      <c r="B99" s="647"/>
      <c r="C99" s="647"/>
      <c r="D99" s="647"/>
      <c r="E99" s="647"/>
      <c r="F99" s="647"/>
      <c r="G99" s="647"/>
      <c r="H99" s="647"/>
      <c r="I99" s="647"/>
      <c r="J99" s="647"/>
      <c r="K99" s="647"/>
      <c r="L99" s="647"/>
      <c r="M99" s="647"/>
      <c r="N99" s="647"/>
      <c r="O99" s="647"/>
      <c r="P99" s="647"/>
      <c r="Q99" s="647"/>
      <c r="R99" s="647"/>
      <c r="S99" s="647"/>
      <c r="T99" s="647"/>
      <c r="U99" s="647"/>
      <c r="V99" s="647"/>
      <c r="W99" s="647"/>
      <c r="X99" s="647"/>
      <c r="Y99" s="647"/>
      <c r="Z99" s="647"/>
      <c r="AA99" s="62"/>
      <c r="AB99" s="62"/>
      <c r="AC99" s="62"/>
    </row>
    <row r="100" spans="1:68" ht="14.25" hidden="1" customHeight="1" x14ac:dyDescent="0.25">
      <c r="A100" s="648" t="s">
        <v>121</v>
      </c>
      <c r="B100" s="648"/>
      <c r="C100" s="648"/>
      <c r="D100" s="648"/>
      <c r="E100" s="648"/>
      <c r="F100" s="648"/>
      <c r="G100" s="648"/>
      <c r="H100" s="648"/>
      <c r="I100" s="648"/>
      <c r="J100" s="648"/>
      <c r="K100" s="648"/>
      <c r="L100" s="648"/>
      <c r="M100" s="648"/>
      <c r="N100" s="648"/>
      <c r="O100" s="648"/>
      <c r="P100" s="648"/>
      <c r="Q100" s="648"/>
      <c r="R100" s="648"/>
      <c r="S100" s="648"/>
      <c r="T100" s="648"/>
      <c r="U100" s="648"/>
      <c r="V100" s="648"/>
      <c r="W100" s="648"/>
      <c r="X100" s="648"/>
      <c r="Y100" s="648"/>
      <c r="Z100" s="648"/>
      <c r="AA100" s="63"/>
      <c r="AB100" s="63"/>
      <c r="AC100" s="63"/>
    </row>
    <row r="101" spans="1:68" ht="37.5" hidden="1" customHeight="1" x14ac:dyDescent="0.25">
      <c r="A101" s="60" t="s">
        <v>206</v>
      </c>
      <c r="B101" s="60" t="s">
        <v>207</v>
      </c>
      <c r="C101" s="34">
        <v>4301011514</v>
      </c>
      <c r="D101" s="649">
        <v>4680115882133</v>
      </c>
      <c r="E101" s="649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126</v>
      </c>
      <c r="L101" s="35" t="s">
        <v>46</v>
      </c>
      <c r="M101" s="36" t="s">
        <v>125</v>
      </c>
      <c r="N101" s="36"/>
      <c r="O101" s="35">
        <v>50</v>
      </c>
      <c r="P101" s="9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1"/>
      <c r="R101" s="651"/>
      <c r="S101" s="651"/>
      <c r="T101" s="652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ref="Y101:Y108" si="5">IFERROR(IF(X101="",0,CEILING((X101/$H101),1)*$H101),"")</f>
        <v>0</v>
      </c>
      <c r="Z101" s="39" t="str">
        <f>IFERROR(IF(Y101=0,"",ROUNDUP(Y101/H101,0)*0.01898),"")</f>
        <v/>
      </c>
      <c r="AA101" s="65" t="s">
        <v>46</v>
      </c>
      <c r="AB101" s="66" t="s">
        <v>46</v>
      </c>
      <c r="AC101" s="165" t="s">
        <v>208</v>
      </c>
      <c r="AG101" s="75"/>
      <c r="AJ101" s="79" t="s">
        <v>46</v>
      </c>
      <c r="AK101" s="79">
        <v>0</v>
      </c>
      <c r="BB101" s="166" t="s">
        <v>66</v>
      </c>
      <c r="BM101" s="75">
        <f t="shared" ref="BM101:BM108" si="6">IFERROR(X101*I101/H101,"0")</f>
        <v>0</v>
      </c>
      <c r="BN101" s="75">
        <f t="shared" ref="BN101:BN108" si="7">IFERROR(Y101*I101/H101,"0")</f>
        <v>0</v>
      </c>
      <c r="BO101" s="75">
        <f t="shared" ref="BO101:BO108" si="8">IFERROR(1/J101*(X101/H101),"0")</f>
        <v>0</v>
      </c>
      <c r="BP101" s="75">
        <f t="shared" ref="BP101:BP108" si="9">IFERROR(1/J101*(Y101/H101),"0")</f>
        <v>0</v>
      </c>
    </row>
    <row r="102" spans="1:68" ht="27" hidden="1" customHeight="1" x14ac:dyDescent="0.25">
      <c r="A102" s="60" t="s">
        <v>206</v>
      </c>
      <c r="B102" s="60" t="s">
        <v>209</v>
      </c>
      <c r="C102" s="34">
        <v>4301012256</v>
      </c>
      <c r="D102" s="649">
        <v>4680115882133</v>
      </c>
      <c r="E102" s="649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126</v>
      </c>
      <c r="L102" s="35" t="s">
        <v>46</v>
      </c>
      <c r="M102" s="36" t="s">
        <v>125</v>
      </c>
      <c r="N102" s="36"/>
      <c r="O102" s="35">
        <v>50</v>
      </c>
      <c r="P102" s="89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1"/>
      <c r="R102" s="651"/>
      <c r="S102" s="651"/>
      <c r="T102" s="652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210</v>
      </c>
      <c r="AG102" s="75"/>
      <c r="AJ102" s="79" t="s">
        <v>46</v>
      </c>
      <c r="AK102" s="79">
        <v>0</v>
      </c>
      <c r="BB102" s="168" t="s">
        <v>66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211</v>
      </c>
      <c r="B103" s="60" t="s">
        <v>212</v>
      </c>
      <c r="C103" s="34">
        <v>4301012379</v>
      </c>
      <c r="D103" s="649">
        <v>4680115887718</v>
      </c>
      <c r="E103" s="649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130</v>
      </c>
      <c r="L103" s="35" t="s">
        <v>46</v>
      </c>
      <c r="M103" s="36" t="s">
        <v>80</v>
      </c>
      <c r="N103" s="36"/>
      <c r="O103" s="35">
        <v>30</v>
      </c>
      <c r="P103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1"/>
      <c r="R103" s="651"/>
      <c r="S103" s="651"/>
      <c r="T103" s="652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213</v>
      </c>
      <c r="AG103" s="75"/>
      <c r="AJ103" s="79" t="s">
        <v>46</v>
      </c>
      <c r="AK103" s="79">
        <v>0</v>
      </c>
      <c r="BB103" s="170" t="s">
        <v>66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214</v>
      </c>
      <c r="B104" s="60" t="s">
        <v>215</v>
      </c>
      <c r="C104" s="34">
        <v>4301011417</v>
      </c>
      <c r="D104" s="649">
        <v>4680115880269</v>
      </c>
      <c r="E104" s="649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133</v>
      </c>
      <c r="L104" s="35" t="s">
        <v>46</v>
      </c>
      <c r="M104" s="36" t="s">
        <v>89</v>
      </c>
      <c r="N104" s="36"/>
      <c r="O104" s="35">
        <v>50</v>
      </c>
      <c r="P104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1"/>
      <c r="R104" s="651"/>
      <c r="S104" s="651"/>
      <c r="T104" s="652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208</v>
      </c>
      <c r="AG104" s="75"/>
      <c r="AJ104" s="79" t="s">
        <v>46</v>
      </c>
      <c r="AK104" s="79">
        <v>0</v>
      </c>
      <c r="BB104" s="172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4301012254</v>
      </c>
      <c r="D105" s="649">
        <v>4680115880429</v>
      </c>
      <c r="E105" s="649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133</v>
      </c>
      <c r="L105" s="35" t="s">
        <v>46</v>
      </c>
      <c r="M105" s="36" t="s">
        <v>125</v>
      </c>
      <c r="N105" s="36"/>
      <c r="O105" s="35">
        <v>50</v>
      </c>
      <c r="P105" s="89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1"/>
      <c r="R105" s="651"/>
      <c r="S105" s="651"/>
      <c r="T105" s="652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210</v>
      </c>
      <c r="AG105" s="75"/>
      <c r="AJ105" s="79" t="s">
        <v>46</v>
      </c>
      <c r="AK105" s="79">
        <v>0</v>
      </c>
      <c r="BB105" s="174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4301011462</v>
      </c>
      <c r="D106" s="649">
        <v>4680115881457</v>
      </c>
      <c r="E106" s="649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133</v>
      </c>
      <c r="L106" s="35" t="s">
        <v>46</v>
      </c>
      <c r="M106" s="36" t="s">
        <v>89</v>
      </c>
      <c r="N106" s="36"/>
      <c r="O106" s="35">
        <v>50</v>
      </c>
      <c r="P106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1"/>
      <c r="R106" s="651"/>
      <c r="S106" s="651"/>
      <c r="T106" s="652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208</v>
      </c>
      <c r="AG106" s="75"/>
      <c r="AJ106" s="79" t="s">
        <v>46</v>
      </c>
      <c r="AK106" s="79">
        <v>0</v>
      </c>
      <c r="BB106" s="176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218</v>
      </c>
      <c r="B107" s="60" t="s">
        <v>220</v>
      </c>
      <c r="C107" s="34">
        <v>4301012255</v>
      </c>
      <c r="D107" s="649">
        <v>4680115881457</v>
      </c>
      <c r="E107" s="649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133</v>
      </c>
      <c r="L107" s="35" t="s">
        <v>46</v>
      </c>
      <c r="M107" s="36" t="s">
        <v>125</v>
      </c>
      <c r="N107" s="36"/>
      <c r="O107" s="35">
        <v>50</v>
      </c>
      <c r="P107" s="89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1"/>
      <c r="R107" s="651"/>
      <c r="S107" s="651"/>
      <c r="T107" s="652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210</v>
      </c>
      <c r="AG107" s="75"/>
      <c r="AJ107" s="79" t="s">
        <v>46</v>
      </c>
      <c r="AK107" s="79">
        <v>0</v>
      </c>
      <c r="BB107" s="178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221</v>
      </c>
      <c r="B108" s="60" t="s">
        <v>222</v>
      </c>
      <c r="C108" s="34">
        <v>4301012366</v>
      </c>
      <c r="D108" s="649">
        <v>4680115889477</v>
      </c>
      <c r="E108" s="649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90</v>
      </c>
      <c r="L108" s="35" t="s">
        <v>46</v>
      </c>
      <c r="M108" s="36" t="s">
        <v>125</v>
      </c>
      <c r="N108" s="36"/>
      <c r="O108" s="35">
        <v>55</v>
      </c>
      <c r="P108" s="89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1"/>
      <c r="R108" s="651"/>
      <c r="S108" s="651"/>
      <c r="T108" s="652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223</v>
      </c>
      <c r="AG108" s="75"/>
      <c r="AJ108" s="79" t="s">
        <v>46</v>
      </c>
      <c r="AK108" s="79">
        <v>0</v>
      </c>
      <c r="BB108" s="180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53" t="s">
        <v>40</v>
      </c>
      <c r="Q109" s="654"/>
      <c r="R109" s="654"/>
      <c r="S109" s="654"/>
      <c r="T109" s="654"/>
      <c r="U109" s="654"/>
      <c r="V109" s="655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0</v>
      </c>
      <c r="Y109" s="41">
        <f>IFERROR(Y101/H101,"0")+IFERROR(Y102/H102,"0")+IFERROR(Y103/H103,"0")+IFERROR(Y104/H104,"0")+IFERROR(Y105/H105,"0")+IFERROR(Y106/H106,"0")+IFERROR(Y107/H107,"0")+IFERROR(Y108/H108,"0")</f>
        <v>0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56"/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7"/>
      <c r="P110" s="653" t="s">
        <v>40</v>
      </c>
      <c r="Q110" s="654"/>
      <c r="R110" s="654"/>
      <c r="S110" s="654"/>
      <c r="T110" s="654"/>
      <c r="U110" s="654"/>
      <c r="V110" s="655"/>
      <c r="W110" s="40" t="s">
        <v>0</v>
      </c>
      <c r="X110" s="41">
        <f>IFERROR(SUM(X101:X108),"0")</f>
        <v>0</v>
      </c>
      <c r="Y110" s="41">
        <f>IFERROR(SUM(Y101:Y108),"0")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48" t="s">
        <v>156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3"/>
      <c r="AB111" s="63"/>
      <c r="AC111" s="63"/>
    </row>
    <row r="112" spans="1:68" ht="27" hidden="1" customHeight="1" x14ac:dyDescent="0.25">
      <c r="A112" s="60" t="s">
        <v>224</v>
      </c>
      <c r="B112" s="60" t="s">
        <v>225</v>
      </c>
      <c r="C112" s="34">
        <v>4301020391</v>
      </c>
      <c r="D112" s="649">
        <v>4680115881488</v>
      </c>
      <c r="E112" s="649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126</v>
      </c>
      <c r="L112" s="35" t="s">
        <v>46</v>
      </c>
      <c r="M112" s="36" t="s">
        <v>125</v>
      </c>
      <c r="N112" s="36"/>
      <c r="O112" s="35">
        <v>55</v>
      </c>
      <c r="P112" s="8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226</v>
      </c>
      <c r="AG112" s="75"/>
      <c r="AJ112" s="79" t="s">
        <v>46</v>
      </c>
      <c r="AK112" s="79">
        <v>0</v>
      </c>
      <c r="BB112" s="182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227</v>
      </c>
      <c r="B113" s="60" t="s">
        <v>228</v>
      </c>
      <c r="C113" s="34">
        <v>4301020186</v>
      </c>
      <c r="D113" s="649">
        <v>4680115887664</v>
      </c>
      <c r="E113" s="649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230</v>
      </c>
      <c r="L113" s="35" t="s">
        <v>46</v>
      </c>
      <c r="M113" s="36" t="s">
        <v>80</v>
      </c>
      <c r="N113" s="36"/>
      <c r="O113" s="35">
        <v>30</v>
      </c>
      <c r="P113" s="88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1"/>
      <c r="R113" s="651"/>
      <c r="S113" s="651"/>
      <c r="T113" s="652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229</v>
      </c>
      <c r="AG113" s="75"/>
      <c r="AJ113" s="79" t="s">
        <v>46</v>
      </c>
      <c r="AK113" s="79">
        <v>0</v>
      </c>
      <c r="BB113" s="184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227</v>
      </c>
      <c r="B114" s="60" t="s">
        <v>231</v>
      </c>
      <c r="C114" s="34">
        <v>4301020430</v>
      </c>
      <c r="D114" s="649">
        <v>4680115887664</v>
      </c>
      <c r="E114" s="649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230</v>
      </c>
      <c r="L114" s="35" t="s">
        <v>46</v>
      </c>
      <c r="M114" s="36" t="s">
        <v>80</v>
      </c>
      <c r="N114" s="36"/>
      <c r="O114" s="35">
        <v>30</v>
      </c>
      <c r="P114" s="88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1"/>
      <c r="R114" s="651"/>
      <c r="S114" s="651"/>
      <c r="T114" s="652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229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232</v>
      </c>
      <c r="B115" s="60" t="s">
        <v>233</v>
      </c>
      <c r="C115" s="34">
        <v>4301020393</v>
      </c>
      <c r="D115" s="649">
        <v>4680115882775</v>
      </c>
      <c r="E115" s="649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125</v>
      </c>
      <c r="N115" s="36"/>
      <c r="O115" s="35">
        <v>55</v>
      </c>
      <c r="P115" s="8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1"/>
      <c r="R115" s="651"/>
      <c r="S115" s="651"/>
      <c r="T115" s="652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226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4301020392</v>
      </c>
      <c r="D116" s="649">
        <v>4680115880658</v>
      </c>
      <c r="E116" s="649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125</v>
      </c>
      <c r="N116" s="36"/>
      <c r="O116" s="35">
        <v>55</v>
      </c>
      <c r="P116" s="8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1"/>
      <c r="R116" s="651"/>
      <c r="S116" s="651"/>
      <c r="T116" s="652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226</v>
      </c>
      <c r="AG116" s="75"/>
      <c r="AJ116" s="79" t="s">
        <v>46</v>
      </c>
      <c r="AK116" s="79">
        <v>0</v>
      </c>
      <c r="BB116" s="190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56"/>
      <c r="B117" s="656"/>
      <c r="C117" s="656"/>
      <c r="D117" s="656"/>
      <c r="E117" s="656"/>
      <c r="F117" s="656"/>
      <c r="G117" s="656"/>
      <c r="H117" s="656"/>
      <c r="I117" s="656"/>
      <c r="J117" s="656"/>
      <c r="K117" s="656"/>
      <c r="L117" s="656"/>
      <c r="M117" s="656"/>
      <c r="N117" s="656"/>
      <c r="O117" s="657"/>
      <c r="P117" s="653" t="s">
        <v>40</v>
      </c>
      <c r="Q117" s="654"/>
      <c r="R117" s="654"/>
      <c r="S117" s="654"/>
      <c r="T117" s="654"/>
      <c r="U117" s="654"/>
      <c r="V117" s="655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56"/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7"/>
      <c r="P118" s="653" t="s">
        <v>40</v>
      </c>
      <c r="Q118" s="654"/>
      <c r="R118" s="654"/>
      <c r="S118" s="654"/>
      <c r="T118" s="654"/>
      <c r="U118" s="654"/>
      <c r="V118" s="655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48" t="s">
        <v>85</v>
      </c>
      <c r="B119" s="648"/>
      <c r="C119" s="648"/>
      <c r="D119" s="648"/>
      <c r="E119" s="648"/>
      <c r="F119" s="648"/>
      <c r="G119" s="648"/>
      <c r="H119" s="648"/>
      <c r="I119" s="648"/>
      <c r="J119" s="648"/>
      <c r="K119" s="648"/>
      <c r="L119" s="648"/>
      <c r="M119" s="648"/>
      <c r="N119" s="648"/>
      <c r="O119" s="648"/>
      <c r="P119" s="648"/>
      <c r="Q119" s="648"/>
      <c r="R119" s="648"/>
      <c r="S119" s="648"/>
      <c r="T119" s="648"/>
      <c r="U119" s="648"/>
      <c r="V119" s="648"/>
      <c r="W119" s="648"/>
      <c r="X119" s="648"/>
      <c r="Y119" s="648"/>
      <c r="Z119" s="648"/>
      <c r="AA119" s="63"/>
      <c r="AB119" s="63"/>
      <c r="AC119" s="63"/>
    </row>
    <row r="120" spans="1:68" ht="27" hidden="1" customHeight="1" x14ac:dyDescent="0.25">
      <c r="A120" s="60" t="s">
        <v>236</v>
      </c>
      <c r="B120" s="60" t="s">
        <v>237</v>
      </c>
      <c r="C120" s="34">
        <v>4301052088</v>
      </c>
      <c r="D120" s="649">
        <v>4607091385168</v>
      </c>
      <c r="E120" s="649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126</v>
      </c>
      <c r="L120" s="35" t="s">
        <v>46</v>
      </c>
      <c r="M120" s="36" t="s">
        <v>89</v>
      </c>
      <c r="N120" s="36"/>
      <c r="O120" s="35">
        <v>45</v>
      </c>
      <c r="P120" s="88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1"/>
      <c r="R120" s="651"/>
      <c r="S120" s="651"/>
      <c r="T120" s="652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91" t="s">
        <v>238</v>
      </c>
      <c r="AG120" s="75"/>
      <c r="AJ120" s="79" t="s">
        <v>46</v>
      </c>
      <c r="AK120" s="79">
        <v>0</v>
      </c>
      <c r="BB120" s="192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239</v>
      </c>
      <c r="B121" s="60" t="s">
        <v>240</v>
      </c>
      <c r="C121" s="34">
        <v>4301052087</v>
      </c>
      <c r="D121" s="649">
        <v>4607091383256</v>
      </c>
      <c r="E121" s="649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89</v>
      </c>
      <c r="N121" s="36"/>
      <c r="O121" s="35">
        <v>45</v>
      </c>
      <c r="P121" s="885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1"/>
      <c r="R121" s="651"/>
      <c r="S121" s="651"/>
      <c r="T121" s="652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238</v>
      </c>
      <c r="AG121" s="75"/>
      <c r="AJ121" s="79" t="s">
        <v>46</v>
      </c>
      <c r="AK121" s="79">
        <v>0</v>
      </c>
      <c r="BB121" s="194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241</v>
      </c>
      <c r="B122" s="60" t="s">
        <v>242</v>
      </c>
      <c r="C122" s="34">
        <v>4301052086</v>
      </c>
      <c r="D122" s="649">
        <v>4607091385748</v>
      </c>
      <c r="E122" s="649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89</v>
      </c>
      <c r="N122" s="36"/>
      <c r="O122" s="35">
        <v>45</v>
      </c>
      <c r="P122" s="886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1"/>
      <c r="R122" s="651"/>
      <c r="S122" s="651"/>
      <c r="T122" s="652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238</v>
      </c>
      <c r="AG122" s="75"/>
      <c r="AJ122" s="79" t="s">
        <v>46</v>
      </c>
      <c r="AK122" s="79">
        <v>0</v>
      </c>
      <c r="BB122" s="196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243</v>
      </c>
      <c r="B123" s="60" t="s">
        <v>244</v>
      </c>
      <c r="C123" s="34">
        <v>4301052085</v>
      </c>
      <c r="D123" s="649">
        <v>4680115884533</v>
      </c>
      <c r="E123" s="649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88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1"/>
      <c r="R123" s="651"/>
      <c r="S123" s="651"/>
      <c r="T123" s="652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245</v>
      </c>
      <c r="AG123" s="75"/>
      <c r="AJ123" s="79" t="s">
        <v>46</v>
      </c>
      <c r="AK123" s="79">
        <v>0</v>
      </c>
      <c r="BB123" s="198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656"/>
      <c r="B124" s="656"/>
      <c r="C124" s="656"/>
      <c r="D124" s="656"/>
      <c r="E124" s="656"/>
      <c r="F124" s="656"/>
      <c r="G124" s="656"/>
      <c r="H124" s="656"/>
      <c r="I124" s="656"/>
      <c r="J124" s="656"/>
      <c r="K124" s="656"/>
      <c r="L124" s="656"/>
      <c r="M124" s="656"/>
      <c r="N124" s="656"/>
      <c r="O124" s="657"/>
      <c r="P124" s="653" t="s">
        <v>40</v>
      </c>
      <c r="Q124" s="654"/>
      <c r="R124" s="654"/>
      <c r="S124" s="654"/>
      <c r="T124" s="654"/>
      <c r="U124" s="654"/>
      <c r="V124" s="655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656"/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7"/>
      <c r="P125" s="653" t="s">
        <v>40</v>
      </c>
      <c r="Q125" s="654"/>
      <c r="R125" s="654"/>
      <c r="S125" s="654"/>
      <c r="T125" s="654"/>
      <c r="U125" s="654"/>
      <c r="V125" s="655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648" t="s">
        <v>174</v>
      </c>
      <c r="B126" s="648"/>
      <c r="C126" s="648"/>
      <c r="D126" s="648"/>
      <c r="E126" s="648"/>
      <c r="F126" s="648"/>
      <c r="G126" s="648"/>
      <c r="H126" s="648"/>
      <c r="I126" s="648"/>
      <c r="J126" s="648"/>
      <c r="K126" s="648"/>
      <c r="L126" s="648"/>
      <c r="M126" s="648"/>
      <c r="N126" s="648"/>
      <c r="O126" s="648"/>
      <c r="P126" s="648"/>
      <c r="Q126" s="648"/>
      <c r="R126" s="648"/>
      <c r="S126" s="648"/>
      <c r="T126" s="648"/>
      <c r="U126" s="648"/>
      <c r="V126" s="648"/>
      <c r="W126" s="648"/>
      <c r="X126" s="648"/>
      <c r="Y126" s="648"/>
      <c r="Z126" s="648"/>
      <c r="AA126" s="63"/>
      <c r="AB126" s="63"/>
      <c r="AC126" s="63"/>
    </row>
    <row r="127" spans="1:68" ht="16.5" hidden="1" customHeight="1" x14ac:dyDescent="0.25">
      <c r="A127" s="60" t="s">
        <v>246</v>
      </c>
      <c r="B127" s="60" t="s">
        <v>247</v>
      </c>
      <c r="C127" s="34">
        <v>4301060525</v>
      </c>
      <c r="D127" s="649">
        <v>4680115880238</v>
      </c>
      <c r="E127" s="649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8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1"/>
      <c r="R127" s="651"/>
      <c r="S127" s="651"/>
      <c r="T127" s="652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248</v>
      </c>
      <c r="AG127" s="75"/>
      <c r="AJ127" s="79" t="s">
        <v>46</v>
      </c>
      <c r="AK127" s="79">
        <v>0</v>
      </c>
      <c r="BB127" s="200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656"/>
      <c r="B128" s="656"/>
      <c r="C128" s="656"/>
      <c r="D128" s="656"/>
      <c r="E128" s="656"/>
      <c r="F128" s="656"/>
      <c r="G128" s="656"/>
      <c r="H128" s="656"/>
      <c r="I128" s="656"/>
      <c r="J128" s="656"/>
      <c r="K128" s="656"/>
      <c r="L128" s="656"/>
      <c r="M128" s="656"/>
      <c r="N128" s="656"/>
      <c r="O128" s="657"/>
      <c r="P128" s="653" t="s">
        <v>40</v>
      </c>
      <c r="Q128" s="654"/>
      <c r="R128" s="654"/>
      <c r="S128" s="654"/>
      <c r="T128" s="654"/>
      <c r="U128" s="654"/>
      <c r="V128" s="655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47" t="s">
        <v>249</v>
      </c>
      <c r="B130" s="647"/>
      <c r="C130" s="647"/>
      <c r="D130" s="647"/>
      <c r="E130" s="647"/>
      <c r="F130" s="647"/>
      <c r="G130" s="647"/>
      <c r="H130" s="647"/>
      <c r="I130" s="647"/>
      <c r="J130" s="647"/>
      <c r="K130" s="647"/>
      <c r="L130" s="647"/>
      <c r="M130" s="647"/>
      <c r="N130" s="647"/>
      <c r="O130" s="647"/>
      <c r="P130" s="647"/>
      <c r="Q130" s="647"/>
      <c r="R130" s="647"/>
      <c r="S130" s="647"/>
      <c r="T130" s="647"/>
      <c r="U130" s="647"/>
      <c r="V130" s="647"/>
      <c r="W130" s="647"/>
      <c r="X130" s="647"/>
      <c r="Y130" s="647"/>
      <c r="Z130" s="647"/>
      <c r="AA130" s="62"/>
      <c r="AB130" s="62"/>
      <c r="AC130" s="62"/>
    </row>
    <row r="131" spans="1:68" ht="14.25" hidden="1" customHeight="1" x14ac:dyDescent="0.25">
      <c r="A131" s="648" t="s">
        <v>121</v>
      </c>
      <c r="B131" s="648"/>
      <c r="C131" s="648"/>
      <c r="D131" s="648"/>
      <c r="E131" s="648"/>
      <c r="F131" s="648"/>
      <c r="G131" s="648"/>
      <c r="H131" s="648"/>
      <c r="I131" s="648"/>
      <c r="J131" s="648"/>
      <c r="K131" s="648"/>
      <c r="L131" s="648"/>
      <c r="M131" s="648"/>
      <c r="N131" s="648"/>
      <c r="O131" s="648"/>
      <c r="P131" s="648"/>
      <c r="Q131" s="648"/>
      <c r="R131" s="648"/>
      <c r="S131" s="648"/>
      <c r="T131" s="648"/>
      <c r="U131" s="648"/>
      <c r="V131" s="648"/>
      <c r="W131" s="648"/>
      <c r="X131" s="648"/>
      <c r="Y131" s="648"/>
      <c r="Z131" s="648"/>
      <c r="AA131" s="63"/>
      <c r="AB131" s="63"/>
      <c r="AC131" s="63"/>
    </row>
    <row r="132" spans="1:68" ht="27" hidden="1" customHeight="1" x14ac:dyDescent="0.25">
      <c r="A132" s="60" t="s">
        <v>250</v>
      </c>
      <c r="B132" s="60" t="s">
        <v>251</v>
      </c>
      <c r="C132" s="34">
        <v>4301011562</v>
      </c>
      <c r="D132" s="649">
        <v>4680115882577</v>
      </c>
      <c r="E132" s="649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90</v>
      </c>
      <c r="L132" s="35" t="s">
        <v>46</v>
      </c>
      <c r="M132" s="36" t="s">
        <v>253</v>
      </c>
      <c r="N132" s="36"/>
      <c r="O132" s="35">
        <v>90</v>
      </c>
      <c r="P132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1"/>
      <c r="R132" s="651"/>
      <c r="S132" s="651"/>
      <c r="T132" s="652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252</v>
      </c>
      <c r="AG132" s="75"/>
      <c r="AJ132" s="79" t="s">
        <v>46</v>
      </c>
      <c r="AK132" s="79">
        <v>0</v>
      </c>
      <c r="BB132" s="202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250</v>
      </c>
      <c r="B133" s="60" t="s">
        <v>254</v>
      </c>
      <c r="C133" s="34">
        <v>4301011564</v>
      </c>
      <c r="D133" s="649">
        <v>4680115882577</v>
      </c>
      <c r="E133" s="649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90</v>
      </c>
      <c r="L133" s="35" t="s">
        <v>46</v>
      </c>
      <c r="M133" s="36" t="s">
        <v>253</v>
      </c>
      <c r="N133" s="36"/>
      <c r="O133" s="35">
        <v>90</v>
      </c>
      <c r="P133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1"/>
      <c r="R133" s="651"/>
      <c r="S133" s="651"/>
      <c r="T133" s="652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252</v>
      </c>
      <c r="AG133" s="75"/>
      <c r="AJ133" s="79" t="s">
        <v>46</v>
      </c>
      <c r="AK133" s="79">
        <v>0</v>
      </c>
      <c r="BB133" s="204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3" t="s">
        <v>40</v>
      </c>
      <c r="Q134" s="654"/>
      <c r="R134" s="654"/>
      <c r="S134" s="654"/>
      <c r="T134" s="654"/>
      <c r="U134" s="654"/>
      <c r="V134" s="655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648" t="s">
        <v>76</v>
      </c>
      <c r="B136" s="648"/>
      <c r="C136" s="648"/>
      <c r="D136" s="648"/>
      <c r="E136" s="648"/>
      <c r="F136" s="648"/>
      <c r="G136" s="648"/>
      <c r="H136" s="648"/>
      <c r="I136" s="648"/>
      <c r="J136" s="648"/>
      <c r="K136" s="648"/>
      <c r="L136" s="648"/>
      <c r="M136" s="648"/>
      <c r="N136" s="648"/>
      <c r="O136" s="648"/>
      <c r="P136" s="648"/>
      <c r="Q136" s="648"/>
      <c r="R136" s="648"/>
      <c r="S136" s="648"/>
      <c r="T136" s="648"/>
      <c r="U136" s="648"/>
      <c r="V136" s="648"/>
      <c r="W136" s="648"/>
      <c r="X136" s="648"/>
      <c r="Y136" s="648"/>
      <c r="Z136" s="648"/>
      <c r="AA136" s="63"/>
      <c r="AB136" s="63"/>
      <c r="AC136" s="63"/>
    </row>
    <row r="137" spans="1:68" ht="27" hidden="1" customHeight="1" x14ac:dyDescent="0.25">
      <c r="A137" s="60" t="s">
        <v>255</v>
      </c>
      <c r="B137" s="60" t="s">
        <v>256</v>
      </c>
      <c r="C137" s="34">
        <v>4301031234</v>
      </c>
      <c r="D137" s="649">
        <v>4680115883444</v>
      </c>
      <c r="E137" s="649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90</v>
      </c>
      <c r="L137" s="35" t="s">
        <v>46</v>
      </c>
      <c r="M137" s="36" t="s">
        <v>253</v>
      </c>
      <c r="N137" s="36"/>
      <c r="O137" s="35">
        <v>90</v>
      </c>
      <c r="P137" s="8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1"/>
      <c r="R137" s="651"/>
      <c r="S137" s="651"/>
      <c r="T137" s="652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257</v>
      </c>
      <c r="AG137" s="75"/>
      <c r="AJ137" s="79" t="s">
        <v>46</v>
      </c>
      <c r="AK137" s="79">
        <v>0</v>
      </c>
      <c r="BB137" s="206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255</v>
      </c>
      <c r="B138" s="60" t="s">
        <v>258</v>
      </c>
      <c r="C138" s="34">
        <v>4301031235</v>
      </c>
      <c r="D138" s="649">
        <v>4680115883444</v>
      </c>
      <c r="E138" s="649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90</v>
      </c>
      <c r="L138" s="35" t="s">
        <v>46</v>
      </c>
      <c r="M138" s="36" t="s">
        <v>253</v>
      </c>
      <c r="N138" s="36"/>
      <c r="O138" s="35">
        <v>90</v>
      </c>
      <c r="P138" s="8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1"/>
      <c r="R138" s="651"/>
      <c r="S138" s="651"/>
      <c r="T138" s="652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257</v>
      </c>
      <c r="AG138" s="75"/>
      <c r="AJ138" s="79" t="s">
        <v>46</v>
      </c>
      <c r="AK138" s="79">
        <v>0</v>
      </c>
      <c r="BB138" s="208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656"/>
      <c r="B139" s="656"/>
      <c r="C139" s="656"/>
      <c r="D139" s="656"/>
      <c r="E139" s="656"/>
      <c r="F139" s="656"/>
      <c r="G139" s="656"/>
      <c r="H139" s="656"/>
      <c r="I139" s="656"/>
      <c r="J139" s="656"/>
      <c r="K139" s="656"/>
      <c r="L139" s="656"/>
      <c r="M139" s="656"/>
      <c r="N139" s="656"/>
      <c r="O139" s="657"/>
      <c r="P139" s="653" t="s">
        <v>40</v>
      </c>
      <c r="Q139" s="654"/>
      <c r="R139" s="654"/>
      <c r="S139" s="654"/>
      <c r="T139" s="654"/>
      <c r="U139" s="654"/>
      <c r="V139" s="655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648" t="s">
        <v>85</v>
      </c>
      <c r="B141" s="648"/>
      <c r="C141" s="648"/>
      <c r="D141" s="648"/>
      <c r="E141" s="648"/>
      <c r="F141" s="648"/>
      <c r="G141" s="648"/>
      <c r="H141" s="648"/>
      <c r="I141" s="648"/>
      <c r="J141" s="648"/>
      <c r="K141" s="648"/>
      <c r="L141" s="648"/>
      <c r="M141" s="648"/>
      <c r="N141" s="648"/>
      <c r="O141" s="648"/>
      <c r="P141" s="648"/>
      <c r="Q141" s="648"/>
      <c r="R141" s="648"/>
      <c r="S141" s="648"/>
      <c r="T141" s="648"/>
      <c r="U141" s="648"/>
      <c r="V141" s="648"/>
      <c r="W141" s="648"/>
      <c r="X141" s="648"/>
      <c r="Y141" s="648"/>
      <c r="Z141" s="648"/>
      <c r="AA141" s="63"/>
      <c r="AB141" s="63"/>
      <c r="AC141" s="63"/>
    </row>
    <row r="142" spans="1:68" ht="16.5" hidden="1" customHeight="1" x14ac:dyDescent="0.25">
      <c r="A142" s="60" t="s">
        <v>259</v>
      </c>
      <c r="B142" s="60" t="s">
        <v>260</v>
      </c>
      <c r="C142" s="34">
        <v>4301051476</v>
      </c>
      <c r="D142" s="649">
        <v>4680115882584</v>
      </c>
      <c r="E142" s="649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90</v>
      </c>
      <c r="L142" s="35" t="s">
        <v>46</v>
      </c>
      <c r="M142" s="36" t="s">
        <v>253</v>
      </c>
      <c r="N142" s="36"/>
      <c r="O142" s="35">
        <v>60</v>
      </c>
      <c r="P142" s="87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1"/>
      <c r="R142" s="651"/>
      <c r="S142" s="651"/>
      <c r="T142" s="652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252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259</v>
      </c>
      <c r="B143" s="60" t="s">
        <v>261</v>
      </c>
      <c r="C143" s="34">
        <v>4301051477</v>
      </c>
      <c r="D143" s="649">
        <v>4680115882584</v>
      </c>
      <c r="E143" s="649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90</v>
      </c>
      <c r="L143" s="35" t="s">
        <v>46</v>
      </c>
      <c r="M143" s="36" t="s">
        <v>253</v>
      </c>
      <c r="N143" s="36"/>
      <c r="O143" s="35">
        <v>60</v>
      </c>
      <c r="P143" s="87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1"/>
      <c r="R143" s="651"/>
      <c r="S143" s="651"/>
      <c r="T143" s="652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252</v>
      </c>
      <c r="AG143" s="75"/>
      <c r="AJ143" s="79" t="s">
        <v>46</v>
      </c>
      <c r="AK143" s="79">
        <v>0</v>
      </c>
      <c r="BB143" s="212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656"/>
      <c r="B144" s="656"/>
      <c r="C144" s="656"/>
      <c r="D144" s="656"/>
      <c r="E144" s="656"/>
      <c r="F144" s="656"/>
      <c r="G144" s="656"/>
      <c r="H144" s="656"/>
      <c r="I144" s="656"/>
      <c r="J144" s="656"/>
      <c r="K144" s="656"/>
      <c r="L144" s="656"/>
      <c r="M144" s="656"/>
      <c r="N144" s="656"/>
      <c r="O144" s="657"/>
      <c r="P144" s="653" t="s">
        <v>40</v>
      </c>
      <c r="Q144" s="654"/>
      <c r="R144" s="654"/>
      <c r="S144" s="654"/>
      <c r="T144" s="654"/>
      <c r="U144" s="654"/>
      <c r="V144" s="655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647" t="s">
        <v>262</v>
      </c>
      <c r="B146" s="647"/>
      <c r="C146" s="647"/>
      <c r="D146" s="647"/>
      <c r="E146" s="647"/>
      <c r="F146" s="647"/>
      <c r="G146" s="647"/>
      <c r="H146" s="647"/>
      <c r="I146" s="647"/>
      <c r="J146" s="647"/>
      <c r="K146" s="647"/>
      <c r="L146" s="647"/>
      <c r="M146" s="647"/>
      <c r="N146" s="647"/>
      <c r="O146" s="647"/>
      <c r="P146" s="647"/>
      <c r="Q146" s="647"/>
      <c r="R146" s="647"/>
      <c r="S146" s="647"/>
      <c r="T146" s="647"/>
      <c r="U146" s="647"/>
      <c r="V146" s="647"/>
      <c r="W146" s="647"/>
      <c r="X146" s="647"/>
      <c r="Y146" s="647"/>
      <c r="Z146" s="647"/>
      <c r="AA146" s="62"/>
      <c r="AB146" s="62"/>
      <c r="AC146" s="62"/>
    </row>
    <row r="147" spans="1:68" ht="14.25" hidden="1" customHeight="1" x14ac:dyDescent="0.25">
      <c r="A147" s="648" t="s">
        <v>85</v>
      </c>
      <c r="B147" s="648"/>
      <c r="C147" s="648"/>
      <c r="D147" s="648"/>
      <c r="E147" s="648"/>
      <c r="F147" s="648"/>
      <c r="G147" s="648"/>
      <c r="H147" s="648"/>
      <c r="I147" s="648"/>
      <c r="J147" s="648"/>
      <c r="K147" s="648"/>
      <c r="L147" s="648"/>
      <c r="M147" s="648"/>
      <c r="N147" s="648"/>
      <c r="O147" s="648"/>
      <c r="P147" s="648"/>
      <c r="Q147" s="648"/>
      <c r="R147" s="648"/>
      <c r="S147" s="648"/>
      <c r="T147" s="648"/>
      <c r="U147" s="648"/>
      <c r="V147" s="648"/>
      <c r="W147" s="648"/>
      <c r="X147" s="648"/>
      <c r="Y147" s="648"/>
      <c r="Z147" s="648"/>
      <c r="AA147" s="63"/>
      <c r="AB147" s="63"/>
      <c r="AC147" s="63"/>
    </row>
    <row r="148" spans="1:68" ht="27" hidden="1" customHeight="1" x14ac:dyDescent="0.25">
      <c r="A148" s="60" t="s">
        <v>263</v>
      </c>
      <c r="B148" s="60" t="s">
        <v>264</v>
      </c>
      <c r="C148" s="34">
        <v>4301052254</v>
      </c>
      <c r="D148" s="649">
        <v>4680115888203</v>
      </c>
      <c r="E148" s="649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90</v>
      </c>
      <c r="L148" s="35" t="s">
        <v>46</v>
      </c>
      <c r="M148" s="36" t="s">
        <v>96</v>
      </c>
      <c r="N148" s="36"/>
      <c r="O148" s="35">
        <v>40</v>
      </c>
      <c r="P148" s="87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1"/>
      <c r="R148" s="651"/>
      <c r="S148" s="651"/>
      <c r="T148" s="652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265</v>
      </c>
      <c r="AG148" s="75"/>
      <c r="AJ148" s="79" t="s">
        <v>46</v>
      </c>
      <c r="AK148" s="79">
        <v>0</v>
      </c>
      <c r="BB148" s="214" t="s">
        <v>66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266</v>
      </c>
      <c r="B149" s="60" t="s">
        <v>267</v>
      </c>
      <c r="C149" s="34">
        <v>4301052172</v>
      </c>
      <c r="D149" s="649">
        <v>4680115888180</v>
      </c>
      <c r="E149" s="649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87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1"/>
      <c r="R149" s="651"/>
      <c r="S149" s="651"/>
      <c r="T149" s="652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268</v>
      </c>
      <c r="AG149" s="75"/>
      <c r="AJ149" s="79" t="s">
        <v>46</v>
      </c>
      <c r="AK149" s="79">
        <v>0</v>
      </c>
      <c r="BB149" s="216" t="s">
        <v>66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266</v>
      </c>
      <c r="B150" s="60" t="s">
        <v>269</v>
      </c>
      <c r="C150" s="34">
        <v>4301052252</v>
      </c>
      <c r="D150" s="649">
        <v>4680115888180</v>
      </c>
      <c r="E150" s="649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87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1"/>
      <c r="R150" s="651"/>
      <c r="S150" s="651"/>
      <c r="T150" s="652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268</v>
      </c>
      <c r="AG150" s="75"/>
      <c r="AJ150" s="79" t="s">
        <v>46</v>
      </c>
      <c r="AK150" s="79">
        <v>0</v>
      </c>
      <c r="BB150" s="218" t="s">
        <v>66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4301052253</v>
      </c>
      <c r="D151" s="649">
        <v>4680115888197</v>
      </c>
      <c r="E151" s="649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87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1"/>
      <c r="R151" s="651"/>
      <c r="S151" s="651"/>
      <c r="T151" s="652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272</v>
      </c>
      <c r="AG151" s="75"/>
      <c r="AJ151" s="79" t="s">
        <v>46</v>
      </c>
      <c r="AK151" s="79">
        <v>0</v>
      </c>
      <c r="BB151" s="220" t="s">
        <v>66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273</v>
      </c>
      <c r="B152" s="60" t="s">
        <v>274</v>
      </c>
      <c r="C152" s="34">
        <v>4301052175</v>
      </c>
      <c r="D152" s="649">
        <v>4680115888210</v>
      </c>
      <c r="E152" s="649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90</v>
      </c>
      <c r="L152" s="35" t="s">
        <v>46</v>
      </c>
      <c r="M152" s="36" t="s">
        <v>96</v>
      </c>
      <c r="N152" s="36"/>
      <c r="O152" s="35">
        <v>40</v>
      </c>
      <c r="P152" s="87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1"/>
      <c r="R152" s="651"/>
      <c r="S152" s="651"/>
      <c r="T152" s="652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275</v>
      </c>
      <c r="AG152" s="75"/>
      <c r="AJ152" s="79" t="s">
        <v>46</v>
      </c>
      <c r="AK152" s="79">
        <v>0</v>
      </c>
      <c r="BB152" s="222" t="s">
        <v>66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273</v>
      </c>
      <c r="B153" s="60" t="s">
        <v>276</v>
      </c>
      <c r="C153" s="34">
        <v>4301052255</v>
      </c>
      <c r="D153" s="649">
        <v>4680115888210</v>
      </c>
      <c r="E153" s="649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90</v>
      </c>
      <c r="L153" s="35" t="s">
        <v>46</v>
      </c>
      <c r="M153" s="36" t="s">
        <v>96</v>
      </c>
      <c r="N153" s="36"/>
      <c r="O153" s="35">
        <v>40</v>
      </c>
      <c r="P153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1"/>
      <c r="R153" s="651"/>
      <c r="S153" s="651"/>
      <c r="T153" s="652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275</v>
      </c>
      <c r="AG153" s="75"/>
      <c r="AJ153" s="79" t="s">
        <v>46</v>
      </c>
      <c r="AK153" s="79">
        <v>0</v>
      </c>
      <c r="BB153" s="224" t="s">
        <v>66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53" t="s">
        <v>40</v>
      </c>
      <c r="Q154" s="654"/>
      <c r="R154" s="654"/>
      <c r="S154" s="654"/>
      <c r="T154" s="654"/>
      <c r="U154" s="654"/>
      <c r="V154" s="655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648" t="s">
        <v>277</v>
      </c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8"/>
      <c r="P156" s="648"/>
      <c r="Q156" s="648"/>
      <c r="R156" s="648"/>
      <c r="S156" s="648"/>
      <c r="T156" s="648"/>
      <c r="U156" s="648"/>
      <c r="V156" s="648"/>
      <c r="W156" s="648"/>
      <c r="X156" s="648"/>
      <c r="Y156" s="648"/>
      <c r="Z156" s="648"/>
      <c r="AA156" s="63"/>
      <c r="AB156" s="63"/>
      <c r="AC156" s="63"/>
    </row>
    <row r="157" spans="1:68" ht="27" hidden="1" customHeight="1" x14ac:dyDescent="0.25">
      <c r="A157" s="60" t="s">
        <v>278</v>
      </c>
      <c r="B157" s="60" t="s">
        <v>279</v>
      </c>
      <c r="C157" s="34">
        <v>4301032067</v>
      </c>
      <c r="D157" s="649">
        <v>4680115889132</v>
      </c>
      <c r="E157" s="649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283</v>
      </c>
      <c r="L157" s="35" t="s">
        <v>46</v>
      </c>
      <c r="M157" s="36" t="s">
        <v>282</v>
      </c>
      <c r="N157" s="36"/>
      <c r="O157" s="35">
        <v>120</v>
      </c>
      <c r="P157" s="87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1"/>
      <c r="R157" s="651"/>
      <c r="S157" s="651"/>
      <c r="T157" s="652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280</v>
      </c>
      <c r="AG157" s="75"/>
      <c r="AJ157" s="79" t="s">
        <v>46</v>
      </c>
      <c r="AK157" s="79">
        <v>0</v>
      </c>
      <c r="BB157" s="226" t="s">
        <v>281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56"/>
      <c r="B158" s="656"/>
      <c r="C158" s="656"/>
      <c r="D158" s="656"/>
      <c r="E158" s="656"/>
      <c r="F158" s="656"/>
      <c r="G158" s="656"/>
      <c r="H158" s="656"/>
      <c r="I158" s="656"/>
      <c r="J158" s="656"/>
      <c r="K158" s="656"/>
      <c r="L158" s="656"/>
      <c r="M158" s="656"/>
      <c r="N158" s="656"/>
      <c r="O158" s="657"/>
      <c r="P158" s="653" t="s">
        <v>40</v>
      </c>
      <c r="Q158" s="654"/>
      <c r="R158" s="654"/>
      <c r="S158" s="654"/>
      <c r="T158" s="654"/>
      <c r="U158" s="654"/>
      <c r="V158" s="655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656"/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7"/>
      <c r="P159" s="653" t="s">
        <v>40</v>
      </c>
      <c r="Q159" s="654"/>
      <c r="R159" s="654"/>
      <c r="S159" s="654"/>
      <c r="T159" s="654"/>
      <c r="U159" s="654"/>
      <c r="V159" s="655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647" t="s">
        <v>119</v>
      </c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7"/>
      <c r="P160" s="647"/>
      <c r="Q160" s="647"/>
      <c r="R160" s="647"/>
      <c r="S160" s="647"/>
      <c r="T160" s="647"/>
      <c r="U160" s="647"/>
      <c r="V160" s="647"/>
      <c r="W160" s="647"/>
      <c r="X160" s="647"/>
      <c r="Y160" s="647"/>
      <c r="Z160" s="647"/>
      <c r="AA160" s="62"/>
      <c r="AB160" s="62"/>
      <c r="AC160" s="62"/>
    </row>
    <row r="161" spans="1:68" ht="14.25" hidden="1" customHeight="1" x14ac:dyDescent="0.25">
      <c r="A161" s="648" t="s">
        <v>121</v>
      </c>
      <c r="B161" s="648"/>
      <c r="C161" s="648"/>
      <c r="D161" s="648"/>
      <c r="E161" s="648"/>
      <c r="F161" s="648"/>
      <c r="G161" s="648"/>
      <c r="H161" s="648"/>
      <c r="I161" s="648"/>
      <c r="J161" s="648"/>
      <c r="K161" s="648"/>
      <c r="L161" s="648"/>
      <c r="M161" s="648"/>
      <c r="N161" s="648"/>
      <c r="O161" s="648"/>
      <c r="P161" s="648"/>
      <c r="Q161" s="648"/>
      <c r="R161" s="648"/>
      <c r="S161" s="648"/>
      <c r="T161" s="648"/>
      <c r="U161" s="648"/>
      <c r="V161" s="648"/>
      <c r="W161" s="648"/>
      <c r="X161" s="648"/>
      <c r="Y161" s="648"/>
      <c r="Z161" s="648"/>
      <c r="AA161" s="63"/>
      <c r="AB161" s="63"/>
      <c r="AC161" s="63"/>
    </row>
    <row r="162" spans="1:68" ht="27" hidden="1" customHeight="1" x14ac:dyDescent="0.25">
      <c r="A162" s="60" t="s">
        <v>284</v>
      </c>
      <c r="B162" s="60" t="s">
        <v>285</v>
      </c>
      <c r="C162" s="34">
        <v>4301012338</v>
      </c>
      <c r="D162" s="649">
        <v>4680115887374</v>
      </c>
      <c r="E162" s="649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126</v>
      </c>
      <c r="L162" s="35" t="s">
        <v>46</v>
      </c>
      <c r="M162" s="36" t="s">
        <v>125</v>
      </c>
      <c r="N162" s="36"/>
      <c r="O162" s="35">
        <v>55</v>
      </c>
      <c r="P162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1"/>
      <c r="R162" s="651"/>
      <c r="S162" s="651"/>
      <c r="T162" s="652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286</v>
      </c>
      <c r="AG162" s="75"/>
      <c r="AJ162" s="79" t="s">
        <v>46</v>
      </c>
      <c r="AK162" s="79">
        <v>0</v>
      </c>
      <c r="BB162" s="228" t="s">
        <v>66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287</v>
      </c>
      <c r="B163" s="60" t="s">
        <v>288</v>
      </c>
      <c r="C163" s="34">
        <v>4301011705</v>
      </c>
      <c r="D163" s="649">
        <v>4607091384604</v>
      </c>
      <c r="E163" s="649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133</v>
      </c>
      <c r="L163" s="35" t="s">
        <v>46</v>
      </c>
      <c r="M163" s="36" t="s">
        <v>125</v>
      </c>
      <c r="N163" s="36"/>
      <c r="O163" s="35">
        <v>50</v>
      </c>
      <c r="P163" s="86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1"/>
      <c r="R163" s="651"/>
      <c r="S163" s="651"/>
      <c r="T163" s="652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289</v>
      </c>
      <c r="AG163" s="75"/>
      <c r="AJ163" s="79" t="s">
        <v>46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290</v>
      </c>
      <c r="B164" s="60" t="s">
        <v>291</v>
      </c>
      <c r="C164" s="34">
        <v>4301012344</v>
      </c>
      <c r="D164" s="649">
        <v>4680115888876</v>
      </c>
      <c r="E164" s="649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90</v>
      </c>
      <c r="L164" s="35" t="s">
        <v>46</v>
      </c>
      <c r="M164" s="36" t="s">
        <v>89</v>
      </c>
      <c r="N164" s="36"/>
      <c r="O164" s="35">
        <v>55</v>
      </c>
      <c r="P164" s="86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1"/>
      <c r="R164" s="651"/>
      <c r="S164" s="651"/>
      <c r="T164" s="652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292</v>
      </c>
      <c r="AG164" s="75"/>
      <c r="AJ164" s="79" t="s">
        <v>46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3" t="s">
        <v>40</v>
      </c>
      <c r="Q165" s="654"/>
      <c r="R165" s="654"/>
      <c r="S165" s="654"/>
      <c r="T165" s="654"/>
      <c r="U165" s="654"/>
      <c r="V165" s="655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3" t="s">
        <v>40</v>
      </c>
      <c r="Q166" s="654"/>
      <c r="R166" s="654"/>
      <c r="S166" s="654"/>
      <c r="T166" s="654"/>
      <c r="U166" s="654"/>
      <c r="V166" s="655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648" t="s">
        <v>156</v>
      </c>
      <c r="B167" s="648"/>
      <c r="C167" s="648"/>
      <c r="D167" s="648"/>
      <c r="E167" s="648"/>
      <c r="F167" s="648"/>
      <c r="G167" s="648"/>
      <c r="H167" s="648"/>
      <c r="I167" s="648"/>
      <c r="J167" s="648"/>
      <c r="K167" s="648"/>
      <c r="L167" s="648"/>
      <c r="M167" s="648"/>
      <c r="N167" s="648"/>
      <c r="O167" s="648"/>
      <c r="P167" s="648"/>
      <c r="Q167" s="648"/>
      <c r="R167" s="648"/>
      <c r="S167" s="648"/>
      <c r="T167" s="648"/>
      <c r="U167" s="648"/>
      <c r="V167" s="648"/>
      <c r="W167" s="648"/>
      <c r="X167" s="648"/>
      <c r="Y167" s="648"/>
      <c r="Z167" s="648"/>
      <c r="AA167" s="63"/>
      <c r="AB167" s="63"/>
      <c r="AC167" s="63"/>
    </row>
    <row r="168" spans="1:68" ht="16.5" hidden="1" customHeight="1" x14ac:dyDescent="0.25">
      <c r="A168" s="60" t="s">
        <v>293</v>
      </c>
      <c r="B168" s="60" t="s">
        <v>294</v>
      </c>
      <c r="C168" s="34">
        <v>4301020410</v>
      </c>
      <c r="D168" s="649">
        <v>4680115887695</v>
      </c>
      <c r="E168" s="649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81</v>
      </c>
      <c r="L168" s="35" t="s">
        <v>46</v>
      </c>
      <c r="M168" s="36" t="s">
        <v>80</v>
      </c>
      <c r="N168" s="36"/>
      <c r="O168" s="35">
        <v>30</v>
      </c>
      <c r="P168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1"/>
      <c r="R168" s="651"/>
      <c r="S168" s="651"/>
      <c r="T168" s="652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295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296</v>
      </c>
      <c r="B169" s="60" t="s">
        <v>297</v>
      </c>
      <c r="C169" s="34">
        <v>4301020439</v>
      </c>
      <c r="D169" s="649">
        <v>4680115889491</v>
      </c>
      <c r="E169" s="649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81</v>
      </c>
      <c r="L169" s="35" t="s">
        <v>46</v>
      </c>
      <c r="M169" s="36" t="s">
        <v>125</v>
      </c>
      <c r="N169" s="36"/>
      <c r="O169" s="35">
        <v>55</v>
      </c>
      <c r="P169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1"/>
      <c r="R169" s="651"/>
      <c r="S169" s="651"/>
      <c r="T169" s="652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298</v>
      </c>
      <c r="AG169" s="75"/>
      <c r="AJ169" s="79" t="s">
        <v>46</v>
      </c>
      <c r="AK169" s="79">
        <v>0</v>
      </c>
      <c r="BB169" s="236" t="s">
        <v>66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">
      <c r="A170" s="656"/>
      <c r="B170" s="656"/>
      <c r="C170" s="656"/>
      <c r="D170" s="656"/>
      <c r="E170" s="656"/>
      <c r="F170" s="656"/>
      <c r="G170" s="656"/>
      <c r="H170" s="656"/>
      <c r="I170" s="656"/>
      <c r="J170" s="656"/>
      <c r="K170" s="656"/>
      <c r="L170" s="656"/>
      <c r="M170" s="656"/>
      <c r="N170" s="656"/>
      <c r="O170" s="657"/>
      <c r="P170" s="653" t="s">
        <v>40</v>
      </c>
      <c r="Q170" s="654"/>
      <c r="R170" s="654"/>
      <c r="S170" s="654"/>
      <c r="T170" s="654"/>
      <c r="U170" s="654"/>
      <c r="V170" s="655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">
      <c r="A171" s="656"/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7"/>
      <c r="P171" s="653" t="s">
        <v>40</v>
      </c>
      <c r="Q171" s="654"/>
      <c r="R171" s="654"/>
      <c r="S171" s="654"/>
      <c r="T171" s="654"/>
      <c r="U171" s="654"/>
      <c r="V171" s="655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648" t="s">
        <v>76</v>
      </c>
      <c r="B172" s="648"/>
      <c r="C172" s="648"/>
      <c r="D172" s="648"/>
      <c r="E172" s="648"/>
      <c r="F172" s="648"/>
      <c r="G172" s="648"/>
      <c r="H172" s="648"/>
      <c r="I172" s="648"/>
      <c r="J172" s="648"/>
      <c r="K172" s="648"/>
      <c r="L172" s="648"/>
      <c r="M172" s="648"/>
      <c r="N172" s="648"/>
      <c r="O172" s="648"/>
      <c r="P172" s="648"/>
      <c r="Q172" s="648"/>
      <c r="R172" s="648"/>
      <c r="S172" s="648"/>
      <c r="T172" s="648"/>
      <c r="U172" s="648"/>
      <c r="V172" s="648"/>
      <c r="W172" s="648"/>
      <c r="X172" s="648"/>
      <c r="Y172" s="648"/>
      <c r="Z172" s="648"/>
      <c r="AA172" s="63"/>
      <c r="AB172" s="63"/>
      <c r="AC172" s="63"/>
    </row>
    <row r="173" spans="1:68" ht="27" hidden="1" customHeight="1" x14ac:dyDescent="0.25">
      <c r="A173" s="60" t="s">
        <v>299</v>
      </c>
      <c r="B173" s="60" t="s">
        <v>300</v>
      </c>
      <c r="C173" s="34">
        <v>4301031496</v>
      </c>
      <c r="D173" s="649">
        <v>4680115887428</v>
      </c>
      <c r="E173" s="649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133</v>
      </c>
      <c r="L173" s="35" t="s">
        <v>46</v>
      </c>
      <c r="M173" s="36" t="s">
        <v>80</v>
      </c>
      <c r="N173" s="36"/>
      <c r="O173" s="35">
        <v>40</v>
      </c>
      <c r="P173" s="86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1"/>
      <c r="R173" s="651"/>
      <c r="S173" s="651"/>
      <c r="T173" s="652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301</v>
      </c>
      <c r="AG173" s="75"/>
      <c r="AJ173" s="79" t="s">
        <v>46</v>
      </c>
      <c r="AK173" s="79">
        <v>0</v>
      </c>
      <c r="BB173" s="238" t="s">
        <v>66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hidden="1" customHeight="1" x14ac:dyDescent="0.25">
      <c r="A174" s="60" t="s">
        <v>302</v>
      </c>
      <c r="B174" s="60" t="s">
        <v>303</v>
      </c>
      <c r="C174" s="34">
        <v>4301031509</v>
      </c>
      <c r="D174" s="649">
        <v>4680115889170</v>
      </c>
      <c r="E174" s="649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133</v>
      </c>
      <c r="L174" s="35" t="s">
        <v>46</v>
      </c>
      <c r="M174" s="36" t="s">
        <v>80</v>
      </c>
      <c r="N174" s="36"/>
      <c r="O174" s="35">
        <v>45</v>
      </c>
      <c r="P174" s="86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1"/>
      <c r="R174" s="651"/>
      <c r="S174" s="651"/>
      <c r="T174" s="652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6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304</v>
      </c>
      <c r="AG174" s="75"/>
      <c r="AJ174" s="79" t="s">
        <v>46</v>
      </c>
      <c r="AK174" s="79">
        <v>0</v>
      </c>
      <c r="BB174" s="240" t="s">
        <v>66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305</v>
      </c>
      <c r="B175" s="60" t="s">
        <v>306</v>
      </c>
      <c r="C175" s="34">
        <v>4301031498</v>
      </c>
      <c r="D175" s="649">
        <v>4680115887398</v>
      </c>
      <c r="E175" s="649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133</v>
      </c>
      <c r="L175" s="35" t="s">
        <v>46</v>
      </c>
      <c r="M175" s="36" t="s">
        <v>80</v>
      </c>
      <c r="N175" s="36"/>
      <c r="O175" s="35">
        <v>40</v>
      </c>
      <c r="P175" s="86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1"/>
      <c r="R175" s="651"/>
      <c r="S175" s="651"/>
      <c r="T175" s="652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307</v>
      </c>
      <c r="AG175" s="75"/>
      <c r="AJ175" s="79" t="s">
        <v>46</v>
      </c>
      <c r="AK175" s="79">
        <v>0</v>
      </c>
      <c r="BB175" s="242" t="s">
        <v>66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305</v>
      </c>
      <c r="B176" s="60" t="s">
        <v>308</v>
      </c>
      <c r="C176" s="34">
        <v>4301031522</v>
      </c>
      <c r="D176" s="649">
        <v>4680115887398</v>
      </c>
      <c r="E176" s="649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133</v>
      </c>
      <c r="L176" s="35" t="s">
        <v>46</v>
      </c>
      <c r="M176" s="36" t="s">
        <v>80</v>
      </c>
      <c r="N176" s="36"/>
      <c r="O176" s="35">
        <v>45</v>
      </c>
      <c r="P176" s="86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1"/>
      <c r="R176" s="651"/>
      <c r="S176" s="651"/>
      <c r="T176" s="652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309</v>
      </c>
      <c r="AG176" s="75"/>
      <c r="AJ176" s="79" t="s">
        <v>46</v>
      </c>
      <c r="AK176" s="79">
        <v>0</v>
      </c>
      <c r="BB176" s="244" t="s">
        <v>66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310</v>
      </c>
      <c r="B177" s="60" t="s">
        <v>311</v>
      </c>
      <c r="C177" s="34">
        <v>4301031520</v>
      </c>
      <c r="D177" s="649">
        <v>4680115887336</v>
      </c>
      <c r="E177" s="649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133</v>
      </c>
      <c r="L177" s="35" t="s">
        <v>46</v>
      </c>
      <c r="M177" s="36" t="s">
        <v>80</v>
      </c>
      <c r="N177" s="36"/>
      <c r="O177" s="35">
        <v>45</v>
      </c>
      <c r="P177" s="86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1"/>
      <c r="R177" s="651"/>
      <c r="S177" s="651"/>
      <c r="T177" s="652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312</v>
      </c>
      <c r="AG177" s="75"/>
      <c r="AJ177" s="79" t="s">
        <v>46</v>
      </c>
      <c r="AK177" s="79">
        <v>0</v>
      </c>
      <c r="BB177" s="246" t="s">
        <v>66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313</v>
      </c>
      <c r="B178" s="60" t="s">
        <v>314</v>
      </c>
      <c r="C178" s="34">
        <v>4301032049</v>
      </c>
      <c r="D178" s="649">
        <v>4680115887787</v>
      </c>
      <c r="E178" s="649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130</v>
      </c>
      <c r="L178" s="35" t="s">
        <v>46</v>
      </c>
      <c r="M178" s="36" t="s">
        <v>80</v>
      </c>
      <c r="N178" s="36"/>
      <c r="O178" s="35">
        <v>45</v>
      </c>
      <c r="P178" s="85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1"/>
      <c r="R178" s="651"/>
      <c r="S178" s="651"/>
      <c r="T178" s="652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315</v>
      </c>
      <c r="AG178" s="75"/>
      <c r="AJ178" s="79" t="s">
        <v>46</v>
      </c>
      <c r="AK178" s="79">
        <v>0</v>
      </c>
      <c r="BB178" s="248" t="s">
        <v>66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313</v>
      </c>
      <c r="B179" s="60" t="s">
        <v>316</v>
      </c>
      <c r="C179" s="34">
        <v>4301031528</v>
      </c>
      <c r="D179" s="649">
        <v>4680115887787</v>
      </c>
      <c r="E179" s="649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130</v>
      </c>
      <c r="L179" s="35" t="s">
        <v>46</v>
      </c>
      <c r="M179" s="36" t="s">
        <v>80</v>
      </c>
      <c r="N179" s="36"/>
      <c r="O179" s="35">
        <v>45</v>
      </c>
      <c r="P179" s="85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1"/>
      <c r="R179" s="651"/>
      <c r="S179" s="651"/>
      <c r="T179" s="652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315</v>
      </c>
      <c r="AG179" s="75"/>
      <c r="AJ179" s="79" t="s">
        <v>46</v>
      </c>
      <c r="AK179" s="79">
        <v>0</v>
      </c>
      <c r="BB179" s="250" t="s">
        <v>66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317</v>
      </c>
      <c r="B180" s="60" t="s">
        <v>318</v>
      </c>
      <c r="C180" s="34">
        <v>4301031448</v>
      </c>
      <c r="D180" s="649">
        <v>4680115887503</v>
      </c>
      <c r="E180" s="649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81</v>
      </c>
      <c r="L180" s="35" t="s">
        <v>46</v>
      </c>
      <c r="M180" s="36" t="s">
        <v>80</v>
      </c>
      <c r="N180" s="36"/>
      <c r="O180" s="35">
        <v>40</v>
      </c>
      <c r="P180" s="85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1"/>
      <c r="R180" s="651"/>
      <c r="S180" s="651"/>
      <c r="T180" s="652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301</v>
      </c>
      <c r="AG180" s="75"/>
      <c r="AJ180" s="79" t="s">
        <v>46</v>
      </c>
      <c r="AK180" s="79">
        <v>0</v>
      </c>
      <c r="BB180" s="252" t="s">
        <v>66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4301031389</v>
      </c>
      <c r="D181" s="649">
        <v>4680115887763</v>
      </c>
      <c r="E181" s="649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130</v>
      </c>
      <c r="L181" s="35" t="s">
        <v>46</v>
      </c>
      <c r="M181" s="36" t="s">
        <v>80</v>
      </c>
      <c r="N181" s="36"/>
      <c r="O181" s="35">
        <v>45</v>
      </c>
      <c r="P181" s="85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1"/>
      <c r="R181" s="651"/>
      <c r="S181" s="651"/>
      <c r="T181" s="652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321</v>
      </c>
      <c r="AG181" s="75"/>
      <c r="AJ181" s="79" t="s">
        <v>46</v>
      </c>
      <c r="AK181" s="79">
        <v>0</v>
      </c>
      <c r="BB181" s="254" t="s">
        <v>66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322</v>
      </c>
      <c r="B182" s="60" t="s">
        <v>323</v>
      </c>
      <c r="C182" s="34">
        <v>4301031521</v>
      </c>
      <c r="D182" s="649">
        <v>4680115887480</v>
      </c>
      <c r="E182" s="649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45</v>
      </c>
      <c r="P182" s="85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1"/>
      <c r="R182" s="651"/>
      <c r="S182" s="651"/>
      <c r="T182" s="652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309</v>
      </c>
      <c r="AG182" s="75"/>
      <c r="AJ182" s="79" t="s">
        <v>46</v>
      </c>
      <c r="AK182" s="79">
        <v>0</v>
      </c>
      <c r="BB182" s="256" t="s">
        <v>66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324</v>
      </c>
      <c r="B183" s="60" t="s">
        <v>325</v>
      </c>
      <c r="C183" s="34">
        <v>4301031434</v>
      </c>
      <c r="D183" s="649">
        <v>4680115888067</v>
      </c>
      <c r="E183" s="649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130</v>
      </c>
      <c r="L183" s="35" t="s">
        <v>46</v>
      </c>
      <c r="M183" s="36" t="s">
        <v>80</v>
      </c>
      <c r="N183" s="36"/>
      <c r="O183" s="35">
        <v>45</v>
      </c>
      <c r="P183" s="85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1"/>
      <c r="R183" s="651"/>
      <c r="S183" s="651"/>
      <c r="T183" s="652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326</v>
      </c>
      <c r="AG183" s="75"/>
      <c r="AJ183" s="79" t="s">
        <v>46</v>
      </c>
      <c r="AK183" s="79">
        <v>0</v>
      </c>
      <c r="BB183" s="258" t="s">
        <v>66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327</v>
      </c>
      <c r="B184" s="60" t="s">
        <v>328</v>
      </c>
      <c r="C184" s="34">
        <v>4301031519</v>
      </c>
      <c r="D184" s="649">
        <v>4680115887435</v>
      </c>
      <c r="E184" s="649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81</v>
      </c>
      <c r="L184" s="35" t="s">
        <v>46</v>
      </c>
      <c r="M184" s="36" t="s">
        <v>80</v>
      </c>
      <c r="N184" s="36"/>
      <c r="O184" s="35">
        <v>45</v>
      </c>
      <c r="P184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1"/>
      <c r="R184" s="651"/>
      <c r="S184" s="651"/>
      <c r="T184" s="652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312</v>
      </c>
      <c r="AG184" s="75"/>
      <c r="AJ184" s="79" t="s">
        <v>46</v>
      </c>
      <c r="AK184" s="79">
        <v>0</v>
      </c>
      <c r="BB184" s="260" t="s">
        <v>66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idden="1" x14ac:dyDescent="0.2">
      <c r="A185" s="656"/>
      <c r="B185" s="656"/>
      <c r="C185" s="656"/>
      <c r="D185" s="656"/>
      <c r="E185" s="656"/>
      <c r="F185" s="656"/>
      <c r="G185" s="656"/>
      <c r="H185" s="656"/>
      <c r="I185" s="656"/>
      <c r="J185" s="656"/>
      <c r="K185" s="656"/>
      <c r="L185" s="656"/>
      <c r="M185" s="656"/>
      <c r="N185" s="656"/>
      <c r="O185" s="657"/>
      <c r="P185" s="653" t="s">
        <v>40</v>
      </c>
      <c r="Q185" s="654"/>
      <c r="R185" s="654"/>
      <c r="S185" s="654"/>
      <c r="T185" s="654"/>
      <c r="U185" s="654"/>
      <c r="V185" s="655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0" t="s">
        <v>0</v>
      </c>
      <c r="X186" s="41">
        <f>IFERROR(SUM(X173:X184),"0")</f>
        <v>0</v>
      </c>
      <c r="Y186" s="41">
        <f>IFERROR(SUM(Y173:Y184),"0")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648" t="s">
        <v>85</v>
      </c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8"/>
      <c r="P187" s="648"/>
      <c r="Q187" s="648"/>
      <c r="R187" s="648"/>
      <c r="S187" s="648"/>
      <c r="T187" s="648"/>
      <c r="U187" s="648"/>
      <c r="V187" s="648"/>
      <c r="W187" s="648"/>
      <c r="X187" s="648"/>
      <c r="Y187" s="648"/>
      <c r="Z187" s="648"/>
      <c r="AA187" s="63"/>
      <c r="AB187" s="63"/>
      <c r="AC187" s="63"/>
    </row>
    <row r="188" spans="1:68" ht="16.5" hidden="1" customHeight="1" x14ac:dyDescent="0.25">
      <c r="A188" s="60" t="s">
        <v>329</v>
      </c>
      <c r="B188" s="60" t="s">
        <v>330</v>
      </c>
      <c r="C188" s="34">
        <v>4301052193</v>
      </c>
      <c r="D188" s="649">
        <v>4680115888395</v>
      </c>
      <c r="E188" s="649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90</v>
      </c>
      <c r="L188" s="35" t="s">
        <v>46</v>
      </c>
      <c r="M188" s="36" t="s">
        <v>96</v>
      </c>
      <c r="N188" s="36"/>
      <c r="O188" s="35">
        <v>40</v>
      </c>
      <c r="P188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1"/>
      <c r="R188" s="651"/>
      <c r="S188" s="651"/>
      <c r="T188" s="652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331</v>
      </c>
      <c r="AG188" s="75"/>
      <c r="AJ188" s="79" t="s">
        <v>46</v>
      </c>
      <c r="AK188" s="79">
        <v>0</v>
      </c>
      <c r="BB188" s="262" t="s">
        <v>66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332</v>
      </c>
      <c r="B189" s="60" t="s">
        <v>333</v>
      </c>
      <c r="C189" s="34">
        <v>4301052191</v>
      </c>
      <c r="D189" s="649">
        <v>4680115888371</v>
      </c>
      <c r="E189" s="649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90</v>
      </c>
      <c r="L189" s="35" t="s">
        <v>46</v>
      </c>
      <c r="M189" s="36" t="s">
        <v>96</v>
      </c>
      <c r="N189" s="36"/>
      <c r="O189" s="35">
        <v>40</v>
      </c>
      <c r="P189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1"/>
      <c r="R189" s="651"/>
      <c r="S189" s="651"/>
      <c r="T189" s="652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334</v>
      </c>
      <c r="AG189" s="75"/>
      <c r="AJ189" s="79" t="s">
        <v>46</v>
      </c>
      <c r="AK189" s="79">
        <v>0</v>
      </c>
      <c r="BB189" s="26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335</v>
      </c>
      <c r="B190" s="60" t="s">
        <v>336</v>
      </c>
      <c r="C190" s="34">
        <v>4301052064</v>
      </c>
      <c r="D190" s="649">
        <v>4680115887459</v>
      </c>
      <c r="E190" s="649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90</v>
      </c>
      <c r="L190" s="35" t="s">
        <v>46</v>
      </c>
      <c r="M190" s="36" t="s">
        <v>89</v>
      </c>
      <c r="N190" s="36"/>
      <c r="O190" s="35">
        <v>45</v>
      </c>
      <c r="P190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1"/>
      <c r="R190" s="651"/>
      <c r="S190" s="651"/>
      <c r="T190" s="652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337</v>
      </c>
      <c r="AG190" s="75"/>
      <c r="AJ190" s="79" t="s">
        <v>46</v>
      </c>
      <c r="AK190" s="79">
        <v>0</v>
      </c>
      <c r="BB190" s="266" t="s">
        <v>66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53" t="s">
        <v>40</v>
      </c>
      <c r="Q191" s="654"/>
      <c r="R191" s="654"/>
      <c r="S191" s="654"/>
      <c r="T191" s="654"/>
      <c r="U191" s="654"/>
      <c r="V191" s="655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648" t="s">
        <v>338</v>
      </c>
      <c r="B193" s="648"/>
      <c r="C193" s="648"/>
      <c r="D193" s="648"/>
      <c r="E193" s="648"/>
      <c r="F193" s="648"/>
      <c r="G193" s="648"/>
      <c r="H193" s="648"/>
      <c r="I193" s="648"/>
      <c r="J193" s="648"/>
      <c r="K193" s="648"/>
      <c r="L193" s="648"/>
      <c r="M193" s="648"/>
      <c r="N193" s="648"/>
      <c r="O193" s="648"/>
      <c r="P193" s="648"/>
      <c r="Q193" s="648"/>
      <c r="R193" s="648"/>
      <c r="S193" s="648"/>
      <c r="T193" s="648"/>
      <c r="U193" s="648"/>
      <c r="V193" s="648"/>
      <c r="W193" s="648"/>
      <c r="X193" s="648"/>
      <c r="Y193" s="648"/>
      <c r="Z193" s="648"/>
      <c r="AA193" s="63"/>
      <c r="AB193" s="63"/>
      <c r="AC193" s="63"/>
    </row>
    <row r="194" spans="1:68" ht="27" hidden="1" customHeight="1" x14ac:dyDescent="0.25">
      <c r="A194" s="60" t="s">
        <v>339</v>
      </c>
      <c r="B194" s="60" t="s">
        <v>340</v>
      </c>
      <c r="C194" s="34">
        <v>4301041009</v>
      </c>
      <c r="D194" s="649">
        <v>4680115889033</v>
      </c>
      <c r="E194" s="649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342</v>
      </c>
      <c r="L194" s="35" t="s">
        <v>46</v>
      </c>
      <c r="M194" s="36" t="s">
        <v>282</v>
      </c>
      <c r="N194" s="36"/>
      <c r="O194" s="35">
        <v>60</v>
      </c>
      <c r="P194" s="85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1"/>
      <c r="R194" s="651"/>
      <c r="S194" s="651"/>
      <c r="T194" s="652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341</v>
      </c>
      <c r="AG194" s="75"/>
      <c r="AJ194" s="79" t="s">
        <v>46</v>
      </c>
      <c r="AK194" s="79">
        <v>0</v>
      </c>
      <c r="BB194" s="268" t="s">
        <v>66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53" t="s">
        <v>40</v>
      </c>
      <c r="Q195" s="654"/>
      <c r="R195" s="654"/>
      <c r="S195" s="654"/>
      <c r="T195" s="654"/>
      <c r="U195" s="654"/>
      <c r="V195" s="655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656"/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7"/>
      <c r="P196" s="653" t="s">
        <v>40</v>
      </c>
      <c r="Q196" s="654"/>
      <c r="R196" s="654"/>
      <c r="S196" s="654"/>
      <c r="T196" s="654"/>
      <c r="U196" s="654"/>
      <c r="V196" s="655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">
      <c r="A197" s="668" t="s">
        <v>343</v>
      </c>
      <c r="B197" s="668"/>
      <c r="C197" s="668"/>
      <c r="D197" s="668"/>
      <c r="E197" s="668"/>
      <c r="F197" s="668"/>
      <c r="G197" s="668"/>
      <c r="H197" s="668"/>
      <c r="I197" s="668"/>
      <c r="J197" s="668"/>
      <c r="K197" s="668"/>
      <c r="L197" s="668"/>
      <c r="M197" s="668"/>
      <c r="N197" s="668"/>
      <c r="O197" s="668"/>
      <c r="P197" s="668"/>
      <c r="Q197" s="668"/>
      <c r="R197" s="668"/>
      <c r="S197" s="668"/>
      <c r="T197" s="668"/>
      <c r="U197" s="668"/>
      <c r="V197" s="668"/>
      <c r="W197" s="668"/>
      <c r="X197" s="668"/>
      <c r="Y197" s="668"/>
      <c r="Z197" s="668"/>
      <c r="AA197" s="52"/>
      <c r="AB197" s="52"/>
      <c r="AC197" s="52"/>
    </row>
    <row r="198" spans="1:68" ht="16.5" hidden="1" customHeight="1" x14ac:dyDescent="0.25">
      <c r="A198" s="647" t="s">
        <v>344</v>
      </c>
      <c r="B198" s="647"/>
      <c r="C198" s="647"/>
      <c r="D198" s="647"/>
      <c r="E198" s="647"/>
      <c r="F198" s="647"/>
      <c r="G198" s="647"/>
      <c r="H198" s="647"/>
      <c r="I198" s="647"/>
      <c r="J198" s="647"/>
      <c r="K198" s="647"/>
      <c r="L198" s="647"/>
      <c r="M198" s="647"/>
      <c r="N198" s="647"/>
      <c r="O198" s="647"/>
      <c r="P198" s="647"/>
      <c r="Q198" s="647"/>
      <c r="R198" s="647"/>
      <c r="S198" s="647"/>
      <c r="T198" s="647"/>
      <c r="U198" s="647"/>
      <c r="V198" s="647"/>
      <c r="W198" s="647"/>
      <c r="X198" s="647"/>
      <c r="Y198" s="647"/>
      <c r="Z198" s="647"/>
      <c r="AA198" s="62"/>
      <c r="AB198" s="62"/>
      <c r="AC198" s="62"/>
    </row>
    <row r="199" spans="1:68" ht="14.25" hidden="1" customHeight="1" x14ac:dyDescent="0.25">
      <c r="A199" s="648" t="s">
        <v>121</v>
      </c>
      <c r="B199" s="648"/>
      <c r="C199" s="648"/>
      <c r="D199" s="648"/>
      <c r="E199" s="648"/>
      <c r="F199" s="648"/>
      <c r="G199" s="648"/>
      <c r="H199" s="648"/>
      <c r="I199" s="648"/>
      <c r="J199" s="648"/>
      <c r="K199" s="648"/>
      <c r="L199" s="648"/>
      <c r="M199" s="648"/>
      <c r="N199" s="648"/>
      <c r="O199" s="648"/>
      <c r="P199" s="648"/>
      <c r="Q199" s="648"/>
      <c r="R199" s="648"/>
      <c r="S199" s="648"/>
      <c r="T199" s="648"/>
      <c r="U199" s="648"/>
      <c r="V199" s="648"/>
      <c r="W199" s="648"/>
      <c r="X199" s="648"/>
      <c r="Y199" s="648"/>
      <c r="Z199" s="648"/>
      <c r="AA199" s="63"/>
      <c r="AB199" s="63"/>
      <c r="AC199" s="63"/>
    </row>
    <row r="200" spans="1:68" ht="27" hidden="1" customHeight="1" x14ac:dyDescent="0.25">
      <c r="A200" s="60" t="s">
        <v>345</v>
      </c>
      <c r="B200" s="60" t="s">
        <v>346</v>
      </c>
      <c r="C200" s="34">
        <v>4301011223</v>
      </c>
      <c r="D200" s="649">
        <v>4607091383423</v>
      </c>
      <c r="E200" s="649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126</v>
      </c>
      <c r="L200" s="35" t="s">
        <v>46</v>
      </c>
      <c r="M200" s="36" t="s">
        <v>89</v>
      </c>
      <c r="N200" s="36"/>
      <c r="O200" s="35">
        <v>35</v>
      </c>
      <c r="P200" s="8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1"/>
      <c r="R200" s="651"/>
      <c r="S200" s="651"/>
      <c r="T200" s="652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124</v>
      </c>
      <c r="AG200" s="75"/>
      <c r="AJ200" s="79" t="s">
        <v>46</v>
      </c>
      <c r="AK200" s="79">
        <v>0</v>
      </c>
      <c r="BB200" s="270" t="s">
        <v>66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347</v>
      </c>
      <c r="B201" s="60" t="s">
        <v>348</v>
      </c>
      <c r="C201" s="34">
        <v>4301012340</v>
      </c>
      <c r="D201" s="649">
        <v>4680115888760</v>
      </c>
      <c r="E201" s="649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126</v>
      </c>
      <c r="L201" s="35" t="s">
        <v>46</v>
      </c>
      <c r="M201" s="36" t="s">
        <v>89</v>
      </c>
      <c r="N201" s="36"/>
      <c r="O201" s="35">
        <v>35</v>
      </c>
      <c r="P201" s="84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1"/>
      <c r="R201" s="651"/>
      <c r="S201" s="651"/>
      <c r="T201" s="652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349</v>
      </c>
      <c r="AG201" s="75"/>
      <c r="AJ201" s="79" t="s">
        <v>46</v>
      </c>
      <c r="AK201" s="79">
        <v>0</v>
      </c>
      <c r="BB201" s="272" t="s">
        <v>66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350</v>
      </c>
      <c r="B202" s="60" t="s">
        <v>351</v>
      </c>
      <c r="C202" s="34">
        <v>4301012341</v>
      </c>
      <c r="D202" s="649">
        <v>4680115888807</v>
      </c>
      <c r="E202" s="649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126</v>
      </c>
      <c r="L202" s="35" t="s">
        <v>46</v>
      </c>
      <c r="M202" s="36" t="s">
        <v>89</v>
      </c>
      <c r="N202" s="36"/>
      <c r="O202" s="35">
        <v>35</v>
      </c>
      <c r="P202" s="84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1"/>
      <c r="R202" s="651"/>
      <c r="S202" s="651"/>
      <c r="T202" s="652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352</v>
      </c>
      <c r="AG202" s="75"/>
      <c r="AJ202" s="79" t="s">
        <v>46</v>
      </c>
      <c r="AK202" s="79">
        <v>0</v>
      </c>
      <c r="BB202" s="274" t="s">
        <v>66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353</v>
      </c>
      <c r="B203" s="60" t="s">
        <v>354</v>
      </c>
      <c r="C203" s="34">
        <v>4301012342</v>
      </c>
      <c r="D203" s="649">
        <v>4680115888852</v>
      </c>
      <c r="E203" s="649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126</v>
      </c>
      <c r="L203" s="35" t="s">
        <v>46</v>
      </c>
      <c r="M203" s="36" t="s">
        <v>89</v>
      </c>
      <c r="N203" s="36"/>
      <c r="O203" s="35">
        <v>35</v>
      </c>
      <c r="P203" s="84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1"/>
      <c r="R203" s="651"/>
      <c r="S203" s="651"/>
      <c r="T203" s="652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355</v>
      </c>
      <c r="AG203" s="75"/>
      <c r="AJ203" s="79" t="s">
        <v>46</v>
      </c>
      <c r="AK203" s="79">
        <v>0</v>
      </c>
      <c r="BB203" s="276" t="s">
        <v>66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356</v>
      </c>
      <c r="B204" s="60" t="s">
        <v>357</v>
      </c>
      <c r="C204" s="34">
        <v>4301012370</v>
      </c>
      <c r="D204" s="649">
        <v>4680115886957</v>
      </c>
      <c r="E204" s="649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126</v>
      </c>
      <c r="L204" s="35" t="s">
        <v>46</v>
      </c>
      <c r="M204" s="36" t="s">
        <v>89</v>
      </c>
      <c r="N204" s="36"/>
      <c r="O204" s="35">
        <v>35</v>
      </c>
      <c r="P204" s="84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1"/>
      <c r="R204" s="651"/>
      <c r="S204" s="651"/>
      <c r="T204" s="652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358</v>
      </c>
      <c r="AG204" s="75"/>
      <c r="AJ204" s="79" t="s">
        <v>46</v>
      </c>
      <c r="AK204" s="79">
        <v>0</v>
      </c>
      <c r="BB204" s="278" t="s">
        <v>66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359</v>
      </c>
      <c r="B205" s="60" t="s">
        <v>360</v>
      </c>
      <c r="C205" s="34">
        <v>4301012098</v>
      </c>
      <c r="D205" s="649">
        <v>4680115885660</v>
      </c>
      <c r="E205" s="649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126</v>
      </c>
      <c r="L205" s="35" t="s">
        <v>46</v>
      </c>
      <c r="M205" s="36" t="s">
        <v>89</v>
      </c>
      <c r="N205" s="36"/>
      <c r="O205" s="35">
        <v>35</v>
      </c>
      <c r="P205" s="84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1"/>
      <c r="R205" s="651"/>
      <c r="S205" s="651"/>
      <c r="T205" s="652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361</v>
      </c>
      <c r="AG205" s="75"/>
      <c r="AJ205" s="79" t="s">
        <v>46</v>
      </c>
      <c r="AK205" s="79">
        <v>0</v>
      </c>
      <c r="BB205" s="280" t="s">
        <v>66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362</v>
      </c>
      <c r="B206" s="60" t="s">
        <v>363</v>
      </c>
      <c r="C206" s="34">
        <v>4301012369</v>
      </c>
      <c r="D206" s="649">
        <v>4680115886773</v>
      </c>
      <c r="E206" s="649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126</v>
      </c>
      <c r="L206" s="35" t="s">
        <v>46</v>
      </c>
      <c r="M206" s="36" t="s">
        <v>89</v>
      </c>
      <c r="N206" s="36"/>
      <c r="O206" s="35">
        <v>35</v>
      </c>
      <c r="P206" s="84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1"/>
      <c r="R206" s="651"/>
      <c r="S206" s="651"/>
      <c r="T206" s="652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364</v>
      </c>
      <c r="AG206" s="75"/>
      <c r="AJ206" s="79" t="s">
        <v>46</v>
      </c>
      <c r="AK206" s="79">
        <v>0</v>
      </c>
      <c r="BB206" s="282" t="s">
        <v>66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656"/>
      <c r="B208" s="656"/>
      <c r="C208" s="656"/>
      <c r="D208" s="656"/>
      <c r="E208" s="656"/>
      <c r="F208" s="656"/>
      <c r="G208" s="656"/>
      <c r="H208" s="656"/>
      <c r="I208" s="656"/>
      <c r="J208" s="656"/>
      <c r="K208" s="656"/>
      <c r="L208" s="656"/>
      <c r="M208" s="656"/>
      <c r="N208" s="656"/>
      <c r="O208" s="657"/>
      <c r="P208" s="653" t="s">
        <v>40</v>
      </c>
      <c r="Q208" s="654"/>
      <c r="R208" s="654"/>
      <c r="S208" s="654"/>
      <c r="T208" s="654"/>
      <c r="U208" s="654"/>
      <c r="V208" s="655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647" t="s">
        <v>365</v>
      </c>
      <c r="B209" s="647"/>
      <c r="C209" s="647"/>
      <c r="D209" s="647"/>
      <c r="E209" s="647"/>
      <c r="F209" s="647"/>
      <c r="G209" s="647"/>
      <c r="H209" s="647"/>
      <c r="I209" s="647"/>
      <c r="J209" s="647"/>
      <c r="K209" s="647"/>
      <c r="L209" s="647"/>
      <c r="M209" s="647"/>
      <c r="N209" s="647"/>
      <c r="O209" s="647"/>
      <c r="P209" s="647"/>
      <c r="Q209" s="647"/>
      <c r="R209" s="647"/>
      <c r="S209" s="647"/>
      <c r="T209" s="647"/>
      <c r="U209" s="647"/>
      <c r="V209" s="647"/>
      <c r="W209" s="647"/>
      <c r="X209" s="647"/>
      <c r="Y209" s="647"/>
      <c r="Z209" s="647"/>
      <c r="AA209" s="62"/>
      <c r="AB209" s="62"/>
      <c r="AC209" s="62"/>
    </row>
    <row r="210" spans="1:68" ht="14.25" hidden="1" customHeight="1" x14ac:dyDescent="0.25">
      <c r="A210" s="648" t="s">
        <v>156</v>
      </c>
      <c r="B210" s="648"/>
      <c r="C210" s="648"/>
      <c r="D210" s="648"/>
      <c r="E210" s="648"/>
      <c r="F210" s="648"/>
      <c r="G210" s="648"/>
      <c r="H210" s="648"/>
      <c r="I210" s="648"/>
      <c r="J210" s="648"/>
      <c r="K210" s="648"/>
      <c r="L210" s="648"/>
      <c r="M210" s="648"/>
      <c r="N210" s="648"/>
      <c r="O210" s="648"/>
      <c r="P210" s="648"/>
      <c r="Q210" s="648"/>
      <c r="R210" s="648"/>
      <c r="S210" s="648"/>
      <c r="T210" s="648"/>
      <c r="U210" s="648"/>
      <c r="V210" s="648"/>
      <c r="W210" s="648"/>
      <c r="X210" s="648"/>
      <c r="Y210" s="648"/>
      <c r="Z210" s="648"/>
      <c r="AA210" s="63"/>
      <c r="AB210" s="63"/>
      <c r="AC210" s="63"/>
    </row>
    <row r="211" spans="1:68" ht="27" hidden="1" customHeight="1" x14ac:dyDescent="0.25">
      <c r="A211" s="60" t="s">
        <v>366</v>
      </c>
      <c r="B211" s="60" t="s">
        <v>367</v>
      </c>
      <c r="C211" s="34">
        <v>4301020323</v>
      </c>
      <c r="D211" s="649">
        <v>4680115886223</v>
      </c>
      <c r="E211" s="649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81</v>
      </c>
      <c r="L211" s="35" t="s">
        <v>46</v>
      </c>
      <c r="M211" s="36" t="s">
        <v>80</v>
      </c>
      <c r="N211" s="36"/>
      <c r="O211" s="35">
        <v>40</v>
      </c>
      <c r="P211" s="8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1"/>
      <c r="R211" s="651"/>
      <c r="S211" s="651"/>
      <c r="T211" s="652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368</v>
      </c>
      <c r="AG211" s="75"/>
      <c r="AJ211" s="79" t="s">
        <v>46</v>
      </c>
      <c r="AK211" s="79">
        <v>0</v>
      </c>
      <c r="BB211" s="284" t="s">
        <v>66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">
      <c r="A213" s="656"/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7"/>
      <c r="P213" s="653" t="s">
        <v>40</v>
      </c>
      <c r="Q213" s="654"/>
      <c r="R213" s="654"/>
      <c r="S213" s="654"/>
      <c r="T213" s="654"/>
      <c r="U213" s="654"/>
      <c r="V213" s="655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648" t="s">
        <v>76</v>
      </c>
      <c r="B214" s="648"/>
      <c r="C214" s="648"/>
      <c r="D214" s="648"/>
      <c r="E214" s="648"/>
      <c r="F214" s="648"/>
      <c r="G214" s="648"/>
      <c r="H214" s="648"/>
      <c r="I214" s="648"/>
      <c r="J214" s="648"/>
      <c r="K214" s="648"/>
      <c r="L214" s="648"/>
      <c r="M214" s="648"/>
      <c r="N214" s="648"/>
      <c r="O214" s="648"/>
      <c r="P214" s="648"/>
      <c r="Q214" s="648"/>
      <c r="R214" s="648"/>
      <c r="S214" s="648"/>
      <c r="T214" s="648"/>
      <c r="U214" s="648"/>
      <c r="V214" s="648"/>
      <c r="W214" s="648"/>
      <c r="X214" s="648"/>
      <c r="Y214" s="648"/>
      <c r="Z214" s="648"/>
      <c r="AA214" s="63"/>
      <c r="AB214" s="63"/>
      <c r="AC214" s="63"/>
    </row>
    <row r="215" spans="1:68" ht="27" hidden="1" customHeight="1" x14ac:dyDescent="0.25">
      <c r="A215" s="60" t="s">
        <v>369</v>
      </c>
      <c r="B215" s="60" t="s">
        <v>370</v>
      </c>
      <c r="C215" s="34">
        <v>4301031191</v>
      </c>
      <c r="D215" s="649">
        <v>4680115880993</v>
      </c>
      <c r="E215" s="649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133</v>
      </c>
      <c r="L215" s="35" t="s">
        <v>46</v>
      </c>
      <c r="M215" s="36" t="s">
        <v>80</v>
      </c>
      <c r="N215" s="36"/>
      <c r="O215" s="35">
        <v>40</v>
      </c>
      <c r="P215" s="83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1"/>
      <c r="R215" s="651"/>
      <c r="S215" s="651"/>
      <c r="T215" s="652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ref="Y215:Y229" si="27">IFERROR(IF(X215="",0,CEILING((X215/$H215),1)*$H215),"")</f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85" t="s">
        <v>371</v>
      </c>
      <c r="AG215" s="75"/>
      <c r="AJ215" s="79" t="s">
        <v>46</v>
      </c>
      <c r="AK215" s="79">
        <v>0</v>
      </c>
      <c r="BB215" s="286" t="s">
        <v>66</v>
      </c>
      <c r="BM215" s="75">
        <f t="shared" ref="BM215:BM229" si="28">IFERROR(X215*I215/H215,"0")</f>
        <v>0</v>
      </c>
      <c r="BN215" s="75">
        <f t="shared" ref="BN215:BN229" si="29">IFERROR(Y215*I215/H215,"0")</f>
        <v>0</v>
      </c>
      <c r="BO215" s="75">
        <f t="shared" ref="BO215:BO229" si="30">IFERROR(1/J215*(X215/H215),"0")</f>
        <v>0</v>
      </c>
      <c r="BP215" s="75">
        <f t="shared" ref="BP215:BP229" si="31">IFERROR(1/J215*(Y215/H215),"0")</f>
        <v>0</v>
      </c>
    </row>
    <row r="216" spans="1:68" ht="27" hidden="1" customHeight="1" x14ac:dyDescent="0.25">
      <c r="A216" s="60" t="s">
        <v>372</v>
      </c>
      <c r="B216" s="60" t="s">
        <v>373</v>
      </c>
      <c r="C216" s="34">
        <v>4301031204</v>
      </c>
      <c r="D216" s="649">
        <v>4680115881761</v>
      </c>
      <c r="E216" s="649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133</v>
      </c>
      <c r="L216" s="35" t="s">
        <v>46</v>
      </c>
      <c r="M216" s="36" t="s">
        <v>80</v>
      </c>
      <c r="N216" s="36"/>
      <c r="O216" s="35">
        <v>40</v>
      </c>
      <c r="P216" s="83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1"/>
      <c r="R216" s="651"/>
      <c r="S216" s="651"/>
      <c r="T216" s="652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374</v>
      </c>
      <c r="AG216" s="75"/>
      <c r="AJ216" s="79" t="s">
        <v>46</v>
      </c>
      <c r="AK216" s="79">
        <v>0</v>
      </c>
      <c r="BB216" s="288" t="s">
        <v>66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hidden="1" customHeight="1" x14ac:dyDescent="0.25">
      <c r="A217" s="60" t="s">
        <v>375</v>
      </c>
      <c r="B217" s="60" t="s">
        <v>376</v>
      </c>
      <c r="C217" s="34">
        <v>4301031201</v>
      </c>
      <c r="D217" s="649">
        <v>4680115881563</v>
      </c>
      <c r="E217" s="649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133</v>
      </c>
      <c r="L217" s="35" t="s">
        <v>46</v>
      </c>
      <c r="M217" s="36" t="s">
        <v>80</v>
      </c>
      <c r="N217" s="36"/>
      <c r="O217" s="35">
        <v>40</v>
      </c>
      <c r="P217" s="8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1"/>
      <c r="R217" s="651"/>
      <c r="S217" s="651"/>
      <c r="T217" s="652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7"/>
        <v>0</v>
      </c>
      <c r="Z217" s="39" t="str">
        <f>IFERROR(IF(Y217=0,"",ROUNDUP(Y217/H217,0)*0.00902),"")</f>
        <v/>
      </c>
      <c r="AA217" s="65" t="s">
        <v>46</v>
      </c>
      <c r="AB217" s="66" t="s">
        <v>46</v>
      </c>
      <c r="AC217" s="289" t="s">
        <v>377</v>
      </c>
      <c r="AG217" s="75"/>
      <c r="AJ217" s="79" t="s">
        <v>46</v>
      </c>
      <c r="AK217" s="79">
        <v>0</v>
      </c>
      <c r="BB217" s="290" t="s">
        <v>66</v>
      </c>
      <c r="BM217" s="75">
        <f t="shared" si="28"/>
        <v>0</v>
      </c>
      <c r="BN217" s="75">
        <f t="shared" si="29"/>
        <v>0</v>
      </c>
      <c r="BO217" s="75">
        <f t="shared" si="30"/>
        <v>0</v>
      </c>
      <c r="BP217" s="75">
        <f t="shared" si="31"/>
        <v>0</v>
      </c>
    </row>
    <row r="218" spans="1:68" ht="37.5" hidden="1" customHeight="1" x14ac:dyDescent="0.25">
      <c r="A218" s="60" t="s">
        <v>378</v>
      </c>
      <c r="B218" s="60" t="s">
        <v>379</v>
      </c>
      <c r="C218" s="34">
        <v>4301031447</v>
      </c>
      <c r="D218" s="649">
        <v>4680115887565</v>
      </c>
      <c r="E218" s="649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81</v>
      </c>
      <c r="L218" s="35" t="s">
        <v>46</v>
      </c>
      <c r="M218" s="36" t="s">
        <v>80</v>
      </c>
      <c r="N218" s="36"/>
      <c r="O218" s="35">
        <v>45</v>
      </c>
      <c r="P218" s="8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1"/>
      <c r="R218" s="651"/>
      <c r="S218" s="651"/>
      <c r="T218" s="652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7"/>
        <v>0</v>
      </c>
      <c r="Z218" s="39" t="str">
        <f>IFERROR(IF(Y218=0,"",ROUNDUP(Y218/H218,0)*0.00556),"")</f>
        <v/>
      </c>
      <c r="AA218" s="65" t="s">
        <v>46</v>
      </c>
      <c r="AB218" s="66" t="s">
        <v>46</v>
      </c>
      <c r="AC218" s="291" t="s">
        <v>380</v>
      </c>
      <c r="AG218" s="75"/>
      <c r="AJ218" s="79" t="s">
        <v>46</v>
      </c>
      <c r="AK218" s="79">
        <v>0</v>
      </c>
      <c r="BB218" s="292" t="s">
        <v>66</v>
      </c>
      <c r="BM218" s="75">
        <f t="shared" si="28"/>
        <v>0</v>
      </c>
      <c r="BN218" s="75">
        <f t="shared" si="29"/>
        <v>0</v>
      </c>
      <c r="BO218" s="75">
        <f t="shared" si="30"/>
        <v>0</v>
      </c>
      <c r="BP218" s="75">
        <f t="shared" si="31"/>
        <v>0</v>
      </c>
    </row>
    <row r="219" spans="1:68" ht="27" hidden="1" customHeight="1" x14ac:dyDescent="0.25">
      <c r="A219" s="60" t="s">
        <v>381</v>
      </c>
      <c r="B219" s="60" t="s">
        <v>382</v>
      </c>
      <c r="C219" s="34">
        <v>4301031199</v>
      </c>
      <c r="D219" s="649">
        <v>4680115880986</v>
      </c>
      <c r="E219" s="649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1"/>
      <c r="R219" s="651"/>
      <c r="S219" s="651"/>
      <c r="T219" s="652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7"/>
        <v>0</v>
      </c>
      <c r="Z219" s="39" t="str">
        <f t="shared" ref="Z219:Z224" si="32">IFERROR(IF(Y219=0,"",ROUNDUP(Y219/H219,0)*0.00502),"")</f>
        <v/>
      </c>
      <c r="AA219" s="65" t="s">
        <v>46</v>
      </c>
      <c r="AB219" s="66" t="s">
        <v>46</v>
      </c>
      <c r="AC219" s="293" t="s">
        <v>371</v>
      </c>
      <c r="AG219" s="75"/>
      <c r="AJ219" s="79" t="s">
        <v>46</v>
      </c>
      <c r="AK219" s="79">
        <v>0</v>
      </c>
      <c r="BB219" s="294" t="s">
        <v>66</v>
      </c>
      <c r="BM219" s="75">
        <f t="shared" si="28"/>
        <v>0</v>
      </c>
      <c r="BN219" s="75">
        <f t="shared" si="29"/>
        <v>0</v>
      </c>
      <c r="BO219" s="75">
        <f t="shared" si="30"/>
        <v>0</v>
      </c>
      <c r="BP219" s="75">
        <f t="shared" si="31"/>
        <v>0</v>
      </c>
    </row>
    <row r="220" spans="1:68" ht="27" hidden="1" customHeight="1" x14ac:dyDescent="0.25">
      <c r="A220" s="60" t="s">
        <v>383</v>
      </c>
      <c r="B220" s="60" t="s">
        <v>384</v>
      </c>
      <c r="C220" s="34">
        <v>4301031443</v>
      </c>
      <c r="D220" s="649">
        <v>4680115887213</v>
      </c>
      <c r="E220" s="649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81</v>
      </c>
      <c r="L220" s="35" t="s">
        <v>46</v>
      </c>
      <c r="M220" s="36" t="s">
        <v>80</v>
      </c>
      <c r="N220" s="36"/>
      <c r="O220" s="35">
        <v>45</v>
      </c>
      <c r="P220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1"/>
      <c r="R220" s="651"/>
      <c r="S220" s="651"/>
      <c r="T220" s="652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385</v>
      </c>
      <c r="AG220" s="75"/>
      <c r="AJ220" s="79" t="s">
        <v>46</v>
      </c>
      <c r="AK220" s="79">
        <v>0</v>
      </c>
      <c r="BB220" s="296" t="s">
        <v>66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386</v>
      </c>
      <c r="B221" s="60" t="s">
        <v>387</v>
      </c>
      <c r="C221" s="34">
        <v>4301031205</v>
      </c>
      <c r="D221" s="649">
        <v>4680115881785</v>
      </c>
      <c r="E221" s="649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81</v>
      </c>
      <c r="L221" s="35" t="s">
        <v>46</v>
      </c>
      <c r="M221" s="36" t="s">
        <v>80</v>
      </c>
      <c r="N221" s="36"/>
      <c r="O221" s="35">
        <v>40</v>
      </c>
      <c r="P221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1"/>
      <c r="R221" s="651"/>
      <c r="S221" s="651"/>
      <c r="T221" s="652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374</v>
      </c>
      <c r="AG221" s="75"/>
      <c r="AJ221" s="79" t="s">
        <v>46</v>
      </c>
      <c r="AK221" s="79">
        <v>0</v>
      </c>
      <c r="BB221" s="298" t="s">
        <v>66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388</v>
      </c>
      <c r="B222" s="60" t="s">
        <v>389</v>
      </c>
      <c r="C222" s="34">
        <v>4301031499</v>
      </c>
      <c r="D222" s="649">
        <v>4680115888432</v>
      </c>
      <c r="E222" s="649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45</v>
      </c>
      <c r="P222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1"/>
      <c r="R222" s="651"/>
      <c r="S222" s="651"/>
      <c r="T222" s="652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390</v>
      </c>
      <c r="AG222" s="75"/>
      <c r="AJ222" s="79" t="s">
        <v>46</v>
      </c>
      <c r="AK222" s="79">
        <v>0</v>
      </c>
      <c r="BB222" s="300" t="s">
        <v>66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391</v>
      </c>
      <c r="B223" s="60" t="s">
        <v>392</v>
      </c>
      <c r="C223" s="34">
        <v>4301031427</v>
      </c>
      <c r="D223" s="649">
        <v>4680115888104</v>
      </c>
      <c r="E223" s="649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81</v>
      </c>
      <c r="L223" s="35" t="s">
        <v>46</v>
      </c>
      <c r="M223" s="36" t="s">
        <v>80</v>
      </c>
      <c r="N223" s="36"/>
      <c r="O223" s="35">
        <v>45</v>
      </c>
      <c r="P223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1"/>
      <c r="R223" s="651"/>
      <c r="S223" s="651"/>
      <c r="T223" s="652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393</v>
      </c>
      <c r="AG223" s="75"/>
      <c r="AJ223" s="79" t="s">
        <v>46</v>
      </c>
      <c r="AK223" s="79">
        <v>0</v>
      </c>
      <c r="BB223" s="302" t="s">
        <v>66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394</v>
      </c>
      <c r="B224" s="60" t="s">
        <v>395</v>
      </c>
      <c r="C224" s="34">
        <v>4301031503</v>
      </c>
      <c r="D224" s="649">
        <v>4680115886537</v>
      </c>
      <c r="E224" s="649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45</v>
      </c>
      <c r="P224" s="82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1"/>
      <c r="R224" s="651"/>
      <c r="S224" s="651"/>
      <c r="T224" s="652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396</v>
      </c>
      <c r="AG224" s="75"/>
      <c r="AJ224" s="79" t="s">
        <v>46</v>
      </c>
      <c r="AK224" s="79">
        <v>0</v>
      </c>
      <c r="BB224" s="304" t="s">
        <v>66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397</v>
      </c>
      <c r="B225" s="60" t="s">
        <v>398</v>
      </c>
      <c r="C225" s="34">
        <v>4301031279</v>
      </c>
      <c r="D225" s="649">
        <v>4680115887596</v>
      </c>
      <c r="E225" s="649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130</v>
      </c>
      <c r="L225" s="35" t="s">
        <v>46</v>
      </c>
      <c r="M225" s="36" t="s">
        <v>80</v>
      </c>
      <c r="N225" s="36"/>
      <c r="O225" s="35">
        <v>45</v>
      </c>
      <c r="P225" s="82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1"/>
      <c r="R225" s="651"/>
      <c r="S225" s="651"/>
      <c r="T225" s="652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>IFERROR(IF(Y225=0,"",ROUNDUP(Y225/H225,0)*0.00417),"")</f>
        <v/>
      </c>
      <c r="AA225" s="65" t="s">
        <v>46</v>
      </c>
      <c r="AB225" s="66" t="s">
        <v>46</v>
      </c>
      <c r="AC225" s="305" t="s">
        <v>399</v>
      </c>
      <c r="AG225" s="75"/>
      <c r="AJ225" s="79" t="s">
        <v>46</v>
      </c>
      <c r="AK225" s="79">
        <v>0</v>
      </c>
      <c r="BB225" s="306" t="s">
        <v>66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37.5" hidden="1" customHeight="1" x14ac:dyDescent="0.25">
      <c r="A226" s="60" t="s">
        <v>400</v>
      </c>
      <c r="B226" s="60" t="s">
        <v>401</v>
      </c>
      <c r="C226" s="34">
        <v>4301031202</v>
      </c>
      <c r="D226" s="649">
        <v>4680115881679</v>
      </c>
      <c r="E226" s="649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40</v>
      </c>
      <c r="P226" s="82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1"/>
      <c r="R226" s="651"/>
      <c r="S226" s="651"/>
      <c r="T226" s="652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377</v>
      </c>
      <c r="AG226" s="75"/>
      <c r="AJ226" s="79" t="s">
        <v>46</v>
      </c>
      <c r="AK226" s="79">
        <v>0</v>
      </c>
      <c r="BB226" s="308" t="s">
        <v>66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402</v>
      </c>
      <c r="B227" s="60" t="s">
        <v>403</v>
      </c>
      <c r="C227" s="34">
        <v>4301031158</v>
      </c>
      <c r="D227" s="649">
        <v>4680115880191</v>
      </c>
      <c r="E227" s="649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90</v>
      </c>
      <c r="L227" s="35" t="s">
        <v>46</v>
      </c>
      <c r="M227" s="36" t="s">
        <v>80</v>
      </c>
      <c r="N227" s="36"/>
      <c r="O227" s="35">
        <v>40</v>
      </c>
      <c r="P227" s="83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1"/>
      <c r="R227" s="651"/>
      <c r="S227" s="651"/>
      <c r="T227" s="652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377</v>
      </c>
      <c r="AG227" s="75"/>
      <c r="AJ227" s="79" t="s">
        <v>46</v>
      </c>
      <c r="AK227" s="79">
        <v>0</v>
      </c>
      <c r="BB227" s="310" t="s">
        <v>66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402</v>
      </c>
      <c r="B228" s="60" t="s">
        <v>404</v>
      </c>
      <c r="C228" s="34">
        <v>4301031531</v>
      </c>
      <c r="D228" s="649">
        <v>4680115880191</v>
      </c>
      <c r="E228" s="649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90</v>
      </c>
      <c r="L228" s="35" t="s">
        <v>46</v>
      </c>
      <c r="M228" s="36" t="s">
        <v>80</v>
      </c>
      <c r="N228" s="36"/>
      <c r="O228" s="35">
        <v>45</v>
      </c>
      <c r="P228" s="83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1"/>
      <c r="R228" s="651"/>
      <c r="S228" s="651"/>
      <c r="T228" s="652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377</v>
      </c>
      <c r="AG228" s="75"/>
      <c r="AJ228" s="79" t="s">
        <v>46</v>
      </c>
      <c r="AK228" s="79">
        <v>0</v>
      </c>
      <c r="BB228" s="312" t="s">
        <v>66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405</v>
      </c>
      <c r="B229" s="60" t="s">
        <v>406</v>
      </c>
      <c r="C229" s="34">
        <v>4301031245</v>
      </c>
      <c r="D229" s="649">
        <v>4680115883963</v>
      </c>
      <c r="E229" s="649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2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1"/>
      <c r="R229" s="651"/>
      <c r="S229" s="651"/>
      <c r="T229" s="652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407</v>
      </c>
      <c r="AG229" s="75"/>
      <c r="AJ229" s="79" t="s">
        <v>46</v>
      </c>
      <c r="AK229" s="79">
        <v>0</v>
      </c>
      <c r="BB229" s="314" t="s">
        <v>66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idden="1" x14ac:dyDescent="0.2">
      <c r="A230" s="656"/>
      <c r="B230" s="656"/>
      <c r="C230" s="656"/>
      <c r="D230" s="656"/>
      <c r="E230" s="656"/>
      <c r="F230" s="656"/>
      <c r="G230" s="656"/>
      <c r="H230" s="656"/>
      <c r="I230" s="656"/>
      <c r="J230" s="656"/>
      <c r="K230" s="656"/>
      <c r="L230" s="656"/>
      <c r="M230" s="656"/>
      <c r="N230" s="656"/>
      <c r="O230" s="657"/>
      <c r="P230" s="653" t="s">
        <v>40</v>
      </c>
      <c r="Q230" s="654"/>
      <c r="R230" s="654"/>
      <c r="S230" s="654"/>
      <c r="T230" s="654"/>
      <c r="U230" s="654"/>
      <c r="V230" s="655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4"/>
      <c r="AB230" s="64"/>
      <c r="AC230" s="64"/>
    </row>
    <row r="231" spans="1:68" hidden="1" x14ac:dyDescent="0.2">
      <c r="A231" s="656"/>
      <c r="B231" s="656"/>
      <c r="C231" s="656"/>
      <c r="D231" s="656"/>
      <c r="E231" s="656"/>
      <c r="F231" s="656"/>
      <c r="G231" s="656"/>
      <c r="H231" s="656"/>
      <c r="I231" s="656"/>
      <c r="J231" s="656"/>
      <c r="K231" s="656"/>
      <c r="L231" s="656"/>
      <c r="M231" s="656"/>
      <c r="N231" s="656"/>
      <c r="O231" s="657"/>
      <c r="P231" s="653" t="s">
        <v>40</v>
      </c>
      <c r="Q231" s="654"/>
      <c r="R231" s="654"/>
      <c r="S231" s="654"/>
      <c r="T231" s="654"/>
      <c r="U231" s="654"/>
      <c r="V231" s="655"/>
      <c r="W231" s="40" t="s">
        <v>0</v>
      </c>
      <c r="X231" s="41">
        <f>IFERROR(SUM(X215:X229),"0")</f>
        <v>0</v>
      </c>
      <c r="Y231" s="41">
        <f>IFERROR(SUM(Y215:Y229),"0")</f>
        <v>0</v>
      </c>
      <c r="Z231" s="40"/>
      <c r="AA231" s="64"/>
      <c r="AB231" s="64"/>
      <c r="AC231" s="64"/>
    </row>
    <row r="232" spans="1:68" ht="14.25" hidden="1" customHeight="1" x14ac:dyDescent="0.25">
      <c r="A232" s="648" t="s">
        <v>85</v>
      </c>
      <c r="B232" s="648"/>
      <c r="C232" s="648"/>
      <c r="D232" s="648"/>
      <c r="E232" s="648"/>
      <c r="F232" s="648"/>
      <c r="G232" s="648"/>
      <c r="H232" s="648"/>
      <c r="I232" s="648"/>
      <c r="J232" s="648"/>
      <c r="K232" s="648"/>
      <c r="L232" s="648"/>
      <c r="M232" s="648"/>
      <c r="N232" s="648"/>
      <c r="O232" s="648"/>
      <c r="P232" s="648"/>
      <c r="Q232" s="648"/>
      <c r="R232" s="648"/>
      <c r="S232" s="648"/>
      <c r="T232" s="648"/>
      <c r="U232" s="648"/>
      <c r="V232" s="648"/>
      <c r="W232" s="648"/>
      <c r="X232" s="648"/>
      <c r="Y232" s="648"/>
      <c r="Z232" s="648"/>
      <c r="AA232" s="63"/>
      <c r="AB232" s="63"/>
      <c r="AC232" s="63"/>
    </row>
    <row r="233" spans="1:68" ht="16.5" hidden="1" customHeight="1" x14ac:dyDescent="0.25">
      <c r="A233" s="60" t="s">
        <v>408</v>
      </c>
      <c r="B233" s="60" t="s">
        <v>409</v>
      </c>
      <c r="C233" s="34">
        <v>4301052209</v>
      </c>
      <c r="D233" s="649">
        <v>4680115888692</v>
      </c>
      <c r="E233" s="649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126</v>
      </c>
      <c r="L233" s="35" t="s">
        <v>46</v>
      </c>
      <c r="M233" s="36" t="s">
        <v>96</v>
      </c>
      <c r="N233" s="36"/>
      <c r="O233" s="35">
        <v>35</v>
      </c>
      <c r="P233" s="82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1"/>
      <c r="R233" s="651"/>
      <c r="S233" s="651"/>
      <c r="T233" s="652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410</v>
      </c>
      <c r="AG233" s="75"/>
      <c r="AJ233" s="79" t="s">
        <v>46</v>
      </c>
      <c r="AK233" s="79">
        <v>0</v>
      </c>
      <c r="BB233" s="316" t="s">
        <v>66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408</v>
      </c>
      <c r="B234" s="60" t="s">
        <v>411</v>
      </c>
      <c r="C234" s="34">
        <v>4301052279</v>
      </c>
      <c r="D234" s="649">
        <v>4680115888692</v>
      </c>
      <c r="E234" s="649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126</v>
      </c>
      <c r="L234" s="35" t="s">
        <v>46</v>
      </c>
      <c r="M234" s="36" t="s">
        <v>96</v>
      </c>
      <c r="N234" s="36"/>
      <c r="O234" s="35">
        <v>40</v>
      </c>
      <c r="P234" s="82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1"/>
      <c r="R234" s="651"/>
      <c r="S234" s="651"/>
      <c r="T234" s="652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412</v>
      </c>
      <c r="AG234" s="75"/>
      <c r="AJ234" s="79" t="s">
        <v>46</v>
      </c>
      <c r="AK234" s="79">
        <v>0</v>
      </c>
      <c r="BB234" s="318" t="s">
        <v>66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413</v>
      </c>
      <c r="B235" s="60" t="s">
        <v>414</v>
      </c>
      <c r="C235" s="34">
        <v>4301052213</v>
      </c>
      <c r="D235" s="649">
        <v>4680115888722</v>
      </c>
      <c r="E235" s="649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126</v>
      </c>
      <c r="L235" s="35" t="s">
        <v>46</v>
      </c>
      <c r="M235" s="36" t="s">
        <v>96</v>
      </c>
      <c r="N235" s="36"/>
      <c r="O235" s="35">
        <v>35</v>
      </c>
      <c r="P235" s="81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1"/>
      <c r="R235" s="651"/>
      <c r="S235" s="651"/>
      <c r="T235" s="652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415</v>
      </c>
      <c r="AG235" s="75"/>
      <c r="AJ235" s="79" t="s">
        <v>46</v>
      </c>
      <c r="AK235" s="79">
        <v>0</v>
      </c>
      <c r="BB235" s="320" t="s">
        <v>66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413</v>
      </c>
      <c r="B236" s="60" t="s">
        <v>416</v>
      </c>
      <c r="C236" s="34">
        <v>4301052280</v>
      </c>
      <c r="D236" s="649">
        <v>4680115888722</v>
      </c>
      <c r="E236" s="649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126</v>
      </c>
      <c r="L236" s="35" t="s">
        <v>46</v>
      </c>
      <c r="M236" s="36" t="s">
        <v>96</v>
      </c>
      <c r="N236" s="36"/>
      <c r="O236" s="35">
        <v>40</v>
      </c>
      <c r="P236" s="82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1"/>
      <c r="R236" s="651"/>
      <c r="S236" s="651"/>
      <c r="T236" s="652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417</v>
      </c>
      <c r="AG236" s="75"/>
      <c r="AJ236" s="79" t="s">
        <v>46</v>
      </c>
      <c r="AK236" s="79">
        <v>0</v>
      </c>
      <c r="BB236" s="322" t="s">
        <v>66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418</v>
      </c>
      <c r="B237" s="60" t="s">
        <v>419</v>
      </c>
      <c r="C237" s="34">
        <v>4301052177</v>
      </c>
      <c r="D237" s="649">
        <v>4680115888951</v>
      </c>
      <c r="E237" s="649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133</v>
      </c>
      <c r="L237" s="35" t="s">
        <v>46</v>
      </c>
      <c r="M237" s="36" t="s">
        <v>96</v>
      </c>
      <c r="N237" s="36"/>
      <c r="O237" s="35">
        <v>35</v>
      </c>
      <c r="P237" s="82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1"/>
      <c r="R237" s="651"/>
      <c r="S237" s="651"/>
      <c r="T237" s="652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420</v>
      </c>
      <c r="AG237" s="75"/>
      <c r="AJ237" s="79" t="s">
        <v>46</v>
      </c>
      <c r="AK237" s="79">
        <v>0</v>
      </c>
      <c r="BB237" s="324" t="s">
        <v>66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418</v>
      </c>
      <c r="B238" s="60" t="s">
        <v>421</v>
      </c>
      <c r="C238" s="34">
        <v>4301052276</v>
      </c>
      <c r="D238" s="649">
        <v>4680115888951</v>
      </c>
      <c r="E238" s="649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133</v>
      </c>
      <c r="L238" s="35" t="s">
        <v>46</v>
      </c>
      <c r="M238" s="36" t="s">
        <v>96</v>
      </c>
      <c r="N238" s="36"/>
      <c r="O238" s="35">
        <v>40</v>
      </c>
      <c r="P238" s="82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1"/>
      <c r="R238" s="651"/>
      <c r="S238" s="651"/>
      <c r="T238" s="652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412</v>
      </c>
      <c r="AG238" s="75"/>
      <c r="AJ238" s="79" t="s">
        <v>46</v>
      </c>
      <c r="AK238" s="79">
        <v>0</v>
      </c>
      <c r="BB238" s="326" t="s">
        <v>66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422</v>
      </c>
      <c r="B239" s="60" t="s">
        <v>423</v>
      </c>
      <c r="C239" s="34">
        <v>4301052178</v>
      </c>
      <c r="D239" s="649">
        <v>4680115888975</v>
      </c>
      <c r="E239" s="649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133</v>
      </c>
      <c r="L239" s="35" t="s">
        <v>46</v>
      </c>
      <c r="M239" s="36" t="s">
        <v>96</v>
      </c>
      <c r="N239" s="36"/>
      <c r="O239" s="35">
        <v>35</v>
      </c>
      <c r="P239" s="82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1"/>
      <c r="R239" s="651"/>
      <c r="S239" s="651"/>
      <c r="T239" s="652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424</v>
      </c>
      <c r="AG239" s="75"/>
      <c r="AJ239" s="79" t="s">
        <v>46</v>
      </c>
      <c r="AK239" s="79">
        <v>0</v>
      </c>
      <c r="BB239" s="328" t="s">
        <v>66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425</v>
      </c>
      <c r="B240" s="60" t="s">
        <v>426</v>
      </c>
      <c r="C240" s="34">
        <v>4301052176</v>
      </c>
      <c r="D240" s="649">
        <v>4680115888982</v>
      </c>
      <c r="E240" s="649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133</v>
      </c>
      <c r="L240" s="35" t="s">
        <v>46</v>
      </c>
      <c r="M240" s="36" t="s">
        <v>96</v>
      </c>
      <c r="N240" s="36"/>
      <c r="O240" s="35">
        <v>35</v>
      </c>
      <c r="P240" s="81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1"/>
      <c r="R240" s="651"/>
      <c r="S240" s="651"/>
      <c r="T240" s="652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415</v>
      </c>
      <c r="AG240" s="75"/>
      <c r="AJ240" s="79" t="s">
        <v>46</v>
      </c>
      <c r="AK240" s="79">
        <v>0</v>
      </c>
      <c r="BB240" s="330" t="s">
        <v>66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425</v>
      </c>
      <c r="B241" s="60" t="s">
        <v>427</v>
      </c>
      <c r="C241" s="34">
        <v>4301052277</v>
      </c>
      <c r="D241" s="649">
        <v>4680115888982</v>
      </c>
      <c r="E241" s="649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133</v>
      </c>
      <c r="L241" s="35" t="s">
        <v>46</v>
      </c>
      <c r="M241" s="36" t="s">
        <v>96</v>
      </c>
      <c r="N241" s="36"/>
      <c r="O241" s="35">
        <v>40</v>
      </c>
      <c r="P241" s="81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1"/>
      <c r="R241" s="651"/>
      <c r="S241" s="651"/>
      <c r="T241" s="652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417</v>
      </c>
      <c r="AG241" s="75"/>
      <c r="AJ241" s="79" t="s">
        <v>46</v>
      </c>
      <c r="AK241" s="79">
        <v>0</v>
      </c>
      <c r="BB241" s="332" t="s">
        <v>66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">
      <c r="A242" s="656"/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7"/>
      <c r="P242" s="653" t="s">
        <v>40</v>
      </c>
      <c r="Q242" s="654"/>
      <c r="R242" s="654"/>
      <c r="S242" s="654"/>
      <c r="T242" s="654"/>
      <c r="U242" s="654"/>
      <c r="V242" s="655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656"/>
      <c r="B243" s="656"/>
      <c r="C243" s="656"/>
      <c r="D243" s="656"/>
      <c r="E243" s="656"/>
      <c r="F243" s="656"/>
      <c r="G243" s="656"/>
      <c r="H243" s="656"/>
      <c r="I243" s="656"/>
      <c r="J243" s="656"/>
      <c r="K243" s="656"/>
      <c r="L243" s="656"/>
      <c r="M243" s="656"/>
      <c r="N243" s="656"/>
      <c r="O243" s="657"/>
      <c r="P243" s="653" t="s">
        <v>40</v>
      </c>
      <c r="Q243" s="654"/>
      <c r="R243" s="654"/>
      <c r="S243" s="654"/>
      <c r="T243" s="654"/>
      <c r="U243" s="654"/>
      <c r="V243" s="655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648" t="s">
        <v>277</v>
      </c>
      <c r="B244" s="648"/>
      <c r="C244" s="648"/>
      <c r="D244" s="648"/>
      <c r="E244" s="648"/>
      <c r="F244" s="648"/>
      <c r="G244" s="648"/>
      <c r="H244" s="648"/>
      <c r="I244" s="648"/>
      <c r="J244" s="648"/>
      <c r="K244" s="648"/>
      <c r="L244" s="648"/>
      <c r="M244" s="648"/>
      <c r="N244" s="648"/>
      <c r="O244" s="648"/>
      <c r="P244" s="648"/>
      <c r="Q244" s="648"/>
      <c r="R244" s="648"/>
      <c r="S244" s="648"/>
      <c r="T244" s="648"/>
      <c r="U244" s="648"/>
      <c r="V244" s="648"/>
      <c r="W244" s="648"/>
      <c r="X244" s="648"/>
      <c r="Y244" s="648"/>
      <c r="Z244" s="648"/>
      <c r="AA244" s="63"/>
      <c r="AB244" s="63"/>
      <c r="AC244" s="63"/>
    </row>
    <row r="245" spans="1:68" ht="27" hidden="1" customHeight="1" x14ac:dyDescent="0.25">
      <c r="A245" s="60" t="s">
        <v>428</v>
      </c>
      <c r="B245" s="60" t="s">
        <v>429</v>
      </c>
      <c r="C245" s="34">
        <v>4301032053</v>
      </c>
      <c r="D245" s="649">
        <v>4680115886780</v>
      </c>
      <c r="E245" s="649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342</v>
      </c>
      <c r="L245" s="35" t="s">
        <v>46</v>
      </c>
      <c r="M245" s="36" t="s">
        <v>282</v>
      </c>
      <c r="N245" s="36"/>
      <c r="O245" s="35">
        <v>60</v>
      </c>
      <c r="P245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1"/>
      <c r="R245" s="651"/>
      <c r="S245" s="651"/>
      <c r="T245" s="652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430</v>
      </c>
      <c r="AG245" s="75"/>
      <c r="AJ245" s="79" t="s">
        <v>46</v>
      </c>
      <c r="AK245" s="79">
        <v>0</v>
      </c>
      <c r="BB245" s="33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431</v>
      </c>
      <c r="B246" s="60" t="s">
        <v>432</v>
      </c>
      <c r="C246" s="34">
        <v>4301032051</v>
      </c>
      <c r="D246" s="649">
        <v>4680115886742</v>
      </c>
      <c r="E246" s="649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342</v>
      </c>
      <c r="L246" s="35" t="s">
        <v>46</v>
      </c>
      <c r="M246" s="36" t="s">
        <v>282</v>
      </c>
      <c r="N246" s="36"/>
      <c r="O246" s="35">
        <v>90</v>
      </c>
      <c r="P246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1"/>
      <c r="R246" s="651"/>
      <c r="S246" s="651"/>
      <c r="T246" s="652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433</v>
      </c>
      <c r="AG246" s="75"/>
      <c r="AJ246" s="79" t="s">
        <v>46</v>
      </c>
      <c r="AK246" s="79">
        <v>0</v>
      </c>
      <c r="BB246" s="336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434</v>
      </c>
      <c r="B247" s="60" t="s">
        <v>435</v>
      </c>
      <c r="C247" s="34">
        <v>4301032052</v>
      </c>
      <c r="D247" s="649">
        <v>4680115886766</v>
      </c>
      <c r="E247" s="649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342</v>
      </c>
      <c r="L247" s="35" t="s">
        <v>46</v>
      </c>
      <c r="M247" s="36" t="s">
        <v>282</v>
      </c>
      <c r="N247" s="36"/>
      <c r="O247" s="35">
        <v>90</v>
      </c>
      <c r="P247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1"/>
      <c r="R247" s="651"/>
      <c r="S247" s="651"/>
      <c r="T247" s="652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433</v>
      </c>
      <c r="AG247" s="75"/>
      <c r="AJ247" s="79" t="s">
        <v>46</v>
      </c>
      <c r="AK247" s="79">
        <v>0</v>
      </c>
      <c r="BB247" s="338" t="s">
        <v>66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3" t="s">
        <v>40</v>
      </c>
      <c r="Q249" s="654"/>
      <c r="R249" s="654"/>
      <c r="S249" s="654"/>
      <c r="T249" s="654"/>
      <c r="U249" s="654"/>
      <c r="V249" s="655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48" t="s">
        <v>436</v>
      </c>
      <c r="B250" s="648"/>
      <c r="C250" s="648"/>
      <c r="D250" s="648"/>
      <c r="E250" s="648"/>
      <c r="F250" s="648"/>
      <c r="G250" s="648"/>
      <c r="H250" s="648"/>
      <c r="I250" s="648"/>
      <c r="J250" s="648"/>
      <c r="K250" s="648"/>
      <c r="L250" s="648"/>
      <c r="M250" s="648"/>
      <c r="N250" s="648"/>
      <c r="O250" s="648"/>
      <c r="P250" s="648"/>
      <c r="Q250" s="648"/>
      <c r="R250" s="648"/>
      <c r="S250" s="648"/>
      <c r="T250" s="648"/>
      <c r="U250" s="648"/>
      <c r="V250" s="648"/>
      <c r="W250" s="648"/>
      <c r="X250" s="648"/>
      <c r="Y250" s="648"/>
      <c r="Z250" s="648"/>
      <c r="AA250" s="63"/>
      <c r="AB250" s="63"/>
      <c r="AC250" s="63"/>
    </row>
    <row r="251" spans="1:68" ht="27" hidden="1" customHeight="1" x14ac:dyDescent="0.25">
      <c r="A251" s="60" t="s">
        <v>437</v>
      </c>
      <c r="B251" s="60" t="s">
        <v>438</v>
      </c>
      <c r="C251" s="34">
        <v>4301170013</v>
      </c>
      <c r="D251" s="649">
        <v>4680115886797</v>
      </c>
      <c r="E251" s="649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342</v>
      </c>
      <c r="L251" s="35" t="s">
        <v>46</v>
      </c>
      <c r="M251" s="36" t="s">
        <v>282</v>
      </c>
      <c r="N251" s="36"/>
      <c r="O251" s="35">
        <v>90</v>
      </c>
      <c r="P251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1"/>
      <c r="R251" s="651"/>
      <c r="S251" s="651"/>
      <c r="T251" s="652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433</v>
      </c>
      <c r="AG251" s="75"/>
      <c r="AJ251" s="79" t="s">
        <v>46</v>
      </c>
      <c r="AK251" s="79">
        <v>0</v>
      </c>
      <c r="BB251" s="340" t="s">
        <v>66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53" t="s">
        <v>40</v>
      </c>
      <c r="Q252" s="654"/>
      <c r="R252" s="654"/>
      <c r="S252" s="654"/>
      <c r="T252" s="654"/>
      <c r="U252" s="654"/>
      <c r="V252" s="655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647" t="s">
        <v>439</v>
      </c>
      <c r="B254" s="647"/>
      <c r="C254" s="647"/>
      <c r="D254" s="647"/>
      <c r="E254" s="647"/>
      <c r="F254" s="647"/>
      <c r="G254" s="647"/>
      <c r="H254" s="647"/>
      <c r="I254" s="647"/>
      <c r="J254" s="647"/>
      <c r="K254" s="647"/>
      <c r="L254" s="647"/>
      <c r="M254" s="647"/>
      <c r="N254" s="647"/>
      <c r="O254" s="647"/>
      <c r="P254" s="647"/>
      <c r="Q254" s="647"/>
      <c r="R254" s="647"/>
      <c r="S254" s="647"/>
      <c r="T254" s="647"/>
      <c r="U254" s="647"/>
      <c r="V254" s="647"/>
      <c r="W254" s="647"/>
      <c r="X254" s="647"/>
      <c r="Y254" s="647"/>
      <c r="Z254" s="647"/>
      <c r="AA254" s="62"/>
      <c r="AB254" s="62"/>
      <c r="AC254" s="62"/>
    </row>
    <row r="255" spans="1:68" ht="14.25" hidden="1" customHeight="1" x14ac:dyDescent="0.25">
      <c r="A255" s="648" t="s">
        <v>121</v>
      </c>
      <c r="B255" s="648"/>
      <c r="C255" s="648"/>
      <c r="D255" s="648"/>
      <c r="E255" s="648"/>
      <c r="F255" s="648"/>
      <c r="G255" s="648"/>
      <c r="H255" s="648"/>
      <c r="I255" s="648"/>
      <c r="J255" s="648"/>
      <c r="K255" s="648"/>
      <c r="L255" s="648"/>
      <c r="M255" s="648"/>
      <c r="N255" s="648"/>
      <c r="O255" s="648"/>
      <c r="P255" s="648"/>
      <c r="Q255" s="648"/>
      <c r="R255" s="648"/>
      <c r="S255" s="648"/>
      <c r="T255" s="648"/>
      <c r="U255" s="648"/>
      <c r="V255" s="648"/>
      <c r="W255" s="648"/>
      <c r="X255" s="648"/>
      <c r="Y255" s="648"/>
      <c r="Z255" s="648"/>
      <c r="AA255" s="63"/>
      <c r="AB255" s="63"/>
      <c r="AC255" s="63"/>
    </row>
    <row r="256" spans="1:68" ht="27" hidden="1" customHeight="1" x14ac:dyDescent="0.25">
      <c r="A256" s="60" t="s">
        <v>440</v>
      </c>
      <c r="B256" s="60" t="s">
        <v>441</v>
      </c>
      <c r="C256" s="34">
        <v>4301011450</v>
      </c>
      <c r="D256" s="649">
        <v>4680115881402</v>
      </c>
      <c r="E256" s="649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126</v>
      </c>
      <c r="L256" s="35" t="s">
        <v>46</v>
      </c>
      <c r="M256" s="36" t="s">
        <v>125</v>
      </c>
      <c r="N256" s="36"/>
      <c r="O256" s="35">
        <v>55</v>
      </c>
      <c r="P256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1"/>
      <c r="R256" s="651"/>
      <c r="S256" s="651"/>
      <c r="T256" s="652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442</v>
      </c>
      <c r="AG256" s="75"/>
      <c r="AJ256" s="79" t="s">
        <v>46</v>
      </c>
      <c r="AK256" s="79">
        <v>0</v>
      </c>
      <c r="BB256" s="342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443</v>
      </c>
      <c r="B257" s="60" t="s">
        <v>444</v>
      </c>
      <c r="C257" s="34">
        <v>4301011768</v>
      </c>
      <c r="D257" s="649">
        <v>4680115881396</v>
      </c>
      <c r="E257" s="649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90</v>
      </c>
      <c r="L257" s="35" t="s">
        <v>46</v>
      </c>
      <c r="M257" s="36" t="s">
        <v>125</v>
      </c>
      <c r="N257" s="36"/>
      <c r="O257" s="35">
        <v>55</v>
      </c>
      <c r="P257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1"/>
      <c r="R257" s="651"/>
      <c r="S257" s="651"/>
      <c r="T257" s="652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442</v>
      </c>
      <c r="AG257" s="75"/>
      <c r="AJ257" s="79" t="s">
        <v>46</v>
      </c>
      <c r="AK257" s="79">
        <v>0</v>
      </c>
      <c r="BB257" s="344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3" t="s">
        <v>40</v>
      </c>
      <c r="Q259" s="654"/>
      <c r="R259" s="654"/>
      <c r="S259" s="654"/>
      <c r="T259" s="654"/>
      <c r="U259" s="654"/>
      <c r="V259" s="655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648" t="s">
        <v>156</v>
      </c>
      <c r="B260" s="648"/>
      <c r="C260" s="648"/>
      <c r="D260" s="648"/>
      <c r="E260" s="648"/>
      <c r="F260" s="648"/>
      <c r="G260" s="648"/>
      <c r="H260" s="648"/>
      <c r="I260" s="648"/>
      <c r="J260" s="648"/>
      <c r="K260" s="648"/>
      <c r="L260" s="648"/>
      <c r="M260" s="648"/>
      <c r="N260" s="648"/>
      <c r="O260" s="648"/>
      <c r="P260" s="648"/>
      <c r="Q260" s="648"/>
      <c r="R260" s="648"/>
      <c r="S260" s="648"/>
      <c r="T260" s="648"/>
      <c r="U260" s="648"/>
      <c r="V260" s="648"/>
      <c r="W260" s="648"/>
      <c r="X260" s="648"/>
      <c r="Y260" s="648"/>
      <c r="Z260" s="648"/>
      <c r="AA260" s="63"/>
      <c r="AB260" s="63"/>
      <c r="AC260" s="63"/>
    </row>
    <row r="261" spans="1:68" ht="16.5" hidden="1" customHeight="1" x14ac:dyDescent="0.25">
      <c r="A261" s="60" t="s">
        <v>445</v>
      </c>
      <c r="B261" s="60" t="s">
        <v>446</v>
      </c>
      <c r="C261" s="34">
        <v>4301020261</v>
      </c>
      <c r="D261" s="649">
        <v>4680115882935</v>
      </c>
      <c r="E261" s="649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126</v>
      </c>
      <c r="L261" s="35" t="s">
        <v>46</v>
      </c>
      <c r="M261" s="36" t="s">
        <v>125</v>
      </c>
      <c r="N261" s="36"/>
      <c r="O261" s="35">
        <v>50</v>
      </c>
      <c r="P261" s="8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1"/>
      <c r="R261" s="651"/>
      <c r="S261" s="651"/>
      <c r="T261" s="652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447</v>
      </c>
      <c r="AG261" s="75"/>
      <c r="AJ261" s="79" t="s">
        <v>46</v>
      </c>
      <c r="AK261" s="79">
        <v>0</v>
      </c>
      <c r="BB261" s="346" t="s">
        <v>66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448</v>
      </c>
      <c r="B262" s="60" t="s">
        <v>449</v>
      </c>
      <c r="C262" s="34">
        <v>4301020220</v>
      </c>
      <c r="D262" s="649">
        <v>4680115880764</v>
      </c>
      <c r="E262" s="649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90</v>
      </c>
      <c r="L262" s="35" t="s">
        <v>46</v>
      </c>
      <c r="M262" s="36" t="s">
        <v>125</v>
      </c>
      <c r="N262" s="36"/>
      <c r="O262" s="35">
        <v>50</v>
      </c>
      <c r="P262" s="8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1"/>
      <c r="R262" s="651"/>
      <c r="S262" s="651"/>
      <c r="T262" s="652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447</v>
      </c>
      <c r="AG262" s="75"/>
      <c r="AJ262" s="79" t="s">
        <v>46</v>
      </c>
      <c r="AK262" s="79">
        <v>0</v>
      </c>
      <c r="BB262" s="34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656"/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7"/>
      <c r="P263" s="653" t="s">
        <v>40</v>
      </c>
      <c r="Q263" s="654"/>
      <c r="R263" s="654"/>
      <c r="S263" s="654"/>
      <c r="T263" s="654"/>
      <c r="U263" s="654"/>
      <c r="V263" s="655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648" t="s">
        <v>76</v>
      </c>
      <c r="B265" s="648"/>
      <c r="C265" s="648"/>
      <c r="D265" s="648"/>
      <c r="E265" s="648"/>
      <c r="F265" s="648"/>
      <c r="G265" s="648"/>
      <c r="H265" s="648"/>
      <c r="I265" s="648"/>
      <c r="J265" s="648"/>
      <c r="K265" s="648"/>
      <c r="L265" s="648"/>
      <c r="M265" s="648"/>
      <c r="N265" s="648"/>
      <c r="O265" s="648"/>
      <c r="P265" s="648"/>
      <c r="Q265" s="648"/>
      <c r="R265" s="648"/>
      <c r="S265" s="648"/>
      <c r="T265" s="648"/>
      <c r="U265" s="648"/>
      <c r="V265" s="648"/>
      <c r="W265" s="648"/>
      <c r="X265" s="648"/>
      <c r="Y265" s="648"/>
      <c r="Z265" s="648"/>
      <c r="AA265" s="63"/>
      <c r="AB265" s="63"/>
      <c r="AC265" s="63"/>
    </row>
    <row r="266" spans="1:68" ht="27" hidden="1" customHeight="1" x14ac:dyDescent="0.25">
      <c r="A266" s="60" t="s">
        <v>450</v>
      </c>
      <c r="B266" s="60" t="s">
        <v>451</v>
      </c>
      <c r="C266" s="34">
        <v>4301031224</v>
      </c>
      <c r="D266" s="649">
        <v>4680115882683</v>
      </c>
      <c r="E266" s="649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133</v>
      </c>
      <c r="L266" s="35" t="s">
        <v>46</v>
      </c>
      <c r="M266" s="36" t="s">
        <v>80</v>
      </c>
      <c r="N266" s="36"/>
      <c r="O266" s="35">
        <v>40</v>
      </c>
      <c r="P266" s="8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1"/>
      <c r="R266" s="651"/>
      <c r="S266" s="651"/>
      <c r="T266" s="652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ref="Y266:Y273" si="38">IFERROR(IF(X266="",0,CEILING((X266/$H266),1)*$H266),"")</f>
        <v>0</v>
      </c>
      <c r="Z266" s="39" t="str">
        <f>IFERROR(IF(Y266=0,"",ROUNDUP(Y266/H266,0)*0.00902),"")</f>
        <v/>
      </c>
      <c r="AA266" s="65" t="s">
        <v>46</v>
      </c>
      <c r="AB266" s="66" t="s">
        <v>46</v>
      </c>
      <c r="AC266" s="349" t="s">
        <v>452</v>
      </c>
      <c r="AG266" s="75"/>
      <c r="AJ266" s="79" t="s">
        <v>46</v>
      </c>
      <c r="AK266" s="79">
        <v>0</v>
      </c>
      <c r="BB266" s="350" t="s">
        <v>66</v>
      </c>
      <c r="BM266" s="75">
        <f t="shared" ref="BM266:BM273" si="39">IFERROR(X266*I266/H266,"0")</f>
        <v>0</v>
      </c>
      <c r="BN266" s="75">
        <f t="shared" ref="BN266:BN273" si="40">IFERROR(Y266*I266/H266,"0")</f>
        <v>0</v>
      </c>
      <c r="BO266" s="75">
        <f t="shared" ref="BO266:BO273" si="41">IFERROR(1/J266*(X266/H266),"0")</f>
        <v>0</v>
      </c>
      <c r="BP266" s="75">
        <f t="shared" ref="BP266:BP273" si="42">IFERROR(1/J266*(Y266/H266),"0")</f>
        <v>0</v>
      </c>
    </row>
    <row r="267" spans="1:68" ht="27" hidden="1" customHeight="1" x14ac:dyDescent="0.25">
      <c r="A267" s="60" t="s">
        <v>453</v>
      </c>
      <c r="B267" s="60" t="s">
        <v>454</v>
      </c>
      <c r="C267" s="34">
        <v>4301031230</v>
      </c>
      <c r="D267" s="649">
        <v>4680115882690</v>
      </c>
      <c r="E267" s="649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133</v>
      </c>
      <c r="L267" s="35" t="s">
        <v>46</v>
      </c>
      <c r="M267" s="36" t="s">
        <v>80</v>
      </c>
      <c r="N267" s="36"/>
      <c r="O267" s="35">
        <v>40</v>
      </c>
      <c r="P267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1"/>
      <c r="R267" s="651"/>
      <c r="S267" s="651"/>
      <c r="T267" s="652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8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51" t="s">
        <v>455</v>
      </c>
      <c r="AG267" s="75"/>
      <c r="AJ267" s="79" t="s">
        <v>46</v>
      </c>
      <c r="AK267" s="79">
        <v>0</v>
      </c>
      <c r="BB267" s="352" t="s">
        <v>66</v>
      </c>
      <c r="BM267" s="75">
        <f t="shared" si="39"/>
        <v>0</v>
      </c>
      <c r="BN267" s="75">
        <f t="shared" si="40"/>
        <v>0</v>
      </c>
      <c r="BO267" s="75">
        <f t="shared" si="41"/>
        <v>0</v>
      </c>
      <c r="BP267" s="75">
        <f t="shared" si="42"/>
        <v>0</v>
      </c>
    </row>
    <row r="268" spans="1:68" ht="27" hidden="1" customHeight="1" x14ac:dyDescent="0.25">
      <c r="A268" s="60" t="s">
        <v>456</v>
      </c>
      <c r="B268" s="60" t="s">
        <v>457</v>
      </c>
      <c r="C268" s="34">
        <v>4301031220</v>
      </c>
      <c r="D268" s="649">
        <v>4680115882669</v>
      </c>
      <c r="E268" s="649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133</v>
      </c>
      <c r="L268" s="35" t="s">
        <v>46</v>
      </c>
      <c r="M268" s="36" t="s">
        <v>80</v>
      </c>
      <c r="N268" s="36"/>
      <c r="O268" s="35">
        <v>40</v>
      </c>
      <c r="P268" s="8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1"/>
      <c r="R268" s="651"/>
      <c r="S268" s="651"/>
      <c r="T268" s="652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8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53" t="s">
        <v>458</v>
      </c>
      <c r="AG268" s="75"/>
      <c r="AJ268" s="79" t="s">
        <v>46</v>
      </c>
      <c r="AK268" s="79">
        <v>0</v>
      </c>
      <c r="BB268" s="354" t="s">
        <v>66</v>
      </c>
      <c r="BM268" s="75">
        <f t="shared" si="39"/>
        <v>0</v>
      </c>
      <c r="BN268" s="75">
        <f t="shared" si="40"/>
        <v>0</v>
      </c>
      <c r="BO268" s="75">
        <f t="shared" si="41"/>
        <v>0</v>
      </c>
      <c r="BP268" s="75">
        <f t="shared" si="42"/>
        <v>0</v>
      </c>
    </row>
    <row r="269" spans="1:68" ht="27" hidden="1" customHeight="1" x14ac:dyDescent="0.25">
      <c r="A269" s="60" t="s">
        <v>459</v>
      </c>
      <c r="B269" s="60" t="s">
        <v>460</v>
      </c>
      <c r="C269" s="34">
        <v>4301031221</v>
      </c>
      <c r="D269" s="649">
        <v>4680115882676</v>
      </c>
      <c r="E269" s="649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133</v>
      </c>
      <c r="L269" s="35" t="s">
        <v>46</v>
      </c>
      <c r="M269" s="36" t="s">
        <v>80</v>
      </c>
      <c r="N269" s="36"/>
      <c r="O269" s="35">
        <v>40</v>
      </c>
      <c r="P269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1"/>
      <c r="R269" s="651"/>
      <c r="S269" s="651"/>
      <c r="T269" s="652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8"/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55" t="s">
        <v>461</v>
      </c>
      <c r="AG269" s="75"/>
      <c r="AJ269" s="79" t="s">
        <v>46</v>
      </c>
      <c r="AK269" s="79">
        <v>0</v>
      </c>
      <c r="BB269" s="356" t="s">
        <v>66</v>
      </c>
      <c r="BM269" s="75">
        <f t="shared" si="39"/>
        <v>0</v>
      </c>
      <c r="BN269" s="75">
        <f t="shared" si="40"/>
        <v>0</v>
      </c>
      <c r="BO269" s="75">
        <f t="shared" si="41"/>
        <v>0</v>
      </c>
      <c r="BP269" s="75">
        <f t="shared" si="42"/>
        <v>0</v>
      </c>
    </row>
    <row r="270" spans="1:68" ht="27" hidden="1" customHeight="1" x14ac:dyDescent="0.25">
      <c r="A270" s="60" t="s">
        <v>462</v>
      </c>
      <c r="B270" s="60" t="s">
        <v>463</v>
      </c>
      <c r="C270" s="34">
        <v>4301031223</v>
      </c>
      <c r="D270" s="649">
        <v>4680115884014</v>
      </c>
      <c r="E270" s="649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81</v>
      </c>
      <c r="L270" s="35" t="s">
        <v>46</v>
      </c>
      <c r="M270" s="36" t="s">
        <v>80</v>
      </c>
      <c r="N270" s="36"/>
      <c r="O270" s="35">
        <v>40</v>
      </c>
      <c r="P270" s="80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1"/>
      <c r="R270" s="651"/>
      <c r="S270" s="651"/>
      <c r="T270" s="652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452</v>
      </c>
      <c r="AG270" s="75"/>
      <c r="AJ270" s="79" t="s">
        <v>46</v>
      </c>
      <c r="AK270" s="79">
        <v>0</v>
      </c>
      <c r="BB270" s="358" t="s">
        <v>66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464</v>
      </c>
      <c r="B271" s="60" t="s">
        <v>465</v>
      </c>
      <c r="C271" s="34">
        <v>4301031222</v>
      </c>
      <c r="D271" s="649">
        <v>4680115884007</v>
      </c>
      <c r="E271" s="649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81</v>
      </c>
      <c r="L271" s="35" t="s">
        <v>46</v>
      </c>
      <c r="M271" s="36" t="s">
        <v>80</v>
      </c>
      <c r="N271" s="36"/>
      <c r="O271" s="35">
        <v>40</v>
      </c>
      <c r="P271" s="8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1"/>
      <c r="R271" s="651"/>
      <c r="S271" s="651"/>
      <c r="T271" s="652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455</v>
      </c>
      <c r="AG271" s="75"/>
      <c r="AJ271" s="79" t="s">
        <v>46</v>
      </c>
      <c r="AK271" s="79">
        <v>0</v>
      </c>
      <c r="BB271" s="360" t="s">
        <v>66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4301031229</v>
      </c>
      <c r="D272" s="649">
        <v>4680115884038</v>
      </c>
      <c r="E272" s="649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81</v>
      </c>
      <c r="L272" s="35" t="s">
        <v>46</v>
      </c>
      <c r="M272" s="36" t="s">
        <v>80</v>
      </c>
      <c r="N272" s="36"/>
      <c r="O272" s="35">
        <v>40</v>
      </c>
      <c r="P272" s="8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1"/>
      <c r="R272" s="651"/>
      <c r="S272" s="651"/>
      <c r="T272" s="652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458</v>
      </c>
      <c r="AG272" s="75"/>
      <c r="AJ272" s="79" t="s">
        <v>46</v>
      </c>
      <c r="AK272" s="79">
        <v>0</v>
      </c>
      <c r="BB272" s="362" t="s">
        <v>66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468</v>
      </c>
      <c r="B273" s="60" t="s">
        <v>469</v>
      </c>
      <c r="C273" s="34">
        <v>4301031225</v>
      </c>
      <c r="D273" s="649">
        <v>4680115884021</v>
      </c>
      <c r="E273" s="649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1"/>
      <c r="R273" s="651"/>
      <c r="S273" s="651"/>
      <c r="T273" s="652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461</v>
      </c>
      <c r="AG273" s="75"/>
      <c r="AJ273" s="79" t="s">
        <v>46</v>
      </c>
      <c r="AK273" s="79">
        <v>0</v>
      </c>
      <c r="BB273" s="364" t="s">
        <v>66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hidden="1" x14ac:dyDescent="0.2">
      <c r="A274" s="656"/>
      <c r="B274" s="656"/>
      <c r="C274" s="656"/>
      <c r="D274" s="656"/>
      <c r="E274" s="656"/>
      <c r="F274" s="656"/>
      <c r="G274" s="656"/>
      <c r="H274" s="656"/>
      <c r="I274" s="656"/>
      <c r="J274" s="656"/>
      <c r="K274" s="656"/>
      <c r="L274" s="656"/>
      <c r="M274" s="656"/>
      <c r="N274" s="656"/>
      <c r="O274" s="657"/>
      <c r="P274" s="653" t="s">
        <v>40</v>
      </c>
      <c r="Q274" s="654"/>
      <c r="R274" s="654"/>
      <c r="S274" s="654"/>
      <c r="T274" s="654"/>
      <c r="U274" s="654"/>
      <c r="V274" s="655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0</v>
      </c>
      <c r="Y274" s="41">
        <f>IFERROR(Y266/H266,"0")+IFERROR(Y267/H267,"0")+IFERROR(Y268/H268,"0")+IFERROR(Y269/H269,"0")+IFERROR(Y270/H270,"0")+IFERROR(Y271/H271,"0")+IFERROR(Y272/H272,"0")+IFERROR(Y273/H273,"0")</f>
        <v>0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hidden="1" x14ac:dyDescent="0.2">
      <c r="A275" s="656"/>
      <c r="B275" s="656"/>
      <c r="C275" s="656"/>
      <c r="D275" s="656"/>
      <c r="E275" s="656"/>
      <c r="F275" s="656"/>
      <c r="G275" s="656"/>
      <c r="H275" s="656"/>
      <c r="I275" s="656"/>
      <c r="J275" s="656"/>
      <c r="K275" s="656"/>
      <c r="L275" s="656"/>
      <c r="M275" s="656"/>
      <c r="N275" s="656"/>
      <c r="O275" s="657"/>
      <c r="P275" s="653" t="s">
        <v>40</v>
      </c>
      <c r="Q275" s="654"/>
      <c r="R275" s="654"/>
      <c r="S275" s="654"/>
      <c r="T275" s="654"/>
      <c r="U275" s="654"/>
      <c r="V275" s="655"/>
      <c r="W275" s="40" t="s">
        <v>0</v>
      </c>
      <c r="X275" s="41">
        <f>IFERROR(SUM(X266:X273),"0")</f>
        <v>0</v>
      </c>
      <c r="Y275" s="41">
        <f>IFERROR(SUM(Y266:Y273),"0")</f>
        <v>0</v>
      </c>
      <c r="Z275" s="40"/>
      <c r="AA275" s="64"/>
      <c r="AB275" s="64"/>
      <c r="AC275" s="64"/>
    </row>
    <row r="276" spans="1:68" ht="14.25" hidden="1" customHeight="1" x14ac:dyDescent="0.25">
      <c r="A276" s="648" t="s">
        <v>85</v>
      </c>
      <c r="B276" s="648"/>
      <c r="C276" s="648"/>
      <c r="D276" s="648"/>
      <c r="E276" s="648"/>
      <c r="F276" s="648"/>
      <c r="G276" s="648"/>
      <c r="H276" s="648"/>
      <c r="I276" s="648"/>
      <c r="J276" s="648"/>
      <c r="K276" s="648"/>
      <c r="L276" s="648"/>
      <c r="M276" s="648"/>
      <c r="N276" s="648"/>
      <c r="O276" s="648"/>
      <c r="P276" s="648"/>
      <c r="Q276" s="648"/>
      <c r="R276" s="648"/>
      <c r="S276" s="648"/>
      <c r="T276" s="648"/>
      <c r="U276" s="648"/>
      <c r="V276" s="648"/>
      <c r="W276" s="648"/>
      <c r="X276" s="648"/>
      <c r="Y276" s="648"/>
      <c r="Z276" s="648"/>
      <c r="AA276" s="63"/>
      <c r="AB276" s="63"/>
      <c r="AC276" s="63"/>
    </row>
    <row r="277" spans="1:68" ht="27" hidden="1" customHeight="1" x14ac:dyDescent="0.25">
      <c r="A277" s="60" t="s">
        <v>470</v>
      </c>
      <c r="B277" s="60" t="s">
        <v>471</v>
      </c>
      <c r="C277" s="34">
        <v>4301051408</v>
      </c>
      <c r="D277" s="649">
        <v>4680115881594</v>
      </c>
      <c r="E277" s="649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126</v>
      </c>
      <c r="L277" s="35" t="s">
        <v>46</v>
      </c>
      <c r="M277" s="36" t="s">
        <v>89</v>
      </c>
      <c r="N277" s="36"/>
      <c r="O277" s="35">
        <v>40</v>
      </c>
      <c r="P277" s="7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1"/>
      <c r="R277" s="651"/>
      <c r="S277" s="651"/>
      <c r="T277" s="652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472</v>
      </c>
      <c r="AG277" s="75"/>
      <c r="AJ277" s="79" t="s">
        <v>46</v>
      </c>
      <c r="AK277" s="79">
        <v>0</v>
      </c>
      <c r="BB277" s="366" t="s">
        <v>66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473</v>
      </c>
      <c r="B278" s="60" t="s">
        <v>474</v>
      </c>
      <c r="C278" s="34">
        <v>4301051411</v>
      </c>
      <c r="D278" s="649">
        <v>4680115881617</v>
      </c>
      <c r="E278" s="649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126</v>
      </c>
      <c r="L278" s="35" t="s">
        <v>46</v>
      </c>
      <c r="M278" s="36" t="s">
        <v>89</v>
      </c>
      <c r="N278" s="36"/>
      <c r="O278" s="35">
        <v>40</v>
      </c>
      <c r="P278" s="7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1"/>
      <c r="R278" s="651"/>
      <c r="S278" s="651"/>
      <c r="T278" s="652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475</v>
      </c>
      <c r="AG278" s="75"/>
      <c r="AJ278" s="79" t="s">
        <v>46</v>
      </c>
      <c r="AK278" s="79">
        <v>0</v>
      </c>
      <c r="BB278" s="368" t="s">
        <v>66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476</v>
      </c>
      <c r="B279" s="60" t="s">
        <v>477</v>
      </c>
      <c r="C279" s="34">
        <v>4301051656</v>
      </c>
      <c r="D279" s="649">
        <v>4680115880573</v>
      </c>
      <c r="E279" s="649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126</v>
      </c>
      <c r="L279" s="35" t="s">
        <v>46</v>
      </c>
      <c r="M279" s="36" t="s">
        <v>89</v>
      </c>
      <c r="N279" s="36"/>
      <c r="O279" s="35">
        <v>45</v>
      </c>
      <c r="P279" s="7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1"/>
      <c r="R279" s="651"/>
      <c r="S279" s="651"/>
      <c r="T279" s="652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IFERROR(IF(Y279=0,"",ROUNDUP(Y279/H279,0)*0.01898),"")</f>
        <v/>
      </c>
      <c r="AA279" s="65" t="s">
        <v>46</v>
      </c>
      <c r="AB279" s="66" t="s">
        <v>46</v>
      </c>
      <c r="AC279" s="369" t="s">
        <v>478</v>
      </c>
      <c r="AG279" s="75"/>
      <c r="AJ279" s="79" t="s">
        <v>46</v>
      </c>
      <c r="AK279" s="79">
        <v>0</v>
      </c>
      <c r="BB279" s="370" t="s">
        <v>66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t="27" hidden="1" customHeight="1" x14ac:dyDescent="0.25">
      <c r="A280" s="60" t="s">
        <v>479</v>
      </c>
      <c r="B280" s="60" t="s">
        <v>480</v>
      </c>
      <c r="C280" s="34">
        <v>4301051407</v>
      </c>
      <c r="D280" s="649">
        <v>4680115882195</v>
      </c>
      <c r="E280" s="649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90</v>
      </c>
      <c r="L280" s="35" t="s">
        <v>46</v>
      </c>
      <c r="M280" s="36" t="s">
        <v>89</v>
      </c>
      <c r="N280" s="36"/>
      <c r="O280" s="35">
        <v>40</v>
      </c>
      <c r="P280" s="8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1"/>
      <c r="R280" s="651"/>
      <c r="S280" s="651"/>
      <c r="T280" s="652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3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71" t="s">
        <v>472</v>
      </c>
      <c r="AG280" s="75"/>
      <c r="AJ280" s="79" t="s">
        <v>46</v>
      </c>
      <c r="AK280" s="79">
        <v>0</v>
      </c>
      <c r="BB280" s="372" t="s">
        <v>66</v>
      </c>
      <c r="BM280" s="75">
        <f t="shared" si="44"/>
        <v>0</v>
      </c>
      <c r="BN280" s="75">
        <f t="shared" si="45"/>
        <v>0</v>
      </c>
      <c r="BO280" s="75">
        <f t="shared" si="46"/>
        <v>0</v>
      </c>
      <c r="BP280" s="75">
        <f t="shared" si="47"/>
        <v>0</v>
      </c>
    </row>
    <row r="281" spans="1:68" ht="27" hidden="1" customHeight="1" x14ac:dyDescent="0.25">
      <c r="A281" s="60" t="s">
        <v>481</v>
      </c>
      <c r="B281" s="60" t="s">
        <v>482</v>
      </c>
      <c r="C281" s="34">
        <v>4301051752</v>
      </c>
      <c r="D281" s="649">
        <v>4680115882607</v>
      </c>
      <c r="E281" s="649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90</v>
      </c>
      <c r="L281" s="35" t="s">
        <v>46</v>
      </c>
      <c r="M281" s="36" t="s">
        <v>96</v>
      </c>
      <c r="N281" s="36"/>
      <c r="O281" s="35">
        <v>45</v>
      </c>
      <c r="P281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1"/>
      <c r="R281" s="651"/>
      <c r="S281" s="651"/>
      <c r="T281" s="652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478</v>
      </c>
      <c r="AG281" s="75"/>
      <c r="AJ281" s="79" t="s">
        <v>46</v>
      </c>
      <c r="AK281" s="79">
        <v>0</v>
      </c>
      <c r="BB281" s="374" t="s">
        <v>66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4301052143</v>
      </c>
      <c r="D282" s="649">
        <v>4680115882607</v>
      </c>
      <c r="E282" s="649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133</v>
      </c>
      <c r="L282" s="35" t="s">
        <v>46</v>
      </c>
      <c r="M282" s="36" t="s">
        <v>89</v>
      </c>
      <c r="N282" s="36"/>
      <c r="O282" s="35">
        <v>45</v>
      </c>
      <c r="P282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1"/>
      <c r="R282" s="651"/>
      <c r="S282" s="651"/>
      <c r="T282" s="652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485</v>
      </c>
      <c r="AG282" s="75"/>
      <c r="AJ282" s="79" t="s">
        <v>46</v>
      </c>
      <c r="AK282" s="79">
        <v>0</v>
      </c>
      <c r="BB282" s="376" t="s">
        <v>66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4301051666</v>
      </c>
      <c r="D283" s="649">
        <v>4680115880092</v>
      </c>
      <c r="E283" s="649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45</v>
      </c>
      <c r="P283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1"/>
      <c r="R283" s="651"/>
      <c r="S283" s="651"/>
      <c r="T283" s="652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7" t="s">
        <v>478</v>
      </c>
      <c r="AG283" s="75"/>
      <c r="AJ283" s="79" t="s">
        <v>46</v>
      </c>
      <c r="AK283" s="79">
        <v>0</v>
      </c>
      <c r="BB283" s="378" t="s">
        <v>66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4301052214</v>
      </c>
      <c r="D284" s="649">
        <v>4680115889064</v>
      </c>
      <c r="E284" s="649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126</v>
      </c>
      <c r="L284" s="35" t="s">
        <v>46</v>
      </c>
      <c r="M284" s="36" t="s">
        <v>89</v>
      </c>
      <c r="N284" s="36"/>
      <c r="O284" s="35">
        <v>45</v>
      </c>
      <c r="P284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1"/>
      <c r="R284" s="651"/>
      <c r="S284" s="651"/>
      <c r="T284" s="652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485</v>
      </c>
      <c r="AG284" s="75"/>
      <c r="AJ284" s="79" t="s">
        <v>46</v>
      </c>
      <c r="AK284" s="79">
        <v>0</v>
      </c>
      <c r="BB284" s="380" t="s">
        <v>66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4301051668</v>
      </c>
      <c r="D285" s="649">
        <v>4680115880221</v>
      </c>
      <c r="E285" s="649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90</v>
      </c>
      <c r="L285" s="35" t="s">
        <v>46</v>
      </c>
      <c r="M285" s="36" t="s">
        <v>89</v>
      </c>
      <c r="N285" s="36"/>
      <c r="O285" s="35">
        <v>45</v>
      </c>
      <c r="P285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1"/>
      <c r="R285" s="651"/>
      <c r="S285" s="651"/>
      <c r="T285" s="652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3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81" t="s">
        <v>478</v>
      </c>
      <c r="AG285" s="75"/>
      <c r="AJ285" s="79" t="s">
        <v>46</v>
      </c>
      <c r="AK285" s="79">
        <v>0</v>
      </c>
      <c r="BB285" s="382" t="s">
        <v>66</v>
      </c>
      <c r="BM285" s="75">
        <f t="shared" si="44"/>
        <v>0</v>
      </c>
      <c r="BN285" s="75">
        <f t="shared" si="45"/>
        <v>0</v>
      </c>
      <c r="BO285" s="75">
        <f t="shared" si="46"/>
        <v>0</v>
      </c>
      <c r="BP285" s="75">
        <f t="shared" si="47"/>
        <v>0</v>
      </c>
    </row>
    <row r="286" spans="1:68" ht="27" hidden="1" customHeight="1" x14ac:dyDescent="0.25">
      <c r="A286" s="60" t="s">
        <v>492</v>
      </c>
      <c r="B286" s="60" t="s">
        <v>493</v>
      </c>
      <c r="C286" s="34">
        <v>4301051945</v>
      </c>
      <c r="D286" s="649">
        <v>4680115880504</v>
      </c>
      <c r="E286" s="649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96</v>
      </c>
      <c r="N286" s="36"/>
      <c r="O286" s="35">
        <v>40</v>
      </c>
      <c r="P286" s="78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1"/>
      <c r="R286" s="651"/>
      <c r="S286" s="651"/>
      <c r="T286" s="652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494</v>
      </c>
      <c r="AG286" s="75"/>
      <c r="AJ286" s="79" t="s">
        <v>46</v>
      </c>
      <c r="AK286" s="79">
        <v>0</v>
      </c>
      <c r="BB286" s="384" t="s">
        <v>66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4301051410</v>
      </c>
      <c r="D287" s="649">
        <v>4680115882164</v>
      </c>
      <c r="E287" s="649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90</v>
      </c>
      <c r="L287" s="35" t="s">
        <v>46</v>
      </c>
      <c r="M287" s="36" t="s">
        <v>89</v>
      </c>
      <c r="N287" s="36"/>
      <c r="O287" s="35">
        <v>40</v>
      </c>
      <c r="P287" s="7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1"/>
      <c r="R287" s="651"/>
      <c r="S287" s="651"/>
      <c r="T287" s="652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3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85" t="s">
        <v>497</v>
      </c>
      <c r="AG287" s="75"/>
      <c r="AJ287" s="79" t="s">
        <v>46</v>
      </c>
      <c r="AK287" s="79">
        <v>0</v>
      </c>
      <c r="BB287" s="386" t="s">
        <v>66</v>
      </c>
      <c r="BM287" s="75">
        <f t="shared" si="44"/>
        <v>0</v>
      </c>
      <c r="BN287" s="75">
        <f t="shared" si="45"/>
        <v>0</v>
      </c>
      <c r="BO287" s="75">
        <f t="shared" si="46"/>
        <v>0</v>
      </c>
      <c r="BP287" s="75">
        <f t="shared" si="47"/>
        <v>0</v>
      </c>
    </row>
    <row r="288" spans="1:68" ht="27" hidden="1" customHeight="1" x14ac:dyDescent="0.25">
      <c r="A288" s="60" t="s">
        <v>498</v>
      </c>
      <c r="B288" s="60" t="s">
        <v>499</v>
      </c>
      <c r="C288" s="34">
        <v>4301052180</v>
      </c>
      <c r="D288" s="649">
        <v>4680115888340</v>
      </c>
      <c r="E288" s="649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79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1"/>
      <c r="R288" s="651"/>
      <c r="S288" s="651"/>
      <c r="T288" s="652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500</v>
      </c>
      <c r="AG288" s="75"/>
      <c r="AJ288" s="79" t="s">
        <v>46</v>
      </c>
      <c r="AK288" s="79">
        <v>0</v>
      </c>
      <c r="BB288" s="388" t="s">
        <v>66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hidden="1" x14ac:dyDescent="0.2">
      <c r="A289" s="656"/>
      <c r="B289" s="656"/>
      <c r="C289" s="656"/>
      <c r="D289" s="656"/>
      <c r="E289" s="656"/>
      <c r="F289" s="656"/>
      <c r="G289" s="656"/>
      <c r="H289" s="656"/>
      <c r="I289" s="656"/>
      <c r="J289" s="656"/>
      <c r="K289" s="656"/>
      <c r="L289" s="656"/>
      <c r="M289" s="656"/>
      <c r="N289" s="656"/>
      <c r="O289" s="657"/>
      <c r="P289" s="653" t="s">
        <v>40</v>
      </c>
      <c r="Q289" s="654"/>
      <c r="R289" s="654"/>
      <c r="S289" s="654"/>
      <c r="T289" s="654"/>
      <c r="U289" s="654"/>
      <c r="V289" s="655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4"/>
      <c r="AB289" s="64"/>
      <c r="AC289" s="64"/>
    </row>
    <row r="290" spans="1:68" hidden="1" x14ac:dyDescent="0.2">
      <c r="A290" s="656"/>
      <c r="B290" s="656"/>
      <c r="C290" s="656"/>
      <c r="D290" s="656"/>
      <c r="E290" s="656"/>
      <c r="F290" s="656"/>
      <c r="G290" s="656"/>
      <c r="H290" s="656"/>
      <c r="I290" s="656"/>
      <c r="J290" s="656"/>
      <c r="K290" s="656"/>
      <c r="L290" s="656"/>
      <c r="M290" s="656"/>
      <c r="N290" s="656"/>
      <c r="O290" s="657"/>
      <c r="P290" s="653" t="s">
        <v>40</v>
      </c>
      <c r="Q290" s="654"/>
      <c r="R290" s="654"/>
      <c r="S290" s="654"/>
      <c r="T290" s="654"/>
      <c r="U290" s="654"/>
      <c r="V290" s="655"/>
      <c r="W290" s="40" t="s">
        <v>0</v>
      </c>
      <c r="X290" s="41">
        <f>IFERROR(SUM(X277:X288),"0")</f>
        <v>0</v>
      </c>
      <c r="Y290" s="41">
        <f>IFERROR(SUM(Y277:Y288),"0")</f>
        <v>0</v>
      </c>
      <c r="Z290" s="40"/>
      <c r="AA290" s="64"/>
      <c r="AB290" s="64"/>
      <c r="AC290" s="64"/>
    </row>
    <row r="291" spans="1:68" ht="14.25" hidden="1" customHeight="1" x14ac:dyDescent="0.25">
      <c r="A291" s="648" t="s">
        <v>174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3"/>
      <c r="AB291" s="63"/>
      <c r="AC291" s="63"/>
    </row>
    <row r="292" spans="1:68" ht="27" hidden="1" customHeight="1" x14ac:dyDescent="0.25">
      <c r="A292" s="60" t="s">
        <v>501</v>
      </c>
      <c r="B292" s="60" t="s">
        <v>502</v>
      </c>
      <c r="C292" s="34">
        <v>4301060463</v>
      </c>
      <c r="D292" s="649">
        <v>4680115880818</v>
      </c>
      <c r="E292" s="649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90</v>
      </c>
      <c r="L292" s="35" t="s">
        <v>46</v>
      </c>
      <c r="M292" s="36" t="s">
        <v>96</v>
      </c>
      <c r="N292" s="36"/>
      <c r="O292" s="35">
        <v>40</v>
      </c>
      <c r="P292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1"/>
      <c r="R292" s="651"/>
      <c r="S292" s="651"/>
      <c r="T292" s="652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503</v>
      </c>
      <c r="AG292" s="75"/>
      <c r="AJ292" s="79" t="s">
        <v>46</v>
      </c>
      <c r="AK292" s="79">
        <v>0</v>
      </c>
      <c r="BB292" s="390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504</v>
      </c>
      <c r="B293" s="60" t="s">
        <v>505</v>
      </c>
      <c r="C293" s="34">
        <v>4301060389</v>
      </c>
      <c r="D293" s="649">
        <v>4680115880801</v>
      </c>
      <c r="E293" s="649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90</v>
      </c>
      <c r="L293" s="35" t="s">
        <v>46</v>
      </c>
      <c r="M293" s="36" t="s">
        <v>89</v>
      </c>
      <c r="N293" s="36"/>
      <c r="O293" s="35">
        <v>40</v>
      </c>
      <c r="P293" s="7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1"/>
      <c r="R293" s="651"/>
      <c r="S293" s="651"/>
      <c r="T293" s="652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506</v>
      </c>
      <c r="AG293" s="75"/>
      <c r="AJ293" s="79" t="s">
        <v>46</v>
      </c>
      <c r="AK293" s="79">
        <v>0</v>
      </c>
      <c r="BB293" s="392" t="s">
        <v>66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56"/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7"/>
      <c r="P294" s="653" t="s">
        <v>40</v>
      </c>
      <c r="Q294" s="654"/>
      <c r="R294" s="654"/>
      <c r="S294" s="654"/>
      <c r="T294" s="654"/>
      <c r="U294" s="654"/>
      <c r="V294" s="655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647" t="s">
        <v>507</v>
      </c>
      <c r="B296" s="647"/>
      <c r="C296" s="647"/>
      <c r="D296" s="647"/>
      <c r="E296" s="647"/>
      <c r="F296" s="647"/>
      <c r="G296" s="647"/>
      <c r="H296" s="647"/>
      <c r="I296" s="647"/>
      <c r="J296" s="647"/>
      <c r="K296" s="647"/>
      <c r="L296" s="647"/>
      <c r="M296" s="647"/>
      <c r="N296" s="647"/>
      <c r="O296" s="647"/>
      <c r="P296" s="647"/>
      <c r="Q296" s="647"/>
      <c r="R296" s="647"/>
      <c r="S296" s="647"/>
      <c r="T296" s="647"/>
      <c r="U296" s="647"/>
      <c r="V296" s="647"/>
      <c r="W296" s="647"/>
      <c r="X296" s="647"/>
      <c r="Y296" s="647"/>
      <c r="Z296" s="647"/>
      <c r="AA296" s="62"/>
      <c r="AB296" s="62"/>
      <c r="AC296" s="62"/>
    </row>
    <row r="297" spans="1:68" ht="14.25" hidden="1" customHeight="1" x14ac:dyDescent="0.25">
      <c r="A297" s="648" t="s">
        <v>121</v>
      </c>
      <c r="B297" s="648"/>
      <c r="C297" s="648"/>
      <c r="D297" s="648"/>
      <c r="E297" s="648"/>
      <c r="F297" s="648"/>
      <c r="G297" s="648"/>
      <c r="H297" s="648"/>
      <c r="I297" s="648"/>
      <c r="J297" s="648"/>
      <c r="K297" s="648"/>
      <c r="L297" s="648"/>
      <c r="M297" s="648"/>
      <c r="N297" s="648"/>
      <c r="O297" s="648"/>
      <c r="P297" s="648"/>
      <c r="Q297" s="648"/>
      <c r="R297" s="648"/>
      <c r="S297" s="648"/>
      <c r="T297" s="648"/>
      <c r="U297" s="648"/>
      <c r="V297" s="648"/>
      <c r="W297" s="648"/>
      <c r="X297" s="648"/>
      <c r="Y297" s="648"/>
      <c r="Z297" s="648"/>
      <c r="AA297" s="63"/>
      <c r="AB297" s="63"/>
      <c r="AC297" s="63"/>
    </row>
    <row r="298" spans="1:68" ht="27" hidden="1" customHeight="1" x14ac:dyDescent="0.25">
      <c r="A298" s="60" t="s">
        <v>508</v>
      </c>
      <c r="B298" s="60" t="s">
        <v>509</v>
      </c>
      <c r="C298" s="34">
        <v>4301011826</v>
      </c>
      <c r="D298" s="649">
        <v>4680115884137</v>
      </c>
      <c r="E298" s="649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126</v>
      </c>
      <c r="L298" s="35" t="s">
        <v>46</v>
      </c>
      <c r="M298" s="36" t="s">
        <v>125</v>
      </c>
      <c r="N298" s="36"/>
      <c r="O298" s="35">
        <v>55</v>
      </c>
      <c r="P298" s="7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1"/>
      <c r="R298" s="651"/>
      <c r="S298" s="651"/>
      <c r="T298" s="652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510</v>
      </c>
      <c r="AG298" s="75"/>
      <c r="AJ298" s="79" t="s">
        <v>46</v>
      </c>
      <c r="AK298" s="79">
        <v>0</v>
      </c>
      <c r="BB298" s="394" t="s">
        <v>66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511</v>
      </c>
      <c r="B299" s="60" t="s">
        <v>512</v>
      </c>
      <c r="C299" s="34">
        <v>4301011724</v>
      </c>
      <c r="D299" s="649">
        <v>4680115884236</v>
      </c>
      <c r="E299" s="649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126</v>
      </c>
      <c r="L299" s="35" t="s">
        <v>46</v>
      </c>
      <c r="M299" s="36" t="s">
        <v>125</v>
      </c>
      <c r="N299" s="36"/>
      <c r="O299" s="35">
        <v>55</v>
      </c>
      <c r="P299" s="78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1"/>
      <c r="R299" s="651"/>
      <c r="S299" s="651"/>
      <c r="T299" s="652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513</v>
      </c>
      <c r="AG299" s="75"/>
      <c r="AJ299" s="79" t="s">
        <v>46</v>
      </c>
      <c r="AK299" s="79">
        <v>0</v>
      </c>
      <c r="BB299" s="396" t="s">
        <v>66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514</v>
      </c>
      <c r="B300" s="60" t="s">
        <v>515</v>
      </c>
      <c r="C300" s="34">
        <v>4301011721</v>
      </c>
      <c r="D300" s="649">
        <v>4680115884175</v>
      </c>
      <c r="E300" s="649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126</v>
      </c>
      <c r="L300" s="35" t="s">
        <v>46</v>
      </c>
      <c r="M300" s="36" t="s">
        <v>125</v>
      </c>
      <c r="N300" s="36"/>
      <c r="O300" s="35">
        <v>55</v>
      </c>
      <c r="P300" s="7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1"/>
      <c r="R300" s="651"/>
      <c r="S300" s="651"/>
      <c r="T300" s="652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361</v>
      </c>
      <c r="AG300" s="75"/>
      <c r="AJ300" s="79" t="s">
        <v>46</v>
      </c>
      <c r="AK300" s="79">
        <v>0</v>
      </c>
      <c r="BB300" s="398" t="s">
        <v>66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hidden="1" customHeight="1" x14ac:dyDescent="0.25">
      <c r="A301" s="60" t="s">
        <v>516</v>
      </c>
      <c r="B301" s="60" t="s">
        <v>517</v>
      </c>
      <c r="C301" s="34">
        <v>4301011824</v>
      </c>
      <c r="D301" s="649">
        <v>4680115884144</v>
      </c>
      <c r="E301" s="649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133</v>
      </c>
      <c r="L301" s="35" t="s">
        <v>46</v>
      </c>
      <c r="M301" s="36" t="s">
        <v>125</v>
      </c>
      <c r="N301" s="36"/>
      <c r="O301" s="35">
        <v>55</v>
      </c>
      <c r="P301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1"/>
      <c r="R301" s="651"/>
      <c r="S301" s="651"/>
      <c r="T301" s="652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8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9" t="s">
        <v>510</v>
      </c>
      <c r="AG301" s="75"/>
      <c r="AJ301" s="79" t="s">
        <v>46</v>
      </c>
      <c r="AK301" s="79">
        <v>0</v>
      </c>
      <c r="BB301" s="400" t="s">
        <v>66</v>
      </c>
      <c r="BM301" s="75">
        <f t="shared" si="49"/>
        <v>0</v>
      </c>
      <c r="BN301" s="75">
        <f t="shared" si="50"/>
        <v>0</v>
      </c>
      <c r="BO301" s="75">
        <f t="shared" si="51"/>
        <v>0</v>
      </c>
      <c r="BP301" s="75">
        <f t="shared" si="52"/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4301012149</v>
      </c>
      <c r="D302" s="649">
        <v>4680115886551</v>
      </c>
      <c r="E302" s="649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133</v>
      </c>
      <c r="L302" s="35" t="s">
        <v>46</v>
      </c>
      <c r="M302" s="36" t="s">
        <v>125</v>
      </c>
      <c r="N302" s="36"/>
      <c r="O302" s="35">
        <v>55</v>
      </c>
      <c r="P302" s="78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1"/>
      <c r="R302" s="651"/>
      <c r="S302" s="651"/>
      <c r="T302" s="652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520</v>
      </c>
      <c r="AG302" s="75"/>
      <c r="AJ302" s="79" t="s">
        <v>46</v>
      </c>
      <c r="AK302" s="79">
        <v>0</v>
      </c>
      <c r="BB302" s="402" t="s">
        <v>66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4301012228</v>
      </c>
      <c r="D303" s="649">
        <v>4680115887282</v>
      </c>
      <c r="E303" s="649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90</v>
      </c>
      <c r="L303" s="35" t="s">
        <v>46</v>
      </c>
      <c r="M303" s="36" t="s">
        <v>125</v>
      </c>
      <c r="N303" s="36"/>
      <c r="O303" s="35">
        <v>55</v>
      </c>
      <c r="P303" s="78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1"/>
      <c r="R303" s="651"/>
      <c r="S303" s="651"/>
      <c r="T303" s="652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523</v>
      </c>
      <c r="AG303" s="75"/>
      <c r="AJ303" s="79" t="s">
        <v>46</v>
      </c>
      <c r="AK303" s="79">
        <v>0</v>
      </c>
      <c r="BB303" s="404" t="s">
        <v>66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hidden="1" customHeight="1" x14ac:dyDescent="0.25">
      <c r="A304" s="60" t="s">
        <v>524</v>
      </c>
      <c r="B304" s="60" t="s">
        <v>525</v>
      </c>
      <c r="C304" s="34">
        <v>4301011722</v>
      </c>
      <c r="D304" s="649">
        <v>4680115884205</v>
      </c>
      <c r="E304" s="649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133</v>
      </c>
      <c r="L304" s="35" t="s">
        <v>46</v>
      </c>
      <c r="M304" s="36" t="s">
        <v>125</v>
      </c>
      <c r="N304" s="36"/>
      <c r="O304" s="35">
        <v>55</v>
      </c>
      <c r="P304" s="78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1"/>
      <c r="R304" s="651"/>
      <c r="S304" s="651"/>
      <c r="T304" s="652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405" t="s">
        <v>361</v>
      </c>
      <c r="AG304" s="75"/>
      <c r="AJ304" s="79" t="s">
        <v>46</v>
      </c>
      <c r="AK304" s="79">
        <v>0</v>
      </c>
      <c r="BB304" s="406" t="s">
        <v>66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idden="1" x14ac:dyDescent="0.2">
      <c r="A305" s="656"/>
      <c r="B305" s="656"/>
      <c r="C305" s="656"/>
      <c r="D305" s="656"/>
      <c r="E305" s="656"/>
      <c r="F305" s="656"/>
      <c r="G305" s="656"/>
      <c r="H305" s="656"/>
      <c r="I305" s="656"/>
      <c r="J305" s="656"/>
      <c r="K305" s="656"/>
      <c r="L305" s="656"/>
      <c r="M305" s="656"/>
      <c r="N305" s="656"/>
      <c r="O305" s="657"/>
      <c r="P305" s="653" t="s">
        <v>40</v>
      </c>
      <c r="Q305" s="654"/>
      <c r="R305" s="654"/>
      <c r="S305" s="654"/>
      <c r="T305" s="654"/>
      <c r="U305" s="654"/>
      <c r="V305" s="655"/>
      <c r="W305" s="40" t="s">
        <v>39</v>
      </c>
      <c r="X305" s="41">
        <f>IFERROR(X298/H298,"0")+IFERROR(X299/H299,"0")+IFERROR(X300/H300,"0")+IFERROR(X301/H301,"0")+IFERROR(X302/H302,"0")+IFERROR(X303/H303,"0")+IFERROR(X304/H304,"0")</f>
        <v>0</v>
      </c>
      <c r="Y305" s="41">
        <f>IFERROR(Y298/H298,"0")+IFERROR(Y299/H299,"0")+IFERROR(Y300/H300,"0")+IFERROR(Y301/H301,"0")+IFERROR(Y302/H302,"0")+IFERROR(Y303/H303,"0")+IFERROR(Y304/H304,"0")</f>
        <v>0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56"/>
      <c r="B306" s="656"/>
      <c r="C306" s="656"/>
      <c r="D306" s="656"/>
      <c r="E306" s="656"/>
      <c r="F306" s="656"/>
      <c r="G306" s="656"/>
      <c r="H306" s="656"/>
      <c r="I306" s="656"/>
      <c r="J306" s="656"/>
      <c r="K306" s="656"/>
      <c r="L306" s="656"/>
      <c r="M306" s="656"/>
      <c r="N306" s="656"/>
      <c r="O306" s="657"/>
      <c r="P306" s="653" t="s">
        <v>40</v>
      </c>
      <c r="Q306" s="654"/>
      <c r="R306" s="654"/>
      <c r="S306" s="654"/>
      <c r="T306" s="654"/>
      <c r="U306" s="654"/>
      <c r="V306" s="655"/>
      <c r="W306" s="40" t="s">
        <v>0</v>
      </c>
      <c r="X306" s="41">
        <f>IFERROR(SUM(X298:X304),"0")</f>
        <v>0</v>
      </c>
      <c r="Y306" s="41">
        <f>IFERROR(SUM(Y298:Y304),"0")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648" t="s">
        <v>156</v>
      </c>
      <c r="B307" s="648"/>
      <c r="C307" s="648"/>
      <c r="D307" s="648"/>
      <c r="E307" s="648"/>
      <c r="F307" s="648"/>
      <c r="G307" s="648"/>
      <c r="H307" s="648"/>
      <c r="I307" s="648"/>
      <c r="J307" s="648"/>
      <c r="K307" s="648"/>
      <c r="L307" s="648"/>
      <c r="M307" s="648"/>
      <c r="N307" s="648"/>
      <c r="O307" s="648"/>
      <c r="P307" s="648"/>
      <c r="Q307" s="648"/>
      <c r="R307" s="648"/>
      <c r="S307" s="648"/>
      <c r="T307" s="648"/>
      <c r="U307" s="648"/>
      <c r="V307" s="648"/>
      <c r="W307" s="648"/>
      <c r="X307" s="648"/>
      <c r="Y307" s="648"/>
      <c r="Z307" s="648"/>
      <c r="AA307" s="63"/>
      <c r="AB307" s="63"/>
      <c r="AC307" s="63"/>
    </row>
    <row r="308" spans="1:68" ht="27" hidden="1" customHeight="1" x14ac:dyDescent="0.25">
      <c r="A308" s="60" t="s">
        <v>526</v>
      </c>
      <c r="B308" s="60" t="s">
        <v>527</v>
      </c>
      <c r="C308" s="34">
        <v>4301020377</v>
      </c>
      <c r="D308" s="649">
        <v>4680115885981</v>
      </c>
      <c r="E308" s="649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81</v>
      </c>
      <c r="L308" s="35" t="s">
        <v>46</v>
      </c>
      <c r="M308" s="36" t="s">
        <v>89</v>
      </c>
      <c r="N308" s="36"/>
      <c r="O308" s="35">
        <v>50</v>
      </c>
      <c r="P308" s="7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1"/>
      <c r="R308" s="651"/>
      <c r="S308" s="651"/>
      <c r="T308" s="652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528</v>
      </c>
      <c r="AG308" s="75"/>
      <c r="AJ308" s="79" t="s">
        <v>46</v>
      </c>
      <c r="AK308" s="79">
        <v>0</v>
      </c>
      <c r="BB308" s="408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">
      <c r="A309" s="656"/>
      <c r="B309" s="656"/>
      <c r="C309" s="656"/>
      <c r="D309" s="656"/>
      <c r="E309" s="656"/>
      <c r="F309" s="656"/>
      <c r="G309" s="656"/>
      <c r="H309" s="656"/>
      <c r="I309" s="656"/>
      <c r="J309" s="656"/>
      <c r="K309" s="656"/>
      <c r="L309" s="656"/>
      <c r="M309" s="656"/>
      <c r="N309" s="656"/>
      <c r="O309" s="657"/>
      <c r="P309" s="653" t="s">
        <v>40</v>
      </c>
      <c r="Q309" s="654"/>
      <c r="R309" s="654"/>
      <c r="S309" s="654"/>
      <c r="T309" s="654"/>
      <c r="U309" s="654"/>
      <c r="V309" s="655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">
      <c r="A310" s="656"/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7"/>
      <c r="P310" s="653" t="s">
        <v>40</v>
      </c>
      <c r="Q310" s="654"/>
      <c r="R310" s="654"/>
      <c r="S310" s="654"/>
      <c r="T310" s="654"/>
      <c r="U310" s="654"/>
      <c r="V310" s="655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648" t="s">
        <v>529</v>
      </c>
      <c r="B311" s="648"/>
      <c r="C311" s="648"/>
      <c r="D311" s="648"/>
      <c r="E311" s="648"/>
      <c r="F311" s="648"/>
      <c r="G311" s="648"/>
      <c r="H311" s="648"/>
      <c r="I311" s="648"/>
      <c r="J311" s="648"/>
      <c r="K311" s="648"/>
      <c r="L311" s="648"/>
      <c r="M311" s="648"/>
      <c r="N311" s="648"/>
      <c r="O311" s="648"/>
      <c r="P311" s="648"/>
      <c r="Q311" s="648"/>
      <c r="R311" s="648"/>
      <c r="S311" s="648"/>
      <c r="T311" s="648"/>
      <c r="U311" s="648"/>
      <c r="V311" s="648"/>
      <c r="W311" s="648"/>
      <c r="X311" s="648"/>
      <c r="Y311" s="648"/>
      <c r="Z311" s="648"/>
      <c r="AA311" s="63"/>
      <c r="AB311" s="63"/>
      <c r="AC311" s="63"/>
    </row>
    <row r="312" spans="1:68" ht="27" hidden="1" customHeight="1" x14ac:dyDescent="0.25">
      <c r="A312" s="60" t="s">
        <v>530</v>
      </c>
      <c r="B312" s="60" t="s">
        <v>531</v>
      </c>
      <c r="C312" s="34">
        <v>4301040362</v>
      </c>
      <c r="D312" s="649">
        <v>4680115886803</v>
      </c>
      <c r="E312" s="649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342</v>
      </c>
      <c r="L312" s="35" t="s">
        <v>46</v>
      </c>
      <c r="M312" s="36" t="s">
        <v>282</v>
      </c>
      <c r="N312" s="36"/>
      <c r="O312" s="35">
        <v>45</v>
      </c>
      <c r="P312" s="7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1"/>
      <c r="R312" s="651"/>
      <c r="S312" s="651"/>
      <c r="T312" s="652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532</v>
      </c>
      <c r="AG312" s="75"/>
      <c r="AJ312" s="79" t="s">
        <v>46</v>
      </c>
      <c r="AK312" s="79">
        <v>0</v>
      </c>
      <c r="BB312" s="410" t="s">
        <v>66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656"/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7"/>
      <c r="P313" s="653" t="s">
        <v>40</v>
      </c>
      <c r="Q313" s="654"/>
      <c r="R313" s="654"/>
      <c r="S313" s="654"/>
      <c r="T313" s="654"/>
      <c r="U313" s="654"/>
      <c r="V313" s="655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648" t="s">
        <v>338</v>
      </c>
      <c r="B315" s="648"/>
      <c r="C315" s="648"/>
      <c r="D315" s="648"/>
      <c r="E315" s="648"/>
      <c r="F315" s="648"/>
      <c r="G315" s="648"/>
      <c r="H315" s="648"/>
      <c r="I315" s="648"/>
      <c r="J315" s="648"/>
      <c r="K315" s="648"/>
      <c r="L315" s="648"/>
      <c r="M315" s="648"/>
      <c r="N315" s="648"/>
      <c r="O315" s="648"/>
      <c r="P315" s="648"/>
      <c r="Q315" s="648"/>
      <c r="R315" s="648"/>
      <c r="S315" s="648"/>
      <c r="T315" s="648"/>
      <c r="U315" s="648"/>
      <c r="V315" s="648"/>
      <c r="W315" s="648"/>
      <c r="X315" s="648"/>
      <c r="Y315" s="648"/>
      <c r="Z315" s="648"/>
      <c r="AA315" s="63"/>
      <c r="AB315" s="63"/>
      <c r="AC315" s="63"/>
    </row>
    <row r="316" spans="1:68" ht="27" hidden="1" customHeight="1" x14ac:dyDescent="0.25">
      <c r="A316" s="60" t="s">
        <v>533</v>
      </c>
      <c r="B316" s="60" t="s">
        <v>534</v>
      </c>
      <c r="C316" s="34">
        <v>4301041008</v>
      </c>
      <c r="D316" s="649">
        <v>4680115886681</v>
      </c>
      <c r="E316" s="649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342</v>
      </c>
      <c r="L316" s="35" t="s">
        <v>46</v>
      </c>
      <c r="M316" s="36" t="s">
        <v>282</v>
      </c>
      <c r="N316" s="36"/>
      <c r="O316" s="35">
        <v>90</v>
      </c>
      <c r="P316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1"/>
      <c r="R316" s="651"/>
      <c r="S316" s="651"/>
      <c r="T316" s="652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535</v>
      </c>
      <c r="AG316" s="75"/>
      <c r="AJ316" s="79" t="s">
        <v>46</v>
      </c>
      <c r="AK316" s="79">
        <v>0</v>
      </c>
      <c r="BB316" s="412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656"/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7"/>
      <c r="P317" s="653" t="s">
        <v>40</v>
      </c>
      <c r="Q317" s="654"/>
      <c r="R317" s="654"/>
      <c r="S317" s="654"/>
      <c r="T317" s="654"/>
      <c r="U317" s="654"/>
      <c r="V317" s="655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">
      <c r="A318" s="656"/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7"/>
      <c r="P318" s="653" t="s">
        <v>40</v>
      </c>
      <c r="Q318" s="654"/>
      <c r="R318" s="654"/>
      <c r="S318" s="654"/>
      <c r="T318" s="654"/>
      <c r="U318" s="654"/>
      <c r="V318" s="655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647" t="s">
        <v>536</v>
      </c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7"/>
      <c r="P319" s="647"/>
      <c r="Q319" s="647"/>
      <c r="R319" s="647"/>
      <c r="S319" s="647"/>
      <c r="T319" s="647"/>
      <c r="U319" s="647"/>
      <c r="V319" s="647"/>
      <c r="W319" s="647"/>
      <c r="X319" s="647"/>
      <c r="Y319" s="647"/>
      <c r="Z319" s="647"/>
      <c r="AA319" s="62"/>
      <c r="AB319" s="62"/>
      <c r="AC319" s="62"/>
    </row>
    <row r="320" spans="1:68" ht="14.25" hidden="1" customHeight="1" x14ac:dyDescent="0.25">
      <c r="A320" s="648" t="s">
        <v>121</v>
      </c>
      <c r="B320" s="648"/>
      <c r="C320" s="648"/>
      <c r="D320" s="648"/>
      <c r="E320" s="648"/>
      <c r="F320" s="648"/>
      <c r="G320" s="648"/>
      <c r="H320" s="648"/>
      <c r="I320" s="648"/>
      <c r="J320" s="648"/>
      <c r="K320" s="648"/>
      <c r="L320" s="648"/>
      <c r="M320" s="648"/>
      <c r="N320" s="648"/>
      <c r="O320" s="648"/>
      <c r="P320" s="648"/>
      <c r="Q320" s="648"/>
      <c r="R320" s="648"/>
      <c r="S320" s="648"/>
      <c r="T320" s="648"/>
      <c r="U320" s="648"/>
      <c r="V320" s="648"/>
      <c r="W320" s="648"/>
      <c r="X320" s="648"/>
      <c r="Y320" s="648"/>
      <c r="Z320" s="648"/>
      <c r="AA320" s="63"/>
      <c r="AB320" s="63"/>
      <c r="AC320" s="63"/>
    </row>
    <row r="321" spans="1:68" ht="27" hidden="1" customHeight="1" x14ac:dyDescent="0.25">
      <c r="A321" s="60" t="s">
        <v>537</v>
      </c>
      <c r="B321" s="60" t="s">
        <v>538</v>
      </c>
      <c r="C321" s="34">
        <v>4301012390</v>
      </c>
      <c r="D321" s="649">
        <v>4680115889637</v>
      </c>
      <c r="E321" s="649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126</v>
      </c>
      <c r="L321" s="35" t="s">
        <v>46</v>
      </c>
      <c r="M321" s="36" t="s">
        <v>125</v>
      </c>
      <c r="N321" s="36"/>
      <c r="O321" s="35">
        <v>55</v>
      </c>
      <c r="P321" s="773" t="s">
        <v>539</v>
      </c>
      <c r="Q321" s="651"/>
      <c r="R321" s="651"/>
      <c r="S321" s="651"/>
      <c r="T321" s="652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541</v>
      </c>
      <c r="AC321" s="413" t="s">
        <v>540</v>
      </c>
      <c r="AG321" s="75"/>
      <c r="AJ321" s="79" t="s">
        <v>46</v>
      </c>
      <c r="AK321" s="79">
        <v>0</v>
      </c>
      <c r="BB321" s="414" t="s">
        <v>66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542</v>
      </c>
      <c r="B322" s="60" t="s">
        <v>543</v>
      </c>
      <c r="C322" s="34">
        <v>4301011855</v>
      </c>
      <c r="D322" s="649">
        <v>4680115885837</v>
      </c>
      <c r="E322" s="649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126</v>
      </c>
      <c r="L322" s="35" t="s">
        <v>46</v>
      </c>
      <c r="M322" s="36" t="s">
        <v>125</v>
      </c>
      <c r="N322" s="36"/>
      <c r="O322" s="35">
        <v>55</v>
      </c>
      <c r="P322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1"/>
      <c r="R322" s="651"/>
      <c r="S322" s="651"/>
      <c r="T322" s="652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544</v>
      </c>
      <c r="AG322" s="75"/>
      <c r="AJ322" s="79" t="s">
        <v>46</v>
      </c>
      <c r="AK322" s="79">
        <v>0</v>
      </c>
      <c r="BB322" s="416" t="s">
        <v>66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545</v>
      </c>
      <c r="B323" s="60" t="s">
        <v>546</v>
      </c>
      <c r="C323" s="34">
        <v>4301012234</v>
      </c>
      <c r="D323" s="649">
        <v>4680115887237</v>
      </c>
      <c r="E323" s="649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126</v>
      </c>
      <c r="L323" s="35" t="s">
        <v>46</v>
      </c>
      <c r="M323" s="36" t="s">
        <v>125</v>
      </c>
      <c r="N323" s="36"/>
      <c r="O323" s="35">
        <v>55</v>
      </c>
      <c r="P323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1"/>
      <c r="R323" s="651"/>
      <c r="S323" s="651"/>
      <c r="T323" s="652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547</v>
      </c>
      <c r="AG323" s="75"/>
      <c r="AJ323" s="79" t="s">
        <v>46</v>
      </c>
      <c r="AK323" s="79">
        <v>0</v>
      </c>
      <c r="BB323" s="418" t="s">
        <v>66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548</v>
      </c>
      <c r="B324" s="60" t="s">
        <v>549</v>
      </c>
      <c r="C324" s="34">
        <v>4301011850</v>
      </c>
      <c r="D324" s="649">
        <v>4680115885806</v>
      </c>
      <c r="E324" s="649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126</v>
      </c>
      <c r="L324" s="35" t="s">
        <v>46</v>
      </c>
      <c r="M324" s="36" t="s">
        <v>125</v>
      </c>
      <c r="N324" s="36"/>
      <c r="O324" s="35">
        <v>55</v>
      </c>
      <c r="P324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1"/>
      <c r="R324" s="651"/>
      <c r="S324" s="651"/>
      <c r="T324" s="652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9" t="s">
        <v>550</v>
      </c>
      <c r="AG324" s="75"/>
      <c r="AJ324" s="79" t="s">
        <v>46</v>
      </c>
      <c r="AK324" s="79">
        <v>0</v>
      </c>
      <c r="BB324" s="420" t="s">
        <v>66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t="27" hidden="1" customHeight="1" x14ac:dyDescent="0.25">
      <c r="A325" s="60" t="s">
        <v>551</v>
      </c>
      <c r="B325" s="60" t="s">
        <v>552</v>
      </c>
      <c r="C325" s="34">
        <v>4301011852</v>
      </c>
      <c r="D325" s="649">
        <v>4680115885844</v>
      </c>
      <c r="E325" s="649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133</v>
      </c>
      <c r="L325" s="35" t="s">
        <v>46</v>
      </c>
      <c r="M325" s="36" t="s">
        <v>125</v>
      </c>
      <c r="N325" s="36"/>
      <c r="O325" s="35">
        <v>55</v>
      </c>
      <c r="P325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1"/>
      <c r="R325" s="651"/>
      <c r="S325" s="651"/>
      <c r="T325" s="652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553</v>
      </c>
      <c r="AG325" s="75"/>
      <c r="AJ325" s="79" t="s">
        <v>46</v>
      </c>
      <c r="AK325" s="79">
        <v>0</v>
      </c>
      <c r="BB325" s="422" t="s">
        <v>66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554</v>
      </c>
      <c r="B326" s="60" t="s">
        <v>555</v>
      </c>
      <c r="C326" s="34">
        <v>4301011851</v>
      </c>
      <c r="D326" s="649">
        <v>4680115885820</v>
      </c>
      <c r="E326" s="649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133</v>
      </c>
      <c r="L326" s="35" t="s">
        <v>46</v>
      </c>
      <c r="M326" s="36" t="s">
        <v>125</v>
      </c>
      <c r="N326" s="36"/>
      <c r="O326" s="35">
        <v>55</v>
      </c>
      <c r="P326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1"/>
      <c r="R326" s="651"/>
      <c r="S326" s="651"/>
      <c r="T326" s="652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556</v>
      </c>
      <c r="AG326" s="75"/>
      <c r="AJ326" s="79" t="s">
        <v>46</v>
      </c>
      <c r="AK326" s="79">
        <v>0</v>
      </c>
      <c r="BB326" s="424" t="s">
        <v>66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hidden="1" x14ac:dyDescent="0.2">
      <c r="A327" s="656"/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7"/>
      <c r="P327" s="653" t="s">
        <v>40</v>
      </c>
      <c r="Q327" s="654"/>
      <c r="R327" s="654"/>
      <c r="S327" s="654"/>
      <c r="T327" s="654"/>
      <c r="U327" s="654"/>
      <c r="V327" s="655"/>
      <c r="W327" s="40" t="s">
        <v>39</v>
      </c>
      <c r="X327" s="41">
        <f>IFERROR(X321/H321,"0")+IFERROR(X322/H322,"0")+IFERROR(X323/H323,"0")+IFERROR(X324/H324,"0")+IFERROR(X325/H325,"0")+IFERROR(X326/H326,"0")</f>
        <v>0</v>
      </c>
      <c r="Y327" s="41">
        <f>IFERROR(Y321/H321,"0")+IFERROR(Y322/H322,"0")+IFERROR(Y323/H323,"0")+IFERROR(Y324/H324,"0")+IFERROR(Y325/H325,"0")+IFERROR(Y326/H326,"0")</f>
        <v>0</v>
      </c>
      <c r="Z327" s="41">
        <f>IFERROR(IF(Z321="",0,Z321),"0")+IFERROR(IF(Z322="",0,Z322),"0")+IFERROR(IF(Z323="",0,Z323),"0")+IFERROR(IF(Z324="",0,Z324),"0")+IFERROR(IF(Z325="",0,Z325),"0")+IFERROR(IF(Z326="",0,Z326),"0")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656"/>
      <c r="B328" s="656"/>
      <c r="C328" s="656"/>
      <c r="D328" s="656"/>
      <c r="E328" s="656"/>
      <c r="F328" s="656"/>
      <c r="G328" s="656"/>
      <c r="H328" s="656"/>
      <c r="I328" s="656"/>
      <c r="J328" s="656"/>
      <c r="K328" s="656"/>
      <c r="L328" s="656"/>
      <c r="M328" s="656"/>
      <c r="N328" s="656"/>
      <c r="O328" s="657"/>
      <c r="P328" s="653" t="s">
        <v>40</v>
      </c>
      <c r="Q328" s="654"/>
      <c r="R328" s="654"/>
      <c r="S328" s="654"/>
      <c r="T328" s="654"/>
      <c r="U328" s="654"/>
      <c r="V328" s="655"/>
      <c r="W328" s="40" t="s">
        <v>0</v>
      </c>
      <c r="X328" s="41">
        <f>IFERROR(SUM(X321:X326),"0")</f>
        <v>0</v>
      </c>
      <c r="Y328" s="41">
        <f>IFERROR(SUM(Y321:Y326),"0")</f>
        <v>0</v>
      </c>
      <c r="Z328" s="40"/>
      <c r="AA328" s="64"/>
      <c r="AB328" s="64"/>
      <c r="AC328" s="64"/>
    </row>
    <row r="329" spans="1:68" ht="16.5" hidden="1" customHeight="1" x14ac:dyDescent="0.25">
      <c r="A329" s="647" t="s">
        <v>557</v>
      </c>
      <c r="B329" s="647"/>
      <c r="C329" s="647"/>
      <c r="D329" s="647"/>
      <c r="E329" s="647"/>
      <c r="F329" s="647"/>
      <c r="G329" s="647"/>
      <c r="H329" s="647"/>
      <c r="I329" s="647"/>
      <c r="J329" s="647"/>
      <c r="K329" s="647"/>
      <c r="L329" s="647"/>
      <c r="M329" s="647"/>
      <c r="N329" s="647"/>
      <c r="O329" s="647"/>
      <c r="P329" s="647"/>
      <c r="Q329" s="647"/>
      <c r="R329" s="647"/>
      <c r="S329" s="647"/>
      <c r="T329" s="647"/>
      <c r="U329" s="647"/>
      <c r="V329" s="647"/>
      <c r="W329" s="647"/>
      <c r="X329" s="647"/>
      <c r="Y329" s="647"/>
      <c r="Z329" s="647"/>
      <c r="AA329" s="62"/>
      <c r="AB329" s="62"/>
      <c r="AC329" s="62"/>
    </row>
    <row r="330" spans="1:68" ht="14.25" hidden="1" customHeight="1" x14ac:dyDescent="0.25">
      <c r="A330" s="648" t="s">
        <v>85</v>
      </c>
      <c r="B330" s="648"/>
      <c r="C330" s="648"/>
      <c r="D330" s="648"/>
      <c r="E330" s="648"/>
      <c r="F330" s="648"/>
      <c r="G330" s="648"/>
      <c r="H330" s="648"/>
      <c r="I330" s="648"/>
      <c r="J330" s="648"/>
      <c r="K330" s="648"/>
      <c r="L330" s="648"/>
      <c r="M330" s="648"/>
      <c r="N330" s="648"/>
      <c r="O330" s="648"/>
      <c r="P330" s="648"/>
      <c r="Q330" s="648"/>
      <c r="R330" s="648"/>
      <c r="S330" s="648"/>
      <c r="T330" s="648"/>
      <c r="U330" s="648"/>
      <c r="V330" s="648"/>
      <c r="W330" s="648"/>
      <c r="X330" s="648"/>
      <c r="Y330" s="648"/>
      <c r="Z330" s="648"/>
      <c r="AA330" s="63"/>
      <c r="AB330" s="63"/>
      <c r="AC330" s="63"/>
    </row>
    <row r="331" spans="1:68" ht="27" hidden="1" customHeight="1" x14ac:dyDescent="0.25">
      <c r="A331" s="60" t="s">
        <v>558</v>
      </c>
      <c r="B331" s="60" t="s">
        <v>559</v>
      </c>
      <c r="C331" s="34">
        <v>4301051893</v>
      </c>
      <c r="D331" s="649">
        <v>4680115886186</v>
      </c>
      <c r="E331" s="649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90</v>
      </c>
      <c r="L331" s="35" t="s">
        <v>46</v>
      </c>
      <c r="M331" s="36" t="s">
        <v>89</v>
      </c>
      <c r="N331" s="36"/>
      <c r="O331" s="35">
        <v>45</v>
      </c>
      <c r="P331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1"/>
      <c r="R331" s="651"/>
      <c r="S331" s="651"/>
      <c r="T331" s="652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560</v>
      </c>
      <c r="AG331" s="75"/>
      <c r="AJ331" s="79" t="s">
        <v>46</v>
      </c>
      <c r="AK331" s="79">
        <v>0</v>
      </c>
      <c r="BB331" s="426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561</v>
      </c>
      <c r="B332" s="60" t="s">
        <v>562</v>
      </c>
      <c r="C332" s="34">
        <v>4301051795</v>
      </c>
      <c r="D332" s="649">
        <v>4680115881228</v>
      </c>
      <c r="E332" s="649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90</v>
      </c>
      <c r="L332" s="35" t="s">
        <v>46</v>
      </c>
      <c r="M332" s="36" t="s">
        <v>96</v>
      </c>
      <c r="N332" s="36"/>
      <c r="O332" s="35">
        <v>40</v>
      </c>
      <c r="P332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1"/>
      <c r="R332" s="651"/>
      <c r="S332" s="651"/>
      <c r="T332" s="652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7" t="s">
        <v>563</v>
      </c>
      <c r="AG332" s="75"/>
      <c r="AJ332" s="79" t="s">
        <v>46</v>
      </c>
      <c r="AK332" s="79">
        <v>0</v>
      </c>
      <c r="BB332" s="428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564</v>
      </c>
      <c r="B333" s="60" t="s">
        <v>565</v>
      </c>
      <c r="C333" s="34">
        <v>4301051388</v>
      </c>
      <c r="D333" s="649">
        <v>4680115881211</v>
      </c>
      <c r="E333" s="649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90</v>
      </c>
      <c r="L333" s="35" t="s">
        <v>46</v>
      </c>
      <c r="M333" s="36" t="s">
        <v>89</v>
      </c>
      <c r="N333" s="36"/>
      <c r="O333" s="35">
        <v>45</v>
      </c>
      <c r="P333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1"/>
      <c r="R333" s="651"/>
      <c r="S333" s="651"/>
      <c r="T333" s="652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9" t="s">
        <v>560</v>
      </c>
      <c r="AG333" s="75"/>
      <c r="AJ333" s="79" t="s">
        <v>46</v>
      </c>
      <c r="AK333" s="79">
        <v>0</v>
      </c>
      <c r="BB333" s="430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3" t="s">
        <v>40</v>
      </c>
      <c r="Q335" s="654"/>
      <c r="R335" s="654"/>
      <c r="S335" s="654"/>
      <c r="T335" s="654"/>
      <c r="U335" s="654"/>
      <c r="V335" s="655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47" t="s">
        <v>566</v>
      </c>
      <c r="B336" s="647"/>
      <c r="C336" s="647"/>
      <c r="D336" s="647"/>
      <c r="E336" s="647"/>
      <c r="F336" s="647"/>
      <c r="G336" s="647"/>
      <c r="H336" s="647"/>
      <c r="I336" s="647"/>
      <c r="J336" s="647"/>
      <c r="K336" s="647"/>
      <c r="L336" s="647"/>
      <c r="M336" s="647"/>
      <c r="N336" s="647"/>
      <c r="O336" s="647"/>
      <c r="P336" s="647"/>
      <c r="Q336" s="647"/>
      <c r="R336" s="647"/>
      <c r="S336" s="647"/>
      <c r="T336" s="647"/>
      <c r="U336" s="647"/>
      <c r="V336" s="647"/>
      <c r="W336" s="647"/>
      <c r="X336" s="647"/>
      <c r="Y336" s="647"/>
      <c r="Z336" s="647"/>
      <c r="AA336" s="62"/>
      <c r="AB336" s="62"/>
      <c r="AC336" s="62"/>
    </row>
    <row r="337" spans="1:68" ht="14.25" hidden="1" customHeight="1" x14ac:dyDescent="0.25">
      <c r="A337" s="648" t="s">
        <v>76</v>
      </c>
      <c r="B337" s="648"/>
      <c r="C337" s="648"/>
      <c r="D337" s="648"/>
      <c r="E337" s="648"/>
      <c r="F337" s="648"/>
      <c r="G337" s="648"/>
      <c r="H337" s="648"/>
      <c r="I337" s="648"/>
      <c r="J337" s="648"/>
      <c r="K337" s="648"/>
      <c r="L337" s="648"/>
      <c r="M337" s="648"/>
      <c r="N337" s="648"/>
      <c r="O337" s="648"/>
      <c r="P337" s="648"/>
      <c r="Q337" s="648"/>
      <c r="R337" s="648"/>
      <c r="S337" s="648"/>
      <c r="T337" s="648"/>
      <c r="U337" s="648"/>
      <c r="V337" s="648"/>
      <c r="W337" s="648"/>
      <c r="X337" s="648"/>
      <c r="Y337" s="648"/>
      <c r="Z337" s="648"/>
      <c r="AA337" s="63"/>
      <c r="AB337" s="63"/>
      <c r="AC337" s="63"/>
    </row>
    <row r="338" spans="1:68" ht="27" hidden="1" customHeight="1" x14ac:dyDescent="0.25">
      <c r="A338" s="60" t="s">
        <v>567</v>
      </c>
      <c r="B338" s="60" t="s">
        <v>568</v>
      </c>
      <c r="C338" s="34">
        <v>4301031445</v>
      </c>
      <c r="D338" s="649">
        <v>4680115888319</v>
      </c>
      <c r="E338" s="649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81</v>
      </c>
      <c r="L338" s="35" t="s">
        <v>46</v>
      </c>
      <c r="M338" s="36" t="s">
        <v>80</v>
      </c>
      <c r="N338" s="36"/>
      <c r="O338" s="35">
        <v>45</v>
      </c>
      <c r="P338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1"/>
      <c r="R338" s="651"/>
      <c r="S338" s="651"/>
      <c r="T338" s="652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393</v>
      </c>
      <c r="AG338" s="75"/>
      <c r="AJ338" s="79" t="s">
        <v>46</v>
      </c>
      <c r="AK338" s="79">
        <v>0</v>
      </c>
      <c r="BB338" s="432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569</v>
      </c>
      <c r="B339" s="60" t="s">
        <v>570</v>
      </c>
      <c r="C339" s="34">
        <v>4301031502</v>
      </c>
      <c r="D339" s="649">
        <v>4680115884700</v>
      </c>
      <c r="E339" s="649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81</v>
      </c>
      <c r="L339" s="35" t="s">
        <v>46</v>
      </c>
      <c r="M339" s="36" t="s">
        <v>80</v>
      </c>
      <c r="N339" s="36"/>
      <c r="O339" s="35">
        <v>40</v>
      </c>
      <c r="P339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1"/>
      <c r="R339" s="651"/>
      <c r="S339" s="651"/>
      <c r="T339" s="652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571</v>
      </c>
      <c r="AG339" s="75"/>
      <c r="AJ339" s="79" t="s">
        <v>46</v>
      </c>
      <c r="AK339" s="79">
        <v>0</v>
      </c>
      <c r="BB339" s="434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572</v>
      </c>
      <c r="B340" s="60" t="s">
        <v>573</v>
      </c>
      <c r="C340" s="34">
        <v>4301031307</v>
      </c>
      <c r="D340" s="649">
        <v>4680115880344</v>
      </c>
      <c r="E340" s="649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81</v>
      </c>
      <c r="L340" s="35" t="s">
        <v>46</v>
      </c>
      <c r="M340" s="36" t="s">
        <v>80</v>
      </c>
      <c r="N340" s="36"/>
      <c r="O340" s="35">
        <v>40</v>
      </c>
      <c r="P340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1"/>
      <c r="R340" s="651"/>
      <c r="S340" s="651"/>
      <c r="T340" s="652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574</v>
      </c>
      <c r="AG340" s="75"/>
      <c r="AJ340" s="79" t="s">
        <v>46</v>
      </c>
      <c r="AK340" s="79">
        <v>0</v>
      </c>
      <c r="BB340" s="436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575</v>
      </c>
      <c r="B341" s="60" t="s">
        <v>576</v>
      </c>
      <c r="C341" s="34">
        <v>4301031501</v>
      </c>
      <c r="D341" s="649">
        <v>4680115886919</v>
      </c>
      <c r="E341" s="649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90</v>
      </c>
      <c r="L341" s="35" t="s">
        <v>46</v>
      </c>
      <c r="M341" s="36" t="s">
        <v>80</v>
      </c>
      <c r="N341" s="36"/>
      <c r="O341" s="35">
        <v>40</v>
      </c>
      <c r="P341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1"/>
      <c r="R341" s="651"/>
      <c r="S341" s="651"/>
      <c r="T341" s="652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577</v>
      </c>
      <c r="AG341" s="75"/>
      <c r="AJ341" s="79" t="s">
        <v>46</v>
      </c>
      <c r="AK341" s="79">
        <v>0</v>
      </c>
      <c r="BB341" s="438" t="s">
        <v>66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578</v>
      </c>
      <c r="B342" s="60" t="s">
        <v>579</v>
      </c>
      <c r="C342" s="34">
        <v>4301031246</v>
      </c>
      <c r="D342" s="649">
        <v>4680115883970</v>
      </c>
      <c r="E342" s="649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40</v>
      </c>
      <c r="P342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1"/>
      <c r="R342" s="651"/>
      <c r="S342" s="651"/>
      <c r="T342" s="652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580</v>
      </c>
      <c r="AG342" s="75"/>
      <c r="AJ342" s="79" t="s">
        <v>46</v>
      </c>
      <c r="AK342" s="79">
        <v>0</v>
      </c>
      <c r="BB342" s="440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656"/>
      <c r="B343" s="656"/>
      <c r="C343" s="656"/>
      <c r="D343" s="656"/>
      <c r="E343" s="656"/>
      <c r="F343" s="656"/>
      <c r="G343" s="656"/>
      <c r="H343" s="656"/>
      <c r="I343" s="656"/>
      <c r="J343" s="656"/>
      <c r="K343" s="656"/>
      <c r="L343" s="656"/>
      <c r="M343" s="656"/>
      <c r="N343" s="656"/>
      <c r="O343" s="657"/>
      <c r="P343" s="653" t="s">
        <v>40</v>
      </c>
      <c r="Q343" s="654"/>
      <c r="R343" s="654"/>
      <c r="S343" s="654"/>
      <c r="T343" s="654"/>
      <c r="U343" s="654"/>
      <c r="V343" s="655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656"/>
      <c r="B344" s="656"/>
      <c r="C344" s="656"/>
      <c r="D344" s="656"/>
      <c r="E344" s="656"/>
      <c r="F344" s="656"/>
      <c r="G344" s="656"/>
      <c r="H344" s="656"/>
      <c r="I344" s="656"/>
      <c r="J344" s="656"/>
      <c r="K344" s="656"/>
      <c r="L344" s="656"/>
      <c r="M344" s="656"/>
      <c r="N344" s="656"/>
      <c r="O344" s="657"/>
      <c r="P344" s="653" t="s">
        <v>40</v>
      </c>
      <c r="Q344" s="654"/>
      <c r="R344" s="654"/>
      <c r="S344" s="654"/>
      <c r="T344" s="654"/>
      <c r="U344" s="654"/>
      <c r="V344" s="655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648" t="s">
        <v>85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63"/>
      <c r="AB345" s="63"/>
      <c r="AC345" s="63"/>
    </row>
    <row r="346" spans="1:68" ht="27" hidden="1" customHeight="1" x14ac:dyDescent="0.25">
      <c r="A346" s="60" t="s">
        <v>581</v>
      </c>
      <c r="B346" s="60" t="s">
        <v>582</v>
      </c>
      <c r="C346" s="34">
        <v>4301051782</v>
      </c>
      <c r="D346" s="649">
        <v>4680115884618</v>
      </c>
      <c r="E346" s="649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133</v>
      </c>
      <c r="L346" s="35" t="s">
        <v>46</v>
      </c>
      <c r="M346" s="36" t="s">
        <v>89</v>
      </c>
      <c r="N346" s="36"/>
      <c r="O346" s="35">
        <v>45</v>
      </c>
      <c r="P346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1"/>
      <c r="R346" s="651"/>
      <c r="S346" s="651"/>
      <c r="T346" s="652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583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584</v>
      </c>
      <c r="B347" s="60" t="s">
        <v>585</v>
      </c>
      <c r="C347" s="34">
        <v>4301052057</v>
      </c>
      <c r="D347" s="649">
        <v>4680115887114</v>
      </c>
      <c r="E347" s="649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133</v>
      </c>
      <c r="L347" s="35" t="s">
        <v>46</v>
      </c>
      <c r="M347" s="36" t="s">
        <v>89</v>
      </c>
      <c r="N347" s="36"/>
      <c r="O347" s="35">
        <v>45</v>
      </c>
      <c r="P347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1"/>
      <c r="R347" s="651"/>
      <c r="S347" s="651"/>
      <c r="T347" s="652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586</v>
      </c>
      <c r="AG347" s="75"/>
      <c r="AJ347" s="79" t="s">
        <v>46</v>
      </c>
      <c r="AK347" s="79">
        <v>0</v>
      </c>
      <c r="BB347" s="444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656"/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7"/>
      <c r="P349" s="653" t="s">
        <v>40</v>
      </c>
      <c r="Q349" s="654"/>
      <c r="R349" s="654"/>
      <c r="S349" s="654"/>
      <c r="T349" s="654"/>
      <c r="U349" s="654"/>
      <c r="V349" s="655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647" t="s">
        <v>587</v>
      </c>
      <c r="B350" s="647"/>
      <c r="C350" s="647"/>
      <c r="D350" s="647"/>
      <c r="E350" s="647"/>
      <c r="F350" s="647"/>
      <c r="G350" s="647"/>
      <c r="H350" s="647"/>
      <c r="I350" s="647"/>
      <c r="J350" s="647"/>
      <c r="K350" s="647"/>
      <c r="L350" s="647"/>
      <c r="M350" s="647"/>
      <c r="N350" s="647"/>
      <c r="O350" s="647"/>
      <c r="P350" s="647"/>
      <c r="Q350" s="647"/>
      <c r="R350" s="647"/>
      <c r="S350" s="647"/>
      <c r="T350" s="647"/>
      <c r="U350" s="647"/>
      <c r="V350" s="647"/>
      <c r="W350" s="647"/>
      <c r="X350" s="647"/>
      <c r="Y350" s="647"/>
      <c r="Z350" s="647"/>
      <c r="AA350" s="62"/>
      <c r="AB350" s="62"/>
      <c r="AC350" s="62"/>
    </row>
    <row r="351" spans="1:68" ht="14.25" hidden="1" customHeight="1" x14ac:dyDescent="0.25">
      <c r="A351" s="648" t="s">
        <v>121</v>
      </c>
      <c r="B351" s="648"/>
      <c r="C351" s="648"/>
      <c r="D351" s="648"/>
      <c r="E351" s="648"/>
      <c r="F351" s="648"/>
      <c r="G351" s="648"/>
      <c r="H351" s="648"/>
      <c r="I351" s="648"/>
      <c r="J351" s="648"/>
      <c r="K351" s="648"/>
      <c r="L351" s="648"/>
      <c r="M351" s="648"/>
      <c r="N351" s="648"/>
      <c r="O351" s="648"/>
      <c r="P351" s="648"/>
      <c r="Q351" s="648"/>
      <c r="R351" s="648"/>
      <c r="S351" s="648"/>
      <c r="T351" s="648"/>
      <c r="U351" s="648"/>
      <c r="V351" s="648"/>
      <c r="W351" s="648"/>
      <c r="X351" s="648"/>
      <c r="Y351" s="648"/>
      <c r="Z351" s="648"/>
      <c r="AA351" s="63"/>
      <c r="AB351" s="63"/>
      <c r="AC351" s="63"/>
    </row>
    <row r="352" spans="1:68" ht="27" hidden="1" customHeight="1" x14ac:dyDescent="0.25">
      <c r="A352" s="60" t="s">
        <v>588</v>
      </c>
      <c r="B352" s="60" t="s">
        <v>589</v>
      </c>
      <c r="C352" s="34">
        <v>4301012324</v>
      </c>
      <c r="D352" s="649">
        <v>4680115887947</v>
      </c>
      <c r="E352" s="649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126</v>
      </c>
      <c r="L352" s="35" t="s">
        <v>46</v>
      </c>
      <c r="M352" s="36" t="s">
        <v>89</v>
      </c>
      <c r="N352" s="36"/>
      <c r="O352" s="35">
        <v>60</v>
      </c>
      <c r="P352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1"/>
      <c r="R352" s="651"/>
      <c r="S352" s="651"/>
      <c r="T352" s="652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352</v>
      </c>
      <c r="AG352" s="75"/>
      <c r="AJ352" s="79" t="s">
        <v>46</v>
      </c>
      <c r="AK352" s="79">
        <v>0</v>
      </c>
      <c r="BB352" s="446" t="s">
        <v>66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590</v>
      </c>
      <c r="B353" s="60" t="s">
        <v>591</v>
      </c>
      <c r="C353" s="34">
        <v>4301012325</v>
      </c>
      <c r="D353" s="649">
        <v>4680115887978</v>
      </c>
      <c r="E353" s="649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126</v>
      </c>
      <c r="L353" s="35" t="s">
        <v>46</v>
      </c>
      <c r="M353" s="36" t="s">
        <v>89</v>
      </c>
      <c r="N353" s="36"/>
      <c r="O353" s="35">
        <v>60</v>
      </c>
      <c r="P353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1"/>
      <c r="R353" s="651"/>
      <c r="S353" s="651"/>
      <c r="T353" s="652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592</v>
      </c>
      <c r="AG353" s="75"/>
      <c r="AJ353" s="79" t="s">
        <v>46</v>
      </c>
      <c r="AK353" s="79">
        <v>0</v>
      </c>
      <c r="BB353" s="448" t="s">
        <v>66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593</v>
      </c>
      <c r="B354" s="60" t="s">
        <v>594</v>
      </c>
      <c r="C354" s="34">
        <v>4301012327</v>
      </c>
      <c r="D354" s="649">
        <v>4680115887992</v>
      </c>
      <c r="E354" s="649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126</v>
      </c>
      <c r="L354" s="35" t="s">
        <v>46</v>
      </c>
      <c r="M354" s="36" t="s">
        <v>89</v>
      </c>
      <c r="N354" s="36"/>
      <c r="O354" s="35">
        <v>60</v>
      </c>
      <c r="P354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1"/>
      <c r="R354" s="651"/>
      <c r="S354" s="651"/>
      <c r="T354" s="652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595</v>
      </c>
      <c r="AG354" s="75"/>
      <c r="AJ354" s="79" t="s">
        <v>46</v>
      </c>
      <c r="AK354" s="79">
        <v>0</v>
      </c>
      <c r="BB354" s="450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656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3" t="s">
        <v>40</v>
      </c>
      <c r="Q355" s="654"/>
      <c r="R355" s="654"/>
      <c r="S355" s="654"/>
      <c r="T355" s="654"/>
      <c r="U355" s="654"/>
      <c r="V355" s="655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647" t="s">
        <v>596</v>
      </c>
      <c r="B357" s="647"/>
      <c r="C357" s="647"/>
      <c r="D357" s="647"/>
      <c r="E357" s="647"/>
      <c r="F357" s="647"/>
      <c r="G357" s="647"/>
      <c r="H357" s="647"/>
      <c r="I357" s="647"/>
      <c r="J357" s="647"/>
      <c r="K357" s="647"/>
      <c r="L357" s="647"/>
      <c r="M357" s="647"/>
      <c r="N357" s="647"/>
      <c r="O357" s="647"/>
      <c r="P357" s="647"/>
      <c r="Q357" s="647"/>
      <c r="R357" s="647"/>
      <c r="S357" s="647"/>
      <c r="T357" s="647"/>
      <c r="U357" s="647"/>
      <c r="V357" s="647"/>
      <c r="W357" s="647"/>
      <c r="X357" s="647"/>
      <c r="Y357" s="647"/>
      <c r="Z357" s="647"/>
      <c r="AA357" s="62"/>
      <c r="AB357" s="62"/>
      <c r="AC357" s="62"/>
    </row>
    <row r="358" spans="1:68" ht="14.25" hidden="1" customHeight="1" x14ac:dyDescent="0.25">
      <c r="A358" s="648" t="s">
        <v>121</v>
      </c>
      <c r="B358" s="648"/>
      <c r="C358" s="648"/>
      <c r="D358" s="648"/>
      <c r="E358" s="648"/>
      <c r="F358" s="648"/>
      <c r="G358" s="648"/>
      <c r="H358" s="648"/>
      <c r="I358" s="648"/>
      <c r="J358" s="648"/>
      <c r="K358" s="648"/>
      <c r="L358" s="648"/>
      <c r="M358" s="648"/>
      <c r="N358" s="648"/>
      <c r="O358" s="648"/>
      <c r="P358" s="648"/>
      <c r="Q358" s="648"/>
      <c r="R358" s="648"/>
      <c r="S358" s="648"/>
      <c r="T358" s="648"/>
      <c r="U358" s="648"/>
      <c r="V358" s="648"/>
      <c r="W358" s="648"/>
      <c r="X358" s="648"/>
      <c r="Y358" s="648"/>
      <c r="Z358" s="648"/>
      <c r="AA358" s="63"/>
      <c r="AB358" s="63"/>
      <c r="AC358" s="63"/>
    </row>
    <row r="359" spans="1:68" ht="27" hidden="1" customHeight="1" x14ac:dyDescent="0.25">
      <c r="A359" s="60" t="s">
        <v>597</v>
      </c>
      <c r="B359" s="60" t="s">
        <v>598</v>
      </c>
      <c r="C359" s="34">
        <v>4301012400</v>
      </c>
      <c r="D359" s="649">
        <v>4680115889880</v>
      </c>
      <c r="E359" s="649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126</v>
      </c>
      <c r="L359" s="35" t="s">
        <v>46</v>
      </c>
      <c r="M359" s="36" t="s">
        <v>125</v>
      </c>
      <c r="N359" s="36"/>
      <c r="O359" s="35">
        <v>55</v>
      </c>
      <c r="P359" s="758" t="s">
        <v>599</v>
      </c>
      <c r="Q359" s="651"/>
      <c r="R359" s="651"/>
      <c r="S359" s="651"/>
      <c r="T359" s="652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541</v>
      </c>
      <c r="AC359" s="451" t="s">
        <v>520</v>
      </c>
      <c r="AG359" s="75"/>
      <c r="AJ359" s="79" t="s">
        <v>46</v>
      </c>
      <c r="AK359" s="79">
        <v>0</v>
      </c>
      <c r="BB359" s="452" t="s">
        <v>66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600</v>
      </c>
      <c r="B360" s="60" t="s">
        <v>601</v>
      </c>
      <c r="C360" s="34">
        <v>4301012360</v>
      </c>
      <c r="D360" s="649">
        <v>4680115889293</v>
      </c>
      <c r="E360" s="649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126</v>
      </c>
      <c r="L360" s="35" t="s">
        <v>46</v>
      </c>
      <c r="M360" s="36" t="s">
        <v>125</v>
      </c>
      <c r="N360" s="36"/>
      <c r="O360" s="35">
        <v>55</v>
      </c>
      <c r="P360" s="75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1"/>
      <c r="R360" s="651"/>
      <c r="S360" s="651"/>
      <c r="T360" s="652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602</v>
      </c>
      <c r="AG360" s="75"/>
      <c r="AJ360" s="79" t="s">
        <v>46</v>
      </c>
      <c r="AK360" s="79">
        <v>0</v>
      </c>
      <c r="BB360" s="454" t="s">
        <v>66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hidden="1" customHeight="1" x14ac:dyDescent="0.25">
      <c r="A361" s="60" t="s">
        <v>603</v>
      </c>
      <c r="B361" s="60" t="s">
        <v>604</v>
      </c>
      <c r="C361" s="34">
        <v>4301012235</v>
      </c>
      <c r="D361" s="649">
        <v>4680115887190</v>
      </c>
      <c r="E361" s="649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126</v>
      </c>
      <c r="L361" s="35" t="s">
        <v>46</v>
      </c>
      <c r="M361" s="36" t="s">
        <v>125</v>
      </c>
      <c r="N361" s="36"/>
      <c r="O361" s="35">
        <v>55</v>
      </c>
      <c r="P361" s="75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1"/>
      <c r="R361" s="651"/>
      <c r="S361" s="651"/>
      <c r="T361" s="652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8"/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5" t="s">
        <v>605</v>
      </c>
      <c r="AG361" s="75"/>
      <c r="AJ361" s="79" t="s">
        <v>46</v>
      </c>
      <c r="AK361" s="79">
        <v>0</v>
      </c>
      <c r="BB361" s="456" t="s">
        <v>66</v>
      </c>
      <c r="BM361" s="75">
        <f t="shared" si="59"/>
        <v>0</v>
      </c>
      <c r="BN361" s="75">
        <f t="shared" si="60"/>
        <v>0</v>
      </c>
      <c r="BO361" s="75">
        <f t="shared" si="61"/>
        <v>0</v>
      </c>
      <c r="BP361" s="75">
        <f t="shared" si="62"/>
        <v>0</v>
      </c>
    </row>
    <row r="362" spans="1:68" ht="37.5" hidden="1" customHeight="1" x14ac:dyDescent="0.25">
      <c r="A362" s="60" t="s">
        <v>606</v>
      </c>
      <c r="B362" s="60" t="s">
        <v>607</v>
      </c>
      <c r="C362" s="34">
        <v>4301012233</v>
      </c>
      <c r="D362" s="649">
        <v>4680115887138</v>
      </c>
      <c r="E362" s="649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126</v>
      </c>
      <c r="L362" s="35" t="s">
        <v>46</v>
      </c>
      <c r="M362" s="36" t="s">
        <v>125</v>
      </c>
      <c r="N362" s="36"/>
      <c r="O362" s="35">
        <v>55</v>
      </c>
      <c r="P362" s="75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1"/>
      <c r="R362" s="651"/>
      <c r="S362" s="651"/>
      <c r="T362" s="652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7" t="s">
        <v>608</v>
      </c>
      <c r="AG362" s="75"/>
      <c r="AJ362" s="79" t="s">
        <v>46</v>
      </c>
      <c r="AK362" s="79">
        <v>0</v>
      </c>
      <c r="BB362" s="458" t="s">
        <v>66</v>
      </c>
      <c r="BM362" s="75">
        <f t="shared" si="59"/>
        <v>0</v>
      </c>
      <c r="BN362" s="75">
        <f t="shared" si="60"/>
        <v>0</v>
      </c>
      <c r="BO362" s="75">
        <f t="shared" si="61"/>
        <v>0</v>
      </c>
      <c r="BP362" s="75">
        <f t="shared" si="62"/>
        <v>0</v>
      </c>
    </row>
    <row r="363" spans="1:68" ht="27" hidden="1" customHeight="1" x14ac:dyDescent="0.25">
      <c r="A363" s="60" t="s">
        <v>609</v>
      </c>
      <c r="B363" s="60" t="s">
        <v>610</v>
      </c>
      <c r="C363" s="34">
        <v>4301012016</v>
      </c>
      <c r="D363" s="649">
        <v>4680115885554</v>
      </c>
      <c r="E363" s="649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126</v>
      </c>
      <c r="L363" s="35" t="s">
        <v>46</v>
      </c>
      <c r="M363" s="36" t="s">
        <v>89</v>
      </c>
      <c r="N363" s="36"/>
      <c r="O363" s="35">
        <v>55</v>
      </c>
      <c r="P363" s="75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1"/>
      <c r="R363" s="651"/>
      <c r="S363" s="651"/>
      <c r="T363" s="652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611</v>
      </c>
      <c r="AG363" s="75"/>
      <c r="AJ363" s="79" t="s">
        <v>46</v>
      </c>
      <c r="AK363" s="79">
        <v>0</v>
      </c>
      <c r="BB363" s="460" t="s">
        <v>66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612</v>
      </c>
      <c r="B364" s="60" t="s">
        <v>613</v>
      </c>
      <c r="C364" s="34">
        <v>4301012236</v>
      </c>
      <c r="D364" s="649">
        <v>4680115887220</v>
      </c>
      <c r="E364" s="649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133</v>
      </c>
      <c r="L364" s="35" t="s">
        <v>46</v>
      </c>
      <c r="M364" s="36" t="s">
        <v>125</v>
      </c>
      <c r="N364" s="36"/>
      <c r="O364" s="35">
        <v>55</v>
      </c>
      <c r="P364" s="75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1"/>
      <c r="R364" s="651"/>
      <c r="S364" s="651"/>
      <c r="T364" s="652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605</v>
      </c>
      <c r="AG364" s="75"/>
      <c r="AJ364" s="79" t="s">
        <v>46</v>
      </c>
      <c r="AK364" s="79">
        <v>0</v>
      </c>
      <c r="BB364" s="462" t="s">
        <v>66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hidden="1" customHeight="1" x14ac:dyDescent="0.25">
      <c r="A365" s="60" t="s">
        <v>614</v>
      </c>
      <c r="B365" s="60" t="s">
        <v>615</v>
      </c>
      <c r="C365" s="34">
        <v>4301011859</v>
      </c>
      <c r="D365" s="649">
        <v>4680115885608</v>
      </c>
      <c r="E365" s="649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133</v>
      </c>
      <c r="L365" s="35" t="s">
        <v>46</v>
      </c>
      <c r="M365" s="36" t="s">
        <v>125</v>
      </c>
      <c r="N365" s="36"/>
      <c r="O365" s="35">
        <v>55</v>
      </c>
      <c r="P365" s="7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1"/>
      <c r="R365" s="651"/>
      <c r="S365" s="651"/>
      <c r="T365" s="652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63" t="s">
        <v>616</v>
      </c>
      <c r="AG365" s="75"/>
      <c r="AJ365" s="79" t="s">
        <v>46</v>
      </c>
      <c r="AK365" s="79">
        <v>0</v>
      </c>
      <c r="BB365" s="464" t="s">
        <v>66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idden="1" x14ac:dyDescent="0.2">
      <c r="A366" s="656"/>
      <c r="B366" s="656"/>
      <c r="C366" s="656"/>
      <c r="D366" s="656"/>
      <c r="E366" s="656"/>
      <c r="F366" s="656"/>
      <c r="G366" s="656"/>
      <c r="H366" s="656"/>
      <c r="I366" s="656"/>
      <c r="J366" s="656"/>
      <c r="K366" s="656"/>
      <c r="L366" s="656"/>
      <c r="M366" s="656"/>
      <c r="N366" s="656"/>
      <c r="O366" s="657"/>
      <c r="P366" s="653" t="s">
        <v>40</v>
      </c>
      <c r="Q366" s="654"/>
      <c r="R366" s="654"/>
      <c r="S366" s="654"/>
      <c r="T366" s="654"/>
      <c r="U366" s="654"/>
      <c r="V366" s="655"/>
      <c r="W366" s="40" t="s">
        <v>39</v>
      </c>
      <c r="X366" s="41">
        <f>IFERROR(X359/H359,"0")+IFERROR(X360/H360,"0")+IFERROR(X361/H361,"0")+IFERROR(X362/H362,"0")+IFERROR(X363/H363,"0")+IFERROR(X364/H364,"0")+IFERROR(X365/H365,"0")</f>
        <v>0</v>
      </c>
      <c r="Y366" s="41">
        <f>IFERROR(Y359/H359,"0")+IFERROR(Y360/H360,"0")+IFERROR(Y361/H361,"0")+IFERROR(Y362/H362,"0")+IFERROR(Y363/H363,"0")+IFERROR(Y364/H364,"0")+IFERROR(Y365/H365,"0")</f>
        <v>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656"/>
      <c r="B367" s="656"/>
      <c r="C367" s="656"/>
      <c r="D367" s="656"/>
      <c r="E367" s="656"/>
      <c r="F367" s="656"/>
      <c r="G367" s="656"/>
      <c r="H367" s="656"/>
      <c r="I367" s="656"/>
      <c r="J367" s="656"/>
      <c r="K367" s="656"/>
      <c r="L367" s="656"/>
      <c r="M367" s="656"/>
      <c r="N367" s="656"/>
      <c r="O367" s="657"/>
      <c r="P367" s="653" t="s">
        <v>40</v>
      </c>
      <c r="Q367" s="654"/>
      <c r="R367" s="654"/>
      <c r="S367" s="654"/>
      <c r="T367" s="654"/>
      <c r="U367" s="654"/>
      <c r="V367" s="655"/>
      <c r="W367" s="40" t="s">
        <v>0</v>
      </c>
      <c r="X367" s="41">
        <f>IFERROR(SUM(X359:X365),"0")</f>
        <v>0</v>
      </c>
      <c r="Y367" s="41">
        <f>IFERROR(SUM(Y359:Y365),"0")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648" t="s">
        <v>76</v>
      </c>
      <c r="B368" s="648"/>
      <c r="C368" s="648"/>
      <c r="D368" s="648"/>
      <c r="E368" s="648"/>
      <c r="F368" s="648"/>
      <c r="G368" s="648"/>
      <c r="H368" s="648"/>
      <c r="I368" s="648"/>
      <c r="J368" s="648"/>
      <c r="K368" s="648"/>
      <c r="L368" s="648"/>
      <c r="M368" s="648"/>
      <c r="N368" s="648"/>
      <c r="O368" s="648"/>
      <c r="P368" s="648"/>
      <c r="Q368" s="648"/>
      <c r="R368" s="648"/>
      <c r="S368" s="648"/>
      <c r="T368" s="648"/>
      <c r="U368" s="648"/>
      <c r="V368" s="648"/>
      <c r="W368" s="648"/>
      <c r="X368" s="648"/>
      <c r="Y368" s="648"/>
      <c r="Z368" s="648"/>
      <c r="AA368" s="63"/>
      <c r="AB368" s="63"/>
      <c r="AC368" s="63"/>
    </row>
    <row r="369" spans="1:68" ht="27" hidden="1" customHeight="1" x14ac:dyDescent="0.25">
      <c r="A369" s="60" t="s">
        <v>617</v>
      </c>
      <c r="B369" s="60" t="s">
        <v>618</v>
      </c>
      <c r="C369" s="34">
        <v>4301030878</v>
      </c>
      <c r="D369" s="649">
        <v>4607091387193</v>
      </c>
      <c r="E369" s="649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133</v>
      </c>
      <c r="L369" s="35" t="s">
        <v>46</v>
      </c>
      <c r="M369" s="36" t="s">
        <v>80</v>
      </c>
      <c r="N369" s="36"/>
      <c r="O369" s="35">
        <v>35</v>
      </c>
      <c r="P369" s="75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1"/>
      <c r="R369" s="651"/>
      <c r="S369" s="651"/>
      <c r="T369" s="652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63"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619</v>
      </c>
      <c r="AG369" s="75"/>
      <c r="AJ369" s="79" t="s">
        <v>46</v>
      </c>
      <c r="AK369" s="79">
        <v>0</v>
      </c>
      <c r="BB369" s="466" t="s">
        <v>66</v>
      </c>
      <c r="BM369" s="75">
        <f t="shared" ref="BM369:BM375" si="64">IFERROR(X369*I369/H369,"0")</f>
        <v>0</v>
      </c>
      <c r="BN369" s="75">
        <f t="shared" ref="BN369:BN375" si="65">IFERROR(Y369*I369/H369,"0")</f>
        <v>0</v>
      </c>
      <c r="BO369" s="75">
        <f t="shared" ref="BO369:BO375" si="66">IFERROR(1/J369*(X369/H369),"0")</f>
        <v>0</v>
      </c>
      <c r="BP369" s="75">
        <f t="shared" ref="BP369:BP375" si="67">IFERROR(1/J369*(Y369/H369),"0")</f>
        <v>0</v>
      </c>
    </row>
    <row r="370" spans="1:68" ht="27" hidden="1" customHeight="1" x14ac:dyDescent="0.25">
      <c r="A370" s="60" t="s">
        <v>620</v>
      </c>
      <c r="B370" s="60" t="s">
        <v>621</v>
      </c>
      <c r="C370" s="34">
        <v>4301031153</v>
      </c>
      <c r="D370" s="649">
        <v>4607091387230</v>
      </c>
      <c r="E370" s="649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133</v>
      </c>
      <c r="L370" s="35" t="s">
        <v>46</v>
      </c>
      <c r="M370" s="36" t="s">
        <v>80</v>
      </c>
      <c r="N370" s="36"/>
      <c r="O370" s="35">
        <v>40</v>
      </c>
      <c r="P370" s="7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1"/>
      <c r="R370" s="651"/>
      <c r="S370" s="651"/>
      <c r="T370" s="652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622</v>
      </c>
      <c r="AG370" s="75"/>
      <c r="AJ370" s="79" t="s">
        <v>46</v>
      </c>
      <c r="AK370" s="79">
        <v>0</v>
      </c>
      <c r="BB370" s="468" t="s">
        <v>66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623</v>
      </c>
      <c r="B371" s="60" t="s">
        <v>624</v>
      </c>
      <c r="C371" s="34">
        <v>4301031154</v>
      </c>
      <c r="D371" s="649">
        <v>4607091387292</v>
      </c>
      <c r="E371" s="649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133</v>
      </c>
      <c r="L371" s="35" t="s">
        <v>46</v>
      </c>
      <c r="M371" s="36" t="s">
        <v>80</v>
      </c>
      <c r="N371" s="36"/>
      <c r="O371" s="35">
        <v>45</v>
      </c>
      <c r="P371" s="74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1"/>
      <c r="R371" s="651"/>
      <c r="S371" s="651"/>
      <c r="T371" s="652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625</v>
      </c>
      <c r="AG371" s="75"/>
      <c r="AJ371" s="79" t="s">
        <v>46</v>
      </c>
      <c r="AK371" s="79">
        <v>0</v>
      </c>
      <c r="BB371" s="470" t="s">
        <v>66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hidden="1" customHeight="1" x14ac:dyDescent="0.25">
      <c r="A372" s="60" t="s">
        <v>626</v>
      </c>
      <c r="B372" s="60" t="s">
        <v>627</v>
      </c>
      <c r="C372" s="34">
        <v>4301031152</v>
      </c>
      <c r="D372" s="649">
        <v>4607091387285</v>
      </c>
      <c r="E372" s="649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81</v>
      </c>
      <c r="L372" s="35" t="s">
        <v>46</v>
      </c>
      <c r="M372" s="36" t="s">
        <v>80</v>
      </c>
      <c r="N372" s="36"/>
      <c r="O372" s="35">
        <v>40</v>
      </c>
      <c r="P372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1"/>
      <c r="R372" s="651"/>
      <c r="S372" s="651"/>
      <c r="T372" s="652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3"/>
        <v>0</v>
      </c>
      <c r="Z372" s="39" t="str">
        <f>IFERROR(IF(Y372=0,"",ROUNDUP(Y372/H372,0)*0.00502),"")</f>
        <v/>
      </c>
      <c r="AA372" s="65" t="s">
        <v>46</v>
      </c>
      <c r="AB372" s="66" t="s">
        <v>46</v>
      </c>
      <c r="AC372" s="471" t="s">
        <v>622</v>
      </c>
      <c r="AG372" s="75"/>
      <c r="AJ372" s="79" t="s">
        <v>46</v>
      </c>
      <c r="AK372" s="79">
        <v>0</v>
      </c>
      <c r="BB372" s="472" t="s">
        <v>66</v>
      </c>
      <c r="BM372" s="75">
        <f t="shared" si="64"/>
        <v>0</v>
      </c>
      <c r="BN372" s="75">
        <f t="shared" si="65"/>
        <v>0</v>
      </c>
      <c r="BO372" s="75">
        <f t="shared" si="66"/>
        <v>0</v>
      </c>
      <c r="BP372" s="75">
        <f t="shared" si="67"/>
        <v>0</v>
      </c>
    </row>
    <row r="373" spans="1:68" ht="27" hidden="1" customHeight="1" x14ac:dyDescent="0.25">
      <c r="A373" s="60" t="s">
        <v>628</v>
      </c>
      <c r="B373" s="60" t="s">
        <v>629</v>
      </c>
      <c r="C373" s="34">
        <v>4301031305</v>
      </c>
      <c r="D373" s="649">
        <v>4607091389845</v>
      </c>
      <c r="E373" s="649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81</v>
      </c>
      <c r="L373" s="35" t="s">
        <v>46</v>
      </c>
      <c r="M373" s="36" t="s">
        <v>80</v>
      </c>
      <c r="N373" s="36"/>
      <c r="O373" s="35">
        <v>40</v>
      </c>
      <c r="P373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1"/>
      <c r="R373" s="651"/>
      <c r="S373" s="651"/>
      <c r="T373" s="652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630</v>
      </c>
      <c r="AG373" s="75"/>
      <c r="AJ373" s="79" t="s">
        <v>46</v>
      </c>
      <c r="AK373" s="79">
        <v>0</v>
      </c>
      <c r="BB373" s="474" t="s">
        <v>66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631</v>
      </c>
      <c r="B374" s="60" t="s">
        <v>632</v>
      </c>
      <c r="C374" s="34">
        <v>4301031460</v>
      </c>
      <c r="D374" s="649">
        <v>4680115887442</v>
      </c>
      <c r="E374" s="649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133</v>
      </c>
      <c r="L374" s="35" t="s">
        <v>46</v>
      </c>
      <c r="M374" s="36" t="s">
        <v>80</v>
      </c>
      <c r="N374" s="36"/>
      <c r="O374" s="35">
        <v>45</v>
      </c>
      <c r="P374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1"/>
      <c r="R374" s="651"/>
      <c r="S374" s="651"/>
      <c r="T374" s="652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625</v>
      </c>
      <c r="AG374" s="75"/>
      <c r="AJ374" s="79" t="s">
        <v>46</v>
      </c>
      <c r="AK374" s="79">
        <v>0</v>
      </c>
      <c r="BB374" s="476" t="s">
        <v>66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633</v>
      </c>
      <c r="B375" s="60" t="s">
        <v>634</v>
      </c>
      <c r="C375" s="34">
        <v>4301031066</v>
      </c>
      <c r="D375" s="649">
        <v>4607091383836</v>
      </c>
      <c r="E375" s="649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90</v>
      </c>
      <c r="L375" s="35" t="s">
        <v>46</v>
      </c>
      <c r="M375" s="36" t="s">
        <v>80</v>
      </c>
      <c r="N375" s="36"/>
      <c r="O375" s="35">
        <v>40</v>
      </c>
      <c r="P375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1"/>
      <c r="R375" s="651"/>
      <c r="S375" s="651"/>
      <c r="T375" s="652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77" t="s">
        <v>635</v>
      </c>
      <c r="AG375" s="75"/>
      <c r="AJ375" s="79" t="s">
        <v>46</v>
      </c>
      <c r="AK375" s="79">
        <v>0</v>
      </c>
      <c r="BB375" s="478" t="s">
        <v>66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idden="1" x14ac:dyDescent="0.2">
      <c r="A376" s="656"/>
      <c r="B376" s="656"/>
      <c r="C376" s="656"/>
      <c r="D376" s="656"/>
      <c r="E376" s="656"/>
      <c r="F376" s="656"/>
      <c r="G376" s="656"/>
      <c r="H376" s="656"/>
      <c r="I376" s="656"/>
      <c r="J376" s="656"/>
      <c r="K376" s="656"/>
      <c r="L376" s="656"/>
      <c r="M376" s="656"/>
      <c r="N376" s="656"/>
      <c r="O376" s="657"/>
      <c r="P376" s="653" t="s">
        <v>40</v>
      </c>
      <c r="Q376" s="654"/>
      <c r="R376" s="654"/>
      <c r="S376" s="654"/>
      <c r="T376" s="654"/>
      <c r="U376" s="654"/>
      <c r="V376" s="655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656"/>
      <c r="B377" s="656"/>
      <c r="C377" s="656"/>
      <c r="D377" s="656"/>
      <c r="E377" s="656"/>
      <c r="F377" s="656"/>
      <c r="G377" s="656"/>
      <c r="H377" s="656"/>
      <c r="I377" s="656"/>
      <c r="J377" s="656"/>
      <c r="K377" s="656"/>
      <c r="L377" s="656"/>
      <c r="M377" s="656"/>
      <c r="N377" s="656"/>
      <c r="O377" s="657"/>
      <c r="P377" s="653" t="s">
        <v>40</v>
      </c>
      <c r="Q377" s="654"/>
      <c r="R377" s="654"/>
      <c r="S377" s="654"/>
      <c r="T377" s="654"/>
      <c r="U377" s="654"/>
      <c r="V377" s="655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48" t="s">
        <v>85</v>
      </c>
      <c r="B378" s="648"/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48"/>
      <c r="P378" s="648"/>
      <c r="Q378" s="648"/>
      <c r="R378" s="648"/>
      <c r="S378" s="648"/>
      <c r="T378" s="648"/>
      <c r="U378" s="648"/>
      <c r="V378" s="648"/>
      <c r="W378" s="648"/>
      <c r="X378" s="648"/>
      <c r="Y378" s="648"/>
      <c r="Z378" s="648"/>
      <c r="AA378" s="63"/>
      <c r="AB378" s="63"/>
      <c r="AC378" s="63"/>
    </row>
    <row r="379" spans="1:68" ht="27" hidden="1" customHeight="1" x14ac:dyDescent="0.25">
      <c r="A379" s="60" t="s">
        <v>636</v>
      </c>
      <c r="B379" s="60" t="s">
        <v>637</v>
      </c>
      <c r="C379" s="34">
        <v>4301051100</v>
      </c>
      <c r="D379" s="649">
        <v>4607091387766</v>
      </c>
      <c r="E379" s="649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126</v>
      </c>
      <c r="L379" s="35" t="s">
        <v>46</v>
      </c>
      <c r="M379" s="36" t="s">
        <v>89</v>
      </c>
      <c r="N379" s="36"/>
      <c r="O379" s="35">
        <v>40</v>
      </c>
      <c r="P379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1"/>
      <c r="R379" s="651"/>
      <c r="S379" s="651"/>
      <c r="T379" s="652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638</v>
      </c>
      <c r="AG379" s="75"/>
      <c r="AJ379" s="79" t="s">
        <v>46</v>
      </c>
      <c r="AK379" s="79">
        <v>0</v>
      </c>
      <c r="BB379" s="480" t="s">
        <v>66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639</v>
      </c>
      <c r="B380" s="60" t="s">
        <v>640</v>
      </c>
      <c r="C380" s="34">
        <v>4301051818</v>
      </c>
      <c r="D380" s="649">
        <v>4607091387957</v>
      </c>
      <c r="E380" s="649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126</v>
      </c>
      <c r="L380" s="35" t="s">
        <v>46</v>
      </c>
      <c r="M380" s="36" t="s">
        <v>89</v>
      </c>
      <c r="N380" s="36"/>
      <c r="O380" s="35">
        <v>40</v>
      </c>
      <c r="P380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1"/>
      <c r="R380" s="651"/>
      <c r="S380" s="651"/>
      <c r="T380" s="652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641</v>
      </c>
      <c r="AG380" s="75"/>
      <c r="AJ380" s="79" t="s">
        <v>46</v>
      </c>
      <c r="AK380" s="79">
        <v>0</v>
      </c>
      <c r="BB380" s="482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642</v>
      </c>
      <c r="B381" s="60" t="s">
        <v>643</v>
      </c>
      <c r="C381" s="34">
        <v>4301051819</v>
      </c>
      <c r="D381" s="649">
        <v>4607091387964</v>
      </c>
      <c r="E381" s="649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126</v>
      </c>
      <c r="L381" s="35" t="s">
        <v>46</v>
      </c>
      <c r="M381" s="36" t="s">
        <v>89</v>
      </c>
      <c r="N381" s="36"/>
      <c r="O381" s="35">
        <v>40</v>
      </c>
      <c r="P381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1"/>
      <c r="R381" s="651"/>
      <c r="S381" s="651"/>
      <c r="T381" s="652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644</v>
      </c>
      <c r="AG381" s="75"/>
      <c r="AJ381" s="79" t="s">
        <v>46</v>
      </c>
      <c r="AK381" s="79">
        <v>0</v>
      </c>
      <c r="BB381" s="484" t="s">
        <v>66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645</v>
      </c>
      <c r="B382" s="60" t="s">
        <v>646</v>
      </c>
      <c r="C382" s="34">
        <v>4301051734</v>
      </c>
      <c r="D382" s="649">
        <v>4680115884588</v>
      </c>
      <c r="E382" s="649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90</v>
      </c>
      <c r="L382" s="35" t="s">
        <v>46</v>
      </c>
      <c r="M382" s="36" t="s">
        <v>89</v>
      </c>
      <c r="N382" s="36"/>
      <c r="O382" s="35">
        <v>40</v>
      </c>
      <c r="P382" s="7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1"/>
      <c r="R382" s="651"/>
      <c r="S382" s="651"/>
      <c r="T382" s="652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 t="s">
        <v>46</v>
      </c>
      <c r="AB382" s="66" t="s">
        <v>46</v>
      </c>
      <c r="AC382" s="485" t="s">
        <v>638</v>
      </c>
      <c r="AG382" s="75"/>
      <c r="AJ382" s="79" t="s">
        <v>46</v>
      </c>
      <c r="AK382" s="79">
        <v>0</v>
      </c>
      <c r="BB382" s="486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656"/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7"/>
      <c r="P383" s="653" t="s">
        <v>40</v>
      </c>
      <c r="Q383" s="654"/>
      <c r="R383" s="654"/>
      <c r="S383" s="654"/>
      <c r="T383" s="654"/>
      <c r="U383" s="654"/>
      <c r="V383" s="655"/>
      <c r="W383" s="40" t="s">
        <v>39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656"/>
      <c r="B384" s="656"/>
      <c r="C384" s="656"/>
      <c r="D384" s="656"/>
      <c r="E384" s="656"/>
      <c r="F384" s="656"/>
      <c r="G384" s="656"/>
      <c r="H384" s="656"/>
      <c r="I384" s="656"/>
      <c r="J384" s="656"/>
      <c r="K384" s="656"/>
      <c r="L384" s="656"/>
      <c r="M384" s="656"/>
      <c r="N384" s="656"/>
      <c r="O384" s="657"/>
      <c r="P384" s="653" t="s">
        <v>40</v>
      </c>
      <c r="Q384" s="654"/>
      <c r="R384" s="654"/>
      <c r="S384" s="654"/>
      <c r="T384" s="654"/>
      <c r="U384" s="654"/>
      <c r="V384" s="655"/>
      <c r="W384" s="40" t="s">
        <v>0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648" t="s">
        <v>174</v>
      </c>
      <c r="B385" s="648"/>
      <c r="C385" s="648"/>
      <c r="D385" s="648"/>
      <c r="E385" s="648"/>
      <c r="F385" s="648"/>
      <c r="G385" s="648"/>
      <c r="H385" s="648"/>
      <c r="I385" s="648"/>
      <c r="J385" s="648"/>
      <c r="K385" s="648"/>
      <c r="L385" s="648"/>
      <c r="M385" s="648"/>
      <c r="N385" s="648"/>
      <c r="O385" s="648"/>
      <c r="P385" s="648"/>
      <c r="Q385" s="648"/>
      <c r="R385" s="648"/>
      <c r="S385" s="648"/>
      <c r="T385" s="648"/>
      <c r="U385" s="648"/>
      <c r="V385" s="648"/>
      <c r="W385" s="648"/>
      <c r="X385" s="648"/>
      <c r="Y385" s="648"/>
      <c r="Z385" s="648"/>
      <c r="AA385" s="63"/>
      <c r="AB385" s="63"/>
      <c r="AC385" s="63"/>
    </row>
    <row r="386" spans="1:68" ht="27" hidden="1" customHeight="1" x14ac:dyDescent="0.25">
      <c r="A386" s="60" t="s">
        <v>647</v>
      </c>
      <c r="B386" s="60" t="s">
        <v>648</v>
      </c>
      <c r="C386" s="34">
        <v>4301060387</v>
      </c>
      <c r="D386" s="649">
        <v>4607091380880</v>
      </c>
      <c r="E386" s="649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126</v>
      </c>
      <c r="L386" s="35" t="s">
        <v>46</v>
      </c>
      <c r="M386" s="36" t="s">
        <v>89</v>
      </c>
      <c r="N386" s="36"/>
      <c r="O386" s="35">
        <v>30</v>
      </c>
      <c r="P386" s="7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1"/>
      <c r="R386" s="651"/>
      <c r="S386" s="651"/>
      <c r="T386" s="652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649</v>
      </c>
      <c r="AG386" s="75"/>
      <c r="AJ386" s="79" t="s">
        <v>46</v>
      </c>
      <c r="AK386" s="79">
        <v>0</v>
      </c>
      <c r="BB386" s="488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650</v>
      </c>
      <c r="B387" s="60" t="s">
        <v>651</v>
      </c>
      <c r="C387" s="34">
        <v>4301060406</v>
      </c>
      <c r="D387" s="649">
        <v>4607091384482</v>
      </c>
      <c r="E387" s="649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126</v>
      </c>
      <c r="L387" s="35" t="s">
        <v>46</v>
      </c>
      <c r="M387" s="36" t="s">
        <v>89</v>
      </c>
      <c r="N387" s="36"/>
      <c r="O387" s="35">
        <v>30</v>
      </c>
      <c r="P387" s="7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1"/>
      <c r="R387" s="651"/>
      <c r="S387" s="651"/>
      <c r="T387" s="652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652</v>
      </c>
      <c r="AG387" s="75"/>
      <c r="AJ387" s="79" t="s">
        <v>46</v>
      </c>
      <c r="AK387" s="79">
        <v>0</v>
      </c>
      <c r="BB387" s="490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653</v>
      </c>
      <c r="B388" s="60" t="s">
        <v>654</v>
      </c>
      <c r="C388" s="34">
        <v>4301060484</v>
      </c>
      <c r="D388" s="649">
        <v>4607091380897</v>
      </c>
      <c r="E388" s="649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126</v>
      </c>
      <c r="L388" s="35" t="s">
        <v>46</v>
      </c>
      <c r="M388" s="36" t="s">
        <v>96</v>
      </c>
      <c r="N388" s="36"/>
      <c r="O388" s="35">
        <v>30</v>
      </c>
      <c r="P388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1"/>
      <c r="R388" s="651"/>
      <c r="S388" s="651"/>
      <c r="T388" s="652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91" t="s">
        <v>655</v>
      </c>
      <c r="AG388" s="75"/>
      <c r="AJ388" s="79" t="s">
        <v>46</v>
      </c>
      <c r="AK388" s="79">
        <v>0</v>
      </c>
      <c r="BB388" s="492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0" t="s">
        <v>39</v>
      </c>
      <c r="X389" s="41">
        <f>IFERROR(X386/H386,"0")+IFERROR(X387/H387,"0")+IFERROR(X388/H388,"0")</f>
        <v>0</v>
      </c>
      <c r="Y389" s="41">
        <f>IFERROR(Y386/H386,"0")+IFERROR(Y387/H387,"0")+IFERROR(Y388/H388,"0")</f>
        <v>0</v>
      </c>
      <c r="Z389" s="41">
        <f>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656"/>
      <c r="B390" s="656"/>
      <c r="C390" s="656"/>
      <c r="D390" s="656"/>
      <c r="E390" s="656"/>
      <c r="F390" s="656"/>
      <c r="G390" s="656"/>
      <c r="H390" s="656"/>
      <c r="I390" s="656"/>
      <c r="J390" s="656"/>
      <c r="K390" s="656"/>
      <c r="L390" s="656"/>
      <c r="M390" s="656"/>
      <c r="N390" s="656"/>
      <c r="O390" s="657"/>
      <c r="P390" s="653" t="s">
        <v>40</v>
      </c>
      <c r="Q390" s="654"/>
      <c r="R390" s="654"/>
      <c r="S390" s="654"/>
      <c r="T390" s="654"/>
      <c r="U390" s="654"/>
      <c r="V390" s="655"/>
      <c r="W390" s="40" t="s">
        <v>0</v>
      </c>
      <c r="X390" s="41">
        <f>IFERROR(SUM(X386:X388),"0")</f>
        <v>0</v>
      </c>
      <c r="Y390" s="41">
        <f>IFERROR(SUM(Y386:Y388),"0")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48" t="s">
        <v>277</v>
      </c>
      <c r="B391" s="648"/>
      <c r="C391" s="648"/>
      <c r="D391" s="648"/>
      <c r="E391" s="648"/>
      <c r="F391" s="648"/>
      <c r="G391" s="648"/>
      <c r="H391" s="648"/>
      <c r="I391" s="648"/>
      <c r="J391" s="648"/>
      <c r="K391" s="648"/>
      <c r="L391" s="648"/>
      <c r="M391" s="648"/>
      <c r="N391" s="648"/>
      <c r="O391" s="648"/>
      <c r="P391" s="648"/>
      <c r="Q391" s="648"/>
      <c r="R391" s="648"/>
      <c r="S391" s="648"/>
      <c r="T391" s="648"/>
      <c r="U391" s="648"/>
      <c r="V391" s="648"/>
      <c r="W391" s="648"/>
      <c r="X391" s="648"/>
      <c r="Y391" s="648"/>
      <c r="Z391" s="648"/>
      <c r="AA391" s="63"/>
      <c r="AB391" s="63"/>
      <c r="AC391" s="63"/>
    </row>
    <row r="392" spans="1:68" ht="27" hidden="1" customHeight="1" x14ac:dyDescent="0.25">
      <c r="A392" s="60" t="s">
        <v>656</v>
      </c>
      <c r="B392" s="60" t="s">
        <v>657</v>
      </c>
      <c r="C392" s="34">
        <v>4301030235</v>
      </c>
      <c r="D392" s="649">
        <v>4607091388381</v>
      </c>
      <c r="E392" s="649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133</v>
      </c>
      <c r="L392" s="35" t="s">
        <v>46</v>
      </c>
      <c r="M392" s="36" t="s">
        <v>253</v>
      </c>
      <c r="N392" s="36"/>
      <c r="O392" s="35">
        <v>180</v>
      </c>
      <c r="P392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1"/>
      <c r="R392" s="651"/>
      <c r="S392" s="651"/>
      <c r="T392" s="652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658</v>
      </c>
      <c r="AG392" s="75"/>
      <c r="AJ392" s="79" t="s">
        <v>46</v>
      </c>
      <c r="AK392" s="79">
        <v>0</v>
      </c>
      <c r="BB392" s="494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659</v>
      </c>
      <c r="B393" s="60" t="s">
        <v>660</v>
      </c>
      <c r="C393" s="34">
        <v>4301030232</v>
      </c>
      <c r="D393" s="649">
        <v>4607091388374</v>
      </c>
      <c r="E393" s="649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133</v>
      </c>
      <c r="L393" s="35" t="s">
        <v>46</v>
      </c>
      <c r="M393" s="36" t="s">
        <v>253</v>
      </c>
      <c r="N393" s="36"/>
      <c r="O393" s="35">
        <v>180</v>
      </c>
      <c r="P393" s="73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1"/>
      <c r="R393" s="651"/>
      <c r="S393" s="651"/>
      <c r="T393" s="652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658</v>
      </c>
      <c r="AG393" s="75"/>
      <c r="AJ393" s="79" t="s">
        <v>46</v>
      </c>
      <c r="AK393" s="79">
        <v>0</v>
      </c>
      <c r="BB393" s="496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661</v>
      </c>
      <c r="B394" s="60" t="s">
        <v>662</v>
      </c>
      <c r="C394" s="34">
        <v>4301032015</v>
      </c>
      <c r="D394" s="649">
        <v>4607091383102</v>
      </c>
      <c r="E394" s="649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90</v>
      </c>
      <c r="L394" s="35" t="s">
        <v>46</v>
      </c>
      <c r="M394" s="36" t="s">
        <v>253</v>
      </c>
      <c r="N394" s="36"/>
      <c r="O394" s="35">
        <v>180</v>
      </c>
      <c r="P394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1"/>
      <c r="R394" s="651"/>
      <c r="S394" s="651"/>
      <c r="T394" s="652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97" t="s">
        <v>658</v>
      </c>
      <c r="AG394" s="75"/>
      <c r="AJ394" s="79" t="s">
        <v>46</v>
      </c>
      <c r="AK394" s="79">
        <v>0</v>
      </c>
      <c r="BB394" s="498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663</v>
      </c>
      <c r="B395" s="60" t="s">
        <v>664</v>
      </c>
      <c r="C395" s="34">
        <v>4301030233</v>
      </c>
      <c r="D395" s="649">
        <v>4607091388404</v>
      </c>
      <c r="E395" s="649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90</v>
      </c>
      <c r="L395" s="35" t="s">
        <v>46</v>
      </c>
      <c r="M395" s="36" t="s">
        <v>253</v>
      </c>
      <c r="N395" s="36"/>
      <c r="O395" s="35">
        <v>180</v>
      </c>
      <c r="P395" s="7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1"/>
      <c r="R395" s="651"/>
      <c r="S395" s="651"/>
      <c r="T395" s="652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658</v>
      </c>
      <c r="AG395" s="75"/>
      <c r="AJ395" s="79" t="s">
        <v>46</v>
      </c>
      <c r="AK395" s="79">
        <v>0</v>
      </c>
      <c r="BB395" s="500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656"/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7"/>
      <c r="P396" s="653" t="s">
        <v>40</v>
      </c>
      <c r="Q396" s="654"/>
      <c r="R396" s="654"/>
      <c r="S396" s="654"/>
      <c r="T396" s="654"/>
      <c r="U396" s="654"/>
      <c r="V396" s="655"/>
      <c r="W396" s="40" t="s">
        <v>39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656"/>
      <c r="B397" s="656"/>
      <c r="C397" s="656"/>
      <c r="D397" s="656"/>
      <c r="E397" s="656"/>
      <c r="F397" s="656"/>
      <c r="G397" s="656"/>
      <c r="H397" s="656"/>
      <c r="I397" s="656"/>
      <c r="J397" s="656"/>
      <c r="K397" s="656"/>
      <c r="L397" s="656"/>
      <c r="M397" s="656"/>
      <c r="N397" s="656"/>
      <c r="O397" s="657"/>
      <c r="P397" s="653" t="s">
        <v>40</v>
      </c>
      <c r="Q397" s="654"/>
      <c r="R397" s="654"/>
      <c r="S397" s="654"/>
      <c r="T397" s="654"/>
      <c r="U397" s="654"/>
      <c r="V397" s="655"/>
      <c r="W397" s="40" t="s">
        <v>0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648" t="s">
        <v>665</v>
      </c>
      <c r="B398" s="648"/>
      <c r="C398" s="648"/>
      <c r="D398" s="648"/>
      <c r="E398" s="648"/>
      <c r="F398" s="648"/>
      <c r="G398" s="648"/>
      <c r="H398" s="648"/>
      <c r="I398" s="648"/>
      <c r="J398" s="648"/>
      <c r="K398" s="648"/>
      <c r="L398" s="648"/>
      <c r="M398" s="648"/>
      <c r="N398" s="648"/>
      <c r="O398" s="648"/>
      <c r="P398" s="648"/>
      <c r="Q398" s="648"/>
      <c r="R398" s="648"/>
      <c r="S398" s="648"/>
      <c r="T398" s="648"/>
      <c r="U398" s="648"/>
      <c r="V398" s="648"/>
      <c r="W398" s="648"/>
      <c r="X398" s="648"/>
      <c r="Y398" s="648"/>
      <c r="Z398" s="648"/>
      <c r="AA398" s="63"/>
      <c r="AB398" s="63"/>
      <c r="AC398" s="63"/>
    </row>
    <row r="399" spans="1:68" ht="16.5" hidden="1" customHeight="1" x14ac:dyDescent="0.25">
      <c r="A399" s="60" t="s">
        <v>666</v>
      </c>
      <c r="B399" s="60" t="s">
        <v>667</v>
      </c>
      <c r="C399" s="34">
        <v>4301180007</v>
      </c>
      <c r="D399" s="649">
        <v>4680115881808</v>
      </c>
      <c r="E399" s="649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90</v>
      </c>
      <c r="L399" s="35" t="s">
        <v>46</v>
      </c>
      <c r="M399" s="36" t="s">
        <v>669</v>
      </c>
      <c r="N399" s="36"/>
      <c r="O399" s="35">
        <v>731</v>
      </c>
      <c r="P399" s="7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1"/>
      <c r="R399" s="651"/>
      <c r="S399" s="651"/>
      <c r="T399" s="652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668</v>
      </c>
      <c r="AG399" s="75"/>
      <c r="AJ399" s="79" t="s">
        <v>46</v>
      </c>
      <c r="AK399" s="79">
        <v>0</v>
      </c>
      <c r="BB399" s="502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670</v>
      </c>
      <c r="B400" s="60" t="s">
        <v>671</v>
      </c>
      <c r="C400" s="34">
        <v>4301180006</v>
      </c>
      <c r="D400" s="649">
        <v>4680115881822</v>
      </c>
      <c r="E400" s="649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90</v>
      </c>
      <c r="L400" s="35" t="s">
        <v>46</v>
      </c>
      <c r="M400" s="36" t="s">
        <v>669</v>
      </c>
      <c r="N400" s="36"/>
      <c r="O400" s="35">
        <v>731</v>
      </c>
      <c r="P400" s="7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1"/>
      <c r="R400" s="651"/>
      <c r="S400" s="651"/>
      <c r="T400" s="652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668</v>
      </c>
      <c r="AG400" s="75"/>
      <c r="AJ400" s="79" t="s">
        <v>46</v>
      </c>
      <c r="AK400" s="79">
        <v>0</v>
      </c>
      <c r="BB400" s="504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672</v>
      </c>
      <c r="B401" s="60" t="s">
        <v>673</v>
      </c>
      <c r="C401" s="34">
        <v>4301180001</v>
      </c>
      <c r="D401" s="649">
        <v>4680115880016</v>
      </c>
      <c r="E401" s="649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90</v>
      </c>
      <c r="L401" s="35" t="s">
        <v>46</v>
      </c>
      <c r="M401" s="36" t="s">
        <v>669</v>
      </c>
      <c r="N401" s="36"/>
      <c r="O401" s="35">
        <v>731</v>
      </c>
      <c r="P401" s="7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1"/>
      <c r="R401" s="651"/>
      <c r="S401" s="651"/>
      <c r="T401" s="652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505" t="s">
        <v>668</v>
      </c>
      <c r="AG401" s="75"/>
      <c r="AJ401" s="79" t="s">
        <v>46</v>
      </c>
      <c r="AK401" s="79">
        <v>0</v>
      </c>
      <c r="BB401" s="506" t="s">
        <v>66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56"/>
      <c r="B403" s="656"/>
      <c r="C403" s="656"/>
      <c r="D403" s="656"/>
      <c r="E403" s="656"/>
      <c r="F403" s="656"/>
      <c r="G403" s="656"/>
      <c r="H403" s="656"/>
      <c r="I403" s="656"/>
      <c r="J403" s="656"/>
      <c r="K403" s="656"/>
      <c r="L403" s="656"/>
      <c r="M403" s="656"/>
      <c r="N403" s="656"/>
      <c r="O403" s="657"/>
      <c r="P403" s="653" t="s">
        <v>40</v>
      </c>
      <c r="Q403" s="654"/>
      <c r="R403" s="654"/>
      <c r="S403" s="654"/>
      <c r="T403" s="654"/>
      <c r="U403" s="654"/>
      <c r="V403" s="655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648" t="s">
        <v>674</v>
      </c>
      <c r="B404" s="648"/>
      <c r="C404" s="648"/>
      <c r="D404" s="648"/>
      <c r="E404" s="648"/>
      <c r="F404" s="648"/>
      <c r="G404" s="648"/>
      <c r="H404" s="648"/>
      <c r="I404" s="648"/>
      <c r="J404" s="648"/>
      <c r="K404" s="648"/>
      <c r="L404" s="648"/>
      <c r="M404" s="648"/>
      <c r="N404" s="648"/>
      <c r="O404" s="648"/>
      <c r="P404" s="648"/>
      <c r="Q404" s="648"/>
      <c r="R404" s="648"/>
      <c r="S404" s="648"/>
      <c r="T404" s="648"/>
      <c r="U404" s="648"/>
      <c r="V404" s="648"/>
      <c r="W404" s="648"/>
      <c r="X404" s="648"/>
      <c r="Y404" s="648"/>
      <c r="Z404" s="648"/>
      <c r="AA404" s="63"/>
      <c r="AB404" s="63"/>
      <c r="AC404" s="63"/>
    </row>
    <row r="405" spans="1:68" ht="27" hidden="1" customHeight="1" x14ac:dyDescent="0.25">
      <c r="A405" s="60" t="s">
        <v>675</v>
      </c>
      <c r="B405" s="60" t="s">
        <v>676</v>
      </c>
      <c r="C405" s="34">
        <v>4301220003</v>
      </c>
      <c r="D405" s="649">
        <v>4680115888678</v>
      </c>
      <c r="E405" s="649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90</v>
      </c>
      <c r="L405" s="35" t="s">
        <v>46</v>
      </c>
      <c r="M405" s="36" t="s">
        <v>669</v>
      </c>
      <c r="N405" s="36"/>
      <c r="O405" s="35">
        <v>1096</v>
      </c>
      <c r="P405" s="73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1"/>
      <c r="R405" s="651"/>
      <c r="S405" s="651"/>
      <c r="T405" s="652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677</v>
      </c>
      <c r="AG405" s="75"/>
      <c r="AJ405" s="79" t="s">
        <v>46</v>
      </c>
      <c r="AK405" s="79">
        <v>0</v>
      </c>
      <c r="BB405" s="508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678</v>
      </c>
      <c r="B406" s="60" t="s">
        <v>679</v>
      </c>
      <c r="C406" s="34">
        <v>4301220001</v>
      </c>
      <c r="D406" s="649">
        <v>4680115888654</v>
      </c>
      <c r="E406" s="649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133</v>
      </c>
      <c r="L406" s="35" t="s">
        <v>46</v>
      </c>
      <c r="M406" s="36" t="s">
        <v>669</v>
      </c>
      <c r="N406" s="36"/>
      <c r="O406" s="35">
        <v>1096</v>
      </c>
      <c r="P406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1"/>
      <c r="R406" s="651"/>
      <c r="S406" s="651"/>
      <c r="T406" s="652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680</v>
      </c>
      <c r="AG406" s="75"/>
      <c r="AJ406" s="79" t="s">
        <v>46</v>
      </c>
      <c r="AK406" s="79">
        <v>0</v>
      </c>
      <c r="BB406" s="510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681</v>
      </c>
      <c r="B407" s="60" t="s">
        <v>682</v>
      </c>
      <c r="C407" s="34">
        <v>4301220002</v>
      </c>
      <c r="D407" s="649">
        <v>4680115888753</v>
      </c>
      <c r="E407" s="649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90</v>
      </c>
      <c r="L407" s="35" t="s">
        <v>46</v>
      </c>
      <c r="M407" s="36" t="s">
        <v>669</v>
      </c>
      <c r="N407" s="36"/>
      <c r="O407" s="35">
        <v>1096</v>
      </c>
      <c r="P407" s="72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1"/>
      <c r="R407" s="651"/>
      <c r="S407" s="651"/>
      <c r="T407" s="652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677</v>
      </c>
      <c r="AG407" s="75"/>
      <c r="AJ407" s="79" t="s">
        <v>46</v>
      </c>
      <c r="AK407" s="79">
        <v>0</v>
      </c>
      <c r="BB407" s="512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656"/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7"/>
      <c r="P409" s="653" t="s">
        <v>40</v>
      </c>
      <c r="Q409" s="654"/>
      <c r="R409" s="654"/>
      <c r="S409" s="654"/>
      <c r="T409" s="654"/>
      <c r="U409" s="654"/>
      <c r="V409" s="655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47" t="s">
        <v>683</v>
      </c>
      <c r="B410" s="647"/>
      <c r="C410" s="647"/>
      <c r="D410" s="647"/>
      <c r="E410" s="647"/>
      <c r="F410" s="647"/>
      <c r="G410" s="647"/>
      <c r="H410" s="647"/>
      <c r="I410" s="647"/>
      <c r="J410" s="647"/>
      <c r="K410" s="647"/>
      <c r="L410" s="647"/>
      <c r="M410" s="647"/>
      <c r="N410" s="647"/>
      <c r="O410" s="647"/>
      <c r="P410" s="647"/>
      <c r="Q410" s="647"/>
      <c r="R410" s="647"/>
      <c r="S410" s="647"/>
      <c r="T410" s="647"/>
      <c r="U410" s="647"/>
      <c r="V410" s="647"/>
      <c r="W410" s="647"/>
      <c r="X410" s="647"/>
      <c r="Y410" s="647"/>
      <c r="Z410" s="647"/>
      <c r="AA410" s="62"/>
      <c r="AB410" s="62"/>
      <c r="AC410" s="62"/>
    </row>
    <row r="411" spans="1:68" ht="14.25" hidden="1" customHeight="1" x14ac:dyDescent="0.25">
      <c r="A411" s="648" t="s">
        <v>85</v>
      </c>
      <c r="B411" s="648"/>
      <c r="C411" s="648"/>
      <c r="D411" s="648"/>
      <c r="E411" s="648"/>
      <c r="F411" s="648"/>
      <c r="G411" s="648"/>
      <c r="H411" s="648"/>
      <c r="I411" s="648"/>
      <c r="J411" s="648"/>
      <c r="K411" s="648"/>
      <c r="L411" s="648"/>
      <c r="M411" s="648"/>
      <c r="N411" s="648"/>
      <c r="O411" s="648"/>
      <c r="P411" s="648"/>
      <c r="Q411" s="648"/>
      <c r="R411" s="648"/>
      <c r="S411" s="648"/>
      <c r="T411" s="648"/>
      <c r="U411" s="648"/>
      <c r="V411" s="648"/>
      <c r="W411" s="648"/>
      <c r="X411" s="648"/>
      <c r="Y411" s="648"/>
      <c r="Z411" s="648"/>
      <c r="AA411" s="63"/>
      <c r="AB411" s="63"/>
      <c r="AC411" s="63"/>
    </row>
    <row r="412" spans="1:68" ht="16.5" hidden="1" customHeight="1" x14ac:dyDescent="0.25">
      <c r="A412" s="60" t="s">
        <v>684</v>
      </c>
      <c r="B412" s="60" t="s">
        <v>685</v>
      </c>
      <c r="C412" s="34">
        <v>4301052235</v>
      </c>
      <c r="D412" s="649">
        <v>4680115889415</v>
      </c>
      <c r="E412" s="649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126</v>
      </c>
      <c r="L412" s="35" t="s">
        <v>46</v>
      </c>
      <c r="M412" s="36" t="s">
        <v>89</v>
      </c>
      <c r="N412" s="36"/>
      <c r="O412" s="35">
        <v>40</v>
      </c>
      <c r="P412" s="72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1"/>
      <c r="R412" s="651"/>
      <c r="S412" s="651"/>
      <c r="T412" s="652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513" t="s">
        <v>686</v>
      </c>
      <c r="AG412" s="75"/>
      <c r="AJ412" s="79" t="s">
        <v>46</v>
      </c>
      <c r="AK412" s="79">
        <v>0</v>
      </c>
      <c r="BB412" s="514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687</v>
      </c>
      <c r="B413" s="60" t="s">
        <v>688</v>
      </c>
      <c r="C413" s="34">
        <v>4301052236</v>
      </c>
      <c r="D413" s="649">
        <v>4680115889422</v>
      </c>
      <c r="E413" s="649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126</v>
      </c>
      <c r="L413" s="35" t="s">
        <v>46</v>
      </c>
      <c r="M413" s="36" t="s">
        <v>89</v>
      </c>
      <c r="N413" s="36"/>
      <c r="O413" s="35">
        <v>40</v>
      </c>
      <c r="P413" s="72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1"/>
      <c r="R413" s="651"/>
      <c r="S413" s="651"/>
      <c r="T413" s="652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15" t="s">
        <v>689</v>
      </c>
      <c r="AG413" s="75"/>
      <c r="AJ413" s="79" t="s">
        <v>46</v>
      </c>
      <c r="AK413" s="79">
        <v>0</v>
      </c>
      <c r="BB413" s="516" t="s">
        <v>66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656"/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7"/>
      <c r="P415" s="653" t="s">
        <v>40</v>
      </c>
      <c r="Q415" s="654"/>
      <c r="R415" s="654"/>
      <c r="S415" s="654"/>
      <c r="T415" s="654"/>
      <c r="U415" s="654"/>
      <c r="V415" s="655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47" t="s">
        <v>690</v>
      </c>
      <c r="B416" s="647"/>
      <c r="C416" s="647"/>
      <c r="D416" s="647"/>
      <c r="E416" s="647"/>
      <c r="F416" s="647"/>
      <c r="G416" s="647"/>
      <c r="H416" s="647"/>
      <c r="I416" s="647"/>
      <c r="J416" s="647"/>
      <c r="K416" s="647"/>
      <c r="L416" s="647"/>
      <c r="M416" s="647"/>
      <c r="N416" s="647"/>
      <c r="O416" s="647"/>
      <c r="P416" s="647"/>
      <c r="Q416" s="647"/>
      <c r="R416" s="647"/>
      <c r="S416" s="647"/>
      <c r="T416" s="647"/>
      <c r="U416" s="647"/>
      <c r="V416" s="647"/>
      <c r="W416" s="647"/>
      <c r="X416" s="647"/>
      <c r="Y416" s="647"/>
      <c r="Z416" s="647"/>
      <c r="AA416" s="62"/>
      <c r="AB416" s="62"/>
      <c r="AC416" s="62"/>
    </row>
    <row r="417" spans="1:68" ht="14.25" hidden="1" customHeight="1" x14ac:dyDescent="0.25">
      <c r="A417" s="648" t="s">
        <v>85</v>
      </c>
      <c r="B417" s="648"/>
      <c r="C417" s="648"/>
      <c r="D417" s="648"/>
      <c r="E417" s="648"/>
      <c r="F417" s="648"/>
      <c r="G417" s="648"/>
      <c r="H417" s="648"/>
      <c r="I417" s="648"/>
      <c r="J417" s="648"/>
      <c r="K417" s="648"/>
      <c r="L417" s="648"/>
      <c r="M417" s="648"/>
      <c r="N417" s="648"/>
      <c r="O417" s="648"/>
      <c r="P417" s="648"/>
      <c r="Q417" s="648"/>
      <c r="R417" s="648"/>
      <c r="S417" s="648"/>
      <c r="T417" s="648"/>
      <c r="U417" s="648"/>
      <c r="V417" s="648"/>
      <c r="W417" s="648"/>
      <c r="X417" s="648"/>
      <c r="Y417" s="648"/>
      <c r="Z417" s="648"/>
      <c r="AA417" s="63"/>
      <c r="AB417" s="63"/>
      <c r="AC417" s="63"/>
    </row>
    <row r="418" spans="1:68" ht="27" hidden="1" customHeight="1" x14ac:dyDescent="0.25">
      <c r="A418" s="60" t="s">
        <v>691</v>
      </c>
      <c r="B418" s="60" t="s">
        <v>692</v>
      </c>
      <c r="C418" s="34">
        <v>4301051489</v>
      </c>
      <c r="D418" s="649">
        <v>4607091387919</v>
      </c>
      <c r="E418" s="649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126</v>
      </c>
      <c r="L418" s="35" t="s">
        <v>46</v>
      </c>
      <c r="M418" s="36" t="s">
        <v>96</v>
      </c>
      <c r="N418" s="36"/>
      <c r="O418" s="35">
        <v>45</v>
      </c>
      <c r="P418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1"/>
      <c r="R418" s="651"/>
      <c r="S418" s="651"/>
      <c r="T418" s="652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7" t="s">
        <v>693</v>
      </c>
      <c r="AG418" s="75"/>
      <c r="AJ418" s="79" t="s">
        <v>46</v>
      </c>
      <c r="AK418" s="79">
        <v>0</v>
      </c>
      <c r="BB418" s="518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694</v>
      </c>
      <c r="B419" s="60" t="s">
        <v>695</v>
      </c>
      <c r="C419" s="34">
        <v>4301051461</v>
      </c>
      <c r="D419" s="649">
        <v>4680115883604</v>
      </c>
      <c r="E419" s="649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90</v>
      </c>
      <c r="L419" s="35" t="s">
        <v>46</v>
      </c>
      <c r="M419" s="36" t="s">
        <v>89</v>
      </c>
      <c r="N419" s="36"/>
      <c r="O419" s="35">
        <v>45</v>
      </c>
      <c r="P419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1"/>
      <c r="R419" s="651"/>
      <c r="S419" s="651"/>
      <c r="T419" s="652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46</v>
      </c>
      <c r="AB419" s="66" t="s">
        <v>46</v>
      </c>
      <c r="AC419" s="519" t="s">
        <v>696</v>
      </c>
      <c r="AG419" s="75"/>
      <c r="AJ419" s="79" t="s">
        <v>46</v>
      </c>
      <c r="AK419" s="79">
        <v>0</v>
      </c>
      <c r="BB419" s="520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697</v>
      </c>
      <c r="B420" s="60" t="s">
        <v>698</v>
      </c>
      <c r="C420" s="34">
        <v>4301051864</v>
      </c>
      <c r="D420" s="649">
        <v>4680115883567</v>
      </c>
      <c r="E420" s="649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90</v>
      </c>
      <c r="L420" s="35" t="s">
        <v>46</v>
      </c>
      <c r="M420" s="36" t="s">
        <v>96</v>
      </c>
      <c r="N420" s="36"/>
      <c r="O420" s="35">
        <v>40</v>
      </c>
      <c r="P420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1"/>
      <c r="R420" s="651"/>
      <c r="S420" s="651"/>
      <c r="T420" s="652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21" t="s">
        <v>699</v>
      </c>
      <c r="AG420" s="75"/>
      <c r="AJ420" s="79" t="s">
        <v>46</v>
      </c>
      <c r="AK420" s="79">
        <v>0</v>
      </c>
      <c r="BB420" s="522" t="s">
        <v>66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656"/>
      <c r="B421" s="656"/>
      <c r="C421" s="656"/>
      <c r="D421" s="656"/>
      <c r="E421" s="656"/>
      <c r="F421" s="656"/>
      <c r="G421" s="656"/>
      <c r="H421" s="656"/>
      <c r="I421" s="656"/>
      <c r="J421" s="656"/>
      <c r="K421" s="656"/>
      <c r="L421" s="656"/>
      <c r="M421" s="656"/>
      <c r="N421" s="656"/>
      <c r="O421" s="657"/>
      <c r="P421" s="653" t="s">
        <v>40</v>
      </c>
      <c r="Q421" s="654"/>
      <c r="R421" s="654"/>
      <c r="S421" s="654"/>
      <c r="T421" s="654"/>
      <c r="U421" s="654"/>
      <c r="V421" s="655"/>
      <c r="W421" s="40" t="s">
        <v>39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656"/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7"/>
      <c r="P422" s="653" t="s">
        <v>40</v>
      </c>
      <c r="Q422" s="654"/>
      <c r="R422" s="654"/>
      <c r="S422" s="654"/>
      <c r="T422" s="654"/>
      <c r="U422" s="654"/>
      <c r="V422" s="655"/>
      <c r="W422" s="40" t="s">
        <v>0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668" t="s">
        <v>700</v>
      </c>
      <c r="B423" s="668"/>
      <c r="C423" s="668"/>
      <c r="D423" s="668"/>
      <c r="E423" s="668"/>
      <c r="F423" s="668"/>
      <c r="G423" s="668"/>
      <c r="H423" s="668"/>
      <c r="I423" s="668"/>
      <c r="J423" s="668"/>
      <c r="K423" s="668"/>
      <c r="L423" s="668"/>
      <c r="M423" s="668"/>
      <c r="N423" s="668"/>
      <c r="O423" s="668"/>
      <c r="P423" s="668"/>
      <c r="Q423" s="668"/>
      <c r="R423" s="668"/>
      <c r="S423" s="668"/>
      <c r="T423" s="668"/>
      <c r="U423" s="668"/>
      <c r="V423" s="668"/>
      <c r="W423" s="668"/>
      <c r="X423" s="668"/>
      <c r="Y423" s="668"/>
      <c r="Z423" s="668"/>
      <c r="AA423" s="52"/>
      <c r="AB423" s="52"/>
      <c r="AC423" s="52"/>
    </row>
    <row r="424" spans="1:68" ht="16.5" hidden="1" customHeight="1" x14ac:dyDescent="0.25">
      <c r="A424" s="647" t="s">
        <v>701</v>
      </c>
      <c r="B424" s="647"/>
      <c r="C424" s="647"/>
      <c r="D424" s="647"/>
      <c r="E424" s="647"/>
      <c r="F424" s="647"/>
      <c r="G424" s="647"/>
      <c r="H424" s="647"/>
      <c r="I424" s="647"/>
      <c r="J424" s="647"/>
      <c r="K424" s="647"/>
      <c r="L424" s="647"/>
      <c r="M424" s="647"/>
      <c r="N424" s="647"/>
      <c r="O424" s="647"/>
      <c r="P424" s="647"/>
      <c r="Q424" s="647"/>
      <c r="R424" s="647"/>
      <c r="S424" s="647"/>
      <c r="T424" s="647"/>
      <c r="U424" s="647"/>
      <c r="V424" s="647"/>
      <c r="W424" s="647"/>
      <c r="X424" s="647"/>
      <c r="Y424" s="647"/>
      <c r="Z424" s="647"/>
      <c r="AA424" s="62"/>
      <c r="AB424" s="62"/>
      <c r="AC424" s="62"/>
    </row>
    <row r="425" spans="1:68" ht="14.25" hidden="1" customHeight="1" x14ac:dyDescent="0.25">
      <c r="A425" s="648" t="s">
        <v>121</v>
      </c>
      <c r="B425" s="648"/>
      <c r="C425" s="648"/>
      <c r="D425" s="648"/>
      <c r="E425" s="648"/>
      <c r="F425" s="648"/>
      <c r="G425" s="648"/>
      <c r="H425" s="648"/>
      <c r="I425" s="648"/>
      <c r="J425" s="648"/>
      <c r="K425" s="648"/>
      <c r="L425" s="648"/>
      <c r="M425" s="648"/>
      <c r="N425" s="648"/>
      <c r="O425" s="648"/>
      <c r="P425" s="648"/>
      <c r="Q425" s="648"/>
      <c r="R425" s="648"/>
      <c r="S425" s="648"/>
      <c r="T425" s="648"/>
      <c r="U425" s="648"/>
      <c r="V425" s="648"/>
      <c r="W425" s="648"/>
      <c r="X425" s="648"/>
      <c r="Y425" s="648"/>
      <c r="Z425" s="648"/>
      <c r="AA425" s="63"/>
      <c r="AB425" s="63"/>
      <c r="AC425" s="63"/>
    </row>
    <row r="426" spans="1:68" ht="27" hidden="1" customHeight="1" x14ac:dyDescent="0.25">
      <c r="A426" s="60" t="s">
        <v>702</v>
      </c>
      <c r="B426" s="60" t="s">
        <v>703</v>
      </c>
      <c r="C426" s="34">
        <v>4301012332</v>
      </c>
      <c r="D426" s="649">
        <v>4680115888401</v>
      </c>
      <c r="E426" s="649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126</v>
      </c>
      <c r="L426" s="35" t="s">
        <v>46</v>
      </c>
      <c r="M426" s="36" t="s">
        <v>96</v>
      </c>
      <c r="N426" s="36"/>
      <c r="O426" s="35">
        <v>60</v>
      </c>
      <c r="P426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1"/>
      <c r="R426" s="651"/>
      <c r="S426" s="651"/>
      <c r="T426" s="652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704</v>
      </c>
      <c r="AG426" s="75"/>
      <c r="AJ426" s="79" t="s">
        <v>46</v>
      </c>
      <c r="AK426" s="79">
        <v>0</v>
      </c>
      <c r="BB426" s="524" t="s">
        <v>66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customHeight="1" x14ac:dyDescent="0.25">
      <c r="A427" s="60" t="s">
        <v>705</v>
      </c>
      <c r="B427" s="60" t="s">
        <v>706</v>
      </c>
      <c r="C427" s="34">
        <v>4301011869</v>
      </c>
      <c r="D427" s="649">
        <v>4680115884847</v>
      </c>
      <c r="E427" s="649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126</v>
      </c>
      <c r="L427" s="35" t="s">
        <v>46</v>
      </c>
      <c r="M427" s="36" t="s">
        <v>80</v>
      </c>
      <c r="N427" s="36"/>
      <c r="O427" s="35">
        <v>60</v>
      </c>
      <c r="P427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1"/>
      <c r="R427" s="651"/>
      <c r="S427" s="651"/>
      <c r="T427" s="652"/>
      <c r="U427" s="37" t="s">
        <v>46</v>
      </c>
      <c r="V427" s="37" t="s">
        <v>46</v>
      </c>
      <c r="W427" s="38" t="s">
        <v>0</v>
      </c>
      <c r="X427" s="56">
        <v>300</v>
      </c>
      <c r="Y427" s="53">
        <f t="shared" si="68"/>
        <v>300</v>
      </c>
      <c r="Z427" s="39">
        <f>IFERROR(IF(Y427=0,"",ROUNDUP(Y427/H427,0)*0.02175),"")</f>
        <v>0.43499999999999994</v>
      </c>
      <c r="AA427" s="65" t="s">
        <v>46</v>
      </c>
      <c r="AB427" s="66" t="s">
        <v>46</v>
      </c>
      <c r="AC427" s="525" t="s">
        <v>707</v>
      </c>
      <c r="AG427" s="75"/>
      <c r="AJ427" s="79" t="s">
        <v>46</v>
      </c>
      <c r="AK427" s="79">
        <v>0</v>
      </c>
      <c r="BB427" s="526" t="s">
        <v>66</v>
      </c>
      <c r="BM427" s="75">
        <f t="shared" si="69"/>
        <v>309.39999999999998</v>
      </c>
      <c r="BN427" s="75">
        <f t="shared" si="70"/>
        <v>309.39999999999998</v>
      </c>
      <c r="BO427" s="75">
        <f t="shared" si="71"/>
        <v>0.41666666666666663</v>
      </c>
      <c r="BP427" s="75">
        <f t="shared" si="72"/>
        <v>0.41666666666666663</v>
      </c>
    </row>
    <row r="428" spans="1:68" ht="27" customHeight="1" x14ac:dyDescent="0.25">
      <c r="A428" s="60" t="s">
        <v>708</v>
      </c>
      <c r="B428" s="60" t="s">
        <v>709</v>
      </c>
      <c r="C428" s="34">
        <v>4301012083</v>
      </c>
      <c r="D428" s="649">
        <v>4680115884854</v>
      </c>
      <c r="E428" s="649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126</v>
      </c>
      <c r="L428" s="35" t="s">
        <v>46</v>
      </c>
      <c r="M428" s="36" t="s">
        <v>125</v>
      </c>
      <c r="N428" s="36"/>
      <c r="O428" s="35">
        <v>60</v>
      </c>
      <c r="P428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1"/>
      <c r="R428" s="651"/>
      <c r="S428" s="651"/>
      <c r="T428" s="652"/>
      <c r="U428" s="37" t="s">
        <v>46</v>
      </c>
      <c r="V428" s="37" t="s">
        <v>46</v>
      </c>
      <c r="W428" s="38" t="s">
        <v>0</v>
      </c>
      <c r="X428" s="56">
        <v>390</v>
      </c>
      <c r="Y428" s="53">
        <f t="shared" si="68"/>
        <v>390</v>
      </c>
      <c r="Z428" s="39">
        <f>IFERROR(IF(Y428=0,"",ROUNDUP(Y428/H428,0)*0.02175),"")</f>
        <v>0.5655</v>
      </c>
      <c r="AA428" s="65" t="s">
        <v>46</v>
      </c>
      <c r="AB428" s="66" t="s">
        <v>46</v>
      </c>
      <c r="AC428" s="527" t="s">
        <v>710</v>
      </c>
      <c r="AG428" s="75"/>
      <c r="AJ428" s="79" t="s">
        <v>46</v>
      </c>
      <c r="AK428" s="79">
        <v>0</v>
      </c>
      <c r="BB428" s="528" t="s">
        <v>66</v>
      </c>
      <c r="BM428" s="75">
        <f t="shared" si="69"/>
        <v>402.22</v>
      </c>
      <c r="BN428" s="75">
        <f t="shared" si="70"/>
        <v>402.22</v>
      </c>
      <c r="BO428" s="75">
        <f t="shared" si="71"/>
        <v>0.54166666666666663</v>
      </c>
      <c r="BP428" s="75">
        <f t="shared" si="72"/>
        <v>0.54166666666666663</v>
      </c>
    </row>
    <row r="429" spans="1:68" ht="27" customHeight="1" x14ac:dyDescent="0.25">
      <c r="A429" s="60" t="s">
        <v>711</v>
      </c>
      <c r="B429" s="60" t="s">
        <v>712</v>
      </c>
      <c r="C429" s="34">
        <v>4301011867</v>
      </c>
      <c r="D429" s="649">
        <v>4680115884830</v>
      </c>
      <c r="E429" s="649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126</v>
      </c>
      <c r="L429" s="35" t="s">
        <v>46</v>
      </c>
      <c r="M429" s="36" t="s">
        <v>80</v>
      </c>
      <c r="N429" s="36"/>
      <c r="O429" s="35">
        <v>60</v>
      </c>
      <c r="P429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1"/>
      <c r="R429" s="651"/>
      <c r="S429" s="651"/>
      <c r="T429" s="652"/>
      <c r="U429" s="37" t="s">
        <v>46</v>
      </c>
      <c r="V429" s="37" t="s">
        <v>46</v>
      </c>
      <c r="W429" s="38" t="s">
        <v>0</v>
      </c>
      <c r="X429" s="56">
        <v>360</v>
      </c>
      <c r="Y429" s="53">
        <f t="shared" si="68"/>
        <v>360</v>
      </c>
      <c r="Z429" s="39">
        <f>IFERROR(IF(Y429=0,"",ROUNDUP(Y429/H429,0)*0.02175),"")</f>
        <v>0.52200000000000002</v>
      </c>
      <c r="AA429" s="65" t="s">
        <v>46</v>
      </c>
      <c r="AB429" s="66" t="s">
        <v>46</v>
      </c>
      <c r="AC429" s="529" t="s">
        <v>713</v>
      </c>
      <c r="AG429" s="75"/>
      <c r="AJ429" s="79" t="s">
        <v>46</v>
      </c>
      <c r="AK429" s="79">
        <v>0</v>
      </c>
      <c r="BB429" s="530" t="s">
        <v>66</v>
      </c>
      <c r="BM429" s="75">
        <f t="shared" si="69"/>
        <v>371.28</v>
      </c>
      <c r="BN429" s="75">
        <f t="shared" si="70"/>
        <v>371.28</v>
      </c>
      <c r="BO429" s="75">
        <f t="shared" si="71"/>
        <v>0.5</v>
      </c>
      <c r="BP429" s="75">
        <f t="shared" si="72"/>
        <v>0.5</v>
      </c>
    </row>
    <row r="430" spans="1:68" ht="27" hidden="1" customHeight="1" x14ac:dyDescent="0.25">
      <c r="A430" s="60" t="s">
        <v>714</v>
      </c>
      <c r="B430" s="60" t="s">
        <v>715</v>
      </c>
      <c r="C430" s="34">
        <v>4301012356</v>
      </c>
      <c r="D430" s="649">
        <v>4680115889231</v>
      </c>
      <c r="E430" s="649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126</v>
      </c>
      <c r="L430" s="35" t="s">
        <v>46</v>
      </c>
      <c r="M430" s="36" t="s">
        <v>96</v>
      </c>
      <c r="N430" s="36"/>
      <c r="O430" s="35">
        <v>60</v>
      </c>
      <c r="P430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1"/>
      <c r="R430" s="651"/>
      <c r="S430" s="651"/>
      <c r="T430" s="652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31" t="s">
        <v>716</v>
      </c>
      <c r="AG430" s="75"/>
      <c r="AJ430" s="79" t="s">
        <v>46</v>
      </c>
      <c r="AK430" s="79">
        <v>0</v>
      </c>
      <c r="BB430" s="532" t="s">
        <v>66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717</v>
      </c>
      <c r="B431" s="60" t="s">
        <v>718</v>
      </c>
      <c r="C431" s="34">
        <v>4301011433</v>
      </c>
      <c r="D431" s="649">
        <v>4680115882638</v>
      </c>
      <c r="E431" s="649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133</v>
      </c>
      <c r="L431" s="35" t="s">
        <v>46</v>
      </c>
      <c r="M431" s="36" t="s">
        <v>125</v>
      </c>
      <c r="N431" s="36"/>
      <c r="O431" s="35">
        <v>90</v>
      </c>
      <c r="P431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1"/>
      <c r="R431" s="651"/>
      <c r="S431" s="651"/>
      <c r="T431" s="652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719</v>
      </c>
      <c r="AG431" s="75"/>
      <c r="AJ431" s="79" t="s">
        <v>46</v>
      </c>
      <c r="AK431" s="79">
        <v>0</v>
      </c>
      <c r="BB431" s="534" t="s">
        <v>66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720</v>
      </c>
      <c r="B432" s="60" t="s">
        <v>721</v>
      </c>
      <c r="C432" s="34">
        <v>4301011952</v>
      </c>
      <c r="D432" s="649">
        <v>4680115884922</v>
      </c>
      <c r="E432" s="649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133</v>
      </c>
      <c r="L432" s="35" t="s">
        <v>46</v>
      </c>
      <c r="M432" s="36" t="s">
        <v>80</v>
      </c>
      <c r="N432" s="36"/>
      <c r="O432" s="35">
        <v>60</v>
      </c>
      <c r="P432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1"/>
      <c r="R432" s="651"/>
      <c r="S432" s="651"/>
      <c r="T432" s="652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722</v>
      </c>
      <c r="AG432" s="75"/>
      <c r="AJ432" s="79" t="s">
        <v>46</v>
      </c>
      <c r="AK432" s="79">
        <v>0</v>
      </c>
      <c r="BB432" s="536" t="s">
        <v>66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hidden="1" customHeight="1" x14ac:dyDescent="0.25">
      <c r="A433" s="60" t="s">
        <v>723</v>
      </c>
      <c r="B433" s="60" t="s">
        <v>724</v>
      </c>
      <c r="C433" s="34">
        <v>4301011868</v>
      </c>
      <c r="D433" s="649">
        <v>4680115884861</v>
      </c>
      <c r="E433" s="649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133</v>
      </c>
      <c r="L433" s="35" t="s">
        <v>46</v>
      </c>
      <c r="M433" s="36" t="s">
        <v>80</v>
      </c>
      <c r="N433" s="36"/>
      <c r="O433" s="35">
        <v>60</v>
      </c>
      <c r="P433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1"/>
      <c r="R433" s="651"/>
      <c r="S433" s="651"/>
      <c r="T433" s="652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7" t="s">
        <v>725</v>
      </c>
      <c r="AG433" s="75"/>
      <c r="AJ433" s="79" t="s">
        <v>46</v>
      </c>
      <c r="AK433" s="79">
        <v>0</v>
      </c>
      <c r="BB433" s="538" t="s">
        <v>66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x14ac:dyDescent="0.2">
      <c r="A434" s="656"/>
      <c r="B434" s="656"/>
      <c r="C434" s="656"/>
      <c r="D434" s="656"/>
      <c r="E434" s="656"/>
      <c r="F434" s="656"/>
      <c r="G434" s="656"/>
      <c r="H434" s="656"/>
      <c r="I434" s="656"/>
      <c r="J434" s="656"/>
      <c r="K434" s="656"/>
      <c r="L434" s="656"/>
      <c r="M434" s="656"/>
      <c r="N434" s="656"/>
      <c r="O434" s="657"/>
      <c r="P434" s="653" t="s">
        <v>40</v>
      </c>
      <c r="Q434" s="654"/>
      <c r="R434" s="654"/>
      <c r="S434" s="654"/>
      <c r="T434" s="654"/>
      <c r="U434" s="654"/>
      <c r="V434" s="655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70</v>
      </c>
      <c r="Y434" s="41">
        <f>IFERROR(Y426/H426,"0")+IFERROR(Y427/H427,"0")+IFERROR(Y428/H428,"0")+IFERROR(Y429/H429,"0")+IFERROR(Y430/H430,"0")+IFERROR(Y431/H431,"0")+IFERROR(Y432/H432,"0")+IFERROR(Y433/H433,"0")</f>
        <v>70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1.5225</v>
      </c>
      <c r="AA434" s="64"/>
      <c r="AB434" s="64"/>
      <c r="AC434" s="64"/>
    </row>
    <row r="435" spans="1:68" x14ac:dyDescent="0.2">
      <c r="A435" s="656"/>
      <c r="B435" s="656"/>
      <c r="C435" s="656"/>
      <c r="D435" s="656"/>
      <c r="E435" s="656"/>
      <c r="F435" s="656"/>
      <c r="G435" s="656"/>
      <c r="H435" s="656"/>
      <c r="I435" s="656"/>
      <c r="J435" s="656"/>
      <c r="K435" s="656"/>
      <c r="L435" s="656"/>
      <c r="M435" s="656"/>
      <c r="N435" s="656"/>
      <c r="O435" s="657"/>
      <c r="P435" s="653" t="s">
        <v>40</v>
      </c>
      <c r="Q435" s="654"/>
      <c r="R435" s="654"/>
      <c r="S435" s="654"/>
      <c r="T435" s="654"/>
      <c r="U435" s="654"/>
      <c r="V435" s="655"/>
      <c r="W435" s="40" t="s">
        <v>0</v>
      </c>
      <c r="X435" s="41">
        <f>IFERROR(SUM(X426:X433),"0")</f>
        <v>1050</v>
      </c>
      <c r="Y435" s="41">
        <f>IFERROR(SUM(Y426:Y433),"0")</f>
        <v>1050</v>
      </c>
      <c r="Z435" s="40"/>
      <c r="AA435" s="64"/>
      <c r="AB435" s="64"/>
      <c r="AC435" s="64"/>
    </row>
    <row r="436" spans="1:68" ht="14.25" hidden="1" customHeight="1" x14ac:dyDescent="0.25">
      <c r="A436" s="648" t="s">
        <v>156</v>
      </c>
      <c r="B436" s="648"/>
      <c r="C436" s="648"/>
      <c r="D436" s="648"/>
      <c r="E436" s="648"/>
      <c r="F436" s="648"/>
      <c r="G436" s="648"/>
      <c r="H436" s="648"/>
      <c r="I436" s="648"/>
      <c r="J436" s="648"/>
      <c r="K436" s="648"/>
      <c r="L436" s="648"/>
      <c r="M436" s="648"/>
      <c r="N436" s="648"/>
      <c r="O436" s="648"/>
      <c r="P436" s="648"/>
      <c r="Q436" s="648"/>
      <c r="R436" s="648"/>
      <c r="S436" s="648"/>
      <c r="T436" s="648"/>
      <c r="U436" s="648"/>
      <c r="V436" s="648"/>
      <c r="W436" s="648"/>
      <c r="X436" s="648"/>
      <c r="Y436" s="648"/>
      <c r="Z436" s="648"/>
      <c r="AA436" s="63"/>
      <c r="AB436" s="63"/>
      <c r="AC436" s="63"/>
    </row>
    <row r="437" spans="1:68" ht="27" customHeight="1" x14ac:dyDescent="0.25">
      <c r="A437" s="60" t="s">
        <v>726</v>
      </c>
      <c r="B437" s="60" t="s">
        <v>727</v>
      </c>
      <c r="C437" s="34">
        <v>4301020178</v>
      </c>
      <c r="D437" s="649">
        <v>4607091383980</v>
      </c>
      <c r="E437" s="649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126</v>
      </c>
      <c r="L437" s="35" t="s">
        <v>46</v>
      </c>
      <c r="M437" s="36" t="s">
        <v>125</v>
      </c>
      <c r="N437" s="36"/>
      <c r="O437" s="35">
        <v>50</v>
      </c>
      <c r="P437" s="71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1"/>
      <c r="R437" s="651"/>
      <c r="S437" s="651"/>
      <c r="T437" s="652"/>
      <c r="U437" s="37" t="s">
        <v>46</v>
      </c>
      <c r="V437" s="37" t="s">
        <v>46</v>
      </c>
      <c r="W437" s="38" t="s">
        <v>0</v>
      </c>
      <c r="X437" s="56">
        <v>510</v>
      </c>
      <c r="Y437" s="53">
        <f>IFERROR(IF(X437="",0,CEILING((X437/$H437),1)*$H437),"")</f>
        <v>510</v>
      </c>
      <c r="Z437" s="39">
        <f>IFERROR(IF(Y437=0,"",ROUNDUP(Y437/H437,0)*0.02175),"")</f>
        <v>0.73949999999999994</v>
      </c>
      <c r="AA437" s="65" t="s">
        <v>46</v>
      </c>
      <c r="AB437" s="66" t="s">
        <v>46</v>
      </c>
      <c r="AC437" s="539" t="s">
        <v>728</v>
      </c>
      <c r="AG437" s="75"/>
      <c r="AJ437" s="79" t="s">
        <v>46</v>
      </c>
      <c r="AK437" s="79">
        <v>0</v>
      </c>
      <c r="BB437" s="540" t="s">
        <v>66</v>
      </c>
      <c r="BM437" s="75">
        <f>IFERROR(X437*I437/H437,"0")</f>
        <v>525.98</v>
      </c>
      <c r="BN437" s="75">
        <f>IFERROR(Y437*I437/H437,"0")</f>
        <v>525.98</v>
      </c>
      <c r="BO437" s="75">
        <f>IFERROR(1/J437*(X437/H437),"0")</f>
        <v>0.70833333333333326</v>
      </c>
      <c r="BP437" s="75">
        <f>IFERROR(1/J437*(Y437/H437),"0")</f>
        <v>0.70833333333333326</v>
      </c>
    </row>
    <row r="438" spans="1:68" ht="27" hidden="1" customHeight="1" x14ac:dyDescent="0.25">
      <c r="A438" s="60" t="s">
        <v>729</v>
      </c>
      <c r="B438" s="60" t="s">
        <v>730</v>
      </c>
      <c r="C438" s="34">
        <v>4301020355</v>
      </c>
      <c r="D438" s="649">
        <v>4680115888425</v>
      </c>
      <c r="E438" s="649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126</v>
      </c>
      <c r="L438" s="35" t="s">
        <v>46</v>
      </c>
      <c r="M438" s="36" t="s">
        <v>125</v>
      </c>
      <c r="N438" s="36"/>
      <c r="O438" s="35">
        <v>50</v>
      </c>
      <c r="P438" s="71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1"/>
      <c r="R438" s="651"/>
      <c r="S438" s="651"/>
      <c r="T438" s="652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731</v>
      </c>
      <c r="AG438" s="75"/>
      <c r="AJ438" s="79" t="s">
        <v>46</v>
      </c>
      <c r="AK438" s="79">
        <v>0</v>
      </c>
      <c r="BB438" s="542" t="s">
        <v>66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732</v>
      </c>
      <c r="B439" s="60" t="s">
        <v>733</v>
      </c>
      <c r="C439" s="34">
        <v>4301020179</v>
      </c>
      <c r="D439" s="649">
        <v>4607091384178</v>
      </c>
      <c r="E439" s="649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133</v>
      </c>
      <c r="L439" s="35" t="s">
        <v>46</v>
      </c>
      <c r="M439" s="36" t="s">
        <v>125</v>
      </c>
      <c r="N439" s="36"/>
      <c r="O439" s="35">
        <v>50</v>
      </c>
      <c r="P439" s="71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1"/>
      <c r="R439" s="651"/>
      <c r="S439" s="651"/>
      <c r="T439" s="652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734</v>
      </c>
      <c r="AG439" s="75"/>
      <c r="AJ439" s="79" t="s">
        <v>46</v>
      </c>
      <c r="AK439" s="79">
        <v>0</v>
      </c>
      <c r="BB439" s="544" t="s">
        <v>66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0" t="s">
        <v>39</v>
      </c>
      <c r="X440" s="41">
        <f>IFERROR(X437/H437,"0")+IFERROR(X438/H438,"0")+IFERROR(X439/H439,"0")</f>
        <v>34</v>
      </c>
      <c r="Y440" s="41">
        <f>IFERROR(Y437/H437,"0")+IFERROR(Y438/H438,"0")+IFERROR(Y439/H439,"0")</f>
        <v>34</v>
      </c>
      <c r="Z440" s="41">
        <f>IFERROR(IF(Z437="",0,Z437),"0")+IFERROR(IF(Z438="",0,Z438),"0")+IFERROR(IF(Z439="",0,Z439),"0")</f>
        <v>0.73949999999999994</v>
      </c>
      <c r="AA440" s="64"/>
      <c r="AB440" s="64"/>
      <c r="AC440" s="64"/>
    </row>
    <row r="441" spans="1:68" x14ac:dyDescent="0.2">
      <c r="A441" s="656"/>
      <c r="B441" s="656"/>
      <c r="C441" s="656"/>
      <c r="D441" s="656"/>
      <c r="E441" s="656"/>
      <c r="F441" s="656"/>
      <c r="G441" s="656"/>
      <c r="H441" s="656"/>
      <c r="I441" s="656"/>
      <c r="J441" s="656"/>
      <c r="K441" s="656"/>
      <c r="L441" s="656"/>
      <c r="M441" s="656"/>
      <c r="N441" s="656"/>
      <c r="O441" s="657"/>
      <c r="P441" s="653" t="s">
        <v>40</v>
      </c>
      <c r="Q441" s="654"/>
      <c r="R441" s="654"/>
      <c r="S441" s="654"/>
      <c r="T441" s="654"/>
      <c r="U441" s="654"/>
      <c r="V441" s="655"/>
      <c r="W441" s="40" t="s">
        <v>0</v>
      </c>
      <c r="X441" s="41">
        <f>IFERROR(SUM(X437:X439),"0")</f>
        <v>510</v>
      </c>
      <c r="Y441" s="41">
        <f>IFERROR(SUM(Y437:Y439),"0")</f>
        <v>510</v>
      </c>
      <c r="Z441" s="40"/>
      <c r="AA441" s="64"/>
      <c r="AB441" s="64"/>
      <c r="AC441" s="64"/>
    </row>
    <row r="442" spans="1:68" ht="14.25" hidden="1" customHeight="1" x14ac:dyDescent="0.25">
      <c r="A442" s="648" t="s">
        <v>85</v>
      </c>
      <c r="B442" s="648"/>
      <c r="C442" s="648"/>
      <c r="D442" s="648"/>
      <c r="E442" s="648"/>
      <c r="F442" s="648"/>
      <c r="G442" s="648"/>
      <c r="H442" s="648"/>
      <c r="I442" s="648"/>
      <c r="J442" s="648"/>
      <c r="K442" s="648"/>
      <c r="L442" s="648"/>
      <c r="M442" s="648"/>
      <c r="N442" s="648"/>
      <c r="O442" s="648"/>
      <c r="P442" s="648"/>
      <c r="Q442" s="648"/>
      <c r="R442" s="648"/>
      <c r="S442" s="648"/>
      <c r="T442" s="648"/>
      <c r="U442" s="648"/>
      <c r="V442" s="648"/>
      <c r="W442" s="648"/>
      <c r="X442" s="648"/>
      <c r="Y442" s="648"/>
      <c r="Z442" s="648"/>
      <c r="AA442" s="63"/>
      <c r="AB442" s="63"/>
      <c r="AC442" s="63"/>
    </row>
    <row r="443" spans="1:68" ht="27" hidden="1" customHeight="1" x14ac:dyDescent="0.25">
      <c r="A443" s="60" t="s">
        <v>735</v>
      </c>
      <c r="B443" s="60" t="s">
        <v>736</v>
      </c>
      <c r="C443" s="34">
        <v>4301051903</v>
      </c>
      <c r="D443" s="649">
        <v>4607091383928</v>
      </c>
      <c r="E443" s="649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126</v>
      </c>
      <c r="L443" s="35" t="s">
        <v>46</v>
      </c>
      <c r="M443" s="36" t="s">
        <v>89</v>
      </c>
      <c r="N443" s="36"/>
      <c r="O443" s="35">
        <v>40</v>
      </c>
      <c r="P443" s="70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1"/>
      <c r="R443" s="651"/>
      <c r="S443" s="651"/>
      <c r="T443" s="652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737</v>
      </c>
      <c r="AG443" s="75"/>
      <c r="AJ443" s="79" t="s">
        <v>46</v>
      </c>
      <c r="AK443" s="79">
        <v>0</v>
      </c>
      <c r="BB443" s="546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738</v>
      </c>
      <c r="B444" s="60" t="s">
        <v>739</v>
      </c>
      <c r="C444" s="34">
        <v>4301051897</v>
      </c>
      <c r="D444" s="649">
        <v>4607091384260</v>
      </c>
      <c r="E444" s="649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126</v>
      </c>
      <c r="L444" s="35" t="s">
        <v>46</v>
      </c>
      <c r="M444" s="36" t="s">
        <v>89</v>
      </c>
      <c r="N444" s="36"/>
      <c r="O444" s="35">
        <v>40</v>
      </c>
      <c r="P444" s="70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1"/>
      <c r="R444" s="651"/>
      <c r="S444" s="651"/>
      <c r="T444" s="652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7" t="s">
        <v>740</v>
      </c>
      <c r="AG444" s="75"/>
      <c r="AJ444" s="79" t="s">
        <v>46</v>
      </c>
      <c r="AK444" s="79">
        <v>0</v>
      </c>
      <c r="BB444" s="548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741</v>
      </c>
      <c r="B445" s="60" t="s">
        <v>742</v>
      </c>
      <c r="C445" s="34">
        <v>4301052220</v>
      </c>
      <c r="D445" s="649">
        <v>4680115889538</v>
      </c>
      <c r="E445" s="649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126</v>
      </c>
      <c r="L445" s="35" t="s">
        <v>46</v>
      </c>
      <c r="M445" s="36" t="s">
        <v>89</v>
      </c>
      <c r="N445" s="36"/>
      <c r="O445" s="35">
        <v>45</v>
      </c>
      <c r="P445" s="71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1"/>
      <c r="R445" s="651"/>
      <c r="S445" s="651"/>
      <c r="T445" s="652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743</v>
      </c>
      <c r="AG445" s="75"/>
      <c r="AJ445" s="79" t="s">
        <v>46</v>
      </c>
      <c r="AK445" s="79">
        <v>0</v>
      </c>
      <c r="BB445" s="55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656"/>
      <c r="B447" s="656"/>
      <c r="C447" s="656"/>
      <c r="D447" s="656"/>
      <c r="E447" s="656"/>
      <c r="F447" s="656"/>
      <c r="G447" s="656"/>
      <c r="H447" s="656"/>
      <c r="I447" s="656"/>
      <c r="J447" s="656"/>
      <c r="K447" s="656"/>
      <c r="L447" s="656"/>
      <c r="M447" s="656"/>
      <c r="N447" s="656"/>
      <c r="O447" s="657"/>
      <c r="P447" s="653" t="s">
        <v>40</v>
      </c>
      <c r="Q447" s="654"/>
      <c r="R447" s="654"/>
      <c r="S447" s="654"/>
      <c r="T447" s="654"/>
      <c r="U447" s="654"/>
      <c r="V447" s="655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648" t="s">
        <v>174</v>
      </c>
      <c r="B448" s="648"/>
      <c r="C448" s="648"/>
      <c r="D448" s="648"/>
      <c r="E448" s="648"/>
      <c r="F448" s="648"/>
      <c r="G448" s="648"/>
      <c r="H448" s="648"/>
      <c r="I448" s="648"/>
      <c r="J448" s="648"/>
      <c r="K448" s="648"/>
      <c r="L448" s="648"/>
      <c r="M448" s="648"/>
      <c r="N448" s="648"/>
      <c r="O448" s="648"/>
      <c r="P448" s="648"/>
      <c r="Q448" s="648"/>
      <c r="R448" s="648"/>
      <c r="S448" s="648"/>
      <c r="T448" s="648"/>
      <c r="U448" s="648"/>
      <c r="V448" s="648"/>
      <c r="W448" s="648"/>
      <c r="X448" s="648"/>
      <c r="Y448" s="648"/>
      <c r="Z448" s="648"/>
      <c r="AA448" s="63"/>
      <c r="AB448" s="63"/>
      <c r="AC448" s="63"/>
    </row>
    <row r="449" spans="1:68" ht="27" hidden="1" customHeight="1" x14ac:dyDescent="0.25">
      <c r="A449" s="60" t="s">
        <v>744</v>
      </c>
      <c r="B449" s="60" t="s">
        <v>745</v>
      </c>
      <c r="C449" s="34">
        <v>4301060537</v>
      </c>
      <c r="D449" s="649">
        <v>4680115889545</v>
      </c>
      <c r="E449" s="649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126</v>
      </c>
      <c r="L449" s="35" t="s">
        <v>46</v>
      </c>
      <c r="M449" s="36" t="s">
        <v>89</v>
      </c>
      <c r="N449" s="36"/>
      <c r="O449" s="35">
        <v>30</v>
      </c>
      <c r="P449" s="70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1"/>
      <c r="R449" s="651"/>
      <c r="S449" s="651"/>
      <c r="T449" s="652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746</v>
      </c>
      <c r="AG449" s="75"/>
      <c r="AJ449" s="79" t="s">
        <v>46</v>
      </c>
      <c r="AK449" s="79">
        <v>0</v>
      </c>
      <c r="BB449" s="552" t="s">
        <v>66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hidden="1" customHeight="1" x14ac:dyDescent="0.25">
      <c r="A450" s="60" t="s">
        <v>747</v>
      </c>
      <c r="B450" s="60" t="s">
        <v>748</v>
      </c>
      <c r="C450" s="34">
        <v>4301060524</v>
      </c>
      <c r="D450" s="649">
        <v>4607091384673</v>
      </c>
      <c r="E450" s="649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126</v>
      </c>
      <c r="L450" s="35" t="s">
        <v>46</v>
      </c>
      <c r="M450" s="36" t="s">
        <v>89</v>
      </c>
      <c r="N450" s="36"/>
      <c r="O450" s="35">
        <v>40</v>
      </c>
      <c r="P450" s="7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1"/>
      <c r="R450" s="651"/>
      <c r="S450" s="651"/>
      <c r="T450" s="652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749</v>
      </c>
      <c r="AG450" s="75"/>
      <c r="AJ450" s="79" t="s">
        <v>46</v>
      </c>
      <c r="AK450" s="79">
        <v>0</v>
      </c>
      <c r="BB450" s="55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6.5" hidden="1" customHeight="1" x14ac:dyDescent="0.25">
      <c r="A453" s="647" t="s">
        <v>750</v>
      </c>
      <c r="B453" s="647"/>
      <c r="C453" s="647"/>
      <c r="D453" s="647"/>
      <c r="E453" s="647"/>
      <c r="F453" s="647"/>
      <c r="G453" s="647"/>
      <c r="H453" s="647"/>
      <c r="I453" s="647"/>
      <c r="J453" s="647"/>
      <c r="K453" s="647"/>
      <c r="L453" s="647"/>
      <c r="M453" s="647"/>
      <c r="N453" s="647"/>
      <c r="O453" s="647"/>
      <c r="P453" s="647"/>
      <c r="Q453" s="647"/>
      <c r="R453" s="647"/>
      <c r="S453" s="647"/>
      <c r="T453" s="647"/>
      <c r="U453" s="647"/>
      <c r="V453" s="647"/>
      <c r="W453" s="647"/>
      <c r="X453" s="647"/>
      <c r="Y453" s="647"/>
      <c r="Z453" s="647"/>
      <c r="AA453" s="62"/>
      <c r="AB453" s="62"/>
      <c r="AC453" s="62"/>
    </row>
    <row r="454" spans="1:68" ht="14.25" hidden="1" customHeight="1" x14ac:dyDescent="0.25">
      <c r="A454" s="648" t="s">
        <v>121</v>
      </c>
      <c r="B454" s="648"/>
      <c r="C454" s="648"/>
      <c r="D454" s="648"/>
      <c r="E454" s="648"/>
      <c r="F454" s="648"/>
      <c r="G454" s="648"/>
      <c r="H454" s="648"/>
      <c r="I454" s="648"/>
      <c r="J454" s="648"/>
      <c r="K454" s="648"/>
      <c r="L454" s="648"/>
      <c r="M454" s="648"/>
      <c r="N454" s="648"/>
      <c r="O454" s="648"/>
      <c r="P454" s="648"/>
      <c r="Q454" s="648"/>
      <c r="R454" s="648"/>
      <c r="S454" s="648"/>
      <c r="T454" s="648"/>
      <c r="U454" s="648"/>
      <c r="V454" s="648"/>
      <c r="W454" s="648"/>
      <c r="X454" s="648"/>
      <c r="Y454" s="648"/>
      <c r="Z454" s="648"/>
      <c r="AA454" s="63"/>
      <c r="AB454" s="63"/>
      <c r="AC454" s="63"/>
    </row>
    <row r="455" spans="1:68" ht="27" hidden="1" customHeight="1" x14ac:dyDescent="0.25">
      <c r="A455" s="60" t="s">
        <v>751</v>
      </c>
      <c r="B455" s="60" t="s">
        <v>752</v>
      </c>
      <c r="C455" s="34">
        <v>4301011875</v>
      </c>
      <c r="D455" s="649">
        <v>4680115884885</v>
      </c>
      <c r="E455" s="649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126</v>
      </c>
      <c r="L455" s="35" t="s">
        <v>46</v>
      </c>
      <c r="M455" s="36" t="s">
        <v>80</v>
      </c>
      <c r="N455" s="36"/>
      <c r="O455" s="35">
        <v>60</v>
      </c>
      <c r="P455" s="70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1"/>
      <c r="R455" s="651"/>
      <c r="S455" s="651"/>
      <c r="T455" s="652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5" t="s">
        <v>753</v>
      </c>
      <c r="AG455" s="75"/>
      <c r="AJ455" s="79" t="s">
        <v>46</v>
      </c>
      <c r="AK455" s="79">
        <v>0</v>
      </c>
      <c r="BB455" s="556" t="s">
        <v>66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754</v>
      </c>
      <c r="B456" s="60" t="s">
        <v>755</v>
      </c>
      <c r="C456" s="34">
        <v>4301011871</v>
      </c>
      <c r="D456" s="649">
        <v>4680115884908</v>
      </c>
      <c r="E456" s="649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133</v>
      </c>
      <c r="L456" s="35" t="s">
        <v>46</v>
      </c>
      <c r="M456" s="36" t="s">
        <v>80</v>
      </c>
      <c r="N456" s="36"/>
      <c r="O456" s="35">
        <v>60</v>
      </c>
      <c r="P456" s="70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1"/>
      <c r="R456" s="651"/>
      <c r="S456" s="651"/>
      <c r="T456" s="652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753</v>
      </c>
      <c r="AG456" s="75"/>
      <c r="AJ456" s="79" t="s">
        <v>46</v>
      </c>
      <c r="AK456" s="79">
        <v>0</v>
      </c>
      <c r="BB456" s="558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656"/>
      <c r="B458" s="656"/>
      <c r="C458" s="656"/>
      <c r="D458" s="656"/>
      <c r="E458" s="656"/>
      <c r="F458" s="656"/>
      <c r="G458" s="656"/>
      <c r="H458" s="656"/>
      <c r="I458" s="656"/>
      <c r="J458" s="656"/>
      <c r="K458" s="656"/>
      <c r="L458" s="656"/>
      <c r="M458" s="656"/>
      <c r="N458" s="656"/>
      <c r="O458" s="657"/>
      <c r="P458" s="653" t="s">
        <v>40</v>
      </c>
      <c r="Q458" s="654"/>
      <c r="R458" s="654"/>
      <c r="S458" s="654"/>
      <c r="T458" s="654"/>
      <c r="U458" s="654"/>
      <c r="V458" s="655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648" t="s">
        <v>76</v>
      </c>
      <c r="B459" s="648"/>
      <c r="C459" s="648"/>
      <c r="D459" s="648"/>
      <c r="E459" s="648"/>
      <c r="F459" s="648"/>
      <c r="G459" s="648"/>
      <c r="H459" s="648"/>
      <c r="I459" s="648"/>
      <c r="J459" s="648"/>
      <c r="K459" s="648"/>
      <c r="L459" s="648"/>
      <c r="M459" s="648"/>
      <c r="N459" s="648"/>
      <c r="O459" s="648"/>
      <c r="P459" s="648"/>
      <c r="Q459" s="648"/>
      <c r="R459" s="648"/>
      <c r="S459" s="648"/>
      <c r="T459" s="648"/>
      <c r="U459" s="648"/>
      <c r="V459" s="648"/>
      <c r="W459" s="648"/>
      <c r="X459" s="648"/>
      <c r="Y459" s="648"/>
      <c r="Z459" s="648"/>
      <c r="AA459" s="63"/>
      <c r="AB459" s="63"/>
      <c r="AC459" s="63"/>
    </row>
    <row r="460" spans="1:68" ht="27" hidden="1" customHeight="1" x14ac:dyDescent="0.25">
      <c r="A460" s="60" t="s">
        <v>756</v>
      </c>
      <c r="B460" s="60" t="s">
        <v>757</v>
      </c>
      <c r="C460" s="34">
        <v>4301031457</v>
      </c>
      <c r="D460" s="649">
        <v>4607091384802</v>
      </c>
      <c r="E460" s="649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133</v>
      </c>
      <c r="L460" s="35" t="s">
        <v>46</v>
      </c>
      <c r="M460" s="36" t="s">
        <v>80</v>
      </c>
      <c r="N460" s="36"/>
      <c r="O460" s="35">
        <v>50</v>
      </c>
      <c r="P460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1"/>
      <c r="R460" s="651"/>
      <c r="S460" s="651"/>
      <c r="T460" s="652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758</v>
      </c>
      <c r="AG460" s="75"/>
      <c r="AJ460" s="79" t="s">
        <v>46</v>
      </c>
      <c r="AK460" s="79">
        <v>0</v>
      </c>
      <c r="BB460" s="56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53" t="s">
        <v>40</v>
      </c>
      <c r="Q461" s="654"/>
      <c r="R461" s="654"/>
      <c r="S461" s="654"/>
      <c r="T461" s="654"/>
      <c r="U461" s="654"/>
      <c r="V461" s="655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648" t="s">
        <v>85</v>
      </c>
      <c r="B463" s="648"/>
      <c r="C463" s="648"/>
      <c r="D463" s="648"/>
      <c r="E463" s="648"/>
      <c r="F463" s="648"/>
      <c r="G463" s="648"/>
      <c r="H463" s="648"/>
      <c r="I463" s="648"/>
      <c r="J463" s="648"/>
      <c r="K463" s="648"/>
      <c r="L463" s="648"/>
      <c r="M463" s="648"/>
      <c r="N463" s="648"/>
      <c r="O463" s="648"/>
      <c r="P463" s="648"/>
      <c r="Q463" s="648"/>
      <c r="R463" s="648"/>
      <c r="S463" s="648"/>
      <c r="T463" s="648"/>
      <c r="U463" s="648"/>
      <c r="V463" s="648"/>
      <c r="W463" s="648"/>
      <c r="X463" s="648"/>
      <c r="Y463" s="648"/>
      <c r="Z463" s="648"/>
      <c r="AA463" s="63"/>
      <c r="AB463" s="63"/>
      <c r="AC463" s="63"/>
    </row>
    <row r="464" spans="1:68" ht="27" hidden="1" customHeight="1" x14ac:dyDescent="0.25">
      <c r="A464" s="60" t="s">
        <v>759</v>
      </c>
      <c r="B464" s="60" t="s">
        <v>760</v>
      </c>
      <c r="C464" s="34">
        <v>4301051899</v>
      </c>
      <c r="D464" s="649">
        <v>4607091384246</v>
      </c>
      <c r="E464" s="649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126</v>
      </c>
      <c r="L464" s="35" t="s">
        <v>46</v>
      </c>
      <c r="M464" s="36" t="s">
        <v>89</v>
      </c>
      <c r="N464" s="36"/>
      <c r="O464" s="35">
        <v>40</v>
      </c>
      <c r="P464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1"/>
      <c r="R464" s="651"/>
      <c r="S464" s="651"/>
      <c r="T464" s="652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 t="s">
        <v>46</v>
      </c>
      <c r="AB464" s="66" t="s">
        <v>46</v>
      </c>
      <c r="AC464" s="561" t="s">
        <v>761</v>
      </c>
      <c r="AG464" s="75"/>
      <c r="AJ464" s="79" t="s">
        <v>46</v>
      </c>
      <c r="AK464" s="79">
        <v>0</v>
      </c>
      <c r="BB464" s="562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762</v>
      </c>
      <c r="B465" s="60" t="s">
        <v>763</v>
      </c>
      <c r="C465" s="34">
        <v>4301051660</v>
      </c>
      <c r="D465" s="649">
        <v>4607091384253</v>
      </c>
      <c r="E465" s="649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90</v>
      </c>
      <c r="L465" s="35" t="s">
        <v>46</v>
      </c>
      <c r="M465" s="36" t="s">
        <v>89</v>
      </c>
      <c r="N465" s="36"/>
      <c r="O465" s="35">
        <v>40</v>
      </c>
      <c r="P465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1"/>
      <c r="R465" s="651"/>
      <c r="S465" s="651"/>
      <c r="T465" s="652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46</v>
      </c>
      <c r="AB465" s="66" t="s">
        <v>46</v>
      </c>
      <c r="AC465" s="563" t="s">
        <v>761</v>
      </c>
      <c r="AG465" s="75"/>
      <c r="AJ465" s="79" t="s">
        <v>46</v>
      </c>
      <c r="AK465" s="79">
        <v>0</v>
      </c>
      <c r="BB465" s="564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762</v>
      </c>
      <c r="B466" s="60" t="s">
        <v>764</v>
      </c>
      <c r="C466" s="34">
        <v>4301052069</v>
      </c>
      <c r="D466" s="649">
        <v>4607091384253</v>
      </c>
      <c r="E466" s="649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90</v>
      </c>
      <c r="L466" s="35" t="s">
        <v>46</v>
      </c>
      <c r="M466" s="36" t="s">
        <v>89</v>
      </c>
      <c r="N466" s="36"/>
      <c r="O466" s="35">
        <v>40</v>
      </c>
      <c r="P466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1"/>
      <c r="R466" s="651"/>
      <c r="S466" s="651"/>
      <c r="T466" s="652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765</v>
      </c>
      <c r="AG466" s="75"/>
      <c r="AJ466" s="79" t="s">
        <v>46</v>
      </c>
      <c r="AK466" s="79">
        <v>0</v>
      </c>
      <c r="BB466" s="566" t="s">
        <v>66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0" t="s">
        <v>39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0" t="s">
        <v>0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hidden="1" customHeight="1" x14ac:dyDescent="0.2">
      <c r="A469" s="668" t="s">
        <v>766</v>
      </c>
      <c r="B469" s="668"/>
      <c r="C469" s="668"/>
      <c r="D469" s="668"/>
      <c r="E469" s="668"/>
      <c r="F469" s="668"/>
      <c r="G469" s="668"/>
      <c r="H469" s="668"/>
      <c r="I469" s="668"/>
      <c r="J469" s="668"/>
      <c r="K469" s="668"/>
      <c r="L469" s="668"/>
      <c r="M469" s="668"/>
      <c r="N469" s="668"/>
      <c r="O469" s="668"/>
      <c r="P469" s="668"/>
      <c r="Q469" s="668"/>
      <c r="R469" s="668"/>
      <c r="S469" s="668"/>
      <c r="T469" s="668"/>
      <c r="U469" s="668"/>
      <c r="V469" s="668"/>
      <c r="W469" s="668"/>
      <c r="X469" s="668"/>
      <c r="Y469" s="668"/>
      <c r="Z469" s="668"/>
      <c r="AA469" s="52"/>
      <c r="AB469" s="52"/>
      <c r="AC469" s="52"/>
    </row>
    <row r="470" spans="1:68" ht="16.5" hidden="1" customHeight="1" x14ac:dyDescent="0.25">
      <c r="A470" s="647" t="s">
        <v>767</v>
      </c>
      <c r="B470" s="647"/>
      <c r="C470" s="647"/>
      <c r="D470" s="647"/>
      <c r="E470" s="647"/>
      <c r="F470" s="647"/>
      <c r="G470" s="647"/>
      <c r="H470" s="647"/>
      <c r="I470" s="647"/>
      <c r="J470" s="647"/>
      <c r="K470" s="647"/>
      <c r="L470" s="647"/>
      <c r="M470" s="647"/>
      <c r="N470" s="647"/>
      <c r="O470" s="647"/>
      <c r="P470" s="647"/>
      <c r="Q470" s="647"/>
      <c r="R470" s="647"/>
      <c r="S470" s="647"/>
      <c r="T470" s="647"/>
      <c r="U470" s="647"/>
      <c r="V470" s="647"/>
      <c r="W470" s="647"/>
      <c r="X470" s="647"/>
      <c r="Y470" s="647"/>
      <c r="Z470" s="647"/>
      <c r="AA470" s="62"/>
      <c r="AB470" s="62"/>
      <c r="AC470" s="62"/>
    </row>
    <row r="471" spans="1:68" ht="14.25" hidden="1" customHeight="1" x14ac:dyDescent="0.25">
      <c r="A471" s="648" t="s">
        <v>76</v>
      </c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8"/>
      <c r="P471" s="648"/>
      <c r="Q471" s="648"/>
      <c r="R471" s="648"/>
      <c r="S471" s="648"/>
      <c r="T471" s="648"/>
      <c r="U471" s="648"/>
      <c r="V471" s="648"/>
      <c r="W471" s="648"/>
      <c r="X471" s="648"/>
      <c r="Y471" s="648"/>
      <c r="Z471" s="648"/>
      <c r="AA471" s="63"/>
      <c r="AB471" s="63"/>
      <c r="AC471" s="63"/>
    </row>
    <row r="472" spans="1:68" ht="27" hidden="1" customHeight="1" x14ac:dyDescent="0.25">
      <c r="A472" s="60" t="s">
        <v>768</v>
      </c>
      <c r="B472" s="60" t="s">
        <v>769</v>
      </c>
      <c r="C472" s="34">
        <v>4301031405</v>
      </c>
      <c r="D472" s="649">
        <v>4680115886100</v>
      </c>
      <c r="E472" s="649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133</v>
      </c>
      <c r="L472" s="35" t="s">
        <v>46</v>
      </c>
      <c r="M472" s="36" t="s">
        <v>80</v>
      </c>
      <c r="N472" s="36"/>
      <c r="O472" s="35">
        <v>50</v>
      </c>
      <c r="P472" s="69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1"/>
      <c r="R472" s="651"/>
      <c r="S472" s="651"/>
      <c r="T472" s="652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770</v>
      </c>
      <c r="AG472" s="75"/>
      <c r="AJ472" s="79" t="s">
        <v>46</v>
      </c>
      <c r="AK472" s="79">
        <v>0</v>
      </c>
      <c r="BB472" s="568" t="s">
        <v>66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771</v>
      </c>
      <c r="B473" s="60" t="s">
        <v>772</v>
      </c>
      <c r="C473" s="34">
        <v>4301031402</v>
      </c>
      <c r="D473" s="649">
        <v>4680115886124</v>
      </c>
      <c r="E473" s="649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133</v>
      </c>
      <c r="L473" s="35" t="s">
        <v>46</v>
      </c>
      <c r="M473" s="36" t="s">
        <v>80</v>
      </c>
      <c r="N473" s="36"/>
      <c r="O473" s="35">
        <v>50</v>
      </c>
      <c r="P473" s="69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1"/>
      <c r="R473" s="651"/>
      <c r="S473" s="651"/>
      <c r="T473" s="652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773</v>
      </c>
      <c r="AG473" s="75"/>
      <c r="AJ473" s="79" t="s">
        <v>46</v>
      </c>
      <c r="AK473" s="79">
        <v>0</v>
      </c>
      <c r="BB473" s="570" t="s">
        <v>66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774</v>
      </c>
      <c r="B474" s="60" t="s">
        <v>775</v>
      </c>
      <c r="C474" s="34">
        <v>4301031362</v>
      </c>
      <c r="D474" s="649">
        <v>4607091384338</v>
      </c>
      <c r="E474" s="649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69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1"/>
      <c r="R474" s="651"/>
      <c r="S474" s="651"/>
      <c r="T474" s="652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770</v>
      </c>
      <c r="AG474" s="75"/>
      <c r="AJ474" s="79" t="s">
        <v>46</v>
      </c>
      <c r="AK474" s="79">
        <v>0</v>
      </c>
      <c r="BB474" s="572" t="s">
        <v>66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776</v>
      </c>
      <c r="B475" s="60" t="s">
        <v>777</v>
      </c>
      <c r="C475" s="34">
        <v>4301031364</v>
      </c>
      <c r="D475" s="649">
        <v>4680115883161</v>
      </c>
      <c r="E475" s="649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81</v>
      </c>
      <c r="L475" s="35" t="s">
        <v>46</v>
      </c>
      <c r="M475" s="36" t="s">
        <v>80</v>
      </c>
      <c r="N475" s="36"/>
      <c r="O475" s="35">
        <v>50</v>
      </c>
      <c r="P475" s="69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1"/>
      <c r="R475" s="651"/>
      <c r="S475" s="651"/>
      <c r="T475" s="652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778</v>
      </c>
      <c r="AG475" s="75"/>
      <c r="AJ475" s="79" t="s">
        <v>46</v>
      </c>
      <c r="AK475" s="79">
        <v>0</v>
      </c>
      <c r="BB475" s="574" t="s">
        <v>66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779</v>
      </c>
      <c r="B476" s="60" t="s">
        <v>780</v>
      </c>
      <c r="C476" s="34">
        <v>4301031358</v>
      </c>
      <c r="D476" s="649">
        <v>4607091389531</v>
      </c>
      <c r="E476" s="649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81</v>
      </c>
      <c r="L476" s="35" t="s">
        <v>46</v>
      </c>
      <c r="M476" s="36" t="s">
        <v>80</v>
      </c>
      <c r="N476" s="36"/>
      <c r="O476" s="35">
        <v>50</v>
      </c>
      <c r="P476" s="69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1"/>
      <c r="R476" s="651"/>
      <c r="S476" s="651"/>
      <c r="T476" s="652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781</v>
      </c>
      <c r="AG476" s="75"/>
      <c r="AJ476" s="79" t="s">
        <v>46</v>
      </c>
      <c r="AK476" s="79">
        <v>0</v>
      </c>
      <c r="BB476" s="576" t="s">
        <v>66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782</v>
      </c>
      <c r="B477" s="60" t="s">
        <v>783</v>
      </c>
      <c r="C477" s="34">
        <v>4301031360</v>
      </c>
      <c r="D477" s="649">
        <v>4607091384345</v>
      </c>
      <c r="E477" s="649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81</v>
      </c>
      <c r="L477" s="35" t="s">
        <v>46</v>
      </c>
      <c r="M477" s="36" t="s">
        <v>80</v>
      </c>
      <c r="N477" s="36"/>
      <c r="O477" s="35">
        <v>50</v>
      </c>
      <c r="P477" s="6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1"/>
      <c r="R477" s="651"/>
      <c r="S477" s="651"/>
      <c r="T477" s="652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778</v>
      </c>
      <c r="AG477" s="75"/>
      <c r="AJ477" s="79" t="s">
        <v>46</v>
      </c>
      <c r="AK477" s="79">
        <v>0</v>
      </c>
      <c r="BB477" s="578" t="s">
        <v>66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">
      <c r="A478" s="656"/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7"/>
      <c r="P478" s="653" t="s">
        <v>40</v>
      </c>
      <c r="Q478" s="654"/>
      <c r="R478" s="654"/>
      <c r="S478" s="654"/>
      <c r="T478" s="654"/>
      <c r="U478" s="654"/>
      <c r="V478" s="655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656"/>
      <c r="B479" s="656"/>
      <c r="C479" s="656"/>
      <c r="D479" s="656"/>
      <c r="E479" s="656"/>
      <c r="F479" s="656"/>
      <c r="G479" s="656"/>
      <c r="H479" s="656"/>
      <c r="I479" s="656"/>
      <c r="J479" s="656"/>
      <c r="K479" s="656"/>
      <c r="L479" s="656"/>
      <c r="M479" s="656"/>
      <c r="N479" s="656"/>
      <c r="O479" s="657"/>
      <c r="P479" s="653" t="s">
        <v>40</v>
      </c>
      <c r="Q479" s="654"/>
      <c r="R479" s="654"/>
      <c r="S479" s="654"/>
      <c r="T479" s="654"/>
      <c r="U479" s="654"/>
      <c r="V479" s="655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648" t="s">
        <v>85</v>
      </c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8"/>
      <c r="P480" s="648"/>
      <c r="Q480" s="648"/>
      <c r="R480" s="648"/>
      <c r="S480" s="648"/>
      <c r="T480" s="648"/>
      <c r="U480" s="648"/>
      <c r="V480" s="648"/>
      <c r="W480" s="648"/>
      <c r="X480" s="648"/>
      <c r="Y480" s="648"/>
      <c r="Z480" s="648"/>
      <c r="AA480" s="63"/>
      <c r="AB480" s="63"/>
      <c r="AC480" s="63"/>
    </row>
    <row r="481" spans="1:68" ht="27" hidden="1" customHeight="1" x14ac:dyDescent="0.25">
      <c r="A481" s="60" t="s">
        <v>784</v>
      </c>
      <c r="B481" s="60" t="s">
        <v>785</v>
      </c>
      <c r="C481" s="34">
        <v>4301051284</v>
      </c>
      <c r="D481" s="649">
        <v>4607091384352</v>
      </c>
      <c r="E481" s="649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133</v>
      </c>
      <c r="L481" s="35" t="s">
        <v>46</v>
      </c>
      <c r="M481" s="36" t="s">
        <v>89</v>
      </c>
      <c r="N481" s="36"/>
      <c r="O481" s="35">
        <v>45</v>
      </c>
      <c r="P481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1"/>
      <c r="R481" s="651"/>
      <c r="S481" s="651"/>
      <c r="T481" s="652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786</v>
      </c>
      <c r="AG481" s="75"/>
      <c r="AJ481" s="79" t="s">
        <v>46</v>
      </c>
      <c r="AK481" s="79">
        <v>0</v>
      </c>
      <c r="BB481" s="580" t="s">
        <v>66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787</v>
      </c>
      <c r="B482" s="60" t="s">
        <v>788</v>
      </c>
      <c r="C482" s="34">
        <v>4301051431</v>
      </c>
      <c r="D482" s="649">
        <v>4607091389654</v>
      </c>
      <c r="E482" s="649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90</v>
      </c>
      <c r="L482" s="35" t="s">
        <v>46</v>
      </c>
      <c r="M482" s="36" t="s">
        <v>89</v>
      </c>
      <c r="N482" s="36"/>
      <c r="O482" s="35">
        <v>45</v>
      </c>
      <c r="P482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1"/>
      <c r="R482" s="651"/>
      <c r="S482" s="651"/>
      <c r="T482" s="652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789</v>
      </c>
      <c r="AG482" s="75"/>
      <c r="AJ482" s="79" t="s">
        <v>46</v>
      </c>
      <c r="AK482" s="79">
        <v>0</v>
      </c>
      <c r="BB482" s="582" t="s">
        <v>66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656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3" t="s">
        <v>40</v>
      </c>
      <c r="Q483" s="654"/>
      <c r="R483" s="654"/>
      <c r="S483" s="654"/>
      <c r="T483" s="654"/>
      <c r="U483" s="654"/>
      <c r="V483" s="655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647" t="s">
        <v>790</v>
      </c>
      <c r="B485" s="647"/>
      <c r="C485" s="647"/>
      <c r="D485" s="647"/>
      <c r="E485" s="647"/>
      <c r="F485" s="647"/>
      <c r="G485" s="647"/>
      <c r="H485" s="647"/>
      <c r="I485" s="647"/>
      <c r="J485" s="647"/>
      <c r="K485" s="647"/>
      <c r="L485" s="647"/>
      <c r="M485" s="647"/>
      <c r="N485" s="647"/>
      <c r="O485" s="647"/>
      <c r="P485" s="647"/>
      <c r="Q485" s="647"/>
      <c r="R485" s="647"/>
      <c r="S485" s="647"/>
      <c r="T485" s="647"/>
      <c r="U485" s="647"/>
      <c r="V485" s="647"/>
      <c r="W485" s="647"/>
      <c r="X485" s="647"/>
      <c r="Y485" s="647"/>
      <c r="Z485" s="647"/>
      <c r="AA485" s="62"/>
      <c r="AB485" s="62"/>
      <c r="AC485" s="62"/>
    </row>
    <row r="486" spans="1:68" ht="14.25" hidden="1" customHeight="1" x14ac:dyDescent="0.25">
      <c r="A486" s="648" t="s">
        <v>156</v>
      </c>
      <c r="B486" s="648"/>
      <c r="C486" s="648"/>
      <c r="D486" s="648"/>
      <c r="E486" s="648"/>
      <c r="F486" s="648"/>
      <c r="G486" s="648"/>
      <c r="H486" s="648"/>
      <c r="I486" s="648"/>
      <c r="J486" s="648"/>
      <c r="K486" s="648"/>
      <c r="L486" s="648"/>
      <c r="M486" s="648"/>
      <c r="N486" s="648"/>
      <c r="O486" s="648"/>
      <c r="P486" s="648"/>
      <c r="Q486" s="648"/>
      <c r="R486" s="648"/>
      <c r="S486" s="648"/>
      <c r="T486" s="648"/>
      <c r="U486" s="648"/>
      <c r="V486" s="648"/>
      <c r="W486" s="648"/>
      <c r="X486" s="648"/>
      <c r="Y486" s="648"/>
      <c r="Z486" s="648"/>
      <c r="AA486" s="63"/>
      <c r="AB486" s="63"/>
      <c r="AC486" s="63"/>
    </row>
    <row r="487" spans="1:68" ht="27" hidden="1" customHeight="1" x14ac:dyDescent="0.25">
      <c r="A487" s="60" t="s">
        <v>791</v>
      </c>
      <c r="B487" s="60" t="s">
        <v>792</v>
      </c>
      <c r="C487" s="34">
        <v>4301020416</v>
      </c>
      <c r="D487" s="649">
        <v>4680115885240</v>
      </c>
      <c r="E487" s="649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90</v>
      </c>
      <c r="L487" s="35" t="s">
        <v>46</v>
      </c>
      <c r="M487" s="36" t="s">
        <v>80</v>
      </c>
      <c r="N487" s="36"/>
      <c r="O487" s="35">
        <v>40</v>
      </c>
      <c r="P487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1"/>
      <c r="R487" s="651"/>
      <c r="S487" s="651"/>
      <c r="T487" s="652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793</v>
      </c>
      <c r="AG487" s="75"/>
      <c r="AJ487" s="79" t="s">
        <v>46</v>
      </c>
      <c r="AK487" s="79">
        <v>0</v>
      </c>
      <c r="BB487" s="584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648" t="s">
        <v>76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3"/>
      <c r="AB490" s="63"/>
      <c r="AC490" s="63"/>
    </row>
    <row r="491" spans="1:68" ht="27" hidden="1" customHeight="1" x14ac:dyDescent="0.25">
      <c r="A491" s="60" t="s">
        <v>794</v>
      </c>
      <c r="B491" s="60" t="s">
        <v>795</v>
      </c>
      <c r="C491" s="34">
        <v>4301031407</v>
      </c>
      <c r="D491" s="649">
        <v>4680115886094</v>
      </c>
      <c r="E491" s="649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133</v>
      </c>
      <c r="L491" s="35" t="s">
        <v>46</v>
      </c>
      <c r="M491" s="36" t="s">
        <v>80</v>
      </c>
      <c r="N491" s="36"/>
      <c r="O491" s="35">
        <v>50</v>
      </c>
      <c r="P491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1"/>
      <c r="R491" s="651"/>
      <c r="S491" s="651"/>
      <c r="T491" s="652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796</v>
      </c>
      <c r="AG491" s="75"/>
      <c r="AJ491" s="79" t="s">
        <v>46</v>
      </c>
      <c r="AK491" s="79">
        <v>0</v>
      </c>
      <c r="BB491" s="586" t="s">
        <v>66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797</v>
      </c>
      <c r="B492" s="60" t="s">
        <v>798</v>
      </c>
      <c r="C492" s="34">
        <v>4301031373</v>
      </c>
      <c r="D492" s="649">
        <v>4680115880771</v>
      </c>
      <c r="E492" s="649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81</v>
      </c>
      <c r="L492" s="35" t="s">
        <v>46</v>
      </c>
      <c r="M492" s="36" t="s">
        <v>80</v>
      </c>
      <c r="N492" s="36"/>
      <c r="O492" s="35">
        <v>50</v>
      </c>
      <c r="P492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1"/>
      <c r="R492" s="651"/>
      <c r="S492" s="651"/>
      <c r="T492" s="652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799</v>
      </c>
      <c r="AG492" s="75"/>
      <c r="AJ492" s="79" t="s">
        <v>46</v>
      </c>
      <c r="AK492" s="79">
        <v>0</v>
      </c>
      <c r="BB492" s="588" t="s">
        <v>66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800</v>
      </c>
      <c r="B493" s="60" t="s">
        <v>801</v>
      </c>
      <c r="C493" s="34">
        <v>4301031359</v>
      </c>
      <c r="D493" s="649">
        <v>4607091389500</v>
      </c>
      <c r="E493" s="649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81</v>
      </c>
      <c r="L493" s="35" t="s">
        <v>46</v>
      </c>
      <c r="M493" s="36" t="s">
        <v>80</v>
      </c>
      <c r="N493" s="36"/>
      <c r="O493" s="35">
        <v>50</v>
      </c>
      <c r="P493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1"/>
      <c r="R493" s="651"/>
      <c r="S493" s="651"/>
      <c r="T493" s="652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799</v>
      </c>
      <c r="AG493" s="75"/>
      <c r="AJ493" s="79" t="s">
        <v>46</v>
      </c>
      <c r="AK493" s="79">
        <v>0</v>
      </c>
      <c r="BB493" s="590" t="s">
        <v>66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656"/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7"/>
      <c r="P495" s="653" t="s">
        <v>40</v>
      </c>
      <c r="Q495" s="654"/>
      <c r="R495" s="654"/>
      <c r="S495" s="654"/>
      <c r="T495" s="654"/>
      <c r="U495" s="654"/>
      <c r="V495" s="655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668" t="s">
        <v>802</v>
      </c>
      <c r="B496" s="668"/>
      <c r="C496" s="668"/>
      <c r="D496" s="668"/>
      <c r="E496" s="668"/>
      <c r="F496" s="668"/>
      <c r="G496" s="668"/>
      <c r="H496" s="668"/>
      <c r="I496" s="668"/>
      <c r="J496" s="668"/>
      <c r="K496" s="668"/>
      <c r="L496" s="668"/>
      <c r="M496" s="668"/>
      <c r="N496" s="668"/>
      <c r="O496" s="668"/>
      <c r="P496" s="668"/>
      <c r="Q496" s="668"/>
      <c r="R496" s="668"/>
      <c r="S496" s="668"/>
      <c r="T496" s="668"/>
      <c r="U496" s="668"/>
      <c r="V496" s="668"/>
      <c r="W496" s="668"/>
      <c r="X496" s="668"/>
      <c r="Y496" s="668"/>
      <c r="Z496" s="668"/>
      <c r="AA496" s="52"/>
      <c r="AB496" s="52"/>
      <c r="AC496" s="52"/>
    </row>
    <row r="497" spans="1:68" ht="16.5" hidden="1" customHeight="1" x14ac:dyDescent="0.25">
      <c r="A497" s="647" t="s">
        <v>802</v>
      </c>
      <c r="B497" s="647"/>
      <c r="C497" s="647"/>
      <c r="D497" s="647"/>
      <c r="E497" s="647"/>
      <c r="F497" s="647"/>
      <c r="G497" s="647"/>
      <c r="H497" s="647"/>
      <c r="I497" s="647"/>
      <c r="J497" s="647"/>
      <c r="K497" s="647"/>
      <c r="L497" s="647"/>
      <c r="M497" s="647"/>
      <c r="N497" s="647"/>
      <c r="O497" s="647"/>
      <c r="P497" s="647"/>
      <c r="Q497" s="647"/>
      <c r="R497" s="647"/>
      <c r="S497" s="647"/>
      <c r="T497" s="647"/>
      <c r="U497" s="647"/>
      <c r="V497" s="647"/>
      <c r="W497" s="647"/>
      <c r="X497" s="647"/>
      <c r="Y497" s="647"/>
      <c r="Z497" s="647"/>
      <c r="AA497" s="62"/>
      <c r="AB497" s="62"/>
      <c r="AC497" s="62"/>
    </row>
    <row r="498" spans="1:68" ht="14.25" hidden="1" customHeight="1" x14ac:dyDescent="0.25">
      <c r="A498" s="648" t="s">
        <v>121</v>
      </c>
      <c r="B498" s="648"/>
      <c r="C498" s="648"/>
      <c r="D498" s="648"/>
      <c r="E498" s="648"/>
      <c r="F498" s="648"/>
      <c r="G498" s="648"/>
      <c r="H498" s="648"/>
      <c r="I498" s="648"/>
      <c r="J498" s="648"/>
      <c r="K498" s="648"/>
      <c r="L498" s="648"/>
      <c r="M498" s="648"/>
      <c r="N498" s="648"/>
      <c r="O498" s="648"/>
      <c r="P498" s="648"/>
      <c r="Q498" s="648"/>
      <c r="R498" s="648"/>
      <c r="S498" s="648"/>
      <c r="T498" s="648"/>
      <c r="U498" s="648"/>
      <c r="V498" s="648"/>
      <c r="W498" s="648"/>
      <c r="X498" s="648"/>
      <c r="Y498" s="648"/>
      <c r="Z498" s="648"/>
      <c r="AA498" s="63"/>
      <c r="AB498" s="63"/>
      <c r="AC498" s="63"/>
    </row>
    <row r="499" spans="1:68" ht="27" hidden="1" customHeight="1" x14ac:dyDescent="0.25">
      <c r="A499" s="60" t="s">
        <v>803</v>
      </c>
      <c r="B499" s="60" t="s">
        <v>804</v>
      </c>
      <c r="C499" s="34">
        <v>4301011769</v>
      </c>
      <c r="D499" s="649">
        <v>4607091389067</v>
      </c>
      <c r="E499" s="649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126</v>
      </c>
      <c r="L499" s="35" t="s">
        <v>46</v>
      </c>
      <c r="M499" s="36" t="s">
        <v>89</v>
      </c>
      <c r="N499" s="36"/>
      <c r="O499" s="35">
        <v>60</v>
      </c>
      <c r="P499" s="6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1"/>
      <c r="R499" s="651"/>
      <c r="S499" s="651"/>
      <c r="T499" s="652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124</v>
      </c>
      <c r="AG499" s="75"/>
      <c r="AJ499" s="79" t="s">
        <v>46</v>
      </c>
      <c r="AK499" s="79">
        <v>0</v>
      </c>
      <c r="BB499" s="592" t="s">
        <v>66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805</v>
      </c>
      <c r="B500" s="60" t="s">
        <v>806</v>
      </c>
      <c r="C500" s="34">
        <v>4301012380</v>
      </c>
      <c r="D500" s="649">
        <v>4680115889576</v>
      </c>
      <c r="E500" s="649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126</v>
      </c>
      <c r="L500" s="35" t="s">
        <v>46</v>
      </c>
      <c r="M500" s="36" t="s">
        <v>125</v>
      </c>
      <c r="N500" s="36"/>
      <c r="O500" s="35">
        <v>60</v>
      </c>
      <c r="P500" s="6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1"/>
      <c r="R500" s="651"/>
      <c r="S500" s="651"/>
      <c r="T500" s="652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807</v>
      </c>
      <c r="AG500" s="75"/>
      <c r="AJ500" s="79" t="s">
        <v>46</v>
      </c>
      <c r="AK500" s="79">
        <v>0</v>
      </c>
      <c r="BB500" s="594" t="s">
        <v>66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808</v>
      </c>
      <c r="B501" s="60" t="s">
        <v>809</v>
      </c>
      <c r="C501" s="34">
        <v>4301011961</v>
      </c>
      <c r="D501" s="649">
        <v>4680115885271</v>
      </c>
      <c r="E501" s="649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126</v>
      </c>
      <c r="L501" s="35" t="s">
        <v>46</v>
      </c>
      <c r="M501" s="36" t="s">
        <v>125</v>
      </c>
      <c r="N501" s="36"/>
      <c r="O501" s="35">
        <v>60</v>
      </c>
      <c r="P501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1"/>
      <c r="R501" s="651"/>
      <c r="S501" s="651"/>
      <c r="T501" s="652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810</v>
      </c>
      <c r="AG501" s="75"/>
      <c r="AJ501" s="79" t="s">
        <v>46</v>
      </c>
      <c r="AK501" s="79">
        <v>0</v>
      </c>
      <c r="BB501" s="596" t="s">
        <v>66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hidden="1" customHeight="1" x14ac:dyDescent="0.25">
      <c r="A502" s="60" t="s">
        <v>811</v>
      </c>
      <c r="B502" s="60" t="s">
        <v>812</v>
      </c>
      <c r="C502" s="34">
        <v>4301011369</v>
      </c>
      <c r="D502" s="649">
        <v>4680115885226</v>
      </c>
      <c r="E502" s="649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126</v>
      </c>
      <c r="L502" s="35" t="s">
        <v>46</v>
      </c>
      <c r="M502" s="36" t="s">
        <v>125</v>
      </c>
      <c r="N502" s="36"/>
      <c r="O502" s="35">
        <v>60</v>
      </c>
      <c r="P502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1"/>
      <c r="R502" s="651"/>
      <c r="S502" s="651"/>
      <c r="T502" s="652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8"/>
        <v>0</v>
      </c>
      <c r="Z502" s="39" t="str">
        <f t="shared" si="79"/>
        <v/>
      </c>
      <c r="AA502" s="65" t="s">
        <v>46</v>
      </c>
      <c r="AB502" s="66" t="s">
        <v>46</v>
      </c>
      <c r="AC502" s="597" t="s">
        <v>813</v>
      </c>
      <c r="AG502" s="75"/>
      <c r="AJ502" s="79" t="s">
        <v>46</v>
      </c>
      <c r="AK502" s="79">
        <v>0</v>
      </c>
      <c r="BB502" s="598" t="s">
        <v>66</v>
      </c>
      <c r="BM502" s="75">
        <f t="shared" si="80"/>
        <v>0</v>
      </c>
      <c r="BN502" s="75">
        <f t="shared" si="81"/>
        <v>0</v>
      </c>
      <c r="BO502" s="75">
        <f t="shared" si="82"/>
        <v>0</v>
      </c>
      <c r="BP502" s="75">
        <f t="shared" si="83"/>
        <v>0</v>
      </c>
    </row>
    <row r="503" spans="1:68" ht="16.5" hidden="1" customHeight="1" x14ac:dyDescent="0.25">
      <c r="A503" s="60" t="s">
        <v>814</v>
      </c>
      <c r="B503" s="60" t="s">
        <v>815</v>
      </c>
      <c r="C503" s="34">
        <v>4301011797</v>
      </c>
      <c r="D503" s="649">
        <v>4680115884502</v>
      </c>
      <c r="E503" s="649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126</v>
      </c>
      <c r="L503" s="35" t="s">
        <v>46</v>
      </c>
      <c r="M503" s="36" t="s">
        <v>89</v>
      </c>
      <c r="N503" s="36"/>
      <c r="O503" s="35">
        <v>60</v>
      </c>
      <c r="P503" s="68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1"/>
      <c r="R503" s="651"/>
      <c r="S503" s="651"/>
      <c r="T503" s="652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816</v>
      </c>
      <c r="AG503" s="75"/>
      <c r="AJ503" s="79" t="s">
        <v>46</v>
      </c>
      <c r="AK503" s="79">
        <v>0</v>
      </c>
      <c r="BB503" s="600" t="s">
        <v>66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817</v>
      </c>
      <c r="B504" s="60" t="s">
        <v>818</v>
      </c>
      <c r="C504" s="34">
        <v>4301011771</v>
      </c>
      <c r="D504" s="649">
        <v>4607091389104</v>
      </c>
      <c r="E504" s="649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126</v>
      </c>
      <c r="L504" s="35" t="s">
        <v>46</v>
      </c>
      <c r="M504" s="36" t="s">
        <v>125</v>
      </c>
      <c r="N504" s="36"/>
      <c r="O504" s="35">
        <v>60</v>
      </c>
      <c r="P504" s="68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1"/>
      <c r="R504" s="651"/>
      <c r="S504" s="651"/>
      <c r="T504" s="652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601" t="s">
        <v>819</v>
      </c>
      <c r="AG504" s="75"/>
      <c r="AJ504" s="79" t="s">
        <v>46</v>
      </c>
      <c r="AK504" s="79">
        <v>0</v>
      </c>
      <c r="BB504" s="602" t="s">
        <v>66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820</v>
      </c>
      <c r="B505" s="60" t="s">
        <v>821</v>
      </c>
      <c r="C505" s="34">
        <v>4301012125</v>
      </c>
      <c r="D505" s="649">
        <v>4680115886391</v>
      </c>
      <c r="E505" s="649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90</v>
      </c>
      <c r="L505" s="35" t="s">
        <v>46</v>
      </c>
      <c r="M505" s="36" t="s">
        <v>89</v>
      </c>
      <c r="N505" s="36"/>
      <c r="O505" s="35">
        <v>60</v>
      </c>
      <c r="P505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1"/>
      <c r="R505" s="651"/>
      <c r="S505" s="651"/>
      <c r="T505" s="652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124</v>
      </c>
      <c r="AG505" s="75"/>
      <c r="AJ505" s="79" t="s">
        <v>46</v>
      </c>
      <c r="AK505" s="79">
        <v>0</v>
      </c>
      <c r="BB505" s="604" t="s">
        <v>66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822</v>
      </c>
      <c r="B506" s="60" t="s">
        <v>823</v>
      </c>
      <c r="C506" s="34">
        <v>4301012048</v>
      </c>
      <c r="D506" s="649">
        <v>4680115880603</v>
      </c>
      <c r="E506" s="649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133</v>
      </c>
      <c r="L506" s="35" t="s">
        <v>46</v>
      </c>
      <c r="M506" s="36" t="s">
        <v>89</v>
      </c>
      <c r="N506" s="36"/>
      <c r="O506" s="35">
        <v>60</v>
      </c>
      <c r="P506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1"/>
      <c r="R506" s="651"/>
      <c r="S506" s="651"/>
      <c r="T506" s="652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>IFERROR(IF(Y506=0,"",ROUNDUP(Y506/H506,0)*0.00902),"")</f>
        <v/>
      </c>
      <c r="AA506" s="65" t="s">
        <v>46</v>
      </c>
      <c r="AB506" s="66" t="s">
        <v>46</v>
      </c>
      <c r="AC506" s="605" t="s">
        <v>124</v>
      </c>
      <c r="AG506" s="75"/>
      <c r="AJ506" s="79" t="s">
        <v>46</v>
      </c>
      <c r="AK506" s="79">
        <v>0</v>
      </c>
      <c r="BB506" s="606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824</v>
      </c>
      <c r="B507" s="60" t="s">
        <v>825</v>
      </c>
      <c r="C507" s="34">
        <v>4301012034</v>
      </c>
      <c r="D507" s="649">
        <v>4607091389982</v>
      </c>
      <c r="E507" s="649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133</v>
      </c>
      <c r="L507" s="35" t="s">
        <v>46</v>
      </c>
      <c r="M507" s="36" t="s">
        <v>125</v>
      </c>
      <c r="N507" s="36"/>
      <c r="O507" s="35">
        <v>60</v>
      </c>
      <c r="P507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1"/>
      <c r="R507" s="651"/>
      <c r="S507" s="651"/>
      <c r="T507" s="652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7" t="s">
        <v>819</v>
      </c>
      <c r="AG507" s="75"/>
      <c r="AJ507" s="79" t="s">
        <v>46</v>
      </c>
      <c r="AK507" s="79">
        <v>0</v>
      </c>
      <c r="BB507" s="608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idden="1" x14ac:dyDescent="0.2">
      <c r="A508" s="656"/>
      <c r="B508" s="656"/>
      <c r="C508" s="656"/>
      <c r="D508" s="656"/>
      <c r="E508" s="656"/>
      <c r="F508" s="656"/>
      <c r="G508" s="656"/>
      <c r="H508" s="656"/>
      <c r="I508" s="656"/>
      <c r="J508" s="656"/>
      <c r="K508" s="656"/>
      <c r="L508" s="656"/>
      <c r="M508" s="656"/>
      <c r="N508" s="656"/>
      <c r="O508" s="657"/>
      <c r="P508" s="653" t="s">
        <v>40</v>
      </c>
      <c r="Q508" s="654"/>
      <c r="R508" s="654"/>
      <c r="S508" s="654"/>
      <c r="T508" s="654"/>
      <c r="U508" s="654"/>
      <c r="V508" s="655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0</v>
      </c>
      <c r="Y508" s="41">
        <f>IFERROR(Y499/H499,"0")+IFERROR(Y500/H500,"0")+IFERROR(Y501/H501,"0")+IFERROR(Y502/H502,"0")+IFERROR(Y503/H503,"0")+IFERROR(Y504/H504,"0")+IFERROR(Y505/H505,"0")+IFERROR(Y506/H506,"0")+IFERROR(Y507/H507,"0")</f>
        <v>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4"/>
      <c r="AB508" s="64"/>
      <c r="AC508" s="64"/>
    </row>
    <row r="509" spans="1:68" hidden="1" x14ac:dyDescent="0.2">
      <c r="A509" s="656"/>
      <c r="B509" s="656"/>
      <c r="C509" s="656"/>
      <c r="D509" s="656"/>
      <c r="E509" s="656"/>
      <c r="F509" s="656"/>
      <c r="G509" s="656"/>
      <c r="H509" s="656"/>
      <c r="I509" s="656"/>
      <c r="J509" s="656"/>
      <c r="K509" s="656"/>
      <c r="L509" s="656"/>
      <c r="M509" s="656"/>
      <c r="N509" s="656"/>
      <c r="O509" s="657"/>
      <c r="P509" s="653" t="s">
        <v>40</v>
      </c>
      <c r="Q509" s="654"/>
      <c r="R509" s="654"/>
      <c r="S509" s="654"/>
      <c r="T509" s="654"/>
      <c r="U509" s="654"/>
      <c r="V509" s="655"/>
      <c r="W509" s="40" t="s">
        <v>0</v>
      </c>
      <c r="X509" s="41">
        <f>IFERROR(SUM(X499:X507),"0")</f>
        <v>0</v>
      </c>
      <c r="Y509" s="41">
        <f>IFERROR(SUM(Y499:Y507),"0")</f>
        <v>0</v>
      </c>
      <c r="Z509" s="40"/>
      <c r="AA509" s="64"/>
      <c r="AB509" s="64"/>
      <c r="AC509" s="64"/>
    </row>
    <row r="510" spans="1:68" ht="14.25" hidden="1" customHeight="1" x14ac:dyDescent="0.25">
      <c r="A510" s="648" t="s">
        <v>156</v>
      </c>
      <c r="B510" s="648"/>
      <c r="C510" s="648"/>
      <c r="D510" s="648"/>
      <c r="E510" s="648"/>
      <c r="F510" s="648"/>
      <c r="G510" s="648"/>
      <c r="H510" s="648"/>
      <c r="I510" s="648"/>
      <c r="J510" s="648"/>
      <c r="K510" s="648"/>
      <c r="L510" s="648"/>
      <c r="M510" s="648"/>
      <c r="N510" s="648"/>
      <c r="O510" s="648"/>
      <c r="P510" s="648"/>
      <c r="Q510" s="648"/>
      <c r="R510" s="648"/>
      <c r="S510" s="648"/>
      <c r="T510" s="648"/>
      <c r="U510" s="648"/>
      <c r="V510" s="648"/>
      <c r="W510" s="648"/>
      <c r="X510" s="648"/>
      <c r="Y510" s="648"/>
      <c r="Z510" s="648"/>
      <c r="AA510" s="63"/>
      <c r="AB510" s="63"/>
      <c r="AC510" s="63"/>
    </row>
    <row r="511" spans="1:68" ht="16.5" hidden="1" customHeight="1" x14ac:dyDescent="0.25">
      <c r="A511" s="60" t="s">
        <v>826</v>
      </c>
      <c r="B511" s="60" t="s">
        <v>827</v>
      </c>
      <c r="C511" s="34">
        <v>4301020334</v>
      </c>
      <c r="D511" s="649">
        <v>4607091388930</v>
      </c>
      <c r="E511" s="649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126</v>
      </c>
      <c r="L511" s="35" t="s">
        <v>46</v>
      </c>
      <c r="M511" s="36" t="s">
        <v>89</v>
      </c>
      <c r="N511" s="36"/>
      <c r="O511" s="35">
        <v>70</v>
      </c>
      <c r="P511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1"/>
      <c r="R511" s="651"/>
      <c r="S511" s="651"/>
      <c r="T511" s="652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609" t="s">
        <v>828</v>
      </c>
      <c r="AG511" s="75"/>
      <c r="AJ511" s="79" t="s">
        <v>46</v>
      </c>
      <c r="AK511" s="79">
        <v>0</v>
      </c>
      <c r="BB511" s="610" t="s">
        <v>66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t="16.5" hidden="1" customHeight="1" x14ac:dyDescent="0.25">
      <c r="A512" s="60" t="s">
        <v>829</v>
      </c>
      <c r="B512" s="60" t="s">
        <v>830</v>
      </c>
      <c r="C512" s="34">
        <v>4301020374</v>
      </c>
      <c r="D512" s="649">
        <v>4680115886407</v>
      </c>
      <c r="E512" s="649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90</v>
      </c>
      <c r="L512" s="35" t="s">
        <v>46</v>
      </c>
      <c r="M512" s="36" t="s">
        <v>125</v>
      </c>
      <c r="N512" s="36"/>
      <c r="O512" s="35">
        <v>70</v>
      </c>
      <c r="P512" s="67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1"/>
      <c r="R512" s="651"/>
      <c r="S512" s="651"/>
      <c r="T512" s="652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828</v>
      </c>
      <c r="AG512" s="75"/>
      <c r="AJ512" s="79" t="s">
        <v>46</v>
      </c>
      <c r="AK512" s="79">
        <v>0</v>
      </c>
      <c r="BB512" s="612" t="s">
        <v>66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831</v>
      </c>
      <c r="B513" s="60" t="s">
        <v>832</v>
      </c>
      <c r="C513" s="34">
        <v>4301020385</v>
      </c>
      <c r="D513" s="649">
        <v>4680115880054</v>
      </c>
      <c r="E513" s="649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133</v>
      </c>
      <c r="L513" s="35" t="s">
        <v>46</v>
      </c>
      <c r="M513" s="36" t="s">
        <v>125</v>
      </c>
      <c r="N513" s="36"/>
      <c r="O513" s="35">
        <v>70</v>
      </c>
      <c r="P513" s="6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1"/>
      <c r="R513" s="651"/>
      <c r="S513" s="651"/>
      <c r="T513" s="652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828</v>
      </c>
      <c r="AG513" s="75"/>
      <c r="AJ513" s="79" t="s">
        <v>46</v>
      </c>
      <c r="AK513" s="79">
        <v>0</v>
      </c>
      <c r="BB513" s="614" t="s">
        <v>66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0" t="s">
        <v>39</v>
      </c>
      <c r="X514" s="41">
        <f>IFERROR(X511/H511,"0")+IFERROR(X512/H512,"0")+IFERROR(X513/H513,"0")</f>
        <v>0</v>
      </c>
      <c r="Y514" s="41">
        <f>IFERROR(Y511/H511,"0")+IFERROR(Y512/H512,"0")+IFERROR(Y513/H513,"0")</f>
        <v>0</v>
      </c>
      <c r="Z514" s="41">
        <f>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656"/>
      <c r="B515" s="656"/>
      <c r="C515" s="656"/>
      <c r="D515" s="656"/>
      <c r="E515" s="656"/>
      <c r="F515" s="656"/>
      <c r="G515" s="656"/>
      <c r="H515" s="656"/>
      <c r="I515" s="656"/>
      <c r="J515" s="656"/>
      <c r="K515" s="656"/>
      <c r="L515" s="656"/>
      <c r="M515" s="656"/>
      <c r="N515" s="656"/>
      <c r="O515" s="657"/>
      <c r="P515" s="653" t="s">
        <v>40</v>
      </c>
      <c r="Q515" s="654"/>
      <c r="R515" s="654"/>
      <c r="S515" s="654"/>
      <c r="T515" s="654"/>
      <c r="U515" s="654"/>
      <c r="V515" s="655"/>
      <c r="W515" s="40" t="s">
        <v>0</v>
      </c>
      <c r="X515" s="41">
        <f>IFERROR(SUM(X511:X513),"0")</f>
        <v>0</v>
      </c>
      <c r="Y515" s="41">
        <f>IFERROR(SUM(Y511:Y513),"0")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648" t="s">
        <v>76</v>
      </c>
      <c r="B516" s="648"/>
      <c r="C516" s="648"/>
      <c r="D516" s="648"/>
      <c r="E516" s="648"/>
      <c r="F516" s="648"/>
      <c r="G516" s="648"/>
      <c r="H516" s="648"/>
      <c r="I516" s="648"/>
      <c r="J516" s="648"/>
      <c r="K516" s="648"/>
      <c r="L516" s="648"/>
      <c r="M516" s="648"/>
      <c r="N516" s="648"/>
      <c r="O516" s="648"/>
      <c r="P516" s="648"/>
      <c r="Q516" s="648"/>
      <c r="R516" s="648"/>
      <c r="S516" s="648"/>
      <c r="T516" s="648"/>
      <c r="U516" s="648"/>
      <c r="V516" s="648"/>
      <c r="W516" s="648"/>
      <c r="X516" s="648"/>
      <c r="Y516" s="648"/>
      <c r="Z516" s="648"/>
      <c r="AA516" s="63"/>
      <c r="AB516" s="63"/>
      <c r="AC516" s="63"/>
    </row>
    <row r="517" spans="1:68" ht="27" hidden="1" customHeight="1" x14ac:dyDescent="0.25">
      <c r="A517" s="60" t="s">
        <v>833</v>
      </c>
      <c r="B517" s="60" t="s">
        <v>834</v>
      </c>
      <c r="C517" s="34">
        <v>4301031349</v>
      </c>
      <c r="D517" s="649">
        <v>4680115883116</v>
      </c>
      <c r="E517" s="649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126</v>
      </c>
      <c r="L517" s="35" t="s">
        <v>46</v>
      </c>
      <c r="M517" s="36" t="s">
        <v>125</v>
      </c>
      <c r="N517" s="36"/>
      <c r="O517" s="35">
        <v>70</v>
      </c>
      <c r="P517" s="67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1"/>
      <c r="R517" s="651"/>
      <c r="S517" s="651"/>
      <c r="T517" s="652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ref="Y517:Y523" si="84"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835</v>
      </c>
      <c r="AG517" s="75"/>
      <c r="AJ517" s="79" t="s">
        <v>46</v>
      </c>
      <c r="AK517" s="79">
        <v>0</v>
      </c>
      <c r="BB517" s="616" t="s">
        <v>66</v>
      </c>
      <c r="BM517" s="75">
        <f t="shared" ref="BM517:BM523" si="85">IFERROR(X517*I517/H517,"0")</f>
        <v>0</v>
      </c>
      <c r="BN517" s="75">
        <f t="shared" ref="BN517:BN523" si="86">IFERROR(Y517*I517/H517,"0")</f>
        <v>0</v>
      </c>
      <c r="BO517" s="75">
        <f t="shared" ref="BO517:BO523" si="87">IFERROR(1/J517*(X517/H517),"0")</f>
        <v>0</v>
      </c>
      <c r="BP517" s="75">
        <f t="shared" ref="BP517:BP523" si="88">IFERROR(1/J517*(Y517/H517),"0")</f>
        <v>0</v>
      </c>
    </row>
    <row r="518" spans="1:68" ht="27" hidden="1" customHeight="1" x14ac:dyDescent="0.25">
      <c r="A518" s="60" t="s">
        <v>836</v>
      </c>
      <c r="B518" s="60" t="s">
        <v>837</v>
      </c>
      <c r="C518" s="34">
        <v>4301031350</v>
      </c>
      <c r="D518" s="649">
        <v>4680115883093</v>
      </c>
      <c r="E518" s="649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126</v>
      </c>
      <c r="L518" s="35" t="s">
        <v>46</v>
      </c>
      <c r="M518" s="36" t="s">
        <v>80</v>
      </c>
      <c r="N518" s="36"/>
      <c r="O518" s="35">
        <v>70</v>
      </c>
      <c r="P518" s="67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1"/>
      <c r="R518" s="651"/>
      <c r="S518" s="651"/>
      <c r="T518" s="652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84"/>
        <v>0</v>
      </c>
      <c r="Z518" s="39" t="str">
        <f>IFERROR(IF(Y518=0,"",ROUNDUP(Y518/H518,0)*0.01196),"")</f>
        <v/>
      </c>
      <c r="AA518" s="65" t="s">
        <v>46</v>
      </c>
      <c r="AB518" s="66" t="s">
        <v>46</v>
      </c>
      <c r="AC518" s="617" t="s">
        <v>838</v>
      </c>
      <c r="AG518" s="75"/>
      <c r="AJ518" s="79" t="s">
        <v>46</v>
      </c>
      <c r="AK518" s="79">
        <v>0</v>
      </c>
      <c r="BB518" s="618" t="s">
        <v>66</v>
      </c>
      <c r="BM518" s="75">
        <f t="shared" si="85"/>
        <v>0</v>
      </c>
      <c r="BN518" s="75">
        <f t="shared" si="86"/>
        <v>0</v>
      </c>
      <c r="BO518" s="75">
        <f t="shared" si="87"/>
        <v>0</v>
      </c>
      <c r="BP518" s="75">
        <f t="shared" si="88"/>
        <v>0</v>
      </c>
    </row>
    <row r="519" spans="1:68" ht="27" hidden="1" customHeight="1" x14ac:dyDescent="0.25">
      <c r="A519" s="60" t="s">
        <v>839</v>
      </c>
      <c r="B519" s="60" t="s">
        <v>840</v>
      </c>
      <c r="C519" s="34">
        <v>4301031353</v>
      </c>
      <c r="D519" s="649">
        <v>4680115883109</v>
      </c>
      <c r="E519" s="649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126</v>
      </c>
      <c r="L519" s="35" t="s">
        <v>46</v>
      </c>
      <c r="M519" s="36" t="s">
        <v>80</v>
      </c>
      <c r="N519" s="36"/>
      <c r="O519" s="35">
        <v>70</v>
      </c>
      <c r="P519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1"/>
      <c r="R519" s="651"/>
      <c r="S519" s="651"/>
      <c r="T519" s="652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84"/>
        <v>0</v>
      </c>
      <c r="Z519" s="39" t="str">
        <f>IFERROR(IF(Y519=0,"",ROUNDUP(Y519/H519,0)*0.01196),"")</f>
        <v/>
      </c>
      <c r="AA519" s="65" t="s">
        <v>46</v>
      </c>
      <c r="AB519" s="66" t="s">
        <v>46</v>
      </c>
      <c r="AC519" s="619" t="s">
        <v>841</v>
      </c>
      <c r="AG519" s="75"/>
      <c r="AJ519" s="79" t="s">
        <v>46</v>
      </c>
      <c r="AK519" s="79">
        <v>0</v>
      </c>
      <c r="BB519" s="620" t="s">
        <v>66</v>
      </c>
      <c r="BM519" s="75">
        <f t="shared" si="85"/>
        <v>0</v>
      </c>
      <c r="BN519" s="75">
        <f t="shared" si="86"/>
        <v>0</v>
      </c>
      <c r="BO519" s="75">
        <f t="shared" si="87"/>
        <v>0</v>
      </c>
      <c r="BP519" s="75">
        <f t="shared" si="88"/>
        <v>0</v>
      </c>
    </row>
    <row r="520" spans="1:68" ht="27" hidden="1" customHeight="1" x14ac:dyDescent="0.25">
      <c r="A520" s="60" t="s">
        <v>842</v>
      </c>
      <c r="B520" s="60" t="s">
        <v>843</v>
      </c>
      <c r="C520" s="34">
        <v>4301031419</v>
      </c>
      <c r="D520" s="649">
        <v>4680115882072</v>
      </c>
      <c r="E520" s="649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133</v>
      </c>
      <c r="L520" s="35" t="s">
        <v>46</v>
      </c>
      <c r="M520" s="36" t="s">
        <v>125</v>
      </c>
      <c r="N520" s="36"/>
      <c r="O520" s="35">
        <v>70</v>
      </c>
      <c r="P520" s="67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1"/>
      <c r="R520" s="651"/>
      <c r="S520" s="651"/>
      <c r="T520" s="652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835</v>
      </c>
      <c r="AG520" s="75"/>
      <c r="AJ520" s="79" t="s">
        <v>46</v>
      </c>
      <c r="AK520" s="79">
        <v>0</v>
      </c>
      <c r="BB520" s="622" t="s">
        <v>66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844</v>
      </c>
      <c r="B521" s="60" t="s">
        <v>845</v>
      </c>
      <c r="C521" s="34">
        <v>4301031352</v>
      </c>
      <c r="D521" s="649">
        <v>4680115882102</v>
      </c>
      <c r="E521" s="649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133</v>
      </c>
      <c r="L521" s="35" t="s">
        <v>46</v>
      </c>
      <c r="M521" s="36" t="s">
        <v>80</v>
      </c>
      <c r="N521" s="36"/>
      <c r="O521" s="35">
        <v>70</v>
      </c>
      <c r="P521" s="67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1"/>
      <c r="R521" s="651"/>
      <c r="S521" s="651"/>
      <c r="T521" s="652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838</v>
      </c>
      <c r="AG521" s="75"/>
      <c r="AJ521" s="79" t="s">
        <v>46</v>
      </c>
      <c r="AK521" s="79">
        <v>0</v>
      </c>
      <c r="BB521" s="624" t="s">
        <v>66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844</v>
      </c>
      <c r="B522" s="60" t="s">
        <v>846</v>
      </c>
      <c r="C522" s="34">
        <v>4301031418</v>
      </c>
      <c r="D522" s="649">
        <v>4680115882102</v>
      </c>
      <c r="E522" s="649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133</v>
      </c>
      <c r="L522" s="35" t="s">
        <v>46</v>
      </c>
      <c r="M522" s="36" t="s">
        <v>80</v>
      </c>
      <c r="N522" s="36"/>
      <c r="O522" s="35">
        <v>70</v>
      </c>
      <c r="P522" s="67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1"/>
      <c r="R522" s="651"/>
      <c r="S522" s="651"/>
      <c r="T522" s="652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838</v>
      </c>
      <c r="AG522" s="75"/>
      <c r="AJ522" s="79" t="s">
        <v>46</v>
      </c>
      <c r="AK522" s="79">
        <v>0</v>
      </c>
      <c r="BB522" s="626" t="s">
        <v>66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847</v>
      </c>
      <c r="B523" s="60" t="s">
        <v>848</v>
      </c>
      <c r="C523" s="34">
        <v>4301031417</v>
      </c>
      <c r="D523" s="649">
        <v>4680115882096</v>
      </c>
      <c r="E523" s="649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133</v>
      </c>
      <c r="L523" s="35" t="s">
        <v>46</v>
      </c>
      <c r="M523" s="36" t="s">
        <v>80</v>
      </c>
      <c r="N523" s="36"/>
      <c r="O523" s="35">
        <v>70</v>
      </c>
      <c r="P523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1"/>
      <c r="R523" s="651"/>
      <c r="S523" s="651"/>
      <c r="T523" s="652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841</v>
      </c>
      <c r="AG523" s="75"/>
      <c r="AJ523" s="79" t="s">
        <v>46</v>
      </c>
      <c r="AK523" s="79">
        <v>0</v>
      </c>
      <c r="BB523" s="628" t="s">
        <v>66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idden="1" x14ac:dyDescent="0.2">
      <c r="A524" s="656"/>
      <c r="B524" s="656"/>
      <c r="C524" s="656"/>
      <c r="D524" s="656"/>
      <c r="E524" s="656"/>
      <c r="F524" s="656"/>
      <c r="G524" s="656"/>
      <c r="H524" s="656"/>
      <c r="I524" s="656"/>
      <c r="J524" s="656"/>
      <c r="K524" s="656"/>
      <c r="L524" s="656"/>
      <c r="M524" s="656"/>
      <c r="N524" s="656"/>
      <c r="O524" s="657"/>
      <c r="P524" s="653" t="s">
        <v>40</v>
      </c>
      <c r="Q524" s="654"/>
      <c r="R524" s="654"/>
      <c r="S524" s="654"/>
      <c r="T524" s="654"/>
      <c r="U524" s="654"/>
      <c r="V524" s="655"/>
      <c r="W524" s="40" t="s">
        <v>39</v>
      </c>
      <c r="X524" s="41">
        <f>IFERROR(X517/H517,"0")+IFERROR(X518/H518,"0")+IFERROR(X519/H519,"0")+IFERROR(X520/H520,"0")+IFERROR(X521/H521,"0")+IFERROR(X522/H522,"0")+IFERROR(X523/H523,"0")</f>
        <v>0</v>
      </c>
      <c r="Y524" s="41">
        <f>IFERROR(Y517/H517,"0")+IFERROR(Y518/H518,"0")+IFERROR(Y519/H519,"0")+IFERROR(Y520/H520,"0")+IFERROR(Y521/H521,"0")+IFERROR(Y522/H522,"0")+IFERROR(Y523/H523,"0")</f>
        <v>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656"/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7"/>
      <c r="P525" s="653" t="s">
        <v>40</v>
      </c>
      <c r="Q525" s="654"/>
      <c r="R525" s="654"/>
      <c r="S525" s="654"/>
      <c r="T525" s="654"/>
      <c r="U525" s="654"/>
      <c r="V525" s="655"/>
      <c r="W525" s="40" t="s">
        <v>0</v>
      </c>
      <c r="X525" s="41">
        <f>IFERROR(SUM(X517:X523),"0")</f>
        <v>0</v>
      </c>
      <c r="Y525" s="41">
        <f>IFERROR(SUM(Y517:Y523),"0")</f>
        <v>0</v>
      </c>
      <c r="Z525" s="40"/>
      <c r="AA525" s="64"/>
      <c r="AB525" s="64"/>
      <c r="AC525" s="64"/>
    </row>
    <row r="526" spans="1:68" ht="27.75" hidden="1" customHeight="1" x14ac:dyDescent="0.2">
      <c r="A526" s="668" t="s">
        <v>849</v>
      </c>
      <c r="B526" s="668"/>
      <c r="C526" s="668"/>
      <c r="D526" s="668"/>
      <c r="E526" s="668"/>
      <c r="F526" s="668"/>
      <c r="G526" s="668"/>
      <c r="H526" s="668"/>
      <c r="I526" s="668"/>
      <c r="J526" s="668"/>
      <c r="K526" s="668"/>
      <c r="L526" s="668"/>
      <c r="M526" s="668"/>
      <c r="N526" s="668"/>
      <c r="O526" s="668"/>
      <c r="P526" s="668"/>
      <c r="Q526" s="668"/>
      <c r="R526" s="668"/>
      <c r="S526" s="668"/>
      <c r="T526" s="668"/>
      <c r="U526" s="668"/>
      <c r="V526" s="668"/>
      <c r="W526" s="668"/>
      <c r="X526" s="668"/>
      <c r="Y526" s="668"/>
      <c r="Z526" s="668"/>
      <c r="AA526" s="52"/>
      <c r="AB526" s="52"/>
      <c r="AC526" s="52"/>
    </row>
    <row r="527" spans="1:68" ht="16.5" hidden="1" customHeight="1" x14ac:dyDescent="0.25">
      <c r="A527" s="647" t="s">
        <v>849</v>
      </c>
      <c r="B527" s="647"/>
      <c r="C527" s="647"/>
      <c r="D527" s="647"/>
      <c r="E527" s="647"/>
      <c r="F527" s="647"/>
      <c r="G527" s="647"/>
      <c r="H527" s="647"/>
      <c r="I527" s="647"/>
      <c r="J527" s="647"/>
      <c r="K527" s="647"/>
      <c r="L527" s="647"/>
      <c r="M527" s="647"/>
      <c r="N527" s="647"/>
      <c r="O527" s="647"/>
      <c r="P527" s="647"/>
      <c r="Q527" s="647"/>
      <c r="R527" s="647"/>
      <c r="S527" s="647"/>
      <c r="T527" s="647"/>
      <c r="U527" s="647"/>
      <c r="V527" s="647"/>
      <c r="W527" s="647"/>
      <c r="X527" s="647"/>
      <c r="Y527" s="647"/>
      <c r="Z527" s="647"/>
      <c r="AA527" s="62"/>
      <c r="AB527" s="62"/>
      <c r="AC527" s="62"/>
    </row>
    <row r="528" spans="1:68" ht="14.25" hidden="1" customHeight="1" x14ac:dyDescent="0.25">
      <c r="A528" s="648" t="s">
        <v>121</v>
      </c>
      <c r="B528" s="648"/>
      <c r="C528" s="648"/>
      <c r="D528" s="648"/>
      <c r="E528" s="648"/>
      <c r="F528" s="648"/>
      <c r="G528" s="648"/>
      <c r="H528" s="648"/>
      <c r="I528" s="648"/>
      <c r="J528" s="648"/>
      <c r="K528" s="648"/>
      <c r="L528" s="648"/>
      <c r="M528" s="648"/>
      <c r="N528" s="648"/>
      <c r="O528" s="648"/>
      <c r="P528" s="648"/>
      <c r="Q528" s="648"/>
      <c r="R528" s="648"/>
      <c r="S528" s="648"/>
      <c r="T528" s="648"/>
      <c r="U528" s="648"/>
      <c r="V528" s="648"/>
      <c r="W528" s="648"/>
      <c r="X528" s="648"/>
      <c r="Y528" s="648"/>
      <c r="Z528" s="648"/>
      <c r="AA528" s="63"/>
      <c r="AB528" s="63"/>
      <c r="AC528" s="63"/>
    </row>
    <row r="529" spans="1:68" ht="27" hidden="1" customHeight="1" x14ac:dyDescent="0.25">
      <c r="A529" s="60" t="s">
        <v>850</v>
      </c>
      <c r="B529" s="60" t="s">
        <v>851</v>
      </c>
      <c r="C529" s="34">
        <v>4301011584</v>
      </c>
      <c r="D529" s="649">
        <v>4640242180564</v>
      </c>
      <c r="E529" s="649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126</v>
      </c>
      <c r="L529" s="35" t="s">
        <v>46</v>
      </c>
      <c r="M529" s="36" t="s">
        <v>125</v>
      </c>
      <c r="N529" s="36"/>
      <c r="O529" s="35">
        <v>50</v>
      </c>
      <c r="P529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1"/>
      <c r="R529" s="651"/>
      <c r="S529" s="651"/>
      <c r="T529" s="652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852</v>
      </c>
      <c r="AG529" s="75"/>
      <c r="AJ529" s="79" t="s">
        <v>46</v>
      </c>
      <c r="AK529" s="79">
        <v>0</v>
      </c>
      <c r="BB529" s="630" t="s">
        <v>66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56"/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7"/>
      <c r="P531" s="653" t="s">
        <v>40</v>
      </c>
      <c r="Q531" s="654"/>
      <c r="R531" s="654"/>
      <c r="S531" s="654"/>
      <c r="T531" s="654"/>
      <c r="U531" s="654"/>
      <c r="V531" s="655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48" t="s">
        <v>156</v>
      </c>
      <c r="B532" s="648"/>
      <c r="C532" s="648"/>
      <c r="D532" s="648"/>
      <c r="E532" s="648"/>
      <c r="F532" s="648"/>
      <c r="G532" s="648"/>
      <c r="H532" s="648"/>
      <c r="I532" s="648"/>
      <c r="J532" s="648"/>
      <c r="K532" s="648"/>
      <c r="L532" s="648"/>
      <c r="M532" s="648"/>
      <c r="N532" s="648"/>
      <c r="O532" s="648"/>
      <c r="P532" s="648"/>
      <c r="Q532" s="648"/>
      <c r="R532" s="648"/>
      <c r="S532" s="648"/>
      <c r="T532" s="648"/>
      <c r="U532" s="648"/>
      <c r="V532" s="648"/>
      <c r="W532" s="648"/>
      <c r="X532" s="648"/>
      <c r="Y532" s="648"/>
      <c r="Z532" s="648"/>
      <c r="AA532" s="63"/>
      <c r="AB532" s="63"/>
      <c r="AC532" s="63"/>
    </row>
    <row r="533" spans="1:68" ht="27" hidden="1" customHeight="1" x14ac:dyDescent="0.25">
      <c r="A533" s="60" t="s">
        <v>853</v>
      </c>
      <c r="B533" s="60" t="s">
        <v>854</v>
      </c>
      <c r="C533" s="34">
        <v>4301020400</v>
      </c>
      <c r="D533" s="649">
        <v>4640242180519</v>
      </c>
      <c r="E533" s="649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126</v>
      </c>
      <c r="L533" s="35" t="s">
        <v>46</v>
      </c>
      <c r="M533" s="36" t="s">
        <v>125</v>
      </c>
      <c r="N533" s="36"/>
      <c r="O533" s="35">
        <v>50</v>
      </c>
      <c r="P533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1"/>
      <c r="R533" s="651"/>
      <c r="S533" s="651"/>
      <c r="T533" s="652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855</v>
      </c>
      <c r="AG533" s="75"/>
      <c r="AJ533" s="79" t="s">
        <v>46</v>
      </c>
      <c r="AK533" s="79">
        <v>0</v>
      </c>
      <c r="BB533" s="632" t="s">
        <v>66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56"/>
      <c r="B534" s="656"/>
      <c r="C534" s="656"/>
      <c r="D534" s="656"/>
      <c r="E534" s="656"/>
      <c r="F534" s="656"/>
      <c r="G534" s="656"/>
      <c r="H534" s="656"/>
      <c r="I534" s="656"/>
      <c r="J534" s="656"/>
      <c r="K534" s="656"/>
      <c r="L534" s="656"/>
      <c r="M534" s="656"/>
      <c r="N534" s="656"/>
      <c r="O534" s="657"/>
      <c r="P534" s="653" t="s">
        <v>40</v>
      </c>
      <c r="Q534" s="654"/>
      <c r="R534" s="654"/>
      <c r="S534" s="654"/>
      <c r="T534" s="654"/>
      <c r="U534" s="654"/>
      <c r="V534" s="655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656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3" t="s">
        <v>40</v>
      </c>
      <c r="Q535" s="654"/>
      <c r="R535" s="654"/>
      <c r="S535" s="654"/>
      <c r="T535" s="654"/>
      <c r="U535" s="654"/>
      <c r="V535" s="655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48" t="s">
        <v>76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3"/>
      <c r="AB536" s="63"/>
      <c r="AC536" s="63"/>
    </row>
    <row r="537" spans="1:68" ht="27" hidden="1" customHeight="1" x14ac:dyDescent="0.25">
      <c r="A537" s="60" t="s">
        <v>856</v>
      </c>
      <c r="B537" s="60" t="s">
        <v>857</v>
      </c>
      <c r="C537" s="34">
        <v>4301031500</v>
      </c>
      <c r="D537" s="649">
        <v>4640242180595</v>
      </c>
      <c r="E537" s="649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133</v>
      </c>
      <c r="L537" s="35" t="s">
        <v>46</v>
      </c>
      <c r="M537" s="36" t="s">
        <v>80</v>
      </c>
      <c r="N537" s="36"/>
      <c r="O537" s="35">
        <v>40</v>
      </c>
      <c r="P537" s="66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1"/>
      <c r="R537" s="651"/>
      <c r="S537" s="651"/>
      <c r="T537" s="652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 t="s">
        <v>46</v>
      </c>
      <c r="AB537" s="66" t="s">
        <v>46</v>
      </c>
      <c r="AC537" s="633" t="s">
        <v>858</v>
      </c>
      <c r="AG537" s="75"/>
      <c r="AJ537" s="79" t="s">
        <v>46</v>
      </c>
      <c r="AK537" s="79">
        <v>0</v>
      </c>
      <c r="BB537" s="634" t="s">
        <v>66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53" t="s">
        <v>40</v>
      </c>
      <c r="Q538" s="654"/>
      <c r="R538" s="654"/>
      <c r="S538" s="654"/>
      <c r="T538" s="654"/>
      <c r="U538" s="654"/>
      <c r="V538" s="655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648" t="s">
        <v>85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3"/>
      <c r="AB540" s="63"/>
      <c r="AC540" s="63"/>
    </row>
    <row r="541" spans="1:68" ht="27" hidden="1" customHeight="1" x14ac:dyDescent="0.25">
      <c r="A541" s="60" t="s">
        <v>859</v>
      </c>
      <c r="B541" s="60" t="s">
        <v>860</v>
      </c>
      <c r="C541" s="34">
        <v>4301052043</v>
      </c>
      <c r="D541" s="649">
        <v>4640242180533</v>
      </c>
      <c r="E541" s="649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126</v>
      </c>
      <c r="L541" s="35" t="s">
        <v>46</v>
      </c>
      <c r="M541" s="36" t="s">
        <v>89</v>
      </c>
      <c r="N541" s="36"/>
      <c r="O541" s="35">
        <v>45</v>
      </c>
      <c r="P541" s="66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1"/>
      <c r="R541" s="651"/>
      <c r="S541" s="651"/>
      <c r="T541" s="652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861</v>
      </c>
      <c r="AG541" s="75"/>
      <c r="AJ541" s="79" t="s">
        <v>46</v>
      </c>
      <c r="AK541" s="79">
        <v>0</v>
      </c>
      <c r="BB541" s="636" t="s">
        <v>66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53" t="s">
        <v>40</v>
      </c>
      <c r="Q542" s="654"/>
      <c r="R542" s="654"/>
      <c r="S542" s="654"/>
      <c r="T542" s="654"/>
      <c r="U542" s="654"/>
      <c r="V542" s="655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648" t="s">
        <v>174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3"/>
      <c r="AB544" s="63"/>
      <c r="AC544" s="63"/>
    </row>
    <row r="545" spans="1:68" ht="27" hidden="1" customHeight="1" x14ac:dyDescent="0.25">
      <c r="A545" s="60" t="s">
        <v>862</v>
      </c>
      <c r="B545" s="60" t="s">
        <v>863</v>
      </c>
      <c r="C545" s="34">
        <v>4301060535</v>
      </c>
      <c r="D545" s="649">
        <v>4640242180120</v>
      </c>
      <c r="E545" s="649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126</v>
      </c>
      <c r="L545" s="35" t="s">
        <v>46</v>
      </c>
      <c r="M545" s="36" t="s">
        <v>89</v>
      </c>
      <c r="N545" s="36"/>
      <c r="O545" s="35">
        <v>40</v>
      </c>
      <c r="P545" s="66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1"/>
      <c r="R545" s="651"/>
      <c r="S545" s="651"/>
      <c r="T545" s="652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864</v>
      </c>
      <c r="AG545" s="75"/>
      <c r="AJ545" s="79" t="s">
        <v>46</v>
      </c>
      <c r="AK545" s="79">
        <v>0</v>
      </c>
      <c r="BB545" s="638" t="s">
        <v>66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865</v>
      </c>
      <c r="B546" s="60" t="s">
        <v>866</v>
      </c>
      <c r="C546" s="34">
        <v>4301060536</v>
      </c>
      <c r="D546" s="649">
        <v>4640242180137</v>
      </c>
      <c r="E546" s="649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126</v>
      </c>
      <c r="L546" s="35" t="s">
        <v>46</v>
      </c>
      <c r="M546" s="36" t="s">
        <v>89</v>
      </c>
      <c r="N546" s="36"/>
      <c r="O546" s="35">
        <v>40</v>
      </c>
      <c r="P546" s="66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1"/>
      <c r="R546" s="651"/>
      <c r="S546" s="651"/>
      <c r="T546" s="652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867</v>
      </c>
      <c r="AG546" s="75"/>
      <c r="AJ546" s="79" t="s">
        <v>46</v>
      </c>
      <c r="AK546" s="79">
        <v>0</v>
      </c>
      <c r="BB546" s="640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647" t="s">
        <v>868</v>
      </c>
      <c r="B549" s="647"/>
      <c r="C549" s="647"/>
      <c r="D549" s="647"/>
      <c r="E549" s="647"/>
      <c r="F549" s="647"/>
      <c r="G549" s="647"/>
      <c r="H549" s="647"/>
      <c r="I549" s="647"/>
      <c r="J549" s="647"/>
      <c r="K549" s="647"/>
      <c r="L549" s="647"/>
      <c r="M549" s="647"/>
      <c r="N549" s="647"/>
      <c r="O549" s="647"/>
      <c r="P549" s="647"/>
      <c r="Q549" s="647"/>
      <c r="R549" s="647"/>
      <c r="S549" s="647"/>
      <c r="T549" s="647"/>
      <c r="U549" s="647"/>
      <c r="V549" s="647"/>
      <c r="W549" s="647"/>
      <c r="X549" s="647"/>
      <c r="Y549" s="647"/>
      <c r="Z549" s="647"/>
      <c r="AA549" s="62"/>
      <c r="AB549" s="62"/>
      <c r="AC549" s="62"/>
    </row>
    <row r="550" spans="1:68" ht="14.25" hidden="1" customHeight="1" x14ac:dyDescent="0.25">
      <c r="A550" s="648" t="s">
        <v>156</v>
      </c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8"/>
      <c r="P550" s="648"/>
      <c r="Q550" s="648"/>
      <c r="R550" s="648"/>
      <c r="S550" s="648"/>
      <c r="T550" s="648"/>
      <c r="U550" s="648"/>
      <c r="V550" s="648"/>
      <c r="W550" s="648"/>
      <c r="X550" s="648"/>
      <c r="Y550" s="648"/>
      <c r="Z550" s="648"/>
      <c r="AA550" s="63"/>
      <c r="AB550" s="63"/>
      <c r="AC550" s="63"/>
    </row>
    <row r="551" spans="1:68" ht="27" hidden="1" customHeight="1" x14ac:dyDescent="0.25">
      <c r="A551" s="60" t="s">
        <v>869</v>
      </c>
      <c r="B551" s="60" t="s">
        <v>870</v>
      </c>
      <c r="C551" s="34">
        <v>4301020441</v>
      </c>
      <c r="D551" s="649">
        <v>4680115889798</v>
      </c>
      <c r="E551" s="649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126</v>
      </c>
      <c r="L551" s="35" t="s">
        <v>46</v>
      </c>
      <c r="M551" s="36" t="s">
        <v>125</v>
      </c>
      <c r="N551" s="36"/>
      <c r="O551" s="35">
        <v>50</v>
      </c>
      <c r="P551" s="65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1"/>
      <c r="R551" s="651"/>
      <c r="S551" s="651"/>
      <c r="T551" s="652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871</v>
      </c>
      <c r="AG551" s="75"/>
      <c r="AJ551" s="79" t="s">
        <v>46</v>
      </c>
      <c r="AK551" s="79">
        <v>0</v>
      </c>
      <c r="BB551" s="642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656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3" t="s">
        <v>40</v>
      </c>
      <c r="Q552" s="654"/>
      <c r="R552" s="654"/>
      <c r="S552" s="654"/>
      <c r="T552" s="654"/>
      <c r="U552" s="654"/>
      <c r="V552" s="655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656"/>
      <c r="B554" s="656"/>
      <c r="C554" s="656"/>
      <c r="D554" s="656"/>
      <c r="E554" s="656"/>
      <c r="F554" s="656"/>
      <c r="G554" s="656"/>
      <c r="H554" s="656"/>
      <c r="I554" s="656"/>
      <c r="J554" s="656"/>
      <c r="K554" s="656"/>
      <c r="L554" s="656"/>
      <c r="M554" s="656"/>
      <c r="N554" s="656"/>
      <c r="O554" s="661"/>
      <c r="P554" s="658" t="s">
        <v>33</v>
      </c>
      <c r="Q554" s="659"/>
      <c r="R554" s="659"/>
      <c r="S554" s="659"/>
      <c r="T554" s="659"/>
      <c r="U554" s="659"/>
      <c r="V554" s="660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1560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1560</v>
      </c>
      <c r="Z554" s="40"/>
      <c r="AA554" s="64"/>
      <c r="AB554" s="64"/>
      <c r="AC554" s="64"/>
    </row>
    <row r="555" spans="1:68" x14ac:dyDescent="0.2">
      <c r="A555" s="65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61"/>
      <c r="P555" s="658" t="s">
        <v>34</v>
      </c>
      <c r="Q555" s="659"/>
      <c r="R555" s="659"/>
      <c r="S555" s="659"/>
      <c r="T555" s="659"/>
      <c r="U555" s="659"/>
      <c r="V555" s="660"/>
      <c r="W555" s="40" t="s">
        <v>0</v>
      </c>
      <c r="X555" s="41">
        <f>IFERROR(SUM(BM22:BM551),"0")</f>
        <v>1608.88</v>
      </c>
      <c r="Y555" s="41">
        <f>IFERROR(SUM(BN22:BN551),"0")</f>
        <v>1608.88</v>
      </c>
      <c r="Z555" s="40"/>
      <c r="AA555" s="64"/>
      <c r="AB555" s="64"/>
      <c r="AC555" s="64"/>
    </row>
    <row r="556" spans="1:68" x14ac:dyDescent="0.2">
      <c r="A556" s="656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61"/>
      <c r="P556" s="658" t="s">
        <v>35</v>
      </c>
      <c r="Q556" s="659"/>
      <c r="R556" s="659"/>
      <c r="S556" s="659"/>
      <c r="T556" s="659"/>
      <c r="U556" s="659"/>
      <c r="V556" s="660"/>
      <c r="W556" s="40" t="s">
        <v>20</v>
      </c>
      <c r="X556" s="42">
        <f>ROUNDUP(SUM(BO22:BO551),0)</f>
        <v>3</v>
      </c>
      <c r="Y556" s="42">
        <f>ROUNDUP(SUM(BP22:BP551),0)</f>
        <v>3</v>
      </c>
      <c r="Z556" s="40"/>
      <c r="AA556" s="64"/>
      <c r="AB556" s="64"/>
      <c r="AC556" s="64"/>
    </row>
    <row r="557" spans="1:68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61"/>
      <c r="P557" s="658" t="s">
        <v>36</v>
      </c>
      <c r="Q557" s="659"/>
      <c r="R557" s="659"/>
      <c r="S557" s="659"/>
      <c r="T557" s="659"/>
      <c r="U557" s="659"/>
      <c r="V557" s="660"/>
      <c r="W557" s="40" t="s">
        <v>0</v>
      </c>
      <c r="X557" s="41">
        <f>GrossWeightTotal+PalletQtyTotal*25</f>
        <v>1683.88</v>
      </c>
      <c r="Y557" s="41">
        <f>GrossWeightTotalR+PalletQtyTotalR*25</f>
        <v>1683.88</v>
      </c>
      <c r="Z557" s="40"/>
      <c r="AA557" s="64"/>
      <c r="AB557" s="64"/>
      <c r="AC557" s="64"/>
    </row>
    <row r="558" spans="1:68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61"/>
      <c r="P558" s="658" t="s">
        <v>37</v>
      </c>
      <c r="Q558" s="659"/>
      <c r="R558" s="659"/>
      <c r="S558" s="659"/>
      <c r="T558" s="659"/>
      <c r="U558" s="659"/>
      <c r="V558" s="660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104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104</v>
      </c>
      <c r="Z558" s="40"/>
      <c r="AA558" s="64"/>
      <c r="AB558" s="64"/>
      <c r="AC558" s="64"/>
    </row>
    <row r="559" spans="1:68" ht="14.25" hidden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61"/>
      <c r="P559" s="658" t="s">
        <v>38</v>
      </c>
      <c r="Q559" s="659"/>
      <c r="R559" s="659"/>
      <c r="S559" s="659"/>
      <c r="T559" s="659"/>
      <c r="U559" s="659"/>
      <c r="V559" s="660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2.262</v>
      </c>
      <c r="AA559" s="64"/>
      <c r="AB559" s="64"/>
      <c r="AC559" s="64"/>
    </row>
    <row r="560" spans="1:68" ht="13.5" thickBot="1" x14ac:dyDescent="0.25"/>
    <row r="561" spans="1:32" ht="27" thickTop="1" thickBot="1" x14ac:dyDescent="0.25">
      <c r="A561" s="44" t="s">
        <v>9</v>
      </c>
      <c r="B561" s="80" t="s">
        <v>75</v>
      </c>
      <c r="C561" s="80" t="s">
        <v>45</v>
      </c>
      <c r="D561" s="643" t="s">
        <v>119</v>
      </c>
      <c r="E561" s="643" t="s">
        <v>119</v>
      </c>
      <c r="F561" s="643" t="s">
        <v>119</v>
      </c>
      <c r="G561" s="643" t="s">
        <v>119</v>
      </c>
      <c r="H561" s="643" t="s">
        <v>119</v>
      </c>
      <c r="I561" s="643" t="s">
        <v>119</v>
      </c>
      <c r="J561" s="643" t="s">
        <v>119</v>
      </c>
      <c r="K561" s="643" t="s">
        <v>343</v>
      </c>
      <c r="L561" s="643" t="s">
        <v>343</v>
      </c>
      <c r="M561" s="643" t="s">
        <v>343</v>
      </c>
      <c r="N561" s="644"/>
      <c r="O561" s="643" t="s">
        <v>343</v>
      </c>
      <c r="P561" s="643" t="s">
        <v>343</v>
      </c>
      <c r="Q561" s="643" t="s">
        <v>343</v>
      </c>
      <c r="R561" s="643" t="s">
        <v>343</v>
      </c>
      <c r="S561" s="643" t="s">
        <v>343</v>
      </c>
      <c r="T561" s="643" t="s">
        <v>343</v>
      </c>
      <c r="U561" s="643" t="s">
        <v>343</v>
      </c>
      <c r="V561" s="643" t="s">
        <v>343</v>
      </c>
      <c r="W561" s="643" t="s">
        <v>700</v>
      </c>
      <c r="X561" s="643" t="s">
        <v>700</v>
      </c>
      <c r="Y561" s="643" t="s">
        <v>766</v>
      </c>
      <c r="Z561" s="643" t="s">
        <v>766</v>
      </c>
      <c r="AA561" s="80" t="s">
        <v>802</v>
      </c>
      <c r="AB561" s="643" t="s">
        <v>849</v>
      </c>
      <c r="AC561" s="643" t="s">
        <v>849</v>
      </c>
      <c r="AF561" s="1"/>
    </row>
    <row r="562" spans="1:32" ht="14.25" customHeight="1" thickTop="1" x14ac:dyDescent="0.2">
      <c r="A562" s="645" t="s">
        <v>10</v>
      </c>
      <c r="B562" s="643" t="s">
        <v>75</v>
      </c>
      <c r="C562" s="643" t="s">
        <v>103</v>
      </c>
      <c r="D562" s="643" t="s">
        <v>120</v>
      </c>
      <c r="E562" s="643" t="s">
        <v>136</v>
      </c>
      <c r="F562" s="643" t="s">
        <v>182</v>
      </c>
      <c r="G562" s="643" t="s">
        <v>205</v>
      </c>
      <c r="H562" s="643" t="s">
        <v>249</v>
      </c>
      <c r="I562" s="643" t="s">
        <v>262</v>
      </c>
      <c r="J562" s="643" t="s">
        <v>119</v>
      </c>
      <c r="K562" s="643" t="s">
        <v>344</v>
      </c>
      <c r="L562" s="643" t="s">
        <v>365</v>
      </c>
      <c r="M562" s="643" t="s">
        <v>439</v>
      </c>
      <c r="N562" s="1"/>
      <c r="O562" s="643" t="s">
        <v>507</v>
      </c>
      <c r="P562" s="643" t="s">
        <v>536</v>
      </c>
      <c r="Q562" s="643" t="s">
        <v>557</v>
      </c>
      <c r="R562" s="643" t="s">
        <v>566</v>
      </c>
      <c r="S562" s="643" t="s">
        <v>587</v>
      </c>
      <c r="T562" s="643" t="s">
        <v>596</v>
      </c>
      <c r="U562" s="643" t="s">
        <v>683</v>
      </c>
      <c r="V562" s="643" t="s">
        <v>690</v>
      </c>
      <c r="W562" s="643" t="s">
        <v>701</v>
      </c>
      <c r="X562" s="643" t="s">
        <v>750</v>
      </c>
      <c r="Y562" s="643" t="s">
        <v>767</v>
      </c>
      <c r="Z562" s="643" t="s">
        <v>790</v>
      </c>
      <c r="AA562" s="643" t="s">
        <v>802</v>
      </c>
      <c r="AB562" s="643" t="s">
        <v>849</v>
      </c>
      <c r="AC562" s="643" t="s">
        <v>868</v>
      </c>
      <c r="AF562" s="1"/>
    </row>
    <row r="563" spans="1:32" ht="13.5" thickBot="1" x14ac:dyDescent="0.25">
      <c r="A563" s="646"/>
      <c r="B563" s="643"/>
      <c r="C563" s="643"/>
      <c r="D563" s="643"/>
      <c r="E563" s="643"/>
      <c r="F563" s="643"/>
      <c r="G563" s="643"/>
      <c r="H563" s="643"/>
      <c r="I563" s="643"/>
      <c r="J563" s="643"/>
      <c r="K563" s="643"/>
      <c r="L563" s="643"/>
      <c r="M563" s="643"/>
      <c r="N563" s="1"/>
      <c r="O563" s="643"/>
      <c r="P563" s="643"/>
      <c r="Q563" s="643"/>
      <c r="R563" s="643"/>
      <c r="S563" s="643"/>
      <c r="T563" s="643"/>
      <c r="U563" s="643"/>
      <c r="V563" s="643"/>
      <c r="W563" s="643"/>
      <c r="X563" s="643"/>
      <c r="Y563" s="643"/>
      <c r="Z563" s="643"/>
      <c r="AA563" s="643"/>
      <c r="AB563" s="643"/>
      <c r="AC563" s="643"/>
      <c r="AF563" s="1"/>
    </row>
    <row r="564" spans="1:32" ht="18" thickTop="1" thickBot="1" x14ac:dyDescent="0.25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0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0">
        <f>IFERROR(Y85*1,"0")+IFERROR(Y86*1,"0")+IFERROR(Y87*1,"0")+IFERROR(Y88*1,"0")+IFERROR(Y89*1,"0")+IFERROR(Y93*1,"0")+IFERROR(Y94*1,"0")+IFERROR(Y95*1,"0")+IFERROR(Y96*1,"0")</f>
        <v>0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0</v>
      </c>
      <c r="P564" s="50">
        <f>IFERROR(Y321*1,"0")+IFERROR(Y322*1,"0")+IFERROR(Y323*1,"0")+IFERROR(Y324*1,"0")+IFERROR(Y325*1,"0")+IFERROR(Y326*1,"0")</f>
        <v>0</v>
      </c>
      <c r="Q564" s="50">
        <f>IFERROR(Y331*1,"0")+IFERROR(Y332*1,"0")+IFERROR(Y333*1,"0")</f>
        <v>0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1560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560,00"/>
        <filter val="1 608,88"/>
        <filter val="1 683,88"/>
        <filter val="104,00"/>
        <filter val="3"/>
        <filter val="300,00"/>
        <filter val="34,00"/>
        <filter val="360,00"/>
        <filter val="390,00"/>
        <filter val="510,00"/>
        <filter val="70,0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1" t="s">
        <v>873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874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875</v>
      </c>
      <c r="C6" s="51" t="s">
        <v>876</v>
      </c>
      <c r="D6" s="51" t="s">
        <v>877</v>
      </c>
      <c r="E6" s="51" t="s">
        <v>46</v>
      </c>
    </row>
    <row r="7" spans="2:8" x14ac:dyDescent="0.2">
      <c r="B7" s="51" t="s">
        <v>878</v>
      </c>
      <c r="C7" s="51" t="s">
        <v>879</v>
      </c>
      <c r="D7" s="51" t="s">
        <v>880</v>
      </c>
      <c r="E7" s="51" t="s">
        <v>46</v>
      </c>
    </row>
    <row r="8" spans="2:8" x14ac:dyDescent="0.2">
      <c r="B8" s="51" t="s">
        <v>881</v>
      </c>
      <c r="C8" s="51" t="s">
        <v>882</v>
      </c>
      <c r="D8" s="51" t="s">
        <v>883</v>
      </c>
      <c r="E8" s="51" t="s">
        <v>46</v>
      </c>
    </row>
    <row r="9" spans="2:8" x14ac:dyDescent="0.2">
      <c r="B9" s="51" t="s">
        <v>884</v>
      </c>
      <c r="C9" s="51" t="s">
        <v>885</v>
      </c>
      <c r="D9" s="51" t="s">
        <v>886</v>
      </c>
      <c r="E9" s="51" t="s">
        <v>46</v>
      </c>
    </row>
    <row r="10" spans="2:8" x14ac:dyDescent="0.2">
      <c r="B10" s="51" t="s">
        <v>887</v>
      </c>
      <c r="C10" s="51" t="s">
        <v>888</v>
      </c>
      <c r="D10" s="51" t="s">
        <v>889</v>
      </c>
      <c r="E10" s="51" t="s">
        <v>46</v>
      </c>
    </row>
    <row r="11" spans="2:8" x14ac:dyDescent="0.2">
      <c r="B11" s="51" t="s">
        <v>890</v>
      </c>
      <c r="C11" s="51" t="s">
        <v>891</v>
      </c>
      <c r="D11" s="51" t="s">
        <v>892</v>
      </c>
      <c r="E11" s="51" t="s">
        <v>46</v>
      </c>
    </row>
    <row r="12" spans="2:8" x14ac:dyDescent="0.2">
      <c r="B12" s="51" t="s">
        <v>893</v>
      </c>
      <c r="C12" s="51" t="s">
        <v>894</v>
      </c>
      <c r="D12" s="51" t="s">
        <v>895</v>
      </c>
      <c r="E12" s="51" t="s">
        <v>46</v>
      </c>
    </row>
    <row r="14" spans="2:8" x14ac:dyDescent="0.2">
      <c r="B14" s="51" t="s">
        <v>896</v>
      </c>
      <c r="C14" s="51" t="s">
        <v>876</v>
      </c>
      <c r="D14" s="51" t="s">
        <v>46</v>
      </c>
      <c r="E14" s="51" t="s">
        <v>46</v>
      </c>
    </row>
    <row r="16" spans="2:8" x14ac:dyDescent="0.2">
      <c r="B16" s="51" t="s">
        <v>897</v>
      </c>
      <c r="C16" s="51" t="s">
        <v>879</v>
      </c>
      <c r="D16" s="51" t="s">
        <v>46</v>
      </c>
      <c r="E16" s="51" t="s">
        <v>46</v>
      </c>
    </row>
    <row r="18" spans="2:5" x14ac:dyDescent="0.2">
      <c r="B18" s="51" t="s">
        <v>898</v>
      </c>
      <c r="C18" s="51" t="s">
        <v>882</v>
      </c>
      <c r="D18" s="51" t="s">
        <v>46</v>
      </c>
      <c r="E18" s="51" t="s">
        <v>46</v>
      </c>
    </row>
    <row r="20" spans="2:5" x14ac:dyDescent="0.2">
      <c r="B20" s="51" t="s">
        <v>899</v>
      </c>
      <c r="C20" s="51" t="s">
        <v>885</v>
      </c>
      <c r="D20" s="51" t="s">
        <v>46</v>
      </c>
      <c r="E20" s="51" t="s">
        <v>46</v>
      </c>
    </row>
    <row r="22" spans="2:5" x14ac:dyDescent="0.2">
      <c r="B22" s="51" t="s">
        <v>900</v>
      </c>
      <c r="C22" s="51" t="s">
        <v>888</v>
      </c>
      <c r="D22" s="51" t="s">
        <v>46</v>
      </c>
      <c r="E22" s="51" t="s">
        <v>46</v>
      </c>
    </row>
    <row r="24" spans="2:5" x14ac:dyDescent="0.2">
      <c r="B24" s="51" t="s">
        <v>901</v>
      </c>
      <c r="C24" s="51" t="s">
        <v>891</v>
      </c>
      <c r="D24" s="51" t="s">
        <v>46</v>
      </c>
      <c r="E24" s="51" t="s">
        <v>46</v>
      </c>
    </row>
    <row r="26" spans="2:5" x14ac:dyDescent="0.2">
      <c r="B26" s="51" t="s">
        <v>902</v>
      </c>
      <c r="C26" s="51" t="s">
        <v>894</v>
      </c>
      <c r="D26" s="51" t="s">
        <v>46</v>
      </c>
      <c r="E26" s="51" t="s">
        <v>46</v>
      </c>
    </row>
    <row r="28" spans="2:5" x14ac:dyDescent="0.2">
      <c r="B28" s="51" t="s">
        <v>903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904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905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906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907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908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909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910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911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912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913</v>
      </c>
      <c r="C38" s="51" t="s">
        <v>46</v>
      </c>
      <c r="D38" s="51" t="s">
        <v>46</v>
      </c>
      <c r="E38" s="51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2026-09-21T09:41:15Z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