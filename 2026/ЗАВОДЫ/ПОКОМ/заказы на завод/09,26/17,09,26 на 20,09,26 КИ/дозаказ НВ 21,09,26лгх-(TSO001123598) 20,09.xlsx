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7794516-D458-4AB3-B528-BBA405616E5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127" i="2" l="1"/>
  <c r="Z128" i="2" s="1"/>
  <c r="Z40" i="2"/>
  <c r="Z286" i="2"/>
  <c r="BN127" i="2"/>
  <c r="Z224" i="2"/>
  <c r="BP88" i="2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355" i="2" l="1"/>
  <c r="Z170" i="2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<sst xmlns="http://schemas.openxmlformats.org/spreadsheetml/2006/main" count="4298" uniqueCount="916">
  <si>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</si>
  <si>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</si>
  <si>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</si>
  <si>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</si>
  <si>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</si>
  <si>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</si>
  <si>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</si>
  <si>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</si>
  <si>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</si>
  <si>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</si>
  <si>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</si>
  <si>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</si>
  <si>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</si>
  <si>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</si>
  <si>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</si>
  <si>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</si>
  <si>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</si>
  <si>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</si>
  <si>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</si>
  <si>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</si>
  <si>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</si>
  <si>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</si>
  <si>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</si>
  <si>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</si>
  <si>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</si>
  <si>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</si>
  <si>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</si>
  <si>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</si>
  <si>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</si>
  <si>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</si>
  <si>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</si>
  <si>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</si>
  <si>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</si>
  <si>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</si>
  <si>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</si>
  <si>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</si>
  <si>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</si>
  <si>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</si>
  <si>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</si>
  <si>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</si>
  <si>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</si>
  <si>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</si>
  <si>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</si>
  <si>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</si>
  <si>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</si>
  <si>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</si>
  <si>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</si>
  <si>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</si>
  <si>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</si>
  <si>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</si>
  <si>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</si>
  <si>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</si>
  <si>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</si>
  <si>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</si>
  <si>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</si>
  <si>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</si>
  <si>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</si>
  <si>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</si>
  <si>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</si>
  <si>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</si>
  <si>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</si>
  <si>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</si>
  <si>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</si>
  <si>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</si>
  <si>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</si>
  <si>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</si>
  <si>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</si>
  <si>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</si>
  <si>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</si>
  <si>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</si>
  <si>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</si>
  <si>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</si>
  <si>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</si>
  <si>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</si>
  <si>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</si>
  <si>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</si>
  <si>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</si>
  <si>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</si>
  <si>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</si>
  <si>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</si>
  <si>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</si>
  <si>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</si>
  <si>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</si>
  <si>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</si>
  <si>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</si>
  <si>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</si>
  <si>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</si>
  <si>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</si>
  <si>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</si>
  <si>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</si>
  <si>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</si>
  <si>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</si>
  <si>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</si>
  <si>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</si>
  <si>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</si>
  <si>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</si>
  <si>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</si>
  <si>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</si>
  <si>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</si>
  <si>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</si>
  <si>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</si>
  <si>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</si>
  <si>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</si>
  <si>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</si>
  <si>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</si>
  <si>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</si>
  <si>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</si>
  <si>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</si>
  <si>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</si>
  <si>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</si>
  <si>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</si>
  <si>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</si>
  <si>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</si>
  <si>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</si>
  <si>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</si>
  <si>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</si>
  <si>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</si>
  <si>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</si>
  <si>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</si>
  <si>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</si>
  <si>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</si>
  <si>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</si>
  <si>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</si>
  <si>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</si>
  <si>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</si>
  <si>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</si>
  <si>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</si>
  <si>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</si>
  <si>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</si>
  <si>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</si>
  <si>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</si>
  <si>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</si>
  <si>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</si>
  <si>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</si>
  <si>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</si>
  <si>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</si>
  <si>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</si>
  <si>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</si>
  <si>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</si>
  <si>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</si>
  <si>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</si>
  <si>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</si>
  <si>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</si>
  <si>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</si>
  <si>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</si>
  <si>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</si>
  <si>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</si>
  <si>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</si>
  <si>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</si>
  <si>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</si>
  <si>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</si>
  <si>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</si>
  <si>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</si>
  <si>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</si>
  <si>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</si>
  <si>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</si>
  <si>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</si>
  <si>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</si>
  <si>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</si>
  <si>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</si>
  <si>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</si>
  <si>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</si>
  <si>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</si>
  <si>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</si>
  <si>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</si>
  <si>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</si>
  <si>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</si>
  <si>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</si>
  <si>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</si>
  <si>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</si>
  <si>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</si>
  <si>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</si>
  <si>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</si>
  <si>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</si>
  <si>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</si>
  <si>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</si>
  <si>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</si>
  <si>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</si>
  <si>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</si>
  <si>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</si>
  <si>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</si>
  <si>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</si>
  <si>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</si>
  <si>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</si>
  <si>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</si>
  <si>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</si>
  <si>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</si>
  <si>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</si>
  <si>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</si>
  <si>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</si>
  <si>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</si>
  <si>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</si>
  <si>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</si>
  <si>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</si>
  <si>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</si>
  <si>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</si>
  <si>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</si>
  <si>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</si>
  <si>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</si>
  <si>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</si>
  <si>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</si>
  <si>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</si>
  <si>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</si>
  <si>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</si>
  <si>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</si>
  <si>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</si>
  <si>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</si>
  <si>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</si>
  <si>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</si>
  <si>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</si>
  <si>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</si>
  <si>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</si>
  <si>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</si>
  <si>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</si>
  <si>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</si>
  <si>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</si>
  <si>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</si>
  <si>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</si>
  <si>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</si>
  <si>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</si>
  <si>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</si>
  <si>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</si>
  <si>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</si>
  <si>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</si>
  <si>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</si>
  <si>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</si>
  <si>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</si>
  <si>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</si>
  <si>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</si>
  <si>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</si>
  <si>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</si>
  <si>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</si>
  <si>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</si>
  <si>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</si>
  <si>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</si>
  <si>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</si>
  <si>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</si>
  <si>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</si>
  <si>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</si>
  <si>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</si>
  <si>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</si>
  <si>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</si>
  <si>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</si>
  <si>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</si>
  <si>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</si>
  <si>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</si>
  <si>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</si>
  <si>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</si>
  <si>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</si>
  <si>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</si>
  <si>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</si>
  <si>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</si>
  <si>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</si>
  <si>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</si>
  <si>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</si>
  <si>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</si>
  <si>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</si>
  <si>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</si>
  <si>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</si>
  <si>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</si>
  <si>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</si>
  <si>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</si>
  <si>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</si>
  <si>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</si>
  <si>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</si>
  <si>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</si>
  <si>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</si>
  <si>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</si>
  <si>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</si>
  <si>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</si>
  <si>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</si>
  <si>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</si>
  <si>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</si>
  <si>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</si>
  <si>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</si>
  <si>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</si>
  <si>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</si>
  <si>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</si>
  <si>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</si>
  <si>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</si>
  <si>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</si>
  <si>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</si>
  <si>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</si>
  <si>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</si>
  <si>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</si>
  <si>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</si>
  <si>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</si>
  <si>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</si>
  <si>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</si>
  <si>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</si>
  <si>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</si>
  <si>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</si>
  <si>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</si>
  <si>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</si>
  <si>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</si>
  <si>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</si>
  <si>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</si>
  <si>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</si>
  <si>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</si>
  <si>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</si>
  <si>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</si>
  <si>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</si>
  <si>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</si>
  <si>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</si>
  <si>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</si>
  <si>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</si>
  <si>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</si>
  <si>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</si>
  <si>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</si>
  <si>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</si>
  <si>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</si>
  <si>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</si>
  <si>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</si>
  <si>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</si>
  <si>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</si>
  <si>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</si>
  <si>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</si>
  <si>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</si>
  <si>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</si>
  <si>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</si>
  <si>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</si>
  <si>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</si>
  <si>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</si>
  <si>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</si>
  <si>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</si>
  <si>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</si>
  <si>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</si>
  <si>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</si>
  <si>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</si>
  <si>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</si>
  <si>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</si>
  <si>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</si>
  <si>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</si>
  <si>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</si>
  <si>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</si>
  <si>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</si>
  <si>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</si>
  <si>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</si>
  <si>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</si>
  <si>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</si>
  <si>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</si>
  <si>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</si>
  <si>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</si>
  <si>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</si>
  <si>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</si>
  <si>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</si>
  <si>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</si>
  <si>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</si>
  <si>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</si>
  <si>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</si>
  <si>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</si>
  <si>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</si>
  <si>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</si>
  <si>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</si>
  <si>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</si>
  <si>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</si>
  <si>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</si>
  <si>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</si>
  <si>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</si>
  <si>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</si>
  <si>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</si>
  <si>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</si>
  <si>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</si>
  <si>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</si>
  <si>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</si>
  <si>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</si>
  <si>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</si>
  <si>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</si>
  <si>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</si>
  <si>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</si>
  <si>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</si>
  <si>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</si>
  <si>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</si>
  <si>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</si>
  <si>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</si>
  <si>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</si>
  <si>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</si>
  <si>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</si>
  <si>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</si>
  <si>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</si>
  <si>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</si>
  <si>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</si>
  <si>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</si>
  <si>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</si>
  <si>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</si>
  <si>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</si>
  <si>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</si>
  <si>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</si>
  <si>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</si>
  <si>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</si>
  <si>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</si>
  <si>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</si>
  <si>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</si>
  <si>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</si>
  <si>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</si>
  <si>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</si>
  <si>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</si>
  <si>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</si>
  <si>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</si>
  <si>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</si>
  <si>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</si>
  <si>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</si>
  <si>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</si>
  <si>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</si>
  <si>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</si>
  <si>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</si>
  <si>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</si>
  <si>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</si>
  <si>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</si>
  <si>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</si>
  <si>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</si>
  <si>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</si>
  <si>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</si>
  <si>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</si>
  <si>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</si>
  <si>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</si>
  <si>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</si>
  <si>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</si>
  <si>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</si>
  <si>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</si>
  <si>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</si>
  <si>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</si>
  <si>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</si>
  <si>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</si>
  <si>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</si>
  <si>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</si>
  <si>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</si>
  <si>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</si>
  <si>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</si>
  <si>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</si>
  <si>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</si>
  <si>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</si>
  <si>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</si>
  <si>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</si>
  <si>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</si>
  <si>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</si>
  <si>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</si>
  <si>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</si>
  <si>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</si>
  <si>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</si>
  <si>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</si>
  <si>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</si>
  <si>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</si>
  <si>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</si>
  <si>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</si>
  <si>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</si>
  <si>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</si>
  <si>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</si>
  <si>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</si>
  <si>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</si>
  <si>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</si>
  <si>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</si>
  <si>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</si>
  <si>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</si>
  <si>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</si>
  <si>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</si>
  <si>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</si>
  <si>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</si>
  <si>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</si>
  <si>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</si>
  <si>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</si>
  <si>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</si>
  <si>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</si>
  <si>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</si>
  <si>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</si>
  <si>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</si>
  <si>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</si>
  <si>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</si>
  <si>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</si>
  <si>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</si>
  <si>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</si>
  <si>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</si>
  <si>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</si>
  <si>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</si>
  <si>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</si>
  <si>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</si>
  <si>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</si>
  <si>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</si>
  <si>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</si>
  <si>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</si>
  <si>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</si>
  <si>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</si>
  <si>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</si>
  <si>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</si>
  <si>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</si>
  <si>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</si>
  <si>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</si>
  <si>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</si>
  <si>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</si>
  <si>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</si>
  <si>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</si>
  <si>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</si>
  <si>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</si>
  <si>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</si>
  <si>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</si>
  <si>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</si>
  <si>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</si>
  <si>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</si>
  <si>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</si>
  <si>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</si>
  <si>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</si>
  <si>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</si>
  <si>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</si>
  <si>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</si>
  <si>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</si>
  <si>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</si>
  <si>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</si>
  <si>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</si>
  <si>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</si>
  <si>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</si>
  <si>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</si>
  <si>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</si>
  <si>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</si>
  <si>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</si>
  <si>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</si>
  <si>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</si>
  <si>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</si>
  <si>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</si>
  <si>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</si>
  <si>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</si>
  <si>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</si>
  <si>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</si>
  <si>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</si>
  <si>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</si>
  <si>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</si>
  <si>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</si>
  <si>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</si>
  <si>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</si>
  <si>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</si>
  <si>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</si>
  <si>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</si>
  <si>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</si>
  <si>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</si>
  <si>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</si>
  <si>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</si>
  <si>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</si>
  <si>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</si>
  <si>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</si>
  <si>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</si>
  <si>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</si>
  <si>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</si>
  <si>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</si>
  <si>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</si>
  <si>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</si>
  <si>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</si>
  <si>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</si>
  <si>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</si>
  <si>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</si>
  <si>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</si>
  <si>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</si>
  <si>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</si>
  <si>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</si>
  <si>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</si>
  <si>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</si>
  <si>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</si>
  <si>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</si>
  <si>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</si>
  <si>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</si>
  <si>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</si>
  <si>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</si>
  <si>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</si>
  <si>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</si>
  <si>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</si>
  <si>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</si>
  <si>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</si>
  <si>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</si>
  <si>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</si>
  <si>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</si>
  <si>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</si>
  <si>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</si>
  <si>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</si>
  <si>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</si>
  <si>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</si>
  <si>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</si>
  <si>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</si>
  <si>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</si>
  <si>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</si>
  <si>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</si>
  <si>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</si>
  <si>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</si>
  <si>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</si>
  <si>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</si>
  <si>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</si>
  <si>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</si>
  <si>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</si>
  <si>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</si>
  <si>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</si>
  <si>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</si>
  <si>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</si>
  <si>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</si>
  <si>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</si>
  <si>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</si>
  <si>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</si>
  <si>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</si>
  <si>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</si>
  <si>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</si>
  <si>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</si>
  <si>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</si>
  <si>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</si>
  <si>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</si>
  <si>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</si>
  <si>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</si>
  <si>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</si>
  <si>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</si>
  <si>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</si>
  <si>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</si>
  <si>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</si>
  <si>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</si>
  <si>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</si>
  <si>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</si>
  <si>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</si>
  <si>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</si>
  <si>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</si>
  <si>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</si>
  <si>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</si>
  <si>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</si>
  <si>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</si>
  <si>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</si>
  <si>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</si>
  <si>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</si>
  <si>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</si>
  <si>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</si>
  <si>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</si>
  <si>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</si>
  <si>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</si>
  <si>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</si>
  <si>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</si>
  <si>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</si>
  <si>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</si>
  <si>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</si>
  <si>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</si>
  <si>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</si>
  <si>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</si>
  <si>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</si>
  <si>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</si>
  <si>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</si>
  <si>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</si>
  <si>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</si>
  <si>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</si>
  <si>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</si>
  <si>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</si>
  <si>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</si>
  <si>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</si>
  <si>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</si>
  <si>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</si>
  <si>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</si>
  <si>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</si>
  <si>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</si>
  <si>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</si>
  <si>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</si>
  <si>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</si>
  <si>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</si>
  <si>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</si>
  <si>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</si>
  <si>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</si>
  <si>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</si>
  <si>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</si>
  <si>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</si>
  <si>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</si>
  <si>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</si>
  <si>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</si>
  <si>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</si>
  <si>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</si>
  <si>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</si>
  <si>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</si>
  <si>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</si>
  <si>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</si>
  <si>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</si>
  <si>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</si>
  <si>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</si>
  <si>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</si>
  <si>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</si>
  <si>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</si>
  <si>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</si>
  <si>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</si>
  <si>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</si>
  <si>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</si>
  <si>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</si>
  <si>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</si>
  <si>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</si>
  <si>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</si>
  <si>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</si>
  <si>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</si>
  <si>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</si>
  <si>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</si>
  <si>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</si>
  <si>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</si>
  <si>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</si>
  <si>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</si>
  <si>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</si>
  <si>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</si>
  <si>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</si>
  <si>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</si>
  <si>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</si>
  <si>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</si>
  <si>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</si>
  <si>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</si>
  <si>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</si>
  <si>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</si>
  <si>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</si>
  <si>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</si>
  <si>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</si>
  <si>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</si>
  <si>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</si>
  <si>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</si>
  <si>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</si>
  <si>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</si>
  <si>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</si>
  <si>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</si>
  <si>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</si>
  <si>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</si>
  <si>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</si>
  <si>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</si>
  <si>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</si>
  <si>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</si>
  <si>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</si>
  <si>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</si>
  <si>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</si>
  <si>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</si>
  <si>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</si>
  <si>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</si>
  <si>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</si>
  <si>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</si>
  <si>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</si>
  <si>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</si>
  <si>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</si>
  <si>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</si>
  <si>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</si>
  <si>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</si>
  <si>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</si>
  <si>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</si>
  <si>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</si>
  <si>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</si>
  <si>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</si>
  <si>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</si>
  <si>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</si>
  <si>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</si>
  <si>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</si>
  <si>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</si>
  <si>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</si>
  <si>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</si>
  <si>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</si>
  <si>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</si>
  <si>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</si>
  <si>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</si>
  <si>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</si>
  <si>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</si>
  <si>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</si>
  <si>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</si>
  <si>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</si>
  <si>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</si>
  <si>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</si>
  <si>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</si>
  <si>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</si>
  <si>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</si>
  <si>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</si>
  <si>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</si>
  <si>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</si>
  <si>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</si>
  <si>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</si>
  <si>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</si>
  <si>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</si>
  <si>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</si>
  <si>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</si>
  <si>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</si>
  <si>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</si>
  <si>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</si>
  <si>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</si>
  <si>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</si>
  <si>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</si>
  <si>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</si>
  <si>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</si>
  <si>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</si>
  <si>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</si>
  <si>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</si>
  <si>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</si>
  <si>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</si>
  <si>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</si>
  <si>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</si>
  <si>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</si>
  <si>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</si>
  <si>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</si>
  <si>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</si>
  <si>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</si>
  <si>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</si>
  <si>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</si>
  <si>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</si>
  <si>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</si>
  <si>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</si>
  <si>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</si>
  <si>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</si>
  <si>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</si>
  <si>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</si>
  <si>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</si>
  <si>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</si>
  <si>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</si>
  <si>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</si>
  <si>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</si>
  <si>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</si>
  <si>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</si>
  <si>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</si>
  <si>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</si>
  <si>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</si>
  <si>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</si>
  <si>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</si>
  <si>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</si>
  <si>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</si>
  <si>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</si>
  <si>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</si>
  <si>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</si>
  <si>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</si>
  <si>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</si>
  <si>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</si>
  <si>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</si>
  <si>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</si>
  <si>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</si>
  <si>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</si>
  <si>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</si>
  <si>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</si>
  <si>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</si>
  <si>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</si>
  <si>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</si>
  <si>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</si>
  <si>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</si>
  <si>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</si>
  <si>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</si>
  <si>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</si>
  <si>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</si>
  <si>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</si>
  <si>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</si>
  <si>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</si>
  <si>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</si>
  <si>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</si>
  <si>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</si>
  <si>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</si>
  <si>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</si>
  <si>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</si>
  <si>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</si>
  <si>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</si>
  <si>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</si>
  <si>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</si>
  <si>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</si>
  <si>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</si>
  <si>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</si>
  <si>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</si>
  <si>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</si>
  <si>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</si>
  <si>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</si>
  <si>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</si>
  <si>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</si>
  <si>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</si>
  <si>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</si>
  <si>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</si>
  <si>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</si>
  <si>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</si>
  <si>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</si>
  <si>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</si>
  <si>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</si>
  <si>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</si>
  <si>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</si>
  <si>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</si>
  <si>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</si>
  <si>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</si>
  <si>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</si>
  <si>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</si>
  <si>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</si>
  <si>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</si>
  <si>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</si>
  <si>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</si>
  <si>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</si>
  <si>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</si>
  <si>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</si>
  <si>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</si>
  <si>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</si>
  <si>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</si>
  <si>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</si>
  <si>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</si>
  <si>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</si>
  <si>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</si>
  <si>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</si>
  <si>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</si>
  <si>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</si>
  <si>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</si>
  <si>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</si>
  <si>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</si>
  <si>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</si>
  <si>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</si>
  <si>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</si>
  <si>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</si>
  <si>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</si>
  <si>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</si>
  <si>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</si>
  <si>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</si>
  <si>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</si>
  <si>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</si>
  <si>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</si>
  <si>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</si>
  <si>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</si>
  <si>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</si>
  <si>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</si>
  <si>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</si>
  <si>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</si>
  <si>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</si>
  <si>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</si>
  <si>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</si>
  <si>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</si>
  <si>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</si>
  <si>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</si>
  <si>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</si>
  <si>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</si>
  <si>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</si>
  <si>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</si>
  <si>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</si>
  <si>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</si>
  <si>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TSO001123598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</si>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</sst>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35" sqref="AA4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66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67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914</v>
      </c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890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69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6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57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0.5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70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915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60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77"/>
      <c r="BD17" s="76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85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85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119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120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121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136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121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156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85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174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121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85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205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156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85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174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249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76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262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85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277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119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121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156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76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85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338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343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344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121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365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156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76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85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277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436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439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121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156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76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85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174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507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121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156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529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338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536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121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888" t="s">
        <v>539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557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85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566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76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85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587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121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596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121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907" t="s">
        <v>599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76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85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174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277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665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674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683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85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690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85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700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701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121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705</v>
      </c>
      <c r="B427" s="60" t="s">
        <v>706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840</v>
      </c>
      <c r="Y428" s="53">
        <f t="shared" si="68"/>
        <v>840</v>
      </c>
      <c r="Z428" s="39">
        <f>IFERROR(IF(Y428=0,"",ROUNDUP(Y428/H428,0)*0.02175),"")</f>
        <v>1.218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866.32</v>
      </c>
      <c r="BN428" s="75">
        <f t="shared" si="70"/>
        <v>866.32</v>
      </c>
      <c r="BO428" s="75">
        <f t="shared" si="71"/>
        <v>1.1666666666666665</v>
      </c>
      <c r="BP428" s="75">
        <f t="shared" si="72"/>
        <v>1.1666666666666665</v>
      </c>
    </row>
    <row r="429" spans="1:68" ht="27" customHeight="1" x14ac:dyDescent="0.25">
      <c r="A429" s="60" t="s">
        <v>711</v>
      </c>
      <c r="B429" s="60" t="s">
        <v>712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900</v>
      </c>
      <c r="Y429" s="53">
        <f t="shared" si="68"/>
        <v>900</v>
      </c>
      <c r="Z429" s="39">
        <f>IFERROR(IF(Y429=0,"",ROUNDUP(Y429/H429,0)*0.02175),"")</f>
        <v>1.3049999999999999</v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928.2</v>
      </c>
      <c r="BN429" s="75">
        <f t="shared" si="70"/>
        <v>928.2</v>
      </c>
      <c r="BO429" s="75">
        <f t="shared" si="71"/>
        <v>1.25</v>
      </c>
      <c r="BP429" s="75">
        <f t="shared" si="72"/>
        <v>1.25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156</v>
      </c>
      <c r="Y434" s="41">
        <f>IFERROR(Y426/H426,"0")+IFERROR(Y427/H427,"0")+IFERROR(Y428/H428,"0")+IFERROR(Y429/H429,"0")+IFERROR(Y430/H430,"0")+IFERROR(Y431/H431,"0")+IFERROR(Y432/H432,"0")+IFERROR(Y433/H433,"0")</f>
        <v>156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3.3929999999999998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2340</v>
      </c>
      <c r="Y435" s="41">
        <f>IFERROR(SUM(Y426:Y433),"0")</f>
        <v>2340</v>
      </c>
      <c r="Z435" s="40"/>
      <c r="AA435" s="64"/>
      <c r="AB435" s="64"/>
      <c r="AC435" s="64"/>
    </row>
    <row r="436" spans="1:68" ht="14.25" hidden="1" customHeight="1" x14ac:dyDescent="0.25">
      <c r="A436" s="713" t="s">
        <v>156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726</v>
      </c>
      <c r="B437" s="60" t="s">
        <v>727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85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750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121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76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85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766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767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85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790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156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76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802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802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121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156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76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849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849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156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76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85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174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868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156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2340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2340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2413.3199999999997</v>
      </c>
      <c r="Y555" s="41">
        <f>IFERROR(SUM(BN22:BN551),"0")</f>
        <v>2413.3199999999997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4</v>
      </c>
      <c r="Y556" s="42">
        <f>ROUNDUP(SUM(BP22:BP551),0)</f>
        <v>4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2513.3199999999997</v>
      </c>
      <c r="Y557" s="41">
        <f>GrossWeightTotalR+PalletQtyTotalR*25</f>
        <v>2513.3199999999997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156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156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3.3929999999999998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75</v>
      </c>
      <c r="C561" s="80" t="s">
        <v>45</v>
      </c>
      <c r="D561" s="1007" t="s">
        <v>119</v>
      </c>
      <c r="E561" s="1007" t="s">
        <v>119</v>
      </c>
      <c r="F561" s="1007" t="s">
        <v>119</v>
      </c>
      <c r="G561" s="1007" t="s">
        <v>119</v>
      </c>
      <c r="H561" s="1007" t="s">
        <v>119</v>
      </c>
      <c r="I561" s="1007" t="s">
        <v>119</v>
      </c>
      <c r="J561" s="1007" t="s">
        <v>119</v>
      </c>
      <c r="K561" s="1007" t="s">
        <v>343</v>
      </c>
      <c r="L561" s="1007" t="s">
        <v>343</v>
      </c>
      <c r="M561" s="1007" t="s">
        <v>343</v>
      </c>
      <c r="N561" s="1008"/>
      <c r="O561" s="1007" t="s">
        <v>343</v>
      </c>
      <c r="P561" s="1007" t="s">
        <v>343</v>
      </c>
      <c r="Q561" s="1007" t="s">
        <v>343</v>
      </c>
      <c r="R561" s="1007" t="s">
        <v>343</v>
      </c>
      <c r="S561" s="1007" t="s">
        <v>343</v>
      </c>
      <c r="T561" s="1007" t="s">
        <v>343</v>
      </c>
      <c r="U561" s="1007" t="s">
        <v>343</v>
      </c>
      <c r="V561" s="1007" t="s">
        <v>343</v>
      </c>
      <c r="W561" s="1007" t="s">
        <v>700</v>
      </c>
      <c r="X561" s="1007" t="s">
        <v>700</v>
      </c>
      <c r="Y561" s="1007" t="s">
        <v>766</v>
      </c>
      <c r="Z561" s="1007" t="s">
        <v>766</v>
      </c>
      <c r="AA561" s="80" t="s">
        <v>802</v>
      </c>
      <c r="AB561" s="1007" t="s">
        <v>849</v>
      </c>
      <c r="AC561" s="1007" t="s">
        <v>849</v>
      </c>
      <c r="AF561" s="1"/>
    </row>
    <row r="562" spans="1:32" ht="14.25" customHeight="1" thickTop="1" x14ac:dyDescent="0.2">
      <c r="A562" s="1009" t="s">
        <v>10</v>
      </c>
      <c r="B562" s="1007" t="s">
        <v>75</v>
      </c>
      <c r="C562" s="1007" t="s">
        <v>103</v>
      </c>
      <c r="D562" s="1007" t="s">
        <v>120</v>
      </c>
      <c r="E562" s="1007" t="s">
        <v>136</v>
      </c>
      <c r="F562" s="1007" t="s">
        <v>182</v>
      </c>
      <c r="G562" s="1007" t="s">
        <v>205</v>
      </c>
      <c r="H562" s="1007" t="s">
        <v>249</v>
      </c>
      <c r="I562" s="1007" t="s">
        <v>262</v>
      </c>
      <c r="J562" s="1007" t="s">
        <v>119</v>
      </c>
      <c r="K562" s="1007" t="s">
        <v>344</v>
      </c>
      <c r="L562" s="1007" t="s">
        <v>365</v>
      </c>
      <c r="M562" s="1007" t="s">
        <v>439</v>
      </c>
      <c r="N562" s="1"/>
      <c r="O562" s="1007" t="s">
        <v>507</v>
      </c>
      <c r="P562" s="1007" t="s">
        <v>536</v>
      </c>
      <c r="Q562" s="1007" t="s">
        <v>557</v>
      </c>
      <c r="R562" s="1007" t="s">
        <v>566</v>
      </c>
      <c r="S562" s="1007" t="s">
        <v>587</v>
      </c>
      <c r="T562" s="1007" t="s">
        <v>596</v>
      </c>
      <c r="U562" s="1007" t="s">
        <v>683</v>
      </c>
      <c r="V562" s="1007" t="s">
        <v>690</v>
      </c>
      <c r="W562" s="1007" t="s">
        <v>701</v>
      </c>
      <c r="X562" s="1007" t="s">
        <v>750</v>
      </c>
      <c r="Y562" s="1007" t="s">
        <v>767</v>
      </c>
      <c r="Z562" s="1007" t="s">
        <v>790</v>
      </c>
      <c r="AA562" s="1007" t="s">
        <v>802</v>
      </c>
      <c r="AB562" s="1007" t="s">
        <v>849</v>
      </c>
      <c r="AC562" s="1007" t="s">
        <v>868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2340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6,00"/>
        <filter val="2 340,00"/>
        <filter val="2 413,32"/>
        <filter val="2 513,32"/>
        <filter val="4"/>
        <filter val="600,00"/>
        <filter val="840,00"/>
        <filter val="90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