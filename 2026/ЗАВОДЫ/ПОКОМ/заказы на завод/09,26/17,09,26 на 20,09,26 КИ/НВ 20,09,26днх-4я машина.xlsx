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34A5879-B730-4104-BC0E-6E0B1C8D906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1" l="1"/>
  <c r="X556" i="1"/>
  <c r="BP555" i="1"/>
  <c r="BO555" i="1"/>
  <c r="BM555" i="1"/>
  <c r="Z555" i="1"/>
  <c r="Y555" i="1"/>
  <c r="BN555" i="1" s="1"/>
  <c r="BO554" i="1"/>
  <c r="BN554" i="1"/>
  <c r="BM554" i="1"/>
  <c r="Y554" i="1"/>
  <c r="AC568" i="1" s="1"/>
  <c r="P554" i="1"/>
  <c r="X551" i="1"/>
  <c r="X550" i="1"/>
  <c r="BO549" i="1"/>
  <c r="BM549" i="1"/>
  <c r="Y549" i="1"/>
  <c r="P549" i="1"/>
  <c r="BO548" i="1"/>
  <c r="BM548" i="1"/>
  <c r="Y548" i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8" i="1"/>
  <c r="X537" i="1"/>
  <c r="BO536" i="1"/>
  <c r="BM536" i="1"/>
  <c r="Y536" i="1"/>
  <c r="P536" i="1"/>
  <c r="X534" i="1"/>
  <c r="X533" i="1"/>
  <c r="BO532" i="1"/>
  <c r="BM532" i="1"/>
  <c r="Y532" i="1"/>
  <c r="P532" i="1"/>
  <c r="X528" i="1"/>
  <c r="X527" i="1"/>
  <c r="BO526" i="1"/>
  <c r="BM526" i="1"/>
  <c r="Y526" i="1"/>
  <c r="P526" i="1"/>
  <c r="BO525" i="1"/>
  <c r="BN525" i="1"/>
  <c r="BM525" i="1"/>
  <c r="Y525" i="1"/>
  <c r="BP525" i="1" s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X512" i="1"/>
  <c r="X511" i="1"/>
  <c r="BO510" i="1"/>
  <c r="BM510" i="1"/>
  <c r="Y510" i="1"/>
  <c r="P510" i="1"/>
  <c r="BO509" i="1"/>
  <c r="BM509" i="1"/>
  <c r="Y509" i="1"/>
  <c r="BN509" i="1" s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BO505" i="1"/>
  <c r="BN505" i="1"/>
  <c r="BM505" i="1"/>
  <c r="Y505" i="1"/>
  <c r="BP505" i="1" s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P502" i="1"/>
  <c r="X498" i="1"/>
  <c r="X497" i="1"/>
  <c r="BO496" i="1"/>
  <c r="BM496" i="1"/>
  <c r="Y496" i="1"/>
  <c r="P496" i="1"/>
  <c r="BO495" i="1"/>
  <c r="BM495" i="1"/>
  <c r="Y495" i="1"/>
  <c r="BN495" i="1" s="1"/>
  <c r="P495" i="1"/>
  <c r="BO494" i="1"/>
  <c r="BM494" i="1"/>
  <c r="Y494" i="1"/>
  <c r="P494" i="1"/>
  <c r="X492" i="1"/>
  <c r="Y491" i="1"/>
  <c r="X491" i="1"/>
  <c r="BO490" i="1"/>
  <c r="BN490" i="1"/>
  <c r="BM490" i="1"/>
  <c r="Y490" i="1"/>
  <c r="Y492" i="1" s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BO478" i="1"/>
  <c r="BM478" i="1"/>
  <c r="Y478" i="1"/>
  <c r="P478" i="1"/>
  <c r="BO477" i="1"/>
  <c r="BM477" i="1"/>
  <c r="Y477" i="1"/>
  <c r="P477" i="1"/>
  <c r="BO476" i="1"/>
  <c r="BM476" i="1"/>
  <c r="Y476" i="1"/>
  <c r="P476" i="1"/>
  <c r="BO475" i="1"/>
  <c r="BM475" i="1"/>
  <c r="Y475" i="1"/>
  <c r="BN475" i="1" s="1"/>
  <c r="P475" i="1"/>
  <c r="X471" i="1"/>
  <c r="Y470" i="1"/>
  <c r="X470" i="1"/>
  <c r="BO469" i="1"/>
  <c r="BN469" i="1"/>
  <c r="BM469" i="1"/>
  <c r="Y469" i="1"/>
  <c r="BP469" i="1" s="1"/>
  <c r="P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P458" i="1"/>
  <c r="X455" i="1"/>
  <c r="X454" i="1"/>
  <c r="BO453" i="1"/>
  <c r="BM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O447" i="1"/>
  <c r="BM447" i="1"/>
  <c r="Y447" i="1"/>
  <c r="P447" i="1"/>
  <c r="BO446" i="1"/>
  <c r="BM446" i="1"/>
  <c r="Y446" i="1"/>
  <c r="BN446" i="1" s="1"/>
  <c r="P446" i="1"/>
  <c r="X444" i="1"/>
  <c r="X443" i="1"/>
  <c r="BO442" i="1"/>
  <c r="BM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N434" i="1"/>
  <c r="BM434" i="1"/>
  <c r="Y434" i="1"/>
  <c r="BP434" i="1" s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8" i="1"/>
  <c r="X417" i="1"/>
  <c r="BO416" i="1"/>
  <c r="BM416" i="1"/>
  <c r="Y416" i="1"/>
  <c r="P416" i="1"/>
  <c r="BO415" i="1"/>
  <c r="BM415" i="1"/>
  <c r="Y415" i="1"/>
  <c r="BN415" i="1" s="1"/>
  <c r="P415" i="1"/>
  <c r="X412" i="1"/>
  <c r="X411" i="1"/>
  <c r="BO410" i="1"/>
  <c r="BM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X406" i="1"/>
  <c r="X405" i="1"/>
  <c r="BO404" i="1"/>
  <c r="BN404" i="1"/>
  <c r="BM404" i="1"/>
  <c r="Y404" i="1"/>
  <c r="BP404" i="1" s="1"/>
  <c r="P404" i="1"/>
  <c r="BO403" i="1"/>
  <c r="BM403" i="1"/>
  <c r="Y403" i="1"/>
  <c r="P403" i="1"/>
  <c r="BO402" i="1"/>
  <c r="BM402" i="1"/>
  <c r="Y402" i="1"/>
  <c r="P402" i="1"/>
  <c r="X400" i="1"/>
  <c r="X399" i="1"/>
  <c r="BO398" i="1"/>
  <c r="BN398" i="1"/>
  <c r="BM398" i="1"/>
  <c r="Y398" i="1"/>
  <c r="BP398" i="1" s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X393" i="1"/>
  <c r="X392" i="1"/>
  <c r="BO391" i="1"/>
  <c r="BM391" i="1"/>
  <c r="Y391" i="1"/>
  <c r="P391" i="1"/>
  <c r="BO390" i="1"/>
  <c r="BM390" i="1"/>
  <c r="Y390" i="1"/>
  <c r="BN390" i="1" s="1"/>
  <c r="P390" i="1"/>
  <c r="BO389" i="1"/>
  <c r="BM389" i="1"/>
  <c r="Y389" i="1"/>
  <c r="P389" i="1"/>
  <c r="X387" i="1"/>
  <c r="X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X380" i="1"/>
  <c r="X379" i="1"/>
  <c r="BO378" i="1"/>
  <c r="BM378" i="1"/>
  <c r="Y378" i="1"/>
  <c r="P378" i="1"/>
  <c r="BO377" i="1"/>
  <c r="BM377" i="1"/>
  <c r="Y377" i="1"/>
  <c r="P377" i="1"/>
  <c r="BO376" i="1"/>
  <c r="BN376" i="1"/>
  <c r="BM376" i="1"/>
  <c r="Y376" i="1"/>
  <c r="BP376" i="1" s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X370" i="1"/>
  <c r="X369" i="1"/>
  <c r="BO368" i="1"/>
  <c r="BM368" i="1"/>
  <c r="Y368" i="1"/>
  <c r="P368" i="1"/>
  <c r="BO367" i="1"/>
  <c r="BM367" i="1"/>
  <c r="Y367" i="1"/>
  <c r="P367" i="1"/>
  <c r="BO366" i="1"/>
  <c r="BN366" i="1"/>
  <c r="BM366" i="1"/>
  <c r="Y366" i="1"/>
  <c r="BP366" i="1" s="1"/>
  <c r="P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O357" i="1"/>
  <c r="BN357" i="1"/>
  <c r="BM357" i="1"/>
  <c r="Y357" i="1"/>
  <c r="BP357" i="1" s="1"/>
  <c r="P357" i="1"/>
  <c r="BO356" i="1"/>
  <c r="BM356" i="1"/>
  <c r="Y356" i="1"/>
  <c r="P356" i="1"/>
  <c r="X353" i="1"/>
  <c r="X352" i="1"/>
  <c r="BO351" i="1"/>
  <c r="BM351" i="1"/>
  <c r="Y351" i="1"/>
  <c r="P351" i="1"/>
  <c r="BO350" i="1"/>
  <c r="BM350" i="1"/>
  <c r="Y350" i="1"/>
  <c r="P350" i="1"/>
  <c r="X348" i="1"/>
  <c r="X347" i="1"/>
  <c r="BO346" i="1"/>
  <c r="BN346" i="1"/>
  <c r="BM346" i="1"/>
  <c r="Y346" i="1"/>
  <c r="BP346" i="1" s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O337" i="1"/>
  <c r="BN337" i="1"/>
  <c r="BM337" i="1"/>
  <c r="Y337" i="1"/>
  <c r="BP337" i="1" s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BN330" i="1" s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3" i="1"/>
  <c r="X322" i="1"/>
  <c r="BO321" i="1"/>
  <c r="BM321" i="1"/>
  <c r="Y321" i="1"/>
  <c r="BP321" i="1" s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7" i="1"/>
  <c r="X316" i="1"/>
  <c r="BO315" i="1"/>
  <c r="BM315" i="1"/>
  <c r="Y315" i="1"/>
  <c r="Y316" i="1" s="1"/>
  <c r="P315" i="1"/>
  <c r="X313" i="1"/>
  <c r="X312" i="1"/>
  <c r="BO311" i="1"/>
  <c r="BM311" i="1"/>
  <c r="Y311" i="1"/>
  <c r="Y312" i="1" s="1"/>
  <c r="P311" i="1"/>
  <c r="X309" i="1"/>
  <c r="X308" i="1"/>
  <c r="BO307" i="1"/>
  <c r="BM307" i="1"/>
  <c r="Y307" i="1"/>
  <c r="BP307" i="1" s="1"/>
  <c r="P307" i="1"/>
  <c r="BO306" i="1"/>
  <c r="BM306" i="1"/>
  <c r="Y306" i="1"/>
  <c r="P306" i="1"/>
  <c r="BO305" i="1"/>
  <c r="BM305" i="1"/>
  <c r="Y305" i="1"/>
  <c r="BP305" i="1" s="1"/>
  <c r="P305" i="1"/>
  <c r="BO304" i="1"/>
  <c r="BN304" i="1"/>
  <c r="BM304" i="1"/>
  <c r="Y304" i="1"/>
  <c r="BP304" i="1" s="1"/>
  <c r="P304" i="1"/>
  <c r="BO303" i="1"/>
  <c r="BM303" i="1"/>
  <c r="Y303" i="1"/>
  <c r="BP303" i="1" s="1"/>
  <c r="P303" i="1"/>
  <c r="BO302" i="1"/>
  <c r="BM302" i="1"/>
  <c r="Y302" i="1"/>
  <c r="P302" i="1"/>
  <c r="BO301" i="1"/>
  <c r="BM301" i="1"/>
  <c r="Y301" i="1"/>
  <c r="P301" i="1"/>
  <c r="X298" i="1"/>
  <c r="X297" i="1"/>
  <c r="BO296" i="1"/>
  <c r="BM296" i="1"/>
  <c r="Y296" i="1"/>
  <c r="BP296" i="1" s="1"/>
  <c r="P296" i="1"/>
  <c r="BO295" i="1"/>
  <c r="BN295" i="1"/>
  <c r="BM295" i="1"/>
  <c r="Y295" i="1"/>
  <c r="BP295" i="1" s="1"/>
  <c r="P295" i="1"/>
  <c r="X293" i="1"/>
  <c r="X292" i="1"/>
  <c r="BO291" i="1"/>
  <c r="BM291" i="1"/>
  <c r="Y291" i="1"/>
  <c r="P291" i="1"/>
  <c r="BO290" i="1"/>
  <c r="BM290" i="1"/>
  <c r="Y290" i="1"/>
  <c r="BP290" i="1" s="1"/>
  <c r="P290" i="1"/>
  <c r="BO289" i="1"/>
  <c r="BM289" i="1"/>
  <c r="Y289" i="1"/>
  <c r="BN289" i="1" s="1"/>
  <c r="P289" i="1"/>
  <c r="BO288" i="1"/>
  <c r="BM288" i="1"/>
  <c r="Y288" i="1"/>
  <c r="BP288" i="1" s="1"/>
  <c r="P288" i="1"/>
  <c r="BO287" i="1"/>
  <c r="BM287" i="1"/>
  <c r="Y287" i="1"/>
  <c r="P287" i="1"/>
  <c r="BO286" i="1"/>
  <c r="BM286" i="1"/>
  <c r="Y286" i="1"/>
  <c r="BP286" i="1" s="1"/>
  <c r="P286" i="1"/>
  <c r="BO285" i="1"/>
  <c r="BN285" i="1"/>
  <c r="BM285" i="1"/>
  <c r="Y285" i="1"/>
  <c r="BP285" i="1" s="1"/>
  <c r="P285" i="1"/>
  <c r="BO284" i="1"/>
  <c r="BM284" i="1"/>
  <c r="Y284" i="1"/>
  <c r="BP284" i="1" s="1"/>
  <c r="P284" i="1"/>
  <c r="BO283" i="1"/>
  <c r="BM283" i="1"/>
  <c r="Y283" i="1"/>
  <c r="P283" i="1"/>
  <c r="BO282" i="1"/>
  <c r="BM282" i="1"/>
  <c r="Y282" i="1"/>
  <c r="BP282" i="1" s="1"/>
  <c r="P282" i="1"/>
  <c r="BO281" i="1"/>
  <c r="BN281" i="1"/>
  <c r="BM281" i="1"/>
  <c r="Y281" i="1"/>
  <c r="BP281" i="1" s="1"/>
  <c r="P281" i="1"/>
  <c r="BO280" i="1"/>
  <c r="BM280" i="1"/>
  <c r="Y280" i="1"/>
  <c r="P280" i="1"/>
  <c r="X278" i="1"/>
  <c r="X277" i="1"/>
  <c r="BO276" i="1"/>
  <c r="BM276" i="1"/>
  <c r="Y276" i="1"/>
  <c r="BP276" i="1" s="1"/>
  <c r="P276" i="1"/>
  <c r="BO275" i="1"/>
  <c r="BM275" i="1"/>
  <c r="Y275" i="1"/>
  <c r="P275" i="1"/>
  <c r="BO274" i="1"/>
  <c r="BM274" i="1"/>
  <c r="Y274" i="1"/>
  <c r="BP274" i="1" s="1"/>
  <c r="P274" i="1"/>
  <c r="BO273" i="1"/>
  <c r="BN273" i="1"/>
  <c r="BM273" i="1"/>
  <c r="Y273" i="1"/>
  <c r="BP273" i="1" s="1"/>
  <c r="P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BO269" i="1"/>
  <c r="BN269" i="1"/>
  <c r="BM269" i="1"/>
  <c r="Y269" i="1"/>
  <c r="BP269" i="1" s="1"/>
  <c r="P269" i="1"/>
  <c r="X267" i="1"/>
  <c r="X266" i="1"/>
  <c r="BO265" i="1"/>
  <c r="BM265" i="1"/>
  <c r="Y265" i="1"/>
  <c r="P265" i="1"/>
  <c r="BO264" i="1"/>
  <c r="BM264" i="1"/>
  <c r="Y264" i="1"/>
  <c r="Y266" i="1" s="1"/>
  <c r="P264" i="1"/>
  <c r="X262" i="1"/>
  <c r="X261" i="1"/>
  <c r="BO260" i="1"/>
  <c r="BM260" i="1"/>
  <c r="Y260" i="1"/>
  <c r="P260" i="1"/>
  <c r="BP259" i="1"/>
  <c r="BO259" i="1"/>
  <c r="BM259" i="1"/>
  <c r="Z259" i="1"/>
  <c r="Y259" i="1"/>
  <c r="BN259" i="1" s="1"/>
  <c r="P259" i="1"/>
  <c r="X256" i="1"/>
  <c r="Y255" i="1"/>
  <c r="X255" i="1"/>
  <c r="BO254" i="1"/>
  <c r="BN254" i="1"/>
  <c r="BM254" i="1"/>
  <c r="Y254" i="1"/>
  <c r="Y256" i="1" s="1"/>
  <c r="P254" i="1"/>
  <c r="X252" i="1"/>
  <c r="X251" i="1"/>
  <c r="BP250" i="1"/>
  <c r="BO250" i="1"/>
  <c r="BM250" i="1"/>
  <c r="Z250" i="1"/>
  <c r="Y250" i="1"/>
  <c r="BN250" i="1" s="1"/>
  <c r="P250" i="1"/>
  <c r="BO249" i="1"/>
  <c r="BM249" i="1"/>
  <c r="Y249" i="1"/>
  <c r="P249" i="1"/>
  <c r="BO248" i="1"/>
  <c r="BM248" i="1"/>
  <c r="Y248" i="1"/>
  <c r="Y251" i="1" s="1"/>
  <c r="P248" i="1"/>
  <c r="X246" i="1"/>
  <c r="X245" i="1"/>
  <c r="BO244" i="1"/>
  <c r="BN244" i="1"/>
  <c r="BM244" i="1"/>
  <c r="Y244" i="1"/>
  <c r="BP244" i="1" s="1"/>
  <c r="P244" i="1"/>
  <c r="BO243" i="1"/>
  <c r="BM243" i="1"/>
  <c r="Y243" i="1"/>
  <c r="P243" i="1"/>
  <c r="BO242" i="1"/>
  <c r="BM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BN236" i="1" s="1"/>
  <c r="P236" i="1"/>
  <c r="X234" i="1"/>
  <c r="X233" i="1"/>
  <c r="BO232" i="1"/>
  <c r="BM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BN226" i="1" s="1"/>
  <c r="P226" i="1"/>
  <c r="BO225" i="1"/>
  <c r="BM225" i="1"/>
  <c r="Y225" i="1"/>
  <c r="P225" i="1"/>
  <c r="BO224" i="1"/>
  <c r="BM224" i="1"/>
  <c r="Y224" i="1"/>
  <c r="P224" i="1"/>
  <c r="BO223" i="1"/>
  <c r="BM223" i="1"/>
  <c r="Y223" i="1"/>
  <c r="P223" i="1"/>
  <c r="BO222" i="1"/>
  <c r="BN222" i="1"/>
  <c r="BM222" i="1"/>
  <c r="Y222" i="1"/>
  <c r="BP222" i="1" s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N218" i="1"/>
  <c r="BM218" i="1"/>
  <c r="Y218" i="1"/>
  <c r="BP218" i="1" s="1"/>
  <c r="P218" i="1"/>
  <c r="X216" i="1"/>
  <c r="X215" i="1"/>
  <c r="BO214" i="1"/>
  <c r="BM214" i="1"/>
  <c r="Y214" i="1"/>
  <c r="Y215" i="1" s="1"/>
  <c r="P214" i="1"/>
  <c r="X211" i="1"/>
  <c r="X210" i="1"/>
  <c r="BO209" i="1"/>
  <c r="BM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BN203" i="1" s="1"/>
  <c r="P203" i="1"/>
  <c r="X199" i="1"/>
  <c r="Y198" i="1"/>
  <c r="X198" i="1"/>
  <c r="BO197" i="1"/>
  <c r="BN197" i="1"/>
  <c r="BM197" i="1"/>
  <c r="Y197" i="1"/>
  <c r="Y199" i="1" s="1"/>
  <c r="P197" i="1"/>
  <c r="X195" i="1"/>
  <c r="X194" i="1"/>
  <c r="BO193" i="1"/>
  <c r="BM193" i="1"/>
  <c r="Y193" i="1"/>
  <c r="Y195" i="1" s="1"/>
  <c r="P193" i="1"/>
  <c r="X191" i="1"/>
  <c r="X190" i="1"/>
  <c r="BO189" i="1"/>
  <c r="BM189" i="1"/>
  <c r="Y189" i="1"/>
  <c r="P189" i="1"/>
  <c r="BO188" i="1"/>
  <c r="BM188" i="1"/>
  <c r="Y188" i="1"/>
  <c r="Y190" i="1" s="1"/>
  <c r="P188" i="1"/>
  <c r="BP187" i="1"/>
  <c r="BO187" i="1"/>
  <c r="BN187" i="1"/>
  <c r="BM187" i="1"/>
  <c r="Z187" i="1"/>
  <c r="Y187" i="1"/>
  <c r="P187" i="1"/>
  <c r="X185" i="1"/>
  <c r="X184" i="1"/>
  <c r="BO183" i="1"/>
  <c r="BM183" i="1"/>
  <c r="Y183" i="1"/>
  <c r="P183" i="1"/>
  <c r="BO182" i="1"/>
  <c r="BM182" i="1"/>
  <c r="Y182" i="1"/>
  <c r="P182" i="1"/>
  <c r="BO181" i="1"/>
  <c r="BN181" i="1"/>
  <c r="BM181" i="1"/>
  <c r="Y181" i="1"/>
  <c r="BP181" i="1" s="1"/>
  <c r="P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BN173" i="1" s="1"/>
  <c r="P173" i="1"/>
  <c r="BO172" i="1"/>
  <c r="BM172" i="1"/>
  <c r="Y172" i="1"/>
  <c r="P172" i="1"/>
  <c r="X170" i="1"/>
  <c r="X169" i="1"/>
  <c r="BO168" i="1"/>
  <c r="BM168" i="1"/>
  <c r="Y168" i="1"/>
  <c r="P168" i="1"/>
  <c r="BO167" i="1"/>
  <c r="BM167" i="1"/>
  <c r="Y167" i="1"/>
  <c r="P167" i="1"/>
  <c r="X165" i="1"/>
  <c r="X164" i="1"/>
  <c r="BO163" i="1"/>
  <c r="BM163" i="1"/>
  <c r="Y163" i="1"/>
  <c r="P163" i="1"/>
  <c r="BO162" i="1"/>
  <c r="BM162" i="1"/>
  <c r="Y162" i="1"/>
  <c r="P162" i="1"/>
  <c r="BO161" i="1"/>
  <c r="BN161" i="1"/>
  <c r="BM161" i="1"/>
  <c r="Y161" i="1"/>
  <c r="BP161" i="1" s="1"/>
  <c r="P161" i="1"/>
  <c r="X158" i="1"/>
  <c r="Y157" i="1"/>
  <c r="X157" i="1"/>
  <c r="BP156" i="1"/>
  <c r="BO156" i="1"/>
  <c r="BN156" i="1"/>
  <c r="BM156" i="1"/>
  <c r="Z156" i="1"/>
  <c r="Z157" i="1" s="1"/>
  <c r="Y156" i="1"/>
  <c r="Y158" i="1" s="1"/>
  <c r="P156" i="1"/>
  <c r="X154" i="1"/>
  <c r="X153" i="1"/>
  <c r="BO152" i="1"/>
  <c r="BM152" i="1"/>
  <c r="Y152" i="1"/>
  <c r="P152" i="1"/>
  <c r="BO151" i="1"/>
  <c r="BM151" i="1"/>
  <c r="Y151" i="1"/>
  <c r="P151" i="1"/>
  <c r="BO150" i="1"/>
  <c r="BM150" i="1"/>
  <c r="Y150" i="1"/>
  <c r="BP150" i="1" s="1"/>
  <c r="P150" i="1"/>
  <c r="BO149" i="1"/>
  <c r="BM149" i="1"/>
  <c r="Y149" i="1"/>
  <c r="P149" i="1"/>
  <c r="BO148" i="1"/>
  <c r="BN148" i="1"/>
  <c r="BM148" i="1"/>
  <c r="Y148" i="1"/>
  <c r="BP148" i="1" s="1"/>
  <c r="P148" i="1"/>
  <c r="BO147" i="1"/>
  <c r="BM147" i="1"/>
  <c r="Y147" i="1"/>
  <c r="P147" i="1"/>
  <c r="X144" i="1"/>
  <c r="X143" i="1"/>
  <c r="BO142" i="1"/>
  <c r="BM142" i="1"/>
  <c r="Y142" i="1"/>
  <c r="P142" i="1"/>
  <c r="BO141" i="1"/>
  <c r="BM141" i="1"/>
  <c r="Y141" i="1"/>
  <c r="BP141" i="1" s="1"/>
  <c r="P141" i="1"/>
  <c r="X139" i="1"/>
  <c r="X138" i="1"/>
  <c r="BO137" i="1"/>
  <c r="BM137" i="1"/>
  <c r="Y137" i="1"/>
  <c r="BP137" i="1" s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O131" i="1"/>
  <c r="BN131" i="1"/>
  <c r="BM131" i="1"/>
  <c r="Y131" i="1"/>
  <c r="BP131" i="1" s="1"/>
  <c r="P131" i="1"/>
  <c r="X128" i="1"/>
  <c r="Y127" i="1"/>
  <c r="X127" i="1"/>
  <c r="BP126" i="1"/>
  <c r="BO126" i="1"/>
  <c r="BN126" i="1"/>
  <c r="BM126" i="1"/>
  <c r="Z126" i="1"/>
  <c r="Z127" i="1" s="1"/>
  <c r="Y126" i="1"/>
  <c r="Y128" i="1" s="1"/>
  <c r="P126" i="1"/>
  <c r="X124" i="1"/>
  <c r="X123" i="1"/>
  <c r="BO122" i="1"/>
  <c r="BM122" i="1"/>
  <c r="Y122" i="1"/>
  <c r="BP122" i="1" s="1"/>
  <c r="P122" i="1"/>
  <c r="BO121" i="1"/>
  <c r="BM121" i="1"/>
  <c r="Y121" i="1"/>
  <c r="P121" i="1"/>
  <c r="BO120" i="1"/>
  <c r="BN120" i="1"/>
  <c r="BM120" i="1"/>
  <c r="Y120" i="1"/>
  <c r="BP120" i="1" s="1"/>
  <c r="P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P113" i="1"/>
  <c r="BO112" i="1"/>
  <c r="BN112" i="1"/>
  <c r="BM112" i="1"/>
  <c r="Y112" i="1"/>
  <c r="BP112" i="1" s="1"/>
  <c r="P112" i="1"/>
  <c r="BO111" i="1"/>
  <c r="BM111" i="1"/>
  <c r="Y111" i="1"/>
  <c r="P111" i="1"/>
  <c r="X109" i="1"/>
  <c r="X108" i="1"/>
  <c r="BO107" i="1"/>
  <c r="BM107" i="1"/>
  <c r="Y107" i="1"/>
  <c r="P107" i="1"/>
  <c r="BO106" i="1"/>
  <c r="BM106" i="1"/>
  <c r="Y106" i="1"/>
  <c r="BP106" i="1" s="1"/>
  <c r="P106" i="1"/>
  <c r="BO105" i="1"/>
  <c r="BM105" i="1"/>
  <c r="Y105" i="1"/>
  <c r="P105" i="1"/>
  <c r="BO104" i="1"/>
  <c r="BM104" i="1"/>
  <c r="Y104" i="1"/>
  <c r="BN104" i="1" s="1"/>
  <c r="P104" i="1"/>
  <c r="BO103" i="1"/>
  <c r="BM103" i="1"/>
  <c r="Y103" i="1"/>
  <c r="P103" i="1"/>
  <c r="BO102" i="1"/>
  <c r="BM102" i="1"/>
  <c r="Y102" i="1"/>
  <c r="BP102" i="1" s="1"/>
  <c r="P102" i="1"/>
  <c r="X99" i="1"/>
  <c r="X98" i="1"/>
  <c r="BP97" i="1"/>
  <c r="BO97" i="1"/>
  <c r="BN97" i="1"/>
  <c r="BM97" i="1"/>
  <c r="Z97" i="1"/>
  <c r="Y97" i="1"/>
  <c r="P97" i="1"/>
  <c r="BO96" i="1"/>
  <c r="BM96" i="1"/>
  <c r="Y96" i="1"/>
  <c r="P96" i="1"/>
  <c r="BO95" i="1"/>
  <c r="BM95" i="1"/>
  <c r="Y95" i="1"/>
  <c r="BP95" i="1" s="1"/>
  <c r="P95" i="1"/>
  <c r="BO94" i="1"/>
  <c r="BM94" i="1"/>
  <c r="Y94" i="1"/>
  <c r="P94" i="1"/>
  <c r="X92" i="1"/>
  <c r="X91" i="1"/>
  <c r="BO90" i="1"/>
  <c r="BM90" i="1"/>
  <c r="Y90" i="1"/>
  <c r="P90" i="1"/>
  <c r="BO89" i="1"/>
  <c r="BN89" i="1"/>
  <c r="BM89" i="1"/>
  <c r="Y89" i="1"/>
  <c r="BP89" i="1" s="1"/>
  <c r="P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O80" i="1"/>
  <c r="BN80" i="1"/>
  <c r="BM80" i="1"/>
  <c r="Y80" i="1"/>
  <c r="BP80" i="1" s="1"/>
  <c r="P80" i="1"/>
  <c r="BO79" i="1"/>
  <c r="BM79" i="1"/>
  <c r="Y79" i="1"/>
  <c r="P79" i="1"/>
  <c r="BO78" i="1"/>
  <c r="BM78" i="1"/>
  <c r="Y78" i="1"/>
  <c r="Y82" i="1" s="1"/>
  <c r="P78" i="1"/>
  <c r="X76" i="1"/>
  <c r="X75" i="1"/>
  <c r="BO74" i="1"/>
  <c r="BN74" i="1"/>
  <c r="BM74" i="1"/>
  <c r="Y74" i="1"/>
  <c r="BP74" i="1" s="1"/>
  <c r="P74" i="1"/>
  <c r="BO73" i="1"/>
  <c r="BM73" i="1"/>
  <c r="Y73" i="1"/>
  <c r="P73" i="1"/>
  <c r="BO72" i="1"/>
  <c r="BM72" i="1"/>
  <c r="Y72" i="1"/>
  <c r="BP72" i="1" s="1"/>
  <c r="P72" i="1"/>
  <c r="X70" i="1"/>
  <c r="X69" i="1"/>
  <c r="BO68" i="1"/>
  <c r="BM68" i="1"/>
  <c r="Y68" i="1"/>
  <c r="BN68" i="1" s="1"/>
  <c r="P68" i="1"/>
  <c r="BO67" i="1"/>
  <c r="BM67" i="1"/>
  <c r="Y67" i="1"/>
  <c r="P67" i="1"/>
  <c r="BO66" i="1"/>
  <c r="BM66" i="1"/>
  <c r="Y66" i="1"/>
  <c r="BP66" i="1" s="1"/>
  <c r="P66" i="1"/>
  <c r="BO65" i="1"/>
  <c r="BM65" i="1"/>
  <c r="Y65" i="1"/>
  <c r="P65" i="1"/>
  <c r="X63" i="1"/>
  <c r="X62" i="1"/>
  <c r="BO61" i="1"/>
  <c r="BM61" i="1"/>
  <c r="Y61" i="1"/>
  <c r="P61" i="1"/>
  <c r="BP60" i="1"/>
  <c r="BO60" i="1"/>
  <c r="BN60" i="1"/>
  <c r="BM60" i="1"/>
  <c r="Z60" i="1"/>
  <c r="Y60" i="1"/>
  <c r="P60" i="1"/>
  <c r="BO59" i="1"/>
  <c r="BM59" i="1"/>
  <c r="Y59" i="1"/>
  <c r="P59" i="1"/>
  <c r="BO58" i="1"/>
  <c r="BM58" i="1"/>
  <c r="Y58" i="1"/>
  <c r="BP58" i="1" s="1"/>
  <c r="P58" i="1"/>
  <c r="BO57" i="1"/>
  <c r="BM57" i="1"/>
  <c r="Y57" i="1"/>
  <c r="P57" i="1"/>
  <c r="BO56" i="1"/>
  <c r="BM56" i="1"/>
  <c r="Y56" i="1"/>
  <c r="BN56" i="1" s="1"/>
  <c r="P56" i="1"/>
  <c r="BO55" i="1"/>
  <c r="BM55" i="1"/>
  <c r="Y55" i="1"/>
  <c r="P55" i="1"/>
  <c r="X52" i="1"/>
  <c r="X51" i="1"/>
  <c r="BO50" i="1"/>
  <c r="BM50" i="1"/>
  <c r="Y50" i="1"/>
  <c r="P50" i="1"/>
  <c r="BO49" i="1"/>
  <c r="BM49" i="1"/>
  <c r="Y49" i="1"/>
  <c r="BP49" i="1" s="1"/>
  <c r="P49" i="1"/>
  <c r="BO48" i="1"/>
  <c r="BM48" i="1"/>
  <c r="Y48" i="1"/>
  <c r="Z48" i="1" s="1"/>
  <c r="P48" i="1"/>
  <c r="BO47" i="1"/>
  <c r="BM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N38" i="1" s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562" i="1" s="1"/>
  <c r="BO23" i="1"/>
  <c r="BM23" i="1"/>
  <c r="Y23" i="1"/>
  <c r="BP23" i="1" s="1"/>
  <c r="P23" i="1"/>
  <c r="BO22" i="1"/>
  <c r="BM22" i="1"/>
  <c r="Y22" i="1"/>
  <c r="Y25" i="1" s="1"/>
  <c r="P22" i="1"/>
  <c r="H10" i="1"/>
  <c r="A9" i="1"/>
  <c r="A10" i="1" s="1"/>
  <c r="D7" i="1"/>
  <c r="Q6" i="1"/>
  <c r="P2" i="1"/>
  <c r="Z38" i="1" l="1"/>
  <c r="BP38" i="1"/>
  <c r="Z56" i="1"/>
  <c r="BP56" i="1"/>
  <c r="Z68" i="1"/>
  <c r="BP68" i="1"/>
  <c r="Z104" i="1"/>
  <c r="BP104" i="1"/>
  <c r="Z173" i="1"/>
  <c r="BP173" i="1"/>
  <c r="Z193" i="1"/>
  <c r="Z194" i="1" s="1"/>
  <c r="BP193" i="1"/>
  <c r="Z203" i="1"/>
  <c r="BP203" i="1"/>
  <c r="Z214" i="1"/>
  <c r="Z215" i="1" s="1"/>
  <c r="BP214" i="1"/>
  <c r="Z226" i="1"/>
  <c r="BP226" i="1"/>
  <c r="Z236" i="1"/>
  <c r="BP236" i="1"/>
  <c r="Z289" i="1"/>
  <c r="BP289" i="1"/>
  <c r="Z330" i="1"/>
  <c r="BP330" i="1"/>
  <c r="Z390" i="1"/>
  <c r="BP390" i="1"/>
  <c r="Z415" i="1"/>
  <c r="BP415" i="1"/>
  <c r="Z446" i="1"/>
  <c r="BP446" i="1"/>
  <c r="Z475" i="1"/>
  <c r="BP475" i="1"/>
  <c r="Z495" i="1"/>
  <c r="BP495" i="1"/>
  <c r="Z509" i="1"/>
  <c r="BP509" i="1"/>
  <c r="Z74" i="1"/>
  <c r="Z112" i="1"/>
  <c r="Z131" i="1"/>
  <c r="Z161" i="1"/>
  <c r="Z222" i="1"/>
  <c r="Z254" i="1"/>
  <c r="Z255" i="1" s="1"/>
  <c r="BP254" i="1"/>
  <c r="Z273" i="1"/>
  <c r="Z285" i="1"/>
  <c r="Z295" i="1"/>
  <c r="O568" i="1"/>
  <c r="Z337" i="1"/>
  <c r="Z357" i="1"/>
  <c r="Z398" i="1"/>
  <c r="Z505" i="1"/>
  <c r="Z554" i="1"/>
  <c r="Z556" i="1" s="1"/>
  <c r="BP554" i="1"/>
  <c r="Y556" i="1"/>
  <c r="Z80" i="1"/>
  <c r="Z89" i="1"/>
  <c r="Z120" i="1"/>
  <c r="Z148" i="1"/>
  <c r="Z181" i="1"/>
  <c r="BN193" i="1"/>
  <c r="Y194" i="1"/>
  <c r="Z197" i="1"/>
  <c r="Z198" i="1" s="1"/>
  <c r="BP197" i="1"/>
  <c r="BN214" i="1"/>
  <c r="Z218" i="1"/>
  <c r="Z244" i="1"/>
  <c r="Z269" i="1"/>
  <c r="Z281" i="1"/>
  <c r="Z304" i="1"/>
  <c r="Z346" i="1"/>
  <c r="Z366" i="1"/>
  <c r="Z376" i="1"/>
  <c r="Z404" i="1"/>
  <c r="Z434" i="1"/>
  <c r="Z469" i="1"/>
  <c r="Z490" i="1"/>
  <c r="Z491" i="1" s="1"/>
  <c r="BP490" i="1"/>
  <c r="Z525" i="1"/>
  <c r="Y81" i="1"/>
  <c r="BP163" i="1"/>
  <c r="BN163" i="1"/>
  <c r="Z163" i="1"/>
  <c r="BP167" i="1"/>
  <c r="BN167" i="1"/>
  <c r="Z167" i="1"/>
  <c r="BP179" i="1"/>
  <c r="BN179" i="1"/>
  <c r="Z179" i="1"/>
  <c r="BP189" i="1"/>
  <c r="BN189" i="1"/>
  <c r="Z189" i="1"/>
  <c r="BP209" i="1"/>
  <c r="BN209" i="1"/>
  <c r="Z209" i="1"/>
  <c r="BP224" i="1"/>
  <c r="BN224" i="1"/>
  <c r="Z224" i="1"/>
  <c r="BP232" i="1"/>
  <c r="BN232" i="1"/>
  <c r="Z232" i="1"/>
  <c r="BP242" i="1"/>
  <c r="BN242" i="1"/>
  <c r="Z242" i="1"/>
  <c r="BP265" i="1"/>
  <c r="BN265" i="1"/>
  <c r="Z265" i="1"/>
  <c r="BP275" i="1"/>
  <c r="BN275" i="1"/>
  <c r="Z275" i="1"/>
  <c r="BP287" i="1"/>
  <c r="BN287" i="1"/>
  <c r="Z287" i="1"/>
  <c r="BP302" i="1"/>
  <c r="BN302" i="1"/>
  <c r="Z302" i="1"/>
  <c r="BP327" i="1"/>
  <c r="BN327" i="1"/>
  <c r="Z327" i="1"/>
  <c r="BP328" i="1"/>
  <c r="BN328" i="1"/>
  <c r="Z328" i="1"/>
  <c r="BP344" i="1"/>
  <c r="BN344" i="1"/>
  <c r="Z344" i="1"/>
  <c r="BP364" i="1"/>
  <c r="BN364" i="1"/>
  <c r="Z364" i="1"/>
  <c r="BP374" i="1"/>
  <c r="BN374" i="1"/>
  <c r="Z374" i="1"/>
  <c r="BP384" i="1"/>
  <c r="BN384" i="1"/>
  <c r="Z384" i="1"/>
  <c r="Y406" i="1"/>
  <c r="BP402" i="1"/>
  <c r="BN402" i="1"/>
  <c r="Z402" i="1"/>
  <c r="Y405" i="1"/>
  <c r="Z22" i="1"/>
  <c r="BN22" i="1"/>
  <c r="BP22" i="1"/>
  <c r="X558" i="1"/>
  <c r="Y32" i="1"/>
  <c r="Z30" i="1"/>
  <c r="BN30" i="1"/>
  <c r="C568" i="1"/>
  <c r="Z40" i="1"/>
  <c r="BN40" i="1"/>
  <c r="Z49" i="1"/>
  <c r="BN49" i="1"/>
  <c r="Y63" i="1"/>
  <c r="Z58" i="1"/>
  <c r="BN58" i="1"/>
  <c r="Z66" i="1"/>
  <c r="BN66" i="1"/>
  <c r="Z72" i="1"/>
  <c r="Z75" i="1" s="1"/>
  <c r="BN72" i="1"/>
  <c r="Z78" i="1"/>
  <c r="BN78" i="1"/>
  <c r="BP78" i="1"/>
  <c r="Z87" i="1"/>
  <c r="BN87" i="1"/>
  <c r="Z95" i="1"/>
  <c r="BN95" i="1"/>
  <c r="Z102" i="1"/>
  <c r="BN102" i="1"/>
  <c r="Z106" i="1"/>
  <c r="BN106" i="1"/>
  <c r="Z114" i="1"/>
  <c r="BN114" i="1"/>
  <c r="Z122" i="1"/>
  <c r="BN122" i="1"/>
  <c r="Z137" i="1"/>
  <c r="BN137" i="1"/>
  <c r="Z141" i="1"/>
  <c r="BN141" i="1"/>
  <c r="Y153" i="1"/>
  <c r="Z150" i="1"/>
  <c r="BN150" i="1"/>
  <c r="BP152" i="1"/>
  <c r="BN152" i="1"/>
  <c r="Z152" i="1"/>
  <c r="Y164" i="1"/>
  <c r="BP175" i="1"/>
  <c r="BN175" i="1"/>
  <c r="Z175" i="1"/>
  <c r="BP183" i="1"/>
  <c r="BN183" i="1"/>
  <c r="Z183" i="1"/>
  <c r="BP205" i="1"/>
  <c r="BN205" i="1"/>
  <c r="Z205" i="1"/>
  <c r="Y233" i="1"/>
  <c r="BP220" i="1"/>
  <c r="BN220" i="1"/>
  <c r="Z220" i="1"/>
  <c r="BP228" i="1"/>
  <c r="BN228" i="1"/>
  <c r="Z228" i="1"/>
  <c r="BP238" i="1"/>
  <c r="BN238" i="1"/>
  <c r="Z238" i="1"/>
  <c r="Y252" i="1"/>
  <c r="BP248" i="1"/>
  <c r="BN248" i="1"/>
  <c r="Z248" i="1"/>
  <c r="BP271" i="1"/>
  <c r="BN271" i="1"/>
  <c r="Z271" i="1"/>
  <c r="BP283" i="1"/>
  <c r="BN283" i="1"/>
  <c r="Z283" i="1"/>
  <c r="BP291" i="1"/>
  <c r="BN291" i="1"/>
  <c r="Z291" i="1"/>
  <c r="BP306" i="1"/>
  <c r="BN306" i="1"/>
  <c r="Z306" i="1"/>
  <c r="BP422" i="1"/>
  <c r="BN422" i="1"/>
  <c r="Z422" i="1"/>
  <c r="BP436" i="1"/>
  <c r="BN436" i="1"/>
  <c r="Z436" i="1"/>
  <c r="BP448" i="1"/>
  <c r="BN448" i="1"/>
  <c r="Z448" i="1"/>
  <c r="BP452" i="1"/>
  <c r="BN452" i="1"/>
  <c r="Z452" i="1"/>
  <c r="BP477" i="1"/>
  <c r="BN477" i="1"/>
  <c r="Z477" i="1"/>
  <c r="BP503" i="1"/>
  <c r="BN503" i="1"/>
  <c r="Z503" i="1"/>
  <c r="BP515" i="1"/>
  <c r="BN515" i="1"/>
  <c r="Z515" i="1"/>
  <c r="BP549" i="1"/>
  <c r="BN549" i="1"/>
  <c r="Z549" i="1"/>
  <c r="Y246" i="1"/>
  <c r="Y277" i="1"/>
  <c r="Y293" i="1"/>
  <c r="Y297" i="1"/>
  <c r="Y322" i="1"/>
  <c r="BP335" i="1"/>
  <c r="BN335" i="1"/>
  <c r="Z335" i="1"/>
  <c r="BP350" i="1"/>
  <c r="BN350" i="1"/>
  <c r="Z350" i="1"/>
  <c r="BP368" i="1"/>
  <c r="BN368" i="1"/>
  <c r="Z368" i="1"/>
  <c r="BP378" i="1"/>
  <c r="BN378" i="1"/>
  <c r="Z378" i="1"/>
  <c r="BP396" i="1"/>
  <c r="BN396" i="1"/>
  <c r="Z396" i="1"/>
  <c r="BP410" i="1"/>
  <c r="BN410" i="1"/>
  <c r="Z410" i="1"/>
  <c r="BP432" i="1"/>
  <c r="BN432" i="1"/>
  <c r="Z432" i="1"/>
  <c r="BP442" i="1"/>
  <c r="BN442" i="1"/>
  <c r="Z442" i="1"/>
  <c r="Y465" i="1"/>
  <c r="Y464" i="1"/>
  <c r="BP463" i="1"/>
  <c r="BN463" i="1"/>
  <c r="Z463" i="1"/>
  <c r="Z464" i="1" s="1"/>
  <c r="Y471" i="1"/>
  <c r="BP467" i="1"/>
  <c r="BN467" i="1"/>
  <c r="Z467" i="1"/>
  <c r="Z470" i="1" s="1"/>
  <c r="BP485" i="1"/>
  <c r="BN485" i="1"/>
  <c r="Z485" i="1"/>
  <c r="BP507" i="1"/>
  <c r="BN507" i="1"/>
  <c r="Z507" i="1"/>
  <c r="BP523" i="1"/>
  <c r="BN523" i="1"/>
  <c r="Z523" i="1"/>
  <c r="Y386" i="1"/>
  <c r="Y450" i="1"/>
  <c r="Y449" i="1"/>
  <c r="F9" i="1"/>
  <c r="J9" i="1"/>
  <c r="F10" i="1"/>
  <c r="Y33" i="1"/>
  <c r="Y43" i="1"/>
  <c r="D568" i="1"/>
  <c r="Y51" i="1"/>
  <c r="BP57" i="1"/>
  <c r="BN57" i="1"/>
  <c r="Z57" i="1"/>
  <c r="BP61" i="1"/>
  <c r="BN61" i="1"/>
  <c r="Z61" i="1"/>
  <c r="Y70" i="1"/>
  <c r="BP65" i="1"/>
  <c r="BN65" i="1"/>
  <c r="Z65" i="1"/>
  <c r="Y69" i="1"/>
  <c r="BP73" i="1"/>
  <c r="BN73" i="1"/>
  <c r="Z73" i="1"/>
  <c r="BP86" i="1"/>
  <c r="BN86" i="1"/>
  <c r="Z86" i="1"/>
  <c r="BP90" i="1"/>
  <c r="BN90" i="1"/>
  <c r="Z90" i="1"/>
  <c r="Y92" i="1"/>
  <c r="Y99" i="1"/>
  <c r="BP94" i="1"/>
  <c r="BN94" i="1"/>
  <c r="Z94" i="1"/>
  <c r="Y98" i="1"/>
  <c r="BP103" i="1"/>
  <c r="BN103" i="1"/>
  <c r="Z103" i="1"/>
  <c r="BP107" i="1"/>
  <c r="BN107" i="1"/>
  <c r="Z107" i="1"/>
  <c r="Y109" i="1"/>
  <c r="Y116" i="1"/>
  <c r="BP111" i="1"/>
  <c r="BN111" i="1"/>
  <c r="Z111" i="1"/>
  <c r="BP115" i="1"/>
  <c r="BN115" i="1"/>
  <c r="Z115" i="1"/>
  <c r="Y117" i="1"/>
  <c r="Y124" i="1"/>
  <c r="BP119" i="1"/>
  <c r="BN119" i="1"/>
  <c r="Z119" i="1"/>
  <c r="Y123" i="1"/>
  <c r="BP132" i="1"/>
  <c r="BN132" i="1"/>
  <c r="Z132" i="1"/>
  <c r="Z133" i="1" s="1"/>
  <c r="Y134" i="1"/>
  <c r="Y139" i="1"/>
  <c r="BP136" i="1"/>
  <c r="BN136" i="1"/>
  <c r="Z136" i="1"/>
  <c r="Z138" i="1" s="1"/>
  <c r="Y143" i="1"/>
  <c r="BP149" i="1"/>
  <c r="BN149" i="1"/>
  <c r="Z149" i="1"/>
  <c r="BP162" i="1"/>
  <c r="BN162" i="1"/>
  <c r="Z162" i="1"/>
  <c r="Z164" i="1" s="1"/>
  <c r="Y169" i="1"/>
  <c r="BP174" i="1"/>
  <c r="BN174" i="1"/>
  <c r="Z174" i="1"/>
  <c r="BP178" i="1"/>
  <c r="BN178" i="1"/>
  <c r="Z178" i="1"/>
  <c r="BP182" i="1"/>
  <c r="BN182" i="1"/>
  <c r="Z182" i="1"/>
  <c r="Y191" i="1"/>
  <c r="BP204" i="1"/>
  <c r="BN204" i="1"/>
  <c r="Z204" i="1"/>
  <c r="BP208" i="1"/>
  <c r="BN208" i="1"/>
  <c r="Z208" i="1"/>
  <c r="Y234" i="1"/>
  <c r="BP221" i="1"/>
  <c r="BN221" i="1"/>
  <c r="Z221" i="1"/>
  <c r="BP225" i="1"/>
  <c r="BN225" i="1"/>
  <c r="Z225" i="1"/>
  <c r="BP229" i="1"/>
  <c r="BN229" i="1"/>
  <c r="Z229" i="1"/>
  <c r="BP237" i="1"/>
  <c r="BN237" i="1"/>
  <c r="Z237" i="1"/>
  <c r="BP241" i="1"/>
  <c r="BN241" i="1"/>
  <c r="Z241" i="1"/>
  <c r="Y245" i="1"/>
  <c r="BP249" i="1"/>
  <c r="BN249" i="1"/>
  <c r="Z249" i="1"/>
  <c r="Y261" i="1"/>
  <c r="BP270" i="1"/>
  <c r="BN270" i="1"/>
  <c r="Z270" i="1"/>
  <c r="Y278" i="1"/>
  <c r="H9" i="1"/>
  <c r="B568" i="1"/>
  <c r="X559" i="1"/>
  <c r="X560" i="1"/>
  <c r="Z23" i="1"/>
  <c r="Z24" i="1" s="1"/>
  <c r="BN23" i="1"/>
  <c r="Y24" i="1"/>
  <c r="Z27" i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BP48" i="1"/>
  <c r="BN48" i="1"/>
  <c r="BP50" i="1"/>
  <c r="BN50" i="1"/>
  <c r="Z50" i="1"/>
  <c r="Y52" i="1"/>
  <c r="Y62" i="1"/>
  <c r="BP55" i="1"/>
  <c r="BN55" i="1"/>
  <c r="Z55" i="1"/>
  <c r="E568" i="1"/>
  <c r="BP59" i="1"/>
  <c r="BN59" i="1"/>
  <c r="Z59" i="1"/>
  <c r="BP67" i="1"/>
  <c r="BN67" i="1"/>
  <c r="Z67" i="1"/>
  <c r="Y76" i="1"/>
  <c r="Y75" i="1"/>
  <c r="BP79" i="1"/>
  <c r="BN79" i="1"/>
  <c r="Z79" i="1"/>
  <c r="BP88" i="1"/>
  <c r="BN88" i="1"/>
  <c r="Z88" i="1"/>
  <c r="BP96" i="1"/>
  <c r="BN96" i="1"/>
  <c r="Z96" i="1"/>
  <c r="BP105" i="1"/>
  <c r="BN105" i="1"/>
  <c r="Z105" i="1"/>
  <c r="BP113" i="1"/>
  <c r="BN113" i="1"/>
  <c r="Z113" i="1"/>
  <c r="BP121" i="1"/>
  <c r="BN121" i="1"/>
  <c r="Z121" i="1"/>
  <c r="BP142" i="1"/>
  <c r="BN142" i="1"/>
  <c r="Z142" i="1"/>
  <c r="Z143" i="1" s="1"/>
  <c r="Y144" i="1"/>
  <c r="I568" i="1"/>
  <c r="Y154" i="1"/>
  <c r="BP147" i="1"/>
  <c r="BN147" i="1"/>
  <c r="Z147" i="1"/>
  <c r="BP151" i="1"/>
  <c r="BN151" i="1"/>
  <c r="Z151" i="1"/>
  <c r="BP168" i="1"/>
  <c r="BN168" i="1"/>
  <c r="Z168" i="1"/>
  <c r="Z169" i="1" s="1"/>
  <c r="Y170" i="1"/>
  <c r="Y185" i="1"/>
  <c r="BP172" i="1"/>
  <c r="BN172" i="1"/>
  <c r="Z172" i="1"/>
  <c r="BP176" i="1"/>
  <c r="BN176" i="1"/>
  <c r="Z176" i="1"/>
  <c r="BP180" i="1"/>
  <c r="BN180" i="1"/>
  <c r="Z180" i="1"/>
  <c r="Y184" i="1"/>
  <c r="BP188" i="1"/>
  <c r="BN188" i="1"/>
  <c r="Z188" i="1"/>
  <c r="Z190" i="1" s="1"/>
  <c r="BP206" i="1"/>
  <c r="BN206" i="1"/>
  <c r="Z206" i="1"/>
  <c r="Y210" i="1"/>
  <c r="BP219" i="1"/>
  <c r="BN219" i="1"/>
  <c r="Z219" i="1"/>
  <c r="BP223" i="1"/>
  <c r="BN223" i="1"/>
  <c r="Z223" i="1"/>
  <c r="BP227" i="1"/>
  <c r="BN227" i="1"/>
  <c r="Z227" i="1"/>
  <c r="BP231" i="1"/>
  <c r="BN231" i="1"/>
  <c r="Z231" i="1"/>
  <c r="BP239" i="1"/>
  <c r="BN239" i="1"/>
  <c r="Z239" i="1"/>
  <c r="BP243" i="1"/>
  <c r="BN243" i="1"/>
  <c r="Z243" i="1"/>
  <c r="BP260" i="1"/>
  <c r="BN260" i="1"/>
  <c r="Z260" i="1"/>
  <c r="Z261" i="1" s="1"/>
  <c r="M568" i="1"/>
  <c r="Y262" i="1"/>
  <c r="Y267" i="1"/>
  <c r="BP264" i="1"/>
  <c r="BN264" i="1"/>
  <c r="Z264" i="1"/>
  <c r="Y292" i="1"/>
  <c r="Y298" i="1"/>
  <c r="Y309" i="1"/>
  <c r="Y313" i="1"/>
  <c r="Y317" i="1"/>
  <c r="Y323" i="1"/>
  <c r="P568" i="1"/>
  <c r="Y332" i="1"/>
  <c r="BP329" i="1"/>
  <c r="BN329" i="1"/>
  <c r="Z329" i="1"/>
  <c r="BP343" i="1"/>
  <c r="BN343" i="1"/>
  <c r="Z343" i="1"/>
  <c r="Y347" i="1"/>
  <c r="BP351" i="1"/>
  <c r="BN351" i="1"/>
  <c r="Z351" i="1"/>
  <c r="Z352" i="1" s="1"/>
  <c r="Y353" i="1"/>
  <c r="S568" i="1"/>
  <c r="Y359" i="1"/>
  <c r="BP356" i="1"/>
  <c r="BN356" i="1"/>
  <c r="Z356" i="1"/>
  <c r="BP365" i="1"/>
  <c r="BN365" i="1"/>
  <c r="Z365" i="1"/>
  <c r="Y369" i="1"/>
  <c r="BP373" i="1"/>
  <c r="BN373" i="1"/>
  <c r="Z373" i="1"/>
  <c r="BP377" i="1"/>
  <c r="BN377" i="1"/>
  <c r="Z377" i="1"/>
  <c r="BP385" i="1"/>
  <c r="BN385" i="1"/>
  <c r="Z385" i="1"/>
  <c r="Y387" i="1"/>
  <c r="Y392" i="1"/>
  <c r="BP389" i="1"/>
  <c r="BN389" i="1"/>
  <c r="Z389" i="1"/>
  <c r="BP397" i="1"/>
  <c r="BN397" i="1"/>
  <c r="Z397" i="1"/>
  <c r="BP409" i="1"/>
  <c r="BN409" i="1"/>
  <c r="Z409" i="1"/>
  <c r="Z411" i="1" s="1"/>
  <c r="BP423" i="1"/>
  <c r="BN423" i="1"/>
  <c r="Z423" i="1"/>
  <c r="Y425" i="1"/>
  <c r="W568" i="1"/>
  <c r="Y438" i="1"/>
  <c r="BP429" i="1"/>
  <c r="BN429" i="1"/>
  <c r="Z429" i="1"/>
  <c r="BP433" i="1"/>
  <c r="BN433" i="1"/>
  <c r="Z433" i="1"/>
  <c r="Y437" i="1"/>
  <c r="BP441" i="1"/>
  <c r="BN441" i="1"/>
  <c r="Z441" i="1"/>
  <c r="Z443" i="1" s="1"/>
  <c r="BP453" i="1"/>
  <c r="BN453" i="1"/>
  <c r="Z453" i="1"/>
  <c r="Y455" i="1"/>
  <c r="X568" i="1"/>
  <c r="Y461" i="1"/>
  <c r="BP458" i="1"/>
  <c r="BN458" i="1"/>
  <c r="Z458" i="1"/>
  <c r="Z460" i="1" s="1"/>
  <c r="BP476" i="1"/>
  <c r="BN476" i="1"/>
  <c r="Z476" i="1"/>
  <c r="BP480" i="1"/>
  <c r="BN480" i="1"/>
  <c r="Z480" i="1"/>
  <c r="Y482" i="1"/>
  <c r="Y487" i="1"/>
  <c r="BP484" i="1"/>
  <c r="BN484" i="1"/>
  <c r="Z484" i="1"/>
  <c r="Z486" i="1" s="1"/>
  <c r="V568" i="1"/>
  <c r="F568" i="1"/>
  <c r="Y91" i="1"/>
  <c r="G568" i="1"/>
  <c r="Y108" i="1"/>
  <c r="H568" i="1"/>
  <c r="Y133" i="1"/>
  <c r="J568" i="1"/>
  <c r="Y165" i="1"/>
  <c r="K568" i="1"/>
  <c r="Y211" i="1"/>
  <c r="L568" i="1"/>
  <c r="Y216" i="1"/>
  <c r="Z272" i="1"/>
  <c r="BN272" i="1"/>
  <c r="Z274" i="1"/>
  <c r="BN274" i="1"/>
  <c r="Z276" i="1"/>
  <c r="BN276" i="1"/>
  <c r="Z280" i="1"/>
  <c r="BN280" i="1"/>
  <c r="BP280" i="1"/>
  <c r="Z282" i="1"/>
  <c r="BN282" i="1"/>
  <c r="Z284" i="1"/>
  <c r="BN284" i="1"/>
  <c r="Z286" i="1"/>
  <c r="BN286" i="1"/>
  <c r="Z288" i="1"/>
  <c r="BN288" i="1"/>
  <c r="Z290" i="1"/>
  <c r="BN290" i="1"/>
  <c r="Z296" i="1"/>
  <c r="Z297" i="1" s="1"/>
  <c r="BN296" i="1"/>
  <c r="Z301" i="1"/>
  <c r="BN301" i="1"/>
  <c r="BP301" i="1"/>
  <c r="Z303" i="1"/>
  <c r="BN303" i="1"/>
  <c r="Z305" i="1"/>
  <c r="BN305" i="1"/>
  <c r="Z307" i="1"/>
  <c r="BN307" i="1"/>
  <c r="Y308" i="1"/>
  <c r="Z311" i="1"/>
  <c r="Z312" i="1" s="1"/>
  <c r="BN311" i="1"/>
  <c r="BP311" i="1"/>
  <c r="Z315" i="1"/>
  <c r="Z316" i="1" s="1"/>
  <c r="BN315" i="1"/>
  <c r="BP315" i="1"/>
  <c r="Z319" i="1"/>
  <c r="BN319" i="1"/>
  <c r="BP319" i="1"/>
  <c r="Z321" i="1"/>
  <c r="BN321" i="1"/>
  <c r="Z326" i="1"/>
  <c r="BN326" i="1"/>
  <c r="BP326" i="1"/>
  <c r="Y331" i="1"/>
  <c r="BP336" i="1"/>
  <c r="BN336" i="1"/>
  <c r="Z336" i="1"/>
  <c r="Z338" i="1" s="1"/>
  <c r="Y348" i="1"/>
  <c r="BP345" i="1"/>
  <c r="BN345" i="1"/>
  <c r="Z345" i="1"/>
  <c r="Y352" i="1"/>
  <c r="BP358" i="1"/>
  <c r="BN358" i="1"/>
  <c r="Z358" i="1"/>
  <c r="Y360" i="1"/>
  <c r="T568" i="1"/>
  <c r="Y370" i="1"/>
  <c r="BP363" i="1"/>
  <c r="BN363" i="1"/>
  <c r="Z363" i="1"/>
  <c r="BP367" i="1"/>
  <c r="BN367" i="1"/>
  <c r="Z367" i="1"/>
  <c r="Y380" i="1"/>
  <c r="BP375" i="1"/>
  <c r="BN375" i="1"/>
  <c r="Z375" i="1"/>
  <c r="Y379" i="1"/>
  <c r="BP383" i="1"/>
  <c r="BN383" i="1"/>
  <c r="Z383" i="1"/>
  <c r="Z386" i="1" s="1"/>
  <c r="BP391" i="1"/>
  <c r="BN391" i="1"/>
  <c r="Z391" i="1"/>
  <c r="Y393" i="1"/>
  <c r="Y400" i="1"/>
  <c r="BP395" i="1"/>
  <c r="BN395" i="1"/>
  <c r="Z395" i="1"/>
  <c r="Z399" i="1" s="1"/>
  <c r="Y399" i="1"/>
  <c r="BP403" i="1"/>
  <c r="BN403" i="1"/>
  <c r="Z403" i="1"/>
  <c r="Z405" i="1" s="1"/>
  <c r="Y412" i="1"/>
  <c r="Y411" i="1"/>
  <c r="BP416" i="1"/>
  <c r="BN416" i="1"/>
  <c r="Z416" i="1"/>
  <c r="Z417" i="1" s="1"/>
  <c r="Y418" i="1"/>
  <c r="Y424" i="1"/>
  <c r="BP421" i="1"/>
  <c r="BN421" i="1"/>
  <c r="Z421" i="1"/>
  <c r="Z424" i="1" s="1"/>
  <c r="BP431" i="1"/>
  <c r="BN431" i="1"/>
  <c r="Z431" i="1"/>
  <c r="BP435" i="1"/>
  <c r="BN435" i="1"/>
  <c r="Z435" i="1"/>
  <c r="Y444" i="1"/>
  <c r="Y443" i="1"/>
  <c r="BP447" i="1"/>
  <c r="BN447" i="1"/>
  <c r="Z447" i="1"/>
  <c r="Z449" i="1" s="1"/>
  <c r="Y454" i="1"/>
  <c r="Y460" i="1"/>
  <c r="BP468" i="1"/>
  <c r="BN468" i="1"/>
  <c r="Z468" i="1"/>
  <c r="BP478" i="1"/>
  <c r="BN478" i="1"/>
  <c r="Z478" i="1"/>
  <c r="Y486" i="1"/>
  <c r="BP496" i="1"/>
  <c r="BN496" i="1"/>
  <c r="Z496" i="1"/>
  <c r="Y498" i="1"/>
  <c r="AA568" i="1"/>
  <c r="Y511" i="1"/>
  <c r="BP502" i="1"/>
  <c r="BN502" i="1"/>
  <c r="Z502" i="1"/>
  <c r="BP506" i="1"/>
  <c r="BN506" i="1"/>
  <c r="Z506" i="1"/>
  <c r="BP510" i="1"/>
  <c r="BN510" i="1"/>
  <c r="Z510" i="1"/>
  <c r="Y512" i="1"/>
  <c r="Y517" i="1"/>
  <c r="BP514" i="1"/>
  <c r="BN514" i="1"/>
  <c r="Z514" i="1"/>
  <c r="Y518" i="1"/>
  <c r="BP522" i="1"/>
  <c r="BN522" i="1"/>
  <c r="Z522" i="1"/>
  <c r="BP526" i="1"/>
  <c r="BN526" i="1"/>
  <c r="Z526" i="1"/>
  <c r="Y528" i="1"/>
  <c r="Y533" i="1"/>
  <c r="BP532" i="1"/>
  <c r="BN532" i="1"/>
  <c r="Z532" i="1"/>
  <c r="Z533" i="1" s="1"/>
  <c r="AB568" i="1"/>
  <c r="Y534" i="1"/>
  <c r="Y537" i="1"/>
  <c r="BP536" i="1"/>
  <c r="BN536" i="1"/>
  <c r="Z536" i="1"/>
  <c r="Z537" i="1" s="1"/>
  <c r="Y538" i="1"/>
  <c r="Y541" i="1"/>
  <c r="BP540" i="1"/>
  <c r="BN540" i="1"/>
  <c r="Z540" i="1"/>
  <c r="Z541" i="1" s="1"/>
  <c r="Y542" i="1"/>
  <c r="Y545" i="1"/>
  <c r="BP544" i="1"/>
  <c r="BN544" i="1"/>
  <c r="Z544" i="1"/>
  <c r="Z545" i="1" s="1"/>
  <c r="Y546" i="1"/>
  <c r="Y551" i="1"/>
  <c r="BP548" i="1"/>
  <c r="BN548" i="1"/>
  <c r="Z548" i="1"/>
  <c r="Z550" i="1" s="1"/>
  <c r="Y550" i="1"/>
  <c r="R568" i="1"/>
  <c r="Z568" i="1"/>
  <c r="Q568" i="1"/>
  <c r="Y339" i="1"/>
  <c r="U568" i="1"/>
  <c r="Y417" i="1"/>
  <c r="Y568" i="1"/>
  <c r="Y481" i="1"/>
  <c r="Y497" i="1"/>
  <c r="BP494" i="1"/>
  <c r="BN494" i="1"/>
  <c r="Z494" i="1"/>
  <c r="BP504" i="1"/>
  <c r="BN504" i="1"/>
  <c r="Z504" i="1"/>
  <c r="BP508" i="1"/>
  <c r="BN508" i="1"/>
  <c r="Z508" i="1"/>
  <c r="BP516" i="1"/>
  <c r="BN516" i="1"/>
  <c r="Z516" i="1"/>
  <c r="Y527" i="1"/>
  <c r="BP520" i="1"/>
  <c r="BN520" i="1"/>
  <c r="Z520" i="1"/>
  <c r="BP524" i="1"/>
  <c r="BN524" i="1"/>
  <c r="Z524" i="1"/>
  <c r="Y557" i="1"/>
  <c r="Z210" i="1" l="1"/>
  <c r="Z527" i="1"/>
  <c r="Z379" i="1"/>
  <c r="Z331" i="1"/>
  <c r="Z292" i="1"/>
  <c r="Z481" i="1"/>
  <c r="Y560" i="1"/>
  <c r="Y559" i="1"/>
  <c r="Y558" i="1"/>
  <c r="Z497" i="1"/>
  <c r="Z347" i="1"/>
  <c r="Z454" i="1"/>
  <c r="Z266" i="1"/>
  <c r="Z245" i="1"/>
  <c r="Z233" i="1"/>
  <c r="Z153" i="1"/>
  <c r="Z81" i="1"/>
  <c r="Z277" i="1"/>
  <c r="Z251" i="1"/>
  <c r="Z108" i="1"/>
  <c r="Z91" i="1"/>
  <c r="Z517" i="1"/>
  <c r="Z369" i="1"/>
  <c r="Z322" i="1"/>
  <c r="Z308" i="1"/>
  <c r="Z359" i="1"/>
  <c r="Z184" i="1"/>
  <c r="Z62" i="1"/>
  <c r="Z51" i="1"/>
  <c r="Z42" i="1"/>
  <c r="Y562" i="1"/>
  <c r="X561" i="1"/>
  <c r="Z511" i="1"/>
  <c r="Z437" i="1"/>
  <c r="Z392" i="1"/>
  <c r="Z32" i="1"/>
  <c r="Z123" i="1"/>
  <c r="Z116" i="1"/>
  <c r="Z98" i="1"/>
  <c r="Z69" i="1"/>
  <c r="Y561" i="1" l="1"/>
  <c r="Z563" i="1"/>
</calcChain>
</file>

<file path=xl/sharedStrings.xml><?xml version="1.0" encoding="utf-8"?>
<sst xmlns="http://schemas.openxmlformats.org/spreadsheetml/2006/main" count="2542" uniqueCount="915">
  <si>
    <t xml:space="preserve">  БЛАНК ЗАКАЗА </t>
  </si>
  <si>
    <t>КИ</t>
  </si>
  <si>
    <t>на отгрузку продукции с ООО Трейд-Сервис с</t>
  </si>
  <si>
    <t>14.09.2026</t>
  </si>
  <si>
    <t>бланк создан</t>
  </si>
  <si>
    <t>10.09.2026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</si>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</sst>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44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716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8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2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6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65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78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Z14" sqref="Z14"/>
    </sheetView>
  </sheetViews>
  <sheetFormatPr defaultColWidth="9.140625" defaultRowHeight="12.75" x14ac:dyDescent="0.2"/>
  <cols>
    <col min="1" max="1" width="9.140625" style="6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4" customWidth="1"/>
    <col min="19" max="19" width="6.140625" style="6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4" customWidth="1"/>
    <col min="25" max="25" width="11" style="634" customWidth="1"/>
    <col min="26" max="26" width="10" style="634" customWidth="1"/>
    <col min="27" max="27" width="11.5703125" style="634" customWidth="1"/>
    <col min="28" max="28" width="10.42578125" style="634" customWidth="1"/>
    <col min="29" max="29" width="30" style="6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4" customWidth="1"/>
    <col min="34" max="34" width="9.140625" style="634" customWidth="1"/>
    <col min="35" max="16384" width="9.140625" style="634"/>
  </cols>
  <sheetData>
    <row r="1" spans="1:32" s="638" customFormat="1" ht="45" customHeight="1" x14ac:dyDescent="0.2">
      <c r="A1" s="41"/>
      <c r="B1" s="41"/>
      <c r="C1" s="41"/>
      <c r="D1" s="751" t="s">
        <v>0</v>
      </c>
      <c r="E1" s="685"/>
      <c r="F1" s="685"/>
      <c r="G1" s="12" t="s">
        <v>1</v>
      </c>
      <c r="H1" s="751" t="s">
        <v>2</v>
      </c>
      <c r="I1" s="685"/>
      <c r="J1" s="685"/>
      <c r="K1" s="685"/>
      <c r="L1" s="685"/>
      <c r="M1" s="685"/>
      <c r="N1" s="685"/>
      <c r="O1" s="685"/>
      <c r="P1" s="685"/>
      <c r="Q1" s="685"/>
      <c r="R1" s="684" t="s">
        <v>3</v>
      </c>
      <c r="S1" s="685"/>
      <c r="T1" s="68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6"/>
      <c r="R2" s="656"/>
      <c r="S2" s="656"/>
      <c r="T2" s="656"/>
      <c r="U2" s="656"/>
      <c r="V2" s="656"/>
      <c r="W2" s="656"/>
      <c r="X2" s="16"/>
      <c r="Y2" s="16"/>
      <c r="Z2" s="16"/>
      <c r="AA2" s="16"/>
      <c r="AB2" s="51"/>
      <c r="AC2" s="51"/>
      <c r="AD2" s="51"/>
      <c r="AE2" s="51"/>
    </row>
    <row r="3" spans="1:32" s="6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6"/>
      <c r="Q3" s="656"/>
      <c r="R3" s="656"/>
      <c r="S3" s="656"/>
      <c r="T3" s="656"/>
      <c r="U3" s="656"/>
      <c r="V3" s="656"/>
      <c r="W3" s="656"/>
      <c r="X3" s="16"/>
      <c r="Y3" s="16"/>
      <c r="Z3" s="16"/>
      <c r="AA3" s="16"/>
      <c r="AB3" s="51"/>
      <c r="AC3" s="51"/>
      <c r="AD3" s="51"/>
      <c r="AE3" s="51"/>
    </row>
    <row r="4" spans="1:32" s="6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8" customFormat="1" ht="23.45" customHeight="1" x14ac:dyDescent="0.2">
      <c r="A5" s="757" t="s">
        <v>8</v>
      </c>
      <c r="B5" s="674"/>
      <c r="C5" s="675"/>
      <c r="D5" s="738"/>
      <c r="E5" s="739"/>
      <c r="F5" s="964" t="s">
        <v>9</v>
      </c>
      <c r="G5" s="675"/>
      <c r="H5" s="738" t="s">
        <v>914</v>
      </c>
      <c r="I5" s="902"/>
      <c r="J5" s="902"/>
      <c r="K5" s="902"/>
      <c r="L5" s="902"/>
      <c r="M5" s="739"/>
      <c r="N5" s="58"/>
      <c r="P5" s="24" t="s">
        <v>10</v>
      </c>
      <c r="Q5" s="971">
        <v>46285</v>
      </c>
      <c r="R5" s="756"/>
      <c r="T5" s="838" t="s">
        <v>11</v>
      </c>
      <c r="U5" s="839"/>
      <c r="V5" s="840" t="s">
        <v>12</v>
      </c>
      <c r="W5" s="756"/>
      <c r="AB5" s="51"/>
      <c r="AC5" s="51"/>
      <c r="AD5" s="51"/>
      <c r="AE5" s="51"/>
    </row>
    <row r="6" spans="1:32" s="638" customFormat="1" ht="24" customHeight="1" x14ac:dyDescent="0.2">
      <c r="A6" s="757" t="s">
        <v>13</v>
      </c>
      <c r="B6" s="674"/>
      <c r="C6" s="675"/>
      <c r="D6" s="905" t="s">
        <v>887</v>
      </c>
      <c r="E6" s="906"/>
      <c r="F6" s="906"/>
      <c r="G6" s="906"/>
      <c r="H6" s="906"/>
      <c r="I6" s="906"/>
      <c r="J6" s="906"/>
      <c r="K6" s="906"/>
      <c r="L6" s="906"/>
      <c r="M6" s="756"/>
      <c r="N6" s="59"/>
      <c r="P6" s="24" t="s">
        <v>14</v>
      </c>
      <c r="Q6" s="987" t="str">
        <f>IF(Q5=0," ",CHOOSE(WEEKDAY(Q5,2),"Понедельник","Вторник","Среда","Четверг","Пятница","Суббота","Воскресенье"))</f>
        <v>Воскресенье</v>
      </c>
      <c r="R6" s="651"/>
      <c r="T6" s="845" t="s">
        <v>15</v>
      </c>
      <c r="U6" s="839"/>
      <c r="V6" s="887" t="s">
        <v>16</v>
      </c>
      <c r="W6" s="646"/>
      <c r="AB6" s="51"/>
      <c r="AC6" s="51"/>
      <c r="AD6" s="51"/>
      <c r="AE6" s="51"/>
    </row>
    <row r="7" spans="1:32" s="638" customFormat="1" ht="21.75" hidden="1" customHeight="1" x14ac:dyDescent="0.2">
      <c r="A7" s="55"/>
      <c r="B7" s="55"/>
      <c r="C7" s="55"/>
      <c r="D7" s="701" t="str">
        <f>IFERROR(VLOOKUP(DeliveryAddress,Table,3,0),1)</f>
        <v>5</v>
      </c>
      <c r="E7" s="702"/>
      <c r="F7" s="702"/>
      <c r="G7" s="702"/>
      <c r="H7" s="702"/>
      <c r="I7" s="702"/>
      <c r="J7" s="702"/>
      <c r="K7" s="702"/>
      <c r="L7" s="702"/>
      <c r="M7" s="703"/>
      <c r="N7" s="60"/>
      <c r="P7" s="24"/>
      <c r="Q7" s="42"/>
      <c r="R7" s="42"/>
      <c r="T7" s="656"/>
      <c r="U7" s="839"/>
      <c r="V7" s="888"/>
      <c r="W7" s="889"/>
      <c r="AB7" s="51"/>
      <c r="AC7" s="51"/>
      <c r="AD7" s="51"/>
      <c r="AE7" s="51"/>
    </row>
    <row r="8" spans="1:32" s="638" customFormat="1" ht="25.5" customHeight="1" x14ac:dyDescent="0.2">
      <c r="A8" s="993" t="s">
        <v>17</v>
      </c>
      <c r="B8" s="668"/>
      <c r="C8" s="669"/>
      <c r="D8" s="710"/>
      <c r="E8" s="711"/>
      <c r="F8" s="711"/>
      <c r="G8" s="711"/>
      <c r="H8" s="711"/>
      <c r="I8" s="711"/>
      <c r="J8" s="711"/>
      <c r="K8" s="711"/>
      <c r="L8" s="711"/>
      <c r="M8" s="712"/>
      <c r="N8" s="61"/>
      <c r="P8" s="24" t="s">
        <v>18</v>
      </c>
      <c r="Q8" s="722">
        <v>0.5</v>
      </c>
      <c r="R8" s="703"/>
      <c r="T8" s="656"/>
      <c r="U8" s="839"/>
      <c r="V8" s="888"/>
      <c r="W8" s="889"/>
      <c r="AB8" s="51"/>
      <c r="AC8" s="51"/>
      <c r="AD8" s="51"/>
      <c r="AE8" s="51"/>
    </row>
    <row r="9" spans="1:32" s="638" customFormat="1" ht="39.950000000000003" customHeight="1" x14ac:dyDescent="0.2">
      <c r="A9" s="7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6"/>
      <c r="C9" s="656"/>
      <c r="D9" s="792"/>
      <c r="E9" s="709"/>
      <c r="F9" s="7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6"/>
      <c r="H9" s="708" t="str">
        <f>IF(AND($A$9="Тип доверенности/получателя при получении в адресе перегруза:",$D$9="Разовая доверенность"),"Введите ФИО","")</f>
        <v/>
      </c>
      <c r="I9" s="709"/>
      <c r="J9" s="7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9"/>
      <c r="L9" s="709"/>
      <c r="M9" s="709"/>
      <c r="N9" s="639"/>
      <c r="P9" s="26" t="s">
        <v>19</v>
      </c>
      <c r="Q9" s="753"/>
      <c r="R9" s="754"/>
      <c r="T9" s="656"/>
      <c r="U9" s="839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38" customFormat="1" ht="26.45" customHeight="1" x14ac:dyDescent="0.2">
      <c r="A10" s="7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6"/>
      <c r="C10" s="656"/>
      <c r="D10" s="792"/>
      <c r="E10" s="709"/>
      <c r="F10" s="7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6"/>
      <c r="H10" s="1000" t="str">
        <f>IFERROR(VLOOKUP($D$10,Proxy,2,FALSE),"")</f>
        <v/>
      </c>
      <c r="I10" s="656"/>
      <c r="J10" s="656"/>
      <c r="K10" s="656"/>
      <c r="L10" s="656"/>
      <c r="M10" s="656"/>
      <c r="N10" s="637"/>
      <c r="P10" s="26" t="s">
        <v>20</v>
      </c>
      <c r="Q10" s="846"/>
      <c r="R10" s="847"/>
      <c r="U10" s="24" t="s">
        <v>21</v>
      </c>
      <c r="V10" s="645" t="s">
        <v>22</v>
      </c>
      <c r="W10" s="646"/>
      <c r="X10" s="44"/>
      <c r="Y10" s="44"/>
      <c r="Z10" s="44"/>
      <c r="AA10" s="44"/>
      <c r="AB10" s="51"/>
      <c r="AC10" s="51"/>
      <c r="AD10" s="51"/>
      <c r="AE10" s="51"/>
    </row>
    <row r="11" spans="1:32" s="63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5"/>
      <c r="R11" s="756"/>
      <c r="U11" s="24" t="s">
        <v>25</v>
      </c>
      <c r="V11" s="926" t="s">
        <v>26</v>
      </c>
      <c r="W11" s="754"/>
      <c r="X11" s="45"/>
      <c r="Y11" s="45"/>
      <c r="Z11" s="45"/>
      <c r="AA11" s="45"/>
      <c r="AB11" s="51"/>
      <c r="AC11" s="51"/>
      <c r="AD11" s="51"/>
      <c r="AE11" s="51"/>
    </row>
    <row r="12" spans="1:32" s="638" customFormat="1" ht="18.600000000000001" customHeight="1" x14ac:dyDescent="0.2">
      <c r="A12" s="827" t="s">
        <v>27</v>
      </c>
      <c r="B12" s="674"/>
      <c r="C12" s="674"/>
      <c r="D12" s="674"/>
      <c r="E12" s="674"/>
      <c r="F12" s="674"/>
      <c r="G12" s="674"/>
      <c r="H12" s="674"/>
      <c r="I12" s="674"/>
      <c r="J12" s="674"/>
      <c r="K12" s="674"/>
      <c r="L12" s="674"/>
      <c r="M12" s="675"/>
      <c r="N12" s="62"/>
      <c r="P12" s="24" t="s">
        <v>28</v>
      </c>
      <c r="Q12" s="722"/>
      <c r="R12" s="703"/>
      <c r="S12" s="23"/>
      <c r="U12" s="24"/>
      <c r="V12" s="685"/>
      <c r="W12" s="656"/>
      <c r="AB12" s="51"/>
      <c r="AC12" s="51"/>
      <c r="AD12" s="51"/>
      <c r="AE12" s="51"/>
    </row>
    <row r="13" spans="1:32" s="638" customFormat="1" ht="23.25" customHeight="1" x14ac:dyDescent="0.2">
      <c r="A13" s="827" t="s">
        <v>29</v>
      </c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5"/>
      <c r="N13" s="62"/>
      <c r="O13" s="26"/>
      <c r="P13" s="26" t="s">
        <v>30</v>
      </c>
      <c r="Q13" s="926"/>
      <c r="R13" s="7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8" customFormat="1" ht="18.600000000000001" customHeight="1" x14ac:dyDescent="0.2">
      <c r="A14" s="827" t="s">
        <v>31</v>
      </c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8" customFormat="1" ht="22.5" customHeight="1" x14ac:dyDescent="0.2">
      <c r="A15" s="855" t="s">
        <v>32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5"/>
      <c r="N15" s="63"/>
      <c r="P15" s="832" t="s">
        <v>33</v>
      </c>
      <c r="Q15" s="685"/>
      <c r="R15" s="685"/>
      <c r="S15" s="685"/>
      <c r="T15" s="68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3"/>
      <c r="Q16" s="833"/>
      <c r="R16" s="833"/>
      <c r="S16" s="833"/>
      <c r="T16" s="83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9" t="s">
        <v>34</v>
      </c>
      <c r="B17" s="699" t="s">
        <v>35</v>
      </c>
      <c r="C17" s="835" t="s">
        <v>36</v>
      </c>
      <c r="D17" s="699" t="s">
        <v>37</v>
      </c>
      <c r="E17" s="764"/>
      <c r="F17" s="699" t="s">
        <v>38</v>
      </c>
      <c r="G17" s="699" t="s">
        <v>39</v>
      </c>
      <c r="H17" s="699" t="s">
        <v>40</v>
      </c>
      <c r="I17" s="699" t="s">
        <v>41</v>
      </c>
      <c r="J17" s="699" t="s">
        <v>42</v>
      </c>
      <c r="K17" s="699" t="s">
        <v>43</v>
      </c>
      <c r="L17" s="699" t="s">
        <v>44</v>
      </c>
      <c r="M17" s="699" t="s">
        <v>45</v>
      </c>
      <c r="N17" s="699" t="s">
        <v>46</v>
      </c>
      <c r="O17" s="699" t="s">
        <v>47</v>
      </c>
      <c r="P17" s="699" t="s">
        <v>48</v>
      </c>
      <c r="Q17" s="763"/>
      <c r="R17" s="763"/>
      <c r="S17" s="763"/>
      <c r="T17" s="764"/>
      <c r="U17" s="858" t="s">
        <v>49</v>
      </c>
      <c r="V17" s="675"/>
      <c r="W17" s="699" t="s">
        <v>50</v>
      </c>
      <c r="X17" s="699" t="s">
        <v>51</v>
      </c>
      <c r="Y17" s="1009" t="s">
        <v>52</v>
      </c>
      <c r="Z17" s="1017" t="s">
        <v>53</v>
      </c>
      <c r="AA17" s="882" t="s">
        <v>54</v>
      </c>
      <c r="AB17" s="882" t="s">
        <v>55</v>
      </c>
      <c r="AC17" s="882" t="s">
        <v>56</v>
      </c>
      <c r="AD17" s="882" t="s">
        <v>57</v>
      </c>
      <c r="AE17" s="959"/>
      <c r="AF17" s="960"/>
      <c r="AG17" s="66"/>
      <c r="BD17" s="65" t="s">
        <v>58</v>
      </c>
    </row>
    <row r="18" spans="1:68" ht="14.25" customHeight="1" x14ac:dyDescent="0.2">
      <c r="A18" s="700"/>
      <c r="B18" s="700"/>
      <c r="C18" s="700"/>
      <c r="D18" s="765"/>
      <c r="E18" s="767"/>
      <c r="F18" s="700"/>
      <c r="G18" s="700"/>
      <c r="H18" s="700"/>
      <c r="I18" s="700"/>
      <c r="J18" s="700"/>
      <c r="K18" s="700"/>
      <c r="L18" s="700"/>
      <c r="M18" s="700"/>
      <c r="N18" s="700"/>
      <c r="O18" s="700"/>
      <c r="P18" s="765"/>
      <c r="Q18" s="766"/>
      <c r="R18" s="766"/>
      <c r="S18" s="766"/>
      <c r="T18" s="767"/>
      <c r="U18" s="67" t="s">
        <v>59</v>
      </c>
      <c r="V18" s="67" t="s">
        <v>60</v>
      </c>
      <c r="W18" s="700"/>
      <c r="X18" s="700"/>
      <c r="Y18" s="1010"/>
      <c r="Z18" s="1018"/>
      <c r="AA18" s="883"/>
      <c r="AB18" s="883"/>
      <c r="AC18" s="883"/>
      <c r="AD18" s="961"/>
      <c r="AE18" s="962"/>
      <c r="AF18" s="963"/>
      <c r="AG18" s="66"/>
      <c r="BD18" s="65"/>
    </row>
    <row r="19" spans="1:68" ht="27.75" hidden="1" customHeight="1" x14ac:dyDescent="0.2">
      <c r="A19" s="664" t="s">
        <v>61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48"/>
      <c r="AB19" s="48"/>
      <c r="AC19" s="48"/>
    </row>
    <row r="20" spans="1:68" ht="16.5" hidden="1" customHeight="1" x14ac:dyDescent="0.25">
      <c r="A20" s="666" t="s">
        <v>61</v>
      </c>
      <c r="B20" s="656"/>
      <c r="C20" s="656"/>
      <c r="D20" s="656"/>
      <c r="E20" s="656"/>
      <c r="F20" s="656"/>
      <c r="G20" s="656"/>
      <c r="H20" s="656"/>
      <c r="I20" s="656"/>
      <c r="J20" s="656"/>
      <c r="K20" s="656"/>
      <c r="L20" s="656"/>
      <c r="M20" s="656"/>
      <c r="N20" s="656"/>
      <c r="O20" s="656"/>
      <c r="P20" s="656"/>
      <c r="Q20" s="656"/>
      <c r="R20" s="656"/>
      <c r="S20" s="656"/>
      <c r="T20" s="656"/>
      <c r="U20" s="656"/>
      <c r="V20" s="656"/>
      <c r="W20" s="656"/>
      <c r="X20" s="656"/>
      <c r="Y20" s="656"/>
      <c r="Z20" s="656"/>
      <c r="AA20" s="636"/>
      <c r="AB20" s="636"/>
      <c r="AC20" s="636"/>
    </row>
    <row r="21" spans="1:68" ht="14.25" hidden="1" customHeight="1" x14ac:dyDescent="0.25">
      <c r="A21" s="672" t="s">
        <v>62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35"/>
      <c r="AB21" s="635"/>
      <c r="AC21" s="635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0">
        <v>4680115886643</v>
      </c>
      <c r="E22" s="651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0">
        <v>4680115889071</v>
      </c>
      <c r="E23" s="651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3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5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67" t="s">
        <v>72</v>
      </c>
      <c r="Q24" s="668"/>
      <c r="R24" s="668"/>
      <c r="S24" s="668"/>
      <c r="T24" s="668"/>
      <c r="U24" s="668"/>
      <c r="V24" s="669"/>
      <c r="W24" s="37" t="s">
        <v>73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67" t="s">
        <v>72</v>
      </c>
      <c r="Q25" s="668"/>
      <c r="R25" s="668"/>
      <c r="S25" s="668"/>
      <c r="T25" s="668"/>
      <c r="U25" s="668"/>
      <c r="V25" s="669"/>
      <c r="W25" s="37" t="s">
        <v>67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72" t="s">
        <v>74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35"/>
      <c r="AB26" s="635"/>
      <c r="AC26" s="635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0">
        <v>4680115885912</v>
      </c>
      <c r="E27" s="651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10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0">
        <v>4607091388237</v>
      </c>
      <c r="E28" s="651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50">
        <v>4680115887350</v>
      </c>
      <c r="E29" s="651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1">
        <v>0</v>
      </c>
      <c r="Y29" s="6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50">
        <v>4680115885905</v>
      </c>
      <c r="E30" s="651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1">
        <v>0</v>
      </c>
      <c r="Y30" s="6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0">
        <v>4680115887619</v>
      </c>
      <c r="E31" s="651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5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67" t="s">
        <v>72</v>
      </c>
      <c r="Q32" s="668"/>
      <c r="R32" s="668"/>
      <c r="S32" s="668"/>
      <c r="T32" s="668"/>
      <c r="U32" s="668"/>
      <c r="V32" s="669"/>
      <c r="W32" s="37" t="s">
        <v>73</v>
      </c>
      <c r="X32" s="643">
        <f>IFERROR(X27/H27,"0")+IFERROR(X28/H28,"0")+IFERROR(X29/H29,"0")+IFERROR(X30/H30,"0")+IFERROR(X31/H31,"0")</f>
        <v>0</v>
      </c>
      <c r="Y32" s="643">
        <f>IFERROR(Y27/H27,"0")+IFERROR(Y28/H28,"0")+IFERROR(Y29/H29,"0")+IFERROR(Y30/H30,"0")+IFERROR(Y31/H31,"0")</f>
        <v>0</v>
      </c>
      <c r="Z32" s="643">
        <f>IFERROR(IF(Z27="",0,Z27),"0")+IFERROR(IF(Z28="",0,Z28),"0")+IFERROR(IF(Z29="",0,Z29),"0")+IFERROR(IF(Z30="",0,Z30),"0")+IFERROR(IF(Z31="",0,Z31),"0")</f>
        <v>0</v>
      </c>
      <c r="AA32" s="644"/>
      <c r="AB32" s="644"/>
      <c r="AC32" s="644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67" t="s">
        <v>72</v>
      </c>
      <c r="Q33" s="668"/>
      <c r="R33" s="668"/>
      <c r="S33" s="668"/>
      <c r="T33" s="668"/>
      <c r="U33" s="668"/>
      <c r="V33" s="669"/>
      <c r="W33" s="37" t="s">
        <v>67</v>
      </c>
      <c r="X33" s="643">
        <f>IFERROR(SUM(X27:X31),"0")</f>
        <v>0</v>
      </c>
      <c r="Y33" s="643">
        <f>IFERROR(SUM(Y27:Y31),"0")</f>
        <v>0</v>
      </c>
      <c r="Z33" s="37"/>
      <c r="AA33" s="644"/>
      <c r="AB33" s="644"/>
      <c r="AC33" s="644"/>
    </row>
    <row r="34" spans="1:68" ht="27.75" hidden="1" customHeight="1" x14ac:dyDescent="0.2">
      <c r="A34" s="664" t="s">
        <v>92</v>
      </c>
      <c r="B34" s="665"/>
      <c r="C34" s="665"/>
      <c r="D34" s="665"/>
      <c r="E34" s="665"/>
      <c r="F34" s="665"/>
      <c r="G34" s="665"/>
      <c r="H34" s="665"/>
      <c r="I34" s="665"/>
      <c r="J34" s="665"/>
      <c r="K34" s="665"/>
      <c r="L34" s="665"/>
      <c r="M34" s="665"/>
      <c r="N34" s="665"/>
      <c r="O34" s="665"/>
      <c r="P34" s="665"/>
      <c r="Q34" s="665"/>
      <c r="R34" s="665"/>
      <c r="S34" s="665"/>
      <c r="T34" s="665"/>
      <c r="U34" s="665"/>
      <c r="V34" s="665"/>
      <c r="W34" s="665"/>
      <c r="X34" s="665"/>
      <c r="Y34" s="665"/>
      <c r="Z34" s="665"/>
      <c r="AA34" s="48"/>
      <c r="AB34" s="48"/>
      <c r="AC34" s="48"/>
    </row>
    <row r="35" spans="1:68" ht="16.5" hidden="1" customHeight="1" x14ac:dyDescent="0.25">
      <c r="A35" s="666" t="s">
        <v>93</v>
      </c>
      <c r="B35" s="656"/>
      <c r="C35" s="656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  <c r="Q35" s="656"/>
      <c r="R35" s="656"/>
      <c r="S35" s="656"/>
      <c r="T35" s="656"/>
      <c r="U35" s="656"/>
      <c r="V35" s="656"/>
      <c r="W35" s="656"/>
      <c r="X35" s="656"/>
      <c r="Y35" s="656"/>
      <c r="Z35" s="656"/>
      <c r="AA35" s="636"/>
      <c r="AB35" s="636"/>
      <c r="AC35" s="636"/>
    </row>
    <row r="36" spans="1:68" ht="14.25" hidden="1" customHeight="1" x14ac:dyDescent="0.25">
      <c r="A36" s="672" t="s">
        <v>74</v>
      </c>
      <c r="B36" s="656"/>
      <c r="C36" s="656"/>
      <c r="D36" s="656"/>
      <c r="E36" s="656"/>
      <c r="F36" s="656"/>
      <c r="G36" s="656"/>
      <c r="H36" s="656"/>
      <c r="I36" s="656"/>
      <c r="J36" s="656"/>
      <c r="K36" s="656"/>
      <c r="L36" s="656"/>
      <c r="M36" s="656"/>
      <c r="N36" s="656"/>
      <c r="O36" s="656"/>
      <c r="P36" s="656"/>
      <c r="Q36" s="656"/>
      <c r="R36" s="656"/>
      <c r="S36" s="656"/>
      <c r="T36" s="656"/>
      <c r="U36" s="656"/>
      <c r="V36" s="656"/>
      <c r="W36" s="656"/>
      <c r="X36" s="656"/>
      <c r="Y36" s="656"/>
      <c r="Z36" s="656"/>
      <c r="AA36" s="635"/>
      <c r="AB36" s="635"/>
      <c r="AC36" s="635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0">
        <v>4680115889354</v>
      </c>
      <c r="E37" s="651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0">
        <v>4680115888463</v>
      </c>
      <c r="E38" s="651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0">
        <v>4680115889590</v>
      </c>
      <c r="E39" s="651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0">
        <v>4680115888272</v>
      </c>
      <c r="E40" s="651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0">
        <v>4680115888364</v>
      </c>
      <c r="E41" s="651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5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67" t="s">
        <v>72</v>
      </c>
      <c r="Q42" s="668"/>
      <c r="R42" s="668"/>
      <c r="S42" s="668"/>
      <c r="T42" s="668"/>
      <c r="U42" s="668"/>
      <c r="V42" s="669"/>
      <c r="W42" s="37" t="s">
        <v>73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67" t="s">
        <v>72</v>
      </c>
      <c r="Q43" s="668"/>
      <c r="R43" s="668"/>
      <c r="S43" s="668"/>
      <c r="T43" s="668"/>
      <c r="U43" s="668"/>
      <c r="V43" s="669"/>
      <c r="W43" s="37" t="s">
        <v>67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64" t="s">
        <v>109</v>
      </c>
      <c r="B44" s="665"/>
      <c r="C44" s="665"/>
      <c r="D44" s="665"/>
      <c r="E44" s="665"/>
      <c r="F44" s="665"/>
      <c r="G44" s="665"/>
      <c r="H44" s="665"/>
      <c r="I44" s="665"/>
      <c r="J44" s="665"/>
      <c r="K44" s="665"/>
      <c r="L44" s="665"/>
      <c r="M44" s="665"/>
      <c r="N44" s="665"/>
      <c r="O44" s="665"/>
      <c r="P44" s="665"/>
      <c r="Q44" s="665"/>
      <c r="R44" s="665"/>
      <c r="S44" s="665"/>
      <c r="T44" s="665"/>
      <c r="U44" s="665"/>
      <c r="V44" s="665"/>
      <c r="W44" s="665"/>
      <c r="X44" s="665"/>
      <c r="Y44" s="665"/>
      <c r="Z44" s="665"/>
      <c r="AA44" s="48"/>
      <c r="AB44" s="48"/>
      <c r="AC44" s="48"/>
    </row>
    <row r="45" spans="1:68" ht="16.5" hidden="1" customHeight="1" x14ac:dyDescent="0.25">
      <c r="A45" s="666" t="s">
        <v>110</v>
      </c>
      <c r="B45" s="656"/>
      <c r="C45" s="656"/>
      <c r="D45" s="656"/>
      <c r="E45" s="656"/>
      <c r="F45" s="656"/>
      <c r="G45" s="656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36"/>
      <c r="AB45" s="636"/>
      <c r="AC45" s="636"/>
    </row>
    <row r="46" spans="1:68" ht="14.25" hidden="1" customHeight="1" x14ac:dyDescent="0.25">
      <c r="A46" s="672" t="s">
        <v>111</v>
      </c>
      <c r="B46" s="656"/>
      <c r="C46" s="656"/>
      <c r="D46" s="656"/>
      <c r="E46" s="656"/>
      <c r="F46" s="656"/>
      <c r="G46" s="656"/>
      <c r="H46" s="656"/>
      <c r="I46" s="656"/>
      <c r="J46" s="656"/>
      <c r="K46" s="656"/>
      <c r="L46" s="656"/>
      <c r="M46" s="656"/>
      <c r="N46" s="656"/>
      <c r="O46" s="656"/>
      <c r="P46" s="656"/>
      <c r="Q46" s="656"/>
      <c r="R46" s="656"/>
      <c r="S46" s="656"/>
      <c r="T46" s="656"/>
      <c r="U46" s="656"/>
      <c r="V46" s="656"/>
      <c r="W46" s="656"/>
      <c r="X46" s="656"/>
      <c r="Y46" s="656"/>
      <c r="Z46" s="656"/>
      <c r="AA46" s="635"/>
      <c r="AB46" s="635"/>
      <c r="AC46" s="635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0">
        <v>4607091385670</v>
      </c>
      <c r="E47" s="651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1">
        <v>1035</v>
      </c>
      <c r="Y47" s="642">
        <f>IFERROR(IF(X47="",0,CEILING((X47/$H47),1)*$H47),"")</f>
        <v>1036.8000000000002</v>
      </c>
      <c r="Z47" s="36">
        <f>IFERROR(IF(Y47=0,"",ROUNDUP(Y47/H47,0)*0.01898),"")</f>
        <v>1.8220800000000001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1074.2916666666667</v>
      </c>
      <c r="BN47" s="64">
        <f>IFERROR(Y47*I47/H47,"0")</f>
        <v>1076.1600000000001</v>
      </c>
      <c r="BO47" s="64">
        <f>IFERROR(1/J47*(X47/H47),"0")</f>
        <v>1.4973958333333333</v>
      </c>
      <c r="BP47" s="64">
        <f>IFERROR(1/J47*(Y47/H47),"0")</f>
        <v>1.5000000000000002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0">
        <v>4680115887725</v>
      </c>
      <c r="E48" s="651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50">
        <v>4607091385687</v>
      </c>
      <c r="E49" s="651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50">
        <v>4680115882539</v>
      </c>
      <c r="E50" s="651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1">
        <v>0</v>
      </c>
      <c r="Y50" s="64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5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67" t="s">
        <v>72</v>
      </c>
      <c r="Q51" s="668"/>
      <c r="R51" s="668"/>
      <c r="S51" s="668"/>
      <c r="T51" s="668"/>
      <c r="U51" s="668"/>
      <c r="V51" s="669"/>
      <c r="W51" s="37" t="s">
        <v>73</v>
      </c>
      <c r="X51" s="643">
        <f>IFERROR(X47/H47,"0")+IFERROR(X48/H48,"0")+IFERROR(X49/H49,"0")+IFERROR(X50/H50,"0")</f>
        <v>95.833333333333329</v>
      </c>
      <c r="Y51" s="643">
        <f>IFERROR(Y47/H47,"0")+IFERROR(Y48/H48,"0")+IFERROR(Y49/H49,"0")+IFERROR(Y50/H50,"0")</f>
        <v>96.000000000000014</v>
      </c>
      <c r="Z51" s="643">
        <f>IFERROR(IF(Z47="",0,Z47),"0")+IFERROR(IF(Z48="",0,Z48),"0")+IFERROR(IF(Z49="",0,Z49),"0")+IFERROR(IF(Z50="",0,Z50),"0")</f>
        <v>1.8220800000000001</v>
      </c>
      <c r="AA51" s="644"/>
      <c r="AB51" s="644"/>
      <c r="AC51" s="644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67" t="s">
        <v>72</v>
      </c>
      <c r="Q52" s="668"/>
      <c r="R52" s="668"/>
      <c r="S52" s="668"/>
      <c r="T52" s="668"/>
      <c r="U52" s="668"/>
      <c r="V52" s="669"/>
      <c r="W52" s="37" t="s">
        <v>67</v>
      </c>
      <c r="X52" s="643">
        <f>IFERROR(SUM(X47:X50),"0")</f>
        <v>1035</v>
      </c>
      <c r="Y52" s="643">
        <f>IFERROR(SUM(Y47:Y50),"0")</f>
        <v>1036.8000000000002</v>
      </c>
      <c r="Z52" s="37"/>
      <c r="AA52" s="644"/>
      <c r="AB52" s="644"/>
      <c r="AC52" s="644"/>
    </row>
    <row r="53" spans="1:68" ht="16.5" hidden="1" customHeight="1" x14ac:dyDescent="0.25">
      <c r="A53" s="666" t="s">
        <v>126</v>
      </c>
      <c r="B53" s="656"/>
      <c r="C53" s="656"/>
      <c r="D53" s="656"/>
      <c r="E53" s="656"/>
      <c r="F53" s="656"/>
      <c r="G53" s="656"/>
      <c r="H53" s="656"/>
      <c r="I53" s="656"/>
      <c r="J53" s="656"/>
      <c r="K53" s="656"/>
      <c r="L53" s="656"/>
      <c r="M53" s="656"/>
      <c r="N53" s="656"/>
      <c r="O53" s="656"/>
      <c r="P53" s="656"/>
      <c r="Q53" s="656"/>
      <c r="R53" s="656"/>
      <c r="S53" s="656"/>
      <c r="T53" s="656"/>
      <c r="U53" s="656"/>
      <c r="V53" s="656"/>
      <c r="W53" s="656"/>
      <c r="X53" s="656"/>
      <c r="Y53" s="656"/>
      <c r="Z53" s="656"/>
      <c r="AA53" s="636"/>
      <c r="AB53" s="636"/>
      <c r="AC53" s="636"/>
    </row>
    <row r="54" spans="1:68" ht="14.25" hidden="1" customHeight="1" x14ac:dyDescent="0.25">
      <c r="A54" s="672" t="s">
        <v>111</v>
      </c>
      <c r="B54" s="656"/>
      <c r="C54" s="656"/>
      <c r="D54" s="656"/>
      <c r="E54" s="656"/>
      <c r="F54" s="656"/>
      <c r="G54" s="656"/>
      <c r="H54" s="656"/>
      <c r="I54" s="656"/>
      <c r="J54" s="656"/>
      <c r="K54" s="656"/>
      <c r="L54" s="656"/>
      <c r="M54" s="656"/>
      <c r="N54" s="656"/>
      <c r="O54" s="656"/>
      <c r="P54" s="656"/>
      <c r="Q54" s="656"/>
      <c r="R54" s="656"/>
      <c r="S54" s="656"/>
      <c r="T54" s="656"/>
      <c r="U54" s="656"/>
      <c r="V54" s="656"/>
      <c r="W54" s="656"/>
      <c r="X54" s="656"/>
      <c r="Y54" s="656"/>
      <c r="Z54" s="656"/>
      <c r="AA54" s="635"/>
      <c r="AB54" s="635"/>
      <c r="AC54" s="635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50">
        <v>4680115885882</v>
      </c>
      <c r="E55" s="651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6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1">
        <v>0</v>
      </c>
      <c r="Y55" s="642">
        <f t="shared" ref="Y55:Y61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0</v>
      </c>
      <c r="BN55" s="64">
        <f t="shared" ref="BN55:BN61" si="2">IFERROR(Y55*I55/H55,"0")</f>
        <v>0</v>
      </c>
      <c r="BO55" s="64">
        <f t="shared" ref="BO55:BO61" si="3">IFERROR(1/J55*(X55/H55),"0")</f>
        <v>0</v>
      </c>
      <c r="BP55" s="64">
        <f t="shared" ref="BP55:BP61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0">
        <v>4680115881426</v>
      </c>
      <c r="E56" s="651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1">
        <v>190</v>
      </c>
      <c r="Y56" s="642">
        <f t="shared" si="0"/>
        <v>194.4</v>
      </c>
      <c r="Z56" s="36">
        <f>IFERROR(IF(Y56=0,"",ROUNDUP(Y56/H56,0)*0.01898),"")</f>
        <v>0.34164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197.21296296296296</v>
      </c>
      <c r="BN56" s="64">
        <f t="shared" si="2"/>
        <v>201.78</v>
      </c>
      <c r="BO56" s="64">
        <f t="shared" si="3"/>
        <v>0.27488425925925924</v>
      </c>
      <c r="BP56" s="64">
        <f t="shared" si="4"/>
        <v>0.28125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50">
        <v>4680115880283</v>
      </c>
      <c r="E57" s="651"/>
      <c r="F57" s="640">
        <v>0.6</v>
      </c>
      <c r="G57" s="32">
        <v>8</v>
      </c>
      <c r="H57" s="640">
        <v>4.8</v>
      </c>
      <c r="I57" s="64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1">
        <v>0</v>
      </c>
      <c r="Y57" s="64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50">
        <v>4680115881525</v>
      </c>
      <c r="E58" s="651"/>
      <c r="F58" s="640">
        <v>0.4</v>
      </c>
      <c r="G58" s="32">
        <v>10</v>
      </c>
      <c r="H58" s="640">
        <v>4</v>
      </c>
      <c r="I58" s="64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1">
        <v>0</v>
      </c>
      <c r="Y58" s="64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50">
        <v>4680115881525</v>
      </c>
      <c r="E59" s="651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1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1">
        <v>0</v>
      </c>
      <c r="Y59" s="642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50">
        <v>4680115885899</v>
      </c>
      <c r="E60" s="651"/>
      <c r="F60" s="640">
        <v>0.35</v>
      </c>
      <c r="G60" s="32">
        <v>6</v>
      </c>
      <c r="H60" s="640">
        <v>2.1</v>
      </c>
      <c r="I60" s="640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8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1">
        <v>0</v>
      </c>
      <c r="Y60" s="642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hidden="1" customHeight="1" x14ac:dyDescent="0.25">
      <c r="A61" s="54" t="s">
        <v>143</v>
      </c>
      <c r="B61" s="54" t="s">
        <v>144</v>
      </c>
      <c r="C61" s="31">
        <v>4301011801</v>
      </c>
      <c r="D61" s="650">
        <v>4680115881419</v>
      </c>
      <c r="E61" s="651"/>
      <c r="F61" s="640">
        <v>0.45</v>
      </c>
      <c r="G61" s="32">
        <v>10</v>
      </c>
      <c r="H61" s="640">
        <v>4.5</v>
      </c>
      <c r="I61" s="640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1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8"/>
      <c r="R61" s="648"/>
      <c r="S61" s="648"/>
      <c r="T61" s="649"/>
      <c r="U61" s="34"/>
      <c r="V61" s="34"/>
      <c r="W61" s="35" t="s">
        <v>67</v>
      </c>
      <c r="X61" s="641">
        <v>0</v>
      </c>
      <c r="Y61" s="642">
        <f t="shared" si="0"/>
        <v>0</v>
      </c>
      <c r="Z61" s="36" t="str">
        <f>IFERROR(IF(Y61=0,"",ROUNDUP(Y61/H61,0)*0.00902),"")</f>
        <v/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x14ac:dyDescent="0.2">
      <c r="A62" s="655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67" t="s">
        <v>72</v>
      </c>
      <c r="Q62" s="668"/>
      <c r="R62" s="668"/>
      <c r="S62" s="668"/>
      <c r="T62" s="668"/>
      <c r="U62" s="668"/>
      <c r="V62" s="669"/>
      <c r="W62" s="37" t="s">
        <v>73</v>
      </c>
      <c r="X62" s="643">
        <f>IFERROR(X55/H55,"0")+IFERROR(X56/H56,"0")+IFERROR(X57/H57,"0")+IFERROR(X58/H58,"0")+IFERROR(X59/H59,"0")+IFERROR(X60/H60,"0")+IFERROR(X61/H61,"0")</f>
        <v>17.592592592592592</v>
      </c>
      <c r="Y62" s="643">
        <f>IFERROR(Y55/H55,"0")+IFERROR(Y56/H56,"0")+IFERROR(Y57/H57,"0")+IFERROR(Y58/H58,"0")+IFERROR(Y59/H59,"0")+IFERROR(Y60/H60,"0")+IFERROR(Y61/H61,"0")</f>
        <v>18</v>
      </c>
      <c r="Z62" s="643">
        <f>IFERROR(IF(Z55="",0,Z55),"0")+IFERROR(IF(Z56="",0,Z56),"0")+IFERROR(IF(Z57="",0,Z57),"0")+IFERROR(IF(Z58="",0,Z58),"0")+IFERROR(IF(Z59="",0,Z59),"0")+IFERROR(IF(Z60="",0,Z60),"0")+IFERROR(IF(Z61="",0,Z61),"0")</f>
        <v>0.34164</v>
      </c>
      <c r="AA62" s="644"/>
      <c r="AB62" s="644"/>
      <c r="AC62" s="644"/>
    </row>
    <row r="63" spans="1:68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67" t="s">
        <v>72</v>
      </c>
      <c r="Q63" s="668"/>
      <c r="R63" s="668"/>
      <c r="S63" s="668"/>
      <c r="T63" s="668"/>
      <c r="U63" s="668"/>
      <c r="V63" s="669"/>
      <c r="W63" s="37" t="s">
        <v>67</v>
      </c>
      <c r="X63" s="643">
        <f>IFERROR(SUM(X55:X61),"0")</f>
        <v>190</v>
      </c>
      <c r="Y63" s="643">
        <f>IFERROR(SUM(Y55:Y61),"0")</f>
        <v>194.4</v>
      </c>
      <c r="Z63" s="37"/>
      <c r="AA63" s="644"/>
      <c r="AB63" s="644"/>
      <c r="AC63" s="644"/>
    </row>
    <row r="64" spans="1:68" ht="14.25" hidden="1" customHeight="1" x14ac:dyDescent="0.25">
      <c r="A64" s="672" t="s">
        <v>146</v>
      </c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6"/>
      <c r="P64" s="656"/>
      <c r="Q64" s="656"/>
      <c r="R64" s="656"/>
      <c r="S64" s="656"/>
      <c r="T64" s="656"/>
      <c r="U64" s="656"/>
      <c r="V64" s="656"/>
      <c r="W64" s="656"/>
      <c r="X64" s="656"/>
      <c r="Y64" s="656"/>
      <c r="Z64" s="656"/>
      <c r="AA64" s="635"/>
      <c r="AB64" s="635"/>
      <c r="AC64" s="635"/>
    </row>
    <row r="65" spans="1:68" ht="16.5" hidden="1" customHeight="1" x14ac:dyDescent="0.25">
      <c r="A65" s="54" t="s">
        <v>147</v>
      </c>
      <c r="B65" s="54" t="s">
        <v>148</v>
      </c>
      <c r="C65" s="31">
        <v>4301020298</v>
      </c>
      <c r="D65" s="650">
        <v>4680115881440</v>
      </c>
      <c r="E65" s="651"/>
      <c r="F65" s="640">
        <v>1.35</v>
      </c>
      <c r="G65" s="32">
        <v>8</v>
      </c>
      <c r="H65" s="640">
        <v>10.8</v>
      </c>
      <c r="I65" s="640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7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1">
        <v>0</v>
      </c>
      <c r="Y65" s="642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50">
        <v>4680115885950</v>
      </c>
      <c r="E66" s="651"/>
      <c r="F66" s="640">
        <v>0.37</v>
      </c>
      <c r="G66" s="32">
        <v>6</v>
      </c>
      <c r="H66" s="640">
        <v>2.2200000000000002</v>
      </c>
      <c r="I66" s="640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1">
        <v>0</v>
      </c>
      <c r="Y66" s="642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50">
        <v>4680115887688</v>
      </c>
      <c r="E67" s="651"/>
      <c r="F67" s="640">
        <v>0.1</v>
      </c>
      <c r="G67" s="32">
        <v>10</v>
      </c>
      <c r="H67" s="640">
        <v>1</v>
      </c>
      <c r="I67" s="640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6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1">
        <v>0</v>
      </c>
      <c r="Y67" s="642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50">
        <v>4680115881433</v>
      </c>
      <c r="E68" s="651"/>
      <c r="F68" s="640">
        <v>0.45</v>
      </c>
      <c r="G68" s="32">
        <v>6</v>
      </c>
      <c r="H68" s="640">
        <v>2.7</v>
      </c>
      <c r="I68" s="640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7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8"/>
      <c r="R68" s="648"/>
      <c r="S68" s="648"/>
      <c r="T68" s="649"/>
      <c r="U68" s="34"/>
      <c r="V68" s="34"/>
      <c r="W68" s="35" t="s">
        <v>67</v>
      </c>
      <c r="X68" s="641">
        <v>0</v>
      </c>
      <c r="Y68" s="642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55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67" t="s">
        <v>72</v>
      </c>
      <c r="Q69" s="668"/>
      <c r="R69" s="668"/>
      <c r="S69" s="668"/>
      <c r="T69" s="668"/>
      <c r="U69" s="668"/>
      <c r="V69" s="669"/>
      <c r="W69" s="37" t="s">
        <v>73</v>
      </c>
      <c r="X69" s="643">
        <f>IFERROR(X65/H65,"0")+IFERROR(X66/H66,"0")+IFERROR(X67/H67,"0")+IFERROR(X68/H68,"0")</f>
        <v>0</v>
      </c>
      <c r="Y69" s="643">
        <f>IFERROR(Y65/H65,"0")+IFERROR(Y66/H66,"0")+IFERROR(Y67/H67,"0")+IFERROR(Y68/H68,"0")</f>
        <v>0</v>
      </c>
      <c r="Z69" s="643">
        <f>IFERROR(IF(Z65="",0,Z65),"0")+IFERROR(IF(Z66="",0,Z66),"0")+IFERROR(IF(Z67="",0,Z67),"0")+IFERROR(IF(Z68="",0,Z68),"0")</f>
        <v>0</v>
      </c>
      <c r="AA69" s="644"/>
      <c r="AB69" s="644"/>
      <c r="AC69" s="644"/>
    </row>
    <row r="70" spans="1:68" hidden="1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67" t="s">
        <v>72</v>
      </c>
      <c r="Q70" s="668"/>
      <c r="R70" s="668"/>
      <c r="S70" s="668"/>
      <c r="T70" s="668"/>
      <c r="U70" s="668"/>
      <c r="V70" s="669"/>
      <c r="W70" s="37" t="s">
        <v>67</v>
      </c>
      <c r="X70" s="643">
        <f>IFERROR(SUM(X65:X68),"0")</f>
        <v>0</v>
      </c>
      <c r="Y70" s="643">
        <f>IFERROR(SUM(Y65:Y68),"0")</f>
        <v>0</v>
      </c>
      <c r="Z70" s="37"/>
      <c r="AA70" s="644"/>
      <c r="AB70" s="644"/>
      <c r="AC70" s="644"/>
    </row>
    <row r="71" spans="1:68" ht="14.25" hidden="1" customHeight="1" x14ac:dyDescent="0.25">
      <c r="A71" s="672" t="s">
        <v>74</v>
      </c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6"/>
      <c r="P71" s="656"/>
      <c r="Q71" s="656"/>
      <c r="R71" s="656"/>
      <c r="S71" s="656"/>
      <c r="T71" s="656"/>
      <c r="U71" s="656"/>
      <c r="V71" s="656"/>
      <c r="W71" s="656"/>
      <c r="X71" s="656"/>
      <c r="Y71" s="656"/>
      <c r="Z71" s="656"/>
      <c r="AA71" s="635"/>
      <c r="AB71" s="635"/>
      <c r="AC71" s="635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50">
        <v>4680115884311</v>
      </c>
      <c r="E72" s="651"/>
      <c r="F72" s="640">
        <v>0.3</v>
      </c>
      <c r="G72" s="32">
        <v>6</v>
      </c>
      <c r="H72" s="640">
        <v>1.8</v>
      </c>
      <c r="I72" s="640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1">
        <v>0</v>
      </c>
      <c r="Y72" s="64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50">
        <v>4680115884403</v>
      </c>
      <c r="E73" s="651"/>
      <c r="F73" s="640">
        <v>0.3</v>
      </c>
      <c r="G73" s="32">
        <v>6</v>
      </c>
      <c r="H73" s="640">
        <v>1.8</v>
      </c>
      <c r="I73" s="64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1">
        <v>0</v>
      </c>
      <c r="Y73" s="6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50">
        <v>4680115884403</v>
      </c>
      <c r="E74" s="651"/>
      <c r="F74" s="640">
        <v>0.3</v>
      </c>
      <c r="G74" s="32">
        <v>6</v>
      </c>
      <c r="H74" s="640">
        <v>1.8</v>
      </c>
      <c r="I74" s="640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8"/>
      <c r="R74" s="648"/>
      <c r="S74" s="648"/>
      <c r="T74" s="649"/>
      <c r="U74" s="34"/>
      <c r="V74" s="34"/>
      <c r="W74" s="35" t="s">
        <v>67</v>
      </c>
      <c r="X74" s="641">
        <v>0</v>
      </c>
      <c r="Y74" s="6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5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67" t="s">
        <v>72</v>
      </c>
      <c r="Q75" s="668"/>
      <c r="R75" s="668"/>
      <c r="S75" s="668"/>
      <c r="T75" s="668"/>
      <c r="U75" s="668"/>
      <c r="V75" s="669"/>
      <c r="W75" s="37" t="s">
        <v>73</v>
      </c>
      <c r="X75" s="643">
        <f>IFERROR(X72/H72,"0")+IFERROR(X73/H73,"0")+IFERROR(X74/H74,"0")</f>
        <v>0</v>
      </c>
      <c r="Y75" s="643">
        <f>IFERROR(Y72/H72,"0")+IFERROR(Y73/H73,"0")+IFERROR(Y74/H74,"0")</f>
        <v>0</v>
      </c>
      <c r="Z75" s="643">
        <f>IFERROR(IF(Z72="",0,Z72),"0")+IFERROR(IF(Z73="",0,Z73),"0")+IFERROR(IF(Z74="",0,Z74),"0")</f>
        <v>0</v>
      </c>
      <c r="AA75" s="644"/>
      <c r="AB75" s="644"/>
      <c r="AC75" s="644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67" t="s">
        <v>72</v>
      </c>
      <c r="Q76" s="668"/>
      <c r="R76" s="668"/>
      <c r="S76" s="668"/>
      <c r="T76" s="668"/>
      <c r="U76" s="668"/>
      <c r="V76" s="669"/>
      <c r="W76" s="37" t="s">
        <v>67</v>
      </c>
      <c r="X76" s="643">
        <f>IFERROR(SUM(X72:X74),"0")</f>
        <v>0</v>
      </c>
      <c r="Y76" s="643">
        <f>IFERROR(SUM(Y72:Y74),"0")</f>
        <v>0</v>
      </c>
      <c r="Z76" s="37"/>
      <c r="AA76" s="644"/>
      <c r="AB76" s="644"/>
      <c r="AC76" s="644"/>
    </row>
    <row r="77" spans="1:68" ht="14.25" hidden="1" customHeight="1" x14ac:dyDescent="0.25">
      <c r="A77" s="672" t="s">
        <v>164</v>
      </c>
      <c r="B77" s="656"/>
      <c r="C77" s="656"/>
      <c r="D77" s="656"/>
      <c r="E77" s="656"/>
      <c r="F77" s="656"/>
      <c r="G77" s="656"/>
      <c r="H77" s="656"/>
      <c r="I77" s="656"/>
      <c r="J77" s="656"/>
      <c r="K77" s="656"/>
      <c r="L77" s="656"/>
      <c r="M77" s="656"/>
      <c r="N77" s="656"/>
      <c r="O77" s="656"/>
      <c r="P77" s="656"/>
      <c r="Q77" s="656"/>
      <c r="R77" s="656"/>
      <c r="S77" s="656"/>
      <c r="T77" s="656"/>
      <c r="U77" s="656"/>
      <c r="V77" s="656"/>
      <c r="W77" s="656"/>
      <c r="X77" s="656"/>
      <c r="Y77" s="656"/>
      <c r="Z77" s="656"/>
      <c r="AA77" s="635"/>
      <c r="AB77" s="635"/>
      <c r="AC77" s="635"/>
    </row>
    <row r="78" spans="1:68" ht="27" hidden="1" customHeight="1" x14ac:dyDescent="0.25">
      <c r="A78" s="54" t="s">
        <v>165</v>
      </c>
      <c r="B78" s="54" t="s">
        <v>166</v>
      </c>
      <c r="C78" s="31">
        <v>4301060455</v>
      </c>
      <c r="D78" s="650">
        <v>4680115881532</v>
      </c>
      <c r="E78" s="651"/>
      <c r="F78" s="640">
        <v>1.3</v>
      </c>
      <c r="G78" s="32">
        <v>6</v>
      </c>
      <c r="H78" s="640">
        <v>7.8</v>
      </c>
      <c r="I78" s="64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1">
        <v>0</v>
      </c>
      <c r="Y78" s="64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50">
        <v>4680115881532</v>
      </c>
      <c r="E79" s="651"/>
      <c r="F79" s="640">
        <v>1.3</v>
      </c>
      <c r="G79" s="32">
        <v>6</v>
      </c>
      <c r="H79" s="640">
        <v>7.8</v>
      </c>
      <c r="I79" s="640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4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1">
        <v>0</v>
      </c>
      <c r="Y79" s="6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50">
        <v>4680115881464</v>
      </c>
      <c r="E80" s="651"/>
      <c r="F80" s="640">
        <v>0.4</v>
      </c>
      <c r="G80" s="32">
        <v>6</v>
      </c>
      <c r="H80" s="640">
        <v>2.4</v>
      </c>
      <c r="I80" s="64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8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1">
        <v>0</v>
      </c>
      <c r="Y80" s="6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55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67" t="s">
        <v>72</v>
      </c>
      <c r="Q81" s="668"/>
      <c r="R81" s="668"/>
      <c r="S81" s="668"/>
      <c r="T81" s="668"/>
      <c r="U81" s="668"/>
      <c r="V81" s="669"/>
      <c r="W81" s="37" t="s">
        <v>73</v>
      </c>
      <c r="X81" s="643">
        <f>IFERROR(X78/H78,"0")+IFERROR(X79/H79,"0")+IFERROR(X80/H80,"0")</f>
        <v>0</v>
      </c>
      <c r="Y81" s="643">
        <f>IFERROR(Y78/H78,"0")+IFERROR(Y79/H79,"0")+IFERROR(Y80/H80,"0")</f>
        <v>0</v>
      </c>
      <c r="Z81" s="643">
        <f>IFERROR(IF(Z78="",0,Z78),"0")+IFERROR(IF(Z79="",0,Z79),"0")+IFERROR(IF(Z80="",0,Z80),"0")</f>
        <v>0</v>
      </c>
      <c r="AA81" s="644"/>
      <c r="AB81" s="644"/>
      <c r="AC81" s="644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67" t="s">
        <v>72</v>
      </c>
      <c r="Q82" s="668"/>
      <c r="R82" s="668"/>
      <c r="S82" s="668"/>
      <c r="T82" s="668"/>
      <c r="U82" s="668"/>
      <c r="V82" s="669"/>
      <c r="W82" s="37" t="s">
        <v>67</v>
      </c>
      <c r="X82" s="643">
        <f>IFERROR(SUM(X78:X80),"0")</f>
        <v>0</v>
      </c>
      <c r="Y82" s="643">
        <f>IFERROR(SUM(Y78:Y80),"0")</f>
        <v>0</v>
      </c>
      <c r="Z82" s="37"/>
      <c r="AA82" s="644"/>
      <c r="AB82" s="644"/>
      <c r="AC82" s="644"/>
    </row>
    <row r="83" spans="1:68" ht="16.5" hidden="1" customHeight="1" x14ac:dyDescent="0.25">
      <c r="A83" s="666" t="s">
        <v>172</v>
      </c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6"/>
      <c r="P83" s="656"/>
      <c r="Q83" s="656"/>
      <c r="R83" s="656"/>
      <c r="S83" s="656"/>
      <c r="T83" s="656"/>
      <c r="U83" s="656"/>
      <c r="V83" s="656"/>
      <c r="W83" s="656"/>
      <c r="X83" s="656"/>
      <c r="Y83" s="656"/>
      <c r="Z83" s="656"/>
      <c r="AA83" s="636"/>
      <c r="AB83" s="636"/>
      <c r="AC83" s="636"/>
    </row>
    <row r="84" spans="1:68" ht="14.25" hidden="1" customHeight="1" x14ac:dyDescent="0.25">
      <c r="A84" s="672" t="s">
        <v>111</v>
      </c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6"/>
      <c r="P84" s="656"/>
      <c r="Q84" s="656"/>
      <c r="R84" s="656"/>
      <c r="S84" s="656"/>
      <c r="T84" s="656"/>
      <c r="U84" s="656"/>
      <c r="V84" s="656"/>
      <c r="W84" s="656"/>
      <c r="X84" s="656"/>
      <c r="Y84" s="656"/>
      <c r="Z84" s="656"/>
      <c r="AA84" s="635"/>
      <c r="AB84" s="635"/>
      <c r="AC84" s="635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650">
        <v>4680115881327</v>
      </c>
      <c r="E85" s="651"/>
      <c r="F85" s="640">
        <v>1.35</v>
      </c>
      <c r="G85" s="32">
        <v>8</v>
      </c>
      <c r="H85" s="640">
        <v>10.8</v>
      </c>
      <c r="I85" s="64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1">
        <v>259</v>
      </c>
      <c r="Y85" s="642">
        <f t="shared" ref="Y85:Y90" si="5">IFERROR(IF(X85="",0,CEILING((X85/$H85),1)*$H85),"")</f>
        <v>259.20000000000005</v>
      </c>
      <c r="Z85" s="36">
        <f>IFERROR(IF(Y85=0,"",ROUNDUP(Y85/H85,0)*0.01898),"")</f>
        <v>0.45552000000000004</v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268.8324074074074</v>
      </c>
      <c r="BN85" s="64">
        <f t="shared" ref="BN85:BN90" si="7">IFERROR(Y85*I85/H85,"0")</f>
        <v>269.04000000000002</v>
      </c>
      <c r="BO85" s="64">
        <f t="shared" ref="BO85:BO90" si="8">IFERROR(1/J85*(X85/H85),"0")</f>
        <v>0.37471064814814814</v>
      </c>
      <c r="BP85" s="64">
        <f t="shared" ref="BP85:BP90" si="9">IFERROR(1/J85*(Y85/H85),"0")</f>
        <v>0.37500000000000006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4301011261</v>
      </c>
      <c r="D86" s="650">
        <v>4680115887732</v>
      </c>
      <c r="E86" s="651"/>
      <c r="F86" s="640">
        <v>0.17</v>
      </c>
      <c r="G86" s="32">
        <v>10</v>
      </c>
      <c r="H86" s="640">
        <v>1.7</v>
      </c>
      <c r="I86" s="64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1">
        <v>0</v>
      </c>
      <c r="Y86" s="642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50">
        <v>4680115887732</v>
      </c>
      <c r="E87" s="651"/>
      <c r="F87" s="640">
        <v>0.17</v>
      </c>
      <c r="G87" s="32">
        <v>8</v>
      </c>
      <c r="H87" s="640">
        <v>1.36</v>
      </c>
      <c r="I87" s="64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2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8"/>
      <c r="R87" s="648"/>
      <c r="S87" s="648"/>
      <c r="T87" s="649"/>
      <c r="U87" s="34"/>
      <c r="V87" s="34"/>
      <c r="W87" s="35" t="s">
        <v>67</v>
      </c>
      <c r="X87" s="641">
        <v>0</v>
      </c>
      <c r="Y87" s="642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50">
        <v>4680115881518</v>
      </c>
      <c r="E88" s="651"/>
      <c r="F88" s="640">
        <v>0.4</v>
      </c>
      <c r="G88" s="32">
        <v>10</v>
      </c>
      <c r="H88" s="640">
        <v>4</v>
      </c>
      <c r="I88" s="64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1">
        <v>0</v>
      </c>
      <c r="Y88" s="642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4301011443</v>
      </c>
      <c r="D89" s="650">
        <v>4680115881303</v>
      </c>
      <c r="E89" s="651"/>
      <c r="F89" s="640">
        <v>0.45</v>
      </c>
      <c r="G89" s="32">
        <v>10</v>
      </c>
      <c r="H89" s="640">
        <v>4.5</v>
      </c>
      <c r="I89" s="64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1">
        <v>0</v>
      </c>
      <c r="Y89" s="642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4301012250</v>
      </c>
      <c r="D90" s="650">
        <v>4680115881303</v>
      </c>
      <c r="E90" s="651"/>
      <c r="F90" s="640">
        <v>0.45</v>
      </c>
      <c r="G90" s="32">
        <v>10</v>
      </c>
      <c r="H90" s="640">
        <v>4.5</v>
      </c>
      <c r="I90" s="640">
        <v>4.6900000000000004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1013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8"/>
      <c r="R90" s="648"/>
      <c r="S90" s="648"/>
      <c r="T90" s="649"/>
      <c r="U90" s="34"/>
      <c r="V90" s="34"/>
      <c r="W90" s="35" t="s">
        <v>67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175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x14ac:dyDescent="0.2">
      <c r="A91" s="655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67" t="s">
        <v>72</v>
      </c>
      <c r="Q91" s="668"/>
      <c r="R91" s="668"/>
      <c r="S91" s="668"/>
      <c r="T91" s="668"/>
      <c r="U91" s="668"/>
      <c r="V91" s="669"/>
      <c r="W91" s="37" t="s">
        <v>73</v>
      </c>
      <c r="X91" s="643">
        <f>IFERROR(X85/H85,"0")+IFERROR(X86/H86,"0")+IFERROR(X87/H87,"0")+IFERROR(X88/H88,"0")+IFERROR(X89/H89,"0")+IFERROR(X90/H90,"0")</f>
        <v>23.981481481481481</v>
      </c>
      <c r="Y91" s="643">
        <f>IFERROR(Y85/H85,"0")+IFERROR(Y86/H86,"0")+IFERROR(Y87/H87,"0")+IFERROR(Y88/H88,"0")+IFERROR(Y89/H89,"0")+IFERROR(Y90/H90,"0")</f>
        <v>24.000000000000004</v>
      </c>
      <c r="Z91" s="643">
        <f>IFERROR(IF(Z85="",0,Z85),"0")+IFERROR(IF(Z86="",0,Z86),"0")+IFERROR(IF(Z87="",0,Z87),"0")+IFERROR(IF(Z88="",0,Z88),"0")+IFERROR(IF(Z89="",0,Z89),"0")+IFERROR(IF(Z90="",0,Z90),"0")</f>
        <v>0.45552000000000004</v>
      </c>
      <c r="AA91" s="644"/>
      <c r="AB91" s="644"/>
      <c r="AC91" s="644"/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67" t="s">
        <v>72</v>
      </c>
      <c r="Q92" s="668"/>
      <c r="R92" s="668"/>
      <c r="S92" s="668"/>
      <c r="T92" s="668"/>
      <c r="U92" s="668"/>
      <c r="V92" s="669"/>
      <c r="W92" s="37" t="s">
        <v>67</v>
      </c>
      <c r="X92" s="643">
        <f>IFERROR(SUM(X85:X90),"0")</f>
        <v>259</v>
      </c>
      <c r="Y92" s="643">
        <f>IFERROR(SUM(Y85:Y90),"0")</f>
        <v>259.20000000000005</v>
      </c>
      <c r="Z92" s="37"/>
      <c r="AA92" s="644"/>
      <c r="AB92" s="644"/>
      <c r="AC92" s="644"/>
    </row>
    <row r="93" spans="1:68" ht="14.25" hidden="1" customHeight="1" x14ac:dyDescent="0.25">
      <c r="A93" s="672" t="s">
        <v>74</v>
      </c>
      <c r="B93" s="656"/>
      <c r="C93" s="656"/>
      <c r="D93" s="656"/>
      <c r="E93" s="656"/>
      <c r="F93" s="656"/>
      <c r="G93" s="656"/>
      <c r="H93" s="656"/>
      <c r="I93" s="656"/>
      <c r="J93" s="656"/>
      <c r="K93" s="656"/>
      <c r="L93" s="656"/>
      <c r="M93" s="656"/>
      <c r="N93" s="656"/>
      <c r="O93" s="656"/>
      <c r="P93" s="656"/>
      <c r="Q93" s="656"/>
      <c r="R93" s="656"/>
      <c r="S93" s="656"/>
      <c r="T93" s="656"/>
      <c r="U93" s="656"/>
      <c r="V93" s="656"/>
      <c r="W93" s="656"/>
      <c r="X93" s="656"/>
      <c r="Y93" s="656"/>
      <c r="Z93" s="656"/>
      <c r="AA93" s="635"/>
      <c r="AB93" s="635"/>
      <c r="AC93" s="635"/>
    </row>
    <row r="94" spans="1:68" ht="27" customHeight="1" x14ac:dyDescent="0.25">
      <c r="A94" s="54" t="s">
        <v>185</v>
      </c>
      <c r="B94" s="54" t="s">
        <v>186</v>
      </c>
      <c r="C94" s="31">
        <v>4301052101</v>
      </c>
      <c r="D94" s="650">
        <v>4607091386967</v>
      </c>
      <c r="E94" s="651"/>
      <c r="F94" s="640">
        <v>1.35</v>
      </c>
      <c r="G94" s="32">
        <v>6</v>
      </c>
      <c r="H94" s="640">
        <v>8.1</v>
      </c>
      <c r="I94" s="64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3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8"/>
      <c r="R94" s="648"/>
      <c r="S94" s="648"/>
      <c r="T94" s="649"/>
      <c r="U94" s="34"/>
      <c r="V94" s="34"/>
      <c r="W94" s="35" t="s">
        <v>67</v>
      </c>
      <c r="X94" s="641">
        <v>1116</v>
      </c>
      <c r="Y94" s="642">
        <f>IFERROR(IF(X94="",0,CEILING((X94/$H94),1)*$H94),"")</f>
        <v>1117.8</v>
      </c>
      <c r="Z94" s="36">
        <f>IFERROR(IF(Y94=0,"",ROUNDUP(Y94/H94,0)*0.01898),"")</f>
        <v>2.61924</v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1184.0622222222221</v>
      </c>
      <c r="BN94" s="64">
        <f>IFERROR(Y94*I94/H94,"0")</f>
        <v>1185.9719999999998</v>
      </c>
      <c r="BO94" s="64">
        <f>IFERROR(1/J94*(X94/H94),"0")</f>
        <v>2.1527777777777777</v>
      </c>
      <c r="BP94" s="64">
        <f>IFERROR(1/J94*(Y94/H94),"0")</f>
        <v>2.15625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4301052090</v>
      </c>
      <c r="D95" s="650">
        <v>4680115884953</v>
      </c>
      <c r="E95" s="651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1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1">
        <v>0</v>
      </c>
      <c r="Y95" s="6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190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4301052094</v>
      </c>
      <c r="D96" s="650">
        <v>4607091385731</v>
      </c>
      <c r="E96" s="651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101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1">
        <v>182</v>
      </c>
      <c r="Y96" s="642">
        <f>IFERROR(IF(X96="",0,CEILING((X96/$H96),1)*$H96),"")</f>
        <v>183.60000000000002</v>
      </c>
      <c r="Z96" s="36">
        <f>IFERROR(IF(Y96=0,"",ROUNDUP(Y96/H96,0)*0.00651),"")</f>
        <v>0.44268000000000002</v>
      </c>
      <c r="AA96" s="56"/>
      <c r="AB96" s="57"/>
      <c r="AC96" s="151" t="s">
        <v>187</v>
      </c>
      <c r="AG96" s="64"/>
      <c r="AJ96" s="68"/>
      <c r="AK96" s="68">
        <v>0</v>
      </c>
      <c r="BB96" s="152" t="s">
        <v>1</v>
      </c>
      <c r="BM96" s="64">
        <f>IFERROR(X96*I96/H96,"0")</f>
        <v>198.98666666666665</v>
      </c>
      <c r="BN96" s="64">
        <f>IFERROR(Y96*I96/H96,"0")</f>
        <v>200.73599999999999</v>
      </c>
      <c r="BO96" s="64">
        <f>IFERROR(1/J96*(X96/H96),"0")</f>
        <v>0.37037037037037041</v>
      </c>
      <c r="BP96" s="64">
        <f>IFERROR(1/J96*(Y96/H96),"0")</f>
        <v>0.37362637362637363</v>
      </c>
    </row>
    <row r="97" spans="1:68" ht="16.5" hidden="1" customHeight="1" x14ac:dyDescent="0.25">
      <c r="A97" s="54" t="s">
        <v>193</v>
      </c>
      <c r="B97" s="54" t="s">
        <v>194</v>
      </c>
      <c r="C97" s="31">
        <v>4301052092</v>
      </c>
      <c r="D97" s="650">
        <v>4680115880894</v>
      </c>
      <c r="E97" s="651"/>
      <c r="F97" s="640">
        <v>0.33</v>
      </c>
      <c r="G97" s="32">
        <v>6</v>
      </c>
      <c r="H97" s="640">
        <v>1.98</v>
      </c>
      <c r="I97" s="640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4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8"/>
      <c r="R97" s="648"/>
      <c r="S97" s="648"/>
      <c r="T97" s="649"/>
      <c r="U97" s="34"/>
      <c r="V97" s="34"/>
      <c r="W97" s="35" t="s">
        <v>67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195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5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67" t="s">
        <v>72</v>
      </c>
      <c r="Q98" s="668"/>
      <c r="R98" s="668"/>
      <c r="S98" s="668"/>
      <c r="T98" s="668"/>
      <c r="U98" s="668"/>
      <c r="V98" s="669"/>
      <c r="W98" s="37" t="s">
        <v>73</v>
      </c>
      <c r="X98" s="643">
        <f>IFERROR(X94/H94,"0")+IFERROR(X95/H95,"0")+IFERROR(X96/H96,"0")+IFERROR(X97/H97,"0")</f>
        <v>205.18518518518516</v>
      </c>
      <c r="Y98" s="643">
        <f>IFERROR(Y94/H94,"0")+IFERROR(Y95/H95,"0")+IFERROR(Y96/H96,"0")+IFERROR(Y97/H97,"0")</f>
        <v>206</v>
      </c>
      <c r="Z98" s="643">
        <f>IFERROR(IF(Z94="",0,Z94),"0")+IFERROR(IF(Z95="",0,Z95),"0")+IFERROR(IF(Z96="",0,Z96),"0")+IFERROR(IF(Z97="",0,Z97),"0")</f>
        <v>3.0619200000000002</v>
      </c>
      <c r="AA98" s="644"/>
      <c r="AB98" s="644"/>
      <c r="AC98" s="644"/>
    </row>
    <row r="99" spans="1:68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67" t="s">
        <v>72</v>
      </c>
      <c r="Q99" s="668"/>
      <c r="R99" s="668"/>
      <c r="S99" s="668"/>
      <c r="T99" s="668"/>
      <c r="U99" s="668"/>
      <c r="V99" s="669"/>
      <c r="W99" s="37" t="s">
        <v>67</v>
      </c>
      <c r="X99" s="643">
        <f>IFERROR(SUM(X94:X97),"0")</f>
        <v>1298</v>
      </c>
      <c r="Y99" s="643">
        <f>IFERROR(SUM(Y94:Y97),"0")</f>
        <v>1301.4000000000001</v>
      </c>
      <c r="Z99" s="37"/>
      <c r="AA99" s="644"/>
      <c r="AB99" s="644"/>
      <c r="AC99" s="644"/>
    </row>
    <row r="100" spans="1:68" ht="16.5" hidden="1" customHeight="1" x14ac:dyDescent="0.25">
      <c r="A100" s="666" t="s">
        <v>196</v>
      </c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6"/>
      <c r="P100" s="656"/>
      <c r="Q100" s="656"/>
      <c r="R100" s="656"/>
      <c r="S100" s="656"/>
      <c r="T100" s="656"/>
      <c r="U100" s="656"/>
      <c r="V100" s="656"/>
      <c r="W100" s="656"/>
      <c r="X100" s="656"/>
      <c r="Y100" s="656"/>
      <c r="Z100" s="656"/>
      <c r="AA100" s="636"/>
      <c r="AB100" s="636"/>
      <c r="AC100" s="636"/>
    </row>
    <row r="101" spans="1:68" ht="14.25" hidden="1" customHeight="1" x14ac:dyDescent="0.25">
      <c r="A101" s="672" t="s">
        <v>111</v>
      </c>
      <c r="B101" s="656"/>
      <c r="C101" s="656"/>
      <c r="D101" s="656"/>
      <c r="E101" s="656"/>
      <c r="F101" s="656"/>
      <c r="G101" s="656"/>
      <c r="H101" s="656"/>
      <c r="I101" s="656"/>
      <c r="J101" s="656"/>
      <c r="K101" s="656"/>
      <c r="L101" s="656"/>
      <c r="M101" s="656"/>
      <c r="N101" s="656"/>
      <c r="O101" s="656"/>
      <c r="P101" s="656"/>
      <c r="Q101" s="656"/>
      <c r="R101" s="656"/>
      <c r="S101" s="656"/>
      <c r="T101" s="656"/>
      <c r="U101" s="656"/>
      <c r="V101" s="656"/>
      <c r="W101" s="656"/>
      <c r="X101" s="656"/>
      <c r="Y101" s="656"/>
      <c r="Z101" s="656"/>
      <c r="AA101" s="635"/>
      <c r="AB101" s="635"/>
      <c r="AC101" s="635"/>
    </row>
    <row r="102" spans="1:68" ht="37.5" customHeight="1" x14ac:dyDescent="0.25">
      <c r="A102" s="54" t="s">
        <v>197</v>
      </c>
      <c r="B102" s="54" t="s">
        <v>198</v>
      </c>
      <c r="C102" s="31">
        <v>4301011514</v>
      </c>
      <c r="D102" s="650">
        <v>4680115882133</v>
      </c>
      <c r="E102" s="651"/>
      <c r="F102" s="640">
        <v>1.35</v>
      </c>
      <c r="G102" s="32">
        <v>8</v>
      </c>
      <c r="H102" s="640">
        <v>10.8</v>
      </c>
      <c r="I102" s="640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4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8"/>
      <c r="R102" s="648"/>
      <c r="S102" s="648"/>
      <c r="T102" s="649"/>
      <c r="U102" s="34"/>
      <c r="V102" s="34"/>
      <c r="W102" s="35" t="s">
        <v>67</v>
      </c>
      <c r="X102" s="641">
        <v>206</v>
      </c>
      <c r="Y102" s="642">
        <f t="shared" ref="Y102:Y107" si="10">IFERROR(IF(X102="",0,CEILING((X102/$H102),1)*$H102),"")</f>
        <v>216</v>
      </c>
      <c r="Z102" s="36">
        <f>IFERROR(IF(Y102=0,"",ROUNDUP(Y102/H102,0)*0.01898),"")</f>
        <v>0.37959999999999999</v>
      </c>
      <c r="AA102" s="56"/>
      <c r="AB102" s="57"/>
      <c r="AC102" s="155" t="s">
        <v>199</v>
      </c>
      <c r="AG102" s="64"/>
      <c r="AJ102" s="68"/>
      <c r="AK102" s="68">
        <v>0</v>
      </c>
      <c r="BB102" s="156" t="s">
        <v>1</v>
      </c>
      <c r="BM102" s="64">
        <f t="shared" ref="BM102:BM107" si="11">IFERROR(X102*I102/H102,"0")</f>
        <v>213.82037037037037</v>
      </c>
      <c r="BN102" s="64">
        <f t="shared" ref="BN102:BN107" si="12">IFERROR(Y102*I102/H102,"0")</f>
        <v>224.2</v>
      </c>
      <c r="BO102" s="64">
        <f t="shared" ref="BO102:BO107" si="13">IFERROR(1/J102*(X102/H102),"0")</f>
        <v>0.29803240740740738</v>
      </c>
      <c r="BP102" s="64">
        <f t="shared" ref="BP102:BP107" si="14">IFERROR(1/J102*(Y102/H102),"0")</f>
        <v>0.3125</v>
      </c>
    </row>
    <row r="103" spans="1:68" ht="27" hidden="1" customHeight="1" x14ac:dyDescent="0.25">
      <c r="A103" s="54" t="s">
        <v>200</v>
      </c>
      <c r="B103" s="54" t="s">
        <v>201</v>
      </c>
      <c r="C103" s="31">
        <v>4301012379</v>
      </c>
      <c r="D103" s="650">
        <v>4680115887718</v>
      </c>
      <c r="E103" s="651"/>
      <c r="F103" s="640">
        <v>0.11</v>
      </c>
      <c r="G103" s="32">
        <v>6</v>
      </c>
      <c r="H103" s="640">
        <v>0.66</v>
      </c>
      <c r="I103" s="640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4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1">
        <v>0</v>
      </c>
      <c r="Y103" s="642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202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4301011417</v>
      </c>
      <c r="D104" s="650">
        <v>4680115880269</v>
      </c>
      <c r="E104" s="651"/>
      <c r="F104" s="640">
        <v>0.375</v>
      </c>
      <c r="G104" s="32">
        <v>10</v>
      </c>
      <c r="H104" s="640">
        <v>3.75</v>
      </c>
      <c r="I104" s="640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8"/>
      <c r="R104" s="648"/>
      <c r="S104" s="648"/>
      <c r="T104" s="649"/>
      <c r="U104" s="34"/>
      <c r="V104" s="34"/>
      <c r="W104" s="35" t="s">
        <v>67</v>
      </c>
      <c r="X104" s="641">
        <v>0</v>
      </c>
      <c r="Y104" s="642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199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205</v>
      </c>
      <c r="B105" s="54" t="s">
        <v>206</v>
      </c>
      <c r="C105" s="31">
        <v>4301012254</v>
      </c>
      <c r="D105" s="650">
        <v>4680115880429</v>
      </c>
      <c r="E105" s="651"/>
      <c r="F105" s="640">
        <v>0.45</v>
      </c>
      <c r="G105" s="32">
        <v>10</v>
      </c>
      <c r="H105" s="640">
        <v>4.5</v>
      </c>
      <c r="I105" s="640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3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1">
        <v>0</v>
      </c>
      <c r="Y105" s="642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50">
        <v>4680115881457</v>
      </c>
      <c r="E106" s="651"/>
      <c r="F106" s="640">
        <v>0.75</v>
      </c>
      <c r="G106" s="32">
        <v>6</v>
      </c>
      <c r="H106" s="640">
        <v>4.5</v>
      </c>
      <c r="I106" s="640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8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8"/>
      <c r="R106" s="648"/>
      <c r="S106" s="648"/>
      <c r="T106" s="649"/>
      <c r="U106" s="34"/>
      <c r="V106" s="34"/>
      <c r="W106" s="35" t="s">
        <v>67</v>
      </c>
      <c r="X106" s="641">
        <v>0</v>
      </c>
      <c r="Y106" s="642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199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50">
        <v>4680115881457</v>
      </c>
      <c r="E107" s="651"/>
      <c r="F107" s="640">
        <v>0.75</v>
      </c>
      <c r="G107" s="32">
        <v>6</v>
      </c>
      <c r="H107" s="640">
        <v>4.5</v>
      </c>
      <c r="I107" s="640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4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8"/>
      <c r="R107" s="648"/>
      <c r="S107" s="648"/>
      <c r="T107" s="649"/>
      <c r="U107" s="34"/>
      <c r="V107" s="34"/>
      <c r="W107" s="35" t="s">
        <v>67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55"/>
      <c r="B108" s="656"/>
      <c r="C108" s="656"/>
      <c r="D108" s="656"/>
      <c r="E108" s="656"/>
      <c r="F108" s="656"/>
      <c r="G108" s="656"/>
      <c r="H108" s="656"/>
      <c r="I108" s="656"/>
      <c r="J108" s="656"/>
      <c r="K108" s="656"/>
      <c r="L108" s="656"/>
      <c r="M108" s="656"/>
      <c r="N108" s="656"/>
      <c r="O108" s="657"/>
      <c r="P108" s="667" t="s">
        <v>72</v>
      </c>
      <c r="Q108" s="668"/>
      <c r="R108" s="668"/>
      <c r="S108" s="668"/>
      <c r="T108" s="668"/>
      <c r="U108" s="668"/>
      <c r="V108" s="669"/>
      <c r="W108" s="37" t="s">
        <v>73</v>
      </c>
      <c r="X108" s="643">
        <f>IFERROR(X102/H102,"0")+IFERROR(X103/H103,"0")+IFERROR(X104/H104,"0")+IFERROR(X105/H105,"0")+IFERROR(X106/H106,"0")+IFERROR(X107/H107,"0")</f>
        <v>19.074074074074073</v>
      </c>
      <c r="Y108" s="643">
        <f>IFERROR(Y102/H102,"0")+IFERROR(Y103/H103,"0")+IFERROR(Y104/H104,"0")+IFERROR(Y105/H105,"0")+IFERROR(Y106/H106,"0")+IFERROR(Y107/H107,"0")</f>
        <v>20</v>
      </c>
      <c r="Z108" s="643">
        <f>IFERROR(IF(Z102="",0,Z102),"0")+IFERROR(IF(Z103="",0,Z103),"0")+IFERROR(IF(Z104="",0,Z104),"0")+IFERROR(IF(Z105="",0,Z105),"0")+IFERROR(IF(Z106="",0,Z106),"0")+IFERROR(IF(Z107="",0,Z107),"0")</f>
        <v>0.37959999999999999</v>
      </c>
      <c r="AA108" s="644"/>
      <c r="AB108" s="644"/>
      <c r="AC108" s="644"/>
    </row>
    <row r="109" spans="1:68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67" t="s">
        <v>72</v>
      </c>
      <c r="Q109" s="668"/>
      <c r="R109" s="668"/>
      <c r="S109" s="668"/>
      <c r="T109" s="668"/>
      <c r="U109" s="668"/>
      <c r="V109" s="669"/>
      <c r="W109" s="37" t="s">
        <v>67</v>
      </c>
      <c r="X109" s="643">
        <f>IFERROR(SUM(X102:X107),"0")</f>
        <v>206</v>
      </c>
      <c r="Y109" s="643">
        <f>IFERROR(SUM(Y102:Y107),"0")</f>
        <v>216</v>
      </c>
      <c r="Z109" s="37"/>
      <c r="AA109" s="644"/>
      <c r="AB109" s="644"/>
      <c r="AC109" s="644"/>
    </row>
    <row r="110" spans="1:68" ht="14.25" hidden="1" customHeight="1" x14ac:dyDescent="0.25">
      <c r="A110" s="672" t="s">
        <v>146</v>
      </c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6"/>
      <c r="P110" s="656"/>
      <c r="Q110" s="656"/>
      <c r="R110" s="656"/>
      <c r="S110" s="656"/>
      <c r="T110" s="656"/>
      <c r="U110" s="656"/>
      <c r="V110" s="656"/>
      <c r="W110" s="656"/>
      <c r="X110" s="656"/>
      <c r="Y110" s="656"/>
      <c r="Z110" s="656"/>
      <c r="AA110" s="635"/>
      <c r="AB110" s="635"/>
      <c r="AC110" s="635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50">
        <v>4680115881488</v>
      </c>
      <c r="E111" s="651"/>
      <c r="F111" s="640">
        <v>1.35</v>
      </c>
      <c r="G111" s="32">
        <v>8</v>
      </c>
      <c r="H111" s="640">
        <v>10.8</v>
      </c>
      <c r="I111" s="640">
        <v>11.21</v>
      </c>
      <c r="J111" s="32">
        <v>64</v>
      </c>
      <c r="K111" s="32" t="s">
        <v>114</v>
      </c>
      <c r="L111" s="32"/>
      <c r="M111" s="33" t="s">
        <v>115</v>
      </c>
      <c r="N111" s="33"/>
      <c r="O111" s="32">
        <v>55</v>
      </c>
      <c r="P111" s="91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8"/>
      <c r="R111" s="648"/>
      <c r="S111" s="648"/>
      <c r="T111" s="649"/>
      <c r="U111" s="34"/>
      <c r="V111" s="34"/>
      <c r="W111" s="35" t="s">
        <v>67</v>
      </c>
      <c r="X111" s="641">
        <v>0</v>
      </c>
      <c r="Y111" s="642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50">
        <v>4680115887664</v>
      </c>
      <c r="E112" s="651"/>
      <c r="F112" s="640">
        <v>0.1</v>
      </c>
      <c r="G112" s="32">
        <v>10</v>
      </c>
      <c r="H112" s="640">
        <v>1</v>
      </c>
      <c r="I112" s="640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9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8"/>
      <c r="R112" s="648"/>
      <c r="S112" s="648"/>
      <c r="T112" s="649"/>
      <c r="U112" s="34"/>
      <c r="V112" s="34"/>
      <c r="W112" s="35" t="s">
        <v>67</v>
      </c>
      <c r="X112" s="641">
        <v>0</v>
      </c>
      <c r="Y112" s="642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218</v>
      </c>
      <c r="C113" s="31">
        <v>4301020430</v>
      </c>
      <c r="D113" s="650">
        <v>4680115887664</v>
      </c>
      <c r="E113" s="651"/>
      <c r="F113" s="640">
        <v>0.1</v>
      </c>
      <c r="G113" s="32">
        <v>8</v>
      </c>
      <c r="H113" s="640">
        <v>0.8</v>
      </c>
      <c r="I113" s="640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6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8"/>
      <c r="R113" s="648"/>
      <c r="S113" s="648"/>
      <c r="T113" s="649"/>
      <c r="U113" s="34"/>
      <c r="V113" s="34"/>
      <c r="W113" s="35" t="s">
        <v>67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217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4301020393</v>
      </c>
      <c r="D114" s="650">
        <v>4680115882775</v>
      </c>
      <c r="E114" s="651"/>
      <c r="F114" s="640">
        <v>0.3</v>
      </c>
      <c r="G114" s="32">
        <v>8</v>
      </c>
      <c r="H114" s="640">
        <v>2.4</v>
      </c>
      <c r="I114" s="640">
        <v>2.5</v>
      </c>
      <c r="J114" s="32">
        <v>234</v>
      </c>
      <c r="K114" s="32" t="s">
        <v>65</v>
      </c>
      <c r="L114" s="32"/>
      <c r="M114" s="33" t="s">
        <v>115</v>
      </c>
      <c r="N114" s="33"/>
      <c r="O114" s="32">
        <v>55</v>
      </c>
      <c r="P114" s="92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1">
        <v>0</v>
      </c>
      <c r="Y114" s="642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221</v>
      </c>
      <c r="B115" s="54" t="s">
        <v>222</v>
      </c>
      <c r="C115" s="31">
        <v>4301020392</v>
      </c>
      <c r="D115" s="650">
        <v>4680115880658</v>
      </c>
      <c r="E115" s="651"/>
      <c r="F115" s="640">
        <v>0.4</v>
      </c>
      <c r="G115" s="32">
        <v>6</v>
      </c>
      <c r="H115" s="640">
        <v>2.4</v>
      </c>
      <c r="I115" s="640">
        <v>2.58</v>
      </c>
      <c r="J115" s="32">
        <v>182</v>
      </c>
      <c r="K115" s="32" t="s">
        <v>77</v>
      </c>
      <c r="L115" s="32"/>
      <c r="M115" s="33" t="s">
        <v>115</v>
      </c>
      <c r="N115" s="33"/>
      <c r="O115" s="32">
        <v>55</v>
      </c>
      <c r="P115" s="85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1">
        <v>0</v>
      </c>
      <c r="Y115" s="6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55"/>
      <c r="B116" s="656"/>
      <c r="C116" s="656"/>
      <c r="D116" s="656"/>
      <c r="E116" s="656"/>
      <c r="F116" s="656"/>
      <c r="G116" s="656"/>
      <c r="H116" s="656"/>
      <c r="I116" s="656"/>
      <c r="J116" s="656"/>
      <c r="K116" s="656"/>
      <c r="L116" s="656"/>
      <c r="M116" s="656"/>
      <c r="N116" s="656"/>
      <c r="O116" s="657"/>
      <c r="P116" s="667" t="s">
        <v>72</v>
      </c>
      <c r="Q116" s="668"/>
      <c r="R116" s="668"/>
      <c r="S116" s="668"/>
      <c r="T116" s="668"/>
      <c r="U116" s="668"/>
      <c r="V116" s="669"/>
      <c r="W116" s="37" t="s">
        <v>73</v>
      </c>
      <c r="X116" s="643">
        <f>IFERROR(X111/H111,"0")+IFERROR(X112/H112,"0")+IFERROR(X113/H113,"0")+IFERROR(X114/H114,"0")+IFERROR(X115/H115,"0")</f>
        <v>0</v>
      </c>
      <c r="Y116" s="643">
        <f>IFERROR(Y111/H111,"0")+IFERROR(Y112/H112,"0")+IFERROR(Y113/H113,"0")+IFERROR(Y114/H114,"0")+IFERROR(Y115/H115,"0")</f>
        <v>0</v>
      </c>
      <c r="Z116" s="643">
        <f>IFERROR(IF(Z111="",0,Z111),"0")+IFERROR(IF(Z112="",0,Z112),"0")+IFERROR(IF(Z113="",0,Z113),"0")+IFERROR(IF(Z114="",0,Z114),"0")+IFERROR(IF(Z115="",0,Z115),"0")</f>
        <v>0</v>
      </c>
      <c r="AA116" s="644"/>
      <c r="AB116" s="644"/>
      <c r="AC116" s="644"/>
    </row>
    <row r="117" spans="1:68" hidden="1" x14ac:dyDescent="0.2">
      <c r="A117" s="656"/>
      <c r="B117" s="656"/>
      <c r="C117" s="656"/>
      <c r="D117" s="656"/>
      <c r="E117" s="656"/>
      <c r="F117" s="656"/>
      <c r="G117" s="656"/>
      <c r="H117" s="656"/>
      <c r="I117" s="656"/>
      <c r="J117" s="656"/>
      <c r="K117" s="656"/>
      <c r="L117" s="656"/>
      <c r="M117" s="656"/>
      <c r="N117" s="656"/>
      <c r="O117" s="657"/>
      <c r="P117" s="667" t="s">
        <v>72</v>
      </c>
      <c r="Q117" s="668"/>
      <c r="R117" s="668"/>
      <c r="S117" s="668"/>
      <c r="T117" s="668"/>
      <c r="U117" s="668"/>
      <c r="V117" s="669"/>
      <c r="W117" s="37" t="s">
        <v>67</v>
      </c>
      <c r="X117" s="643">
        <f>IFERROR(SUM(X111:X115),"0")</f>
        <v>0</v>
      </c>
      <c r="Y117" s="643">
        <f>IFERROR(SUM(Y111:Y115),"0")</f>
        <v>0</v>
      </c>
      <c r="Z117" s="37"/>
      <c r="AA117" s="644"/>
      <c r="AB117" s="644"/>
      <c r="AC117" s="644"/>
    </row>
    <row r="118" spans="1:68" ht="14.25" hidden="1" customHeight="1" x14ac:dyDescent="0.25">
      <c r="A118" s="672" t="s">
        <v>74</v>
      </c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6"/>
      <c r="P118" s="656"/>
      <c r="Q118" s="656"/>
      <c r="R118" s="656"/>
      <c r="S118" s="656"/>
      <c r="T118" s="656"/>
      <c r="U118" s="656"/>
      <c r="V118" s="656"/>
      <c r="W118" s="656"/>
      <c r="X118" s="656"/>
      <c r="Y118" s="656"/>
      <c r="Z118" s="656"/>
      <c r="AA118" s="635"/>
      <c r="AB118" s="635"/>
      <c r="AC118" s="635"/>
    </row>
    <row r="119" spans="1:68" ht="27" customHeight="1" x14ac:dyDescent="0.25">
      <c r="A119" s="54" t="s">
        <v>223</v>
      </c>
      <c r="B119" s="54" t="s">
        <v>224</v>
      </c>
      <c r="C119" s="31">
        <v>4301052088</v>
      </c>
      <c r="D119" s="650">
        <v>4607091385168</v>
      </c>
      <c r="E119" s="651"/>
      <c r="F119" s="640">
        <v>1.35</v>
      </c>
      <c r="G119" s="32">
        <v>6</v>
      </c>
      <c r="H119" s="640">
        <v>8.1</v>
      </c>
      <c r="I119" s="640">
        <v>8.5879999999999992</v>
      </c>
      <c r="J119" s="32">
        <v>64</v>
      </c>
      <c r="K119" s="32" t="s">
        <v>114</v>
      </c>
      <c r="L119" s="32"/>
      <c r="M119" s="33" t="s">
        <v>78</v>
      </c>
      <c r="N119" s="33"/>
      <c r="O119" s="32">
        <v>45</v>
      </c>
      <c r="P119" s="80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8"/>
      <c r="R119" s="648"/>
      <c r="S119" s="648"/>
      <c r="T119" s="649"/>
      <c r="U119" s="34"/>
      <c r="V119" s="34"/>
      <c r="W119" s="35" t="s">
        <v>67</v>
      </c>
      <c r="X119" s="641">
        <v>1796</v>
      </c>
      <c r="Y119" s="642">
        <f>IFERROR(IF(X119="",0,CEILING((X119/$H119),1)*$H119),"")</f>
        <v>1798.1999999999998</v>
      </c>
      <c r="Z119" s="36">
        <f>IFERROR(IF(Y119=0,"",ROUNDUP(Y119/H119,0)*0.01898),"")</f>
        <v>4.2135600000000002</v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1904.2034567901235</v>
      </c>
      <c r="BN119" s="64">
        <f>IFERROR(Y119*I119/H119,"0")</f>
        <v>1906.5359999999996</v>
      </c>
      <c r="BO119" s="64">
        <f>IFERROR(1/J119*(X119/H119),"0")</f>
        <v>3.4645061728395063</v>
      </c>
      <c r="BP119" s="64">
        <f>IFERROR(1/J119*(Y119/H119),"0")</f>
        <v>3.46875</v>
      </c>
    </row>
    <row r="120" spans="1:68" ht="27" hidden="1" customHeight="1" x14ac:dyDescent="0.25">
      <c r="A120" s="54" t="s">
        <v>226</v>
      </c>
      <c r="B120" s="54" t="s">
        <v>227</v>
      </c>
      <c r="C120" s="31">
        <v>4301052087</v>
      </c>
      <c r="D120" s="650">
        <v>4607091383256</v>
      </c>
      <c r="E120" s="651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80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8"/>
      <c r="R120" s="648"/>
      <c r="S120" s="648"/>
      <c r="T120" s="649"/>
      <c r="U120" s="34"/>
      <c r="V120" s="34"/>
      <c r="W120" s="35" t="s">
        <v>67</v>
      </c>
      <c r="X120" s="641">
        <v>0</v>
      </c>
      <c r="Y120" s="6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228</v>
      </c>
      <c r="B121" s="54" t="s">
        <v>229</v>
      </c>
      <c r="C121" s="31">
        <v>4301052086</v>
      </c>
      <c r="D121" s="650">
        <v>4607091385748</v>
      </c>
      <c r="E121" s="651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5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8"/>
      <c r="R121" s="648"/>
      <c r="S121" s="648"/>
      <c r="T121" s="649"/>
      <c r="U121" s="34"/>
      <c r="V121" s="34"/>
      <c r="W121" s="35" t="s">
        <v>67</v>
      </c>
      <c r="X121" s="641">
        <v>155</v>
      </c>
      <c r="Y121" s="642">
        <f>IFERROR(IF(X121="",0,CEILING((X121/$H121),1)*$H121),"")</f>
        <v>156.60000000000002</v>
      </c>
      <c r="Z121" s="36">
        <f>IFERROR(IF(Y121=0,"",ROUNDUP(Y121/H121,0)*0.00651),"")</f>
        <v>0.37758000000000003</v>
      </c>
      <c r="AA121" s="56"/>
      <c r="AB121" s="57"/>
      <c r="AC121" s="181" t="s">
        <v>225</v>
      </c>
      <c r="AG121" s="64"/>
      <c r="AJ121" s="68"/>
      <c r="AK121" s="68">
        <v>0</v>
      </c>
      <c r="BB121" s="182" t="s">
        <v>1</v>
      </c>
      <c r="BM121" s="64">
        <f>IFERROR(X121*I121/H121,"0")</f>
        <v>169.46666666666667</v>
      </c>
      <c r="BN121" s="64">
        <f>IFERROR(Y121*I121/H121,"0")</f>
        <v>171.21600000000001</v>
      </c>
      <c r="BO121" s="64">
        <f>IFERROR(1/J121*(X121/H121),"0")</f>
        <v>0.31542531542531543</v>
      </c>
      <c r="BP121" s="64">
        <f>IFERROR(1/J121*(Y121/H121),"0")</f>
        <v>0.31868131868131877</v>
      </c>
    </row>
    <row r="122" spans="1:68" ht="16.5" hidden="1" customHeight="1" x14ac:dyDescent="0.25">
      <c r="A122" s="54" t="s">
        <v>230</v>
      </c>
      <c r="B122" s="54" t="s">
        <v>231</v>
      </c>
      <c r="C122" s="31">
        <v>4301052085</v>
      </c>
      <c r="D122" s="650">
        <v>4680115884533</v>
      </c>
      <c r="E122" s="651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13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1">
        <v>0</v>
      </c>
      <c r="Y122" s="642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232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55"/>
      <c r="B123" s="656"/>
      <c r="C123" s="656"/>
      <c r="D123" s="656"/>
      <c r="E123" s="656"/>
      <c r="F123" s="656"/>
      <c r="G123" s="656"/>
      <c r="H123" s="656"/>
      <c r="I123" s="656"/>
      <c r="J123" s="656"/>
      <c r="K123" s="656"/>
      <c r="L123" s="656"/>
      <c r="M123" s="656"/>
      <c r="N123" s="656"/>
      <c r="O123" s="657"/>
      <c r="P123" s="667" t="s">
        <v>72</v>
      </c>
      <c r="Q123" s="668"/>
      <c r="R123" s="668"/>
      <c r="S123" s="668"/>
      <c r="T123" s="668"/>
      <c r="U123" s="668"/>
      <c r="V123" s="669"/>
      <c r="W123" s="37" t="s">
        <v>73</v>
      </c>
      <c r="X123" s="643">
        <f>IFERROR(X119/H119,"0")+IFERROR(X120/H120,"0")+IFERROR(X121/H121,"0")+IFERROR(X122/H122,"0")</f>
        <v>279.1358024691358</v>
      </c>
      <c r="Y123" s="643">
        <f>IFERROR(Y119/H119,"0")+IFERROR(Y120/H120,"0")+IFERROR(Y121/H121,"0")+IFERROR(Y122/H122,"0")</f>
        <v>280</v>
      </c>
      <c r="Z123" s="643">
        <f>IFERROR(IF(Z119="",0,Z119),"0")+IFERROR(IF(Z120="",0,Z120),"0")+IFERROR(IF(Z121="",0,Z121),"0")+IFERROR(IF(Z122="",0,Z122),"0")</f>
        <v>4.5911400000000002</v>
      </c>
      <c r="AA123" s="644"/>
      <c r="AB123" s="644"/>
      <c r="AC123" s="644"/>
    </row>
    <row r="124" spans="1:68" x14ac:dyDescent="0.2">
      <c r="A124" s="656"/>
      <c r="B124" s="656"/>
      <c r="C124" s="656"/>
      <c r="D124" s="656"/>
      <c r="E124" s="656"/>
      <c r="F124" s="656"/>
      <c r="G124" s="656"/>
      <c r="H124" s="656"/>
      <c r="I124" s="656"/>
      <c r="J124" s="656"/>
      <c r="K124" s="656"/>
      <c r="L124" s="656"/>
      <c r="M124" s="656"/>
      <c r="N124" s="656"/>
      <c r="O124" s="657"/>
      <c r="P124" s="667" t="s">
        <v>72</v>
      </c>
      <c r="Q124" s="668"/>
      <c r="R124" s="668"/>
      <c r="S124" s="668"/>
      <c r="T124" s="668"/>
      <c r="U124" s="668"/>
      <c r="V124" s="669"/>
      <c r="W124" s="37" t="s">
        <v>67</v>
      </c>
      <c r="X124" s="643">
        <f>IFERROR(SUM(X119:X122),"0")</f>
        <v>1951</v>
      </c>
      <c r="Y124" s="643">
        <f>IFERROR(SUM(Y119:Y122),"0")</f>
        <v>1954.7999999999997</v>
      </c>
      <c r="Z124" s="37"/>
      <c r="AA124" s="644"/>
      <c r="AB124" s="644"/>
      <c r="AC124" s="644"/>
    </row>
    <row r="125" spans="1:68" ht="14.25" hidden="1" customHeight="1" x14ac:dyDescent="0.25">
      <c r="A125" s="672" t="s">
        <v>164</v>
      </c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6"/>
      <c r="P125" s="656"/>
      <c r="Q125" s="656"/>
      <c r="R125" s="656"/>
      <c r="S125" s="656"/>
      <c r="T125" s="656"/>
      <c r="U125" s="656"/>
      <c r="V125" s="656"/>
      <c r="W125" s="656"/>
      <c r="X125" s="656"/>
      <c r="Y125" s="656"/>
      <c r="Z125" s="656"/>
      <c r="AA125" s="635"/>
      <c r="AB125" s="635"/>
      <c r="AC125" s="635"/>
    </row>
    <row r="126" spans="1:68" ht="16.5" customHeight="1" x14ac:dyDescent="0.25">
      <c r="A126" s="54" t="s">
        <v>233</v>
      </c>
      <c r="B126" s="54" t="s">
        <v>234</v>
      </c>
      <c r="C126" s="31">
        <v>4301060525</v>
      </c>
      <c r="D126" s="650">
        <v>4680115880238</v>
      </c>
      <c r="E126" s="651"/>
      <c r="F126" s="640">
        <v>0.33</v>
      </c>
      <c r="G126" s="32">
        <v>6</v>
      </c>
      <c r="H126" s="640">
        <v>1.98</v>
      </c>
      <c r="I126" s="640">
        <v>2.238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40</v>
      </c>
      <c r="P126" s="99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8"/>
      <c r="R126" s="648"/>
      <c r="S126" s="648"/>
      <c r="T126" s="649"/>
      <c r="U126" s="34"/>
      <c r="V126" s="34"/>
      <c r="W126" s="35" t="s">
        <v>67</v>
      </c>
      <c r="X126" s="641">
        <v>48</v>
      </c>
      <c r="Y126" s="642">
        <f>IFERROR(IF(X126="",0,CEILING((X126/$H126),1)*$H126),"")</f>
        <v>49.5</v>
      </c>
      <c r="Z126" s="36">
        <f>IFERROR(IF(Y126=0,"",ROUNDUP(Y126/H126,0)*0.00651),"")</f>
        <v>0.16275000000000001</v>
      </c>
      <c r="AA126" s="56"/>
      <c r="AB126" s="57"/>
      <c r="AC126" s="185" t="s">
        <v>235</v>
      </c>
      <c r="AG126" s="64"/>
      <c r="AJ126" s="68"/>
      <c r="AK126" s="68">
        <v>0</v>
      </c>
      <c r="BB126" s="186" t="s">
        <v>1</v>
      </c>
      <c r="BM126" s="64">
        <f>IFERROR(X126*I126/H126,"0")</f>
        <v>54.254545454545458</v>
      </c>
      <c r="BN126" s="64">
        <f>IFERROR(Y126*I126/H126,"0")</f>
        <v>55.95</v>
      </c>
      <c r="BO126" s="64">
        <f>IFERROR(1/J126*(X126/H126),"0")</f>
        <v>0.13320013320013321</v>
      </c>
      <c r="BP126" s="64">
        <f>IFERROR(1/J126*(Y126/H126),"0")</f>
        <v>0.13736263736263737</v>
      </c>
    </row>
    <row r="127" spans="1:68" x14ac:dyDescent="0.2">
      <c r="A127" s="655"/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7"/>
      <c r="P127" s="667" t="s">
        <v>72</v>
      </c>
      <c r="Q127" s="668"/>
      <c r="R127" s="668"/>
      <c r="S127" s="668"/>
      <c r="T127" s="668"/>
      <c r="U127" s="668"/>
      <c r="V127" s="669"/>
      <c r="W127" s="37" t="s">
        <v>73</v>
      </c>
      <c r="X127" s="643">
        <f>IFERROR(X126/H126,"0")</f>
        <v>24.242424242424242</v>
      </c>
      <c r="Y127" s="643">
        <f>IFERROR(Y126/H126,"0")</f>
        <v>25</v>
      </c>
      <c r="Z127" s="643">
        <f>IFERROR(IF(Z126="",0,Z126),"0")</f>
        <v>0.16275000000000001</v>
      </c>
      <c r="AA127" s="644"/>
      <c r="AB127" s="644"/>
      <c r="AC127" s="644"/>
    </row>
    <row r="128" spans="1:68" x14ac:dyDescent="0.2">
      <c r="A128" s="656"/>
      <c r="B128" s="656"/>
      <c r="C128" s="656"/>
      <c r="D128" s="656"/>
      <c r="E128" s="656"/>
      <c r="F128" s="656"/>
      <c r="G128" s="656"/>
      <c r="H128" s="656"/>
      <c r="I128" s="656"/>
      <c r="J128" s="656"/>
      <c r="K128" s="656"/>
      <c r="L128" s="656"/>
      <c r="M128" s="656"/>
      <c r="N128" s="656"/>
      <c r="O128" s="657"/>
      <c r="P128" s="667" t="s">
        <v>72</v>
      </c>
      <c r="Q128" s="668"/>
      <c r="R128" s="668"/>
      <c r="S128" s="668"/>
      <c r="T128" s="668"/>
      <c r="U128" s="668"/>
      <c r="V128" s="669"/>
      <c r="W128" s="37" t="s">
        <v>67</v>
      </c>
      <c r="X128" s="643">
        <f>IFERROR(SUM(X126:X126),"0")</f>
        <v>48</v>
      </c>
      <c r="Y128" s="643">
        <f>IFERROR(SUM(Y126:Y126),"0")</f>
        <v>49.5</v>
      </c>
      <c r="Z128" s="37"/>
      <c r="AA128" s="644"/>
      <c r="AB128" s="644"/>
      <c r="AC128" s="644"/>
    </row>
    <row r="129" spans="1:68" ht="16.5" hidden="1" customHeight="1" x14ac:dyDescent="0.25">
      <c r="A129" s="666" t="s">
        <v>236</v>
      </c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6"/>
      <c r="P129" s="656"/>
      <c r="Q129" s="656"/>
      <c r="R129" s="656"/>
      <c r="S129" s="656"/>
      <c r="T129" s="656"/>
      <c r="U129" s="656"/>
      <c r="V129" s="656"/>
      <c r="W129" s="656"/>
      <c r="X129" s="656"/>
      <c r="Y129" s="656"/>
      <c r="Z129" s="656"/>
      <c r="AA129" s="636"/>
      <c r="AB129" s="636"/>
      <c r="AC129" s="636"/>
    </row>
    <row r="130" spans="1:68" ht="14.25" hidden="1" customHeight="1" x14ac:dyDescent="0.25">
      <c r="A130" s="672" t="s">
        <v>111</v>
      </c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6"/>
      <c r="P130" s="656"/>
      <c r="Q130" s="656"/>
      <c r="R130" s="656"/>
      <c r="S130" s="656"/>
      <c r="T130" s="656"/>
      <c r="U130" s="656"/>
      <c r="V130" s="656"/>
      <c r="W130" s="656"/>
      <c r="X130" s="656"/>
      <c r="Y130" s="656"/>
      <c r="Z130" s="656"/>
      <c r="AA130" s="635"/>
      <c r="AB130" s="635"/>
      <c r="AC130" s="635"/>
    </row>
    <row r="131" spans="1:68" ht="27" hidden="1" customHeight="1" x14ac:dyDescent="0.25">
      <c r="A131" s="54" t="s">
        <v>237</v>
      </c>
      <c r="B131" s="54" t="s">
        <v>238</v>
      </c>
      <c r="C131" s="31">
        <v>4301011562</v>
      </c>
      <c r="D131" s="650">
        <v>4680115882577</v>
      </c>
      <c r="E131" s="651"/>
      <c r="F131" s="640">
        <v>0.4</v>
      </c>
      <c r="G131" s="32">
        <v>8</v>
      </c>
      <c r="H131" s="640">
        <v>3.2</v>
      </c>
      <c r="I131" s="640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8"/>
      <c r="R131" s="648"/>
      <c r="S131" s="648"/>
      <c r="T131" s="649"/>
      <c r="U131" s="34"/>
      <c r="V131" s="34"/>
      <c r="W131" s="35" t="s">
        <v>67</v>
      </c>
      <c r="X131" s="641">
        <v>0</v>
      </c>
      <c r="Y131" s="6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237</v>
      </c>
      <c r="B132" s="54" t="s">
        <v>241</v>
      </c>
      <c r="C132" s="31">
        <v>4301011564</v>
      </c>
      <c r="D132" s="650">
        <v>4680115882577</v>
      </c>
      <c r="E132" s="651"/>
      <c r="F132" s="640">
        <v>0.4</v>
      </c>
      <c r="G132" s="32">
        <v>8</v>
      </c>
      <c r="H132" s="640">
        <v>3.2</v>
      </c>
      <c r="I132" s="640">
        <v>3.38</v>
      </c>
      <c r="J132" s="32">
        <v>182</v>
      </c>
      <c r="K132" s="32" t="s">
        <v>77</v>
      </c>
      <c r="L132" s="32"/>
      <c r="M132" s="33" t="s">
        <v>239</v>
      </c>
      <c r="N132" s="33"/>
      <c r="O132" s="32">
        <v>90</v>
      </c>
      <c r="P132" s="79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8"/>
      <c r="R132" s="648"/>
      <c r="S132" s="648"/>
      <c r="T132" s="649"/>
      <c r="U132" s="34"/>
      <c r="V132" s="34"/>
      <c r="W132" s="35" t="s">
        <v>67</v>
      </c>
      <c r="X132" s="641">
        <v>0</v>
      </c>
      <c r="Y132" s="64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240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55"/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7"/>
      <c r="P133" s="667" t="s">
        <v>72</v>
      </c>
      <c r="Q133" s="668"/>
      <c r="R133" s="668"/>
      <c r="S133" s="668"/>
      <c r="T133" s="668"/>
      <c r="U133" s="668"/>
      <c r="V133" s="669"/>
      <c r="W133" s="37" t="s">
        <v>73</v>
      </c>
      <c r="X133" s="643">
        <f>IFERROR(X131/H131,"0")+IFERROR(X132/H132,"0")</f>
        <v>0</v>
      </c>
      <c r="Y133" s="643">
        <f>IFERROR(Y131/H131,"0")+IFERROR(Y132/H132,"0")</f>
        <v>0</v>
      </c>
      <c r="Z133" s="643">
        <f>IFERROR(IF(Z131="",0,Z131),"0")+IFERROR(IF(Z132="",0,Z132),"0")</f>
        <v>0</v>
      </c>
      <c r="AA133" s="644"/>
      <c r="AB133" s="644"/>
      <c r="AC133" s="644"/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67" t="s">
        <v>72</v>
      </c>
      <c r="Q134" s="668"/>
      <c r="R134" s="668"/>
      <c r="S134" s="668"/>
      <c r="T134" s="668"/>
      <c r="U134" s="668"/>
      <c r="V134" s="669"/>
      <c r="W134" s="37" t="s">
        <v>67</v>
      </c>
      <c r="X134" s="643">
        <f>IFERROR(SUM(X131:X132),"0")</f>
        <v>0</v>
      </c>
      <c r="Y134" s="643">
        <f>IFERROR(SUM(Y131:Y132),"0")</f>
        <v>0</v>
      </c>
      <c r="Z134" s="37"/>
      <c r="AA134" s="644"/>
      <c r="AB134" s="644"/>
      <c r="AC134" s="644"/>
    </row>
    <row r="135" spans="1:68" ht="14.25" hidden="1" customHeight="1" x14ac:dyDescent="0.25">
      <c r="A135" s="672" t="s">
        <v>62</v>
      </c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6"/>
      <c r="P135" s="656"/>
      <c r="Q135" s="656"/>
      <c r="R135" s="656"/>
      <c r="S135" s="656"/>
      <c r="T135" s="656"/>
      <c r="U135" s="656"/>
      <c r="V135" s="656"/>
      <c r="W135" s="656"/>
      <c r="X135" s="656"/>
      <c r="Y135" s="656"/>
      <c r="Z135" s="656"/>
      <c r="AA135" s="635"/>
      <c r="AB135" s="635"/>
      <c r="AC135" s="635"/>
    </row>
    <row r="136" spans="1:68" ht="27" hidden="1" customHeight="1" x14ac:dyDescent="0.25">
      <c r="A136" s="54" t="s">
        <v>242</v>
      </c>
      <c r="B136" s="54" t="s">
        <v>243</v>
      </c>
      <c r="C136" s="31">
        <v>4301031234</v>
      </c>
      <c r="D136" s="650">
        <v>4680115883444</v>
      </c>
      <c r="E136" s="651"/>
      <c r="F136" s="640">
        <v>0.35</v>
      </c>
      <c r="G136" s="32">
        <v>8</v>
      </c>
      <c r="H136" s="640">
        <v>2.8</v>
      </c>
      <c r="I136" s="640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8"/>
      <c r="R136" s="648"/>
      <c r="S136" s="648"/>
      <c r="T136" s="649"/>
      <c r="U136" s="34"/>
      <c r="V136" s="34"/>
      <c r="W136" s="35" t="s">
        <v>67</v>
      </c>
      <c r="X136" s="641">
        <v>0</v>
      </c>
      <c r="Y136" s="64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244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242</v>
      </c>
      <c r="B137" s="54" t="s">
        <v>245</v>
      </c>
      <c r="C137" s="31">
        <v>4301031235</v>
      </c>
      <c r="D137" s="650">
        <v>4680115883444</v>
      </c>
      <c r="E137" s="651"/>
      <c r="F137" s="640">
        <v>0.35</v>
      </c>
      <c r="G137" s="32">
        <v>8</v>
      </c>
      <c r="H137" s="640">
        <v>2.8</v>
      </c>
      <c r="I137" s="640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80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8"/>
      <c r="R137" s="648"/>
      <c r="S137" s="648"/>
      <c r="T137" s="649"/>
      <c r="U137" s="34"/>
      <c r="V137" s="34"/>
      <c r="W137" s="35" t="s">
        <v>67</v>
      </c>
      <c r="X137" s="641">
        <v>0</v>
      </c>
      <c r="Y137" s="64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244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55"/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7"/>
      <c r="P138" s="667" t="s">
        <v>72</v>
      </c>
      <c r="Q138" s="668"/>
      <c r="R138" s="668"/>
      <c r="S138" s="668"/>
      <c r="T138" s="668"/>
      <c r="U138" s="668"/>
      <c r="V138" s="669"/>
      <c r="W138" s="37" t="s">
        <v>73</v>
      </c>
      <c r="X138" s="643">
        <f>IFERROR(X136/H136,"0")+IFERROR(X137/H137,"0")</f>
        <v>0</v>
      </c>
      <c r="Y138" s="643">
        <f>IFERROR(Y136/H136,"0")+IFERROR(Y137/H137,"0")</f>
        <v>0</v>
      </c>
      <c r="Z138" s="643">
        <f>IFERROR(IF(Z136="",0,Z136),"0")+IFERROR(IF(Z137="",0,Z137),"0")</f>
        <v>0</v>
      </c>
      <c r="AA138" s="644"/>
      <c r="AB138" s="644"/>
      <c r="AC138" s="644"/>
    </row>
    <row r="139" spans="1:68" hidden="1" x14ac:dyDescent="0.2">
      <c r="A139" s="656"/>
      <c r="B139" s="656"/>
      <c r="C139" s="656"/>
      <c r="D139" s="656"/>
      <c r="E139" s="656"/>
      <c r="F139" s="656"/>
      <c r="G139" s="656"/>
      <c r="H139" s="656"/>
      <c r="I139" s="656"/>
      <c r="J139" s="656"/>
      <c r="K139" s="656"/>
      <c r="L139" s="656"/>
      <c r="M139" s="656"/>
      <c r="N139" s="656"/>
      <c r="O139" s="657"/>
      <c r="P139" s="667" t="s">
        <v>72</v>
      </c>
      <c r="Q139" s="668"/>
      <c r="R139" s="668"/>
      <c r="S139" s="668"/>
      <c r="T139" s="668"/>
      <c r="U139" s="668"/>
      <c r="V139" s="669"/>
      <c r="W139" s="37" t="s">
        <v>67</v>
      </c>
      <c r="X139" s="643">
        <f>IFERROR(SUM(X136:X137),"0")</f>
        <v>0</v>
      </c>
      <c r="Y139" s="643">
        <f>IFERROR(SUM(Y136:Y137),"0")</f>
        <v>0</v>
      </c>
      <c r="Z139" s="37"/>
      <c r="AA139" s="644"/>
      <c r="AB139" s="644"/>
      <c r="AC139" s="644"/>
    </row>
    <row r="140" spans="1:68" ht="14.25" hidden="1" customHeight="1" x14ac:dyDescent="0.25">
      <c r="A140" s="672" t="s">
        <v>74</v>
      </c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6"/>
      <c r="P140" s="656"/>
      <c r="Q140" s="656"/>
      <c r="R140" s="656"/>
      <c r="S140" s="656"/>
      <c r="T140" s="656"/>
      <c r="U140" s="656"/>
      <c r="V140" s="656"/>
      <c r="W140" s="656"/>
      <c r="X140" s="656"/>
      <c r="Y140" s="656"/>
      <c r="Z140" s="656"/>
      <c r="AA140" s="635"/>
      <c r="AB140" s="635"/>
      <c r="AC140" s="635"/>
    </row>
    <row r="141" spans="1:68" ht="16.5" hidden="1" customHeight="1" x14ac:dyDescent="0.25">
      <c r="A141" s="54" t="s">
        <v>246</v>
      </c>
      <c r="B141" s="54" t="s">
        <v>247</v>
      </c>
      <c r="C141" s="31">
        <v>4301051476</v>
      </c>
      <c r="D141" s="650">
        <v>4680115882584</v>
      </c>
      <c r="E141" s="651"/>
      <c r="F141" s="640">
        <v>0.33</v>
      </c>
      <c r="G141" s="32">
        <v>8</v>
      </c>
      <c r="H141" s="640">
        <v>2.64</v>
      </c>
      <c r="I141" s="640">
        <v>2.9079999999999999</v>
      </c>
      <c r="J141" s="32">
        <v>182</v>
      </c>
      <c r="K141" s="32" t="s">
        <v>77</v>
      </c>
      <c r="L141" s="32"/>
      <c r="M141" s="33" t="s">
        <v>239</v>
      </c>
      <c r="N141" s="33"/>
      <c r="O141" s="32">
        <v>60</v>
      </c>
      <c r="P141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8"/>
      <c r="R141" s="648"/>
      <c r="S141" s="648"/>
      <c r="T141" s="649"/>
      <c r="U141" s="34"/>
      <c r="V141" s="34"/>
      <c r="W141" s="35" t="s">
        <v>67</v>
      </c>
      <c r="X141" s="641">
        <v>0</v>
      </c>
      <c r="Y141" s="64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240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246</v>
      </c>
      <c r="B142" s="54" t="s">
        <v>248</v>
      </c>
      <c r="C142" s="31">
        <v>4301051477</v>
      </c>
      <c r="D142" s="650">
        <v>4680115882584</v>
      </c>
      <c r="E142" s="651"/>
      <c r="F142" s="640">
        <v>0.33</v>
      </c>
      <c r="G142" s="32">
        <v>8</v>
      </c>
      <c r="H142" s="640">
        <v>2.64</v>
      </c>
      <c r="I142" s="640">
        <v>2.9079999999999999</v>
      </c>
      <c r="J142" s="32">
        <v>182</v>
      </c>
      <c r="K142" s="32" t="s">
        <v>77</v>
      </c>
      <c r="L142" s="32"/>
      <c r="M142" s="33" t="s">
        <v>239</v>
      </c>
      <c r="N142" s="33"/>
      <c r="O142" s="32">
        <v>60</v>
      </c>
      <c r="P142" s="7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8"/>
      <c r="R142" s="648"/>
      <c r="S142" s="648"/>
      <c r="T142" s="649"/>
      <c r="U142" s="34"/>
      <c r="V142" s="34"/>
      <c r="W142" s="35" t="s">
        <v>67</v>
      </c>
      <c r="X142" s="641">
        <v>0</v>
      </c>
      <c r="Y142" s="6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240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55"/>
      <c r="B143" s="656"/>
      <c r="C143" s="656"/>
      <c r="D143" s="656"/>
      <c r="E143" s="656"/>
      <c r="F143" s="656"/>
      <c r="G143" s="656"/>
      <c r="H143" s="656"/>
      <c r="I143" s="656"/>
      <c r="J143" s="656"/>
      <c r="K143" s="656"/>
      <c r="L143" s="656"/>
      <c r="M143" s="656"/>
      <c r="N143" s="656"/>
      <c r="O143" s="657"/>
      <c r="P143" s="667" t="s">
        <v>72</v>
      </c>
      <c r="Q143" s="668"/>
      <c r="R143" s="668"/>
      <c r="S143" s="668"/>
      <c r="T143" s="668"/>
      <c r="U143" s="668"/>
      <c r="V143" s="669"/>
      <c r="W143" s="37" t="s">
        <v>73</v>
      </c>
      <c r="X143" s="643">
        <f>IFERROR(X141/H141,"0")+IFERROR(X142/H142,"0")</f>
        <v>0</v>
      </c>
      <c r="Y143" s="643">
        <f>IFERROR(Y141/H141,"0")+IFERROR(Y142/H142,"0")</f>
        <v>0</v>
      </c>
      <c r="Z143" s="643">
        <f>IFERROR(IF(Z141="",0,Z141),"0")+IFERROR(IF(Z142="",0,Z142),"0")</f>
        <v>0</v>
      </c>
      <c r="AA143" s="644"/>
      <c r="AB143" s="644"/>
      <c r="AC143" s="644"/>
    </row>
    <row r="144" spans="1:68" hidden="1" x14ac:dyDescent="0.2">
      <c r="A144" s="656"/>
      <c r="B144" s="656"/>
      <c r="C144" s="656"/>
      <c r="D144" s="656"/>
      <c r="E144" s="656"/>
      <c r="F144" s="656"/>
      <c r="G144" s="656"/>
      <c r="H144" s="656"/>
      <c r="I144" s="656"/>
      <c r="J144" s="656"/>
      <c r="K144" s="656"/>
      <c r="L144" s="656"/>
      <c r="M144" s="656"/>
      <c r="N144" s="656"/>
      <c r="O144" s="657"/>
      <c r="P144" s="667" t="s">
        <v>72</v>
      </c>
      <c r="Q144" s="668"/>
      <c r="R144" s="668"/>
      <c r="S144" s="668"/>
      <c r="T144" s="668"/>
      <c r="U144" s="668"/>
      <c r="V144" s="669"/>
      <c r="W144" s="37" t="s">
        <v>67</v>
      </c>
      <c r="X144" s="643">
        <f>IFERROR(SUM(X141:X142),"0")</f>
        <v>0</v>
      </c>
      <c r="Y144" s="643">
        <f>IFERROR(SUM(Y141:Y142),"0")</f>
        <v>0</v>
      </c>
      <c r="Z144" s="37"/>
      <c r="AA144" s="644"/>
      <c r="AB144" s="644"/>
      <c r="AC144" s="644"/>
    </row>
    <row r="145" spans="1:68" ht="16.5" hidden="1" customHeight="1" x14ac:dyDescent="0.25">
      <c r="A145" s="666" t="s">
        <v>249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36"/>
      <c r="AB145" s="636"/>
      <c r="AC145" s="636"/>
    </row>
    <row r="146" spans="1:68" ht="14.25" hidden="1" customHeight="1" x14ac:dyDescent="0.25">
      <c r="A146" s="672" t="s">
        <v>74</v>
      </c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6"/>
      <c r="P146" s="656"/>
      <c r="Q146" s="656"/>
      <c r="R146" s="656"/>
      <c r="S146" s="656"/>
      <c r="T146" s="656"/>
      <c r="U146" s="656"/>
      <c r="V146" s="656"/>
      <c r="W146" s="656"/>
      <c r="X146" s="656"/>
      <c r="Y146" s="656"/>
      <c r="Z146" s="656"/>
      <c r="AA146" s="635"/>
      <c r="AB146" s="635"/>
      <c r="AC146" s="635"/>
    </row>
    <row r="147" spans="1:68" ht="27" hidden="1" customHeight="1" x14ac:dyDescent="0.25">
      <c r="A147" s="54" t="s">
        <v>250</v>
      </c>
      <c r="B147" s="54" t="s">
        <v>251</v>
      </c>
      <c r="C147" s="31">
        <v>4301052254</v>
      </c>
      <c r="D147" s="650">
        <v>4680115888203</v>
      </c>
      <c r="E147" s="651"/>
      <c r="F147" s="640">
        <v>0.22</v>
      </c>
      <c r="G147" s="32">
        <v>6</v>
      </c>
      <c r="H147" s="640">
        <v>1.32</v>
      </c>
      <c r="I147" s="640">
        <v>1.5660000000000001</v>
      </c>
      <c r="J147" s="32">
        <v>182</v>
      </c>
      <c r="K147" s="32" t="s">
        <v>77</v>
      </c>
      <c r="L147" s="32"/>
      <c r="M147" s="33" t="s">
        <v>84</v>
      </c>
      <c r="N147" s="33"/>
      <c r="O147" s="32">
        <v>40</v>
      </c>
      <c r="P147" s="72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8"/>
      <c r="R147" s="648"/>
      <c r="S147" s="648"/>
      <c r="T147" s="649"/>
      <c r="U147" s="34"/>
      <c r="V147" s="34"/>
      <c r="W147" s="35" t="s">
        <v>67</v>
      </c>
      <c r="X147" s="641">
        <v>0</v>
      </c>
      <c r="Y147" s="642">
        <f t="shared" ref="Y147:Y152" si="15">IFERROR(IF(X147="",0,CEILING((X147/$H147),1)*$H147),"")</f>
        <v>0</v>
      </c>
      <c r="Z147" s="36" t="str">
        <f t="shared" ref="Z147:Z152" si="16">IFERROR(IF(Y147=0,"",ROUNDUP(Y147/H147,0)*0.00651),"")</f>
        <v/>
      </c>
      <c r="AA147" s="56"/>
      <c r="AB147" s="57"/>
      <c r="AC147" s="199" t="s">
        <v>252</v>
      </c>
      <c r="AG147" s="64"/>
      <c r="AJ147" s="68"/>
      <c r="AK147" s="68">
        <v>0</v>
      </c>
      <c r="BB147" s="200" t="s">
        <v>1</v>
      </c>
      <c r="BM147" s="64">
        <f t="shared" ref="BM147:BM152" si="17">IFERROR(X147*I147/H147,"0")</f>
        <v>0</v>
      </c>
      <c r="BN147" s="64">
        <f t="shared" ref="BN147:BN152" si="18">IFERROR(Y147*I147/H147,"0")</f>
        <v>0</v>
      </c>
      <c r="BO147" s="64">
        <f t="shared" ref="BO147:BO152" si="19">IFERROR(1/J147*(X147/H147),"0")</f>
        <v>0</v>
      </c>
      <c r="BP147" s="64">
        <f t="shared" ref="BP147:BP152" si="20">IFERROR(1/J147*(Y147/H147),"0")</f>
        <v>0</v>
      </c>
    </row>
    <row r="148" spans="1:68" ht="27" hidden="1" customHeight="1" x14ac:dyDescent="0.25">
      <c r="A148" s="54" t="s">
        <v>253</v>
      </c>
      <c r="B148" s="54" t="s">
        <v>254</v>
      </c>
      <c r="C148" s="31">
        <v>4301052172</v>
      </c>
      <c r="D148" s="650">
        <v>4680115888180</v>
      </c>
      <c r="E148" s="651"/>
      <c r="F148" s="640">
        <v>0.22</v>
      </c>
      <c r="G148" s="32">
        <v>9</v>
      </c>
      <c r="H148" s="640">
        <v>1.98</v>
      </c>
      <c r="I148" s="640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4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8"/>
      <c r="R148" s="648"/>
      <c r="S148" s="648"/>
      <c r="T148" s="649"/>
      <c r="U148" s="34"/>
      <c r="V148" s="34"/>
      <c r="W148" s="35" t="s">
        <v>67</v>
      </c>
      <c r="X148" s="641">
        <v>0</v>
      </c>
      <c r="Y148" s="642">
        <f t="shared" si="15"/>
        <v>0</v>
      </c>
      <c r="Z148" s="36" t="str">
        <f t="shared" si="16"/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si="17"/>
        <v>0</v>
      </c>
      <c r="BN148" s="64">
        <f t="shared" si="18"/>
        <v>0</v>
      </c>
      <c r="BO148" s="64">
        <f t="shared" si="19"/>
        <v>0</v>
      </c>
      <c r="BP148" s="64">
        <f t="shared" si="20"/>
        <v>0</v>
      </c>
    </row>
    <row r="149" spans="1:68" ht="27" hidden="1" customHeight="1" x14ac:dyDescent="0.25">
      <c r="A149" s="54" t="s">
        <v>253</v>
      </c>
      <c r="B149" s="54" t="s">
        <v>256</v>
      </c>
      <c r="C149" s="31">
        <v>4301052252</v>
      </c>
      <c r="D149" s="650">
        <v>4680115888180</v>
      </c>
      <c r="E149" s="651"/>
      <c r="F149" s="640">
        <v>0.22</v>
      </c>
      <c r="G149" s="32">
        <v>6</v>
      </c>
      <c r="H149" s="640">
        <v>1.32</v>
      </c>
      <c r="I149" s="640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8"/>
      <c r="R149" s="648"/>
      <c r="S149" s="648"/>
      <c r="T149" s="649"/>
      <c r="U149" s="34"/>
      <c r="V149" s="34"/>
      <c r="W149" s="35" t="s">
        <v>67</v>
      </c>
      <c r="X149" s="641">
        <v>0</v>
      </c>
      <c r="Y149" s="642">
        <f t="shared" si="15"/>
        <v>0</v>
      </c>
      <c r="Z149" s="36" t="str">
        <f t="shared" si="16"/>
        <v/>
      </c>
      <c r="AA149" s="56"/>
      <c r="AB149" s="57"/>
      <c r="AC149" s="203" t="s">
        <v>255</v>
      </c>
      <c r="AG149" s="64"/>
      <c r="AJ149" s="68"/>
      <c r="AK149" s="68">
        <v>0</v>
      </c>
      <c r="BB149" s="204" t="s">
        <v>1</v>
      </c>
      <c r="BM149" s="64">
        <f t="shared" si="17"/>
        <v>0</v>
      </c>
      <c r="BN149" s="64">
        <f t="shared" si="18"/>
        <v>0</v>
      </c>
      <c r="BO149" s="64">
        <f t="shared" si="19"/>
        <v>0</v>
      </c>
      <c r="BP149" s="64">
        <f t="shared" si="20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4301052253</v>
      </c>
      <c r="D150" s="650">
        <v>4680115888197</v>
      </c>
      <c r="E150" s="651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48"/>
      <c r="R150" s="648"/>
      <c r="S150" s="648"/>
      <c r="T150" s="649"/>
      <c r="U150" s="34"/>
      <c r="V150" s="34"/>
      <c r="W150" s="35" t="s">
        <v>67</v>
      </c>
      <c r="X150" s="641">
        <v>0</v>
      </c>
      <c r="Y150" s="642">
        <f t="shared" si="15"/>
        <v>0</v>
      </c>
      <c r="Z150" s="36" t="str">
        <f t="shared" si="16"/>
        <v/>
      </c>
      <c r="AA150" s="56"/>
      <c r="AB150" s="57"/>
      <c r="AC150" s="205" t="s">
        <v>259</v>
      </c>
      <c r="AG150" s="64"/>
      <c r="AJ150" s="68"/>
      <c r="AK150" s="68">
        <v>0</v>
      </c>
      <c r="BB150" s="206" t="s">
        <v>1</v>
      </c>
      <c r="BM150" s="64">
        <f t="shared" si="17"/>
        <v>0</v>
      </c>
      <c r="BN150" s="64">
        <f t="shared" si="18"/>
        <v>0</v>
      </c>
      <c r="BO150" s="64">
        <f t="shared" si="19"/>
        <v>0</v>
      </c>
      <c r="BP150" s="64">
        <f t="shared" si="20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4301052175</v>
      </c>
      <c r="D151" s="650">
        <v>4680115888210</v>
      </c>
      <c r="E151" s="651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48"/>
      <c r="R151" s="648"/>
      <c r="S151" s="648"/>
      <c r="T151" s="649"/>
      <c r="U151" s="34"/>
      <c r="V151" s="34"/>
      <c r="W151" s="35" t="s">
        <v>67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260</v>
      </c>
      <c r="B152" s="54" t="s">
        <v>263</v>
      </c>
      <c r="C152" s="31">
        <v>4301052255</v>
      </c>
      <c r="D152" s="650">
        <v>4680115888210</v>
      </c>
      <c r="E152" s="651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9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8"/>
      <c r="R152" s="648"/>
      <c r="S152" s="648"/>
      <c r="T152" s="649"/>
      <c r="U152" s="34"/>
      <c r="V152" s="34"/>
      <c r="W152" s="35" t="s">
        <v>67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idden="1" x14ac:dyDescent="0.2">
      <c r="A153" s="655"/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7"/>
      <c r="P153" s="667" t="s">
        <v>72</v>
      </c>
      <c r="Q153" s="668"/>
      <c r="R153" s="668"/>
      <c r="S153" s="668"/>
      <c r="T153" s="668"/>
      <c r="U153" s="668"/>
      <c r="V153" s="669"/>
      <c r="W153" s="37" t="s">
        <v>73</v>
      </c>
      <c r="X153" s="643">
        <f>IFERROR(X147/H147,"0")+IFERROR(X148/H148,"0")+IFERROR(X149/H149,"0")+IFERROR(X150/H150,"0")+IFERROR(X151/H151,"0")+IFERROR(X152/H152,"0")</f>
        <v>0</v>
      </c>
      <c r="Y153" s="643">
        <f>IFERROR(Y147/H147,"0")+IFERROR(Y148/H148,"0")+IFERROR(Y149/H149,"0")+IFERROR(Y150/H150,"0")+IFERROR(Y151/H151,"0")+IFERROR(Y152/H152,"0")</f>
        <v>0</v>
      </c>
      <c r="Z153" s="643">
        <f>IFERROR(IF(Z147="",0,Z147),"0")+IFERROR(IF(Z148="",0,Z148),"0")+IFERROR(IF(Z149="",0,Z149),"0")+IFERROR(IF(Z150="",0,Z150),"0")+IFERROR(IF(Z151="",0,Z151),"0")+IFERROR(IF(Z152="",0,Z152),"0")</f>
        <v>0</v>
      </c>
      <c r="AA153" s="644"/>
      <c r="AB153" s="644"/>
      <c r="AC153" s="644"/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67" t="s">
        <v>72</v>
      </c>
      <c r="Q154" s="668"/>
      <c r="R154" s="668"/>
      <c r="S154" s="668"/>
      <c r="T154" s="668"/>
      <c r="U154" s="668"/>
      <c r="V154" s="669"/>
      <c r="W154" s="37" t="s">
        <v>67</v>
      </c>
      <c r="X154" s="643">
        <f>IFERROR(SUM(X147:X152),"0")</f>
        <v>0</v>
      </c>
      <c r="Y154" s="643">
        <f>IFERROR(SUM(Y147:Y152),"0")</f>
        <v>0</v>
      </c>
      <c r="Z154" s="37"/>
      <c r="AA154" s="644"/>
      <c r="AB154" s="644"/>
      <c r="AC154" s="644"/>
    </row>
    <row r="155" spans="1:68" ht="14.25" hidden="1" customHeight="1" x14ac:dyDescent="0.25">
      <c r="A155" s="672" t="s">
        <v>264</v>
      </c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6"/>
      <c r="P155" s="656"/>
      <c r="Q155" s="656"/>
      <c r="R155" s="656"/>
      <c r="S155" s="656"/>
      <c r="T155" s="656"/>
      <c r="U155" s="656"/>
      <c r="V155" s="656"/>
      <c r="W155" s="656"/>
      <c r="X155" s="656"/>
      <c r="Y155" s="656"/>
      <c r="Z155" s="656"/>
      <c r="AA155" s="635"/>
      <c r="AB155" s="635"/>
      <c r="AC155" s="635"/>
    </row>
    <row r="156" spans="1:68" ht="27" hidden="1" customHeight="1" x14ac:dyDescent="0.25">
      <c r="A156" s="54" t="s">
        <v>265</v>
      </c>
      <c r="B156" s="54" t="s">
        <v>266</v>
      </c>
      <c r="C156" s="31">
        <v>4301032067</v>
      </c>
      <c r="D156" s="650">
        <v>4680115889132</v>
      </c>
      <c r="E156" s="651"/>
      <c r="F156" s="640">
        <v>0.04</v>
      </c>
      <c r="G156" s="32">
        <v>8</v>
      </c>
      <c r="H156" s="640">
        <v>0.32</v>
      </c>
      <c r="I156" s="640">
        <v>0.5</v>
      </c>
      <c r="J156" s="32">
        <v>330</v>
      </c>
      <c r="K156" s="32" t="s">
        <v>267</v>
      </c>
      <c r="L156" s="32"/>
      <c r="M156" s="33" t="s">
        <v>268</v>
      </c>
      <c r="N156" s="33"/>
      <c r="O156" s="32">
        <v>120</v>
      </c>
      <c r="P156" s="87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1">
        <v>0</v>
      </c>
      <c r="Y156" s="642">
        <f>IFERROR(IF(X156="",0,CEILING((X156/$H156),1)*$H156),"")</f>
        <v>0</v>
      </c>
      <c r="Z156" s="36" t="str">
        <f>IFERROR(IF(Y156=0,"",ROUNDUP(Y156/H156,0)*0.00337),"")</f>
        <v/>
      </c>
      <c r="AA156" s="56"/>
      <c r="AB156" s="57"/>
      <c r="AC156" s="211" t="s">
        <v>269</v>
      </c>
      <c r="AG156" s="64"/>
      <c r="AJ156" s="68"/>
      <c r="AK156" s="68">
        <v>0</v>
      </c>
      <c r="BB156" s="212" t="s">
        <v>270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655"/>
      <c r="B157" s="656"/>
      <c r="C157" s="656"/>
      <c r="D157" s="656"/>
      <c r="E157" s="656"/>
      <c r="F157" s="656"/>
      <c r="G157" s="656"/>
      <c r="H157" s="656"/>
      <c r="I157" s="656"/>
      <c r="J157" s="656"/>
      <c r="K157" s="656"/>
      <c r="L157" s="656"/>
      <c r="M157" s="656"/>
      <c r="N157" s="656"/>
      <c r="O157" s="657"/>
      <c r="P157" s="667" t="s">
        <v>72</v>
      </c>
      <c r="Q157" s="668"/>
      <c r="R157" s="668"/>
      <c r="S157" s="668"/>
      <c r="T157" s="668"/>
      <c r="U157" s="668"/>
      <c r="V157" s="669"/>
      <c r="W157" s="37" t="s">
        <v>73</v>
      </c>
      <c r="X157" s="643">
        <f>IFERROR(X156/H156,"0")</f>
        <v>0</v>
      </c>
      <c r="Y157" s="643">
        <f>IFERROR(Y156/H156,"0")</f>
        <v>0</v>
      </c>
      <c r="Z157" s="643">
        <f>IFERROR(IF(Z156="",0,Z156),"0")</f>
        <v>0</v>
      </c>
      <c r="AA157" s="644"/>
      <c r="AB157" s="644"/>
      <c r="AC157" s="644"/>
    </row>
    <row r="158" spans="1:68" hidden="1" x14ac:dyDescent="0.2">
      <c r="A158" s="656"/>
      <c r="B158" s="656"/>
      <c r="C158" s="656"/>
      <c r="D158" s="656"/>
      <c r="E158" s="656"/>
      <c r="F158" s="656"/>
      <c r="G158" s="656"/>
      <c r="H158" s="656"/>
      <c r="I158" s="656"/>
      <c r="J158" s="656"/>
      <c r="K158" s="656"/>
      <c r="L158" s="656"/>
      <c r="M158" s="656"/>
      <c r="N158" s="656"/>
      <c r="O158" s="657"/>
      <c r="P158" s="667" t="s">
        <v>72</v>
      </c>
      <c r="Q158" s="668"/>
      <c r="R158" s="668"/>
      <c r="S158" s="668"/>
      <c r="T158" s="668"/>
      <c r="U158" s="668"/>
      <c r="V158" s="669"/>
      <c r="W158" s="37" t="s">
        <v>67</v>
      </c>
      <c r="X158" s="643">
        <f>IFERROR(SUM(X156:X156),"0")</f>
        <v>0</v>
      </c>
      <c r="Y158" s="643">
        <f>IFERROR(SUM(Y156:Y156),"0")</f>
        <v>0</v>
      </c>
      <c r="Z158" s="37"/>
      <c r="AA158" s="644"/>
      <c r="AB158" s="644"/>
      <c r="AC158" s="644"/>
    </row>
    <row r="159" spans="1:68" ht="16.5" hidden="1" customHeight="1" x14ac:dyDescent="0.25">
      <c r="A159" s="666" t="s">
        <v>109</v>
      </c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6"/>
      <c r="P159" s="656"/>
      <c r="Q159" s="656"/>
      <c r="R159" s="656"/>
      <c r="S159" s="656"/>
      <c r="T159" s="656"/>
      <c r="U159" s="656"/>
      <c r="V159" s="656"/>
      <c r="W159" s="656"/>
      <c r="X159" s="656"/>
      <c r="Y159" s="656"/>
      <c r="Z159" s="656"/>
      <c r="AA159" s="636"/>
      <c r="AB159" s="636"/>
      <c r="AC159" s="636"/>
    </row>
    <row r="160" spans="1:68" ht="14.25" hidden="1" customHeight="1" x14ac:dyDescent="0.25">
      <c r="A160" s="672" t="s">
        <v>111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35"/>
      <c r="AB160" s="635"/>
      <c r="AC160" s="635"/>
    </row>
    <row r="161" spans="1:68" ht="27" hidden="1" customHeight="1" x14ac:dyDescent="0.25">
      <c r="A161" s="54" t="s">
        <v>271</v>
      </c>
      <c r="B161" s="54" t="s">
        <v>272</v>
      </c>
      <c r="C161" s="31">
        <v>4301012338</v>
      </c>
      <c r="D161" s="650">
        <v>4680115887374</v>
      </c>
      <c r="E161" s="651"/>
      <c r="F161" s="640">
        <v>1</v>
      </c>
      <c r="G161" s="32">
        <v>6</v>
      </c>
      <c r="H161" s="640">
        <v>6</v>
      </c>
      <c r="I161" s="640">
        <v>6.35</v>
      </c>
      <c r="J161" s="32">
        <v>104</v>
      </c>
      <c r="K161" s="32" t="s">
        <v>114</v>
      </c>
      <c r="L161" s="32"/>
      <c r="M161" s="33" t="s">
        <v>115</v>
      </c>
      <c r="N161" s="33"/>
      <c r="O161" s="32">
        <v>55</v>
      </c>
      <c r="P161" s="101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48"/>
      <c r="R161" s="648"/>
      <c r="S161" s="648"/>
      <c r="T161" s="649"/>
      <c r="U161" s="34"/>
      <c r="V161" s="34"/>
      <c r="W161" s="35" t="s">
        <v>67</v>
      </c>
      <c r="X161" s="641">
        <v>0</v>
      </c>
      <c r="Y161" s="642">
        <f>IFERROR(IF(X161="",0,CEILING((X161/$H161),1)*$H161),"")</f>
        <v>0</v>
      </c>
      <c r="Z161" s="36" t="str">
        <f>IFERROR(IF(Y161=0,"",ROUNDUP(Y161/H161,0)*0.01196),"")</f>
        <v/>
      </c>
      <c r="AA161" s="56"/>
      <c r="AB161" s="57"/>
      <c r="AC161" s="213" t="s">
        <v>273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27" hidden="1" customHeight="1" x14ac:dyDescent="0.25">
      <c r="A162" s="54" t="s">
        <v>274</v>
      </c>
      <c r="B162" s="54" t="s">
        <v>275</v>
      </c>
      <c r="C162" s="31">
        <v>4301011705</v>
      </c>
      <c r="D162" s="650">
        <v>4607091384604</v>
      </c>
      <c r="E162" s="651"/>
      <c r="F162" s="640">
        <v>0.4</v>
      </c>
      <c r="G162" s="32">
        <v>10</v>
      </c>
      <c r="H162" s="640">
        <v>4</v>
      </c>
      <c r="I162" s="640">
        <v>4.1900000000000004</v>
      </c>
      <c r="J162" s="32">
        <v>132</v>
      </c>
      <c r="K162" s="32" t="s">
        <v>123</v>
      </c>
      <c r="L162" s="32"/>
      <c r="M162" s="33" t="s">
        <v>115</v>
      </c>
      <c r="N162" s="33"/>
      <c r="O162" s="32">
        <v>50</v>
      </c>
      <c r="P162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48"/>
      <c r="R162" s="648"/>
      <c r="S162" s="648"/>
      <c r="T162" s="649"/>
      <c r="U162" s="34"/>
      <c r="V162" s="34"/>
      <c r="W162" s="35" t="s">
        <v>67</v>
      </c>
      <c r="X162" s="641">
        <v>0</v>
      </c>
      <c r="Y162" s="642">
        <f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16.5" hidden="1" customHeight="1" x14ac:dyDescent="0.25">
      <c r="A163" s="54" t="s">
        <v>277</v>
      </c>
      <c r="B163" s="54" t="s">
        <v>278</v>
      </c>
      <c r="C163" s="31">
        <v>4301012344</v>
      </c>
      <c r="D163" s="650">
        <v>4680115888876</v>
      </c>
      <c r="E163" s="651"/>
      <c r="F163" s="640">
        <v>0.43</v>
      </c>
      <c r="G163" s="32">
        <v>6</v>
      </c>
      <c r="H163" s="640">
        <v>2.58</v>
      </c>
      <c r="I163" s="640">
        <v>2.76</v>
      </c>
      <c r="J163" s="32">
        <v>182</v>
      </c>
      <c r="K163" s="32" t="s">
        <v>77</v>
      </c>
      <c r="L163" s="32"/>
      <c r="M163" s="33" t="s">
        <v>78</v>
      </c>
      <c r="N163" s="33"/>
      <c r="O163" s="32">
        <v>55</v>
      </c>
      <c r="P163" s="83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48"/>
      <c r="R163" s="648"/>
      <c r="S163" s="648"/>
      <c r="T163" s="649"/>
      <c r="U163" s="34"/>
      <c r="V163" s="34"/>
      <c r="W163" s="35" t="s">
        <v>67</v>
      </c>
      <c r="X163" s="641">
        <v>0</v>
      </c>
      <c r="Y163" s="642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55"/>
      <c r="B164" s="656"/>
      <c r="C164" s="656"/>
      <c r="D164" s="656"/>
      <c r="E164" s="656"/>
      <c r="F164" s="656"/>
      <c r="G164" s="656"/>
      <c r="H164" s="656"/>
      <c r="I164" s="656"/>
      <c r="J164" s="656"/>
      <c r="K164" s="656"/>
      <c r="L164" s="656"/>
      <c r="M164" s="656"/>
      <c r="N164" s="656"/>
      <c r="O164" s="657"/>
      <c r="P164" s="667" t="s">
        <v>72</v>
      </c>
      <c r="Q164" s="668"/>
      <c r="R164" s="668"/>
      <c r="S164" s="668"/>
      <c r="T164" s="668"/>
      <c r="U164" s="668"/>
      <c r="V164" s="669"/>
      <c r="W164" s="37" t="s">
        <v>73</v>
      </c>
      <c r="X164" s="643">
        <f>IFERROR(X161/H161,"0")+IFERROR(X162/H162,"0")+IFERROR(X163/H163,"0")</f>
        <v>0</v>
      </c>
      <c r="Y164" s="643">
        <f>IFERROR(Y161/H161,"0")+IFERROR(Y162/H162,"0")+IFERROR(Y163/H163,"0")</f>
        <v>0</v>
      </c>
      <c r="Z164" s="643">
        <f>IFERROR(IF(Z161="",0,Z161),"0")+IFERROR(IF(Z162="",0,Z162),"0")+IFERROR(IF(Z163="",0,Z163),"0")</f>
        <v>0</v>
      </c>
      <c r="AA164" s="644"/>
      <c r="AB164" s="644"/>
      <c r="AC164" s="644"/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67" t="s">
        <v>72</v>
      </c>
      <c r="Q165" s="668"/>
      <c r="R165" s="668"/>
      <c r="S165" s="668"/>
      <c r="T165" s="668"/>
      <c r="U165" s="668"/>
      <c r="V165" s="669"/>
      <c r="W165" s="37" t="s">
        <v>67</v>
      </c>
      <c r="X165" s="643">
        <f>IFERROR(SUM(X161:X163),"0")</f>
        <v>0</v>
      </c>
      <c r="Y165" s="643">
        <f>IFERROR(SUM(Y161:Y163),"0")</f>
        <v>0</v>
      </c>
      <c r="Z165" s="37"/>
      <c r="AA165" s="644"/>
      <c r="AB165" s="644"/>
      <c r="AC165" s="644"/>
    </row>
    <row r="166" spans="1:68" ht="14.25" hidden="1" customHeight="1" x14ac:dyDescent="0.25">
      <c r="A166" s="672" t="s">
        <v>146</v>
      </c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6"/>
      <c r="P166" s="656"/>
      <c r="Q166" s="656"/>
      <c r="R166" s="656"/>
      <c r="S166" s="656"/>
      <c r="T166" s="656"/>
      <c r="U166" s="656"/>
      <c r="V166" s="656"/>
      <c r="W166" s="656"/>
      <c r="X166" s="656"/>
      <c r="Y166" s="656"/>
      <c r="Z166" s="656"/>
      <c r="AA166" s="635"/>
      <c r="AB166" s="635"/>
      <c r="AC166" s="635"/>
    </row>
    <row r="167" spans="1:68" ht="16.5" hidden="1" customHeight="1" x14ac:dyDescent="0.25">
      <c r="A167" s="54" t="s">
        <v>280</v>
      </c>
      <c r="B167" s="54" t="s">
        <v>281</v>
      </c>
      <c r="C167" s="31">
        <v>4301020410</v>
      </c>
      <c r="D167" s="650">
        <v>4680115887695</v>
      </c>
      <c r="E167" s="651"/>
      <c r="F167" s="640">
        <v>0.12</v>
      </c>
      <c r="G167" s="32">
        <v>6</v>
      </c>
      <c r="H167" s="640">
        <v>0.72</v>
      </c>
      <c r="I167" s="640">
        <v>0.85</v>
      </c>
      <c r="J167" s="32">
        <v>252</v>
      </c>
      <c r="K167" s="32" t="s">
        <v>65</v>
      </c>
      <c r="L167" s="32"/>
      <c r="M167" s="33" t="s">
        <v>66</v>
      </c>
      <c r="N167" s="33"/>
      <c r="O167" s="32">
        <v>30</v>
      </c>
      <c r="P167" s="7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48"/>
      <c r="R167" s="648"/>
      <c r="S167" s="648"/>
      <c r="T167" s="649"/>
      <c r="U167" s="34"/>
      <c r="V167" s="34"/>
      <c r="W167" s="35" t="s">
        <v>67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IFERROR(IF(Y167=0,"",ROUNDUP(Y167/H167,0)*0.00556),"")</f>
        <v/>
      </c>
      <c r="AA167" s="56"/>
      <c r="AB167" s="57"/>
      <c r="AC167" s="219" t="s">
        <v>282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283</v>
      </c>
      <c r="B168" s="54" t="s">
        <v>284</v>
      </c>
      <c r="C168" s="31">
        <v>4301020439</v>
      </c>
      <c r="D168" s="650">
        <v>4680115889491</v>
      </c>
      <c r="E168" s="651"/>
      <c r="F168" s="640">
        <v>0.3</v>
      </c>
      <c r="G168" s="32">
        <v>8</v>
      </c>
      <c r="H168" s="640">
        <v>2.4</v>
      </c>
      <c r="I168" s="640">
        <v>2.5</v>
      </c>
      <c r="J168" s="32">
        <v>234</v>
      </c>
      <c r="K168" s="32" t="s">
        <v>65</v>
      </c>
      <c r="L168" s="32"/>
      <c r="M168" s="33" t="s">
        <v>115</v>
      </c>
      <c r="N168" s="33"/>
      <c r="O168" s="32">
        <v>55</v>
      </c>
      <c r="P168" s="75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48"/>
      <c r="R168" s="648"/>
      <c r="S168" s="648"/>
      <c r="T168" s="649"/>
      <c r="U168" s="34"/>
      <c r="V168" s="34"/>
      <c r="W168" s="35" t="s">
        <v>67</v>
      </c>
      <c r="X168" s="641">
        <v>0</v>
      </c>
      <c r="Y168" s="642">
        <f>IFERROR(IF(X168="",0,CEILING((X168/$H168),1)*$H168),"")</f>
        <v>0</v>
      </c>
      <c r="Z168" s="36" t="str">
        <f>IFERROR(IF(Y168=0,"",ROUNDUP(Y168/H168,0)*0.00502),"")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55"/>
      <c r="B169" s="656"/>
      <c r="C169" s="656"/>
      <c r="D169" s="656"/>
      <c r="E169" s="656"/>
      <c r="F169" s="656"/>
      <c r="G169" s="656"/>
      <c r="H169" s="656"/>
      <c r="I169" s="656"/>
      <c r="J169" s="656"/>
      <c r="K169" s="656"/>
      <c r="L169" s="656"/>
      <c r="M169" s="656"/>
      <c r="N169" s="656"/>
      <c r="O169" s="657"/>
      <c r="P169" s="667" t="s">
        <v>72</v>
      </c>
      <c r="Q169" s="668"/>
      <c r="R169" s="668"/>
      <c r="S169" s="668"/>
      <c r="T169" s="668"/>
      <c r="U169" s="668"/>
      <c r="V169" s="669"/>
      <c r="W169" s="37" t="s">
        <v>73</v>
      </c>
      <c r="X169" s="643">
        <f>IFERROR(X167/H167,"0")+IFERROR(X168/H168,"0")</f>
        <v>0</v>
      </c>
      <c r="Y169" s="643">
        <f>IFERROR(Y167/H167,"0")+IFERROR(Y168/H168,"0")</f>
        <v>0</v>
      </c>
      <c r="Z169" s="643">
        <f>IFERROR(IF(Z167="",0,Z167),"0")+IFERROR(IF(Z168="",0,Z168),"0")</f>
        <v>0</v>
      </c>
      <c r="AA169" s="644"/>
      <c r="AB169" s="644"/>
      <c r="AC169" s="644"/>
    </row>
    <row r="170" spans="1:68" hidden="1" x14ac:dyDescent="0.2">
      <c r="A170" s="656"/>
      <c r="B170" s="656"/>
      <c r="C170" s="656"/>
      <c r="D170" s="656"/>
      <c r="E170" s="656"/>
      <c r="F170" s="656"/>
      <c r="G170" s="656"/>
      <c r="H170" s="656"/>
      <c r="I170" s="656"/>
      <c r="J170" s="656"/>
      <c r="K170" s="656"/>
      <c r="L170" s="656"/>
      <c r="M170" s="656"/>
      <c r="N170" s="656"/>
      <c r="O170" s="657"/>
      <c r="P170" s="667" t="s">
        <v>72</v>
      </c>
      <c r="Q170" s="668"/>
      <c r="R170" s="668"/>
      <c r="S170" s="668"/>
      <c r="T170" s="668"/>
      <c r="U170" s="668"/>
      <c r="V170" s="669"/>
      <c r="W170" s="37" t="s">
        <v>67</v>
      </c>
      <c r="X170" s="643">
        <f>IFERROR(SUM(X167:X168),"0")</f>
        <v>0</v>
      </c>
      <c r="Y170" s="643">
        <f>IFERROR(SUM(Y167:Y168),"0")</f>
        <v>0</v>
      </c>
      <c r="Z170" s="37"/>
      <c r="AA170" s="644"/>
      <c r="AB170" s="644"/>
      <c r="AC170" s="644"/>
    </row>
    <row r="171" spans="1:68" ht="14.25" hidden="1" customHeight="1" x14ac:dyDescent="0.25">
      <c r="A171" s="672" t="s">
        <v>62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35"/>
      <c r="AB171" s="635"/>
      <c r="AC171" s="635"/>
    </row>
    <row r="172" spans="1:68" ht="27" hidden="1" customHeight="1" x14ac:dyDescent="0.25">
      <c r="A172" s="54" t="s">
        <v>286</v>
      </c>
      <c r="B172" s="54" t="s">
        <v>287</v>
      </c>
      <c r="C172" s="31">
        <v>4301031496</v>
      </c>
      <c r="D172" s="650">
        <v>4680115887428</v>
      </c>
      <c r="E172" s="651"/>
      <c r="F172" s="640">
        <v>0.7</v>
      </c>
      <c r="G172" s="32">
        <v>5</v>
      </c>
      <c r="H172" s="640">
        <v>3.5</v>
      </c>
      <c r="I172" s="640">
        <v>3.69</v>
      </c>
      <c r="J172" s="32">
        <v>132</v>
      </c>
      <c r="K172" s="32" t="s">
        <v>123</v>
      </c>
      <c r="L172" s="32"/>
      <c r="M172" s="33" t="s">
        <v>66</v>
      </c>
      <c r="N172" s="33"/>
      <c r="O172" s="32">
        <v>40</v>
      </c>
      <c r="P172" s="68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48"/>
      <c r="R172" s="648"/>
      <c r="S172" s="648"/>
      <c r="T172" s="649"/>
      <c r="U172" s="34"/>
      <c r="V172" s="34"/>
      <c r="W172" s="35" t="s">
        <v>67</v>
      </c>
      <c r="X172" s="641">
        <v>0</v>
      </c>
      <c r="Y172" s="642">
        <f t="shared" ref="Y172:Y183" si="21">IFERROR(IF(X172="",0,CEILING((X172/$H172),1)*$H172),"")</f>
        <v>0</v>
      </c>
      <c r="Z172" s="36" t="str">
        <f>IFERROR(IF(Y172=0,"",ROUNDUP(Y172/H172,0)*0.00902),"")</f>
        <v/>
      </c>
      <c r="AA172" s="56"/>
      <c r="AB172" s="57"/>
      <c r="AC172" s="223" t="s">
        <v>288</v>
      </c>
      <c r="AG172" s="64"/>
      <c r="AJ172" s="68"/>
      <c r="AK172" s="68">
        <v>0</v>
      </c>
      <c r="BB172" s="224" t="s">
        <v>1</v>
      </c>
      <c r="BM172" s="64">
        <f t="shared" ref="BM172:BM183" si="22">IFERROR(X172*I172/H172,"0")</f>
        <v>0</v>
      </c>
      <c r="BN172" s="64">
        <f t="shared" ref="BN172:BN183" si="23">IFERROR(Y172*I172/H172,"0")</f>
        <v>0</v>
      </c>
      <c r="BO172" s="64">
        <f t="shared" ref="BO172:BO183" si="24">IFERROR(1/J172*(X172/H172),"0")</f>
        <v>0</v>
      </c>
      <c r="BP172" s="64">
        <f t="shared" ref="BP172:BP183" si="25">IFERROR(1/J172*(Y172/H172),"0")</f>
        <v>0</v>
      </c>
    </row>
    <row r="173" spans="1:68" ht="27" hidden="1" customHeight="1" x14ac:dyDescent="0.25">
      <c r="A173" s="54" t="s">
        <v>289</v>
      </c>
      <c r="B173" s="54" t="s">
        <v>290</v>
      </c>
      <c r="C173" s="31">
        <v>4301031509</v>
      </c>
      <c r="D173" s="650">
        <v>4680115889170</v>
      </c>
      <c r="E173" s="651"/>
      <c r="F173" s="640">
        <v>0.7</v>
      </c>
      <c r="G173" s="32">
        <v>5</v>
      </c>
      <c r="H173" s="640">
        <v>3.5</v>
      </c>
      <c r="I173" s="640">
        <v>3.7650000000000001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45</v>
      </c>
      <c r="P173" s="70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48"/>
      <c r="R173" s="648"/>
      <c r="S173" s="648"/>
      <c r="T173" s="649"/>
      <c r="U173" s="34"/>
      <c r="V173" s="34"/>
      <c r="W173" s="35" t="s">
        <v>67</v>
      </c>
      <c r="X173" s="641">
        <v>0</v>
      </c>
      <c r="Y173" s="642">
        <f t="shared" si="21"/>
        <v>0</v>
      </c>
      <c r="Z173" s="36" t="str">
        <f>IFERROR(IF(Y173=0,"",ROUNDUP(Y173/H173,0)*0.00902),"")</f>
        <v/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customHeight="1" x14ac:dyDescent="0.25">
      <c r="A174" s="54" t="s">
        <v>292</v>
      </c>
      <c r="B174" s="54" t="s">
        <v>293</v>
      </c>
      <c r="C174" s="31">
        <v>4301031498</v>
      </c>
      <c r="D174" s="650">
        <v>4680115887398</v>
      </c>
      <c r="E174" s="651"/>
      <c r="F174" s="640">
        <v>0.7</v>
      </c>
      <c r="G174" s="32">
        <v>5</v>
      </c>
      <c r="H174" s="640">
        <v>3.5</v>
      </c>
      <c r="I174" s="640">
        <v>3.69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40</v>
      </c>
      <c r="P174" s="98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48"/>
      <c r="R174" s="648"/>
      <c r="S174" s="648"/>
      <c r="T174" s="649"/>
      <c r="U174" s="34"/>
      <c r="V174" s="34"/>
      <c r="W174" s="35" t="s">
        <v>67</v>
      </c>
      <c r="X174" s="641">
        <v>259</v>
      </c>
      <c r="Y174" s="642">
        <f t="shared" si="21"/>
        <v>259</v>
      </c>
      <c r="Z174" s="36">
        <f>IFERROR(IF(Y174=0,"",ROUNDUP(Y174/H174,0)*0.00902),"")</f>
        <v>0.66748000000000007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273.06</v>
      </c>
      <c r="BN174" s="64">
        <f t="shared" si="23"/>
        <v>273.06</v>
      </c>
      <c r="BO174" s="64">
        <f t="shared" si="24"/>
        <v>0.56060606060606066</v>
      </c>
      <c r="BP174" s="64">
        <f t="shared" si="25"/>
        <v>0.56060606060606066</v>
      </c>
    </row>
    <row r="175" spans="1:68" ht="27" hidden="1" customHeight="1" x14ac:dyDescent="0.25">
      <c r="A175" s="54" t="s">
        <v>292</v>
      </c>
      <c r="B175" s="54" t="s">
        <v>295</v>
      </c>
      <c r="C175" s="31">
        <v>4301031522</v>
      </c>
      <c r="D175" s="650">
        <v>4680115887398</v>
      </c>
      <c r="E175" s="651"/>
      <c r="F175" s="640">
        <v>0.7</v>
      </c>
      <c r="G175" s="32">
        <v>5</v>
      </c>
      <c r="H175" s="640">
        <v>3.5</v>
      </c>
      <c r="I175" s="640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45</v>
      </c>
      <c r="P175" s="907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1">
        <v>0</v>
      </c>
      <c r="Y175" s="642">
        <f t="shared" si="21"/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4301031520</v>
      </c>
      <c r="D176" s="650">
        <v>4680115887336</v>
      </c>
      <c r="E176" s="651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2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1">
        <v>144</v>
      </c>
      <c r="Y176" s="642">
        <f t="shared" si="21"/>
        <v>147</v>
      </c>
      <c r="Z176" s="36">
        <f>IFERROR(IF(Y176=0,"",ROUNDUP(Y176/H176,0)*0.00902),"")</f>
        <v>0.37884000000000001</v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22"/>
        <v>151.81714285714287</v>
      </c>
      <c r="BN176" s="64">
        <f t="shared" si="23"/>
        <v>154.97999999999999</v>
      </c>
      <c r="BO176" s="64">
        <f t="shared" si="24"/>
        <v>0.31168831168831174</v>
      </c>
      <c r="BP176" s="64">
        <f t="shared" si="25"/>
        <v>0.31818181818181818</v>
      </c>
    </row>
    <row r="177" spans="1:68" ht="16.5" hidden="1" customHeight="1" x14ac:dyDescent="0.25">
      <c r="A177" s="54" t="s">
        <v>300</v>
      </c>
      <c r="B177" s="54" t="s">
        <v>301</v>
      </c>
      <c r="C177" s="31">
        <v>4301032049</v>
      </c>
      <c r="D177" s="650">
        <v>4680115887787</v>
      </c>
      <c r="E177" s="651"/>
      <c r="F177" s="640">
        <v>0.09</v>
      </c>
      <c r="G177" s="32">
        <v>10</v>
      </c>
      <c r="H177" s="640">
        <v>0.9</v>
      </c>
      <c r="I177" s="640">
        <v>1.1100000000000001</v>
      </c>
      <c r="J177" s="32">
        <v>336</v>
      </c>
      <c r="K177" s="32" t="s">
        <v>119</v>
      </c>
      <c r="L177" s="32"/>
      <c r="M177" s="33" t="s">
        <v>66</v>
      </c>
      <c r="N177" s="33"/>
      <c r="O177" s="32">
        <v>45</v>
      </c>
      <c r="P177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48"/>
      <c r="R177" s="648"/>
      <c r="S177" s="648"/>
      <c r="T177" s="649"/>
      <c r="U177" s="34"/>
      <c r="V177" s="34"/>
      <c r="W177" s="35" t="s">
        <v>67</v>
      </c>
      <c r="X177" s="641">
        <v>0</v>
      </c>
      <c r="Y177" s="642">
        <f t="shared" si="21"/>
        <v>0</v>
      </c>
      <c r="Z177" s="36" t="str">
        <f>IFERROR(IF(Y177=0,"",ROUNDUP(Y177/H177,0)*0.00417),"")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16.5" hidden="1" customHeight="1" x14ac:dyDescent="0.25">
      <c r="A178" s="54" t="s">
        <v>300</v>
      </c>
      <c r="B178" s="54" t="s">
        <v>303</v>
      </c>
      <c r="C178" s="31">
        <v>4301031528</v>
      </c>
      <c r="D178" s="650">
        <v>4680115887787</v>
      </c>
      <c r="E178" s="651"/>
      <c r="F178" s="640">
        <v>0.09</v>
      </c>
      <c r="G178" s="32">
        <v>10</v>
      </c>
      <c r="H178" s="640">
        <v>0.9</v>
      </c>
      <c r="I178" s="640">
        <v>1.1100000000000001</v>
      </c>
      <c r="J178" s="32">
        <v>192</v>
      </c>
      <c r="K178" s="32" t="s">
        <v>119</v>
      </c>
      <c r="L178" s="32"/>
      <c r="M178" s="33" t="s">
        <v>66</v>
      </c>
      <c r="N178" s="33"/>
      <c r="O178" s="32">
        <v>45</v>
      </c>
      <c r="P178" s="93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8"/>
      <c r="R178" s="648"/>
      <c r="S178" s="648"/>
      <c r="T178" s="649"/>
      <c r="U178" s="34"/>
      <c r="V178" s="34"/>
      <c r="W178" s="35" t="s">
        <v>67</v>
      </c>
      <c r="X178" s="641">
        <v>0</v>
      </c>
      <c r="Y178" s="642">
        <f t="shared" si="21"/>
        <v>0</v>
      </c>
      <c r="Z178" s="36" t="str">
        <f>IFERROR(IF(Y178=0,"",ROUNDUP(Y178/H178,0)*0.00726),"")</f>
        <v/>
      </c>
      <c r="AA178" s="56"/>
      <c r="AB178" s="57"/>
      <c r="AC178" s="235" t="s">
        <v>302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hidden="1" customHeight="1" x14ac:dyDescent="0.25">
      <c r="A179" s="54" t="s">
        <v>304</v>
      </c>
      <c r="B179" s="54" t="s">
        <v>305</v>
      </c>
      <c r="C179" s="31">
        <v>4301031448</v>
      </c>
      <c r="D179" s="650">
        <v>4680115887503</v>
      </c>
      <c r="E179" s="651"/>
      <c r="F179" s="640">
        <v>0.28000000000000003</v>
      </c>
      <c r="G179" s="32">
        <v>6</v>
      </c>
      <c r="H179" s="640">
        <v>1.68</v>
      </c>
      <c r="I179" s="640">
        <v>1.78</v>
      </c>
      <c r="J179" s="32">
        <v>234</v>
      </c>
      <c r="K179" s="32" t="s">
        <v>65</v>
      </c>
      <c r="L179" s="32"/>
      <c r="M179" s="33" t="s">
        <v>66</v>
      </c>
      <c r="N179" s="33"/>
      <c r="O179" s="32">
        <v>40</v>
      </c>
      <c r="P179" s="86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48"/>
      <c r="R179" s="648"/>
      <c r="S179" s="648"/>
      <c r="T179" s="649"/>
      <c r="U179" s="34"/>
      <c r="V179" s="34"/>
      <c r="W179" s="35" t="s">
        <v>67</v>
      </c>
      <c r="X179" s="641">
        <v>0</v>
      </c>
      <c r="Y179" s="642">
        <f t="shared" si="21"/>
        <v>0</v>
      </c>
      <c r="Z179" s="36" t="str">
        <f>IFERROR(IF(Y179=0,"",ROUNDUP(Y179/H179,0)*0.00502),"")</f>
        <v/>
      </c>
      <c r="AA179" s="56"/>
      <c r="AB179" s="57"/>
      <c r="AC179" s="237" t="s">
        <v>288</v>
      </c>
      <c r="AG179" s="64"/>
      <c r="AJ179" s="68"/>
      <c r="AK179" s="68">
        <v>0</v>
      </c>
      <c r="BB179" s="238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27" hidden="1" customHeight="1" x14ac:dyDescent="0.25">
      <c r="A180" s="54" t="s">
        <v>306</v>
      </c>
      <c r="B180" s="54" t="s">
        <v>307</v>
      </c>
      <c r="C180" s="31">
        <v>4301031389</v>
      </c>
      <c r="D180" s="650">
        <v>4680115887763</v>
      </c>
      <c r="E180" s="651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1">
        <v>0</v>
      </c>
      <c r="Y180" s="642">
        <f t="shared" si="21"/>
        <v>0</v>
      </c>
      <c r="Z180" s="36" t="str">
        <f>IFERROR(IF(Y180=0,"",ROUNDUP(Y180/H180,0)*0.00417),"")</f>
        <v/>
      </c>
      <c r="AA180" s="56"/>
      <c r="AB180" s="57"/>
      <c r="AC180" s="239" t="s">
        <v>308</v>
      </c>
      <c r="AG180" s="64"/>
      <c r="AJ180" s="68"/>
      <c r="AK180" s="68">
        <v>0</v>
      </c>
      <c r="BB180" s="240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customHeight="1" x14ac:dyDescent="0.25">
      <c r="A181" s="54" t="s">
        <v>309</v>
      </c>
      <c r="B181" s="54" t="s">
        <v>310</v>
      </c>
      <c r="C181" s="31">
        <v>4301031521</v>
      </c>
      <c r="D181" s="650">
        <v>4680115887480</v>
      </c>
      <c r="E181" s="651"/>
      <c r="F181" s="640">
        <v>0.28000000000000003</v>
      </c>
      <c r="G181" s="32">
        <v>6</v>
      </c>
      <c r="H181" s="640">
        <v>1.68</v>
      </c>
      <c r="I181" s="640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45</v>
      </c>
      <c r="P181" s="95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1">
        <v>97</v>
      </c>
      <c r="Y181" s="642">
        <f t="shared" si="21"/>
        <v>97.44</v>
      </c>
      <c r="Z181" s="36">
        <f>IFERROR(IF(Y181=0,"",ROUNDUP(Y181/H181,0)*0.00502),"")</f>
        <v>0.29116000000000003</v>
      </c>
      <c r="AA181" s="56"/>
      <c r="AB181" s="57"/>
      <c r="AC181" s="241" t="s">
        <v>296</v>
      </c>
      <c r="AG181" s="64"/>
      <c r="AJ181" s="68"/>
      <c r="AK181" s="68">
        <v>0</v>
      </c>
      <c r="BB181" s="242" t="s">
        <v>1</v>
      </c>
      <c r="BM181" s="64">
        <f t="shared" si="22"/>
        <v>102.77380952380953</v>
      </c>
      <c r="BN181" s="64">
        <f t="shared" si="23"/>
        <v>103.24</v>
      </c>
      <c r="BO181" s="64">
        <f t="shared" si="24"/>
        <v>0.24674399674399677</v>
      </c>
      <c r="BP181" s="64">
        <f t="shared" si="25"/>
        <v>0.2478632478632479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4301031434</v>
      </c>
      <c r="D182" s="650">
        <v>4680115888067</v>
      </c>
      <c r="E182" s="651"/>
      <c r="F182" s="640">
        <v>0.09</v>
      </c>
      <c r="G182" s="32">
        <v>10</v>
      </c>
      <c r="H182" s="640">
        <v>0.9</v>
      </c>
      <c r="I182" s="640">
        <v>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1">
        <v>0</v>
      </c>
      <c r="Y182" s="642">
        <f t="shared" si="21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t="27" hidden="1" customHeight="1" x14ac:dyDescent="0.25">
      <c r="A183" s="54" t="s">
        <v>314</v>
      </c>
      <c r="B183" s="54" t="s">
        <v>315</v>
      </c>
      <c r="C183" s="31">
        <v>4301031519</v>
      </c>
      <c r="D183" s="650">
        <v>4680115887435</v>
      </c>
      <c r="E183" s="651"/>
      <c r="F183" s="640">
        <v>0.28000000000000003</v>
      </c>
      <c r="G183" s="32">
        <v>6</v>
      </c>
      <c r="H183" s="640">
        <v>1.68</v>
      </c>
      <c r="I183" s="640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1">
        <v>0</v>
      </c>
      <c r="Y183" s="642">
        <f t="shared" si="21"/>
        <v>0</v>
      </c>
      <c r="Z183" s="36" t="str">
        <f>IFERROR(IF(Y183=0,"",ROUNDUP(Y183/H183,0)*0.00502),"")</f>
        <v/>
      </c>
      <c r="AA183" s="56"/>
      <c r="AB183" s="57"/>
      <c r="AC183" s="245" t="s">
        <v>299</v>
      </c>
      <c r="AG183" s="64"/>
      <c r="AJ183" s="68"/>
      <c r="AK183" s="68">
        <v>0</v>
      </c>
      <c r="BB183" s="246" t="s">
        <v>1</v>
      </c>
      <c r="BM183" s="64">
        <f t="shared" si="22"/>
        <v>0</v>
      </c>
      <c r="BN183" s="64">
        <f t="shared" si="23"/>
        <v>0</v>
      </c>
      <c r="BO183" s="64">
        <f t="shared" si="24"/>
        <v>0</v>
      </c>
      <c r="BP183" s="64">
        <f t="shared" si="25"/>
        <v>0</v>
      </c>
    </row>
    <row r="184" spans="1:68" x14ac:dyDescent="0.2">
      <c r="A184" s="655"/>
      <c r="B184" s="656"/>
      <c r="C184" s="656"/>
      <c r="D184" s="656"/>
      <c r="E184" s="656"/>
      <c r="F184" s="656"/>
      <c r="G184" s="656"/>
      <c r="H184" s="656"/>
      <c r="I184" s="656"/>
      <c r="J184" s="656"/>
      <c r="K184" s="656"/>
      <c r="L184" s="656"/>
      <c r="M184" s="656"/>
      <c r="N184" s="656"/>
      <c r="O184" s="657"/>
      <c r="P184" s="667" t="s">
        <v>72</v>
      </c>
      <c r="Q184" s="668"/>
      <c r="R184" s="668"/>
      <c r="S184" s="668"/>
      <c r="T184" s="668"/>
      <c r="U184" s="668"/>
      <c r="V184" s="669"/>
      <c r="W184" s="37" t="s">
        <v>73</v>
      </c>
      <c r="X184" s="6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172.88095238095238</v>
      </c>
      <c r="Y184" s="6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174</v>
      </c>
      <c r="Z184" s="6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1.3374800000000002</v>
      </c>
      <c r="AA184" s="644"/>
      <c r="AB184" s="644"/>
      <c r="AC184" s="644"/>
    </row>
    <row r="185" spans="1:68" x14ac:dyDescent="0.2">
      <c r="A185" s="656"/>
      <c r="B185" s="656"/>
      <c r="C185" s="656"/>
      <c r="D185" s="656"/>
      <c r="E185" s="656"/>
      <c r="F185" s="656"/>
      <c r="G185" s="656"/>
      <c r="H185" s="656"/>
      <c r="I185" s="656"/>
      <c r="J185" s="656"/>
      <c r="K185" s="656"/>
      <c r="L185" s="656"/>
      <c r="M185" s="656"/>
      <c r="N185" s="656"/>
      <c r="O185" s="657"/>
      <c r="P185" s="667" t="s">
        <v>72</v>
      </c>
      <c r="Q185" s="668"/>
      <c r="R185" s="668"/>
      <c r="S185" s="668"/>
      <c r="T185" s="668"/>
      <c r="U185" s="668"/>
      <c r="V185" s="669"/>
      <c r="W185" s="37" t="s">
        <v>67</v>
      </c>
      <c r="X185" s="643">
        <f>IFERROR(SUM(X172:X183),"0")</f>
        <v>500</v>
      </c>
      <c r="Y185" s="643">
        <f>IFERROR(SUM(Y172:Y183),"0")</f>
        <v>503.44</v>
      </c>
      <c r="Z185" s="37"/>
      <c r="AA185" s="644"/>
      <c r="AB185" s="644"/>
      <c r="AC185" s="644"/>
    </row>
    <row r="186" spans="1:68" ht="14.25" hidden="1" customHeight="1" x14ac:dyDescent="0.25">
      <c r="A186" s="672" t="s">
        <v>74</v>
      </c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6"/>
      <c r="P186" s="656"/>
      <c r="Q186" s="656"/>
      <c r="R186" s="656"/>
      <c r="S186" s="656"/>
      <c r="T186" s="656"/>
      <c r="U186" s="656"/>
      <c r="V186" s="656"/>
      <c r="W186" s="656"/>
      <c r="X186" s="656"/>
      <c r="Y186" s="656"/>
      <c r="Z186" s="656"/>
      <c r="AA186" s="635"/>
      <c r="AB186" s="635"/>
      <c r="AC186" s="635"/>
    </row>
    <row r="187" spans="1:68" ht="16.5" hidden="1" customHeight="1" x14ac:dyDescent="0.25">
      <c r="A187" s="54" t="s">
        <v>316</v>
      </c>
      <c r="B187" s="54" t="s">
        <v>317</v>
      </c>
      <c r="C187" s="31">
        <v>4301052193</v>
      </c>
      <c r="D187" s="650">
        <v>4680115888395</v>
      </c>
      <c r="E187" s="651"/>
      <c r="F187" s="640">
        <v>0.42</v>
      </c>
      <c r="G187" s="32">
        <v>6</v>
      </c>
      <c r="H187" s="640">
        <v>2.52</v>
      </c>
      <c r="I187" s="640">
        <v>2.766</v>
      </c>
      <c r="J187" s="32">
        <v>182</v>
      </c>
      <c r="K187" s="32" t="s">
        <v>77</v>
      </c>
      <c r="L187" s="32"/>
      <c r="M187" s="33" t="s">
        <v>84</v>
      </c>
      <c r="N187" s="33"/>
      <c r="O187" s="32">
        <v>40</v>
      </c>
      <c r="P187" s="77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47" t="s">
        <v>318</v>
      </c>
      <c r="AG187" s="64"/>
      <c r="AJ187" s="68"/>
      <c r="AK187" s="68">
        <v>0</v>
      </c>
      <c r="BB187" s="24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16.5" hidden="1" customHeight="1" x14ac:dyDescent="0.25">
      <c r="A188" s="54" t="s">
        <v>319</v>
      </c>
      <c r="B188" s="54" t="s">
        <v>320</v>
      </c>
      <c r="C188" s="31">
        <v>4301052191</v>
      </c>
      <c r="D188" s="650">
        <v>4680115888371</v>
      </c>
      <c r="E188" s="651"/>
      <c r="F188" s="640">
        <v>0.42</v>
      </c>
      <c r="G188" s="32">
        <v>6</v>
      </c>
      <c r="H188" s="640">
        <v>2.52</v>
      </c>
      <c r="I188" s="640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1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1">
        <v>0</v>
      </c>
      <c r="Y188" s="642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hidden="1" customHeight="1" x14ac:dyDescent="0.25">
      <c r="A189" s="54" t="s">
        <v>322</v>
      </c>
      <c r="B189" s="54" t="s">
        <v>323</v>
      </c>
      <c r="C189" s="31">
        <v>4301052064</v>
      </c>
      <c r="D189" s="650">
        <v>4680115887459</v>
      </c>
      <c r="E189" s="651"/>
      <c r="F189" s="640">
        <v>0.3</v>
      </c>
      <c r="G189" s="32">
        <v>6</v>
      </c>
      <c r="H189" s="640">
        <v>1.8</v>
      </c>
      <c r="I189" s="640">
        <v>2.0579999999999998</v>
      </c>
      <c r="J189" s="32">
        <v>182</v>
      </c>
      <c r="K189" s="32" t="s">
        <v>77</v>
      </c>
      <c r="L189" s="32"/>
      <c r="M189" s="33" t="s">
        <v>78</v>
      </c>
      <c r="N189" s="33"/>
      <c r="O189" s="32">
        <v>45</v>
      </c>
      <c r="P189" s="7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1">
        <v>0</v>
      </c>
      <c r="Y189" s="642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5"/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7"/>
      <c r="P190" s="667" t="s">
        <v>72</v>
      </c>
      <c r="Q190" s="668"/>
      <c r="R190" s="668"/>
      <c r="S190" s="668"/>
      <c r="T190" s="668"/>
      <c r="U190" s="668"/>
      <c r="V190" s="669"/>
      <c r="W190" s="37" t="s">
        <v>73</v>
      </c>
      <c r="X190" s="643">
        <f>IFERROR(X187/H187,"0")+IFERROR(X188/H188,"0")+IFERROR(X189/H189,"0")</f>
        <v>0</v>
      </c>
      <c r="Y190" s="643">
        <f>IFERROR(Y187/H187,"0")+IFERROR(Y188/H188,"0")+IFERROR(Y189/H189,"0")</f>
        <v>0</v>
      </c>
      <c r="Z190" s="643">
        <f>IFERROR(IF(Z187="",0,Z187),"0")+IFERROR(IF(Z188="",0,Z188),"0")+IFERROR(IF(Z189="",0,Z189),"0")</f>
        <v>0</v>
      </c>
      <c r="AA190" s="644"/>
      <c r="AB190" s="644"/>
      <c r="AC190" s="644"/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67" t="s">
        <v>72</v>
      </c>
      <c r="Q191" s="668"/>
      <c r="R191" s="668"/>
      <c r="S191" s="668"/>
      <c r="T191" s="668"/>
      <c r="U191" s="668"/>
      <c r="V191" s="669"/>
      <c r="W191" s="37" t="s">
        <v>67</v>
      </c>
      <c r="X191" s="643">
        <f>IFERROR(SUM(X187:X189),"0")</f>
        <v>0</v>
      </c>
      <c r="Y191" s="643">
        <f>IFERROR(SUM(Y187:Y189),"0")</f>
        <v>0</v>
      </c>
      <c r="Z191" s="37"/>
      <c r="AA191" s="644"/>
      <c r="AB191" s="644"/>
      <c r="AC191" s="644"/>
    </row>
    <row r="192" spans="1:68" ht="14.25" hidden="1" customHeight="1" x14ac:dyDescent="0.25">
      <c r="A192" s="672" t="s">
        <v>264</v>
      </c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6"/>
      <c r="P192" s="656"/>
      <c r="Q192" s="656"/>
      <c r="R192" s="656"/>
      <c r="S192" s="656"/>
      <c r="T192" s="656"/>
      <c r="U192" s="656"/>
      <c r="V192" s="656"/>
      <c r="W192" s="656"/>
      <c r="X192" s="656"/>
      <c r="Y192" s="656"/>
      <c r="Z192" s="656"/>
      <c r="AA192" s="635"/>
      <c r="AB192" s="635"/>
      <c r="AC192" s="635"/>
    </row>
    <row r="193" spans="1:68" ht="16.5" hidden="1" customHeight="1" x14ac:dyDescent="0.25">
      <c r="A193" s="54" t="s">
        <v>325</v>
      </c>
      <c r="B193" s="54" t="s">
        <v>326</v>
      </c>
      <c r="C193" s="31">
        <v>4301032058</v>
      </c>
      <c r="D193" s="650">
        <v>4680115889026</v>
      </c>
      <c r="E193" s="651"/>
      <c r="F193" s="640">
        <v>0.06</v>
      </c>
      <c r="G193" s="32">
        <v>18</v>
      </c>
      <c r="H193" s="640">
        <v>1.08</v>
      </c>
      <c r="I193" s="640">
        <v>1.36</v>
      </c>
      <c r="J193" s="32">
        <v>216</v>
      </c>
      <c r="K193" s="32" t="s">
        <v>327</v>
      </c>
      <c r="L193" s="32"/>
      <c r="M193" s="33" t="s">
        <v>268</v>
      </c>
      <c r="N193" s="33"/>
      <c r="O193" s="32">
        <v>60</v>
      </c>
      <c r="P193" s="89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8"/>
      <c r="R193" s="648"/>
      <c r="S193" s="648"/>
      <c r="T193" s="649"/>
      <c r="U193" s="34"/>
      <c r="V193" s="34"/>
      <c r="W193" s="35" t="s">
        <v>67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53" t="s">
        <v>328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5"/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7"/>
      <c r="P194" s="667" t="s">
        <v>72</v>
      </c>
      <c r="Q194" s="668"/>
      <c r="R194" s="668"/>
      <c r="S194" s="668"/>
      <c r="T194" s="668"/>
      <c r="U194" s="668"/>
      <c r="V194" s="669"/>
      <c r="W194" s="37" t="s">
        <v>73</v>
      </c>
      <c r="X194" s="643">
        <f>IFERROR(X193/H193,"0")</f>
        <v>0</v>
      </c>
      <c r="Y194" s="643">
        <f>IFERROR(Y193/H193,"0")</f>
        <v>0</v>
      </c>
      <c r="Z194" s="643">
        <f>IFERROR(IF(Z193="",0,Z193),"0")</f>
        <v>0</v>
      </c>
      <c r="AA194" s="644"/>
      <c r="AB194" s="644"/>
      <c r="AC194" s="644"/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67" t="s">
        <v>72</v>
      </c>
      <c r="Q195" s="668"/>
      <c r="R195" s="668"/>
      <c r="S195" s="668"/>
      <c r="T195" s="668"/>
      <c r="U195" s="668"/>
      <c r="V195" s="669"/>
      <c r="W195" s="37" t="s">
        <v>67</v>
      </c>
      <c r="X195" s="643">
        <f>IFERROR(SUM(X193:X193),"0")</f>
        <v>0</v>
      </c>
      <c r="Y195" s="643">
        <f>IFERROR(SUM(Y193:Y193),"0")</f>
        <v>0</v>
      </c>
      <c r="Z195" s="37"/>
      <c r="AA195" s="644"/>
      <c r="AB195" s="644"/>
      <c r="AC195" s="644"/>
    </row>
    <row r="196" spans="1:68" ht="14.25" hidden="1" customHeight="1" x14ac:dyDescent="0.25">
      <c r="A196" s="672" t="s">
        <v>329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35"/>
      <c r="AB196" s="635"/>
      <c r="AC196" s="635"/>
    </row>
    <row r="197" spans="1:68" ht="27" hidden="1" customHeight="1" x14ac:dyDescent="0.25">
      <c r="A197" s="54" t="s">
        <v>330</v>
      </c>
      <c r="B197" s="54" t="s">
        <v>331</v>
      </c>
      <c r="C197" s="31">
        <v>4301041009</v>
      </c>
      <c r="D197" s="650">
        <v>4680115889033</v>
      </c>
      <c r="E197" s="651"/>
      <c r="F197" s="640">
        <v>0.11</v>
      </c>
      <c r="G197" s="32">
        <v>15</v>
      </c>
      <c r="H197" s="640">
        <v>1.65</v>
      </c>
      <c r="I197" s="640">
        <v>1.9</v>
      </c>
      <c r="J197" s="32">
        <v>216</v>
      </c>
      <c r="K197" s="32" t="s">
        <v>327</v>
      </c>
      <c r="L197" s="32"/>
      <c r="M197" s="33" t="s">
        <v>268</v>
      </c>
      <c r="N197" s="33"/>
      <c r="O197" s="32">
        <v>60</v>
      </c>
      <c r="P197" s="80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332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5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67" t="s">
        <v>72</v>
      </c>
      <c r="Q198" s="668"/>
      <c r="R198" s="668"/>
      <c r="S198" s="668"/>
      <c r="T198" s="668"/>
      <c r="U198" s="668"/>
      <c r="V198" s="669"/>
      <c r="W198" s="37" t="s">
        <v>73</v>
      </c>
      <c r="X198" s="643">
        <f>IFERROR(X197/H197,"0")</f>
        <v>0</v>
      </c>
      <c r="Y198" s="643">
        <f>IFERROR(Y197/H197,"0")</f>
        <v>0</v>
      </c>
      <c r="Z198" s="643">
        <f>IFERROR(IF(Z197="",0,Z197),"0")</f>
        <v>0</v>
      </c>
      <c r="AA198" s="644"/>
      <c r="AB198" s="644"/>
      <c r="AC198" s="644"/>
    </row>
    <row r="199" spans="1:68" hidden="1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67" t="s">
        <v>72</v>
      </c>
      <c r="Q199" s="668"/>
      <c r="R199" s="668"/>
      <c r="S199" s="668"/>
      <c r="T199" s="668"/>
      <c r="U199" s="668"/>
      <c r="V199" s="669"/>
      <c r="W199" s="37" t="s">
        <v>67</v>
      </c>
      <c r="X199" s="643">
        <f>IFERROR(SUM(X197:X197),"0")</f>
        <v>0</v>
      </c>
      <c r="Y199" s="643">
        <f>IFERROR(SUM(Y197:Y197),"0")</f>
        <v>0</v>
      </c>
      <c r="Z199" s="37"/>
      <c r="AA199" s="644"/>
      <c r="AB199" s="644"/>
      <c r="AC199" s="644"/>
    </row>
    <row r="200" spans="1:68" ht="27.75" hidden="1" customHeight="1" x14ac:dyDescent="0.2">
      <c r="A200" s="664" t="s">
        <v>333</v>
      </c>
      <c r="B200" s="665"/>
      <c r="C200" s="665"/>
      <c r="D200" s="665"/>
      <c r="E200" s="665"/>
      <c r="F200" s="665"/>
      <c r="G200" s="665"/>
      <c r="H200" s="665"/>
      <c r="I200" s="665"/>
      <c r="J200" s="665"/>
      <c r="K200" s="665"/>
      <c r="L200" s="665"/>
      <c r="M200" s="665"/>
      <c r="N200" s="665"/>
      <c r="O200" s="665"/>
      <c r="P200" s="665"/>
      <c r="Q200" s="665"/>
      <c r="R200" s="665"/>
      <c r="S200" s="665"/>
      <c r="T200" s="665"/>
      <c r="U200" s="665"/>
      <c r="V200" s="665"/>
      <c r="W200" s="665"/>
      <c r="X200" s="665"/>
      <c r="Y200" s="665"/>
      <c r="Z200" s="665"/>
      <c r="AA200" s="48"/>
      <c r="AB200" s="48"/>
      <c r="AC200" s="48"/>
    </row>
    <row r="201" spans="1:68" ht="16.5" hidden="1" customHeight="1" x14ac:dyDescent="0.25">
      <c r="A201" s="666" t="s">
        <v>334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36"/>
      <c r="AB201" s="636"/>
      <c r="AC201" s="636"/>
    </row>
    <row r="202" spans="1:68" ht="14.25" hidden="1" customHeight="1" x14ac:dyDescent="0.25">
      <c r="A202" s="672" t="s">
        <v>111</v>
      </c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6"/>
      <c r="P202" s="656"/>
      <c r="Q202" s="656"/>
      <c r="R202" s="656"/>
      <c r="S202" s="656"/>
      <c r="T202" s="656"/>
      <c r="U202" s="656"/>
      <c r="V202" s="656"/>
      <c r="W202" s="656"/>
      <c r="X202" s="656"/>
      <c r="Y202" s="656"/>
      <c r="Z202" s="656"/>
      <c r="AA202" s="635"/>
      <c r="AB202" s="635"/>
      <c r="AC202" s="635"/>
    </row>
    <row r="203" spans="1:68" ht="27" hidden="1" customHeight="1" x14ac:dyDescent="0.25">
      <c r="A203" s="54" t="s">
        <v>335</v>
      </c>
      <c r="B203" s="54" t="s">
        <v>336</v>
      </c>
      <c r="C203" s="31">
        <v>4301011223</v>
      </c>
      <c r="D203" s="650">
        <v>4607091383423</v>
      </c>
      <c r="E203" s="651"/>
      <c r="F203" s="640">
        <v>1.35</v>
      </c>
      <c r="G203" s="32">
        <v>8</v>
      </c>
      <c r="H203" s="640">
        <v>10.8</v>
      </c>
      <c r="I203" s="640">
        <v>11.305999999999999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4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8"/>
      <c r="R203" s="648"/>
      <c r="S203" s="648"/>
      <c r="T203" s="649"/>
      <c r="U203" s="34"/>
      <c r="V203" s="34"/>
      <c r="W203" s="35" t="s">
        <v>67</v>
      </c>
      <c r="X203" s="641">
        <v>0</v>
      </c>
      <c r="Y203" s="642">
        <f t="shared" ref="Y203:Y209" si="26">IFERROR(IF(X203="",0,CEILING((X203/$H203),1)*$H203),"")</f>
        <v>0</v>
      </c>
      <c r="Z203" s="36" t="str">
        <f t="shared" ref="Z203:Z209" si="27">IFERROR(IF(Y203=0,"",ROUNDUP(Y203/H203,0)*0.01898),"")</f>
        <v/>
      </c>
      <c r="AA203" s="56"/>
      <c r="AB203" s="57"/>
      <c r="AC203" s="257" t="s">
        <v>116</v>
      </c>
      <c r="AG203" s="64"/>
      <c r="AJ203" s="68"/>
      <c r="AK203" s="68">
        <v>0</v>
      </c>
      <c r="BB203" s="258" t="s">
        <v>1</v>
      </c>
      <c r="BM203" s="64">
        <f t="shared" ref="BM203:BM209" si="28">IFERROR(X203*I203/H203,"0")</f>
        <v>0</v>
      </c>
      <c r="BN203" s="64">
        <f t="shared" ref="BN203:BN209" si="29">IFERROR(Y203*I203/H203,"0")</f>
        <v>0</v>
      </c>
      <c r="BO203" s="64">
        <f t="shared" ref="BO203:BO209" si="30">IFERROR(1/J203*(X203/H203),"0")</f>
        <v>0</v>
      </c>
      <c r="BP203" s="64">
        <f t="shared" ref="BP203:BP209" si="31">IFERROR(1/J203*(Y203/H203),"0")</f>
        <v>0</v>
      </c>
    </row>
    <row r="204" spans="1:68" ht="27" hidden="1" customHeight="1" x14ac:dyDescent="0.25">
      <c r="A204" s="54" t="s">
        <v>337</v>
      </c>
      <c r="B204" s="54" t="s">
        <v>338</v>
      </c>
      <c r="C204" s="31">
        <v>4301012340</v>
      </c>
      <c r="D204" s="650">
        <v>4680115888760</v>
      </c>
      <c r="E204" s="651"/>
      <c r="F204" s="640">
        <v>1.4</v>
      </c>
      <c r="G204" s="32">
        <v>6</v>
      </c>
      <c r="H204" s="640">
        <v>8.4</v>
      </c>
      <c r="I204" s="640">
        <v>8.81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8"/>
      <c r="R204" s="648"/>
      <c r="S204" s="648"/>
      <c r="T204" s="649"/>
      <c r="U204" s="34"/>
      <c r="V204" s="34"/>
      <c r="W204" s="35" t="s">
        <v>67</v>
      </c>
      <c r="X204" s="641">
        <v>0</v>
      </c>
      <c r="Y204" s="642">
        <f t="shared" si="26"/>
        <v>0</v>
      </c>
      <c r="Z204" s="36" t="str">
        <f t="shared" si="27"/>
        <v/>
      </c>
      <c r="AA204" s="56"/>
      <c r="AB204" s="57"/>
      <c r="AC204" s="259" t="s">
        <v>339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4301012341</v>
      </c>
      <c r="D205" s="650">
        <v>4680115888807</v>
      </c>
      <c r="E205" s="651"/>
      <c r="F205" s="640">
        <v>1.4</v>
      </c>
      <c r="G205" s="32">
        <v>6</v>
      </c>
      <c r="H205" s="640">
        <v>8.4</v>
      </c>
      <c r="I205" s="640">
        <v>8.81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9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8"/>
      <c r="R205" s="648"/>
      <c r="S205" s="648"/>
      <c r="T205" s="649"/>
      <c r="U205" s="34"/>
      <c r="V205" s="34"/>
      <c r="W205" s="35" t="s">
        <v>67</v>
      </c>
      <c r="X205" s="641">
        <v>0</v>
      </c>
      <c r="Y205" s="642">
        <f t="shared" si="26"/>
        <v>0</v>
      </c>
      <c r="Z205" s="36" t="str">
        <f t="shared" si="27"/>
        <v/>
      </c>
      <c r="AA205" s="56"/>
      <c r="AB205" s="57"/>
      <c r="AC205" s="261" t="s">
        <v>342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4301012342</v>
      </c>
      <c r="D206" s="650">
        <v>4680115888852</v>
      </c>
      <c r="E206" s="651"/>
      <c r="F206" s="640">
        <v>0.9</v>
      </c>
      <c r="G206" s="32">
        <v>6</v>
      </c>
      <c r="H206" s="640">
        <v>5.4</v>
      </c>
      <c r="I206" s="640">
        <v>5.81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6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8"/>
      <c r="R206" s="648"/>
      <c r="S206" s="648"/>
      <c r="T206" s="649"/>
      <c r="U206" s="34"/>
      <c r="V206" s="34"/>
      <c r="W206" s="35" t="s">
        <v>67</v>
      </c>
      <c r="X206" s="641">
        <v>0</v>
      </c>
      <c r="Y206" s="642">
        <f t="shared" si="26"/>
        <v>0</v>
      </c>
      <c r="Z206" s="36" t="str">
        <f t="shared" si="27"/>
        <v/>
      </c>
      <c r="AA206" s="56"/>
      <c r="AB206" s="57"/>
      <c r="AC206" s="263" t="s">
        <v>345</v>
      </c>
      <c r="AG206" s="64"/>
      <c r="AJ206" s="68"/>
      <c r="AK206" s="68">
        <v>0</v>
      </c>
      <c r="BB206" s="264" t="s">
        <v>1</v>
      </c>
      <c r="BM206" s="64">
        <f t="shared" si="28"/>
        <v>0</v>
      </c>
      <c r="BN206" s="64">
        <f t="shared" si="29"/>
        <v>0</v>
      </c>
      <c r="BO206" s="64">
        <f t="shared" si="30"/>
        <v>0</v>
      </c>
      <c r="BP206" s="64">
        <f t="shared" si="31"/>
        <v>0</v>
      </c>
    </row>
    <row r="207" spans="1:68" ht="37.5" hidden="1" customHeight="1" x14ac:dyDescent="0.25">
      <c r="A207" s="54" t="s">
        <v>346</v>
      </c>
      <c r="B207" s="54" t="s">
        <v>347</v>
      </c>
      <c r="C207" s="31">
        <v>4301012370</v>
      </c>
      <c r="D207" s="650">
        <v>4680115886957</v>
      </c>
      <c r="E207" s="651"/>
      <c r="F207" s="640">
        <v>1.35</v>
      </c>
      <c r="G207" s="32">
        <v>8</v>
      </c>
      <c r="H207" s="640">
        <v>10.8</v>
      </c>
      <c r="I207" s="640">
        <v>11.29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8"/>
      <c r="R207" s="648"/>
      <c r="S207" s="648"/>
      <c r="T207" s="649"/>
      <c r="U207" s="34"/>
      <c r="V207" s="34"/>
      <c r="W207" s="35" t="s">
        <v>67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4301012098</v>
      </c>
      <c r="D208" s="650">
        <v>4680115885660</v>
      </c>
      <c r="E208" s="651"/>
      <c r="F208" s="640">
        <v>1.35</v>
      </c>
      <c r="G208" s="32">
        <v>8</v>
      </c>
      <c r="H208" s="640">
        <v>10.8</v>
      </c>
      <c r="I208" s="640">
        <v>11.21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8"/>
      <c r="R208" s="648"/>
      <c r="S208" s="648"/>
      <c r="T208" s="649"/>
      <c r="U208" s="34"/>
      <c r="V208" s="34"/>
      <c r="W208" s="35" t="s">
        <v>67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4301012369</v>
      </c>
      <c r="D209" s="650">
        <v>4680115886773</v>
      </c>
      <c r="E209" s="651"/>
      <c r="F209" s="640">
        <v>0.9</v>
      </c>
      <c r="G209" s="32">
        <v>10</v>
      </c>
      <c r="H209" s="640">
        <v>9</v>
      </c>
      <c r="I209" s="640">
        <v>9.51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8"/>
      <c r="R209" s="648"/>
      <c r="S209" s="648"/>
      <c r="T209" s="649"/>
      <c r="U209" s="34"/>
      <c r="V209" s="34"/>
      <c r="W209" s="35" t="s">
        <v>67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idden="1" x14ac:dyDescent="0.2">
      <c r="A210" s="655"/>
      <c r="B210" s="656"/>
      <c r="C210" s="656"/>
      <c r="D210" s="656"/>
      <c r="E210" s="656"/>
      <c r="F210" s="656"/>
      <c r="G210" s="656"/>
      <c r="H210" s="656"/>
      <c r="I210" s="656"/>
      <c r="J210" s="656"/>
      <c r="K210" s="656"/>
      <c r="L210" s="656"/>
      <c r="M210" s="656"/>
      <c r="N210" s="656"/>
      <c r="O210" s="657"/>
      <c r="P210" s="667" t="s">
        <v>72</v>
      </c>
      <c r="Q210" s="668"/>
      <c r="R210" s="668"/>
      <c r="S210" s="668"/>
      <c r="T210" s="668"/>
      <c r="U210" s="668"/>
      <c r="V210" s="669"/>
      <c r="W210" s="37" t="s">
        <v>73</v>
      </c>
      <c r="X210" s="643">
        <f>IFERROR(X203/H203,"0")+IFERROR(X204/H204,"0")+IFERROR(X205/H205,"0")+IFERROR(X206/H206,"0")+IFERROR(X207/H207,"0")+IFERROR(X208/H208,"0")+IFERROR(X209/H209,"0")</f>
        <v>0</v>
      </c>
      <c r="Y210" s="643">
        <f>IFERROR(Y203/H203,"0")+IFERROR(Y204/H204,"0")+IFERROR(Y205/H205,"0")+IFERROR(Y206/H206,"0")+IFERROR(Y207/H207,"0")+IFERROR(Y208/H208,"0")+IFERROR(Y209/H209,"0")</f>
        <v>0</v>
      </c>
      <c r="Z210" s="6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4"/>
      <c r="AB210" s="644"/>
      <c r="AC210" s="644"/>
    </row>
    <row r="211" spans="1:68" hidden="1" x14ac:dyDescent="0.2">
      <c r="A211" s="656"/>
      <c r="B211" s="656"/>
      <c r="C211" s="656"/>
      <c r="D211" s="656"/>
      <c r="E211" s="656"/>
      <c r="F211" s="656"/>
      <c r="G211" s="656"/>
      <c r="H211" s="656"/>
      <c r="I211" s="656"/>
      <c r="J211" s="656"/>
      <c r="K211" s="656"/>
      <c r="L211" s="656"/>
      <c r="M211" s="656"/>
      <c r="N211" s="656"/>
      <c r="O211" s="657"/>
      <c r="P211" s="667" t="s">
        <v>72</v>
      </c>
      <c r="Q211" s="668"/>
      <c r="R211" s="668"/>
      <c r="S211" s="668"/>
      <c r="T211" s="668"/>
      <c r="U211" s="668"/>
      <c r="V211" s="669"/>
      <c r="W211" s="37" t="s">
        <v>67</v>
      </c>
      <c r="X211" s="643">
        <f>IFERROR(SUM(X203:X209),"0")</f>
        <v>0</v>
      </c>
      <c r="Y211" s="643">
        <f>IFERROR(SUM(Y203:Y209),"0")</f>
        <v>0</v>
      </c>
      <c r="Z211" s="37"/>
      <c r="AA211" s="644"/>
      <c r="AB211" s="644"/>
      <c r="AC211" s="644"/>
    </row>
    <row r="212" spans="1:68" ht="16.5" hidden="1" customHeight="1" x14ac:dyDescent="0.25">
      <c r="A212" s="666" t="s">
        <v>355</v>
      </c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6"/>
      <c r="P212" s="656"/>
      <c r="Q212" s="656"/>
      <c r="R212" s="656"/>
      <c r="S212" s="656"/>
      <c r="T212" s="656"/>
      <c r="U212" s="656"/>
      <c r="V212" s="656"/>
      <c r="W212" s="656"/>
      <c r="X212" s="656"/>
      <c r="Y212" s="656"/>
      <c r="Z212" s="656"/>
      <c r="AA212" s="636"/>
      <c r="AB212" s="636"/>
      <c r="AC212" s="636"/>
    </row>
    <row r="213" spans="1:68" ht="14.25" hidden="1" customHeight="1" x14ac:dyDescent="0.25">
      <c r="A213" s="672" t="s">
        <v>146</v>
      </c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6"/>
      <c r="P213" s="656"/>
      <c r="Q213" s="656"/>
      <c r="R213" s="656"/>
      <c r="S213" s="656"/>
      <c r="T213" s="656"/>
      <c r="U213" s="656"/>
      <c r="V213" s="656"/>
      <c r="W213" s="656"/>
      <c r="X213" s="656"/>
      <c r="Y213" s="656"/>
      <c r="Z213" s="656"/>
      <c r="AA213" s="635"/>
      <c r="AB213" s="635"/>
      <c r="AC213" s="635"/>
    </row>
    <row r="214" spans="1:68" ht="27" hidden="1" customHeight="1" x14ac:dyDescent="0.25">
      <c r="A214" s="54" t="s">
        <v>356</v>
      </c>
      <c r="B214" s="54" t="s">
        <v>357</v>
      </c>
      <c r="C214" s="31">
        <v>4301020323</v>
      </c>
      <c r="D214" s="650">
        <v>4680115886223</v>
      </c>
      <c r="E214" s="651"/>
      <c r="F214" s="640">
        <v>0.33</v>
      </c>
      <c r="G214" s="32">
        <v>6</v>
      </c>
      <c r="H214" s="640">
        <v>1.98</v>
      </c>
      <c r="I214" s="640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1">
        <v>0</v>
      </c>
      <c r="Y214" s="642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55"/>
      <c r="B215" s="656"/>
      <c r="C215" s="656"/>
      <c r="D215" s="656"/>
      <c r="E215" s="656"/>
      <c r="F215" s="656"/>
      <c r="G215" s="656"/>
      <c r="H215" s="656"/>
      <c r="I215" s="656"/>
      <c r="J215" s="656"/>
      <c r="K215" s="656"/>
      <c r="L215" s="656"/>
      <c r="M215" s="656"/>
      <c r="N215" s="656"/>
      <c r="O215" s="657"/>
      <c r="P215" s="667" t="s">
        <v>72</v>
      </c>
      <c r="Q215" s="668"/>
      <c r="R215" s="668"/>
      <c r="S215" s="668"/>
      <c r="T215" s="668"/>
      <c r="U215" s="668"/>
      <c r="V215" s="669"/>
      <c r="W215" s="37" t="s">
        <v>73</v>
      </c>
      <c r="X215" s="643">
        <f>IFERROR(X214/H214,"0")</f>
        <v>0</v>
      </c>
      <c r="Y215" s="643">
        <f>IFERROR(Y214/H214,"0")</f>
        <v>0</v>
      </c>
      <c r="Z215" s="643">
        <f>IFERROR(IF(Z214="",0,Z214),"0")</f>
        <v>0</v>
      </c>
      <c r="AA215" s="644"/>
      <c r="AB215" s="644"/>
      <c r="AC215" s="644"/>
    </row>
    <row r="216" spans="1:68" hidden="1" x14ac:dyDescent="0.2">
      <c r="A216" s="656"/>
      <c r="B216" s="656"/>
      <c r="C216" s="656"/>
      <c r="D216" s="656"/>
      <c r="E216" s="656"/>
      <c r="F216" s="656"/>
      <c r="G216" s="656"/>
      <c r="H216" s="656"/>
      <c r="I216" s="656"/>
      <c r="J216" s="656"/>
      <c r="K216" s="656"/>
      <c r="L216" s="656"/>
      <c r="M216" s="656"/>
      <c r="N216" s="656"/>
      <c r="O216" s="657"/>
      <c r="P216" s="667" t="s">
        <v>72</v>
      </c>
      <c r="Q216" s="668"/>
      <c r="R216" s="668"/>
      <c r="S216" s="668"/>
      <c r="T216" s="668"/>
      <c r="U216" s="668"/>
      <c r="V216" s="669"/>
      <c r="W216" s="37" t="s">
        <v>67</v>
      </c>
      <c r="X216" s="643">
        <f>IFERROR(SUM(X214:X214),"0")</f>
        <v>0</v>
      </c>
      <c r="Y216" s="643">
        <f>IFERROR(SUM(Y214:Y214),"0")</f>
        <v>0</v>
      </c>
      <c r="Z216" s="37"/>
      <c r="AA216" s="644"/>
      <c r="AB216" s="644"/>
      <c r="AC216" s="644"/>
    </row>
    <row r="217" spans="1:68" ht="14.25" hidden="1" customHeight="1" x14ac:dyDescent="0.25">
      <c r="A217" s="672" t="s">
        <v>62</v>
      </c>
      <c r="B217" s="656"/>
      <c r="C217" s="656"/>
      <c r="D217" s="656"/>
      <c r="E217" s="656"/>
      <c r="F217" s="656"/>
      <c r="G217" s="656"/>
      <c r="H217" s="656"/>
      <c r="I217" s="656"/>
      <c r="J217" s="656"/>
      <c r="K217" s="656"/>
      <c r="L217" s="656"/>
      <c r="M217" s="656"/>
      <c r="N217" s="656"/>
      <c r="O217" s="656"/>
      <c r="P217" s="656"/>
      <c r="Q217" s="656"/>
      <c r="R217" s="656"/>
      <c r="S217" s="656"/>
      <c r="T217" s="656"/>
      <c r="U217" s="656"/>
      <c r="V217" s="656"/>
      <c r="W217" s="656"/>
      <c r="X217" s="656"/>
      <c r="Y217" s="656"/>
      <c r="Z217" s="656"/>
      <c r="AA217" s="635"/>
      <c r="AB217" s="635"/>
      <c r="AC217" s="635"/>
    </row>
    <row r="218" spans="1:68" ht="27" hidden="1" customHeight="1" x14ac:dyDescent="0.25">
      <c r="A218" s="54" t="s">
        <v>359</v>
      </c>
      <c r="B218" s="54" t="s">
        <v>360</v>
      </c>
      <c r="C218" s="31">
        <v>4301031191</v>
      </c>
      <c r="D218" s="650">
        <v>4680115880993</v>
      </c>
      <c r="E218" s="651"/>
      <c r="F218" s="640">
        <v>0.7</v>
      </c>
      <c r="G218" s="32">
        <v>6</v>
      </c>
      <c r="H218" s="640">
        <v>4.2</v>
      </c>
      <c r="I218" s="640">
        <v>4.45</v>
      </c>
      <c r="J218" s="32">
        <v>132</v>
      </c>
      <c r="K218" s="32" t="s">
        <v>123</v>
      </c>
      <c r="L218" s="32"/>
      <c r="M218" s="33" t="s">
        <v>66</v>
      </c>
      <c r="N218" s="33"/>
      <c r="O218" s="32">
        <v>40</v>
      </c>
      <c r="P218" s="99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8"/>
      <c r="R218" s="648"/>
      <c r="S218" s="648"/>
      <c r="T218" s="649"/>
      <c r="U218" s="34"/>
      <c r="V218" s="34"/>
      <c r="W218" s="35" t="s">
        <v>67</v>
      </c>
      <c r="X218" s="641">
        <v>0</v>
      </c>
      <c r="Y218" s="642">
        <f t="shared" ref="Y218:Y232" si="32">IFERROR(IF(X218="",0,CEILING((X218/$H218),1)*$H218),"")</f>
        <v>0</v>
      </c>
      <c r="Z218" s="36" t="str">
        <f>IFERROR(IF(Y218=0,"",ROUNDUP(Y218/H218,0)*0.00902),"")</f>
        <v/>
      </c>
      <c r="AA218" s="56"/>
      <c r="AB218" s="57"/>
      <c r="AC218" s="273" t="s">
        <v>361</v>
      </c>
      <c r="AG218" s="64"/>
      <c r="AJ218" s="68"/>
      <c r="AK218" s="68">
        <v>0</v>
      </c>
      <c r="BB218" s="274" t="s">
        <v>1</v>
      </c>
      <c r="BM218" s="64">
        <f t="shared" ref="BM218:BM232" si="33">IFERROR(X218*I218/H218,"0")</f>
        <v>0</v>
      </c>
      <c r="BN218" s="64">
        <f t="shared" ref="BN218:BN232" si="34">IFERROR(Y218*I218/H218,"0")</f>
        <v>0</v>
      </c>
      <c r="BO218" s="64">
        <f t="shared" ref="BO218:BO232" si="35">IFERROR(1/J218*(X218/H218),"0")</f>
        <v>0</v>
      </c>
      <c r="BP218" s="64">
        <f t="shared" ref="BP218:BP232" si="36">IFERROR(1/J218*(Y218/H218),"0")</f>
        <v>0</v>
      </c>
    </row>
    <row r="219" spans="1:68" ht="27" hidden="1" customHeight="1" x14ac:dyDescent="0.25">
      <c r="A219" s="54" t="s">
        <v>362</v>
      </c>
      <c r="B219" s="54" t="s">
        <v>363</v>
      </c>
      <c r="C219" s="31">
        <v>4301031204</v>
      </c>
      <c r="D219" s="650">
        <v>4680115881761</v>
      </c>
      <c r="E219" s="651"/>
      <c r="F219" s="640">
        <v>0.7</v>
      </c>
      <c r="G219" s="32">
        <v>6</v>
      </c>
      <c r="H219" s="640">
        <v>4.2</v>
      </c>
      <c r="I219" s="640">
        <v>4.45</v>
      </c>
      <c r="J219" s="32">
        <v>132</v>
      </c>
      <c r="K219" s="32" t="s">
        <v>123</v>
      </c>
      <c r="L219" s="32"/>
      <c r="M219" s="33" t="s">
        <v>66</v>
      </c>
      <c r="N219" s="33"/>
      <c r="O219" s="32">
        <v>40</v>
      </c>
      <c r="P219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8"/>
      <c r="R219" s="648"/>
      <c r="S219" s="648"/>
      <c r="T219" s="649"/>
      <c r="U219" s="34"/>
      <c r="V219" s="34"/>
      <c r="W219" s="35" t="s">
        <v>67</v>
      </c>
      <c r="X219" s="641">
        <v>0</v>
      </c>
      <c r="Y219" s="642">
        <f t="shared" si="32"/>
        <v>0</v>
      </c>
      <c r="Z219" s="36" t="str">
        <f>IFERROR(IF(Y219=0,"",ROUNDUP(Y219/H219,0)*0.00902),"")</f>
        <v/>
      </c>
      <c r="AA219" s="56"/>
      <c r="AB219" s="57"/>
      <c r="AC219" s="275" t="s">
        <v>364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hidden="1" customHeight="1" x14ac:dyDescent="0.25">
      <c r="A220" s="54" t="s">
        <v>365</v>
      </c>
      <c r="B220" s="54" t="s">
        <v>366</v>
      </c>
      <c r="C220" s="31">
        <v>4301031201</v>
      </c>
      <c r="D220" s="650">
        <v>4680115881563</v>
      </c>
      <c r="E220" s="651"/>
      <c r="F220" s="640">
        <v>0.7</v>
      </c>
      <c r="G220" s="32">
        <v>6</v>
      </c>
      <c r="H220" s="640">
        <v>4.2</v>
      </c>
      <c r="I220" s="640">
        <v>4.3899999999999997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8"/>
      <c r="R220" s="648"/>
      <c r="S220" s="648"/>
      <c r="T220" s="649"/>
      <c r="U220" s="34"/>
      <c r="V220" s="34"/>
      <c r="W220" s="35" t="s">
        <v>67</v>
      </c>
      <c r="X220" s="641">
        <v>0</v>
      </c>
      <c r="Y220" s="642">
        <f t="shared" si="32"/>
        <v>0</v>
      </c>
      <c r="Z220" s="36" t="str">
        <f>IFERROR(IF(Y220=0,"",ROUNDUP(Y220/H220,0)*0.00902),"")</f>
        <v/>
      </c>
      <c r="AA220" s="56"/>
      <c r="AB220" s="57"/>
      <c r="AC220" s="277" t="s">
        <v>367</v>
      </c>
      <c r="AG220" s="64"/>
      <c r="AJ220" s="68"/>
      <c r="AK220" s="68">
        <v>0</v>
      </c>
      <c r="BB220" s="278" t="s">
        <v>1</v>
      </c>
      <c r="BM220" s="64">
        <f t="shared" si="33"/>
        <v>0</v>
      </c>
      <c r="BN220" s="64">
        <f t="shared" si="34"/>
        <v>0</v>
      </c>
      <c r="BO220" s="64">
        <f t="shared" si="35"/>
        <v>0</v>
      </c>
      <c r="BP220" s="64">
        <f t="shared" si="36"/>
        <v>0</v>
      </c>
    </row>
    <row r="221" spans="1:68" ht="37.5" hidden="1" customHeight="1" x14ac:dyDescent="0.25">
      <c r="A221" s="54" t="s">
        <v>368</v>
      </c>
      <c r="B221" s="54" t="s">
        <v>369</v>
      </c>
      <c r="C221" s="31">
        <v>4301031447</v>
      </c>
      <c r="D221" s="650">
        <v>4680115887565</v>
      </c>
      <c r="E221" s="651"/>
      <c r="F221" s="640">
        <v>0.08</v>
      </c>
      <c r="G221" s="32">
        <v>10</v>
      </c>
      <c r="H221" s="640">
        <v>0.8</v>
      </c>
      <c r="I221" s="640">
        <v>0.93</v>
      </c>
      <c r="J221" s="32">
        <v>252</v>
      </c>
      <c r="K221" s="32" t="s">
        <v>65</v>
      </c>
      <c r="L221" s="32"/>
      <c r="M221" s="33" t="s">
        <v>66</v>
      </c>
      <c r="N221" s="33"/>
      <c r="O221" s="32">
        <v>45</v>
      </c>
      <c r="P221" s="68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48"/>
      <c r="R221" s="648"/>
      <c r="S221" s="648"/>
      <c r="T221" s="649"/>
      <c r="U221" s="34"/>
      <c r="V221" s="34"/>
      <c r="W221" s="35" t="s">
        <v>67</v>
      </c>
      <c r="X221" s="641">
        <v>0</v>
      </c>
      <c r="Y221" s="642">
        <f t="shared" si="32"/>
        <v>0</v>
      </c>
      <c r="Z221" s="36" t="str">
        <f>IFERROR(IF(Y221=0,"",ROUNDUP(Y221/H221,0)*0.00556),"")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3"/>
        <v>0</v>
      </c>
      <c r="BN221" s="64">
        <f t="shared" si="34"/>
        <v>0</v>
      </c>
      <c r="BO221" s="64">
        <f t="shared" si="35"/>
        <v>0</v>
      </c>
      <c r="BP221" s="64">
        <f t="shared" si="36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4301031199</v>
      </c>
      <c r="D222" s="650">
        <v>4680115880986</v>
      </c>
      <c r="E222" s="651"/>
      <c r="F222" s="640">
        <v>0.35</v>
      </c>
      <c r="G222" s="32">
        <v>6</v>
      </c>
      <c r="H222" s="640">
        <v>2.1</v>
      </c>
      <c r="I222" s="640">
        <v>2.23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48"/>
      <c r="R222" s="648"/>
      <c r="S222" s="648"/>
      <c r="T222" s="649"/>
      <c r="U222" s="34"/>
      <c r="V222" s="34"/>
      <c r="W222" s="35" t="s">
        <v>67</v>
      </c>
      <c r="X222" s="641">
        <v>0</v>
      </c>
      <c r="Y222" s="642">
        <f t="shared" si="32"/>
        <v>0</v>
      </c>
      <c r="Z222" s="36" t="str">
        <f t="shared" ref="Z222:Z227" si="37">IFERROR(IF(Y222=0,"",ROUNDUP(Y222/H222,0)*0.00502),"")</f>
        <v/>
      </c>
      <c r="AA222" s="56"/>
      <c r="AB222" s="57"/>
      <c r="AC222" s="281" t="s">
        <v>361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4301031443</v>
      </c>
      <c r="D223" s="650">
        <v>4680115887213</v>
      </c>
      <c r="E223" s="651"/>
      <c r="F223" s="640">
        <v>0.3</v>
      </c>
      <c r="G223" s="32">
        <v>6</v>
      </c>
      <c r="H223" s="640">
        <v>1.8</v>
      </c>
      <c r="I223" s="640">
        <v>1.9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48"/>
      <c r="R223" s="648"/>
      <c r="S223" s="648"/>
      <c r="T223" s="649"/>
      <c r="U223" s="34"/>
      <c r="V223" s="34"/>
      <c r="W223" s="35" t="s">
        <v>67</v>
      </c>
      <c r="X223" s="641">
        <v>0</v>
      </c>
      <c r="Y223" s="642">
        <f t="shared" si="32"/>
        <v>0</v>
      </c>
      <c r="Z223" s="36" t="str">
        <f t="shared" si="37"/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4301031205</v>
      </c>
      <c r="D224" s="650">
        <v>4680115881785</v>
      </c>
      <c r="E224" s="651"/>
      <c r="F224" s="640">
        <v>0.35</v>
      </c>
      <c r="G224" s="32">
        <v>6</v>
      </c>
      <c r="H224" s="640">
        <v>2.1</v>
      </c>
      <c r="I224" s="640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48"/>
      <c r="R224" s="648"/>
      <c r="S224" s="648"/>
      <c r="T224" s="649"/>
      <c r="U224" s="34"/>
      <c r="V224" s="34"/>
      <c r="W224" s="35" t="s">
        <v>67</v>
      </c>
      <c r="X224" s="641">
        <v>0</v>
      </c>
      <c r="Y224" s="642">
        <f t="shared" si="32"/>
        <v>0</v>
      </c>
      <c r="Z224" s="36" t="str">
        <f t="shared" si="37"/>
        <v/>
      </c>
      <c r="AA224" s="56"/>
      <c r="AB224" s="57"/>
      <c r="AC224" s="285" t="s">
        <v>364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4301031499</v>
      </c>
      <c r="D225" s="650">
        <v>4680115888432</v>
      </c>
      <c r="E225" s="651"/>
      <c r="F225" s="640">
        <v>0.3</v>
      </c>
      <c r="G225" s="32">
        <v>6</v>
      </c>
      <c r="H225" s="640">
        <v>1.8</v>
      </c>
      <c r="I225" s="640">
        <v>1.93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48"/>
      <c r="R225" s="648"/>
      <c r="S225" s="648"/>
      <c r="T225" s="649"/>
      <c r="U225" s="34"/>
      <c r="V225" s="34"/>
      <c r="W225" s="35" t="s">
        <v>67</v>
      </c>
      <c r="X225" s="641">
        <v>0</v>
      </c>
      <c r="Y225" s="642">
        <f t="shared" si="32"/>
        <v>0</v>
      </c>
      <c r="Z225" s="36" t="str">
        <f t="shared" si="37"/>
        <v/>
      </c>
      <c r="AA225" s="56"/>
      <c r="AB225" s="57"/>
      <c r="AC225" s="287" t="s">
        <v>380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4301031427</v>
      </c>
      <c r="D226" s="650">
        <v>4680115888104</v>
      </c>
      <c r="E226" s="651"/>
      <c r="F226" s="640">
        <v>0.35</v>
      </c>
      <c r="G226" s="32">
        <v>6</v>
      </c>
      <c r="H226" s="640">
        <v>2.1</v>
      </c>
      <c r="I226" s="640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87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48"/>
      <c r="R226" s="648"/>
      <c r="S226" s="648"/>
      <c r="T226" s="649"/>
      <c r="U226" s="34"/>
      <c r="V226" s="34"/>
      <c r="W226" s="35" t="s">
        <v>67</v>
      </c>
      <c r="X226" s="641">
        <v>0</v>
      </c>
      <c r="Y226" s="642">
        <f t="shared" si="32"/>
        <v>0</v>
      </c>
      <c r="Z226" s="36" t="str">
        <f t="shared" si="37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384</v>
      </c>
      <c r="B227" s="54" t="s">
        <v>385</v>
      </c>
      <c r="C227" s="31">
        <v>4301031503</v>
      </c>
      <c r="D227" s="650">
        <v>4680115886537</v>
      </c>
      <c r="E227" s="651"/>
      <c r="F227" s="640">
        <v>0.3</v>
      </c>
      <c r="G227" s="32">
        <v>6</v>
      </c>
      <c r="H227" s="640">
        <v>1.8</v>
      </c>
      <c r="I227" s="640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8"/>
      <c r="R227" s="648"/>
      <c r="S227" s="648"/>
      <c r="T227" s="649"/>
      <c r="U227" s="34"/>
      <c r="V227" s="34"/>
      <c r="W227" s="35" t="s">
        <v>67</v>
      </c>
      <c r="X227" s="641">
        <v>0</v>
      </c>
      <c r="Y227" s="642">
        <f t="shared" si="32"/>
        <v>0</v>
      </c>
      <c r="Z227" s="36" t="str">
        <f t="shared" si="37"/>
        <v/>
      </c>
      <c r="AA227" s="56"/>
      <c r="AB227" s="57"/>
      <c r="AC227" s="291" t="s">
        <v>386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4301031279</v>
      </c>
      <c r="D228" s="650">
        <v>4680115887596</v>
      </c>
      <c r="E228" s="651"/>
      <c r="F228" s="640">
        <v>0.08</v>
      </c>
      <c r="G228" s="32">
        <v>10</v>
      </c>
      <c r="H228" s="640">
        <v>0.8</v>
      </c>
      <c r="I228" s="640">
        <v>1.01</v>
      </c>
      <c r="J228" s="32">
        <v>336</v>
      </c>
      <c r="K228" s="32" t="s">
        <v>119</v>
      </c>
      <c r="L228" s="32"/>
      <c r="M228" s="33" t="s">
        <v>66</v>
      </c>
      <c r="N228" s="33"/>
      <c r="O228" s="32">
        <v>45</v>
      </c>
      <c r="P228" s="98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8"/>
      <c r="R228" s="648"/>
      <c r="S228" s="648"/>
      <c r="T228" s="649"/>
      <c r="U228" s="34"/>
      <c r="V228" s="34"/>
      <c r="W228" s="35" t="s">
        <v>67</v>
      </c>
      <c r="X228" s="641">
        <v>0</v>
      </c>
      <c r="Y228" s="642">
        <f t="shared" si="32"/>
        <v>0</v>
      </c>
      <c r="Z228" s="36" t="str">
        <f>IFERROR(IF(Y228=0,"",ROUNDUP(Y228/H228,0)*0.00417),"")</f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37.5" customHeight="1" x14ac:dyDescent="0.25">
      <c r="A229" s="54" t="s">
        <v>390</v>
      </c>
      <c r="B229" s="54" t="s">
        <v>391</v>
      </c>
      <c r="C229" s="31">
        <v>4301031202</v>
      </c>
      <c r="D229" s="650">
        <v>4680115881679</v>
      </c>
      <c r="E229" s="651"/>
      <c r="F229" s="640">
        <v>0.35</v>
      </c>
      <c r="G229" s="32">
        <v>6</v>
      </c>
      <c r="H229" s="640">
        <v>2.1</v>
      </c>
      <c r="I229" s="640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5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48"/>
      <c r="R229" s="648"/>
      <c r="S229" s="648"/>
      <c r="T229" s="649"/>
      <c r="U229" s="34"/>
      <c r="V229" s="34"/>
      <c r="W229" s="35" t="s">
        <v>67</v>
      </c>
      <c r="X229" s="641">
        <v>181</v>
      </c>
      <c r="Y229" s="642">
        <f t="shared" si="32"/>
        <v>182.70000000000002</v>
      </c>
      <c r="Z229" s="36">
        <f>IFERROR(IF(Y229=0,"",ROUNDUP(Y229/H229,0)*0.00502),"")</f>
        <v>0.43674000000000002</v>
      </c>
      <c r="AA229" s="56"/>
      <c r="AB229" s="57"/>
      <c r="AC229" s="295" t="s">
        <v>367</v>
      </c>
      <c r="AG229" s="64"/>
      <c r="AJ229" s="68"/>
      <c r="AK229" s="68">
        <v>0</v>
      </c>
      <c r="BB229" s="296" t="s">
        <v>1</v>
      </c>
      <c r="BM229" s="64">
        <f t="shared" si="33"/>
        <v>189.61904761904762</v>
      </c>
      <c r="BN229" s="64">
        <f t="shared" si="34"/>
        <v>191.4</v>
      </c>
      <c r="BO229" s="64">
        <f t="shared" si="35"/>
        <v>0.3683353683353684</v>
      </c>
      <c r="BP229" s="64">
        <f t="shared" si="36"/>
        <v>0.37179487179487181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4301031158</v>
      </c>
      <c r="D230" s="650">
        <v>4680115880191</v>
      </c>
      <c r="E230" s="651"/>
      <c r="F230" s="640">
        <v>0.4</v>
      </c>
      <c r="G230" s="32">
        <v>6</v>
      </c>
      <c r="H230" s="640">
        <v>2.4</v>
      </c>
      <c r="I230" s="640">
        <v>2.58</v>
      </c>
      <c r="J230" s="32">
        <v>182</v>
      </c>
      <c r="K230" s="32" t="s">
        <v>77</v>
      </c>
      <c r="L230" s="32"/>
      <c r="M230" s="33" t="s">
        <v>66</v>
      </c>
      <c r="N230" s="33"/>
      <c r="O230" s="32">
        <v>40</v>
      </c>
      <c r="P230" s="7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48"/>
      <c r="R230" s="648"/>
      <c r="S230" s="648"/>
      <c r="T230" s="649"/>
      <c r="U230" s="34"/>
      <c r="V230" s="34"/>
      <c r="W230" s="35" t="s">
        <v>67</v>
      </c>
      <c r="X230" s="641">
        <v>0</v>
      </c>
      <c r="Y230" s="642">
        <f t="shared" si="32"/>
        <v>0</v>
      </c>
      <c r="Z230" s="36" t="str">
        <f>IFERROR(IF(Y230=0,"",ROUNDUP(Y230/H230,0)*0.00651),"")</f>
        <v/>
      </c>
      <c r="AA230" s="56"/>
      <c r="AB230" s="57"/>
      <c r="AC230" s="297" t="s">
        <v>367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27" hidden="1" customHeight="1" x14ac:dyDescent="0.25">
      <c r="A231" s="54" t="s">
        <v>392</v>
      </c>
      <c r="B231" s="54" t="s">
        <v>394</v>
      </c>
      <c r="C231" s="31">
        <v>4301031531</v>
      </c>
      <c r="D231" s="650">
        <v>4680115880191</v>
      </c>
      <c r="E231" s="651"/>
      <c r="F231" s="640">
        <v>0.4</v>
      </c>
      <c r="G231" s="32">
        <v>6</v>
      </c>
      <c r="H231" s="640">
        <v>2.4</v>
      </c>
      <c r="I231" s="640">
        <v>2.58</v>
      </c>
      <c r="J231" s="32">
        <v>182</v>
      </c>
      <c r="K231" s="32" t="s">
        <v>77</v>
      </c>
      <c r="L231" s="32"/>
      <c r="M231" s="33" t="s">
        <v>66</v>
      </c>
      <c r="N231" s="33"/>
      <c r="O231" s="32">
        <v>45</v>
      </c>
      <c r="P231" s="65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1">
        <v>0</v>
      </c>
      <c r="Y231" s="642">
        <f t="shared" si="32"/>
        <v>0</v>
      </c>
      <c r="Z231" s="36" t="str">
        <f>IFERROR(IF(Y231=0,"",ROUNDUP(Y231/H231,0)*0.00651),"")</f>
        <v/>
      </c>
      <c r="AA231" s="56"/>
      <c r="AB231" s="57"/>
      <c r="AC231" s="299" t="s">
        <v>367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50">
        <v>4680115883963</v>
      </c>
      <c r="E232" s="651"/>
      <c r="F232" s="640">
        <v>0.28000000000000003</v>
      </c>
      <c r="G232" s="32">
        <v>6</v>
      </c>
      <c r="H232" s="640">
        <v>1.68</v>
      </c>
      <c r="I232" s="640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10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8"/>
      <c r="R232" s="648"/>
      <c r="S232" s="648"/>
      <c r="T232" s="649"/>
      <c r="U232" s="34"/>
      <c r="V232" s="34"/>
      <c r="W232" s="35" t="s">
        <v>67</v>
      </c>
      <c r="X232" s="641">
        <v>0</v>
      </c>
      <c r="Y232" s="642">
        <f t="shared" si="32"/>
        <v>0</v>
      </c>
      <c r="Z232" s="36" t="str">
        <f>IFERROR(IF(Y232=0,"",ROUNDUP(Y232/H232,0)*0.00502),"")</f>
        <v/>
      </c>
      <c r="AA232" s="56"/>
      <c r="AB232" s="57"/>
      <c r="AC232" s="301" t="s">
        <v>397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x14ac:dyDescent="0.2">
      <c r="A233" s="655"/>
      <c r="B233" s="656"/>
      <c r="C233" s="656"/>
      <c r="D233" s="656"/>
      <c r="E233" s="656"/>
      <c r="F233" s="656"/>
      <c r="G233" s="656"/>
      <c r="H233" s="656"/>
      <c r="I233" s="656"/>
      <c r="J233" s="656"/>
      <c r="K233" s="656"/>
      <c r="L233" s="656"/>
      <c r="M233" s="656"/>
      <c r="N233" s="656"/>
      <c r="O233" s="657"/>
      <c r="P233" s="667" t="s">
        <v>72</v>
      </c>
      <c r="Q233" s="668"/>
      <c r="R233" s="668"/>
      <c r="S233" s="668"/>
      <c r="T233" s="668"/>
      <c r="U233" s="668"/>
      <c r="V233" s="669"/>
      <c r="W233" s="37" t="s">
        <v>73</v>
      </c>
      <c r="X233" s="6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86.19047619047619</v>
      </c>
      <c r="Y233" s="6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87</v>
      </c>
      <c r="Z233" s="6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0.43674000000000002</v>
      </c>
      <c r="AA233" s="644"/>
      <c r="AB233" s="644"/>
      <c r="AC233" s="644"/>
    </row>
    <row r="234" spans="1:68" x14ac:dyDescent="0.2">
      <c r="A234" s="656"/>
      <c r="B234" s="656"/>
      <c r="C234" s="656"/>
      <c r="D234" s="656"/>
      <c r="E234" s="656"/>
      <c r="F234" s="656"/>
      <c r="G234" s="656"/>
      <c r="H234" s="656"/>
      <c r="I234" s="656"/>
      <c r="J234" s="656"/>
      <c r="K234" s="656"/>
      <c r="L234" s="656"/>
      <c r="M234" s="656"/>
      <c r="N234" s="656"/>
      <c r="O234" s="657"/>
      <c r="P234" s="667" t="s">
        <v>72</v>
      </c>
      <c r="Q234" s="668"/>
      <c r="R234" s="668"/>
      <c r="S234" s="668"/>
      <c r="T234" s="668"/>
      <c r="U234" s="668"/>
      <c r="V234" s="669"/>
      <c r="W234" s="37" t="s">
        <v>67</v>
      </c>
      <c r="X234" s="643">
        <f>IFERROR(SUM(X218:X232),"0")</f>
        <v>181</v>
      </c>
      <c r="Y234" s="643">
        <f>IFERROR(SUM(Y218:Y232),"0")</f>
        <v>182.70000000000002</v>
      </c>
      <c r="Z234" s="37"/>
      <c r="AA234" s="644"/>
      <c r="AB234" s="644"/>
      <c r="AC234" s="644"/>
    </row>
    <row r="235" spans="1:68" ht="14.25" hidden="1" customHeight="1" x14ac:dyDescent="0.25">
      <c r="A235" s="672" t="s">
        <v>74</v>
      </c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6"/>
      <c r="P235" s="656"/>
      <c r="Q235" s="656"/>
      <c r="R235" s="656"/>
      <c r="S235" s="656"/>
      <c r="T235" s="656"/>
      <c r="U235" s="656"/>
      <c r="V235" s="656"/>
      <c r="W235" s="656"/>
      <c r="X235" s="656"/>
      <c r="Y235" s="656"/>
      <c r="Z235" s="656"/>
      <c r="AA235" s="635"/>
      <c r="AB235" s="635"/>
      <c r="AC235" s="635"/>
    </row>
    <row r="236" spans="1:68" ht="16.5" hidden="1" customHeight="1" x14ac:dyDescent="0.25">
      <c r="A236" s="54" t="s">
        <v>398</v>
      </c>
      <c r="B236" s="54" t="s">
        <v>399</v>
      </c>
      <c r="C236" s="31">
        <v>4301052209</v>
      </c>
      <c r="D236" s="650">
        <v>4680115888692</v>
      </c>
      <c r="E236" s="651"/>
      <c r="F236" s="640">
        <v>0.8</v>
      </c>
      <c r="G236" s="32">
        <v>6</v>
      </c>
      <c r="H236" s="640">
        <v>4.8</v>
      </c>
      <c r="I236" s="640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35</v>
      </c>
      <c r="P236" s="70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1">
        <v>0</v>
      </c>
      <c r="Y236" s="642">
        <f t="shared" ref="Y236:Y244" si="38"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400</v>
      </c>
      <c r="AG236" s="64"/>
      <c r="AJ236" s="68"/>
      <c r="AK236" s="68">
        <v>0</v>
      </c>
      <c r="BB236" s="304" t="s">
        <v>1</v>
      </c>
      <c r="BM236" s="64">
        <f t="shared" ref="BM236:BM244" si="39">IFERROR(X236*I236/H236,"0")</f>
        <v>0</v>
      </c>
      <c r="BN236" s="64">
        <f t="shared" ref="BN236:BN244" si="40">IFERROR(Y236*I236/H236,"0")</f>
        <v>0</v>
      </c>
      <c r="BO236" s="64">
        <f t="shared" ref="BO236:BO244" si="41">IFERROR(1/J236*(X236/H236),"0")</f>
        <v>0</v>
      </c>
      <c r="BP236" s="64">
        <f t="shared" ref="BP236:BP244" si="42">IFERROR(1/J236*(Y236/H236),"0")</f>
        <v>0</v>
      </c>
    </row>
    <row r="237" spans="1:68" ht="16.5" hidden="1" customHeight="1" x14ac:dyDescent="0.25">
      <c r="A237" s="54" t="s">
        <v>398</v>
      </c>
      <c r="B237" s="54" t="s">
        <v>401</v>
      </c>
      <c r="C237" s="31">
        <v>4301052279</v>
      </c>
      <c r="D237" s="650">
        <v>4680115888692</v>
      </c>
      <c r="E237" s="651"/>
      <c r="F237" s="640">
        <v>0.8</v>
      </c>
      <c r="G237" s="32">
        <v>6</v>
      </c>
      <c r="H237" s="640">
        <v>4.8</v>
      </c>
      <c r="I237" s="640">
        <v>5.2220000000000004</v>
      </c>
      <c r="J237" s="32">
        <v>104</v>
      </c>
      <c r="K237" s="32" t="s">
        <v>114</v>
      </c>
      <c r="L237" s="32"/>
      <c r="M237" s="33" t="s">
        <v>84</v>
      </c>
      <c r="N237" s="33"/>
      <c r="O237" s="32">
        <v>40</v>
      </c>
      <c r="P237" s="71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48"/>
      <c r="R237" s="648"/>
      <c r="S237" s="648"/>
      <c r="T237" s="649"/>
      <c r="U237" s="34"/>
      <c r="V237" s="34"/>
      <c r="W237" s="35" t="s">
        <v>67</v>
      </c>
      <c r="X237" s="641">
        <v>0</v>
      </c>
      <c r="Y237" s="642">
        <f t="shared" si="38"/>
        <v>0</v>
      </c>
      <c r="Z237" s="36" t="str">
        <f>IFERROR(IF(Y237=0,"",ROUNDUP(Y237/H237,0)*0.01196),"")</f>
        <v/>
      </c>
      <c r="AA237" s="56"/>
      <c r="AB237" s="57"/>
      <c r="AC237" s="305" t="s">
        <v>402</v>
      </c>
      <c r="AG237" s="64"/>
      <c r="AJ237" s="68"/>
      <c r="AK237" s="68">
        <v>0</v>
      </c>
      <c r="BB237" s="306" t="s">
        <v>1</v>
      </c>
      <c r="BM237" s="64">
        <f t="shared" si="39"/>
        <v>0</v>
      </c>
      <c r="BN237" s="64">
        <f t="shared" si="40"/>
        <v>0</v>
      </c>
      <c r="BO237" s="64">
        <f t="shared" si="41"/>
        <v>0</v>
      </c>
      <c r="BP237" s="64">
        <f t="shared" si="42"/>
        <v>0</v>
      </c>
    </row>
    <row r="238" spans="1:68" ht="27" hidden="1" customHeight="1" x14ac:dyDescent="0.25">
      <c r="A238" s="54" t="s">
        <v>403</v>
      </c>
      <c r="B238" s="54" t="s">
        <v>404</v>
      </c>
      <c r="C238" s="31">
        <v>4301052213</v>
      </c>
      <c r="D238" s="650">
        <v>4680115888722</v>
      </c>
      <c r="E238" s="651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5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48"/>
      <c r="R238" s="648"/>
      <c r="S238" s="648"/>
      <c r="T238" s="649"/>
      <c r="U238" s="34"/>
      <c r="V238" s="34"/>
      <c r="W238" s="35" t="s">
        <v>67</v>
      </c>
      <c r="X238" s="641">
        <v>0</v>
      </c>
      <c r="Y238" s="642">
        <f t="shared" si="38"/>
        <v>0</v>
      </c>
      <c r="Z238" s="36" t="str">
        <f>IFERROR(IF(Y238=0,"",ROUNDUP(Y238/H238,0)*0.01196),"")</f>
        <v/>
      </c>
      <c r="AA238" s="56"/>
      <c r="AB238" s="57"/>
      <c r="AC238" s="307" t="s">
        <v>405</v>
      </c>
      <c r="AG238" s="64"/>
      <c r="AJ238" s="68"/>
      <c r="AK238" s="68">
        <v>0</v>
      </c>
      <c r="BB238" s="308" t="s">
        <v>1</v>
      </c>
      <c r="BM238" s="64">
        <f t="shared" si="39"/>
        <v>0</v>
      </c>
      <c r="BN238" s="64">
        <f t="shared" si="40"/>
        <v>0</v>
      </c>
      <c r="BO238" s="64">
        <f t="shared" si="41"/>
        <v>0</v>
      </c>
      <c r="BP238" s="64">
        <f t="shared" si="42"/>
        <v>0</v>
      </c>
    </row>
    <row r="239" spans="1:68" ht="27" hidden="1" customHeight="1" x14ac:dyDescent="0.25">
      <c r="A239" s="54" t="s">
        <v>403</v>
      </c>
      <c r="B239" s="54" t="s">
        <v>406</v>
      </c>
      <c r="C239" s="31">
        <v>4301052280</v>
      </c>
      <c r="D239" s="650">
        <v>4680115888722</v>
      </c>
      <c r="E239" s="651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79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1">
        <v>0</v>
      </c>
      <c r="Y239" s="642">
        <f t="shared" si="38"/>
        <v>0</v>
      </c>
      <c r="Z239" s="36" t="str">
        <f>IFERROR(IF(Y239=0,"",ROUNDUP(Y239/H239,0)*0.01196),"")</f>
        <v/>
      </c>
      <c r="AA239" s="56"/>
      <c r="AB239" s="57"/>
      <c r="AC239" s="309" t="s">
        <v>407</v>
      </c>
      <c r="AG239" s="64"/>
      <c r="AJ239" s="68"/>
      <c r="AK239" s="68">
        <v>0</v>
      </c>
      <c r="BB239" s="310" t="s">
        <v>1</v>
      </c>
      <c r="BM239" s="64">
        <f t="shared" si="39"/>
        <v>0</v>
      </c>
      <c r="BN239" s="64">
        <f t="shared" si="40"/>
        <v>0</v>
      </c>
      <c r="BO239" s="64">
        <f t="shared" si="41"/>
        <v>0</v>
      </c>
      <c r="BP239" s="64">
        <f t="shared" si="42"/>
        <v>0</v>
      </c>
    </row>
    <row r="240" spans="1:68" ht="27" hidden="1" customHeight="1" x14ac:dyDescent="0.25">
      <c r="A240" s="54" t="s">
        <v>408</v>
      </c>
      <c r="B240" s="54" t="s">
        <v>409</v>
      </c>
      <c r="C240" s="31">
        <v>4301052177</v>
      </c>
      <c r="D240" s="650">
        <v>4680115888951</v>
      </c>
      <c r="E240" s="651"/>
      <c r="F240" s="640">
        <v>0.36</v>
      </c>
      <c r="G240" s="32">
        <v>6</v>
      </c>
      <c r="H240" s="640">
        <v>2.16</v>
      </c>
      <c r="I240" s="640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8"/>
      <c r="R240" s="648"/>
      <c r="S240" s="648"/>
      <c r="T240" s="649"/>
      <c r="U240" s="34"/>
      <c r="V240" s="34"/>
      <c r="W240" s="35" t="s">
        <v>67</v>
      </c>
      <c r="X240" s="641">
        <v>0</v>
      </c>
      <c r="Y240" s="642">
        <f t="shared" si="38"/>
        <v>0</v>
      </c>
      <c r="Z240" s="36" t="str">
        <f>IFERROR(IF(Y240=0,"",ROUNDUP(Y240/H240,0)*0.00902),"")</f>
        <v/>
      </c>
      <c r="AA240" s="56"/>
      <c r="AB240" s="57"/>
      <c r="AC240" s="311" t="s">
        <v>410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408</v>
      </c>
      <c r="B241" s="54" t="s">
        <v>411</v>
      </c>
      <c r="C241" s="31">
        <v>4301052276</v>
      </c>
      <c r="D241" s="650">
        <v>4680115888951</v>
      </c>
      <c r="E241" s="651"/>
      <c r="F241" s="640">
        <v>0.36</v>
      </c>
      <c r="G241" s="32">
        <v>6</v>
      </c>
      <c r="H241" s="640">
        <v>2.16</v>
      </c>
      <c r="I241" s="640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48"/>
      <c r="R241" s="648"/>
      <c r="S241" s="648"/>
      <c r="T241" s="649"/>
      <c r="U241" s="34"/>
      <c r="V241" s="34"/>
      <c r="W241" s="35" t="s">
        <v>67</v>
      </c>
      <c r="X241" s="641">
        <v>0</v>
      </c>
      <c r="Y241" s="642">
        <f t="shared" si="38"/>
        <v>0</v>
      </c>
      <c r="Z241" s="36" t="str">
        <f>IFERROR(IF(Y241=0,"",ROUNDUP(Y241/H241,0)*0.00902),"")</f>
        <v/>
      </c>
      <c r="AA241" s="56"/>
      <c r="AB241" s="57"/>
      <c r="AC241" s="313" t="s">
        <v>402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412</v>
      </c>
      <c r="B242" s="54" t="s">
        <v>413</v>
      </c>
      <c r="C242" s="31">
        <v>4301052178</v>
      </c>
      <c r="D242" s="650">
        <v>4680115888975</v>
      </c>
      <c r="E242" s="651"/>
      <c r="F242" s="640">
        <v>0.32</v>
      </c>
      <c r="G242" s="32">
        <v>6</v>
      </c>
      <c r="H242" s="640">
        <v>1.92</v>
      </c>
      <c r="I242" s="640">
        <v>2.1819999999999999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48"/>
      <c r="R242" s="648"/>
      <c r="S242" s="648"/>
      <c r="T242" s="649"/>
      <c r="U242" s="34"/>
      <c r="V242" s="34"/>
      <c r="W242" s="35" t="s">
        <v>67</v>
      </c>
      <c r="X242" s="641">
        <v>0</v>
      </c>
      <c r="Y242" s="642">
        <f t="shared" si="38"/>
        <v>0</v>
      </c>
      <c r="Z242" s="36" t="str">
        <f>IFERROR(IF(Y242=0,"",ROUNDUP(Y242/H242,0)*0.00902),"")</f>
        <v/>
      </c>
      <c r="AA242" s="56"/>
      <c r="AB242" s="57"/>
      <c r="AC242" s="315" t="s">
        <v>414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415</v>
      </c>
      <c r="B243" s="54" t="s">
        <v>416</v>
      </c>
      <c r="C243" s="31">
        <v>4301052176</v>
      </c>
      <c r="D243" s="650">
        <v>4680115888982</v>
      </c>
      <c r="E243" s="651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1">
        <v>0</v>
      </c>
      <c r="Y243" s="642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405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415</v>
      </c>
      <c r="B244" s="54" t="s">
        <v>417</v>
      </c>
      <c r="C244" s="31">
        <v>4301052277</v>
      </c>
      <c r="D244" s="650">
        <v>4680115888982</v>
      </c>
      <c r="E244" s="651"/>
      <c r="F244" s="640">
        <v>0.36</v>
      </c>
      <c r="G244" s="32">
        <v>6</v>
      </c>
      <c r="H244" s="640">
        <v>2.16</v>
      </c>
      <c r="I244" s="640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1">
        <v>0</v>
      </c>
      <c r="Y244" s="642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407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idden="1" x14ac:dyDescent="0.2">
      <c r="A245" s="655"/>
      <c r="B245" s="656"/>
      <c r="C245" s="656"/>
      <c r="D245" s="656"/>
      <c r="E245" s="656"/>
      <c r="F245" s="656"/>
      <c r="G245" s="656"/>
      <c r="H245" s="656"/>
      <c r="I245" s="656"/>
      <c r="J245" s="656"/>
      <c r="K245" s="656"/>
      <c r="L245" s="656"/>
      <c r="M245" s="656"/>
      <c r="N245" s="656"/>
      <c r="O245" s="657"/>
      <c r="P245" s="667" t="s">
        <v>72</v>
      </c>
      <c r="Q245" s="668"/>
      <c r="R245" s="668"/>
      <c r="S245" s="668"/>
      <c r="T245" s="668"/>
      <c r="U245" s="668"/>
      <c r="V245" s="669"/>
      <c r="W245" s="37" t="s">
        <v>73</v>
      </c>
      <c r="X245" s="643">
        <f>IFERROR(X236/H236,"0")+IFERROR(X237/H237,"0")+IFERROR(X238/H238,"0")+IFERROR(X239/H239,"0")+IFERROR(X240/H240,"0")+IFERROR(X241/H241,"0")+IFERROR(X242/H242,"0")+IFERROR(X243/H243,"0")+IFERROR(X244/H244,"0")</f>
        <v>0</v>
      </c>
      <c r="Y245" s="643">
        <f>IFERROR(Y236/H236,"0")+IFERROR(Y237/H237,"0")+IFERROR(Y238/H238,"0")+IFERROR(Y239/H239,"0")+IFERROR(Y240/H240,"0")+IFERROR(Y241/H241,"0")+IFERROR(Y242/H242,"0")+IFERROR(Y243/H243,"0")+IFERROR(Y244/H244,"0")</f>
        <v>0</v>
      </c>
      <c r="Z245" s="6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4"/>
      <c r="AB245" s="644"/>
      <c r="AC245" s="644"/>
    </row>
    <row r="246" spans="1:68" hidden="1" x14ac:dyDescent="0.2">
      <c r="A246" s="656"/>
      <c r="B246" s="656"/>
      <c r="C246" s="656"/>
      <c r="D246" s="656"/>
      <c r="E246" s="656"/>
      <c r="F246" s="656"/>
      <c r="G246" s="656"/>
      <c r="H246" s="656"/>
      <c r="I246" s="656"/>
      <c r="J246" s="656"/>
      <c r="K246" s="656"/>
      <c r="L246" s="656"/>
      <c r="M246" s="656"/>
      <c r="N246" s="656"/>
      <c r="O246" s="657"/>
      <c r="P246" s="667" t="s">
        <v>72</v>
      </c>
      <c r="Q246" s="668"/>
      <c r="R246" s="668"/>
      <c r="S246" s="668"/>
      <c r="T246" s="668"/>
      <c r="U246" s="668"/>
      <c r="V246" s="669"/>
      <c r="W246" s="37" t="s">
        <v>67</v>
      </c>
      <c r="X246" s="643">
        <f>IFERROR(SUM(X236:X244),"0")</f>
        <v>0</v>
      </c>
      <c r="Y246" s="643">
        <f>IFERROR(SUM(Y236:Y244),"0")</f>
        <v>0</v>
      </c>
      <c r="Z246" s="37"/>
      <c r="AA246" s="644"/>
      <c r="AB246" s="644"/>
      <c r="AC246" s="644"/>
    </row>
    <row r="247" spans="1:68" ht="14.25" hidden="1" customHeight="1" x14ac:dyDescent="0.25">
      <c r="A247" s="672" t="s">
        <v>264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35"/>
      <c r="AB247" s="635"/>
      <c r="AC247" s="635"/>
    </row>
    <row r="248" spans="1:68" ht="27" hidden="1" customHeight="1" x14ac:dyDescent="0.25">
      <c r="A248" s="54" t="s">
        <v>418</v>
      </c>
      <c r="B248" s="54" t="s">
        <v>419</v>
      </c>
      <c r="C248" s="31">
        <v>4301032053</v>
      </c>
      <c r="D248" s="650">
        <v>4680115886780</v>
      </c>
      <c r="E248" s="651"/>
      <c r="F248" s="640">
        <v>7.0000000000000007E-2</v>
      </c>
      <c r="G248" s="32">
        <v>18</v>
      </c>
      <c r="H248" s="640">
        <v>1.26</v>
      </c>
      <c r="I248" s="640">
        <v>1.45</v>
      </c>
      <c r="J248" s="32">
        <v>216</v>
      </c>
      <c r="K248" s="32" t="s">
        <v>327</v>
      </c>
      <c r="L248" s="32"/>
      <c r="M248" s="33" t="s">
        <v>268</v>
      </c>
      <c r="N248" s="33"/>
      <c r="O248" s="32">
        <v>60</v>
      </c>
      <c r="P248" s="84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8"/>
      <c r="R248" s="648"/>
      <c r="S248" s="648"/>
      <c r="T248" s="649"/>
      <c r="U248" s="34"/>
      <c r="V248" s="34"/>
      <c r="W248" s="35" t="s">
        <v>67</v>
      </c>
      <c r="X248" s="641">
        <v>0</v>
      </c>
      <c r="Y248" s="6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420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421</v>
      </c>
      <c r="B249" s="54" t="s">
        <v>422</v>
      </c>
      <c r="C249" s="31">
        <v>4301032051</v>
      </c>
      <c r="D249" s="650">
        <v>4680115886742</v>
      </c>
      <c r="E249" s="651"/>
      <c r="F249" s="640">
        <v>7.0000000000000007E-2</v>
      </c>
      <c r="G249" s="32">
        <v>18</v>
      </c>
      <c r="H249" s="640">
        <v>1.26</v>
      </c>
      <c r="I249" s="640">
        <v>1.45</v>
      </c>
      <c r="J249" s="32">
        <v>216</v>
      </c>
      <c r="K249" s="32" t="s">
        <v>327</v>
      </c>
      <c r="L249" s="32"/>
      <c r="M249" s="33" t="s">
        <v>268</v>
      </c>
      <c r="N249" s="33"/>
      <c r="O249" s="32">
        <v>90</v>
      </c>
      <c r="P249" s="68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8"/>
      <c r="R249" s="648"/>
      <c r="S249" s="648"/>
      <c r="T249" s="649"/>
      <c r="U249" s="34"/>
      <c r="V249" s="34"/>
      <c r="W249" s="35" t="s">
        <v>67</v>
      </c>
      <c r="X249" s="641">
        <v>0</v>
      </c>
      <c r="Y249" s="6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23" t="s">
        <v>423</v>
      </c>
      <c r="AG249" s="64"/>
      <c r="AJ249" s="68"/>
      <c r="AK249" s="68">
        <v>0</v>
      </c>
      <c r="BB249" s="32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424</v>
      </c>
      <c r="B250" s="54" t="s">
        <v>425</v>
      </c>
      <c r="C250" s="31">
        <v>4301032052</v>
      </c>
      <c r="D250" s="650">
        <v>4680115886766</v>
      </c>
      <c r="E250" s="651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327</v>
      </c>
      <c r="L250" s="32"/>
      <c r="M250" s="33" t="s">
        <v>268</v>
      </c>
      <c r="N250" s="33"/>
      <c r="O250" s="32">
        <v>90</v>
      </c>
      <c r="P250" s="77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8"/>
      <c r="R250" s="648"/>
      <c r="S250" s="648"/>
      <c r="T250" s="649"/>
      <c r="U250" s="34"/>
      <c r="V250" s="34"/>
      <c r="W250" s="35" t="s">
        <v>67</v>
      </c>
      <c r="X250" s="641">
        <v>0</v>
      </c>
      <c r="Y250" s="6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25" t="s">
        <v>423</v>
      </c>
      <c r="AG250" s="64"/>
      <c r="AJ250" s="68"/>
      <c r="AK250" s="68">
        <v>0</v>
      </c>
      <c r="BB250" s="32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55"/>
      <c r="B251" s="656"/>
      <c r="C251" s="656"/>
      <c r="D251" s="656"/>
      <c r="E251" s="656"/>
      <c r="F251" s="656"/>
      <c r="G251" s="656"/>
      <c r="H251" s="656"/>
      <c r="I251" s="656"/>
      <c r="J251" s="656"/>
      <c r="K251" s="656"/>
      <c r="L251" s="656"/>
      <c r="M251" s="656"/>
      <c r="N251" s="656"/>
      <c r="O251" s="657"/>
      <c r="P251" s="667" t="s">
        <v>72</v>
      </c>
      <c r="Q251" s="668"/>
      <c r="R251" s="668"/>
      <c r="S251" s="668"/>
      <c r="T251" s="668"/>
      <c r="U251" s="668"/>
      <c r="V251" s="669"/>
      <c r="W251" s="37" t="s">
        <v>73</v>
      </c>
      <c r="X251" s="643">
        <f>IFERROR(X248/H248,"0")+IFERROR(X249/H249,"0")+IFERROR(X250/H250,"0")</f>
        <v>0</v>
      </c>
      <c r="Y251" s="643">
        <f>IFERROR(Y248/H248,"0")+IFERROR(Y249/H249,"0")+IFERROR(Y250/H250,"0")</f>
        <v>0</v>
      </c>
      <c r="Z251" s="643">
        <f>IFERROR(IF(Z248="",0,Z248),"0")+IFERROR(IF(Z249="",0,Z249),"0")+IFERROR(IF(Z250="",0,Z250),"0")</f>
        <v>0</v>
      </c>
      <c r="AA251" s="644"/>
      <c r="AB251" s="644"/>
      <c r="AC251" s="644"/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67" t="s">
        <v>72</v>
      </c>
      <c r="Q252" s="668"/>
      <c r="R252" s="668"/>
      <c r="S252" s="668"/>
      <c r="T252" s="668"/>
      <c r="U252" s="668"/>
      <c r="V252" s="669"/>
      <c r="W252" s="37" t="s">
        <v>67</v>
      </c>
      <c r="X252" s="643">
        <f>IFERROR(SUM(X248:X250),"0")</f>
        <v>0</v>
      </c>
      <c r="Y252" s="643">
        <f>IFERROR(SUM(Y248:Y250),"0")</f>
        <v>0</v>
      </c>
      <c r="Z252" s="37"/>
      <c r="AA252" s="644"/>
      <c r="AB252" s="644"/>
      <c r="AC252" s="644"/>
    </row>
    <row r="253" spans="1:68" ht="14.25" hidden="1" customHeight="1" x14ac:dyDescent="0.25">
      <c r="A253" s="672" t="s">
        <v>426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35"/>
      <c r="AB253" s="635"/>
      <c r="AC253" s="635"/>
    </row>
    <row r="254" spans="1:68" ht="27" hidden="1" customHeight="1" x14ac:dyDescent="0.25">
      <c r="A254" s="54" t="s">
        <v>427</v>
      </c>
      <c r="B254" s="54" t="s">
        <v>428</v>
      </c>
      <c r="C254" s="31">
        <v>4301170013</v>
      </c>
      <c r="D254" s="650">
        <v>4680115886797</v>
      </c>
      <c r="E254" s="651"/>
      <c r="F254" s="640">
        <v>7.0000000000000007E-2</v>
      </c>
      <c r="G254" s="32">
        <v>18</v>
      </c>
      <c r="H254" s="640">
        <v>1.26</v>
      </c>
      <c r="I254" s="640">
        <v>1.45</v>
      </c>
      <c r="J254" s="32">
        <v>216</v>
      </c>
      <c r="K254" s="32" t="s">
        <v>327</v>
      </c>
      <c r="L254" s="32"/>
      <c r="M254" s="33" t="s">
        <v>268</v>
      </c>
      <c r="N254" s="33"/>
      <c r="O254" s="32">
        <v>90</v>
      </c>
      <c r="P254" s="88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8"/>
      <c r="R254" s="648"/>
      <c r="S254" s="648"/>
      <c r="T254" s="649"/>
      <c r="U254" s="34"/>
      <c r="V254" s="34"/>
      <c r="W254" s="35" t="s">
        <v>67</v>
      </c>
      <c r="X254" s="641">
        <v>0</v>
      </c>
      <c r="Y254" s="64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7" t="s">
        <v>423</v>
      </c>
      <c r="AG254" s="64"/>
      <c r="AJ254" s="68"/>
      <c r="AK254" s="68">
        <v>0</v>
      </c>
      <c r="BB254" s="32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55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67" t="s">
        <v>72</v>
      </c>
      <c r="Q255" s="668"/>
      <c r="R255" s="668"/>
      <c r="S255" s="668"/>
      <c r="T255" s="668"/>
      <c r="U255" s="668"/>
      <c r="V255" s="669"/>
      <c r="W255" s="37" t="s">
        <v>73</v>
      </c>
      <c r="X255" s="643">
        <f>IFERROR(X254/H254,"0")</f>
        <v>0</v>
      </c>
      <c r="Y255" s="643">
        <f>IFERROR(Y254/H254,"0")</f>
        <v>0</v>
      </c>
      <c r="Z255" s="643">
        <f>IFERROR(IF(Z254="",0,Z254),"0")</f>
        <v>0</v>
      </c>
      <c r="AA255" s="644"/>
      <c r="AB255" s="644"/>
      <c r="AC255" s="644"/>
    </row>
    <row r="256" spans="1:68" hidden="1" x14ac:dyDescent="0.2">
      <c r="A256" s="656"/>
      <c r="B256" s="656"/>
      <c r="C256" s="656"/>
      <c r="D256" s="656"/>
      <c r="E256" s="656"/>
      <c r="F256" s="656"/>
      <c r="G256" s="656"/>
      <c r="H256" s="656"/>
      <c r="I256" s="656"/>
      <c r="J256" s="656"/>
      <c r="K256" s="656"/>
      <c r="L256" s="656"/>
      <c r="M256" s="656"/>
      <c r="N256" s="656"/>
      <c r="O256" s="657"/>
      <c r="P256" s="667" t="s">
        <v>72</v>
      </c>
      <c r="Q256" s="668"/>
      <c r="R256" s="668"/>
      <c r="S256" s="668"/>
      <c r="T256" s="668"/>
      <c r="U256" s="668"/>
      <c r="V256" s="669"/>
      <c r="W256" s="37" t="s">
        <v>67</v>
      </c>
      <c r="X256" s="643">
        <f>IFERROR(SUM(X254:X254),"0")</f>
        <v>0</v>
      </c>
      <c r="Y256" s="643">
        <f>IFERROR(SUM(Y254:Y254),"0")</f>
        <v>0</v>
      </c>
      <c r="Z256" s="37"/>
      <c r="AA256" s="644"/>
      <c r="AB256" s="644"/>
      <c r="AC256" s="644"/>
    </row>
    <row r="257" spans="1:68" ht="16.5" hidden="1" customHeight="1" x14ac:dyDescent="0.25">
      <c r="A257" s="666" t="s">
        <v>429</v>
      </c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6"/>
      <c r="P257" s="656"/>
      <c r="Q257" s="656"/>
      <c r="R257" s="656"/>
      <c r="S257" s="656"/>
      <c r="T257" s="656"/>
      <c r="U257" s="656"/>
      <c r="V257" s="656"/>
      <c r="W257" s="656"/>
      <c r="X257" s="656"/>
      <c r="Y257" s="656"/>
      <c r="Z257" s="656"/>
      <c r="AA257" s="636"/>
      <c r="AB257" s="636"/>
      <c r="AC257" s="636"/>
    </row>
    <row r="258" spans="1:68" ht="14.25" hidden="1" customHeight="1" x14ac:dyDescent="0.25">
      <c r="A258" s="672" t="s">
        <v>111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35"/>
      <c r="AB258" s="635"/>
      <c r="AC258" s="635"/>
    </row>
    <row r="259" spans="1:68" ht="27" hidden="1" customHeight="1" x14ac:dyDescent="0.25">
      <c r="A259" s="54" t="s">
        <v>430</v>
      </c>
      <c r="B259" s="54" t="s">
        <v>431</v>
      </c>
      <c r="C259" s="31">
        <v>4301011450</v>
      </c>
      <c r="D259" s="650">
        <v>4680115881402</v>
      </c>
      <c r="E259" s="651"/>
      <c r="F259" s="640">
        <v>1.35</v>
      </c>
      <c r="G259" s="32">
        <v>8</v>
      </c>
      <c r="H259" s="640">
        <v>10.8</v>
      </c>
      <c r="I259" s="640">
        <v>11.21</v>
      </c>
      <c r="J259" s="32">
        <v>64</v>
      </c>
      <c r="K259" s="32" t="s">
        <v>114</v>
      </c>
      <c r="L259" s="32"/>
      <c r="M259" s="33" t="s">
        <v>115</v>
      </c>
      <c r="N259" s="33"/>
      <c r="O259" s="32">
        <v>55</v>
      </c>
      <c r="P259" s="7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8"/>
      <c r="R259" s="648"/>
      <c r="S259" s="648"/>
      <c r="T259" s="649"/>
      <c r="U259" s="34"/>
      <c r="V259" s="34"/>
      <c r="W259" s="35" t="s">
        <v>67</v>
      </c>
      <c r="X259" s="641">
        <v>0</v>
      </c>
      <c r="Y259" s="642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9" t="s">
        <v>432</v>
      </c>
      <c r="AG259" s="64"/>
      <c r="AJ259" s="68"/>
      <c r="AK259" s="68">
        <v>0</v>
      </c>
      <c r="BB259" s="33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4301011768</v>
      </c>
      <c r="D260" s="650">
        <v>4680115881396</v>
      </c>
      <c r="E260" s="651"/>
      <c r="F260" s="640">
        <v>0.45</v>
      </c>
      <c r="G260" s="32">
        <v>6</v>
      </c>
      <c r="H260" s="640">
        <v>2.7</v>
      </c>
      <c r="I260" s="640">
        <v>2.88</v>
      </c>
      <c r="J260" s="32">
        <v>182</v>
      </c>
      <c r="K260" s="32" t="s">
        <v>77</v>
      </c>
      <c r="L260" s="32"/>
      <c r="M260" s="33" t="s">
        <v>115</v>
      </c>
      <c r="N260" s="33"/>
      <c r="O260" s="32">
        <v>55</v>
      </c>
      <c r="P260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8"/>
      <c r="R260" s="648"/>
      <c r="S260" s="648"/>
      <c r="T260" s="649"/>
      <c r="U260" s="34"/>
      <c r="V260" s="34"/>
      <c r="W260" s="35" t="s">
        <v>67</v>
      </c>
      <c r="X260" s="641">
        <v>0</v>
      </c>
      <c r="Y260" s="642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31" t="s">
        <v>432</v>
      </c>
      <c r="AG260" s="64"/>
      <c r="AJ260" s="68"/>
      <c r="AK260" s="68">
        <v>0</v>
      </c>
      <c r="BB260" s="33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55"/>
      <c r="B261" s="656"/>
      <c r="C261" s="656"/>
      <c r="D261" s="656"/>
      <c r="E261" s="656"/>
      <c r="F261" s="656"/>
      <c r="G261" s="656"/>
      <c r="H261" s="656"/>
      <c r="I261" s="656"/>
      <c r="J261" s="656"/>
      <c r="K261" s="656"/>
      <c r="L261" s="656"/>
      <c r="M261" s="656"/>
      <c r="N261" s="656"/>
      <c r="O261" s="657"/>
      <c r="P261" s="667" t="s">
        <v>72</v>
      </c>
      <c r="Q261" s="668"/>
      <c r="R261" s="668"/>
      <c r="S261" s="668"/>
      <c r="T261" s="668"/>
      <c r="U261" s="668"/>
      <c r="V261" s="669"/>
      <c r="W261" s="37" t="s">
        <v>73</v>
      </c>
      <c r="X261" s="643">
        <f>IFERROR(X259/H259,"0")+IFERROR(X260/H260,"0")</f>
        <v>0</v>
      </c>
      <c r="Y261" s="643">
        <f>IFERROR(Y259/H259,"0")+IFERROR(Y260/H260,"0")</f>
        <v>0</v>
      </c>
      <c r="Z261" s="643">
        <f>IFERROR(IF(Z259="",0,Z259),"0")+IFERROR(IF(Z260="",0,Z260),"0")</f>
        <v>0</v>
      </c>
      <c r="AA261" s="644"/>
      <c r="AB261" s="644"/>
      <c r="AC261" s="644"/>
    </row>
    <row r="262" spans="1:68" hidden="1" x14ac:dyDescent="0.2">
      <c r="A262" s="656"/>
      <c r="B262" s="656"/>
      <c r="C262" s="656"/>
      <c r="D262" s="656"/>
      <c r="E262" s="656"/>
      <c r="F262" s="656"/>
      <c r="G262" s="656"/>
      <c r="H262" s="656"/>
      <c r="I262" s="656"/>
      <c r="J262" s="656"/>
      <c r="K262" s="656"/>
      <c r="L262" s="656"/>
      <c r="M262" s="656"/>
      <c r="N262" s="656"/>
      <c r="O262" s="657"/>
      <c r="P262" s="667" t="s">
        <v>72</v>
      </c>
      <c r="Q262" s="668"/>
      <c r="R262" s="668"/>
      <c r="S262" s="668"/>
      <c r="T262" s="668"/>
      <c r="U262" s="668"/>
      <c r="V262" s="669"/>
      <c r="W262" s="37" t="s">
        <v>67</v>
      </c>
      <c r="X262" s="643">
        <f>IFERROR(SUM(X259:X260),"0")</f>
        <v>0</v>
      </c>
      <c r="Y262" s="643">
        <f>IFERROR(SUM(Y259:Y260),"0")</f>
        <v>0</v>
      </c>
      <c r="Z262" s="37"/>
      <c r="AA262" s="644"/>
      <c r="AB262" s="644"/>
      <c r="AC262" s="644"/>
    </row>
    <row r="263" spans="1:68" ht="14.25" hidden="1" customHeight="1" x14ac:dyDescent="0.25">
      <c r="A263" s="672" t="s">
        <v>146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35"/>
      <c r="AB263" s="635"/>
      <c r="AC263" s="635"/>
    </row>
    <row r="264" spans="1:68" ht="16.5" hidden="1" customHeight="1" x14ac:dyDescent="0.25">
      <c r="A264" s="54" t="s">
        <v>435</v>
      </c>
      <c r="B264" s="54" t="s">
        <v>436</v>
      </c>
      <c r="C264" s="31">
        <v>4301020261</v>
      </c>
      <c r="D264" s="650">
        <v>4680115882935</v>
      </c>
      <c r="E264" s="651"/>
      <c r="F264" s="640">
        <v>1.35</v>
      </c>
      <c r="G264" s="32">
        <v>8</v>
      </c>
      <c r="H264" s="640">
        <v>10.8</v>
      </c>
      <c r="I264" s="640">
        <v>11.21</v>
      </c>
      <c r="J264" s="32">
        <v>64</v>
      </c>
      <c r="K264" s="32" t="s">
        <v>114</v>
      </c>
      <c r="L264" s="32"/>
      <c r="M264" s="33" t="s">
        <v>115</v>
      </c>
      <c r="N264" s="33"/>
      <c r="O264" s="32">
        <v>50</v>
      </c>
      <c r="P264" s="7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8"/>
      <c r="R264" s="648"/>
      <c r="S264" s="648"/>
      <c r="T264" s="649"/>
      <c r="U264" s="34"/>
      <c r="V264" s="34"/>
      <c r="W264" s="35" t="s">
        <v>67</v>
      </c>
      <c r="X264" s="641">
        <v>0</v>
      </c>
      <c r="Y264" s="6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33" t="s">
        <v>437</v>
      </c>
      <c r="AG264" s="64"/>
      <c r="AJ264" s="68"/>
      <c r="AK264" s="68">
        <v>0</v>
      </c>
      <c r="BB264" s="334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438</v>
      </c>
      <c r="B265" s="54" t="s">
        <v>439</v>
      </c>
      <c r="C265" s="31">
        <v>4301020220</v>
      </c>
      <c r="D265" s="650">
        <v>4680115880764</v>
      </c>
      <c r="E265" s="651"/>
      <c r="F265" s="640">
        <v>0.35</v>
      </c>
      <c r="G265" s="32">
        <v>6</v>
      </c>
      <c r="H265" s="640">
        <v>2.1</v>
      </c>
      <c r="I265" s="640">
        <v>2.2799999999999998</v>
      </c>
      <c r="J265" s="32">
        <v>182</v>
      </c>
      <c r="K265" s="32" t="s">
        <v>77</v>
      </c>
      <c r="L265" s="32"/>
      <c r="M265" s="33" t="s">
        <v>115</v>
      </c>
      <c r="N265" s="33"/>
      <c r="O265" s="32">
        <v>50</v>
      </c>
      <c r="P265" s="7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8"/>
      <c r="R265" s="648"/>
      <c r="S265" s="648"/>
      <c r="T265" s="649"/>
      <c r="U265" s="34"/>
      <c r="V265" s="34"/>
      <c r="W265" s="35" t="s">
        <v>67</v>
      </c>
      <c r="X265" s="641">
        <v>0</v>
      </c>
      <c r="Y265" s="642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35" t="s">
        <v>437</v>
      </c>
      <c r="AG265" s="64"/>
      <c r="AJ265" s="68"/>
      <c r="AK265" s="68">
        <v>0</v>
      </c>
      <c r="BB265" s="33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55"/>
      <c r="B266" s="656"/>
      <c r="C266" s="656"/>
      <c r="D266" s="656"/>
      <c r="E266" s="656"/>
      <c r="F266" s="656"/>
      <c r="G266" s="656"/>
      <c r="H266" s="656"/>
      <c r="I266" s="656"/>
      <c r="J266" s="656"/>
      <c r="K266" s="656"/>
      <c r="L266" s="656"/>
      <c r="M266" s="656"/>
      <c r="N266" s="656"/>
      <c r="O266" s="657"/>
      <c r="P266" s="667" t="s">
        <v>72</v>
      </c>
      <c r="Q266" s="668"/>
      <c r="R266" s="668"/>
      <c r="S266" s="668"/>
      <c r="T266" s="668"/>
      <c r="U266" s="668"/>
      <c r="V266" s="669"/>
      <c r="W266" s="37" t="s">
        <v>73</v>
      </c>
      <c r="X266" s="643">
        <f>IFERROR(X264/H264,"0")+IFERROR(X265/H265,"0")</f>
        <v>0</v>
      </c>
      <c r="Y266" s="643">
        <f>IFERROR(Y264/H264,"0")+IFERROR(Y265/H265,"0")</f>
        <v>0</v>
      </c>
      <c r="Z266" s="643">
        <f>IFERROR(IF(Z264="",0,Z264),"0")+IFERROR(IF(Z265="",0,Z265),"0")</f>
        <v>0</v>
      </c>
      <c r="AA266" s="644"/>
      <c r="AB266" s="644"/>
      <c r="AC266" s="644"/>
    </row>
    <row r="267" spans="1:68" hidden="1" x14ac:dyDescent="0.2">
      <c r="A267" s="656"/>
      <c r="B267" s="656"/>
      <c r="C267" s="656"/>
      <c r="D267" s="656"/>
      <c r="E267" s="656"/>
      <c r="F267" s="656"/>
      <c r="G267" s="656"/>
      <c r="H267" s="656"/>
      <c r="I267" s="656"/>
      <c r="J267" s="656"/>
      <c r="K267" s="656"/>
      <c r="L267" s="656"/>
      <c r="M267" s="656"/>
      <c r="N267" s="656"/>
      <c r="O267" s="657"/>
      <c r="P267" s="667" t="s">
        <v>72</v>
      </c>
      <c r="Q267" s="668"/>
      <c r="R267" s="668"/>
      <c r="S267" s="668"/>
      <c r="T267" s="668"/>
      <c r="U267" s="668"/>
      <c r="V267" s="669"/>
      <c r="W267" s="37" t="s">
        <v>67</v>
      </c>
      <c r="X267" s="643">
        <f>IFERROR(SUM(X264:X265),"0")</f>
        <v>0</v>
      </c>
      <c r="Y267" s="643">
        <f>IFERROR(SUM(Y264:Y265),"0")</f>
        <v>0</v>
      </c>
      <c r="Z267" s="37"/>
      <c r="AA267" s="644"/>
      <c r="AB267" s="644"/>
      <c r="AC267" s="644"/>
    </row>
    <row r="268" spans="1:68" ht="14.25" hidden="1" customHeight="1" x14ac:dyDescent="0.25">
      <c r="A268" s="672" t="s">
        <v>62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35"/>
      <c r="AB268" s="635"/>
      <c r="AC268" s="635"/>
    </row>
    <row r="269" spans="1:68" ht="27" hidden="1" customHeight="1" x14ac:dyDescent="0.25">
      <c r="A269" s="54" t="s">
        <v>440</v>
      </c>
      <c r="B269" s="54" t="s">
        <v>441</v>
      </c>
      <c r="C269" s="31">
        <v>4301031224</v>
      </c>
      <c r="D269" s="650">
        <v>4680115882683</v>
      </c>
      <c r="E269" s="651"/>
      <c r="F269" s="640">
        <v>0.9</v>
      </c>
      <c r="G269" s="32">
        <v>6</v>
      </c>
      <c r="H269" s="640">
        <v>5.4</v>
      </c>
      <c r="I269" s="640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8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8"/>
      <c r="R269" s="648"/>
      <c r="S269" s="648"/>
      <c r="T269" s="649"/>
      <c r="U269" s="34"/>
      <c r="V269" s="34"/>
      <c r="W269" s="35" t="s">
        <v>67</v>
      </c>
      <c r="X269" s="641">
        <v>0</v>
      </c>
      <c r="Y269" s="642">
        <f t="shared" ref="Y269:Y276" si="43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7" t="s">
        <v>442</v>
      </c>
      <c r="AG269" s="64"/>
      <c r="AJ269" s="68"/>
      <c r="AK269" s="68">
        <v>0</v>
      </c>
      <c r="BB269" s="338" t="s">
        <v>1</v>
      </c>
      <c r="BM269" s="64">
        <f t="shared" ref="BM269:BM276" si="44">IFERROR(X269*I269/H269,"0")</f>
        <v>0</v>
      </c>
      <c r="BN269" s="64">
        <f t="shared" ref="BN269:BN276" si="45">IFERROR(Y269*I269/H269,"0")</f>
        <v>0</v>
      </c>
      <c r="BO269" s="64">
        <f t="shared" ref="BO269:BO276" si="46">IFERROR(1/J269*(X269/H269),"0")</f>
        <v>0</v>
      </c>
      <c r="BP269" s="64">
        <f t="shared" ref="BP269:BP276" si="47">IFERROR(1/J269*(Y269/H269),"0")</f>
        <v>0</v>
      </c>
    </row>
    <row r="270" spans="1:68" ht="27" hidden="1" customHeight="1" x14ac:dyDescent="0.25">
      <c r="A270" s="54" t="s">
        <v>443</v>
      </c>
      <c r="B270" s="54" t="s">
        <v>444</v>
      </c>
      <c r="C270" s="31">
        <v>4301031230</v>
      </c>
      <c r="D270" s="650">
        <v>4680115882690</v>
      </c>
      <c r="E270" s="651"/>
      <c r="F270" s="640">
        <v>0.9</v>
      </c>
      <c r="G270" s="32">
        <v>6</v>
      </c>
      <c r="H270" s="640">
        <v>5.4</v>
      </c>
      <c r="I270" s="640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8"/>
      <c r="R270" s="648"/>
      <c r="S270" s="648"/>
      <c r="T270" s="649"/>
      <c r="U270" s="34"/>
      <c r="V270" s="34"/>
      <c r="W270" s="35" t="s">
        <v>67</v>
      </c>
      <c r="X270" s="641">
        <v>0</v>
      </c>
      <c r="Y270" s="642">
        <f t="shared" si="43"/>
        <v>0</v>
      </c>
      <c r="Z270" s="36" t="str">
        <f>IFERROR(IF(Y270=0,"",ROUNDUP(Y270/H270,0)*0.00902),"")</f>
        <v/>
      </c>
      <c r="AA270" s="56"/>
      <c r="AB270" s="57"/>
      <c r="AC270" s="339" t="s">
        <v>445</v>
      </c>
      <c r="AG270" s="64"/>
      <c r="AJ270" s="68"/>
      <c r="AK270" s="68">
        <v>0</v>
      </c>
      <c r="BB270" s="340" t="s">
        <v>1</v>
      </c>
      <c r="BM270" s="64">
        <f t="shared" si="44"/>
        <v>0</v>
      </c>
      <c r="BN270" s="64">
        <f t="shared" si="45"/>
        <v>0</v>
      </c>
      <c r="BO270" s="64">
        <f t="shared" si="46"/>
        <v>0</v>
      </c>
      <c r="BP270" s="64">
        <f t="shared" si="47"/>
        <v>0</v>
      </c>
    </row>
    <row r="271" spans="1:68" ht="27" customHeight="1" x14ac:dyDescent="0.25">
      <c r="A271" s="54" t="s">
        <v>446</v>
      </c>
      <c r="B271" s="54" t="s">
        <v>447</v>
      </c>
      <c r="C271" s="31">
        <v>4301031220</v>
      </c>
      <c r="D271" s="650">
        <v>4680115882669</v>
      </c>
      <c r="E271" s="651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3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8"/>
      <c r="R271" s="648"/>
      <c r="S271" s="648"/>
      <c r="T271" s="649"/>
      <c r="U271" s="34"/>
      <c r="V271" s="34"/>
      <c r="W271" s="35" t="s">
        <v>67</v>
      </c>
      <c r="X271" s="641">
        <v>144</v>
      </c>
      <c r="Y271" s="642">
        <f t="shared" si="43"/>
        <v>145.80000000000001</v>
      </c>
      <c r="Z271" s="36">
        <f>IFERROR(IF(Y271=0,"",ROUNDUP(Y271/H271,0)*0.00902),"")</f>
        <v>0.24354000000000001</v>
      </c>
      <c r="AA271" s="56"/>
      <c r="AB271" s="57"/>
      <c r="AC271" s="341" t="s">
        <v>448</v>
      </c>
      <c r="AG271" s="64"/>
      <c r="AJ271" s="68"/>
      <c r="AK271" s="68">
        <v>0</v>
      </c>
      <c r="BB271" s="342" t="s">
        <v>1</v>
      </c>
      <c r="BM271" s="64">
        <f t="shared" si="44"/>
        <v>149.06666666666666</v>
      </c>
      <c r="BN271" s="64">
        <f t="shared" si="45"/>
        <v>150.93</v>
      </c>
      <c r="BO271" s="64">
        <f t="shared" si="46"/>
        <v>0.20202020202020202</v>
      </c>
      <c r="BP271" s="64">
        <f t="shared" si="47"/>
        <v>0.20454545454545456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4301031221</v>
      </c>
      <c r="D272" s="650">
        <v>4680115882676</v>
      </c>
      <c r="E272" s="651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1">
        <v>0</v>
      </c>
      <c r="Y272" s="642">
        <f t="shared" si="43"/>
        <v>0</v>
      </c>
      <c r="Z272" s="36" t="str">
        <f>IFERROR(IF(Y272=0,"",ROUNDUP(Y272/H272,0)*0.00902),"")</f>
        <v/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si="44"/>
        <v>0</v>
      </c>
      <c r="BN272" s="64">
        <f t="shared" si="45"/>
        <v>0</v>
      </c>
      <c r="BO272" s="64">
        <f t="shared" si="46"/>
        <v>0</v>
      </c>
      <c r="BP272" s="64">
        <f t="shared" si="47"/>
        <v>0</v>
      </c>
    </row>
    <row r="273" spans="1:68" ht="27" hidden="1" customHeight="1" x14ac:dyDescent="0.25">
      <c r="A273" s="54" t="s">
        <v>452</v>
      </c>
      <c r="B273" s="54" t="s">
        <v>453</v>
      </c>
      <c r="C273" s="31">
        <v>4301031223</v>
      </c>
      <c r="D273" s="650">
        <v>4680115884014</v>
      </c>
      <c r="E273" s="651"/>
      <c r="F273" s="640">
        <v>0.3</v>
      </c>
      <c r="G273" s="32">
        <v>6</v>
      </c>
      <c r="H273" s="640">
        <v>1.8</v>
      </c>
      <c r="I273" s="640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4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1">
        <v>0</v>
      </c>
      <c r="Y273" s="642">
        <f t="shared" si="43"/>
        <v>0</v>
      </c>
      <c r="Z273" s="36" t="str">
        <f>IFERROR(IF(Y273=0,"",ROUNDUP(Y273/H273,0)*0.00502),"")</f>
        <v/>
      </c>
      <c r="AA273" s="56"/>
      <c r="AB273" s="57"/>
      <c r="AC273" s="345" t="s">
        <v>442</v>
      </c>
      <c r="AG273" s="64"/>
      <c r="AJ273" s="68"/>
      <c r="AK273" s="68">
        <v>0</v>
      </c>
      <c r="BB273" s="346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4301031222</v>
      </c>
      <c r="D274" s="650">
        <v>4680115884007</v>
      </c>
      <c r="E274" s="651"/>
      <c r="F274" s="640">
        <v>0.3</v>
      </c>
      <c r="G274" s="32">
        <v>6</v>
      </c>
      <c r="H274" s="640">
        <v>1.8</v>
      </c>
      <c r="I274" s="640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1">
        <v>0</v>
      </c>
      <c r="Y274" s="642">
        <f t="shared" si="43"/>
        <v>0</v>
      </c>
      <c r="Z274" s="36" t="str">
        <f>IFERROR(IF(Y274=0,"",ROUNDUP(Y274/H274,0)*0.00502),"")</f>
        <v/>
      </c>
      <c r="AA274" s="56"/>
      <c r="AB274" s="57"/>
      <c r="AC274" s="347" t="s">
        <v>445</v>
      </c>
      <c r="AG274" s="64"/>
      <c r="AJ274" s="68"/>
      <c r="AK274" s="68">
        <v>0</v>
      </c>
      <c r="BB274" s="348" t="s">
        <v>1</v>
      </c>
      <c r="BM274" s="64">
        <f t="shared" si="44"/>
        <v>0</v>
      </c>
      <c r="BN274" s="64">
        <f t="shared" si="45"/>
        <v>0</v>
      </c>
      <c r="BO274" s="64">
        <f t="shared" si="46"/>
        <v>0</v>
      </c>
      <c r="BP274" s="64">
        <f t="shared" si="47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4301031229</v>
      </c>
      <c r="D275" s="650">
        <v>4680115884038</v>
      </c>
      <c r="E275" s="651"/>
      <c r="F275" s="640">
        <v>0.3</v>
      </c>
      <c r="G275" s="32">
        <v>6</v>
      </c>
      <c r="H275" s="640">
        <v>1.8</v>
      </c>
      <c r="I275" s="640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1">
        <v>0</v>
      </c>
      <c r="Y275" s="642">
        <f t="shared" si="43"/>
        <v>0</v>
      </c>
      <c r="Z275" s="36" t="str">
        <f>IFERROR(IF(Y275=0,"",ROUNDUP(Y275/H275,0)*0.00502),"")</f>
        <v/>
      </c>
      <c r="AA275" s="56"/>
      <c r="AB275" s="57"/>
      <c r="AC275" s="349" t="s">
        <v>448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hidden="1" customHeight="1" x14ac:dyDescent="0.25">
      <c r="A276" s="54" t="s">
        <v>458</v>
      </c>
      <c r="B276" s="54" t="s">
        <v>459</v>
      </c>
      <c r="C276" s="31">
        <v>4301031225</v>
      </c>
      <c r="D276" s="650">
        <v>4680115884021</v>
      </c>
      <c r="E276" s="651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1">
        <v>0</v>
      </c>
      <c r="Y276" s="642">
        <f t="shared" si="43"/>
        <v>0</v>
      </c>
      <c r="Z276" s="36" t="str">
        <f>IFERROR(IF(Y276=0,"",ROUNDUP(Y276/H276,0)*0.00502),"")</f>
        <v/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0</v>
      </c>
      <c r="BN276" s="64">
        <f t="shared" si="45"/>
        <v>0</v>
      </c>
      <c r="BO276" s="64">
        <f t="shared" si="46"/>
        <v>0</v>
      </c>
      <c r="BP276" s="64">
        <f t="shared" si="47"/>
        <v>0</v>
      </c>
    </row>
    <row r="277" spans="1:68" x14ac:dyDescent="0.2">
      <c r="A277" s="655"/>
      <c r="B277" s="656"/>
      <c r="C277" s="656"/>
      <c r="D277" s="656"/>
      <c r="E277" s="656"/>
      <c r="F277" s="656"/>
      <c r="G277" s="656"/>
      <c r="H277" s="656"/>
      <c r="I277" s="656"/>
      <c r="J277" s="656"/>
      <c r="K277" s="656"/>
      <c r="L277" s="656"/>
      <c r="M277" s="656"/>
      <c r="N277" s="656"/>
      <c r="O277" s="657"/>
      <c r="P277" s="667" t="s">
        <v>72</v>
      </c>
      <c r="Q277" s="668"/>
      <c r="R277" s="668"/>
      <c r="S277" s="668"/>
      <c r="T277" s="668"/>
      <c r="U277" s="668"/>
      <c r="V277" s="669"/>
      <c r="W277" s="37" t="s">
        <v>73</v>
      </c>
      <c r="X277" s="643">
        <f>IFERROR(X269/H269,"0")+IFERROR(X270/H270,"0")+IFERROR(X271/H271,"0")+IFERROR(X272/H272,"0")+IFERROR(X273/H273,"0")+IFERROR(X274/H274,"0")+IFERROR(X275/H275,"0")+IFERROR(X276/H276,"0")</f>
        <v>26.666666666666664</v>
      </c>
      <c r="Y277" s="643">
        <f>IFERROR(Y269/H269,"0")+IFERROR(Y270/H270,"0")+IFERROR(Y271/H271,"0")+IFERROR(Y272/H272,"0")+IFERROR(Y273/H273,"0")+IFERROR(Y274/H274,"0")+IFERROR(Y275/H275,"0")+IFERROR(Y276/H276,"0")</f>
        <v>27</v>
      </c>
      <c r="Z277" s="6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0.24354000000000001</v>
      </c>
      <c r="AA277" s="644"/>
      <c r="AB277" s="644"/>
      <c r="AC277" s="644"/>
    </row>
    <row r="278" spans="1:68" x14ac:dyDescent="0.2">
      <c r="A278" s="656"/>
      <c r="B278" s="656"/>
      <c r="C278" s="656"/>
      <c r="D278" s="656"/>
      <c r="E278" s="656"/>
      <c r="F278" s="656"/>
      <c r="G278" s="656"/>
      <c r="H278" s="656"/>
      <c r="I278" s="656"/>
      <c r="J278" s="656"/>
      <c r="K278" s="656"/>
      <c r="L278" s="656"/>
      <c r="M278" s="656"/>
      <c r="N278" s="656"/>
      <c r="O278" s="657"/>
      <c r="P278" s="667" t="s">
        <v>72</v>
      </c>
      <c r="Q278" s="668"/>
      <c r="R278" s="668"/>
      <c r="S278" s="668"/>
      <c r="T278" s="668"/>
      <c r="U278" s="668"/>
      <c r="V278" s="669"/>
      <c r="W278" s="37" t="s">
        <v>67</v>
      </c>
      <c r="X278" s="643">
        <f>IFERROR(SUM(X269:X276),"0")</f>
        <v>144</v>
      </c>
      <c r="Y278" s="643">
        <f>IFERROR(SUM(Y269:Y276),"0")</f>
        <v>145.80000000000001</v>
      </c>
      <c r="Z278" s="37"/>
      <c r="AA278" s="644"/>
      <c r="AB278" s="644"/>
      <c r="AC278" s="644"/>
    </row>
    <row r="279" spans="1:68" ht="14.25" hidden="1" customHeight="1" x14ac:dyDescent="0.25">
      <c r="A279" s="672" t="s">
        <v>74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35"/>
      <c r="AB279" s="635"/>
      <c r="AC279" s="635"/>
    </row>
    <row r="280" spans="1:68" ht="27" hidden="1" customHeight="1" x14ac:dyDescent="0.25">
      <c r="A280" s="54" t="s">
        <v>460</v>
      </c>
      <c r="B280" s="54" t="s">
        <v>461</v>
      </c>
      <c r="C280" s="31">
        <v>4301051408</v>
      </c>
      <c r="D280" s="650">
        <v>4680115881594</v>
      </c>
      <c r="E280" s="651"/>
      <c r="F280" s="640">
        <v>1.35</v>
      </c>
      <c r="G280" s="32">
        <v>6</v>
      </c>
      <c r="H280" s="640">
        <v>8.1</v>
      </c>
      <c r="I280" s="640">
        <v>8.5939999999999994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40</v>
      </c>
      <c r="P280" s="72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8"/>
      <c r="R280" s="648"/>
      <c r="S280" s="648"/>
      <c r="T280" s="649"/>
      <c r="U280" s="34"/>
      <c r="V280" s="34"/>
      <c r="W280" s="35" t="s">
        <v>67</v>
      </c>
      <c r="X280" s="641">
        <v>0</v>
      </c>
      <c r="Y280" s="642">
        <f t="shared" ref="Y280:Y291" si="48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53" t="s">
        <v>462</v>
      </c>
      <c r="AG280" s="64"/>
      <c r="AJ280" s="68"/>
      <c r="AK280" s="68">
        <v>0</v>
      </c>
      <c r="BB280" s="354" t="s">
        <v>1</v>
      </c>
      <c r="BM280" s="64">
        <f t="shared" ref="BM280:BM291" si="49">IFERROR(X280*I280/H280,"0")</f>
        <v>0</v>
      </c>
      <c r="BN280" s="64">
        <f t="shared" ref="BN280:BN291" si="50">IFERROR(Y280*I280/H280,"0")</f>
        <v>0</v>
      </c>
      <c r="BO280" s="64">
        <f t="shared" ref="BO280:BO291" si="51">IFERROR(1/J280*(X280/H280),"0")</f>
        <v>0</v>
      </c>
      <c r="BP280" s="64">
        <f t="shared" ref="BP280:BP291" si="52">IFERROR(1/J280*(Y280/H280),"0")</f>
        <v>0</v>
      </c>
    </row>
    <row r="281" spans="1:68" ht="27" hidden="1" customHeight="1" x14ac:dyDescent="0.25">
      <c r="A281" s="54" t="s">
        <v>463</v>
      </c>
      <c r="B281" s="54" t="s">
        <v>464</v>
      </c>
      <c r="C281" s="31">
        <v>4301051411</v>
      </c>
      <c r="D281" s="650">
        <v>4680115881617</v>
      </c>
      <c r="E281" s="651"/>
      <c r="F281" s="640">
        <v>1.35</v>
      </c>
      <c r="G281" s="32">
        <v>6</v>
      </c>
      <c r="H281" s="640">
        <v>8.1</v>
      </c>
      <c r="I281" s="640">
        <v>8.5760000000000005</v>
      </c>
      <c r="J281" s="32">
        <v>64</v>
      </c>
      <c r="K281" s="32" t="s">
        <v>114</v>
      </c>
      <c r="L281" s="32"/>
      <c r="M281" s="33" t="s">
        <v>78</v>
      </c>
      <c r="N281" s="33"/>
      <c r="O281" s="32">
        <v>40</v>
      </c>
      <c r="P281" s="7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8"/>
      <c r="R281" s="648"/>
      <c r="S281" s="648"/>
      <c r="T281" s="649"/>
      <c r="U281" s="34"/>
      <c r="V281" s="34"/>
      <c r="W281" s="35" t="s">
        <v>67</v>
      </c>
      <c r="X281" s="641">
        <v>0</v>
      </c>
      <c r="Y281" s="642">
        <f t="shared" si="48"/>
        <v>0</v>
      </c>
      <c r="Z281" s="36" t="str">
        <f>IFERROR(IF(Y281=0,"",ROUNDUP(Y281/H281,0)*0.01898),"")</f>
        <v/>
      </c>
      <c r="AA281" s="56"/>
      <c r="AB281" s="57"/>
      <c r="AC281" s="355" t="s">
        <v>465</v>
      </c>
      <c r="AG281" s="64"/>
      <c r="AJ281" s="68"/>
      <c r="AK281" s="68">
        <v>0</v>
      </c>
      <c r="BB281" s="356" t="s">
        <v>1</v>
      </c>
      <c r="BM281" s="64">
        <f t="shared" si="49"/>
        <v>0</v>
      </c>
      <c r="BN281" s="64">
        <f t="shared" si="50"/>
        <v>0</v>
      </c>
      <c r="BO281" s="64">
        <f t="shared" si="51"/>
        <v>0</v>
      </c>
      <c r="BP281" s="64">
        <f t="shared" si="52"/>
        <v>0</v>
      </c>
    </row>
    <row r="282" spans="1:68" ht="27" hidden="1" customHeight="1" x14ac:dyDescent="0.25">
      <c r="A282" s="54" t="s">
        <v>466</v>
      </c>
      <c r="B282" s="54" t="s">
        <v>467</v>
      </c>
      <c r="C282" s="31">
        <v>4301051656</v>
      </c>
      <c r="D282" s="650">
        <v>4680115880573</v>
      </c>
      <c r="E282" s="651"/>
      <c r="F282" s="640">
        <v>1.45</v>
      </c>
      <c r="G282" s="32">
        <v>6</v>
      </c>
      <c r="H282" s="640">
        <v>8.6999999999999993</v>
      </c>
      <c r="I282" s="640">
        <v>9.1940000000000008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45</v>
      </c>
      <c r="P282" s="9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8"/>
      <c r="R282" s="648"/>
      <c r="S282" s="648"/>
      <c r="T282" s="649"/>
      <c r="U282" s="34"/>
      <c r="V282" s="34"/>
      <c r="W282" s="35" t="s">
        <v>67</v>
      </c>
      <c r="X282" s="641">
        <v>0</v>
      </c>
      <c r="Y282" s="642">
        <f t="shared" si="48"/>
        <v>0</v>
      </c>
      <c r="Z282" s="36" t="str">
        <f>IFERROR(IF(Y282=0,"",ROUNDUP(Y282/H282,0)*0.01898),"")</f>
        <v/>
      </c>
      <c r="AA282" s="56"/>
      <c r="AB282" s="57"/>
      <c r="AC282" s="357" t="s">
        <v>468</v>
      </c>
      <c r="AG282" s="64"/>
      <c r="AJ282" s="68"/>
      <c r="AK282" s="68">
        <v>0</v>
      </c>
      <c r="BB282" s="358" t="s">
        <v>1</v>
      </c>
      <c r="BM282" s="64">
        <f t="shared" si="49"/>
        <v>0</v>
      </c>
      <c r="BN282" s="64">
        <f t="shared" si="50"/>
        <v>0</v>
      </c>
      <c r="BO282" s="64">
        <f t="shared" si="51"/>
        <v>0</v>
      </c>
      <c r="BP282" s="64">
        <f t="shared" si="52"/>
        <v>0</v>
      </c>
    </row>
    <row r="283" spans="1:68" ht="27" hidden="1" customHeight="1" x14ac:dyDescent="0.25">
      <c r="A283" s="54" t="s">
        <v>469</v>
      </c>
      <c r="B283" s="54" t="s">
        <v>470</v>
      </c>
      <c r="C283" s="31">
        <v>4301051407</v>
      </c>
      <c r="D283" s="650">
        <v>4680115882195</v>
      </c>
      <c r="E283" s="651"/>
      <c r="F283" s="640">
        <v>0.4</v>
      </c>
      <c r="G283" s="32">
        <v>6</v>
      </c>
      <c r="H283" s="640">
        <v>2.4</v>
      </c>
      <c r="I283" s="640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1">
        <v>0</v>
      </c>
      <c r="Y283" s="642">
        <f t="shared" si="48"/>
        <v>0</v>
      </c>
      <c r="Z283" s="36" t="str">
        <f>IFERROR(IF(Y283=0,"",ROUNDUP(Y283/H283,0)*0.00651),"")</f>
        <v/>
      </c>
      <c r="AA283" s="56"/>
      <c r="AB283" s="57"/>
      <c r="AC283" s="359" t="s">
        <v>462</v>
      </c>
      <c r="AG283" s="64"/>
      <c r="AJ283" s="68"/>
      <c r="AK283" s="68">
        <v>0</v>
      </c>
      <c r="BB283" s="360" t="s">
        <v>1</v>
      </c>
      <c r="BM283" s="64">
        <f t="shared" si="49"/>
        <v>0</v>
      </c>
      <c r="BN283" s="64">
        <f t="shared" si="50"/>
        <v>0</v>
      </c>
      <c r="BO283" s="64">
        <f t="shared" si="51"/>
        <v>0</v>
      </c>
      <c r="BP283" s="64">
        <f t="shared" si="52"/>
        <v>0</v>
      </c>
    </row>
    <row r="284" spans="1:68" ht="27" hidden="1" customHeight="1" x14ac:dyDescent="0.25">
      <c r="A284" s="54" t="s">
        <v>471</v>
      </c>
      <c r="B284" s="54" t="s">
        <v>472</v>
      </c>
      <c r="C284" s="31">
        <v>4301051752</v>
      </c>
      <c r="D284" s="650">
        <v>4680115882607</v>
      </c>
      <c r="E284" s="651"/>
      <c r="F284" s="640">
        <v>0.3</v>
      </c>
      <c r="G284" s="32">
        <v>6</v>
      </c>
      <c r="H284" s="640">
        <v>1.8</v>
      </c>
      <c r="I284" s="640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8"/>
      <c r="R284" s="648"/>
      <c r="S284" s="648"/>
      <c r="T284" s="649"/>
      <c r="U284" s="34"/>
      <c r="V284" s="34"/>
      <c r="W284" s="35" t="s">
        <v>67</v>
      </c>
      <c r="X284" s="641">
        <v>0</v>
      </c>
      <c r="Y284" s="642">
        <f t="shared" si="48"/>
        <v>0</v>
      </c>
      <c r="Z284" s="36" t="str">
        <f>IFERROR(IF(Y284=0,"",ROUNDUP(Y284/H284,0)*0.00651),"")</f>
        <v/>
      </c>
      <c r="AA284" s="56"/>
      <c r="AB284" s="57"/>
      <c r="AC284" s="361" t="s">
        <v>468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hidden="1" customHeight="1" x14ac:dyDescent="0.25">
      <c r="A285" s="54" t="s">
        <v>473</v>
      </c>
      <c r="B285" s="54" t="s">
        <v>474</v>
      </c>
      <c r="C285" s="31">
        <v>4301052143</v>
      </c>
      <c r="D285" s="650">
        <v>4680115882607</v>
      </c>
      <c r="E285" s="651"/>
      <c r="F285" s="640">
        <v>0.3</v>
      </c>
      <c r="G285" s="32">
        <v>6</v>
      </c>
      <c r="H285" s="640">
        <v>1.8</v>
      </c>
      <c r="I285" s="640">
        <v>2.0619999999999998</v>
      </c>
      <c r="J285" s="32">
        <v>132</v>
      </c>
      <c r="K285" s="32" t="s">
        <v>123</v>
      </c>
      <c r="L285" s="32"/>
      <c r="M285" s="33" t="s">
        <v>78</v>
      </c>
      <c r="N285" s="33"/>
      <c r="O285" s="32">
        <v>45</v>
      </c>
      <c r="P285" s="81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1">
        <v>0</v>
      </c>
      <c r="Y285" s="642">
        <f t="shared" si="48"/>
        <v>0</v>
      </c>
      <c r="Z285" s="36" t="str">
        <f>IFERROR(IF(Y285=0,"",ROUNDUP(Y285/H285,0)*0.00902),"")</f>
        <v/>
      </c>
      <c r="AA285" s="56"/>
      <c r="AB285" s="57"/>
      <c r="AC285" s="363" t="s">
        <v>475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476</v>
      </c>
      <c r="B286" s="54" t="s">
        <v>477</v>
      </c>
      <c r="C286" s="31">
        <v>4301051666</v>
      </c>
      <c r="D286" s="650">
        <v>4680115880092</v>
      </c>
      <c r="E286" s="651"/>
      <c r="F286" s="640">
        <v>0.4</v>
      </c>
      <c r="G286" s="32">
        <v>6</v>
      </c>
      <c r="H286" s="640">
        <v>2.4</v>
      </c>
      <c r="I286" s="640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1">
        <v>690</v>
      </c>
      <c r="Y286" s="642">
        <f t="shared" si="48"/>
        <v>691.19999999999993</v>
      </c>
      <c r="Z286" s="36">
        <f>IFERROR(IF(Y286=0,"",ROUNDUP(Y286/H286,0)*0.00651),"")</f>
        <v>1.8748800000000001</v>
      </c>
      <c r="AA286" s="56"/>
      <c r="AB286" s="57"/>
      <c r="AC286" s="365" t="s">
        <v>468</v>
      </c>
      <c r="AG286" s="64"/>
      <c r="AJ286" s="68"/>
      <c r="AK286" s="68">
        <v>0</v>
      </c>
      <c r="BB286" s="366" t="s">
        <v>1</v>
      </c>
      <c r="BM286" s="64">
        <f t="shared" si="49"/>
        <v>762.45</v>
      </c>
      <c r="BN286" s="64">
        <f t="shared" si="50"/>
        <v>763.77600000000007</v>
      </c>
      <c r="BO286" s="64">
        <f t="shared" si="51"/>
        <v>1.5796703296703298</v>
      </c>
      <c r="BP286" s="64">
        <f t="shared" si="52"/>
        <v>1.5824175824175826</v>
      </c>
    </row>
    <row r="287" spans="1:68" ht="27" hidden="1" customHeight="1" x14ac:dyDescent="0.25">
      <c r="A287" s="54" t="s">
        <v>478</v>
      </c>
      <c r="B287" s="54" t="s">
        <v>479</v>
      </c>
      <c r="C287" s="31">
        <v>4301052214</v>
      </c>
      <c r="D287" s="650">
        <v>4680115889064</v>
      </c>
      <c r="E287" s="651"/>
      <c r="F287" s="640">
        <v>0.7</v>
      </c>
      <c r="G287" s="32">
        <v>6</v>
      </c>
      <c r="H287" s="640">
        <v>4.2</v>
      </c>
      <c r="I287" s="640">
        <v>4.6159999999999997</v>
      </c>
      <c r="J287" s="32">
        <v>104</v>
      </c>
      <c r="K287" s="32" t="s">
        <v>114</v>
      </c>
      <c r="L287" s="32"/>
      <c r="M287" s="33" t="s">
        <v>78</v>
      </c>
      <c r="N287" s="33"/>
      <c r="O287" s="32">
        <v>45</v>
      </c>
      <c r="P287" s="7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1">
        <v>0</v>
      </c>
      <c r="Y287" s="642">
        <f t="shared" si="48"/>
        <v>0</v>
      </c>
      <c r="Z287" s="36" t="str">
        <f>IFERROR(IF(Y287=0,"",ROUNDUP(Y287/H287,0)*0.01196),"")</f>
        <v/>
      </c>
      <c r="AA287" s="56"/>
      <c r="AB287" s="57"/>
      <c r="AC287" s="367" t="s">
        <v>475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480</v>
      </c>
      <c r="B288" s="54" t="s">
        <v>481</v>
      </c>
      <c r="C288" s="31">
        <v>4301051668</v>
      </c>
      <c r="D288" s="650">
        <v>4680115880221</v>
      </c>
      <c r="E288" s="651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1">
        <v>59</v>
      </c>
      <c r="Y288" s="642">
        <f t="shared" si="48"/>
        <v>60</v>
      </c>
      <c r="Z288" s="36">
        <f>IFERROR(IF(Y288=0,"",ROUNDUP(Y288/H288,0)*0.00651),"")</f>
        <v>0.16275000000000001</v>
      </c>
      <c r="AA288" s="56"/>
      <c r="AB288" s="57"/>
      <c r="AC288" s="369" t="s">
        <v>468</v>
      </c>
      <c r="AG288" s="64"/>
      <c r="AJ288" s="68"/>
      <c r="AK288" s="68">
        <v>0</v>
      </c>
      <c r="BB288" s="370" t="s">
        <v>1</v>
      </c>
      <c r="BM288" s="64">
        <f t="shared" si="49"/>
        <v>65.195000000000007</v>
      </c>
      <c r="BN288" s="64">
        <f t="shared" si="50"/>
        <v>66.300000000000011</v>
      </c>
      <c r="BO288" s="64">
        <f t="shared" si="51"/>
        <v>0.13507326007326009</v>
      </c>
      <c r="BP288" s="64">
        <f t="shared" si="52"/>
        <v>0.13736263736263737</v>
      </c>
    </row>
    <row r="289" spans="1:68" ht="27" hidden="1" customHeight="1" x14ac:dyDescent="0.25">
      <c r="A289" s="54" t="s">
        <v>482</v>
      </c>
      <c r="B289" s="54" t="s">
        <v>483</v>
      </c>
      <c r="C289" s="31">
        <v>4301051945</v>
      </c>
      <c r="D289" s="650">
        <v>4680115880504</v>
      </c>
      <c r="E289" s="651"/>
      <c r="F289" s="640">
        <v>0.4</v>
      </c>
      <c r="G289" s="32">
        <v>6</v>
      </c>
      <c r="H289" s="640">
        <v>2.4</v>
      </c>
      <c r="I289" s="640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8"/>
      <c r="R289" s="648"/>
      <c r="S289" s="648"/>
      <c r="T289" s="649"/>
      <c r="U289" s="34"/>
      <c r="V289" s="34"/>
      <c r="W289" s="35" t="s">
        <v>67</v>
      </c>
      <c r="X289" s="641">
        <v>0</v>
      </c>
      <c r="Y289" s="642">
        <f t="shared" si="48"/>
        <v>0</v>
      </c>
      <c r="Z289" s="36" t="str">
        <f>IFERROR(IF(Y289=0,"",ROUNDUP(Y289/H289,0)*0.00651),"")</f>
        <v/>
      </c>
      <c r="AA289" s="56"/>
      <c r="AB289" s="57"/>
      <c r="AC289" s="371" t="s">
        <v>484</v>
      </c>
      <c r="AG289" s="64"/>
      <c r="AJ289" s="68"/>
      <c r="AK289" s="68">
        <v>0</v>
      </c>
      <c r="BB289" s="372" t="s">
        <v>1</v>
      </c>
      <c r="BM289" s="64">
        <f t="shared" si="49"/>
        <v>0</v>
      </c>
      <c r="BN289" s="64">
        <f t="shared" si="50"/>
        <v>0</v>
      </c>
      <c r="BO289" s="64">
        <f t="shared" si="51"/>
        <v>0</v>
      </c>
      <c r="BP289" s="64">
        <f t="shared" si="52"/>
        <v>0</v>
      </c>
    </row>
    <row r="290" spans="1:68" ht="27" customHeight="1" x14ac:dyDescent="0.25">
      <c r="A290" s="54" t="s">
        <v>485</v>
      </c>
      <c r="B290" s="54" t="s">
        <v>486</v>
      </c>
      <c r="C290" s="31">
        <v>4301051410</v>
      </c>
      <c r="D290" s="650">
        <v>4680115882164</v>
      </c>
      <c r="E290" s="651"/>
      <c r="F290" s="640">
        <v>0.4</v>
      </c>
      <c r="G290" s="32">
        <v>6</v>
      </c>
      <c r="H290" s="640">
        <v>2.4</v>
      </c>
      <c r="I290" s="640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1">
        <v>57</v>
      </c>
      <c r="Y290" s="642">
        <f t="shared" si="48"/>
        <v>57.599999999999994</v>
      </c>
      <c r="Z290" s="36">
        <f>IFERROR(IF(Y290=0,"",ROUNDUP(Y290/H290,0)*0.00651),"")</f>
        <v>0.15623999999999999</v>
      </c>
      <c r="AA290" s="56"/>
      <c r="AB290" s="57"/>
      <c r="AC290" s="373" t="s">
        <v>487</v>
      </c>
      <c r="AG290" s="64"/>
      <c r="AJ290" s="68"/>
      <c r="AK290" s="68">
        <v>0</v>
      </c>
      <c r="BB290" s="374" t="s">
        <v>1</v>
      </c>
      <c r="BM290" s="64">
        <f t="shared" si="49"/>
        <v>63.127500000000005</v>
      </c>
      <c r="BN290" s="64">
        <f t="shared" si="50"/>
        <v>63.792000000000002</v>
      </c>
      <c r="BO290" s="64">
        <f t="shared" si="51"/>
        <v>0.1304945054945055</v>
      </c>
      <c r="BP290" s="64">
        <f t="shared" si="52"/>
        <v>0.13186813186813187</v>
      </c>
    </row>
    <row r="291" spans="1:68" ht="27" hidden="1" customHeight="1" x14ac:dyDescent="0.25">
      <c r="A291" s="54" t="s">
        <v>488</v>
      </c>
      <c r="B291" s="54" t="s">
        <v>489</v>
      </c>
      <c r="C291" s="31">
        <v>4301052180</v>
      </c>
      <c r="D291" s="650">
        <v>4680115888340</v>
      </c>
      <c r="E291" s="651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1">
        <v>0</v>
      </c>
      <c r="Y291" s="642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490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x14ac:dyDescent="0.2">
      <c r="A292" s="655"/>
      <c r="B292" s="656"/>
      <c r="C292" s="656"/>
      <c r="D292" s="656"/>
      <c r="E292" s="656"/>
      <c r="F292" s="656"/>
      <c r="G292" s="656"/>
      <c r="H292" s="656"/>
      <c r="I292" s="656"/>
      <c r="J292" s="656"/>
      <c r="K292" s="656"/>
      <c r="L292" s="656"/>
      <c r="M292" s="656"/>
      <c r="N292" s="656"/>
      <c r="O292" s="657"/>
      <c r="P292" s="667" t="s">
        <v>72</v>
      </c>
      <c r="Q292" s="668"/>
      <c r="R292" s="668"/>
      <c r="S292" s="668"/>
      <c r="T292" s="668"/>
      <c r="U292" s="668"/>
      <c r="V292" s="669"/>
      <c r="W292" s="37" t="s">
        <v>73</v>
      </c>
      <c r="X292" s="6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335.83333333333331</v>
      </c>
      <c r="Y292" s="6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337</v>
      </c>
      <c r="Z292" s="6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2.19387</v>
      </c>
      <c r="AA292" s="644"/>
      <c r="AB292" s="644"/>
      <c r="AC292" s="644"/>
    </row>
    <row r="293" spans="1:68" x14ac:dyDescent="0.2">
      <c r="A293" s="656"/>
      <c r="B293" s="656"/>
      <c r="C293" s="656"/>
      <c r="D293" s="656"/>
      <c r="E293" s="656"/>
      <c r="F293" s="656"/>
      <c r="G293" s="656"/>
      <c r="H293" s="656"/>
      <c r="I293" s="656"/>
      <c r="J293" s="656"/>
      <c r="K293" s="656"/>
      <c r="L293" s="656"/>
      <c r="M293" s="656"/>
      <c r="N293" s="656"/>
      <c r="O293" s="657"/>
      <c r="P293" s="667" t="s">
        <v>72</v>
      </c>
      <c r="Q293" s="668"/>
      <c r="R293" s="668"/>
      <c r="S293" s="668"/>
      <c r="T293" s="668"/>
      <c r="U293" s="668"/>
      <c r="V293" s="669"/>
      <c r="W293" s="37" t="s">
        <v>67</v>
      </c>
      <c r="X293" s="643">
        <f>IFERROR(SUM(X280:X291),"0")</f>
        <v>806</v>
      </c>
      <c r="Y293" s="643">
        <f>IFERROR(SUM(Y280:Y291),"0")</f>
        <v>808.8</v>
      </c>
      <c r="Z293" s="37"/>
      <c r="AA293" s="644"/>
      <c r="AB293" s="644"/>
      <c r="AC293" s="644"/>
    </row>
    <row r="294" spans="1:68" ht="14.25" hidden="1" customHeight="1" x14ac:dyDescent="0.25">
      <c r="A294" s="672" t="s">
        <v>164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35"/>
      <c r="AB294" s="635"/>
      <c r="AC294" s="635"/>
    </row>
    <row r="295" spans="1:68" ht="27" hidden="1" customHeight="1" x14ac:dyDescent="0.25">
      <c r="A295" s="54" t="s">
        <v>491</v>
      </c>
      <c r="B295" s="54" t="s">
        <v>492</v>
      </c>
      <c r="C295" s="31">
        <v>4301060463</v>
      </c>
      <c r="D295" s="650">
        <v>4680115880818</v>
      </c>
      <c r="E295" s="651"/>
      <c r="F295" s="640">
        <v>0.4</v>
      </c>
      <c r="G295" s="32">
        <v>6</v>
      </c>
      <c r="H295" s="640">
        <v>2.4</v>
      </c>
      <c r="I295" s="640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8"/>
      <c r="R295" s="648"/>
      <c r="S295" s="648"/>
      <c r="T295" s="649"/>
      <c r="U295" s="34"/>
      <c r="V295" s="34"/>
      <c r="W295" s="35" t="s">
        <v>67</v>
      </c>
      <c r="X295" s="641">
        <v>0</v>
      </c>
      <c r="Y295" s="642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7" t="s">
        <v>493</v>
      </c>
      <c r="AG295" s="64"/>
      <c r="AJ295" s="68"/>
      <c r="AK295" s="68">
        <v>0</v>
      </c>
      <c r="BB295" s="378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4301060389</v>
      </c>
      <c r="D296" s="650">
        <v>4680115880801</v>
      </c>
      <c r="E296" s="651"/>
      <c r="F296" s="640">
        <v>0.4</v>
      </c>
      <c r="G296" s="32">
        <v>6</v>
      </c>
      <c r="H296" s="640">
        <v>2.4</v>
      </c>
      <c r="I296" s="640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8"/>
      <c r="R296" s="648"/>
      <c r="S296" s="648"/>
      <c r="T296" s="649"/>
      <c r="U296" s="34"/>
      <c r="V296" s="34"/>
      <c r="W296" s="35" t="s">
        <v>67</v>
      </c>
      <c r="X296" s="641">
        <v>0</v>
      </c>
      <c r="Y296" s="642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9" t="s">
        <v>496</v>
      </c>
      <c r="AG296" s="64"/>
      <c r="AJ296" s="68"/>
      <c r="AK296" s="68">
        <v>0</v>
      </c>
      <c r="BB296" s="380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idden="1" x14ac:dyDescent="0.2">
      <c r="A297" s="655"/>
      <c r="B297" s="656"/>
      <c r="C297" s="656"/>
      <c r="D297" s="656"/>
      <c r="E297" s="656"/>
      <c r="F297" s="656"/>
      <c r="G297" s="656"/>
      <c r="H297" s="656"/>
      <c r="I297" s="656"/>
      <c r="J297" s="656"/>
      <c r="K297" s="656"/>
      <c r="L297" s="656"/>
      <c r="M297" s="656"/>
      <c r="N297" s="656"/>
      <c r="O297" s="657"/>
      <c r="P297" s="667" t="s">
        <v>72</v>
      </c>
      <c r="Q297" s="668"/>
      <c r="R297" s="668"/>
      <c r="S297" s="668"/>
      <c r="T297" s="668"/>
      <c r="U297" s="668"/>
      <c r="V297" s="669"/>
      <c r="W297" s="37" t="s">
        <v>73</v>
      </c>
      <c r="X297" s="643">
        <f>IFERROR(X295/H295,"0")+IFERROR(X296/H296,"0")</f>
        <v>0</v>
      </c>
      <c r="Y297" s="643">
        <f>IFERROR(Y295/H295,"0")+IFERROR(Y296/H296,"0")</f>
        <v>0</v>
      </c>
      <c r="Z297" s="643">
        <f>IFERROR(IF(Z295="",0,Z295),"0")+IFERROR(IF(Z296="",0,Z296),"0")</f>
        <v>0</v>
      </c>
      <c r="AA297" s="644"/>
      <c r="AB297" s="644"/>
      <c r="AC297" s="644"/>
    </row>
    <row r="298" spans="1:68" hidden="1" x14ac:dyDescent="0.2">
      <c r="A298" s="656"/>
      <c r="B298" s="656"/>
      <c r="C298" s="656"/>
      <c r="D298" s="656"/>
      <c r="E298" s="656"/>
      <c r="F298" s="656"/>
      <c r="G298" s="656"/>
      <c r="H298" s="656"/>
      <c r="I298" s="656"/>
      <c r="J298" s="656"/>
      <c r="K298" s="656"/>
      <c r="L298" s="656"/>
      <c r="M298" s="656"/>
      <c r="N298" s="656"/>
      <c r="O298" s="657"/>
      <c r="P298" s="667" t="s">
        <v>72</v>
      </c>
      <c r="Q298" s="668"/>
      <c r="R298" s="668"/>
      <c r="S298" s="668"/>
      <c r="T298" s="668"/>
      <c r="U298" s="668"/>
      <c r="V298" s="669"/>
      <c r="W298" s="37" t="s">
        <v>67</v>
      </c>
      <c r="X298" s="643">
        <f>IFERROR(SUM(X295:X296),"0")</f>
        <v>0</v>
      </c>
      <c r="Y298" s="643">
        <f>IFERROR(SUM(Y295:Y296),"0")</f>
        <v>0</v>
      </c>
      <c r="Z298" s="37"/>
      <c r="AA298" s="644"/>
      <c r="AB298" s="644"/>
      <c r="AC298" s="644"/>
    </row>
    <row r="299" spans="1:68" ht="16.5" hidden="1" customHeight="1" x14ac:dyDescent="0.25">
      <c r="A299" s="666" t="s">
        <v>497</v>
      </c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6"/>
      <c r="P299" s="656"/>
      <c r="Q299" s="656"/>
      <c r="R299" s="656"/>
      <c r="S299" s="656"/>
      <c r="T299" s="656"/>
      <c r="U299" s="656"/>
      <c r="V299" s="656"/>
      <c r="W299" s="656"/>
      <c r="X299" s="656"/>
      <c r="Y299" s="656"/>
      <c r="Z299" s="656"/>
      <c r="AA299" s="636"/>
      <c r="AB299" s="636"/>
      <c r="AC299" s="636"/>
    </row>
    <row r="300" spans="1:68" ht="14.25" hidden="1" customHeight="1" x14ac:dyDescent="0.25">
      <c r="A300" s="672" t="s">
        <v>111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35"/>
      <c r="AB300" s="635"/>
      <c r="AC300" s="635"/>
    </row>
    <row r="301" spans="1:68" ht="27" hidden="1" customHeight="1" x14ac:dyDescent="0.25">
      <c r="A301" s="54" t="s">
        <v>498</v>
      </c>
      <c r="B301" s="54" t="s">
        <v>499</v>
      </c>
      <c r="C301" s="31">
        <v>4301011826</v>
      </c>
      <c r="D301" s="650">
        <v>4680115884137</v>
      </c>
      <c r="E301" s="651"/>
      <c r="F301" s="640">
        <v>1.45</v>
      </c>
      <c r="G301" s="32">
        <v>8</v>
      </c>
      <c r="H301" s="640">
        <v>11.6</v>
      </c>
      <c r="I301" s="640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8"/>
      <c r="R301" s="648"/>
      <c r="S301" s="648"/>
      <c r="T301" s="649"/>
      <c r="U301" s="34"/>
      <c r="V301" s="34"/>
      <c r="W301" s="35" t="s">
        <v>67</v>
      </c>
      <c r="X301" s="641">
        <v>0</v>
      </c>
      <c r="Y301" s="642">
        <f t="shared" ref="Y301:Y307" si="53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81" t="s">
        <v>500</v>
      </c>
      <c r="AG301" s="64"/>
      <c r="AJ301" s="68"/>
      <c r="AK301" s="68">
        <v>0</v>
      </c>
      <c r="BB301" s="382" t="s">
        <v>1</v>
      </c>
      <c r="BM301" s="64">
        <f t="shared" ref="BM301:BM307" si="54">IFERROR(X301*I301/H301,"0")</f>
        <v>0</v>
      </c>
      <c r="BN301" s="64">
        <f t="shared" ref="BN301:BN307" si="55">IFERROR(Y301*I301/H301,"0")</f>
        <v>0</v>
      </c>
      <c r="BO301" s="64">
        <f t="shared" ref="BO301:BO307" si="56">IFERROR(1/J301*(X301/H301),"0")</f>
        <v>0</v>
      </c>
      <c r="BP301" s="64">
        <f t="shared" ref="BP301:BP307" si="57">IFERROR(1/J301*(Y301/H301),"0")</f>
        <v>0</v>
      </c>
    </row>
    <row r="302" spans="1:68" ht="27" hidden="1" customHeight="1" x14ac:dyDescent="0.25">
      <c r="A302" s="54" t="s">
        <v>501</v>
      </c>
      <c r="B302" s="54" t="s">
        <v>502</v>
      </c>
      <c r="C302" s="31">
        <v>4301011724</v>
      </c>
      <c r="D302" s="650">
        <v>4680115884236</v>
      </c>
      <c r="E302" s="651"/>
      <c r="F302" s="640">
        <v>1.45</v>
      </c>
      <c r="G302" s="32">
        <v>8</v>
      </c>
      <c r="H302" s="640">
        <v>11.6</v>
      </c>
      <c r="I302" s="640">
        <v>12.01</v>
      </c>
      <c r="J302" s="32">
        <v>64</v>
      </c>
      <c r="K302" s="32" t="s">
        <v>114</v>
      </c>
      <c r="L302" s="32"/>
      <c r="M302" s="33" t="s">
        <v>115</v>
      </c>
      <c r="N302" s="33"/>
      <c r="O302" s="32">
        <v>55</v>
      </c>
      <c r="P302" s="6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8"/>
      <c r="R302" s="648"/>
      <c r="S302" s="648"/>
      <c r="T302" s="649"/>
      <c r="U302" s="34"/>
      <c r="V302" s="34"/>
      <c r="W302" s="35" t="s">
        <v>67</v>
      </c>
      <c r="X302" s="641">
        <v>0</v>
      </c>
      <c r="Y302" s="642">
        <f t="shared" si="53"/>
        <v>0</v>
      </c>
      <c r="Z302" s="36" t="str">
        <f>IFERROR(IF(Y302=0,"",ROUNDUP(Y302/H302,0)*0.01898),"")</f>
        <v/>
      </c>
      <c r="AA302" s="56"/>
      <c r="AB302" s="57"/>
      <c r="AC302" s="383" t="s">
        <v>503</v>
      </c>
      <c r="AG302" s="64"/>
      <c r="AJ302" s="68"/>
      <c r="AK302" s="68">
        <v>0</v>
      </c>
      <c r="BB302" s="384" t="s">
        <v>1</v>
      </c>
      <c r="BM302" s="64">
        <f t="shared" si="54"/>
        <v>0</v>
      </c>
      <c r="BN302" s="64">
        <f t="shared" si="55"/>
        <v>0</v>
      </c>
      <c r="BO302" s="64">
        <f t="shared" si="56"/>
        <v>0</v>
      </c>
      <c r="BP302" s="64">
        <f t="shared" si="57"/>
        <v>0</v>
      </c>
    </row>
    <row r="303" spans="1:68" ht="27" hidden="1" customHeight="1" x14ac:dyDescent="0.25">
      <c r="A303" s="54" t="s">
        <v>504</v>
      </c>
      <c r="B303" s="54" t="s">
        <v>505</v>
      </c>
      <c r="C303" s="31">
        <v>4301011721</v>
      </c>
      <c r="D303" s="650">
        <v>4680115884175</v>
      </c>
      <c r="E303" s="651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8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8"/>
      <c r="R303" s="648"/>
      <c r="S303" s="648"/>
      <c r="T303" s="649"/>
      <c r="U303" s="34"/>
      <c r="V303" s="34"/>
      <c r="W303" s="35" t="s">
        <v>67</v>
      </c>
      <c r="X303" s="641">
        <v>0</v>
      </c>
      <c r="Y303" s="642">
        <f t="shared" si="53"/>
        <v>0</v>
      </c>
      <c r="Z303" s="36" t="str">
        <f>IFERROR(IF(Y303=0,"",ROUNDUP(Y303/H303,0)*0.01898),"")</f>
        <v/>
      </c>
      <c r="AA303" s="56"/>
      <c r="AB303" s="57"/>
      <c r="AC303" s="385" t="s">
        <v>351</v>
      </c>
      <c r="AG303" s="64"/>
      <c r="AJ303" s="68"/>
      <c r="AK303" s="68">
        <v>0</v>
      </c>
      <c r="BB303" s="386" t="s">
        <v>1</v>
      </c>
      <c r="BM303" s="64">
        <f t="shared" si="54"/>
        <v>0</v>
      </c>
      <c r="BN303" s="64">
        <f t="shared" si="55"/>
        <v>0</v>
      </c>
      <c r="BO303" s="64">
        <f t="shared" si="56"/>
        <v>0</v>
      </c>
      <c r="BP303" s="64">
        <f t="shared" si="57"/>
        <v>0</v>
      </c>
    </row>
    <row r="304" spans="1:68" ht="27" hidden="1" customHeight="1" x14ac:dyDescent="0.25">
      <c r="A304" s="54" t="s">
        <v>506</v>
      </c>
      <c r="B304" s="54" t="s">
        <v>507</v>
      </c>
      <c r="C304" s="31">
        <v>4301011824</v>
      </c>
      <c r="D304" s="650">
        <v>4680115884144</v>
      </c>
      <c r="E304" s="651"/>
      <c r="F304" s="640">
        <v>0.4</v>
      </c>
      <c r="G304" s="32">
        <v>10</v>
      </c>
      <c r="H304" s="640">
        <v>4</v>
      </c>
      <c r="I304" s="640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1">
        <v>0</v>
      </c>
      <c r="Y304" s="642">
        <f t="shared" si="53"/>
        <v>0</v>
      </c>
      <c r="Z304" s="36" t="str">
        <f>IFERROR(IF(Y304=0,"",ROUNDUP(Y304/H304,0)*0.00902),"")</f>
        <v/>
      </c>
      <c r="AA304" s="56"/>
      <c r="AB304" s="57"/>
      <c r="AC304" s="387" t="s">
        <v>500</v>
      </c>
      <c r="AG304" s="64"/>
      <c r="AJ304" s="68"/>
      <c r="AK304" s="68">
        <v>0</v>
      </c>
      <c r="BB304" s="388" t="s">
        <v>1</v>
      </c>
      <c r="BM304" s="64">
        <f t="shared" si="54"/>
        <v>0</v>
      </c>
      <c r="BN304" s="64">
        <f t="shared" si="55"/>
        <v>0</v>
      </c>
      <c r="BO304" s="64">
        <f t="shared" si="56"/>
        <v>0</v>
      </c>
      <c r="BP304" s="64">
        <f t="shared" si="57"/>
        <v>0</v>
      </c>
    </row>
    <row r="305" spans="1:68" ht="27" hidden="1" customHeight="1" x14ac:dyDescent="0.25">
      <c r="A305" s="54" t="s">
        <v>508</v>
      </c>
      <c r="B305" s="54" t="s">
        <v>509</v>
      </c>
      <c r="C305" s="31">
        <v>4301012149</v>
      </c>
      <c r="D305" s="650">
        <v>4680115886551</v>
      </c>
      <c r="E305" s="651"/>
      <c r="F305" s="640">
        <v>0.4</v>
      </c>
      <c r="G305" s="32">
        <v>10</v>
      </c>
      <c r="H305" s="640">
        <v>4</v>
      </c>
      <c r="I305" s="640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1">
        <v>0</v>
      </c>
      <c r="Y305" s="642">
        <f t="shared" si="53"/>
        <v>0</v>
      </c>
      <c r="Z305" s="36" t="str">
        <f>IFERROR(IF(Y305=0,"",ROUNDUP(Y305/H305,0)*0.00902),"")</f>
        <v/>
      </c>
      <c r="AA305" s="56"/>
      <c r="AB305" s="57"/>
      <c r="AC305" s="389" t="s">
        <v>510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511</v>
      </c>
      <c r="B306" s="54" t="s">
        <v>512</v>
      </c>
      <c r="C306" s="31">
        <v>4301012228</v>
      </c>
      <c r="D306" s="650">
        <v>4680115887282</v>
      </c>
      <c r="E306" s="651"/>
      <c r="F306" s="640">
        <v>0.4</v>
      </c>
      <c r="G306" s="32">
        <v>6</v>
      </c>
      <c r="H306" s="640">
        <v>2.4</v>
      </c>
      <c r="I306" s="640">
        <v>2.58</v>
      </c>
      <c r="J306" s="32">
        <v>182</v>
      </c>
      <c r="K306" s="32" t="s">
        <v>77</v>
      </c>
      <c r="L306" s="32"/>
      <c r="M306" s="33" t="s">
        <v>115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1">
        <v>0</v>
      </c>
      <c r="Y306" s="642">
        <f t="shared" si="53"/>
        <v>0</v>
      </c>
      <c r="Z306" s="36" t="str">
        <f>IFERROR(IF(Y306=0,"",ROUNDUP(Y306/H306,0)*0.00651),"")</f>
        <v/>
      </c>
      <c r="AA306" s="56"/>
      <c r="AB306" s="57"/>
      <c r="AC306" s="391" t="s">
        <v>513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514</v>
      </c>
      <c r="B307" s="54" t="s">
        <v>515</v>
      </c>
      <c r="C307" s="31">
        <v>4301011722</v>
      </c>
      <c r="D307" s="650">
        <v>4680115884205</v>
      </c>
      <c r="E307" s="651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0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1">
        <v>0</v>
      </c>
      <c r="Y307" s="642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351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idden="1" x14ac:dyDescent="0.2">
      <c r="A308" s="655"/>
      <c r="B308" s="656"/>
      <c r="C308" s="656"/>
      <c r="D308" s="656"/>
      <c r="E308" s="656"/>
      <c r="F308" s="656"/>
      <c r="G308" s="656"/>
      <c r="H308" s="656"/>
      <c r="I308" s="656"/>
      <c r="J308" s="656"/>
      <c r="K308" s="656"/>
      <c r="L308" s="656"/>
      <c r="M308" s="656"/>
      <c r="N308" s="656"/>
      <c r="O308" s="657"/>
      <c r="P308" s="667" t="s">
        <v>72</v>
      </c>
      <c r="Q308" s="668"/>
      <c r="R308" s="668"/>
      <c r="S308" s="668"/>
      <c r="T308" s="668"/>
      <c r="U308" s="668"/>
      <c r="V308" s="669"/>
      <c r="W308" s="37" t="s">
        <v>73</v>
      </c>
      <c r="X308" s="643">
        <f>IFERROR(X301/H301,"0")+IFERROR(X302/H302,"0")+IFERROR(X303/H303,"0")+IFERROR(X304/H304,"0")+IFERROR(X305/H305,"0")+IFERROR(X306/H306,"0")+IFERROR(X307/H307,"0")</f>
        <v>0</v>
      </c>
      <c r="Y308" s="643">
        <f>IFERROR(Y301/H301,"0")+IFERROR(Y302/H302,"0")+IFERROR(Y303/H303,"0")+IFERROR(Y304/H304,"0")+IFERROR(Y305/H305,"0")+IFERROR(Y306/H306,"0")+IFERROR(Y307/H307,"0")</f>
        <v>0</v>
      </c>
      <c r="Z308" s="6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4"/>
      <c r="AB308" s="644"/>
      <c r="AC308" s="644"/>
    </row>
    <row r="309" spans="1:68" hidden="1" x14ac:dyDescent="0.2">
      <c r="A309" s="656"/>
      <c r="B309" s="656"/>
      <c r="C309" s="656"/>
      <c r="D309" s="656"/>
      <c r="E309" s="656"/>
      <c r="F309" s="656"/>
      <c r="G309" s="656"/>
      <c r="H309" s="656"/>
      <c r="I309" s="656"/>
      <c r="J309" s="656"/>
      <c r="K309" s="656"/>
      <c r="L309" s="656"/>
      <c r="M309" s="656"/>
      <c r="N309" s="656"/>
      <c r="O309" s="657"/>
      <c r="P309" s="667" t="s">
        <v>72</v>
      </c>
      <c r="Q309" s="668"/>
      <c r="R309" s="668"/>
      <c r="S309" s="668"/>
      <c r="T309" s="668"/>
      <c r="U309" s="668"/>
      <c r="V309" s="669"/>
      <c r="W309" s="37" t="s">
        <v>67</v>
      </c>
      <c r="X309" s="643">
        <f>IFERROR(SUM(X301:X307),"0")</f>
        <v>0</v>
      </c>
      <c r="Y309" s="643">
        <f>IFERROR(SUM(Y301:Y307),"0")</f>
        <v>0</v>
      </c>
      <c r="Z309" s="37"/>
      <c r="AA309" s="644"/>
      <c r="AB309" s="644"/>
      <c r="AC309" s="644"/>
    </row>
    <row r="310" spans="1:68" ht="14.25" hidden="1" customHeight="1" x14ac:dyDescent="0.25">
      <c r="A310" s="672" t="s">
        <v>146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35"/>
      <c r="AB310" s="635"/>
      <c r="AC310" s="635"/>
    </row>
    <row r="311" spans="1:68" ht="27" hidden="1" customHeight="1" x14ac:dyDescent="0.25">
      <c r="A311" s="54" t="s">
        <v>516</v>
      </c>
      <c r="B311" s="54" t="s">
        <v>517</v>
      </c>
      <c r="C311" s="31">
        <v>4301020377</v>
      </c>
      <c r="D311" s="650">
        <v>4680115885981</v>
      </c>
      <c r="E311" s="651"/>
      <c r="F311" s="640">
        <v>0.33</v>
      </c>
      <c r="G311" s="32">
        <v>6</v>
      </c>
      <c r="H311" s="640">
        <v>1.98</v>
      </c>
      <c r="I311" s="640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4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8"/>
      <c r="R311" s="648"/>
      <c r="S311" s="648"/>
      <c r="T311" s="649"/>
      <c r="U311" s="34"/>
      <c r="V311" s="34"/>
      <c r="W311" s="35" t="s">
        <v>67</v>
      </c>
      <c r="X311" s="641">
        <v>0</v>
      </c>
      <c r="Y311" s="642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95" t="s">
        <v>518</v>
      </c>
      <c r="AG311" s="64"/>
      <c r="AJ311" s="68"/>
      <c r="AK311" s="68">
        <v>0</v>
      </c>
      <c r="BB311" s="396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5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67" t="s">
        <v>72</v>
      </c>
      <c r="Q312" s="668"/>
      <c r="R312" s="668"/>
      <c r="S312" s="668"/>
      <c r="T312" s="668"/>
      <c r="U312" s="668"/>
      <c r="V312" s="669"/>
      <c r="W312" s="37" t="s">
        <v>73</v>
      </c>
      <c r="X312" s="643">
        <f>IFERROR(X311/H311,"0")</f>
        <v>0</v>
      </c>
      <c r="Y312" s="643">
        <f>IFERROR(Y311/H311,"0")</f>
        <v>0</v>
      </c>
      <c r="Z312" s="643">
        <f>IFERROR(IF(Z311="",0,Z311),"0")</f>
        <v>0</v>
      </c>
      <c r="AA312" s="644"/>
      <c r="AB312" s="644"/>
      <c r="AC312" s="644"/>
    </row>
    <row r="313" spans="1:68" hidden="1" x14ac:dyDescent="0.2">
      <c r="A313" s="656"/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7"/>
      <c r="P313" s="667" t="s">
        <v>72</v>
      </c>
      <c r="Q313" s="668"/>
      <c r="R313" s="668"/>
      <c r="S313" s="668"/>
      <c r="T313" s="668"/>
      <c r="U313" s="668"/>
      <c r="V313" s="669"/>
      <c r="W313" s="37" t="s">
        <v>67</v>
      </c>
      <c r="X313" s="643">
        <f>IFERROR(SUM(X311:X311),"0")</f>
        <v>0</v>
      </c>
      <c r="Y313" s="643">
        <f>IFERROR(SUM(Y311:Y311),"0")</f>
        <v>0</v>
      </c>
      <c r="Z313" s="37"/>
      <c r="AA313" s="644"/>
      <c r="AB313" s="644"/>
      <c r="AC313" s="644"/>
    </row>
    <row r="314" spans="1:68" ht="14.25" hidden="1" customHeight="1" x14ac:dyDescent="0.25">
      <c r="A314" s="672" t="s">
        <v>519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35"/>
      <c r="AB314" s="635"/>
      <c r="AC314" s="635"/>
    </row>
    <row r="315" spans="1:68" ht="27" hidden="1" customHeight="1" x14ac:dyDescent="0.25">
      <c r="A315" s="54" t="s">
        <v>520</v>
      </c>
      <c r="B315" s="54" t="s">
        <v>521</v>
      </c>
      <c r="C315" s="31">
        <v>4301040362</v>
      </c>
      <c r="D315" s="650">
        <v>4680115886803</v>
      </c>
      <c r="E315" s="651"/>
      <c r="F315" s="640">
        <v>0.12</v>
      </c>
      <c r="G315" s="32">
        <v>15</v>
      </c>
      <c r="H315" s="640">
        <v>1.8</v>
      </c>
      <c r="I315" s="640">
        <v>1.9750000000000001</v>
      </c>
      <c r="J315" s="32">
        <v>216</v>
      </c>
      <c r="K315" s="32" t="s">
        <v>327</v>
      </c>
      <c r="L315" s="32"/>
      <c r="M315" s="33" t="s">
        <v>268</v>
      </c>
      <c r="N315" s="33"/>
      <c r="O315" s="32">
        <v>45</v>
      </c>
      <c r="P315" s="6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8"/>
      <c r="R315" s="648"/>
      <c r="S315" s="648"/>
      <c r="T315" s="649"/>
      <c r="U315" s="34"/>
      <c r="V315" s="34"/>
      <c r="W315" s="35" t="s">
        <v>67</v>
      </c>
      <c r="X315" s="641">
        <v>0</v>
      </c>
      <c r="Y315" s="642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7" t="s">
        <v>522</v>
      </c>
      <c r="AG315" s="64"/>
      <c r="AJ315" s="68"/>
      <c r="AK315" s="68">
        <v>0</v>
      </c>
      <c r="BB315" s="398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55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67" t="s">
        <v>72</v>
      </c>
      <c r="Q316" s="668"/>
      <c r="R316" s="668"/>
      <c r="S316" s="668"/>
      <c r="T316" s="668"/>
      <c r="U316" s="668"/>
      <c r="V316" s="669"/>
      <c r="W316" s="37" t="s">
        <v>73</v>
      </c>
      <c r="X316" s="643">
        <f>IFERROR(X315/H315,"0")</f>
        <v>0</v>
      </c>
      <c r="Y316" s="643">
        <f>IFERROR(Y315/H315,"0")</f>
        <v>0</v>
      </c>
      <c r="Z316" s="643">
        <f>IFERROR(IF(Z315="",0,Z315),"0")</f>
        <v>0</v>
      </c>
      <c r="AA316" s="644"/>
      <c r="AB316" s="644"/>
      <c r="AC316" s="644"/>
    </row>
    <row r="317" spans="1:68" hidden="1" x14ac:dyDescent="0.2">
      <c r="A317" s="656"/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7"/>
      <c r="P317" s="667" t="s">
        <v>72</v>
      </c>
      <c r="Q317" s="668"/>
      <c r="R317" s="668"/>
      <c r="S317" s="668"/>
      <c r="T317" s="668"/>
      <c r="U317" s="668"/>
      <c r="V317" s="669"/>
      <c r="W317" s="37" t="s">
        <v>67</v>
      </c>
      <c r="X317" s="643">
        <f>IFERROR(SUM(X315:X315),"0")</f>
        <v>0</v>
      </c>
      <c r="Y317" s="643">
        <f>IFERROR(SUM(Y315:Y315),"0")</f>
        <v>0</v>
      </c>
      <c r="Z317" s="37"/>
      <c r="AA317" s="644"/>
      <c r="AB317" s="644"/>
      <c r="AC317" s="644"/>
    </row>
    <row r="318" spans="1:68" ht="14.25" hidden="1" customHeight="1" x14ac:dyDescent="0.25">
      <c r="A318" s="672" t="s">
        <v>329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35"/>
      <c r="AB318" s="635"/>
      <c r="AC318" s="635"/>
    </row>
    <row r="319" spans="1:68" ht="27" hidden="1" customHeight="1" x14ac:dyDescent="0.25">
      <c r="A319" s="54" t="s">
        <v>523</v>
      </c>
      <c r="B319" s="54" t="s">
        <v>524</v>
      </c>
      <c r="C319" s="31">
        <v>4301041004</v>
      </c>
      <c r="D319" s="650">
        <v>4680115886704</v>
      </c>
      <c r="E319" s="651"/>
      <c r="F319" s="640">
        <v>5.5E-2</v>
      </c>
      <c r="G319" s="32">
        <v>18</v>
      </c>
      <c r="H319" s="640">
        <v>0.99</v>
      </c>
      <c r="I319" s="640">
        <v>1.18</v>
      </c>
      <c r="J319" s="32">
        <v>216</v>
      </c>
      <c r="K319" s="32" t="s">
        <v>327</v>
      </c>
      <c r="L319" s="32"/>
      <c r="M319" s="33" t="s">
        <v>268</v>
      </c>
      <c r="N319" s="33"/>
      <c r="O319" s="32">
        <v>90</v>
      </c>
      <c r="P319" s="9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8"/>
      <c r="R319" s="648"/>
      <c r="S319" s="648"/>
      <c r="T319" s="649"/>
      <c r="U319" s="34"/>
      <c r="V319" s="34"/>
      <c r="W319" s="35" t="s">
        <v>67</v>
      </c>
      <c r="X319" s="641">
        <v>0</v>
      </c>
      <c r="Y319" s="642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525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526</v>
      </c>
      <c r="B320" s="54" t="s">
        <v>527</v>
      </c>
      <c r="C320" s="31">
        <v>4301041008</v>
      </c>
      <c r="D320" s="650">
        <v>4680115886681</v>
      </c>
      <c r="E320" s="651"/>
      <c r="F320" s="640">
        <v>0.12</v>
      </c>
      <c r="G320" s="32">
        <v>15</v>
      </c>
      <c r="H320" s="640">
        <v>1.8</v>
      </c>
      <c r="I320" s="640">
        <v>1.9750000000000001</v>
      </c>
      <c r="J320" s="32">
        <v>216</v>
      </c>
      <c r="K320" s="32" t="s">
        <v>327</v>
      </c>
      <c r="L320" s="32"/>
      <c r="M320" s="33" t="s">
        <v>268</v>
      </c>
      <c r="N320" s="33"/>
      <c r="O320" s="32">
        <v>90</v>
      </c>
      <c r="P320" s="89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8"/>
      <c r="R320" s="648"/>
      <c r="S320" s="648"/>
      <c r="T320" s="649"/>
      <c r="U320" s="34"/>
      <c r="V320" s="34"/>
      <c r="W320" s="35" t="s">
        <v>67</v>
      </c>
      <c r="X320" s="641">
        <v>0</v>
      </c>
      <c r="Y320" s="642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401" t="s">
        <v>525</v>
      </c>
      <c r="AG320" s="64"/>
      <c r="AJ320" s="68"/>
      <c r="AK320" s="68">
        <v>0</v>
      </c>
      <c r="BB320" s="402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528</v>
      </c>
      <c r="B321" s="54" t="s">
        <v>529</v>
      </c>
      <c r="C321" s="31">
        <v>4301041007</v>
      </c>
      <c r="D321" s="650">
        <v>4680115886735</v>
      </c>
      <c r="E321" s="651"/>
      <c r="F321" s="640">
        <v>0.05</v>
      </c>
      <c r="G321" s="32">
        <v>18</v>
      </c>
      <c r="H321" s="640">
        <v>0.9</v>
      </c>
      <c r="I321" s="640">
        <v>1.0900000000000001</v>
      </c>
      <c r="J321" s="32">
        <v>216</v>
      </c>
      <c r="K321" s="32" t="s">
        <v>327</v>
      </c>
      <c r="L321" s="32"/>
      <c r="M321" s="33" t="s">
        <v>268</v>
      </c>
      <c r="N321" s="33"/>
      <c r="O321" s="32">
        <v>90</v>
      </c>
      <c r="P321" s="92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8"/>
      <c r="R321" s="648"/>
      <c r="S321" s="648"/>
      <c r="T321" s="649"/>
      <c r="U321" s="34"/>
      <c r="V321" s="34"/>
      <c r="W321" s="35" t="s">
        <v>67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525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55"/>
      <c r="B322" s="656"/>
      <c r="C322" s="656"/>
      <c r="D322" s="656"/>
      <c r="E322" s="656"/>
      <c r="F322" s="656"/>
      <c r="G322" s="656"/>
      <c r="H322" s="656"/>
      <c r="I322" s="656"/>
      <c r="J322" s="656"/>
      <c r="K322" s="656"/>
      <c r="L322" s="656"/>
      <c r="M322" s="656"/>
      <c r="N322" s="656"/>
      <c r="O322" s="657"/>
      <c r="P322" s="667" t="s">
        <v>72</v>
      </c>
      <c r="Q322" s="668"/>
      <c r="R322" s="668"/>
      <c r="S322" s="668"/>
      <c r="T322" s="668"/>
      <c r="U322" s="668"/>
      <c r="V322" s="669"/>
      <c r="W322" s="37" t="s">
        <v>73</v>
      </c>
      <c r="X322" s="643">
        <f>IFERROR(X319/H319,"0")+IFERROR(X320/H320,"0")+IFERROR(X321/H321,"0")</f>
        <v>0</v>
      </c>
      <c r="Y322" s="643">
        <f>IFERROR(Y319/H319,"0")+IFERROR(Y320/H320,"0")+IFERROR(Y321/H321,"0")</f>
        <v>0</v>
      </c>
      <c r="Z322" s="643">
        <f>IFERROR(IF(Z319="",0,Z319),"0")+IFERROR(IF(Z320="",0,Z320),"0")+IFERROR(IF(Z321="",0,Z321),"0")</f>
        <v>0</v>
      </c>
      <c r="AA322" s="644"/>
      <c r="AB322" s="644"/>
      <c r="AC322" s="644"/>
    </row>
    <row r="323" spans="1:68" hidden="1" x14ac:dyDescent="0.2">
      <c r="A323" s="656"/>
      <c r="B323" s="656"/>
      <c r="C323" s="656"/>
      <c r="D323" s="656"/>
      <c r="E323" s="656"/>
      <c r="F323" s="656"/>
      <c r="G323" s="656"/>
      <c r="H323" s="656"/>
      <c r="I323" s="656"/>
      <c r="J323" s="656"/>
      <c r="K323" s="656"/>
      <c r="L323" s="656"/>
      <c r="M323" s="656"/>
      <c r="N323" s="656"/>
      <c r="O323" s="657"/>
      <c r="P323" s="667" t="s">
        <v>72</v>
      </c>
      <c r="Q323" s="668"/>
      <c r="R323" s="668"/>
      <c r="S323" s="668"/>
      <c r="T323" s="668"/>
      <c r="U323" s="668"/>
      <c r="V323" s="669"/>
      <c r="W323" s="37" t="s">
        <v>67</v>
      </c>
      <c r="X323" s="643">
        <f>IFERROR(SUM(X319:X321),"0")</f>
        <v>0</v>
      </c>
      <c r="Y323" s="643">
        <f>IFERROR(SUM(Y319:Y321),"0")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66" t="s">
        <v>530</v>
      </c>
      <c r="B324" s="656"/>
      <c r="C324" s="656"/>
      <c r="D324" s="656"/>
      <c r="E324" s="656"/>
      <c r="F324" s="656"/>
      <c r="G324" s="656"/>
      <c r="H324" s="656"/>
      <c r="I324" s="656"/>
      <c r="J324" s="656"/>
      <c r="K324" s="656"/>
      <c r="L324" s="656"/>
      <c r="M324" s="656"/>
      <c r="N324" s="656"/>
      <c r="O324" s="656"/>
      <c r="P324" s="656"/>
      <c r="Q324" s="656"/>
      <c r="R324" s="656"/>
      <c r="S324" s="656"/>
      <c r="T324" s="656"/>
      <c r="U324" s="656"/>
      <c r="V324" s="656"/>
      <c r="W324" s="656"/>
      <c r="X324" s="656"/>
      <c r="Y324" s="656"/>
      <c r="Z324" s="656"/>
      <c r="AA324" s="636"/>
      <c r="AB324" s="636"/>
      <c r="AC324" s="636"/>
    </row>
    <row r="325" spans="1:68" ht="14.25" hidden="1" customHeight="1" x14ac:dyDescent="0.25">
      <c r="A325" s="672" t="s">
        <v>111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35"/>
      <c r="AB325" s="635"/>
      <c r="AC325" s="635"/>
    </row>
    <row r="326" spans="1:68" ht="27" hidden="1" customHeight="1" x14ac:dyDescent="0.25">
      <c r="A326" s="54" t="s">
        <v>531</v>
      </c>
      <c r="B326" s="54" t="s">
        <v>532</v>
      </c>
      <c r="C326" s="31">
        <v>4301011855</v>
      </c>
      <c r="D326" s="650">
        <v>4680115885837</v>
      </c>
      <c r="E326" s="651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4"/>
      <c r="V326" s="34"/>
      <c r="W326" s="35" t="s">
        <v>67</v>
      </c>
      <c r="X326" s="641">
        <v>0</v>
      </c>
      <c r="Y326" s="642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533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534</v>
      </c>
      <c r="B327" s="54" t="s">
        <v>535</v>
      </c>
      <c r="C327" s="31">
        <v>4301012234</v>
      </c>
      <c r="D327" s="650">
        <v>4680115887237</v>
      </c>
      <c r="E327" s="651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8"/>
      <c r="R327" s="648"/>
      <c r="S327" s="648"/>
      <c r="T327" s="649"/>
      <c r="U327" s="34"/>
      <c r="V327" s="34"/>
      <c r="W327" s="35" t="s">
        <v>67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7" t="s">
        <v>536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537</v>
      </c>
      <c r="B328" s="54" t="s">
        <v>538</v>
      </c>
      <c r="C328" s="31">
        <v>4301011850</v>
      </c>
      <c r="D328" s="650">
        <v>4680115885806</v>
      </c>
      <c r="E328" s="651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8"/>
      <c r="R328" s="648"/>
      <c r="S328" s="648"/>
      <c r="T328" s="649"/>
      <c r="U328" s="34"/>
      <c r="V328" s="34"/>
      <c r="W328" s="35" t="s">
        <v>67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9" t="s">
        <v>539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540</v>
      </c>
      <c r="B329" s="54" t="s">
        <v>541</v>
      </c>
      <c r="C329" s="31">
        <v>4301011852</v>
      </c>
      <c r="D329" s="650">
        <v>4680115885844</v>
      </c>
      <c r="E329" s="651"/>
      <c r="F329" s="640">
        <v>0.4</v>
      </c>
      <c r="G329" s="32">
        <v>10</v>
      </c>
      <c r="H329" s="640">
        <v>4</v>
      </c>
      <c r="I329" s="640">
        <v>4.1900000000000004</v>
      </c>
      <c r="J329" s="32">
        <v>132</v>
      </c>
      <c r="K329" s="32" t="s">
        <v>123</v>
      </c>
      <c r="L329" s="32"/>
      <c r="M329" s="33" t="s">
        <v>115</v>
      </c>
      <c r="N329" s="33"/>
      <c r="O329" s="32">
        <v>55</v>
      </c>
      <c r="P329" s="71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4301011851</v>
      </c>
      <c r="D330" s="650">
        <v>4680115885820</v>
      </c>
      <c r="E330" s="651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100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55"/>
      <c r="B331" s="656"/>
      <c r="C331" s="656"/>
      <c r="D331" s="656"/>
      <c r="E331" s="656"/>
      <c r="F331" s="656"/>
      <c r="G331" s="656"/>
      <c r="H331" s="656"/>
      <c r="I331" s="656"/>
      <c r="J331" s="656"/>
      <c r="K331" s="656"/>
      <c r="L331" s="656"/>
      <c r="M331" s="656"/>
      <c r="N331" s="656"/>
      <c r="O331" s="657"/>
      <c r="P331" s="667" t="s">
        <v>72</v>
      </c>
      <c r="Q331" s="668"/>
      <c r="R331" s="668"/>
      <c r="S331" s="668"/>
      <c r="T331" s="668"/>
      <c r="U331" s="668"/>
      <c r="V331" s="669"/>
      <c r="W331" s="37" t="s">
        <v>73</v>
      </c>
      <c r="X331" s="643">
        <f>IFERROR(X326/H326,"0")+IFERROR(X327/H327,"0")+IFERROR(X328/H328,"0")+IFERROR(X329/H329,"0")+IFERROR(X330/H330,"0")</f>
        <v>0</v>
      </c>
      <c r="Y331" s="643">
        <f>IFERROR(Y326/H326,"0")+IFERROR(Y327/H327,"0")+IFERROR(Y328/H328,"0")+IFERROR(Y329/H329,"0")+IFERROR(Y330/H330,"0")</f>
        <v>0</v>
      </c>
      <c r="Z331" s="643">
        <f>IFERROR(IF(Z326="",0,Z326),"0")+IFERROR(IF(Z327="",0,Z327),"0")+IFERROR(IF(Z328="",0,Z328),"0")+IFERROR(IF(Z329="",0,Z329),"0")+IFERROR(IF(Z330="",0,Z330),"0")</f>
        <v>0</v>
      </c>
      <c r="AA331" s="644"/>
      <c r="AB331" s="644"/>
      <c r="AC331" s="644"/>
    </row>
    <row r="332" spans="1:68" hidden="1" x14ac:dyDescent="0.2">
      <c r="A332" s="656"/>
      <c r="B332" s="656"/>
      <c r="C332" s="656"/>
      <c r="D332" s="656"/>
      <c r="E332" s="656"/>
      <c r="F332" s="656"/>
      <c r="G332" s="656"/>
      <c r="H332" s="656"/>
      <c r="I332" s="656"/>
      <c r="J332" s="656"/>
      <c r="K332" s="656"/>
      <c r="L332" s="656"/>
      <c r="M332" s="656"/>
      <c r="N332" s="656"/>
      <c r="O332" s="657"/>
      <c r="P332" s="667" t="s">
        <v>72</v>
      </c>
      <c r="Q332" s="668"/>
      <c r="R332" s="668"/>
      <c r="S332" s="668"/>
      <c r="T332" s="668"/>
      <c r="U332" s="668"/>
      <c r="V332" s="669"/>
      <c r="W332" s="37" t="s">
        <v>67</v>
      </c>
      <c r="X332" s="643">
        <f>IFERROR(SUM(X326:X330),"0")</f>
        <v>0</v>
      </c>
      <c r="Y332" s="643">
        <f>IFERROR(SUM(Y326:Y330),"0")</f>
        <v>0</v>
      </c>
      <c r="Z332" s="37"/>
      <c r="AA332" s="644"/>
      <c r="AB332" s="644"/>
      <c r="AC332" s="644"/>
    </row>
    <row r="333" spans="1:68" ht="16.5" hidden="1" customHeight="1" x14ac:dyDescent="0.25">
      <c r="A333" s="666" t="s">
        <v>546</v>
      </c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6"/>
      <c r="P333" s="656"/>
      <c r="Q333" s="656"/>
      <c r="R333" s="656"/>
      <c r="S333" s="656"/>
      <c r="T333" s="656"/>
      <c r="U333" s="656"/>
      <c r="V333" s="656"/>
      <c r="W333" s="656"/>
      <c r="X333" s="656"/>
      <c r="Y333" s="656"/>
      <c r="Z333" s="656"/>
      <c r="AA333" s="636"/>
      <c r="AB333" s="636"/>
      <c r="AC333" s="636"/>
    </row>
    <row r="334" spans="1:68" ht="14.25" hidden="1" customHeight="1" x14ac:dyDescent="0.25">
      <c r="A334" s="672" t="s">
        <v>74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35"/>
      <c r="AB334" s="635"/>
      <c r="AC334" s="635"/>
    </row>
    <row r="335" spans="1:68" ht="27" hidden="1" customHeight="1" x14ac:dyDescent="0.25">
      <c r="A335" s="54" t="s">
        <v>547</v>
      </c>
      <c r="B335" s="54" t="s">
        <v>548</v>
      </c>
      <c r="C335" s="31">
        <v>4301051893</v>
      </c>
      <c r="D335" s="650">
        <v>4680115886186</v>
      </c>
      <c r="E335" s="651"/>
      <c r="F335" s="640">
        <v>0.3</v>
      </c>
      <c r="G335" s="32">
        <v>6</v>
      </c>
      <c r="H335" s="640">
        <v>1.8</v>
      </c>
      <c r="I335" s="640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8"/>
      <c r="R335" s="648"/>
      <c r="S335" s="648"/>
      <c r="T335" s="649"/>
      <c r="U335" s="34"/>
      <c r="V335" s="34"/>
      <c r="W335" s="35" t="s">
        <v>67</v>
      </c>
      <c r="X335" s="641">
        <v>0</v>
      </c>
      <c r="Y335" s="6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549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550</v>
      </c>
      <c r="B336" s="54" t="s">
        <v>551</v>
      </c>
      <c r="C336" s="31">
        <v>4301051795</v>
      </c>
      <c r="D336" s="650">
        <v>4680115881228</v>
      </c>
      <c r="E336" s="651"/>
      <c r="F336" s="640">
        <v>0.4</v>
      </c>
      <c r="G336" s="32">
        <v>6</v>
      </c>
      <c r="H336" s="640">
        <v>2.4</v>
      </c>
      <c r="I336" s="640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4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8"/>
      <c r="R336" s="648"/>
      <c r="S336" s="648"/>
      <c r="T336" s="649"/>
      <c r="U336" s="34"/>
      <c r="V336" s="34"/>
      <c r="W336" s="35" t="s">
        <v>67</v>
      </c>
      <c r="X336" s="641">
        <v>52</v>
      </c>
      <c r="Y336" s="642">
        <f>IFERROR(IF(X336="",0,CEILING((X336/$H336),1)*$H336),"")</f>
        <v>52.8</v>
      </c>
      <c r="Z336" s="36">
        <f>IFERROR(IF(Y336=0,"",ROUNDUP(Y336/H336,0)*0.00651),"")</f>
        <v>0.14322000000000001</v>
      </c>
      <c r="AA336" s="56"/>
      <c r="AB336" s="57"/>
      <c r="AC336" s="417" t="s">
        <v>552</v>
      </c>
      <c r="AG336" s="64"/>
      <c r="AJ336" s="68"/>
      <c r="AK336" s="68">
        <v>0</v>
      </c>
      <c r="BB336" s="418" t="s">
        <v>1</v>
      </c>
      <c r="BM336" s="64">
        <f>IFERROR(X336*I336/H336,"0")</f>
        <v>57.46</v>
      </c>
      <c r="BN336" s="64">
        <f>IFERROR(Y336*I336/H336,"0")</f>
        <v>58.344000000000001</v>
      </c>
      <c r="BO336" s="64">
        <f>IFERROR(1/J336*(X336/H336),"0")</f>
        <v>0.11904761904761907</v>
      </c>
      <c r="BP336" s="64">
        <f>IFERROR(1/J336*(Y336/H336),"0")</f>
        <v>0.12087912087912089</v>
      </c>
    </row>
    <row r="337" spans="1:68" ht="27" customHeight="1" x14ac:dyDescent="0.25">
      <c r="A337" s="54" t="s">
        <v>553</v>
      </c>
      <c r="B337" s="54" t="s">
        <v>554</v>
      </c>
      <c r="C337" s="31">
        <v>4301051388</v>
      </c>
      <c r="D337" s="650">
        <v>4680115881211</v>
      </c>
      <c r="E337" s="651"/>
      <c r="F337" s="640">
        <v>0.4</v>
      </c>
      <c r="G337" s="32">
        <v>6</v>
      </c>
      <c r="H337" s="640">
        <v>2.4</v>
      </c>
      <c r="I337" s="640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3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8"/>
      <c r="R337" s="648"/>
      <c r="S337" s="648"/>
      <c r="T337" s="649"/>
      <c r="U337" s="34"/>
      <c r="V337" s="34"/>
      <c r="W337" s="35" t="s">
        <v>67</v>
      </c>
      <c r="X337" s="641">
        <v>69</v>
      </c>
      <c r="Y337" s="642">
        <f>IFERROR(IF(X337="",0,CEILING((X337/$H337),1)*$H337),"")</f>
        <v>69.599999999999994</v>
      </c>
      <c r="Z337" s="36">
        <f>IFERROR(IF(Y337=0,"",ROUNDUP(Y337/H337,0)*0.00651),"")</f>
        <v>0.18879000000000001</v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74.175000000000011</v>
      </c>
      <c r="BN337" s="64">
        <f>IFERROR(Y337*I337/H337,"0")</f>
        <v>74.819999999999993</v>
      </c>
      <c r="BO337" s="64">
        <f>IFERROR(1/J337*(X337/H337),"0")</f>
        <v>0.15796703296703299</v>
      </c>
      <c r="BP337" s="64">
        <f>IFERROR(1/J337*(Y337/H337),"0")</f>
        <v>0.15934065934065936</v>
      </c>
    </row>
    <row r="338" spans="1:68" x14ac:dyDescent="0.2">
      <c r="A338" s="655"/>
      <c r="B338" s="656"/>
      <c r="C338" s="656"/>
      <c r="D338" s="656"/>
      <c r="E338" s="656"/>
      <c r="F338" s="656"/>
      <c r="G338" s="656"/>
      <c r="H338" s="656"/>
      <c r="I338" s="656"/>
      <c r="J338" s="656"/>
      <c r="K338" s="656"/>
      <c r="L338" s="656"/>
      <c r="M338" s="656"/>
      <c r="N338" s="656"/>
      <c r="O338" s="657"/>
      <c r="P338" s="667" t="s">
        <v>72</v>
      </c>
      <c r="Q338" s="668"/>
      <c r="R338" s="668"/>
      <c r="S338" s="668"/>
      <c r="T338" s="668"/>
      <c r="U338" s="668"/>
      <c r="V338" s="669"/>
      <c r="W338" s="37" t="s">
        <v>73</v>
      </c>
      <c r="X338" s="643">
        <f>IFERROR(X335/H335,"0")+IFERROR(X336/H336,"0")+IFERROR(X337/H337,"0")</f>
        <v>50.416666666666671</v>
      </c>
      <c r="Y338" s="643">
        <f>IFERROR(Y335/H335,"0")+IFERROR(Y336/H336,"0")+IFERROR(Y337/H337,"0")</f>
        <v>51</v>
      </c>
      <c r="Z338" s="643">
        <f>IFERROR(IF(Z335="",0,Z335),"0")+IFERROR(IF(Z336="",0,Z336),"0")+IFERROR(IF(Z337="",0,Z337),"0")</f>
        <v>0.33201000000000003</v>
      </c>
      <c r="AA338" s="644"/>
      <c r="AB338" s="644"/>
      <c r="AC338" s="644"/>
    </row>
    <row r="339" spans="1:68" x14ac:dyDescent="0.2">
      <c r="A339" s="656"/>
      <c r="B339" s="656"/>
      <c r="C339" s="656"/>
      <c r="D339" s="656"/>
      <c r="E339" s="656"/>
      <c r="F339" s="656"/>
      <c r="G339" s="656"/>
      <c r="H339" s="656"/>
      <c r="I339" s="656"/>
      <c r="J339" s="656"/>
      <c r="K339" s="656"/>
      <c r="L339" s="656"/>
      <c r="M339" s="656"/>
      <c r="N339" s="656"/>
      <c r="O339" s="657"/>
      <c r="P339" s="667" t="s">
        <v>72</v>
      </c>
      <c r="Q339" s="668"/>
      <c r="R339" s="668"/>
      <c r="S339" s="668"/>
      <c r="T339" s="668"/>
      <c r="U339" s="668"/>
      <c r="V339" s="669"/>
      <c r="W339" s="37" t="s">
        <v>67</v>
      </c>
      <c r="X339" s="643">
        <f>IFERROR(SUM(X335:X337),"0")</f>
        <v>121</v>
      </c>
      <c r="Y339" s="643">
        <f>IFERROR(SUM(Y335:Y337),"0")</f>
        <v>122.39999999999999</v>
      </c>
      <c r="Z339" s="37"/>
      <c r="AA339" s="644"/>
      <c r="AB339" s="644"/>
      <c r="AC339" s="644"/>
    </row>
    <row r="340" spans="1:68" ht="16.5" hidden="1" customHeight="1" x14ac:dyDescent="0.25">
      <c r="A340" s="666" t="s">
        <v>555</v>
      </c>
      <c r="B340" s="656"/>
      <c r="C340" s="656"/>
      <c r="D340" s="656"/>
      <c r="E340" s="656"/>
      <c r="F340" s="656"/>
      <c r="G340" s="656"/>
      <c r="H340" s="656"/>
      <c r="I340" s="656"/>
      <c r="J340" s="656"/>
      <c r="K340" s="656"/>
      <c r="L340" s="656"/>
      <c r="M340" s="656"/>
      <c r="N340" s="656"/>
      <c r="O340" s="656"/>
      <c r="P340" s="656"/>
      <c r="Q340" s="656"/>
      <c r="R340" s="656"/>
      <c r="S340" s="656"/>
      <c r="T340" s="656"/>
      <c r="U340" s="656"/>
      <c r="V340" s="656"/>
      <c r="W340" s="656"/>
      <c r="X340" s="656"/>
      <c r="Y340" s="656"/>
      <c r="Z340" s="656"/>
      <c r="AA340" s="636"/>
      <c r="AB340" s="636"/>
      <c r="AC340" s="636"/>
    </row>
    <row r="341" spans="1:68" ht="14.25" hidden="1" customHeight="1" x14ac:dyDescent="0.25">
      <c r="A341" s="672" t="s">
        <v>62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35"/>
      <c r="AB341" s="635"/>
      <c r="AC341" s="635"/>
    </row>
    <row r="342" spans="1:68" ht="27" hidden="1" customHeight="1" x14ac:dyDescent="0.25">
      <c r="A342" s="54" t="s">
        <v>556</v>
      </c>
      <c r="B342" s="54" t="s">
        <v>557</v>
      </c>
      <c r="C342" s="31">
        <v>4301031445</v>
      </c>
      <c r="D342" s="650">
        <v>4680115888319</v>
      </c>
      <c r="E342" s="651"/>
      <c r="F342" s="640">
        <v>0.35</v>
      </c>
      <c r="G342" s="32">
        <v>6</v>
      </c>
      <c r="H342" s="640">
        <v>2.1</v>
      </c>
      <c r="I342" s="640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8"/>
      <c r="R342" s="648"/>
      <c r="S342" s="648"/>
      <c r="T342" s="649"/>
      <c r="U342" s="34"/>
      <c r="V342" s="34"/>
      <c r="W342" s="35" t="s">
        <v>67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383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558</v>
      </c>
      <c r="B343" s="54" t="s">
        <v>559</v>
      </c>
      <c r="C343" s="31">
        <v>4301031502</v>
      </c>
      <c r="D343" s="650">
        <v>4680115884700</v>
      </c>
      <c r="E343" s="651"/>
      <c r="F343" s="640">
        <v>0.57999999999999996</v>
      </c>
      <c r="G343" s="32">
        <v>4</v>
      </c>
      <c r="H343" s="640">
        <v>2.3199999999999998</v>
      </c>
      <c r="I343" s="640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8"/>
      <c r="R343" s="648"/>
      <c r="S343" s="648"/>
      <c r="T343" s="649"/>
      <c r="U343" s="34"/>
      <c r="V343" s="34"/>
      <c r="W343" s="35" t="s">
        <v>67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560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561</v>
      </c>
      <c r="B344" s="54" t="s">
        <v>562</v>
      </c>
      <c r="C344" s="31">
        <v>4301031307</v>
      </c>
      <c r="D344" s="650">
        <v>4680115880344</v>
      </c>
      <c r="E344" s="651"/>
      <c r="F344" s="640">
        <v>0.28000000000000003</v>
      </c>
      <c r="G344" s="32">
        <v>6</v>
      </c>
      <c r="H344" s="640">
        <v>1.68</v>
      </c>
      <c r="I344" s="640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8"/>
      <c r="R344" s="648"/>
      <c r="S344" s="648"/>
      <c r="T344" s="649"/>
      <c r="U344" s="34"/>
      <c r="V344" s="34"/>
      <c r="W344" s="35" t="s">
        <v>67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563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564</v>
      </c>
      <c r="B345" s="54" t="s">
        <v>565</v>
      </c>
      <c r="C345" s="31">
        <v>4301031501</v>
      </c>
      <c r="D345" s="650">
        <v>4680115886919</v>
      </c>
      <c r="E345" s="651"/>
      <c r="F345" s="640">
        <v>0.4</v>
      </c>
      <c r="G345" s="32">
        <v>6</v>
      </c>
      <c r="H345" s="640">
        <v>2.4</v>
      </c>
      <c r="I345" s="640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9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7" t="s">
        <v>566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4301031246</v>
      </c>
      <c r="D346" s="650">
        <v>4680115883970</v>
      </c>
      <c r="E346" s="651"/>
      <c r="F346" s="640">
        <v>0.28000000000000003</v>
      </c>
      <c r="G346" s="32">
        <v>6</v>
      </c>
      <c r="H346" s="640">
        <v>1.68</v>
      </c>
      <c r="I346" s="640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5"/>
      <c r="B347" s="656"/>
      <c r="C347" s="656"/>
      <c r="D347" s="656"/>
      <c r="E347" s="656"/>
      <c r="F347" s="656"/>
      <c r="G347" s="656"/>
      <c r="H347" s="656"/>
      <c r="I347" s="656"/>
      <c r="J347" s="656"/>
      <c r="K347" s="656"/>
      <c r="L347" s="656"/>
      <c r="M347" s="656"/>
      <c r="N347" s="656"/>
      <c r="O347" s="657"/>
      <c r="P347" s="667" t="s">
        <v>72</v>
      </c>
      <c r="Q347" s="668"/>
      <c r="R347" s="668"/>
      <c r="S347" s="668"/>
      <c r="T347" s="668"/>
      <c r="U347" s="668"/>
      <c r="V347" s="669"/>
      <c r="W347" s="37" t="s">
        <v>73</v>
      </c>
      <c r="X347" s="643">
        <f>IFERROR(X342/H342,"0")+IFERROR(X343/H343,"0")+IFERROR(X344/H344,"0")+IFERROR(X345/H345,"0")+IFERROR(X346/H346,"0")</f>
        <v>0</v>
      </c>
      <c r="Y347" s="643">
        <f>IFERROR(Y342/H342,"0")+IFERROR(Y343/H343,"0")+IFERROR(Y344/H344,"0")+IFERROR(Y345/H345,"0")+IFERROR(Y346/H346,"0")</f>
        <v>0</v>
      </c>
      <c r="Z347" s="643">
        <f>IFERROR(IF(Z342="",0,Z342),"0")+IFERROR(IF(Z343="",0,Z343),"0")+IFERROR(IF(Z344="",0,Z344),"0")+IFERROR(IF(Z345="",0,Z345),"0")+IFERROR(IF(Z346="",0,Z346),"0")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67" t="s">
        <v>72</v>
      </c>
      <c r="Q348" s="668"/>
      <c r="R348" s="668"/>
      <c r="S348" s="668"/>
      <c r="T348" s="668"/>
      <c r="U348" s="668"/>
      <c r="V348" s="669"/>
      <c r="W348" s="37" t="s">
        <v>67</v>
      </c>
      <c r="X348" s="643">
        <f>IFERROR(SUM(X342:X346),"0")</f>
        <v>0</v>
      </c>
      <c r="Y348" s="643">
        <f>IFERROR(SUM(Y342:Y346),"0")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72" t="s">
        <v>74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35"/>
      <c r="AB349" s="635"/>
      <c r="AC349" s="635"/>
    </row>
    <row r="350" spans="1:68" ht="27" hidden="1" customHeight="1" x14ac:dyDescent="0.25">
      <c r="A350" s="54" t="s">
        <v>570</v>
      </c>
      <c r="B350" s="54" t="s">
        <v>571</v>
      </c>
      <c r="C350" s="31">
        <v>4301051782</v>
      </c>
      <c r="D350" s="650">
        <v>4680115884618</v>
      </c>
      <c r="E350" s="651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123</v>
      </c>
      <c r="L350" s="32"/>
      <c r="M350" s="33" t="s">
        <v>78</v>
      </c>
      <c r="N350" s="33"/>
      <c r="O350" s="32">
        <v>45</v>
      </c>
      <c r="P350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4"/>
      <c r="V350" s="34"/>
      <c r="W350" s="35" t="s">
        <v>67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572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573</v>
      </c>
      <c r="B351" s="54" t="s">
        <v>574</v>
      </c>
      <c r="C351" s="31">
        <v>4301052057</v>
      </c>
      <c r="D351" s="650">
        <v>4680115887114</v>
      </c>
      <c r="E351" s="651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80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4"/>
      <c r="V351" s="34"/>
      <c r="W351" s="35" t="s">
        <v>67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575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5"/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7"/>
      <c r="P352" s="667" t="s">
        <v>72</v>
      </c>
      <c r="Q352" s="668"/>
      <c r="R352" s="668"/>
      <c r="S352" s="668"/>
      <c r="T352" s="668"/>
      <c r="U352" s="668"/>
      <c r="V352" s="669"/>
      <c r="W352" s="37" t="s">
        <v>73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67" t="s">
        <v>72</v>
      </c>
      <c r="Q353" s="668"/>
      <c r="R353" s="668"/>
      <c r="S353" s="668"/>
      <c r="T353" s="668"/>
      <c r="U353" s="668"/>
      <c r="V353" s="669"/>
      <c r="W353" s="37" t="s">
        <v>67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66" t="s">
        <v>576</v>
      </c>
      <c r="B354" s="656"/>
      <c r="C354" s="656"/>
      <c r="D354" s="656"/>
      <c r="E354" s="656"/>
      <c r="F354" s="656"/>
      <c r="G354" s="656"/>
      <c r="H354" s="656"/>
      <c r="I354" s="656"/>
      <c r="J354" s="656"/>
      <c r="K354" s="656"/>
      <c r="L354" s="656"/>
      <c r="M354" s="656"/>
      <c r="N354" s="656"/>
      <c r="O354" s="656"/>
      <c r="P354" s="656"/>
      <c r="Q354" s="656"/>
      <c r="R354" s="656"/>
      <c r="S354" s="656"/>
      <c r="T354" s="656"/>
      <c r="U354" s="656"/>
      <c r="V354" s="656"/>
      <c r="W354" s="656"/>
      <c r="X354" s="656"/>
      <c r="Y354" s="656"/>
      <c r="Z354" s="656"/>
      <c r="AA354" s="636"/>
      <c r="AB354" s="636"/>
      <c r="AC354" s="636"/>
    </row>
    <row r="355" spans="1:68" ht="14.25" hidden="1" customHeight="1" x14ac:dyDescent="0.25">
      <c r="A355" s="672" t="s">
        <v>111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35"/>
      <c r="AB355" s="635"/>
      <c r="AC355" s="635"/>
    </row>
    <row r="356" spans="1:68" ht="27" hidden="1" customHeight="1" x14ac:dyDescent="0.25">
      <c r="A356" s="54" t="s">
        <v>577</v>
      </c>
      <c r="B356" s="54" t="s">
        <v>578</v>
      </c>
      <c r="C356" s="31">
        <v>4301012324</v>
      </c>
      <c r="D356" s="650">
        <v>4680115887947</v>
      </c>
      <c r="E356" s="651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2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4"/>
      <c r="V356" s="34"/>
      <c r="W356" s="35" t="s">
        <v>67</v>
      </c>
      <c r="X356" s="641">
        <v>0</v>
      </c>
      <c r="Y356" s="642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342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579</v>
      </c>
      <c r="B357" s="54" t="s">
        <v>580</v>
      </c>
      <c r="C357" s="31">
        <v>4301012325</v>
      </c>
      <c r="D357" s="650">
        <v>4680115887978</v>
      </c>
      <c r="E357" s="651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4"/>
      <c r="V357" s="34"/>
      <c r="W357" s="35" t="s">
        <v>67</v>
      </c>
      <c r="X357" s="641">
        <v>0</v>
      </c>
      <c r="Y357" s="6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7" t="s">
        <v>581</v>
      </c>
      <c r="AG357" s="64"/>
      <c r="AJ357" s="68"/>
      <c r="AK357" s="68">
        <v>0</v>
      </c>
      <c r="BB357" s="43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582</v>
      </c>
      <c r="B358" s="54" t="s">
        <v>583</v>
      </c>
      <c r="C358" s="31">
        <v>4301012327</v>
      </c>
      <c r="D358" s="650">
        <v>4680115887992</v>
      </c>
      <c r="E358" s="651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81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4"/>
      <c r="V358" s="34"/>
      <c r="W358" s="35" t="s">
        <v>67</v>
      </c>
      <c r="X358" s="641">
        <v>0</v>
      </c>
      <c r="Y358" s="6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9" t="s">
        <v>584</v>
      </c>
      <c r="AG358" s="64"/>
      <c r="AJ358" s="68"/>
      <c r="AK358" s="68">
        <v>0</v>
      </c>
      <c r="BB358" s="44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55"/>
      <c r="B359" s="656"/>
      <c r="C359" s="656"/>
      <c r="D359" s="656"/>
      <c r="E359" s="656"/>
      <c r="F359" s="656"/>
      <c r="G359" s="656"/>
      <c r="H359" s="656"/>
      <c r="I359" s="656"/>
      <c r="J359" s="656"/>
      <c r="K359" s="656"/>
      <c r="L359" s="656"/>
      <c r="M359" s="656"/>
      <c r="N359" s="656"/>
      <c r="O359" s="657"/>
      <c r="P359" s="667" t="s">
        <v>72</v>
      </c>
      <c r="Q359" s="668"/>
      <c r="R359" s="668"/>
      <c r="S359" s="668"/>
      <c r="T359" s="668"/>
      <c r="U359" s="668"/>
      <c r="V359" s="669"/>
      <c r="W359" s="37" t="s">
        <v>73</v>
      </c>
      <c r="X359" s="643">
        <f>IFERROR(X356/H356,"0")+IFERROR(X357/H357,"0")+IFERROR(X358/H358,"0")</f>
        <v>0</v>
      </c>
      <c r="Y359" s="643">
        <f>IFERROR(Y356/H356,"0")+IFERROR(Y357/H357,"0")+IFERROR(Y358/H358,"0")</f>
        <v>0</v>
      </c>
      <c r="Z359" s="643">
        <f>IFERROR(IF(Z356="",0,Z356),"0")+IFERROR(IF(Z357="",0,Z357),"0")+IFERROR(IF(Z358="",0,Z358),"0")</f>
        <v>0</v>
      </c>
      <c r="AA359" s="644"/>
      <c r="AB359" s="644"/>
      <c r="AC359" s="644"/>
    </row>
    <row r="360" spans="1:68" hidden="1" x14ac:dyDescent="0.2">
      <c r="A360" s="656"/>
      <c r="B360" s="656"/>
      <c r="C360" s="656"/>
      <c r="D360" s="656"/>
      <c r="E360" s="656"/>
      <c r="F360" s="656"/>
      <c r="G360" s="656"/>
      <c r="H360" s="656"/>
      <c r="I360" s="656"/>
      <c r="J360" s="656"/>
      <c r="K360" s="656"/>
      <c r="L360" s="656"/>
      <c r="M360" s="656"/>
      <c r="N360" s="656"/>
      <c r="O360" s="657"/>
      <c r="P360" s="667" t="s">
        <v>72</v>
      </c>
      <c r="Q360" s="668"/>
      <c r="R360" s="668"/>
      <c r="S360" s="668"/>
      <c r="T360" s="668"/>
      <c r="U360" s="668"/>
      <c r="V360" s="669"/>
      <c r="W360" s="37" t="s">
        <v>67</v>
      </c>
      <c r="X360" s="643">
        <f>IFERROR(SUM(X356:X358),"0")</f>
        <v>0</v>
      </c>
      <c r="Y360" s="643">
        <f>IFERROR(SUM(Y356:Y358),"0")</f>
        <v>0</v>
      </c>
      <c r="Z360" s="37"/>
      <c r="AA360" s="644"/>
      <c r="AB360" s="644"/>
      <c r="AC360" s="644"/>
    </row>
    <row r="361" spans="1:68" ht="16.5" hidden="1" customHeight="1" x14ac:dyDescent="0.25">
      <c r="A361" s="666" t="s">
        <v>585</v>
      </c>
      <c r="B361" s="656"/>
      <c r="C361" s="656"/>
      <c r="D361" s="656"/>
      <c r="E361" s="656"/>
      <c r="F361" s="656"/>
      <c r="G361" s="656"/>
      <c r="H361" s="656"/>
      <c r="I361" s="656"/>
      <c r="J361" s="656"/>
      <c r="K361" s="656"/>
      <c r="L361" s="656"/>
      <c r="M361" s="656"/>
      <c r="N361" s="656"/>
      <c r="O361" s="656"/>
      <c r="P361" s="656"/>
      <c r="Q361" s="656"/>
      <c r="R361" s="656"/>
      <c r="S361" s="656"/>
      <c r="T361" s="656"/>
      <c r="U361" s="656"/>
      <c r="V361" s="656"/>
      <c r="W361" s="656"/>
      <c r="X361" s="656"/>
      <c r="Y361" s="656"/>
      <c r="Z361" s="656"/>
      <c r="AA361" s="636"/>
      <c r="AB361" s="636"/>
      <c r="AC361" s="636"/>
    </row>
    <row r="362" spans="1:68" ht="14.25" hidden="1" customHeight="1" x14ac:dyDescent="0.25">
      <c r="A362" s="672" t="s">
        <v>111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35"/>
      <c r="AB362" s="635"/>
      <c r="AC362" s="635"/>
    </row>
    <row r="363" spans="1:68" ht="27" hidden="1" customHeight="1" x14ac:dyDescent="0.25">
      <c r="A363" s="54" t="s">
        <v>586</v>
      </c>
      <c r="B363" s="54" t="s">
        <v>587</v>
      </c>
      <c r="C363" s="31">
        <v>4301012360</v>
      </c>
      <c r="D363" s="650">
        <v>4680115889293</v>
      </c>
      <c r="E363" s="651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114</v>
      </c>
      <c r="L363" s="32"/>
      <c r="M363" s="33" t="s">
        <v>115</v>
      </c>
      <c r="N363" s="33"/>
      <c r="O363" s="32">
        <v>55</v>
      </c>
      <c r="P363" s="100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48"/>
      <c r="R363" s="648"/>
      <c r="S363" s="648"/>
      <c r="T363" s="649"/>
      <c r="U363" s="34"/>
      <c r="V363" s="34"/>
      <c r="W363" s="35" t="s">
        <v>67</v>
      </c>
      <c r="X363" s="641">
        <v>0</v>
      </c>
      <c r="Y363" s="642">
        <f t="shared" ref="Y363:Y368" si="58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588</v>
      </c>
      <c r="AG363" s="64"/>
      <c r="AJ363" s="68"/>
      <c r="AK363" s="68">
        <v>0</v>
      </c>
      <c r="BB363" s="442" t="s">
        <v>1</v>
      </c>
      <c r="BM363" s="64">
        <f t="shared" ref="BM363:BM368" si="59">IFERROR(X363*I363/H363,"0")</f>
        <v>0</v>
      </c>
      <c r="BN363" s="64">
        <f t="shared" ref="BN363:BN368" si="60">IFERROR(Y363*I363/H363,"0")</f>
        <v>0</v>
      </c>
      <c r="BO363" s="64">
        <f t="shared" ref="BO363:BO368" si="61">IFERROR(1/J363*(X363/H363),"0")</f>
        <v>0</v>
      </c>
      <c r="BP363" s="64">
        <f t="shared" ref="BP363:BP368" si="62">IFERROR(1/J363*(Y363/H363),"0")</f>
        <v>0</v>
      </c>
    </row>
    <row r="364" spans="1:68" ht="27" hidden="1" customHeight="1" x14ac:dyDescent="0.25">
      <c r="A364" s="54" t="s">
        <v>589</v>
      </c>
      <c r="B364" s="54" t="s">
        <v>590</v>
      </c>
      <c r="C364" s="31">
        <v>4301012235</v>
      </c>
      <c r="D364" s="650">
        <v>4680115887190</v>
      </c>
      <c r="E364" s="651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4"/>
      <c r="V364" s="34"/>
      <c r="W364" s="35" t="s">
        <v>67</v>
      </c>
      <c r="X364" s="641">
        <v>0</v>
      </c>
      <c r="Y364" s="642">
        <f t="shared" si="58"/>
        <v>0</v>
      </c>
      <c r="Z364" s="36" t="str">
        <f>IFERROR(IF(Y364=0,"",ROUNDUP(Y364/H364,0)*0.01898),"")</f>
        <v/>
      </c>
      <c r="AA364" s="56"/>
      <c r="AB364" s="57"/>
      <c r="AC364" s="443" t="s">
        <v>591</v>
      </c>
      <c r="AG364" s="64"/>
      <c r="AJ364" s="68"/>
      <c r="AK364" s="68">
        <v>0</v>
      </c>
      <c r="BB364" s="444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37.5" hidden="1" customHeight="1" x14ac:dyDescent="0.25">
      <c r="A365" s="54" t="s">
        <v>592</v>
      </c>
      <c r="B365" s="54" t="s">
        <v>593</v>
      </c>
      <c r="C365" s="31">
        <v>4301012233</v>
      </c>
      <c r="D365" s="650">
        <v>4680115887138</v>
      </c>
      <c r="E365" s="651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8"/>
      <c r="R365" s="648"/>
      <c r="S365" s="648"/>
      <c r="T365" s="649"/>
      <c r="U365" s="34"/>
      <c r="V365" s="34"/>
      <c r="W365" s="35" t="s">
        <v>67</v>
      </c>
      <c r="X365" s="641">
        <v>0</v>
      </c>
      <c r="Y365" s="642">
        <f t="shared" si="58"/>
        <v>0</v>
      </c>
      <c r="Z365" s="36" t="str">
        <f>IFERROR(IF(Y365=0,"",ROUNDUP(Y365/H365,0)*0.01898),"")</f>
        <v/>
      </c>
      <c r="AA365" s="56"/>
      <c r="AB365" s="57"/>
      <c r="AC365" s="445" t="s">
        <v>594</v>
      </c>
      <c r="AG365" s="64"/>
      <c r="AJ365" s="68"/>
      <c r="AK365" s="68">
        <v>0</v>
      </c>
      <c r="BB365" s="446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t="27" hidden="1" customHeight="1" x14ac:dyDescent="0.25">
      <c r="A366" s="54" t="s">
        <v>595</v>
      </c>
      <c r="B366" s="54" t="s">
        <v>596</v>
      </c>
      <c r="C366" s="31">
        <v>4301012016</v>
      </c>
      <c r="D366" s="650">
        <v>4680115885554</v>
      </c>
      <c r="E366" s="651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114</v>
      </c>
      <c r="L366" s="32"/>
      <c r="M366" s="33" t="s">
        <v>78</v>
      </c>
      <c r="N366" s="33"/>
      <c r="O366" s="32">
        <v>55</v>
      </c>
      <c r="P366" s="67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1">
        <v>0</v>
      </c>
      <c r="Y366" s="642">
        <f t="shared" si="58"/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 t="shared" si="59"/>
        <v>0</v>
      </c>
      <c r="BN366" s="64">
        <f t="shared" si="60"/>
        <v>0</v>
      </c>
      <c r="BO366" s="64">
        <f t="shared" si="61"/>
        <v>0</v>
      </c>
      <c r="BP366" s="64">
        <f t="shared" si="62"/>
        <v>0</v>
      </c>
    </row>
    <row r="367" spans="1:68" ht="27" hidden="1" customHeight="1" x14ac:dyDescent="0.25">
      <c r="A367" s="54" t="s">
        <v>598</v>
      </c>
      <c r="B367" s="54" t="s">
        <v>599</v>
      </c>
      <c r="C367" s="31">
        <v>4301012236</v>
      </c>
      <c r="D367" s="650">
        <v>4680115887220</v>
      </c>
      <c r="E367" s="651"/>
      <c r="F367" s="640">
        <v>0.4</v>
      </c>
      <c r="G367" s="32">
        <v>10</v>
      </c>
      <c r="H367" s="640">
        <v>4</v>
      </c>
      <c r="I367" s="640">
        <v>4.1900000000000004</v>
      </c>
      <c r="J367" s="32">
        <v>132</v>
      </c>
      <c r="K367" s="32" t="s">
        <v>123</v>
      </c>
      <c r="L367" s="32"/>
      <c r="M367" s="33" t="s">
        <v>115</v>
      </c>
      <c r="N367" s="33"/>
      <c r="O367" s="32">
        <v>55</v>
      </c>
      <c r="P367" s="9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1">
        <v>0</v>
      </c>
      <c r="Y367" s="642">
        <f t="shared" si="58"/>
        <v>0</v>
      </c>
      <c r="Z367" s="36" t="str">
        <f>IFERROR(IF(Y367=0,"",ROUNDUP(Y367/H367,0)*0.00902),"")</f>
        <v/>
      </c>
      <c r="AA367" s="56"/>
      <c r="AB367" s="57"/>
      <c r="AC367" s="449" t="s">
        <v>591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600</v>
      </c>
      <c r="B368" s="54" t="s">
        <v>601</v>
      </c>
      <c r="C368" s="31">
        <v>4301011859</v>
      </c>
      <c r="D368" s="650">
        <v>4680115885608</v>
      </c>
      <c r="E368" s="651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123</v>
      </c>
      <c r="L368" s="32"/>
      <c r="M368" s="33" t="s">
        <v>115</v>
      </c>
      <c r="N368" s="33"/>
      <c r="O368" s="32">
        <v>55</v>
      </c>
      <c r="P368" s="99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1">
        <v>0</v>
      </c>
      <c r="Y368" s="642">
        <f t="shared" si="58"/>
        <v>0</v>
      </c>
      <c r="Z368" s="36" t="str">
        <f>IFERROR(IF(Y368=0,"",ROUNDUP(Y368/H368,0)*0.00902),"")</f>
        <v/>
      </c>
      <c r="AA368" s="56"/>
      <c r="AB368" s="57"/>
      <c r="AC368" s="451" t="s">
        <v>602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idden="1" x14ac:dyDescent="0.2">
      <c r="A369" s="655"/>
      <c r="B369" s="656"/>
      <c r="C369" s="656"/>
      <c r="D369" s="656"/>
      <c r="E369" s="656"/>
      <c r="F369" s="656"/>
      <c r="G369" s="656"/>
      <c r="H369" s="656"/>
      <c r="I369" s="656"/>
      <c r="J369" s="656"/>
      <c r="K369" s="656"/>
      <c r="L369" s="656"/>
      <c r="M369" s="656"/>
      <c r="N369" s="656"/>
      <c r="O369" s="657"/>
      <c r="P369" s="667" t="s">
        <v>72</v>
      </c>
      <c r="Q369" s="668"/>
      <c r="R369" s="668"/>
      <c r="S369" s="668"/>
      <c r="T369" s="668"/>
      <c r="U369" s="668"/>
      <c r="V369" s="669"/>
      <c r="W369" s="37" t="s">
        <v>73</v>
      </c>
      <c r="X369" s="643">
        <f>IFERROR(X363/H363,"0")+IFERROR(X364/H364,"0")+IFERROR(X365/H365,"0")+IFERROR(X366/H366,"0")+IFERROR(X367/H367,"0")+IFERROR(X368/H368,"0")</f>
        <v>0</v>
      </c>
      <c r="Y369" s="643">
        <f>IFERROR(Y363/H363,"0")+IFERROR(Y364/H364,"0")+IFERROR(Y365/H365,"0")+IFERROR(Y366/H366,"0")+IFERROR(Y367/H367,"0")+IFERROR(Y368/H368,"0")</f>
        <v>0</v>
      </c>
      <c r="Z369" s="643">
        <f>IFERROR(IF(Z363="",0,Z363),"0")+IFERROR(IF(Z364="",0,Z364),"0")+IFERROR(IF(Z365="",0,Z365),"0")+IFERROR(IF(Z366="",0,Z366),"0")+IFERROR(IF(Z367="",0,Z367),"0")+IFERROR(IF(Z368="",0,Z368),"0")</f>
        <v>0</v>
      </c>
      <c r="AA369" s="644"/>
      <c r="AB369" s="644"/>
      <c r="AC369" s="644"/>
    </row>
    <row r="370" spans="1:68" hidden="1" x14ac:dyDescent="0.2">
      <c r="A370" s="656"/>
      <c r="B370" s="656"/>
      <c r="C370" s="656"/>
      <c r="D370" s="656"/>
      <c r="E370" s="656"/>
      <c r="F370" s="656"/>
      <c r="G370" s="656"/>
      <c r="H370" s="656"/>
      <c r="I370" s="656"/>
      <c r="J370" s="656"/>
      <c r="K370" s="656"/>
      <c r="L370" s="656"/>
      <c r="M370" s="656"/>
      <c r="N370" s="656"/>
      <c r="O370" s="657"/>
      <c r="P370" s="667" t="s">
        <v>72</v>
      </c>
      <c r="Q370" s="668"/>
      <c r="R370" s="668"/>
      <c r="S370" s="668"/>
      <c r="T370" s="668"/>
      <c r="U370" s="668"/>
      <c r="V370" s="669"/>
      <c r="W370" s="37" t="s">
        <v>67</v>
      </c>
      <c r="X370" s="643">
        <f>IFERROR(SUM(X363:X368),"0")</f>
        <v>0</v>
      </c>
      <c r="Y370" s="643">
        <f>IFERROR(SUM(Y363:Y368),"0")</f>
        <v>0</v>
      </c>
      <c r="Z370" s="37"/>
      <c r="AA370" s="644"/>
      <c r="AB370" s="644"/>
      <c r="AC370" s="644"/>
    </row>
    <row r="371" spans="1:68" ht="14.25" hidden="1" customHeight="1" x14ac:dyDescent="0.25">
      <c r="A371" s="672" t="s">
        <v>62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35"/>
      <c r="AB371" s="635"/>
      <c r="AC371" s="635"/>
    </row>
    <row r="372" spans="1:68" ht="27" hidden="1" customHeight="1" x14ac:dyDescent="0.25">
      <c r="A372" s="54" t="s">
        <v>603</v>
      </c>
      <c r="B372" s="54" t="s">
        <v>604</v>
      </c>
      <c r="C372" s="31">
        <v>4301030878</v>
      </c>
      <c r="D372" s="650">
        <v>4607091387193</v>
      </c>
      <c r="E372" s="651"/>
      <c r="F372" s="640">
        <v>0.7</v>
      </c>
      <c r="G372" s="32">
        <v>6</v>
      </c>
      <c r="H372" s="640">
        <v>4.2</v>
      </c>
      <c r="I372" s="640">
        <v>4.45</v>
      </c>
      <c r="J372" s="32">
        <v>132</v>
      </c>
      <c r="K372" s="32" t="s">
        <v>123</v>
      </c>
      <c r="L372" s="32"/>
      <c r="M372" s="33" t="s">
        <v>66</v>
      </c>
      <c r="N372" s="33"/>
      <c r="O372" s="32">
        <v>35</v>
      </c>
      <c r="P372" s="83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8"/>
      <c r="R372" s="648"/>
      <c r="S372" s="648"/>
      <c r="T372" s="649"/>
      <c r="U372" s="34"/>
      <c r="V372" s="34"/>
      <c r="W372" s="35" t="s">
        <v>67</v>
      </c>
      <c r="X372" s="641">
        <v>0</v>
      </c>
      <c r="Y372" s="642">
        <f t="shared" ref="Y372:Y378" si="63"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53" t="s">
        <v>605</v>
      </c>
      <c r="AG372" s="64"/>
      <c r="AJ372" s="68"/>
      <c r="AK372" s="68">
        <v>0</v>
      </c>
      <c r="BB372" s="454" t="s">
        <v>1</v>
      </c>
      <c r="BM372" s="64">
        <f t="shared" ref="BM372:BM378" si="64">IFERROR(X372*I372/H372,"0")</f>
        <v>0</v>
      </c>
      <c r="BN372" s="64">
        <f t="shared" ref="BN372:BN378" si="65">IFERROR(Y372*I372/H372,"0")</f>
        <v>0</v>
      </c>
      <c r="BO372" s="64">
        <f t="shared" ref="BO372:BO378" si="66">IFERROR(1/J372*(X372/H372),"0")</f>
        <v>0</v>
      </c>
      <c r="BP372" s="64">
        <f t="shared" ref="BP372:BP378" si="67">IFERROR(1/J372*(Y372/H372),"0")</f>
        <v>0</v>
      </c>
    </row>
    <row r="373" spans="1:68" ht="27" hidden="1" customHeight="1" x14ac:dyDescent="0.25">
      <c r="A373" s="54" t="s">
        <v>606</v>
      </c>
      <c r="B373" s="54" t="s">
        <v>607</v>
      </c>
      <c r="C373" s="31">
        <v>4301031153</v>
      </c>
      <c r="D373" s="650">
        <v>4607091387230</v>
      </c>
      <c r="E373" s="651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123</v>
      </c>
      <c r="L373" s="32"/>
      <c r="M373" s="33" t="s">
        <v>66</v>
      </c>
      <c r="N373" s="33"/>
      <c r="O373" s="32">
        <v>40</v>
      </c>
      <c r="P373" s="10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8"/>
      <c r="R373" s="648"/>
      <c r="S373" s="648"/>
      <c r="T373" s="649"/>
      <c r="U373" s="34"/>
      <c r="V373" s="34"/>
      <c r="W373" s="35" t="s">
        <v>67</v>
      </c>
      <c r="X373" s="641">
        <v>0</v>
      </c>
      <c r="Y373" s="642">
        <f t="shared" si="63"/>
        <v>0</v>
      </c>
      <c r="Z373" s="36" t="str">
        <f>IFERROR(IF(Y373=0,"",ROUNDUP(Y373/H373,0)*0.00902),"")</f>
        <v/>
      </c>
      <c r="AA373" s="56"/>
      <c r="AB373" s="57"/>
      <c r="AC373" s="455" t="s">
        <v>608</v>
      </c>
      <c r="AG373" s="64"/>
      <c r="AJ373" s="68"/>
      <c r="AK373" s="68">
        <v>0</v>
      </c>
      <c r="BB373" s="456" t="s">
        <v>1</v>
      </c>
      <c r="BM373" s="64">
        <f t="shared" si="64"/>
        <v>0</v>
      </c>
      <c r="BN373" s="64">
        <f t="shared" si="65"/>
        <v>0</v>
      </c>
      <c r="BO373" s="64">
        <f t="shared" si="66"/>
        <v>0</v>
      </c>
      <c r="BP373" s="64">
        <f t="shared" si="67"/>
        <v>0</v>
      </c>
    </row>
    <row r="374" spans="1:68" ht="27" hidden="1" customHeight="1" x14ac:dyDescent="0.25">
      <c r="A374" s="54" t="s">
        <v>609</v>
      </c>
      <c r="B374" s="54" t="s">
        <v>610</v>
      </c>
      <c r="C374" s="31">
        <v>4301031154</v>
      </c>
      <c r="D374" s="650">
        <v>4607091387292</v>
      </c>
      <c r="E374" s="651"/>
      <c r="F374" s="640">
        <v>0.73</v>
      </c>
      <c r="G374" s="32">
        <v>6</v>
      </c>
      <c r="H374" s="640">
        <v>4.38</v>
      </c>
      <c r="I374" s="640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1">
        <v>0</v>
      </c>
      <c r="Y374" s="642">
        <f t="shared" si="63"/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4301031152</v>
      </c>
      <c r="D375" s="650">
        <v>4607091387285</v>
      </c>
      <c r="E375" s="651"/>
      <c r="F375" s="640">
        <v>0.35</v>
      </c>
      <c r="G375" s="32">
        <v>6</v>
      </c>
      <c r="H375" s="640">
        <v>2.1</v>
      </c>
      <c r="I375" s="640">
        <v>2.23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6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1">
        <v>0</v>
      </c>
      <c r="Y375" s="642">
        <f t="shared" si="63"/>
        <v>0</v>
      </c>
      <c r="Z375" s="36" t="str">
        <f>IFERROR(IF(Y375=0,"",ROUNDUP(Y375/H375,0)*0.00502),"")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t="27" hidden="1" customHeight="1" x14ac:dyDescent="0.25">
      <c r="A376" s="54" t="s">
        <v>614</v>
      </c>
      <c r="B376" s="54" t="s">
        <v>615</v>
      </c>
      <c r="C376" s="31">
        <v>4301031305</v>
      </c>
      <c r="D376" s="650">
        <v>4607091389845</v>
      </c>
      <c r="E376" s="651"/>
      <c r="F376" s="640">
        <v>0.35</v>
      </c>
      <c r="G376" s="32">
        <v>6</v>
      </c>
      <c r="H376" s="640">
        <v>2.1</v>
      </c>
      <c r="I376" s="640">
        <v>2.2000000000000002</v>
      </c>
      <c r="J376" s="32">
        <v>234</v>
      </c>
      <c r="K376" s="32" t="s">
        <v>65</v>
      </c>
      <c r="L376" s="32"/>
      <c r="M376" s="33" t="s">
        <v>66</v>
      </c>
      <c r="N376" s="33"/>
      <c r="O376" s="32">
        <v>40</v>
      </c>
      <c r="P376" s="7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1">
        <v>0</v>
      </c>
      <c r="Y376" s="642">
        <f t="shared" si="63"/>
        <v>0</v>
      </c>
      <c r="Z376" s="36" t="str">
        <f>IFERROR(IF(Y376=0,"",ROUNDUP(Y376/H376,0)*0.00502),"")</f>
        <v/>
      </c>
      <c r="AA376" s="56"/>
      <c r="AB376" s="57"/>
      <c r="AC376" s="461" t="s">
        <v>616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617</v>
      </c>
      <c r="B377" s="54" t="s">
        <v>618</v>
      </c>
      <c r="C377" s="31">
        <v>4301031460</v>
      </c>
      <c r="D377" s="650">
        <v>4680115887442</v>
      </c>
      <c r="E377" s="651"/>
      <c r="F377" s="640">
        <v>0.73</v>
      </c>
      <c r="G377" s="32">
        <v>6</v>
      </c>
      <c r="H377" s="640">
        <v>4.38</v>
      </c>
      <c r="I377" s="640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86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8"/>
      <c r="R377" s="648"/>
      <c r="S377" s="648"/>
      <c r="T377" s="649"/>
      <c r="U377" s="34"/>
      <c r="V377" s="34"/>
      <c r="W377" s="35" t="s">
        <v>67</v>
      </c>
      <c r="X377" s="641">
        <v>0</v>
      </c>
      <c r="Y377" s="642">
        <f t="shared" si="63"/>
        <v>0</v>
      </c>
      <c r="Z377" s="36" t="str">
        <f>IFERROR(IF(Y377=0,"",ROUNDUP(Y377/H377,0)*0.00902),"")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hidden="1" customHeight="1" x14ac:dyDescent="0.25">
      <c r="A378" s="54" t="s">
        <v>619</v>
      </c>
      <c r="B378" s="54" t="s">
        <v>620</v>
      </c>
      <c r="C378" s="31">
        <v>4301031066</v>
      </c>
      <c r="D378" s="650">
        <v>4607091383836</v>
      </c>
      <c r="E378" s="651"/>
      <c r="F378" s="640">
        <v>0.3</v>
      </c>
      <c r="G378" s="32">
        <v>6</v>
      </c>
      <c r="H378" s="640">
        <v>1.8</v>
      </c>
      <c r="I378" s="640">
        <v>2.028</v>
      </c>
      <c r="J378" s="32">
        <v>182</v>
      </c>
      <c r="K378" s="32" t="s">
        <v>77</v>
      </c>
      <c r="L378" s="32"/>
      <c r="M378" s="33" t="s">
        <v>66</v>
      </c>
      <c r="N378" s="33"/>
      <c r="O378" s="32">
        <v>40</v>
      </c>
      <c r="P378" s="7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1">
        <v>0</v>
      </c>
      <c r="Y378" s="642">
        <f t="shared" si="63"/>
        <v>0</v>
      </c>
      <c r="Z378" s="36" t="str">
        <f>IFERROR(IF(Y378=0,"",ROUNDUP(Y378/H378,0)*0.00651),"")</f>
        <v/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si="64"/>
        <v>0</v>
      </c>
      <c r="BN378" s="64">
        <f t="shared" si="65"/>
        <v>0</v>
      </c>
      <c r="BO378" s="64">
        <f t="shared" si="66"/>
        <v>0</v>
      </c>
      <c r="BP378" s="64">
        <f t="shared" si="67"/>
        <v>0</v>
      </c>
    </row>
    <row r="379" spans="1:68" hidden="1" x14ac:dyDescent="0.2">
      <c r="A379" s="655"/>
      <c r="B379" s="656"/>
      <c r="C379" s="656"/>
      <c r="D379" s="656"/>
      <c r="E379" s="656"/>
      <c r="F379" s="656"/>
      <c r="G379" s="656"/>
      <c r="H379" s="656"/>
      <c r="I379" s="656"/>
      <c r="J379" s="656"/>
      <c r="K379" s="656"/>
      <c r="L379" s="656"/>
      <c r="M379" s="656"/>
      <c r="N379" s="656"/>
      <c r="O379" s="657"/>
      <c r="P379" s="667" t="s">
        <v>72</v>
      </c>
      <c r="Q379" s="668"/>
      <c r="R379" s="668"/>
      <c r="S379" s="668"/>
      <c r="T379" s="668"/>
      <c r="U379" s="668"/>
      <c r="V379" s="669"/>
      <c r="W379" s="37" t="s">
        <v>73</v>
      </c>
      <c r="X379" s="643">
        <f>IFERROR(X372/H372,"0")+IFERROR(X373/H373,"0")+IFERROR(X374/H374,"0")+IFERROR(X375/H375,"0")+IFERROR(X376/H376,"0")+IFERROR(X377/H377,"0")+IFERROR(X378/H378,"0")</f>
        <v>0</v>
      </c>
      <c r="Y379" s="643">
        <f>IFERROR(Y372/H372,"0")+IFERROR(Y373/H373,"0")+IFERROR(Y374/H374,"0")+IFERROR(Y375/H375,"0")+IFERROR(Y376/H376,"0")+IFERROR(Y377/H377,"0")+IFERROR(Y378/H378,"0")</f>
        <v>0</v>
      </c>
      <c r="Z379" s="6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4"/>
      <c r="AB379" s="644"/>
      <c r="AC379" s="644"/>
    </row>
    <row r="380" spans="1:68" hidden="1" x14ac:dyDescent="0.2">
      <c r="A380" s="656"/>
      <c r="B380" s="656"/>
      <c r="C380" s="656"/>
      <c r="D380" s="656"/>
      <c r="E380" s="656"/>
      <c r="F380" s="656"/>
      <c r="G380" s="656"/>
      <c r="H380" s="656"/>
      <c r="I380" s="656"/>
      <c r="J380" s="656"/>
      <c r="K380" s="656"/>
      <c r="L380" s="656"/>
      <c r="M380" s="656"/>
      <c r="N380" s="656"/>
      <c r="O380" s="657"/>
      <c r="P380" s="667" t="s">
        <v>72</v>
      </c>
      <c r="Q380" s="668"/>
      <c r="R380" s="668"/>
      <c r="S380" s="668"/>
      <c r="T380" s="668"/>
      <c r="U380" s="668"/>
      <c r="V380" s="669"/>
      <c r="W380" s="37" t="s">
        <v>67</v>
      </c>
      <c r="X380" s="643">
        <f>IFERROR(SUM(X372:X378),"0")</f>
        <v>0</v>
      </c>
      <c r="Y380" s="643">
        <f>IFERROR(SUM(Y372:Y378),"0")</f>
        <v>0</v>
      </c>
      <c r="Z380" s="37"/>
      <c r="AA380" s="644"/>
      <c r="AB380" s="644"/>
      <c r="AC380" s="644"/>
    </row>
    <row r="381" spans="1:68" ht="14.25" hidden="1" customHeight="1" x14ac:dyDescent="0.25">
      <c r="A381" s="672" t="s">
        <v>74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35"/>
      <c r="AB381" s="635"/>
      <c r="AC381" s="635"/>
    </row>
    <row r="382" spans="1:68" ht="27" hidden="1" customHeight="1" x14ac:dyDescent="0.25">
      <c r="A382" s="54" t="s">
        <v>622</v>
      </c>
      <c r="B382" s="54" t="s">
        <v>623</v>
      </c>
      <c r="C382" s="31">
        <v>4301051100</v>
      </c>
      <c r="D382" s="650">
        <v>4607091387766</v>
      </c>
      <c r="E382" s="651"/>
      <c r="F382" s="640">
        <v>1.3</v>
      </c>
      <c r="G382" s="32">
        <v>6</v>
      </c>
      <c r="H382" s="640">
        <v>7.8</v>
      </c>
      <c r="I382" s="640">
        <v>8.2880000000000003</v>
      </c>
      <c r="J382" s="32">
        <v>64</v>
      </c>
      <c r="K382" s="32" t="s">
        <v>114</v>
      </c>
      <c r="L382" s="32"/>
      <c r="M382" s="33" t="s">
        <v>78</v>
      </c>
      <c r="N382" s="33"/>
      <c r="O382" s="32">
        <v>40</v>
      </c>
      <c r="P382" s="74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8"/>
      <c r="R382" s="648"/>
      <c r="S382" s="648"/>
      <c r="T382" s="649"/>
      <c r="U382" s="34"/>
      <c r="V382" s="34"/>
      <c r="W382" s="35" t="s">
        <v>67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7" t="s">
        <v>624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625</v>
      </c>
      <c r="B383" s="54" t="s">
        <v>626</v>
      </c>
      <c r="C383" s="31">
        <v>4301051818</v>
      </c>
      <c r="D383" s="650">
        <v>4607091387957</v>
      </c>
      <c r="E383" s="651"/>
      <c r="F383" s="640">
        <v>1.3</v>
      </c>
      <c r="G383" s="32">
        <v>6</v>
      </c>
      <c r="H383" s="640">
        <v>7.8</v>
      </c>
      <c r="I383" s="640">
        <v>8.2940000000000005</v>
      </c>
      <c r="J383" s="32">
        <v>64</v>
      </c>
      <c r="K383" s="32" t="s">
        <v>114</v>
      </c>
      <c r="L383" s="32"/>
      <c r="M383" s="33" t="s">
        <v>78</v>
      </c>
      <c r="N383" s="33"/>
      <c r="O383" s="32">
        <v>40</v>
      </c>
      <c r="P383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8"/>
      <c r="R383" s="648"/>
      <c r="S383" s="648"/>
      <c r="T383" s="649"/>
      <c r="U383" s="34"/>
      <c r="V383" s="34"/>
      <c r="W383" s="35" t="s">
        <v>67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627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628</v>
      </c>
      <c r="B384" s="54" t="s">
        <v>629</v>
      </c>
      <c r="C384" s="31">
        <v>4301051819</v>
      </c>
      <c r="D384" s="650">
        <v>4607091387964</v>
      </c>
      <c r="E384" s="651"/>
      <c r="F384" s="640">
        <v>1.35</v>
      </c>
      <c r="G384" s="32">
        <v>6</v>
      </c>
      <c r="H384" s="640">
        <v>8.1</v>
      </c>
      <c r="I384" s="640">
        <v>8.5760000000000005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8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8"/>
      <c r="R384" s="648"/>
      <c r="S384" s="648"/>
      <c r="T384" s="649"/>
      <c r="U384" s="34"/>
      <c r="V384" s="34"/>
      <c r="W384" s="35" t="s">
        <v>67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4301051734</v>
      </c>
      <c r="D385" s="650">
        <v>4680115884588</v>
      </c>
      <c r="E385" s="651"/>
      <c r="F385" s="640">
        <v>0.5</v>
      </c>
      <c r="G385" s="32">
        <v>6</v>
      </c>
      <c r="H385" s="640">
        <v>3</v>
      </c>
      <c r="I385" s="640">
        <v>3.246</v>
      </c>
      <c r="J385" s="32">
        <v>182</v>
      </c>
      <c r="K385" s="32" t="s">
        <v>77</v>
      </c>
      <c r="L385" s="32"/>
      <c r="M385" s="33" t="s">
        <v>78</v>
      </c>
      <c r="N385" s="33"/>
      <c r="O385" s="32">
        <v>40</v>
      </c>
      <c r="P385" s="99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8"/>
      <c r="R385" s="648"/>
      <c r="S385" s="648"/>
      <c r="T385" s="649"/>
      <c r="U385" s="34"/>
      <c r="V385" s="34"/>
      <c r="W385" s="35" t="s">
        <v>67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73" t="s">
        <v>624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655"/>
      <c r="B386" s="656"/>
      <c r="C386" s="656"/>
      <c r="D386" s="656"/>
      <c r="E386" s="656"/>
      <c r="F386" s="656"/>
      <c r="G386" s="656"/>
      <c r="H386" s="656"/>
      <c r="I386" s="656"/>
      <c r="J386" s="656"/>
      <c r="K386" s="656"/>
      <c r="L386" s="656"/>
      <c r="M386" s="656"/>
      <c r="N386" s="656"/>
      <c r="O386" s="657"/>
      <c r="P386" s="667" t="s">
        <v>72</v>
      </c>
      <c r="Q386" s="668"/>
      <c r="R386" s="668"/>
      <c r="S386" s="668"/>
      <c r="T386" s="668"/>
      <c r="U386" s="668"/>
      <c r="V386" s="669"/>
      <c r="W386" s="37" t="s">
        <v>73</v>
      </c>
      <c r="X386" s="643">
        <f>IFERROR(X382/H382,"0")+IFERROR(X383/H383,"0")+IFERROR(X384/H384,"0")+IFERROR(X385/H385,"0")</f>
        <v>0</v>
      </c>
      <c r="Y386" s="643">
        <f>IFERROR(Y382/H382,"0")+IFERROR(Y383/H383,"0")+IFERROR(Y384/H384,"0")+IFERROR(Y385/H385,"0")</f>
        <v>0</v>
      </c>
      <c r="Z386" s="643">
        <f>IFERROR(IF(Z382="",0,Z382),"0")+IFERROR(IF(Z383="",0,Z383),"0")+IFERROR(IF(Z384="",0,Z384),"0")+IFERROR(IF(Z385="",0,Z385),"0")</f>
        <v>0</v>
      </c>
      <c r="AA386" s="644"/>
      <c r="AB386" s="644"/>
      <c r="AC386" s="644"/>
    </row>
    <row r="387" spans="1:68" hidden="1" x14ac:dyDescent="0.2">
      <c r="A387" s="656"/>
      <c r="B387" s="656"/>
      <c r="C387" s="656"/>
      <c r="D387" s="656"/>
      <c r="E387" s="656"/>
      <c r="F387" s="656"/>
      <c r="G387" s="656"/>
      <c r="H387" s="656"/>
      <c r="I387" s="656"/>
      <c r="J387" s="656"/>
      <c r="K387" s="656"/>
      <c r="L387" s="656"/>
      <c r="M387" s="656"/>
      <c r="N387" s="656"/>
      <c r="O387" s="657"/>
      <c r="P387" s="667" t="s">
        <v>72</v>
      </c>
      <c r="Q387" s="668"/>
      <c r="R387" s="668"/>
      <c r="S387" s="668"/>
      <c r="T387" s="668"/>
      <c r="U387" s="668"/>
      <c r="V387" s="669"/>
      <c r="W387" s="37" t="s">
        <v>67</v>
      </c>
      <c r="X387" s="643">
        <f>IFERROR(SUM(X382:X385),"0")</f>
        <v>0</v>
      </c>
      <c r="Y387" s="643">
        <f>IFERROR(SUM(Y382:Y385),"0")</f>
        <v>0</v>
      </c>
      <c r="Z387" s="37"/>
      <c r="AA387" s="644"/>
      <c r="AB387" s="644"/>
      <c r="AC387" s="644"/>
    </row>
    <row r="388" spans="1:68" ht="14.25" hidden="1" customHeight="1" x14ac:dyDescent="0.25">
      <c r="A388" s="672" t="s">
        <v>164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35"/>
      <c r="AB388" s="635"/>
      <c r="AC388" s="635"/>
    </row>
    <row r="389" spans="1:68" ht="27" hidden="1" customHeight="1" x14ac:dyDescent="0.25">
      <c r="A389" s="54" t="s">
        <v>633</v>
      </c>
      <c r="B389" s="54" t="s">
        <v>634</v>
      </c>
      <c r="C389" s="31">
        <v>4301060387</v>
      </c>
      <c r="D389" s="650">
        <v>4607091380880</v>
      </c>
      <c r="E389" s="651"/>
      <c r="F389" s="640">
        <v>1.4</v>
      </c>
      <c r="G389" s="32">
        <v>6</v>
      </c>
      <c r="H389" s="640">
        <v>8.4</v>
      </c>
      <c r="I389" s="640">
        <v>8.8940000000000001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30</v>
      </c>
      <c r="P389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8"/>
      <c r="R389" s="648"/>
      <c r="S389" s="648"/>
      <c r="T389" s="649"/>
      <c r="U389" s="34"/>
      <c r="V389" s="34"/>
      <c r="W389" s="35" t="s">
        <v>67</v>
      </c>
      <c r="X389" s="641">
        <v>0</v>
      </c>
      <c r="Y389" s="64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75" t="s">
        <v>635</v>
      </c>
      <c r="AG389" s="64"/>
      <c r="AJ389" s="68"/>
      <c r="AK389" s="68">
        <v>0</v>
      </c>
      <c r="BB389" s="476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customHeight="1" x14ac:dyDescent="0.25">
      <c r="A390" s="54" t="s">
        <v>636</v>
      </c>
      <c r="B390" s="54" t="s">
        <v>637</v>
      </c>
      <c r="C390" s="31">
        <v>4301060406</v>
      </c>
      <c r="D390" s="650">
        <v>4607091384482</v>
      </c>
      <c r="E390" s="651"/>
      <c r="F390" s="640">
        <v>1.3</v>
      </c>
      <c r="G390" s="32">
        <v>6</v>
      </c>
      <c r="H390" s="640">
        <v>7.8</v>
      </c>
      <c r="I390" s="640">
        <v>8.2940000000000005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30</v>
      </c>
      <c r="P390" s="8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8"/>
      <c r="R390" s="648"/>
      <c r="S390" s="648"/>
      <c r="T390" s="649"/>
      <c r="U390" s="34"/>
      <c r="V390" s="34"/>
      <c r="W390" s="35" t="s">
        <v>67</v>
      </c>
      <c r="X390" s="641">
        <v>747</v>
      </c>
      <c r="Y390" s="642">
        <f>IFERROR(IF(X390="",0,CEILING((X390/$H390),1)*$H390),"")</f>
        <v>748.8</v>
      </c>
      <c r="Z390" s="36">
        <f>IFERROR(IF(Y390=0,"",ROUNDUP(Y390/H390,0)*0.01898),"")</f>
        <v>1.8220800000000001</v>
      </c>
      <c r="AA390" s="56"/>
      <c r="AB390" s="57"/>
      <c r="AC390" s="477" t="s">
        <v>638</v>
      </c>
      <c r="AG390" s="64"/>
      <c r="AJ390" s="68"/>
      <c r="AK390" s="68">
        <v>0</v>
      </c>
      <c r="BB390" s="478" t="s">
        <v>1</v>
      </c>
      <c r="BM390" s="64">
        <f>IFERROR(X390*I390/H390,"0")</f>
        <v>794.31000000000006</v>
      </c>
      <c r="BN390" s="64">
        <f>IFERROR(Y390*I390/H390,"0")</f>
        <v>796.22400000000005</v>
      </c>
      <c r="BO390" s="64">
        <f>IFERROR(1/J390*(X390/H390),"0")</f>
        <v>1.4963942307692308</v>
      </c>
      <c r="BP390" s="64">
        <f>IFERROR(1/J390*(Y390/H390),"0")</f>
        <v>1.5</v>
      </c>
    </row>
    <row r="391" spans="1:68" ht="27" hidden="1" customHeight="1" x14ac:dyDescent="0.25">
      <c r="A391" s="54" t="s">
        <v>639</v>
      </c>
      <c r="B391" s="54" t="s">
        <v>640</v>
      </c>
      <c r="C391" s="31">
        <v>4301060484</v>
      </c>
      <c r="D391" s="650">
        <v>4607091380897</v>
      </c>
      <c r="E391" s="651"/>
      <c r="F391" s="640">
        <v>1.4</v>
      </c>
      <c r="G391" s="32">
        <v>6</v>
      </c>
      <c r="H391" s="640">
        <v>8.4</v>
      </c>
      <c r="I391" s="640">
        <v>8.8940000000000001</v>
      </c>
      <c r="J391" s="32">
        <v>64</v>
      </c>
      <c r="K391" s="32" t="s">
        <v>114</v>
      </c>
      <c r="L391" s="32"/>
      <c r="M391" s="33" t="s">
        <v>84</v>
      </c>
      <c r="N391" s="33"/>
      <c r="O391" s="32">
        <v>30</v>
      </c>
      <c r="P391" s="6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1">
        <v>0</v>
      </c>
      <c r="Y391" s="642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x14ac:dyDescent="0.2">
      <c r="A392" s="655"/>
      <c r="B392" s="656"/>
      <c r="C392" s="656"/>
      <c r="D392" s="656"/>
      <c r="E392" s="656"/>
      <c r="F392" s="656"/>
      <c r="G392" s="656"/>
      <c r="H392" s="656"/>
      <c r="I392" s="656"/>
      <c r="J392" s="656"/>
      <c r="K392" s="656"/>
      <c r="L392" s="656"/>
      <c r="M392" s="656"/>
      <c r="N392" s="656"/>
      <c r="O392" s="657"/>
      <c r="P392" s="667" t="s">
        <v>72</v>
      </c>
      <c r="Q392" s="668"/>
      <c r="R392" s="668"/>
      <c r="S392" s="668"/>
      <c r="T392" s="668"/>
      <c r="U392" s="668"/>
      <c r="V392" s="669"/>
      <c r="W392" s="37" t="s">
        <v>73</v>
      </c>
      <c r="X392" s="643">
        <f>IFERROR(X389/H389,"0")+IFERROR(X390/H390,"0")+IFERROR(X391/H391,"0")</f>
        <v>95.769230769230774</v>
      </c>
      <c r="Y392" s="643">
        <f>IFERROR(Y389/H389,"0")+IFERROR(Y390/H390,"0")+IFERROR(Y391/H391,"0")</f>
        <v>96</v>
      </c>
      <c r="Z392" s="643">
        <f>IFERROR(IF(Z389="",0,Z389),"0")+IFERROR(IF(Z390="",0,Z390),"0")+IFERROR(IF(Z391="",0,Z391),"0")</f>
        <v>1.8220800000000001</v>
      </c>
      <c r="AA392" s="644"/>
      <c r="AB392" s="644"/>
      <c r="AC392" s="644"/>
    </row>
    <row r="393" spans="1:68" x14ac:dyDescent="0.2">
      <c r="A393" s="656"/>
      <c r="B393" s="656"/>
      <c r="C393" s="656"/>
      <c r="D393" s="656"/>
      <c r="E393" s="656"/>
      <c r="F393" s="656"/>
      <c r="G393" s="656"/>
      <c r="H393" s="656"/>
      <c r="I393" s="656"/>
      <c r="J393" s="656"/>
      <c r="K393" s="656"/>
      <c r="L393" s="656"/>
      <c r="M393" s="656"/>
      <c r="N393" s="656"/>
      <c r="O393" s="657"/>
      <c r="P393" s="667" t="s">
        <v>72</v>
      </c>
      <c r="Q393" s="668"/>
      <c r="R393" s="668"/>
      <c r="S393" s="668"/>
      <c r="T393" s="668"/>
      <c r="U393" s="668"/>
      <c r="V393" s="669"/>
      <c r="W393" s="37" t="s">
        <v>67</v>
      </c>
      <c r="X393" s="643">
        <f>IFERROR(SUM(X389:X391),"0")</f>
        <v>747</v>
      </c>
      <c r="Y393" s="643">
        <f>IFERROR(SUM(Y389:Y391),"0")</f>
        <v>748.8</v>
      </c>
      <c r="Z393" s="37"/>
      <c r="AA393" s="644"/>
      <c r="AB393" s="644"/>
      <c r="AC393" s="644"/>
    </row>
    <row r="394" spans="1:68" ht="14.25" hidden="1" customHeight="1" x14ac:dyDescent="0.25">
      <c r="A394" s="672" t="s">
        <v>264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35"/>
      <c r="AB394" s="635"/>
      <c r="AC394" s="635"/>
    </row>
    <row r="395" spans="1:68" ht="27" hidden="1" customHeight="1" x14ac:dyDescent="0.25">
      <c r="A395" s="54" t="s">
        <v>642</v>
      </c>
      <c r="B395" s="54" t="s">
        <v>643</v>
      </c>
      <c r="C395" s="31">
        <v>4301030235</v>
      </c>
      <c r="D395" s="650">
        <v>4607091388381</v>
      </c>
      <c r="E395" s="651"/>
      <c r="F395" s="640">
        <v>0.38</v>
      </c>
      <c r="G395" s="32">
        <v>8</v>
      </c>
      <c r="H395" s="640">
        <v>3.04</v>
      </c>
      <c r="I395" s="640">
        <v>3.31</v>
      </c>
      <c r="J395" s="32">
        <v>132</v>
      </c>
      <c r="K395" s="32" t="s">
        <v>123</v>
      </c>
      <c r="L395" s="32"/>
      <c r="M395" s="33" t="s">
        <v>239</v>
      </c>
      <c r="N395" s="33"/>
      <c r="O395" s="32">
        <v>180</v>
      </c>
      <c r="P395" s="100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8"/>
      <c r="R395" s="648"/>
      <c r="S395" s="648"/>
      <c r="T395" s="649"/>
      <c r="U395" s="34"/>
      <c r="V395" s="34"/>
      <c r="W395" s="35" t="s">
        <v>67</v>
      </c>
      <c r="X395" s="641">
        <v>0</v>
      </c>
      <c r="Y395" s="642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81" t="s">
        <v>644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645</v>
      </c>
      <c r="B396" s="54" t="s">
        <v>646</v>
      </c>
      <c r="C396" s="31">
        <v>4301030232</v>
      </c>
      <c r="D396" s="650">
        <v>4607091388374</v>
      </c>
      <c r="E396" s="651"/>
      <c r="F396" s="640">
        <v>0.38</v>
      </c>
      <c r="G396" s="32">
        <v>8</v>
      </c>
      <c r="H396" s="640">
        <v>3.04</v>
      </c>
      <c r="I396" s="640">
        <v>3.27</v>
      </c>
      <c r="J396" s="32">
        <v>132</v>
      </c>
      <c r="K396" s="32" t="s">
        <v>123</v>
      </c>
      <c r="L396" s="32"/>
      <c r="M396" s="33" t="s">
        <v>239</v>
      </c>
      <c r="N396" s="33"/>
      <c r="O396" s="32">
        <v>180</v>
      </c>
      <c r="P396" s="90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8"/>
      <c r="R396" s="648"/>
      <c r="S396" s="648"/>
      <c r="T396" s="649"/>
      <c r="U396" s="34"/>
      <c r="V396" s="34"/>
      <c r="W396" s="35" t="s">
        <v>67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83" t="s">
        <v>644</v>
      </c>
      <c r="AG396" s="64"/>
      <c r="AJ396" s="68"/>
      <c r="AK396" s="68">
        <v>0</v>
      </c>
      <c r="BB396" s="48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647</v>
      </c>
      <c r="B397" s="54" t="s">
        <v>648</v>
      </c>
      <c r="C397" s="31">
        <v>4301032015</v>
      </c>
      <c r="D397" s="650">
        <v>4607091383102</v>
      </c>
      <c r="E397" s="651"/>
      <c r="F397" s="640">
        <v>0.17</v>
      </c>
      <c r="G397" s="32">
        <v>15</v>
      </c>
      <c r="H397" s="640">
        <v>2.5499999999999998</v>
      </c>
      <c r="I397" s="640">
        <v>2.9550000000000001</v>
      </c>
      <c r="J397" s="32">
        <v>182</v>
      </c>
      <c r="K397" s="32" t="s">
        <v>77</v>
      </c>
      <c r="L397" s="32"/>
      <c r="M397" s="33" t="s">
        <v>239</v>
      </c>
      <c r="N397" s="33"/>
      <c r="O397" s="32">
        <v>180</v>
      </c>
      <c r="P397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1">
        <v>0</v>
      </c>
      <c r="Y397" s="642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85" t="s">
        <v>644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649</v>
      </c>
      <c r="B398" s="54" t="s">
        <v>650</v>
      </c>
      <c r="C398" s="31">
        <v>4301030233</v>
      </c>
      <c r="D398" s="650">
        <v>4607091388404</v>
      </c>
      <c r="E398" s="651"/>
      <c r="F398" s="640">
        <v>0.17</v>
      </c>
      <c r="G398" s="32">
        <v>15</v>
      </c>
      <c r="H398" s="640">
        <v>2.5499999999999998</v>
      </c>
      <c r="I398" s="640">
        <v>2.88</v>
      </c>
      <c r="J398" s="32">
        <v>182</v>
      </c>
      <c r="K398" s="32" t="s">
        <v>77</v>
      </c>
      <c r="L398" s="32"/>
      <c r="M398" s="33" t="s">
        <v>239</v>
      </c>
      <c r="N398" s="33"/>
      <c r="O398" s="32">
        <v>180</v>
      </c>
      <c r="P398" s="9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1">
        <v>0</v>
      </c>
      <c r="Y398" s="6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87" t="s">
        <v>644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55"/>
      <c r="B399" s="656"/>
      <c r="C399" s="656"/>
      <c r="D399" s="656"/>
      <c r="E399" s="656"/>
      <c r="F399" s="656"/>
      <c r="G399" s="656"/>
      <c r="H399" s="656"/>
      <c r="I399" s="656"/>
      <c r="J399" s="656"/>
      <c r="K399" s="656"/>
      <c r="L399" s="656"/>
      <c r="M399" s="656"/>
      <c r="N399" s="656"/>
      <c r="O399" s="657"/>
      <c r="P399" s="667" t="s">
        <v>72</v>
      </c>
      <c r="Q399" s="668"/>
      <c r="R399" s="668"/>
      <c r="S399" s="668"/>
      <c r="T399" s="668"/>
      <c r="U399" s="668"/>
      <c r="V399" s="669"/>
      <c r="W399" s="37" t="s">
        <v>73</v>
      </c>
      <c r="X399" s="643">
        <f>IFERROR(X395/H395,"0")+IFERROR(X396/H396,"0")+IFERROR(X397/H397,"0")+IFERROR(X398/H398,"0")</f>
        <v>0</v>
      </c>
      <c r="Y399" s="643">
        <f>IFERROR(Y395/H395,"0")+IFERROR(Y396/H396,"0")+IFERROR(Y397/H397,"0")+IFERROR(Y398/H398,"0")</f>
        <v>0</v>
      </c>
      <c r="Z399" s="643">
        <f>IFERROR(IF(Z395="",0,Z395),"0")+IFERROR(IF(Z396="",0,Z396),"0")+IFERROR(IF(Z397="",0,Z397),"0")+IFERROR(IF(Z398="",0,Z398),"0")</f>
        <v>0</v>
      </c>
      <c r="AA399" s="644"/>
      <c r="AB399" s="644"/>
      <c r="AC399" s="644"/>
    </row>
    <row r="400" spans="1:68" hidden="1" x14ac:dyDescent="0.2">
      <c r="A400" s="656"/>
      <c r="B400" s="656"/>
      <c r="C400" s="656"/>
      <c r="D400" s="656"/>
      <c r="E400" s="656"/>
      <c r="F400" s="656"/>
      <c r="G400" s="656"/>
      <c r="H400" s="656"/>
      <c r="I400" s="656"/>
      <c r="J400" s="656"/>
      <c r="K400" s="656"/>
      <c r="L400" s="656"/>
      <c r="M400" s="656"/>
      <c r="N400" s="656"/>
      <c r="O400" s="657"/>
      <c r="P400" s="667" t="s">
        <v>72</v>
      </c>
      <c r="Q400" s="668"/>
      <c r="R400" s="668"/>
      <c r="S400" s="668"/>
      <c r="T400" s="668"/>
      <c r="U400" s="668"/>
      <c r="V400" s="669"/>
      <c r="W400" s="37" t="s">
        <v>67</v>
      </c>
      <c r="X400" s="643">
        <f>IFERROR(SUM(X395:X398),"0")</f>
        <v>0</v>
      </c>
      <c r="Y400" s="643">
        <f>IFERROR(SUM(Y395:Y398),"0")</f>
        <v>0</v>
      </c>
      <c r="Z400" s="37"/>
      <c r="AA400" s="644"/>
      <c r="AB400" s="644"/>
      <c r="AC400" s="644"/>
    </row>
    <row r="401" spans="1:68" ht="14.25" hidden="1" customHeight="1" x14ac:dyDescent="0.25">
      <c r="A401" s="672" t="s">
        <v>651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35"/>
      <c r="AB401" s="635"/>
      <c r="AC401" s="635"/>
    </row>
    <row r="402" spans="1:68" ht="16.5" hidden="1" customHeight="1" x14ac:dyDescent="0.25">
      <c r="A402" s="54" t="s">
        <v>652</v>
      </c>
      <c r="B402" s="54" t="s">
        <v>653</v>
      </c>
      <c r="C402" s="31">
        <v>4301180007</v>
      </c>
      <c r="D402" s="650">
        <v>4680115881808</v>
      </c>
      <c r="E402" s="651"/>
      <c r="F402" s="640">
        <v>0.1</v>
      </c>
      <c r="G402" s="32">
        <v>20</v>
      </c>
      <c r="H402" s="640">
        <v>2</v>
      </c>
      <c r="I402" s="640">
        <v>2.2400000000000002</v>
      </c>
      <c r="J402" s="32">
        <v>238</v>
      </c>
      <c r="K402" s="32" t="s">
        <v>77</v>
      </c>
      <c r="L402" s="32"/>
      <c r="M402" s="33" t="s">
        <v>654</v>
      </c>
      <c r="N402" s="33"/>
      <c r="O402" s="32">
        <v>731</v>
      </c>
      <c r="P402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8"/>
      <c r="R402" s="648"/>
      <c r="S402" s="648"/>
      <c r="T402" s="649"/>
      <c r="U402" s="34"/>
      <c r="V402" s="34"/>
      <c r="W402" s="35" t="s">
        <v>67</v>
      </c>
      <c r="X402" s="641">
        <v>0</v>
      </c>
      <c r="Y402" s="642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9" t="s">
        <v>655</v>
      </c>
      <c r="AG402" s="64"/>
      <c r="AJ402" s="68"/>
      <c r="AK402" s="68">
        <v>0</v>
      </c>
      <c r="BB402" s="490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656</v>
      </c>
      <c r="B403" s="54" t="s">
        <v>657</v>
      </c>
      <c r="C403" s="31">
        <v>4301180006</v>
      </c>
      <c r="D403" s="650">
        <v>4680115881822</v>
      </c>
      <c r="E403" s="651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77</v>
      </c>
      <c r="L403" s="32"/>
      <c r="M403" s="33" t="s">
        <v>654</v>
      </c>
      <c r="N403" s="33"/>
      <c r="O403" s="32">
        <v>731</v>
      </c>
      <c r="P403" s="7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8"/>
      <c r="R403" s="648"/>
      <c r="S403" s="648"/>
      <c r="T403" s="649"/>
      <c r="U403" s="34"/>
      <c r="V403" s="34"/>
      <c r="W403" s="35" t="s">
        <v>67</v>
      </c>
      <c r="X403" s="641">
        <v>0</v>
      </c>
      <c r="Y403" s="642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91" t="s">
        <v>655</v>
      </c>
      <c r="AG403" s="64"/>
      <c r="AJ403" s="68"/>
      <c r="AK403" s="68">
        <v>0</v>
      </c>
      <c r="BB403" s="492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658</v>
      </c>
      <c r="B404" s="54" t="s">
        <v>659</v>
      </c>
      <c r="C404" s="31">
        <v>4301180001</v>
      </c>
      <c r="D404" s="650">
        <v>4680115880016</v>
      </c>
      <c r="E404" s="651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77</v>
      </c>
      <c r="L404" s="32"/>
      <c r="M404" s="33" t="s">
        <v>654</v>
      </c>
      <c r="N404" s="33"/>
      <c r="O404" s="32">
        <v>731</v>
      </c>
      <c r="P404" s="68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8"/>
      <c r="R404" s="648"/>
      <c r="S404" s="648"/>
      <c r="T404" s="649"/>
      <c r="U404" s="34"/>
      <c r="V404" s="34"/>
      <c r="W404" s="35" t="s">
        <v>67</v>
      </c>
      <c r="X404" s="641">
        <v>0</v>
      </c>
      <c r="Y404" s="642">
        <f>IFERROR(IF(X404="",0,CEILING((X404/$H404),1)*$H404),"")</f>
        <v>0</v>
      </c>
      <c r="Z404" s="36" t="str">
        <f>IFERROR(IF(Y404=0,"",ROUNDUP(Y404/H404,0)*0.00474),"")</f>
        <v/>
      </c>
      <c r="AA404" s="56"/>
      <c r="AB404" s="57"/>
      <c r="AC404" s="493" t="s">
        <v>655</v>
      </c>
      <c r="AG404" s="64"/>
      <c r="AJ404" s="68"/>
      <c r="AK404" s="68">
        <v>0</v>
      </c>
      <c r="BB404" s="494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655"/>
      <c r="B405" s="656"/>
      <c r="C405" s="656"/>
      <c r="D405" s="656"/>
      <c r="E405" s="656"/>
      <c r="F405" s="656"/>
      <c r="G405" s="656"/>
      <c r="H405" s="656"/>
      <c r="I405" s="656"/>
      <c r="J405" s="656"/>
      <c r="K405" s="656"/>
      <c r="L405" s="656"/>
      <c r="M405" s="656"/>
      <c r="N405" s="656"/>
      <c r="O405" s="657"/>
      <c r="P405" s="667" t="s">
        <v>72</v>
      </c>
      <c r="Q405" s="668"/>
      <c r="R405" s="668"/>
      <c r="S405" s="668"/>
      <c r="T405" s="668"/>
      <c r="U405" s="668"/>
      <c r="V405" s="669"/>
      <c r="W405" s="37" t="s">
        <v>73</v>
      </c>
      <c r="X405" s="643">
        <f>IFERROR(X402/H402,"0")+IFERROR(X403/H403,"0")+IFERROR(X404/H404,"0")</f>
        <v>0</v>
      </c>
      <c r="Y405" s="643">
        <f>IFERROR(Y402/H402,"0")+IFERROR(Y403/H403,"0")+IFERROR(Y404/H404,"0")</f>
        <v>0</v>
      </c>
      <c r="Z405" s="643">
        <f>IFERROR(IF(Z402="",0,Z402),"0")+IFERROR(IF(Z403="",0,Z403),"0")+IFERROR(IF(Z404="",0,Z404),"0")</f>
        <v>0</v>
      </c>
      <c r="AA405" s="644"/>
      <c r="AB405" s="644"/>
      <c r="AC405" s="644"/>
    </row>
    <row r="406" spans="1:68" hidden="1" x14ac:dyDescent="0.2">
      <c r="A406" s="656"/>
      <c r="B406" s="656"/>
      <c r="C406" s="656"/>
      <c r="D406" s="656"/>
      <c r="E406" s="656"/>
      <c r="F406" s="656"/>
      <c r="G406" s="656"/>
      <c r="H406" s="656"/>
      <c r="I406" s="656"/>
      <c r="J406" s="656"/>
      <c r="K406" s="656"/>
      <c r="L406" s="656"/>
      <c r="M406" s="656"/>
      <c r="N406" s="656"/>
      <c r="O406" s="657"/>
      <c r="P406" s="667" t="s">
        <v>72</v>
      </c>
      <c r="Q406" s="668"/>
      <c r="R406" s="668"/>
      <c r="S406" s="668"/>
      <c r="T406" s="668"/>
      <c r="U406" s="668"/>
      <c r="V406" s="669"/>
      <c r="W406" s="37" t="s">
        <v>67</v>
      </c>
      <c r="X406" s="643">
        <f>IFERROR(SUM(X402:X404),"0")</f>
        <v>0</v>
      </c>
      <c r="Y406" s="643">
        <f>IFERROR(SUM(Y402:Y404),"0")</f>
        <v>0</v>
      </c>
      <c r="Z406" s="37"/>
      <c r="AA406" s="644"/>
      <c r="AB406" s="644"/>
      <c r="AC406" s="644"/>
    </row>
    <row r="407" spans="1:68" ht="14.25" hidden="1" customHeight="1" x14ac:dyDescent="0.25">
      <c r="A407" s="672" t="s">
        <v>660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35"/>
      <c r="AB407" s="635"/>
      <c r="AC407" s="635"/>
    </row>
    <row r="408" spans="1:68" ht="27" hidden="1" customHeight="1" x14ac:dyDescent="0.25">
      <c r="A408" s="54" t="s">
        <v>661</v>
      </c>
      <c r="B408" s="54" t="s">
        <v>662</v>
      </c>
      <c r="C408" s="31">
        <v>4301220003</v>
      </c>
      <c r="D408" s="650">
        <v>4680115888678</v>
      </c>
      <c r="E408" s="651"/>
      <c r="F408" s="640">
        <v>0.25</v>
      </c>
      <c r="G408" s="32">
        <v>12</v>
      </c>
      <c r="H408" s="640">
        <v>3</v>
      </c>
      <c r="I408" s="640">
        <v>3.22</v>
      </c>
      <c r="J408" s="32">
        <v>224</v>
      </c>
      <c r="K408" s="32" t="s">
        <v>77</v>
      </c>
      <c r="L408" s="32"/>
      <c r="M408" s="33" t="s">
        <v>654</v>
      </c>
      <c r="N408" s="33"/>
      <c r="O408" s="32">
        <v>1096</v>
      </c>
      <c r="P408" s="94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8"/>
      <c r="R408" s="648"/>
      <c r="S408" s="648"/>
      <c r="T408" s="649"/>
      <c r="U408" s="34"/>
      <c r="V408" s="34"/>
      <c r="W408" s="35" t="s">
        <v>67</v>
      </c>
      <c r="X408" s="641">
        <v>0</v>
      </c>
      <c r="Y408" s="642">
        <f>IFERROR(IF(X408="",0,CEILING((X408/$H408),1)*$H408),"")</f>
        <v>0</v>
      </c>
      <c r="Z408" s="36" t="str">
        <f>IFERROR(IF(Y408=0,"",ROUNDUP(Y408/H408,0)*0.0045),"")</f>
        <v/>
      </c>
      <c r="AA408" s="56"/>
      <c r="AB408" s="57"/>
      <c r="AC408" s="495" t="s">
        <v>663</v>
      </c>
      <c r="AG408" s="64"/>
      <c r="AJ408" s="68"/>
      <c r="AK408" s="68">
        <v>0</v>
      </c>
      <c r="BB408" s="496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664</v>
      </c>
      <c r="B409" s="54" t="s">
        <v>665</v>
      </c>
      <c r="C409" s="31">
        <v>4301220001</v>
      </c>
      <c r="D409" s="650">
        <v>4680115888654</v>
      </c>
      <c r="E409" s="651"/>
      <c r="F409" s="640">
        <v>0.32500000000000001</v>
      </c>
      <c r="G409" s="32">
        <v>12</v>
      </c>
      <c r="H409" s="640">
        <v>3.9</v>
      </c>
      <c r="I409" s="640">
        <v>4.17</v>
      </c>
      <c r="J409" s="32">
        <v>144</v>
      </c>
      <c r="K409" s="32" t="s">
        <v>123</v>
      </c>
      <c r="L409" s="32"/>
      <c r="M409" s="33" t="s">
        <v>654</v>
      </c>
      <c r="N409" s="33"/>
      <c r="O409" s="32">
        <v>1096</v>
      </c>
      <c r="P409" s="91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8"/>
      <c r="R409" s="648"/>
      <c r="S409" s="648"/>
      <c r="T409" s="649"/>
      <c r="U409" s="34"/>
      <c r="V409" s="34"/>
      <c r="W409" s="35" t="s">
        <v>67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IFERROR(IF(Y409=0,"",ROUNDUP(Y409/H409,0)*0.006),"")</f>
        <v/>
      </c>
      <c r="AA409" s="56"/>
      <c r="AB409" s="57"/>
      <c r="AC409" s="497" t="s">
        <v>666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667</v>
      </c>
      <c r="B410" s="54" t="s">
        <v>668</v>
      </c>
      <c r="C410" s="31">
        <v>4301220002</v>
      </c>
      <c r="D410" s="650">
        <v>4680115888753</v>
      </c>
      <c r="E410" s="651"/>
      <c r="F410" s="640">
        <v>0.25</v>
      </c>
      <c r="G410" s="32">
        <v>12</v>
      </c>
      <c r="H410" s="640">
        <v>3</v>
      </c>
      <c r="I410" s="640">
        <v>3.22</v>
      </c>
      <c r="J410" s="32">
        <v>224</v>
      </c>
      <c r="K410" s="32" t="s">
        <v>77</v>
      </c>
      <c r="L410" s="32"/>
      <c r="M410" s="33" t="s">
        <v>654</v>
      </c>
      <c r="N410" s="33"/>
      <c r="O410" s="32">
        <v>1096</v>
      </c>
      <c r="P410" s="99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1">
        <v>0</v>
      </c>
      <c r="Y410" s="642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655"/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7"/>
      <c r="P411" s="667" t="s">
        <v>72</v>
      </c>
      <c r="Q411" s="668"/>
      <c r="R411" s="668"/>
      <c r="S411" s="668"/>
      <c r="T411" s="668"/>
      <c r="U411" s="668"/>
      <c r="V411" s="669"/>
      <c r="W411" s="37" t="s">
        <v>73</v>
      </c>
      <c r="X411" s="643">
        <f>IFERROR(X408/H408,"0")+IFERROR(X409/H409,"0")+IFERROR(X410/H410,"0")</f>
        <v>0</v>
      </c>
      <c r="Y411" s="643">
        <f>IFERROR(Y408/H408,"0")+IFERROR(Y409/H409,"0")+IFERROR(Y410/H410,"0")</f>
        <v>0</v>
      </c>
      <c r="Z411" s="643">
        <f>IFERROR(IF(Z408="",0,Z408),"0")+IFERROR(IF(Z409="",0,Z409),"0")+IFERROR(IF(Z410="",0,Z410),"0")</f>
        <v>0</v>
      </c>
      <c r="AA411" s="644"/>
      <c r="AB411" s="644"/>
      <c r="AC411" s="644"/>
    </row>
    <row r="412" spans="1:68" hidden="1" x14ac:dyDescent="0.2">
      <c r="A412" s="656"/>
      <c r="B412" s="656"/>
      <c r="C412" s="656"/>
      <c r="D412" s="656"/>
      <c r="E412" s="656"/>
      <c r="F412" s="656"/>
      <c r="G412" s="656"/>
      <c r="H412" s="656"/>
      <c r="I412" s="656"/>
      <c r="J412" s="656"/>
      <c r="K412" s="656"/>
      <c r="L412" s="656"/>
      <c r="M412" s="656"/>
      <c r="N412" s="656"/>
      <c r="O412" s="657"/>
      <c r="P412" s="667" t="s">
        <v>72</v>
      </c>
      <c r="Q412" s="668"/>
      <c r="R412" s="668"/>
      <c r="S412" s="668"/>
      <c r="T412" s="668"/>
      <c r="U412" s="668"/>
      <c r="V412" s="669"/>
      <c r="W412" s="37" t="s">
        <v>67</v>
      </c>
      <c r="X412" s="643">
        <f>IFERROR(SUM(X408:X410),"0")</f>
        <v>0</v>
      </c>
      <c r="Y412" s="643">
        <f>IFERROR(SUM(Y408:Y410),"0")</f>
        <v>0</v>
      </c>
      <c r="Z412" s="37"/>
      <c r="AA412" s="644"/>
      <c r="AB412" s="644"/>
      <c r="AC412" s="644"/>
    </row>
    <row r="413" spans="1:68" ht="16.5" hidden="1" customHeight="1" x14ac:dyDescent="0.25">
      <c r="A413" s="666" t="s">
        <v>669</v>
      </c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6"/>
      <c r="P413" s="656"/>
      <c r="Q413" s="656"/>
      <c r="R413" s="656"/>
      <c r="S413" s="656"/>
      <c r="T413" s="656"/>
      <c r="U413" s="656"/>
      <c r="V413" s="656"/>
      <c r="W413" s="656"/>
      <c r="X413" s="656"/>
      <c r="Y413" s="656"/>
      <c r="Z413" s="656"/>
      <c r="AA413" s="636"/>
      <c r="AB413" s="636"/>
      <c r="AC413" s="636"/>
    </row>
    <row r="414" spans="1:68" ht="14.25" hidden="1" customHeight="1" x14ac:dyDescent="0.25">
      <c r="A414" s="672" t="s">
        <v>74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35"/>
      <c r="AB414" s="635"/>
      <c r="AC414" s="635"/>
    </row>
    <row r="415" spans="1:68" ht="16.5" hidden="1" customHeight="1" x14ac:dyDescent="0.25">
      <c r="A415" s="54" t="s">
        <v>670</v>
      </c>
      <c r="B415" s="54" t="s">
        <v>671</v>
      </c>
      <c r="C415" s="31">
        <v>4301052235</v>
      </c>
      <c r="D415" s="650">
        <v>4680115889415</v>
      </c>
      <c r="E415" s="651"/>
      <c r="F415" s="640">
        <v>1.3</v>
      </c>
      <c r="G415" s="32">
        <v>6</v>
      </c>
      <c r="H415" s="640">
        <v>7.8</v>
      </c>
      <c r="I415" s="640">
        <v>8.2100000000000009</v>
      </c>
      <c r="J415" s="32">
        <v>64</v>
      </c>
      <c r="K415" s="32" t="s">
        <v>114</v>
      </c>
      <c r="L415" s="32"/>
      <c r="M415" s="33" t="s">
        <v>78</v>
      </c>
      <c r="N415" s="33"/>
      <c r="O415" s="32">
        <v>40</v>
      </c>
      <c r="P415" s="9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48"/>
      <c r="R415" s="648"/>
      <c r="S415" s="648"/>
      <c r="T415" s="649"/>
      <c r="U415" s="34"/>
      <c r="V415" s="34"/>
      <c r="W415" s="35" t="s">
        <v>67</v>
      </c>
      <c r="X415" s="641">
        <v>0</v>
      </c>
      <c r="Y415" s="642">
        <f>IFERROR(IF(X415="",0,CEILING((X415/$H415),1)*$H415),"")</f>
        <v>0</v>
      </c>
      <c r="Z415" s="36" t="str">
        <f>IFERROR(IF(Y415=0,"",ROUNDUP(Y415/H415,0)*0.01898),"")</f>
        <v/>
      </c>
      <c r="AA415" s="56"/>
      <c r="AB415" s="57"/>
      <c r="AC415" s="501" t="s">
        <v>672</v>
      </c>
      <c r="AG415" s="64"/>
      <c r="AJ415" s="68"/>
      <c r="AK415" s="68">
        <v>0</v>
      </c>
      <c r="BB415" s="50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16.5" hidden="1" customHeight="1" x14ac:dyDescent="0.25">
      <c r="A416" s="54" t="s">
        <v>673</v>
      </c>
      <c r="B416" s="54" t="s">
        <v>674</v>
      </c>
      <c r="C416" s="31">
        <v>4301052236</v>
      </c>
      <c r="D416" s="650">
        <v>4680115889422</v>
      </c>
      <c r="E416" s="651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114</v>
      </c>
      <c r="L416" s="32"/>
      <c r="M416" s="33" t="s">
        <v>78</v>
      </c>
      <c r="N416" s="33"/>
      <c r="O416" s="32">
        <v>40</v>
      </c>
      <c r="P416" s="78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48"/>
      <c r="R416" s="648"/>
      <c r="S416" s="648"/>
      <c r="T416" s="649"/>
      <c r="U416" s="34"/>
      <c r="V416" s="34"/>
      <c r="W416" s="35" t="s">
        <v>67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675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55"/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7"/>
      <c r="P417" s="667" t="s">
        <v>72</v>
      </c>
      <c r="Q417" s="668"/>
      <c r="R417" s="668"/>
      <c r="S417" s="668"/>
      <c r="T417" s="668"/>
      <c r="U417" s="668"/>
      <c r="V417" s="669"/>
      <c r="W417" s="37" t="s">
        <v>73</v>
      </c>
      <c r="X417" s="643">
        <f>IFERROR(X415/H415,"0")+IFERROR(X416/H416,"0")</f>
        <v>0</v>
      </c>
      <c r="Y417" s="643">
        <f>IFERROR(Y415/H415,"0")+IFERROR(Y416/H416,"0")</f>
        <v>0</v>
      </c>
      <c r="Z417" s="643">
        <f>IFERROR(IF(Z415="",0,Z415),"0")+IFERROR(IF(Z416="",0,Z416),"0")</f>
        <v>0</v>
      </c>
      <c r="AA417" s="644"/>
      <c r="AB417" s="644"/>
      <c r="AC417" s="644"/>
    </row>
    <row r="418" spans="1:68" hidden="1" x14ac:dyDescent="0.2">
      <c r="A418" s="656"/>
      <c r="B418" s="656"/>
      <c r="C418" s="656"/>
      <c r="D418" s="656"/>
      <c r="E418" s="656"/>
      <c r="F418" s="656"/>
      <c r="G418" s="656"/>
      <c r="H418" s="656"/>
      <c r="I418" s="656"/>
      <c r="J418" s="656"/>
      <c r="K418" s="656"/>
      <c r="L418" s="656"/>
      <c r="M418" s="656"/>
      <c r="N418" s="656"/>
      <c r="O418" s="657"/>
      <c r="P418" s="667" t="s">
        <v>72</v>
      </c>
      <c r="Q418" s="668"/>
      <c r="R418" s="668"/>
      <c r="S418" s="668"/>
      <c r="T418" s="668"/>
      <c r="U418" s="668"/>
      <c r="V418" s="669"/>
      <c r="W418" s="37" t="s">
        <v>67</v>
      </c>
      <c r="X418" s="643">
        <f>IFERROR(SUM(X415:X416),"0")</f>
        <v>0</v>
      </c>
      <c r="Y418" s="643">
        <f>IFERROR(SUM(Y415:Y416),"0")</f>
        <v>0</v>
      </c>
      <c r="Z418" s="37"/>
      <c r="AA418" s="644"/>
      <c r="AB418" s="644"/>
      <c r="AC418" s="644"/>
    </row>
    <row r="419" spans="1:68" ht="16.5" hidden="1" customHeight="1" x14ac:dyDescent="0.25">
      <c r="A419" s="666" t="s">
        <v>676</v>
      </c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6"/>
      <c r="P419" s="656"/>
      <c r="Q419" s="656"/>
      <c r="R419" s="656"/>
      <c r="S419" s="656"/>
      <c r="T419" s="656"/>
      <c r="U419" s="656"/>
      <c r="V419" s="656"/>
      <c r="W419" s="656"/>
      <c r="X419" s="656"/>
      <c r="Y419" s="656"/>
      <c r="Z419" s="656"/>
      <c r="AA419" s="636"/>
      <c r="AB419" s="636"/>
      <c r="AC419" s="636"/>
    </row>
    <row r="420" spans="1:68" ht="14.25" hidden="1" customHeight="1" x14ac:dyDescent="0.25">
      <c r="A420" s="672" t="s">
        <v>74</v>
      </c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6"/>
      <c r="P420" s="656"/>
      <c r="Q420" s="656"/>
      <c r="R420" s="656"/>
      <c r="S420" s="656"/>
      <c r="T420" s="656"/>
      <c r="U420" s="656"/>
      <c r="V420" s="656"/>
      <c r="W420" s="656"/>
      <c r="X420" s="656"/>
      <c r="Y420" s="656"/>
      <c r="Z420" s="656"/>
      <c r="AA420" s="635"/>
      <c r="AB420" s="635"/>
      <c r="AC420" s="635"/>
    </row>
    <row r="421" spans="1:68" ht="27" hidden="1" customHeight="1" x14ac:dyDescent="0.25">
      <c r="A421" s="54" t="s">
        <v>677</v>
      </c>
      <c r="B421" s="54" t="s">
        <v>678</v>
      </c>
      <c r="C421" s="31">
        <v>4301051489</v>
      </c>
      <c r="D421" s="650">
        <v>4607091387919</v>
      </c>
      <c r="E421" s="651"/>
      <c r="F421" s="640">
        <v>1.35</v>
      </c>
      <c r="G421" s="32">
        <v>6</v>
      </c>
      <c r="H421" s="640">
        <v>8.1</v>
      </c>
      <c r="I421" s="640">
        <v>8.5939999999999994</v>
      </c>
      <c r="J421" s="32">
        <v>64</v>
      </c>
      <c r="K421" s="32" t="s">
        <v>114</v>
      </c>
      <c r="L421" s="32"/>
      <c r="M421" s="33" t="s">
        <v>84</v>
      </c>
      <c r="N421" s="33"/>
      <c r="O421" s="32">
        <v>45</v>
      </c>
      <c r="P421" s="9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48"/>
      <c r="R421" s="648"/>
      <c r="S421" s="648"/>
      <c r="T421" s="649"/>
      <c r="U421" s="34"/>
      <c r="V421" s="34"/>
      <c r="W421" s="35" t="s">
        <v>67</v>
      </c>
      <c r="X421" s="641">
        <v>0</v>
      </c>
      <c r="Y421" s="64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05" t="s">
        <v>679</v>
      </c>
      <c r="AG421" s="64"/>
      <c r="AJ421" s="68"/>
      <c r="AK421" s="68">
        <v>0</v>
      </c>
      <c r="BB421" s="506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27" hidden="1" customHeight="1" x14ac:dyDescent="0.25">
      <c r="A422" s="54" t="s">
        <v>680</v>
      </c>
      <c r="B422" s="54" t="s">
        <v>681</v>
      </c>
      <c r="C422" s="31">
        <v>4301051461</v>
      </c>
      <c r="D422" s="650">
        <v>4680115883604</v>
      </c>
      <c r="E422" s="651"/>
      <c r="F422" s="640">
        <v>0.35</v>
      </c>
      <c r="G422" s="32">
        <v>6</v>
      </c>
      <c r="H422" s="640">
        <v>2.1</v>
      </c>
      <c r="I422" s="640">
        <v>2.3519999999999999</v>
      </c>
      <c r="J422" s="32">
        <v>182</v>
      </c>
      <c r="K422" s="32" t="s">
        <v>77</v>
      </c>
      <c r="L422" s="32"/>
      <c r="M422" s="33" t="s">
        <v>78</v>
      </c>
      <c r="N422" s="33"/>
      <c r="O422" s="32">
        <v>45</v>
      </c>
      <c r="P422" s="7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48"/>
      <c r="R422" s="648"/>
      <c r="S422" s="648"/>
      <c r="T422" s="649"/>
      <c r="U422" s="34"/>
      <c r="V422" s="34"/>
      <c r="W422" s="35" t="s">
        <v>67</v>
      </c>
      <c r="X422" s="641">
        <v>0</v>
      </c>
      <c r="Y422" s="642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507" t="s">
        <v>682</v>
      </c>
      <c r="AG422" s="64"/>
      <c r="AJ422" s="68"/>
      <c r="AK422" s="68">
        <v>0</v>
      </c>
      <c r="BB422" s="508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27" hidden="1" customHeight="1" x14ac:dyDescent="0.25">
      <c r="A423" s="54" t="s">
        <v>683</v>
      </c>
      <c r="B423" s="54" t="s">
        <v>684</v>
      </c>
      <c r="C423" s="31">
        <v>4301051864</v>
      </c>
      <c r="D423" s="650">
        <v>4680115883567</v>
      </c>
      <c r="E423" s="651"/>
      <c r="F423" s="640">
        <v>0.35</v>
      </c>
      <c r="G423" s="32">
        <v>6</v>
      </c>
      <c r="H423" s="640">
        <v>2.1</v>
      </c>
      <c r="I423" s="640">
        <v>2.34</v>
      </c>
      <c r="J423" s="32">
        <v>182</v>
      </c>
      <c r="K423" s="32" t="s">
        <v>77</v>
      </c>
      <c r="L423" s="32"/>
      <c r="M423" s="33" t="s">
        <v>84</v>
      </c>
      <c r="N423" s="33"/>
      <c r="O423" s="32">
        <v>40</v>
      </c>
      <c r="P423" s="77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48"/>
      <c r="R423" s="648"/>
      <c r="S423" s="648"/>
      <c r="T423" s="649"/>
      <c r="U423" s="34"/>
      <c r="V423" s="34"/>
      <c r="W423" s="35" t="s">
        <v>67</v>
      </c>
      <c r="X423" s="641">
        <v>0</v>
      </c>
      <c r="Y423" s="64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655"/>
      <c r="B424" s="656"/>
      <c r="C424" s="656"/>
      <c r="D424" s="656"/>
      <c r="E424" s="656"/>
      <c r="F424" s="656"/>
      <c r="G424" s="656"/>
      <c r="H424" s="656"/>
      <c r="I424" s="656"/>
      <c r="J424" s="656"/>
      <c r="K424" s="656"/>
      <c r="L424" s="656"/>
      <c r="M424" s="656"/>
      <c r="N424" s="656"/>
      <c r="O424" s="657"/>
      <c r="P424" s="667" t="s">
        <v>72</v>
      </c>
      <c r="Q424" s="668"/>
      <c r="R424" s="668"/>
      <c r="S424" s="668"/>
      <c r="T424" s="668"/>
      <c r="U424" s="668"/>
      <c r="V424" s="669"/>
      <c r="W424" s="37" t="s">
        <v>73</v>
      </c>
      <c r="X424" s="643">
        <f>IFERROR(X421/H421,"0")+IFERROR(X422/H422,"0")+IFERROR(X423/H423,"0")</f>
        <v>0</v>
      </c>
      <c r="Y424" s="643">
        <f>IFERROR(Y421/H421,"0")+IFERROR(Y422/H422,"0")+IFERROR(Y423/H423,"0")</f>
        <v>0</v>
      </c>
      <c r="Z424" s="643">
        <f>IFERROR(IF(Z421="",0,Z421),"0")+IFERROR(IF(Z422="",0,Z422),"0")+IFERROR(IF(Z423="",0,Z423),"0")</f>
        <v>0</v>
      </c>
      <c r="AA424" s="644"/>
      <c r="AB424" s="644"/>
      <c r="AC424" s="644"/>
    </row>
    <row r="425" spans="1:68" hidden="1" x14ac:dyDescent="0.2">
      <c r="A425" s="656"/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7"/>
      <c r="P425" s="667" t="s">
        <v>72</v>
      </c>
      <c r="Q425" s="668"/>
      <c r="R425" s="668"/>
      <c r="S425" s="668"/>
      <c r="T425" s="668"/>
      <c r="U425" s="668"/>
      <c r="V425" s="669"/>
      <c r="W425" s="37" t="s">
        <v>67</v>
      </c>
      <c r="X425" s="643">
        <f>IFERROR(SUM(X421:X423),"0")</f>
        <v>0</v>
      </c>
      <c r="Y425" s="643">
        <f>IFERROR(SUM(Y421:Y423),"0")</f>
        <v>0</v>
      </c>
      <c r="Z425" s="37"/>
      <c r="AA425" s="644"/>
      <c r="AB425" s="644"/>
      <c r="AC425" s="644"/>
    </row>
    <row r="426" spans="1:68" ht="27.75" hidden="1" customHeight="1" x14ac:dyDescent="0.2">
      <c r="A426" s="664" t="s">
        <v>686</v>
      </c>
      <c r="B426" s="665"/>
      <c r="C426" s="665"/>
      <c r="D426" s="665"/>
      <c r="E426" s="665"/>
      <c r="F426" s="665"/>
      <c r="G426" s="665"/>
      <c r="H426" s="665"/>
      <c r="I426" s="665"/>
      <c r="J426" s="665"/>
      <c r="K426" s="665"/>
      <c r="L426" s="665"/>
      <c r="M426" s="665"/>
      <c r="N426" s="665"/>
      <c r="O426" s="665"/>
      <c r="P426" s="665"/>
      <c r="Q426" s="665"/>
      <c r="R426" s="665"/>
      <c r="S426" s="665"/>
      <c r="T426" s="665"/>
      <c r="U426" s="665"/>
      <c r="V426" s="665"/>
      <c r="W426" s="665"/>
      <c r="X426" s="665"/>
      <c r="Y426" s="665"/>
      <c r="Z426" s="665"/>
      <c r="AA426" s="48"/>
      <c r="AB426" s="48"/>
      <c r="AC426" s="48"/>
    </row>
    <row r="427" spans="1:68" ht="16.5" hidden="1" customHeight="1" x14ac:dyDescent="0.25">
      <c r="A427" s="666" t="s">
        <v>687</v>
      </c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6"/>
      <c r="P427" s="656"/>
      <c r="Q427" s="656"/>
      <c r="R427" s="656"/>
      <c r="S427" s="656"/>
      <c r="T427" s="656"/>
      <c r="U427" s="656"/>
      <c r="V427" s="656"/>
      <c r="W427" s="656"/>
      <c r="X427" s="656"/>
      <c r="Y427" s="656"/>
      <c r="Z427" s="656"/>
      <c r="AA427" s="636"/>
      <c r="AB427" s="636"/>
      <c r="AC427" s="636"/>
    </row>
    <row r="428" spans="1:68" ht="14.25" hidden="1" customHeight="1" x14ac:dyDescent="0.25">
      <c r="A428" s="672" t="s">
        <v>111</v>
      </c>
      <c r="B428" s="656"/>
      <c r="C428" s="656"/>
      <c r="D428" s="656"/>
      <c r="E428" s="656"/>
      <c r="F428" s="656"/>
      <c r="G428" s="656"/>
      <c r="H428" s="656"/>
      <c r="I428" s="656"/>
      <c r="J428" s="656"/>
      <c r="K428" s="656"/>
      <c r="L428" s="656"/>
      <c r="M428" s="656"/>
      <c r="N428" s="656"/>
      <c r="O428" s="656"/>
      <c r="P428" s="656"/>
      <c r="Q428" s="656"/>
      <c r="R428" s="656"/>
      <c r="S428" s="656"/>
      <c r="T428" s="656"/>
      <c r="U428" s="656"/>
      <c r="V428" s="656"/>
      <c r="W428" s="656"/>
      <c r="X428" s="656"/>
      <c r="Y428" s="656"/>
      <c r="Z428" s="656"/>
      <c r="AA428" s="635"/>
      <c r="AB428" s="635"/>
      <c r="AC428" s="635"/>
    </row>
    <row r="429" spans="1:68" ht="27" hidden="1" customHeight="1" x14ac:dyDescent="0.25">
      <c r="A429" s="54" t="s">
        <v>688</v>
      </c>
      <c r="B429" s="54" t="s">
        <v>689</v>
      </c>
      <c r="C429" s="31">
        <v>4301012332</v>
      </c>
      <c r="D429" s="650">
        <v>4680115888401</v>
      </c>
      <c r="E429" s="651"/>
      <c r="F429" s="640">
        <v>2.5</v>
      </c>
      <c r="G429" s="32">
        <v>6</v>
      </c>
      <c r="H429" s="640">
        <v>15</v>
      </c>
      <c r="I429" s="640">
        <v>15.47</v>
      </c>
      <c r="J429" s="32">
        <v>48</v>
      </c>
      <c r="K429" s="32" t="s">
        <v>114</v>
      </c>
      <c r="L429" s="32"/>
      <c r="M429" s="33" t="s">
        <v>84</v>
      </c>
      <c r="N429" s="33"/>
      <c r="O429" s="32">
        <v>60</v>
      </c>
      <c r="P429" s="77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48"/>
      <c r="R429" s="648"/>
      <c r="S429" s="648"/>
      <c r="T429" s="649"/>
      <c r="U429" s="34"/>
      <c r="V429" s="34"/>
      <c r="W429" s="35" t="s">
        <v>67</v>
      </c>
      <c r="X429" s="641">
        <v>0</v>
      </c>
      <c r="Y429" s="642">
        <f t="shared" ref="Y429:Y436" si="68">IFERROR(IF(X429="",0,CEILING((X429/$H429),1)*$H429),"")</f>
        <v>0</v>
      </c>
      <c r="Z429" s="36" t="str">
        <f>IFERROR(IF(Y429=0,"",ROUNDUP(Y429/H429,0)*0.02175),"")</f>
        <v/>
      </c>
      <c r="AA429" s="56"/>
      <c r="AB429" s="57"/>
      <c r="AC429" s="511" t="s">
        <v>690</v>
      </c>
      <c r="AG429" s="64"/>
      <c r="AJ429" s="68"/>
      <c r="AK429" s="68">
        <v>0</v>
      </c>
      <c r="BB429" s="512" t="s">
        <v>1</v>
      </c>
      <c r="BM429" s="64">
        <f t="shared" ref="BM429:BM436" si="69">IFERROR(X429*I429/H429,"0")</f>
        <v>0</v>
      </c>
      <c r="BN429" s="64">
        <f t="shared" ref="BN429:BN436" si="70">IFERROR(Y429*I429/H429,"0")</f>
        <v>0</v>
      </c>
      <c r="BO429" s="64">
        <f t="shared" ref="BO429:BO436" si="71">IFERROR(1/J429*(X429/H429),"0")</f>
        <v>0</v>
      </c>
      <c r="BP429" s="64">
        <f t="shared" ref="BP429:BP436" si="72">IFERROR(1/J429*(Y429/H429),"0")</f>
        <v>0</v>
      </c>
    </row>
    <row r="430" spans="1:68" ht="37.5" customHeight="1" x14ac:dyDescent="0.25">
      <c r="A430" s="54" t="s">
        <v>691</v>
      </c>
      <c r="B430" s="54" t="s">
        <v>692</v>
      </c>
      <c r="C430" s="31">
        <v>4301011869</v>
      </c>
      <c r="D430" s="650">
        <v>4680115884847</v>
      </c>
      <c r="E430" s="651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114</v>
      </c>
      <c r="L430" s="32"/>
      <c r="M430" s="33" t="s">
        <v>66</v>
      </c>
      <c r="N430" s="33"/>
      <c r="O430" s="32">
        <v>60</v>
      </c>
      <c r="P430" s="94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48"/>
      <c r="R430" s="648"/>
      <c r="S430" s="648"/>
      <c r="T430" s="649"/>
      <c r="U430" s="34"/>
      <c r="V430" s="34"/>
      <c r="W430" s="35" t="s">
        <v>67</v>
      </c>
      <c r="X430" s="641">
        <v>1035</v>
      </c>
      <c r="Y430" s="642">
        <f t="shared" si="68"/>
        <v>1035</v>
      </c>
      <c r="Z430" s="36">
        <f>IFERROR(IF(Y430=0,"",ROUNDUP(Y430/H430,0)*0.02175),"")</f>
        <v>1.5007499999999998</v>
      </c>
      <c r="AA430" s="56"/>
      <c r="AB430" s="57"/>
      <c r="AC430" s="513" t="s">
        <v>693</v>
      </c>
      <c r="AG430" s="64"/>
      <c r="AJ430" s="68"/>
      <c r="AK430" s="68">
        <v>0</v>
      </c>
      <c r="BB430" s="514" t="s">
        <v>1</v>
      </c>
      <c r="BM430" s="64">
        <f t="shared" si="69"/>
        <v>1067.43</v>
      </c>
      <c r="BN430" s="64">
        <f t="shared" si="70"/>
        <v>1067.43</v>
      </c>
      <c r="BO430" s="64">
        <f t="shared" si="71"/>
        <v>1.4375</v>
      </c>
      <c r="BP430" s="64">
        <f t="shared" si="72"/>
        <v>1.4375</v>
      </c>
    </row>
    <row r="431" spans="1:68" ht="27" customHeight="1" x14ac:dyDescent="0.25">
      <c r="A431" s="54" t="s">
        <v>694</v>
      </c>
      <c r="B431" s="54" t="s">
        <v>695</v>
      </c>
      <c r="C431" s="31">
        <v>4301012083</v>
      </c>
      <c r="D431" s="650">
        <v>4680115884854</v>
      </c>
      <c r="E431" s="651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114</v>
      </c>
      <c r="L431" s="32"/>
      <c r="M431" s="33" t="s">
        <v>115</v>
      </c>
      <c r="N431" s="33"/>
      <c r="O431" s="32">
        <v>60</v>
      </c>
      <c r="P431" s="8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48"/>
      <c r="R431" s="648"/>
      <c r="S431" s="648"/>
      <c r="T431" s="649"/>
      <c r="U431" s="34"/>
      <c r="V431" s="34"/>
      <c r="W431" s="35" t="s">
        <v>67</v>
      </c>
      <c r="X431" s="641">
        <v>402</v>
      </c>
      <c r="Y431" s="642">
        <f t="shared" si="68"/>
        <v>405</v>
      </c>
      <c r="Z431" s="36">
        <f>IFERROR(IF(Y431=0,"",ROUNDUP(Y431/H431,0)*0.02175),"")</f>
        <v>0.58724999999999994</v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si="69"/>
        <v>414.59600000000006</v>
      </c>
      <c r="BN431" s="64">
        <f t="shared" si="70"/>
        <v>417.69</v>
      </c>
      <c r="BO431" s="64">
        <f t="shared" si="71"/>
        <v>0.55833333333333335</v>
      </c>
      <c r="BP431" s="64">
        <f t="shared" si="72"/>
        <v>0.5625</v>
      </c>
    </row>
    <row r="432" spans="1:68" ht="27" customHeight="1" x14ac:dyDescent="0.25">
      <c r="A432" s="54" t="s">
        <v>697</v>
      </c>
      <c r="B432" s="54" t="s">
        <v>698</v>
      </c>
      <c r="C432" s="31">
        <v>4301011867</v>
      </c>
      <c r="D432" s="650">
        <v>4680115884830</v>
      </c>
      <c r="E432" s="651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48"/>
      <c r="R432" s="648"/>
      <c r="S432" s="648"/>
      <c r="T432" s="649"/>
      <c r="U432" s="34"/>
      <c r="V432" s="34"/>
      <c r="W432" s="35" t="s">
        <v>67</v>
      </c>
      <c r="X432" s="641">
        <v>1035</v>
      </c>
      <c r="Y432" s="642">
        <f t="shared" si="68"/>
        <v>1035</v>
      </c>
      <c r="Z432" s="36">
        <f>IFERROR(IF(Y432=0,"",ROUNDUP(Y432/H432,0)*0.02175),"")</f>
        <v>1.5007499999999998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9"/>
        <v>1067.43</v>
      </c>
      <c r="BN432" s="64">
        <f t="shared" si="70"/>
        <v>1067.43</v>
      </c>
      <c r="BO432" s="64">
        <f t="shared" si="71"/>
        <v>1.4375</v>
      </c>
      <c r="BP432" s="64">
        <f t="shared" si="72"/>
        <v>1.4375</v>
      </c>
    </row>
    <row r="433" spans="1:68" ht="27" customHeight="1" x14ac:dyDescent="0.25">
      <c r="A433" s="54" t="s">
        <v>700</v>
      </c>
      <c r="B433" s="54" t="s">
        <v>701</v>
      </c>
      <c r="C433" s="31">
        <v>4301012356</v>
      </c>
      <c r="D433" s="650">
        <v>4680115889231</v>
      </c>
      <c r="E433" s="651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114</v>
      </c>
      <c r="L433" s="32"/>
      <c r="M433" s="33" t="s">
        <v>84</v>
      </c>
      <c r="N433" s="33"/>
      <c r="O433" s="32">
        <v>60</v>
      </c>
      <c r="P433" s="91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48"/>
      <c r="R433" s="648"/>
      <c r="S433" s="648"/>
      <c r="T433" s="649"/>
      <c r="U433" s="34"/>
      <c r="V433" s="34"/>
      <c r="W433" s="35" t="s">
        <v>67</v>
      </c>
      <c r="X433" s="641">
        <v>122</v>
      </c>
      <c r="Y433" s="642">
        <f t="shared" si="68"/>
        <v>135</v>
      </c>
      <c r="Z433" s="36">
        <f>IFERROR(IF(Y433=0,"",ROUNDUP(Y433/H433,0)*0.02175),"")</f>
        <v>0.19574999999999998</v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9"/>
        <v>125.82266666666668</v>
      </c>
      <c r="BN433" s="64">
        <f t="shared" si="70"/>
        <v>139.23000000000002</v>
      </c>
      <c r="BO433" s="64">
        <f t="shared" si="71"/>
        <v>0.16944444444444443</v>
      </c>
      <c r="BP433" s="64">
        <f t="shared" si="72"/>
        <v>0.1875</v>
      </c>
    </row>
    <row r="434" spans="1:68" ht="27" hidden="1" customHeight="1" x14ac:dyDescent="0.25">
      <c r="A434" s="54" t="s">
        <v>703</v>
      </c>
      <c r="B434" s="54" t="s">
        <v>704</v>
      </c>
      <c r="C434" s="31">
        <v>4301011433</v>
      </c>
      <c r="D434" s="650">
        <v>4680115882638</v>
      </c>
      <c r="E434" s="651"/>
      <c r="F434" s="640">
        <v>0.4</v>
      </c>
      <c r="G434" s="32">
        <v>10</v>
      </c>
      <c r="H434" s="640">
        <v>4</v>
      </c>
      <c r="I434" s="640">
        <v>4.1900000000000004</v>
      </c>
      <c r="J434" s="32">
        <v>132</v>
      </c>
      <c r="K434" s="32" t="s">
        <v>123</v>
      </c>
      <c r="L434" s="32"/>
      <c r="M434" s="33" t="s">
        <v>115</v>
      </c>
      <c r="N434" s="33"/>
      <c r="O434" s="32">
        <v>90</v>
      </c>
      <c r="P434" s="9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48"/>
      <c r="R434" s="648"/>
      <c r="S434" s="648"/>
      <c r="T434" s="649"/>
      <c r="U434" s="34"/>
      <c r="V434" s="34"/>
      <c r="W434" s="35" t="s">
        <v>67</v>
      </c>
      <c r="X434" s="641">
        <v>0</v>
      </c>
      <c r="Y434" s="642">
        <f t="shared" si="68"/>
        <v>0</v>
      </c>
      <c r="Z434" s="36" t="str">
        <f>IFERROR(IF(Y434=0,"",ROUNDUP(Y434/H434,0)*0.00902),"")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9"/>
        <v>0</v>
      </c>
      <c r="BN434" s="64">
        <f t="shared" si="70"/>
        <v>0</v>
      </c>
      <c r="BO434" s="64">
        <f t="shared" si="71"/>
        <v>0</v>
      </c>
      <c r="BP434" s="64">
        <f t="shared" si="72"/>
        <v>0</v>
      </c>
    </row>
    <row r="435" spans="1:68" ht="27" hidden="1" customHeight="1" x14ac:dyDescent="0.25">
      <c r="A435" s="54" t="s">
        <v>706</v>
      </c>
      <c r="B435" s="54" t="s">
        <v>707</v>
      </c>
      <c r="C435" s="31">
        <v>4301011952</v>
      </c>
      <c r="D435" s="650">
        <v>4680115884922</v>
      </c>
      <c r="E435" s="651"/>
      <c r="F435" s="640">
        <v>0.5</v>
      </c>
      <c r="G435" s="32">
        <v>10</v>
      </c>
      <c r="H435" s="640">
        <v>5</v>
      </c>
      <c r="I435" s="640">
        <v>5.19</v>
      </c>
      <c r="J435" s="32">
        <v>132</v>
      </c>
      <c r="K435" s="32" t="s">
        <v>123</v>
      </c>
      <c r="L435" s="32"/>
      <c r="M435" s="33" t="s">
        <v>66</v>
      </c>
      <c r="N435" s="33"/>
      <c r="O435" s="32">
        <v>60</v>
      </c>
      <c r="P435" s="97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1">
        <v>0</v>
      </c>
      <c r="Y435" s="642">
        <f t="shared" si="68"/>
        <v>0</v>
      </c>
      <c r="Z435" s="36" t="str">
        <f>IFERROR(IF(Y435=0,"",ROUNDUP(Y435/H435,0)*0.00902),"")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9"/>
        <v>0</v>
      </c>
      <c r="BN435" s="64">
        <f t="shared" si="70"/>
        <v>0</v>
      </c>
      <c r="BO435" s="64">
        <f t="shared" si="71"/>
        <v>0</v>
      </c>
      <c r="BP435" s="64">
        <f t="shared" si="72"/>
        <v>0</v>
      </c>
    </row>
    <row r="436" spans="1:68" ht="37.5" hidden="1" customHeight="1" x14ac:dyDescent="0.25">
      <c r="A436" s="54" t="s">
        <v>709</v>
      </c>
      <c r="B436" s="54" t="s">
        <v>710</v>
      </c>
      <c r="C436" s="31">
        <v>4301011868</v>
      </c>
      <c r="D436" s="650">
        <v>4680115884861</v>
      </c>
      <c r="E436" s="651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123</v>
      </c>
      <c r="L436" s="32"/>
      <c r="M436" s="33" t="s">
        <v>66</v>
      </c>
      <c r="N436" s="33"/>
      <c r="O436" s="32">
        <v>60</v>
      </c>
      <c r="P436" s="9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1">
        <v>0</v>
      </c>
      <c r="Y436" s="642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x14ac:dyDescent="0.2">
      <c r="A437" s="655"/>
      <c r="B437" s="656"/>
      <c r="C437" s="656"/>
      <c r="D437" s="656"/>
      <c r="E437" s="656"/>
      <c r="F437" s="656"/>
      <c r="G437" s="656"/>
      <c r="H437" s="656"/>
      <c r="I437" s="656"/>
      <c r="J437" s="656"/>
      <c r="K437" s="656"/>
      <c r="L437" s="656"/>
      <c r="M437" s="656"/>
      <c r="N437" s="656"/>
      <c r="O437" s="657"/>
      <c r="P437" s="667" t="s">
        <v>72</v>
      </c>
      <c r="Q437" s="668"/>
      <c r="R437" s="668"/>
      <c r="S437" s="668"/>
      <c r="T437" s="668"/>
      <c r="U437" s="668"/>
      <c r="V437" s="669"/>
      <c r="W437" s="37" t="s">
        <v>73</v>
      </c>
      <c r="X437" s="643">
        <f>IFERROR(X429/H429,"0")+IFERROR(X430/H430,"0")+IFERROR(X431/H431,"0")+IFERROR(X432/H432,"0")+IFERROR(X433/H433,"0")+IFERROR(X434/H434,"0")+IFERROR(X435/H435,"0")+IFERROR(X436/H436,"0")</f>
        <v>172.93333333333334</v>
      </c>
      <c r="Y437" s="643">
        <f>IFERROR(Y429/H429,"0")+IFERROR(Y430/H430,"0")+IFERROR(Y431/H431,"0")+IFERROR(Y432/H432,"0")+IFERROR(Y433/H433,"0")+IFERROR(Y434/H434,"0")+IFERROR(Y435/H435,"0")+IFERROR(Y436/H436,"0")</f>
        <v>174</v>
      </c>
      <c r="Z437" s="6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3.7844999999999991</v>
      </c>
      <c r="AA437" s="644"/>
      <c r="AB437" s="644"/>
      <c r="AC437" s="644"/>
    </row>
    <row r="438" spans="1:68" x14ac:dyDescent="0.2">
      <c r="A438" s="656"/>
      <c r="B438" s="656"/>
      <c r="C438" s="656"/>
      <c r="D438" s="656"/>
      <c r="E438" s="656"/>
      <c r="F438" s="656"/>
      <c r="G438" s="656"/>
      <c r="H438" s="656"/>
      <c r="I438" s="656"/>
      <c r="J438" s="656"/>
      <c r="K438" s="656"/>
      <c r="L438" s="656"/>
      <c r="M438" s="656"/>
      <c r="N438" s="656"/>
      <c r="O438" s="657"/>
      <c r="P438" s="667" t="s">
        <v>72</v>
      </c>
      <c r="Q438" s="668"/>
      <c r="R438" s="668"/>
      <c r="S438" s="668"/>
      <c r="T438" s="668"/>
      <c r="U438" s="668"/>
      <c r="V438" s="669"/>
      <c r="W438" s="37" t="s">
        <v>67</v>
      </c>
      <c r="X438" s="643">
        <f>IFERROR(SUM(X429:X436),"0")</f>
        <v>2594</v>
      </c>
      <c r="Y438" s="643">
        <f>IFERROR(SUM(Y429:Y436),"0")</f>
        <v>2610</v>
      </c>
      <c r="Z438" s="37"/>
      <c r="AA438" s="644"/>
      <c r="AB438" s="644"/>
      <c r="AC438" s="644"/>
    </row>
    <row r="439" spans="1:68" ht="14.25" hidden="1" customHeight="1" x14ac:dyDescent="0.25">
      <c r="A439" s="672" t="s">
        <v>146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35"/>
      <c r="AB439" s="635"/>
      <c r="AC439" s="635"/>
    </row>
    <row r="440" spans="1:68" ht="27" customHeight="1" x14ac:dyDescent="0.25">
      <c r="A440" s="54" t="s">
        <v>712</v>
      </c>
      <c r="B440" s="54" t="s">
        <v>713</v>
      </c>
      <c r="C440" s="31">
        <v>4301020178</v>
      </c>
      <c r="D440" s="650">
        <v>4607091383980</v>
      </c>
      <c r="E440" s="651"/>
      <c r="F440" s="640">
        <v>2.5</v>
      </c>
      <c r="G440" s="32">
        <v>6</v>
      </c>
      <c r="H440" s="640">
        <v>15</v>
      </c>
      <c r="I440" s="640">
        <v>15.47</v>
      </c>
      <c r="J440" s="32">
        <v>48</v>
      </c>
      <c r="K440" s="32" t="s">
        <v>114</v>
      </c>
      <c r="L440" s="32"/>
      <c r="M440" s="33" t="s">
        <v>115</v>
      </c>
      <c r="N440" s="33"/>
      <c r="O440" s="32">
        <v>50</v>
      </c>
      <c r="P440" s="86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48"/>
      <c r="R440" s="648"/>
      <c r="S440" s="648"/>
      <c r="T440" s="649"/>
      <c r="U440" s="34"/>
      <c r="V440" s="34"/>
      <c r="W440" s="35" t="s">
        <v>67</v>
      </c>
      <c r="X440" s="641">
        <v>805</v>
      </c>
      <c r="Y440" s="642">
        <f>IFERROR(IF(X440="",0,CEILING((X440/$H440),1)*$H440),"")</f>
        <v>810</v>
      </c>
      <c r="Z440" s="36">
        <f>IFERROR(IF(Y440=0,"",ROUNDUP(Y440/H440,0)*0.02175),"")</f>
        <v>1.1744999999999999</v>
      </c>
      <c r="AA440" s="56"/>
      <c r="AB440" s="57"/>
      <c r="AC440" s="527" t="s">
        <v>714</v>
      </c>
      <c r="AG440" s="64"/>
      <c r="AJ440" s="68"/>
      <c r="AK440" s="68">
        <v>0</v>
      </c>
      <c r="BB440" s="528" t="s">
        <v>1</v>
      </c>
      <c r="BM440" s="64">
        <f>IFERROR(X440*I440/H440,"0")</f>
        <v>830.22333333333336</v>
      </c>
      <c r="BN440" s="64">
        <f>IFERROR(Y440*I440/H440,"0")</f>
        <v>835.38</v>
      </c>
      <c r="BO440" s="64">
        <f>IFERROR(1/J440*(X440/H440),"0")</f>
        <v>1.1180555555555554</v>
      </c>
      <c r="BP440" s="64">
        <f>IFERROR(1/J440*(Y440/H440),"0")</f>
        <v>1.125</v>
      </c>
    </row>
    <row r="441" spans="1:68" ht="27" hidden="1" customHeight="1" x14ac:dyDescent="0.25">
      <c r="A441" s="54" t="s">
        <v>715</v>
      </c>
      <c r="B441" s="54" t="s">
        <v>716</v>
      </c>
      <c r="C441" s="31">
        <v>4301020355</v>
      </c>
      <c r="D441" s="650">
        <v>4680115888425</v>
      </c>
      <c r="E441" s="651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114</v>
      </c>
      <c r="L441" s="32"/>
      <c r="M441" s="33" t="s">
        <v>115</v>
      </c>
      <c r="N441" s="33"/>
      <c r="O441" s="32">
        <v>50</v>
      </c>
      <c r="P441" s="85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48"/>
      <c r="R441" s="648"/>
      <c r="S441" s="648"/>
      <c r="T441" s="649"/>
      <c r="U441" s="34"/>
      <c r="V441" s="34"/>
      <c r="W441" s="35" t="s">
        <v>67</v>
      </c>
      <c r="X441" s="641">
        <v>0</v>
      </c>
      <c r="Y441" s="642">
        <f>IFERROR(IF(X441="",0,CEILING((X441/$H441),1)*$H441),"")</f>
        <v>0</v>
      </c>
      <c r="Z441" s="36" t="str">
        <f>IFERROR(IF(Y441=0,"",ROUNDUP(Y441/H441,0)*0.02175),"")</f>
        <v/>
      </c>
      <c r="AA441" s="56"/>
      <c r="AB441" s="57"/>
      <c r="AC441" s="529" t="s">
        <v>717</v>
      </c>
      <c r="AG441" s="64"/>
      <c r="AJ441" s="68"/>
      <c r="AK441" s="68">
        <v>0</v>
      </c>
      <c r="BB441" s="530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718</v>
      </c>
      <c r="B442" s="54" t="s">
        <v>719</v>
      </c>
      <c r="C442" s="31">
        <v>4301020179</v>
      </c>
      <c r="D442" s="650">
        <v>4607091384178</v>
      </c>
      <c r="E442" s="651"/>
      <c r="F442" s="640">
        <v>0.4</v>
      </c>
      <c r="G442" s="32">
        <v>10</v>
      </c>
      <c r="H442" s="640">
        <v>4</v>
      </c>
      <c r="I442" s="640">
        <v>4.1900000000000004</v>
      </c>
      <c r="J442" s="32">
        <v>132</v>
      </c>
      <c r="K442" s="32" t="s">
        <v>123</v>
      </c>
      <c r="L442" s="32"/>
      <c r="M442" s="33" t="s">
        <v>115</v>
      </c>
      <c r="N442" s="33"/>
      <c r="O442" s="32">
        <v>50</v>
      </c>
      <c r="P442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48"/>
      <c r="R442" s="648"/>
      <c r="S442" s="648"/>
      <c r="T442" s="649"/>
      <c r="U442" s="34"/>
      <c r="V442" s="34"/>
      <c r="W442" s="35" t="s">
        <v>67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55"/>
      <c r="B443" s="656"/>
      <c r="C443" s="656"/>
      <c r="D443" s="656"/>
      <c r="E443" s="656"/>
      <c r="F443" s="656"/>
      <c r="G443" s="656"/>
      <c r="H443" s="656"/>
      <c r="I443" s="656"/>
      <c r="J443" s="656"/>
      <c r="K443" s="656"/>
      <c r="L443" s="656"/>
      <c r="M443" s="656"/>
      <c r="N443" s="656"/>
      <c r="O443" s="657"/>
      <c r="P443" s="667" t="s">
        <v>72</v>
      </c>
      <c r="Q443" s="668"/>
      <c r="R443" s="668"/>
      <c r="S443" s="668"/>
      <c r="T443" s="668"/>
      <c r="U443" s="668"/>
      <c r="V443" s="669"/>
      <c r="W443" s="37" t="s">
        <v>73</v>
      </c>
      <c r="X443" s="643">
        <f>IFERROR(X440/H440,"0")+IFERROR(X441/H441,"0")+IFERROR(X442/H442,"0")</f>
        <v>53.666666666666664</v>
      </c>
      <c r="Y443" s="643">
        <f>IFERROR(Y440/H440,"0")+IFERROR(Y441/H441,"0")+IFERROR(Y442/H442,"0")</f>
        <v>54</v>
      </c>
      <c r="Z443" s="643">
        <f>IFERROR(IF(Z440="",0,Z440),"0")+IFERROR(IF(Z441="",0,Z441),"0")+IFERROR(IF(Z442="",0,Z442),"0")</f>
        <v>1.1744999999999999</v>
      </c>
      <c r="AA443" s="644"/>
      <c r="AB443" s="644"/>
      <c r="AC443" s="644"/>
    </row>
    <row r="444" spans="1:68" x14ac:dyDescent="0.2">
      <c r="A444" s="656"/>
      <c r="B444" s="656"/>
      <c r="C444" s="656"/>
      <c r="D444" s="656"/>
      <c r="E444" s="656"/>
      <c r="F444" s="656"/>
      <c r="G444" s="656"/>
      <c r="H444" s="656"/>
      <c r="I444" s="656"/>
      <c r="J444" s="656"/>
      <c r="K444" s="656"/>
      <c r="L444" s="656"/>
      <c r="M444" s="656"/>
      <c r="N444" s="656"/>
      <c r="O444" s="657"/>
      <c r="P444" s="667" t="s">
        <v>72</v>
      </c>
      <c r="Q444" s="668"/>
      <c r="R444" s="668"/>
      <c r="S444" s="668"/>
      <c r="T444" s="668"/>
      <c r="U444" s="668"/>
      <c r="V444" s="669"/>
      <c r="W444" s="37" t="s">
        <v>67</v>
      </c>
      <c r="X444" s="643">
        <f>IFERROR(SUM(X440:X442),"0")</f>
        <v>805</v>
      </c>
      <c r="Y444" s="643">
        <f>IFERROR(SUM(Y440:Y442),"0")</f>
        <v>810</v>
      </c>
      <c r="Z444" s="37"/>
      <c r="AA444" s="644"/>
      <c r="AB444" s="644"/>
      <c r="AC444" s="644"/>
    </row>
    <row r="445" spans="1:68" ht="14.25" hidden="1" customHeight="1" x14ac:dyDescent="0.25">
      <c r="A445" s="672" t="s">
        <v>74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35"/>
      <c r="AB445" s="635"/>
      <c r="AC445" s="635"/>
    </row>
    <row r="446" spans="1:68" ht="27" hidden="1" customHeight="1" x14ac:dyDescent="0.25">
      <c r="A446" s="54" t="s">
        <v>721</v>
      </c>
      <c r="B446" s="54" t="s">
        <v>722</v>
      </c>
      <c r="C446" s="31">
        <v>4301051903</v>
      </c>
      <c r="D446" s="650">
        <v>4607091383928</v>
      </c>
      <c r="E446" s="651"/>
      <c r="F446" s="640">
        <v>1.5</v>
      </c>
      <c r="G446" s="32">
        <v>6</v>
      </c>
      <c r="H446" s="640">
        <v>9</v>
      </c>
      <c r="I446" s="640">
        <v>9.5</v>
      </c>
      <c r="J446" s="32">
        <v>64</v>
      </c>
      <c r="K446" s="32" t="s">
        <v>114</v>
      </c>
      <c r="L446" s="32"/>
      <c r="M446" s="33" t="s">
        <v>78</v>
      </c>
      <c r="N446" s="33"/>
      <c r="O446" s="32">
        <v>40</v>
      </c>
      <c r="P446" s="86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48"/>
      <c r="R446" s="648"/>
      <c r="S446" s="648"/>
      <c r="T446" s="649"/>
      <c r="U446" s="34"/>
      <c r="V446" s="34"/>
      <c r="W446" s="35" t="s">
        <v>67</v>
      </c>
      <c r="X446" s="641">
        <v>0</v>
      </c>
      <c r="Y446" s="642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33" t="s">
        <v>723</v>
      </c>
      <c r="AG446" s="64"/>
      <c r="AJ446" s="68"/>
      <c r="AK446" s="68">
        <v>0</v>
      </c>
      <c r="BB446" s="534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724</v>
      </c>
      <c r="B447" s="54" t="s">
        <v>725</v>
      </c>
      <c r="C447" s="31">
        <v>4301051897</v>
      </c>
      <c r="D447" s="650">
        <v>4607091384260</v>
      </c>
      <c r="E447" s="651"/>
      <c r="F447" s="640">
        <v>1.5</v>
      </c>
      <c r="G447" s="32">
        <v>6</v>
      </c>
      <c r="H447" s="640">
        <v>9</v>
      </c>
      <c r="I447" s="640">
        <v>9.4939999999999998</v>
      </c>
      <c r="J447" s="32">
        <v>64</v>
      </c>
      <c r="K447" s="32" t="s">
        <v>114</v>
      </c>
      <c r="L447" s="32"/>
      <c r="M447" s="33" t="s">
        <v>78</v>
      </c>
      <c r="N447" s="33"/>
      <c r="O447" s="32">
        <v>40</v>
      </c>
      <c r="P447" s="9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48"/>
      <c r="R447" s="648"/>
      <c r="S447" s="648"/>
      <c r="T447" s="649"/>
      <c r="U447" s="34"/>
      <c r="V447" s="34"/>
      <c r="W447" s="35" t="s">
        <v>67</v>
      </c>
      <c r="X447" s="641">
        <v>0</v>
      </c>
      <c r="Y447" s="642">
        <f>IFERROR(IF(X447="",0,CEILING((X447/$H447),1)*$H447),"")</f>
        <v>0</v>
      </c>
      <c r="Z447" s="36" t="str">
        <f>IFERROR(IF(Y447=0,"",ROUNDUP(Y447/H447,0)*0.01898),"")</f>
        <v/>
      </c>
      <c r="AA447" s="56"/>
      <c r="AB447" s="57"/>
      <c r="AC447" s="535" t="s">
        <v>726</v>
      </c>
      <c r="AG447" s="64"/>
      <c r="AJ447" s="68"/>
      <c r="AK447" s="68">
        <v>0</v>
      </c>
      <c r="BB447" s="536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727</v>
      </c>
      <c r="B448" s="54" t="s">
        <v>728</v>
      </c>
      <c r="C448" s="31">
        <v>4301052220</v>
      </c>
      <c r="D448" s="650">
        <v>4680115889538</v>
      </c>
      <c r="E448" s="651"/>
      <c r="F448" s="640">
        <v>0.8</v>
      </c>
      <c r="G448" s="32">
        <v>6</v>
      </c>
      <c r="H448" s="640">
        <v>4.8</v>
      </c>
      <c r="I448" s="640">
        <v>5.2160000000000002</v>
      </c>
      <c r="J448" s="32">
        <v>104</v>
      </c>
      <c r="K448" s="32" t="s">
        <v>114</v>
      </c>
      <c r="L448" s="32"/>
      <c r="M448" s="33" t="s">
        <v>78</v>
      </c>
      <c r="N448" s="33"/>
      <c r="O448" s="32">
        <v>45</v>
      </c>
      <c r="P448" s="8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idden="1" x14ac:dyDescent="0.2">
      <c r="A449" s="655"/>
      <c r="B449" s="656"/>
      <c r="C449" s="656"/>
      <c r="D449" s="656"/>
      <c r="E449" s="656"/>
      <c r="F449" s="656"/>
      <c r="G449" s="656"/>
      <c r="H449" s="656"/>
      <c r="I449" s="656"/>
      <c r="J449" s="656"/>
      <c r="K449" s="656"/>
      <c r="L449" s="656"/>
      <c r="M449" s="656"/>
      <c r="N449" s="656"/>
      <c r="O449" s="657"/>
      <c r="P449" s="667" t="s">
        <v>72</v>
      </c>
      <c r="Q449" s="668"/>
      <c r="R449" s="668"/>
      <c r="S449" s="668"/>
      <c r="T449" s="668"/>
      <c r="U449" s="668"/>
      <c r="V449" s="669"/>
      <c r="W449" s="37" t="s">
        <v>73</v>
      </c>
      <c r="X449" s="643">
        <f>IFERROR(X446/H446,"0")+IFERROR(X447/H447,"0")+IFERROR(X448/H448,"0")</f>
        <v>0</v>
      </c>
      <c r="Y449" s="643">
        <f>IFERROR(Y446/H446,"0")+IFERROR(Y447/H447,"0")+IFERROR(Y448/H448,"0")</f>
        <v>0</v>
      </c>
      <c r="Z449" s="643">
        <f>IFERROR(IF(Z446="",0,Z446),"0")+IFERROR(IF(Z447="",0,Z447),"0")+IFERROR(IF(Z448="",0,Z448),"0")</f>
        <v>0</v>
      </c>
      <c r="AA449" s="644"/>
      <c r="AB449" s="644"/>
      <c r="AC449" s="644"/>
    </row>
    <row r="450" spans="1:68" hidden="1" x14ac:dyDescent="0.2">
      <c r="A450" s="656"/>
      <c r="B450" s="656"/>
      <c r="C450" s="656"/>
      <c r="D450" s="656"/>
      <c r="E450" s="656"/>
      <c r="F450" s="656"/>
      <c r="G450" s="656"/>
      <c r="H450" s="656"/>
      <c r="I450" s="656"/>
      <c r="J450" s="656"/>
      <c r="K450" s="656"/>
      <c r="L450" s="656"/>
      <c r="M450" s="656"/>
      <c r="N450" s="656"/>
      <c r="O450" s="657"/>
      <c r="P450" s="667" t="s">
        <v>72</v>
      </c>
      <c r="Q450" s="668"/>
      <c r="R450" s="668"/>
      <c r="S450" s="668"/>
      <c r="T450" s="668"/>
      <c r="U450" s="668"/>
      <c r="V450" s="669"/>
      <c r="W450" s="37" t="s">
        <v>67</v>
      </c>
      <c r="X450" s="643">
        <f>IFERROR(SUM(X446:X448),"0")</f>
        <v>0</v>
      </c>
      <c r="Y450" s="643">
        <f>IFERROR(SUM(Y446:Y448),"0")</f>
        <v>0</v>
      </c>
      <c r="Z450" s="37"/>
      <c r="AA450" s="644"/>
      <c r="AB450" s="644"/>
      <c r="AC450" s="644"/>
    </row>
    <row r="451" spans="1:68" ht="14.25" hidden="1" customHeight="1" x14ac:dyDescent="0.25">
      <c r="A451" s="672" t="s">
        <v>164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35"/>
      <c r="AB451" s="635"/>
      <c r="AC451" s="635"/>
    </row>
    <row r="452" spans="1:68" ht="27" hidden="1" customHeight="1" x14ac:dyDescent="0.25">
      <c r="A452" s="54" t="s">
        <v>730</v>
      </c>
      <c r="B452" s="54" t="s">
        <v>731</v>
      </c>
      <c r="C452" s="31">
        <v>4301060537</v>
      </c>
      <c r="D452" s="650">
        <v>4680115889545</v>
      </c>
      <c r="E452" s="651"/>
      <c r="F452" s="640">
        <v>0.7</v>
      </c>
      <c r="G452" s="32">
        <v>6</v>
      </c>
      <c r="H452" s="640">
        <v>4.2</v>
      </c>
      <c r="I452" s="640">
        <v>4.6159999999999997</v>
      </c>
      <c r="J452" s="32">
        <v>104</v>
      </c>
      <c r="K452" s="32" t="s">
        <v>114</v>
      </c>
      <c r="L452" s="32"/>
      <c r="M452" s="33" t="s">
        <v>78</v>
      </c>
      <c r="N452" s="33"/>
      <c r="O452" s="32">
        <v>30</v>
      </c>
      <c r="P452" s="6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48"/>
      <c r="R452" s="648"/>
      <c r="S452" s="648"/>
      <c r="T452" s="649"/>
      <c r="U452" s="34"/>
      <c r="V452" s="34"/>
      <c r="W452" s="35" t="s">
        <v>67</v>
      </c>
      <c r="X452" s="641">
        <v>0</v>
      </c>
      <c r="Y452" s="642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39" t="s">
        <v>732</v>
      </c>
      <c r="AG452" s="64"/>
      <c r="AJ452" s="68"/>
      <c r="AK452" s="68">
        <v>0</v>
      </c>
      <c r="BB452" s="540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hidden="1" customHeight="1" x14ac:dyDescent="0.25">
      <c r="A453" s="54" t="s">
        <v>733</v>
      </c>
      <c r="B453" s="54" t="s">
        <v>734</v>
      </c>
      <c r="C453" s="31">
        <v>4301060524</v>
      </c>
      <c r="D453" s="650">
        <v>4607091384673</v>
      </c>
      <c r="E453" s="651"/>
      <c r="F453" s="640">
        <v>1.5</v>
      </c>
      <c r="G453" s="32">
        <v>6</v>
      </c>
      <c r="H453" s="640">
        <v>9</v>
      </c>
      <c r="I453" s="64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48"/>
      <c r="R453" s="648"/>
      <c r="S453" s="648"/>
      <c r="T453" s="649"/>
      <c r="U453" s="34"/>
      <c r="V453" s="34"/>
      <c r="W453" s="35" t="s">
        <v>67</v>
      </c>
      <c r="X453" s="641">
        <v>0</v>
      </c>
      <c r="Y453" s="64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1" t="s">
        <v>735</v>
      </c>
      <c r="AG453" s="64"/>
      <c r="AJ453" s="68"/>
      <c r="AK453" s="68">
        <v>0</v>
      </c>
      <c r="BB453" s="542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55"/>
      <c r="B454" s="656"/>
      <c r="C454" s="656"/>
      <c r="D454" s="656"/>
      <c r="E454" s="656"/>
      <c r="F454" s="656"/>
      <c r="G454" s="656"/>
      <c r="H454" s="656"/>
      <c r="I454" s="656"/>
      <c r="J454" s="656"/>
      <c r="K454" s="656"/>
      <c r="L454" s="656"/>
      <c r="M454" s="656"/>
      <c r="N454" s="656"/>
      <c r="O454" s="657"/>
      <c r="P454" s="667" t="s">
        <v>72</v>
      </c>
      <c r="Q454" s="668"/>
      <c r="R454" s="668"/>
      <c r="S454" s="668"/>
      <c r="T454" s="668"/>
      <c r="U454" s="668"/>
      <c r="V454" s="669"/>
      <c r="W454" s="37" t="s">
        <v>73</v>
      </c>
      <c r="X454" s="643">
        <f>IFERROR(X452/H452,"0")+IFERROR(X453/H453,"0")</f>
        <v>0</v>
      </c>
      <c r="Y454" s="643">
        <f>IFERROR(Y452/H452,"0")+IFERROR(Y453/H453,"0")</f>
        <v>0</v>
      </c>
      <c r="Z454" s="643">
        <f>IFERROR(IF(Z452="",0,Z452),"0")+IFERROR(IF(Z453="",0,Z453),"0")</f>
        <v>0</v>
      </c>
      <c r="AA454" s="644"/>
      <c r="AB454" s="644"/>
      <c r="AC454" s="644"/>
    </row>
    <row r="455" spans="1:68" hidden="1" x14ac:dyDescent="0.2">
      <c r="A455" s="656"/>
      <c r="B455" s="656"/>
      <c r="C455" s="656"/>
      <c r="D455" s="656"/>
      <c r="E455" s="656"/>
      <c r="F455" s="656"/>
      <c r="G455" s="656"/>
      <c r="H455" s="656"/>
      <c r="I455" s="656"/>
      <c r="J455" s="656"/>
      <c r="K455" s="656"/>
      <c r="L455" s="656"/>
      <c r="M455" s="656"/>
      <c r="N455" s="656"/>
      <c r="O455" s="657"/>
      <c r="P455" s="667" t="s">
        <v>72</v>
      </c>
      <c r="Q455" s="668"/>
      <c r="R455" s="668"/>
      <c r="S455" s="668"/>
      <c r="T455" s="668"/>
      <c r="U455" s="668"/>
      <c r="V455" s="669"/>
      <c r="W455" s="37" t="s">
        <v>67</v>
      </c>
      <c r="X455" s="643">
        <f>IFERROR(SUM(X452:X453),"0")</f>
        <v>0</v>
      </c>
      <c r="Y455" s="643">
        <f>IFERROR(SUM(Y452:Y453),"0")</f>
        <v>0</v>
      </c>
      <c r="Z455" s="37"/>
      <c r="AA455" s="644"/>
      <c r="AB455" s="644"/>
      <c r="AC455" s="644"/>
    </row>
    <row r="456" spans="1:68" ht="16.5" hidden="1" customHeight="1" x14ac:dyDescent="0.25">
      <c r="A456" s="666" t="s">
        <v>736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36"/>
      <c r="AB456" s="636"/>
      <c r="AC456" s="636"/>
    </row>
    <row r="457" spans="1:68" ht="14.25" hidden="1" customHeight="1" x14ac:dyDescent="0.25">
      <c r="A457" s="672" t="s">
        <v>111</v>
      </c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6"/>
      <c r="P457" s="656"/>
      <c r="Q457" s="656"/>
      <c r="R457" s="656"/>
      <c r="S457" s="656"/>
      <c r="T457" s="656"/>
      <c r="U457" s="656"/>
      <c r="V457" s="656"/>
      <c r="W457" s="656"/>
      <c r="X457" s="656"/>
      <c r="Y457" s="656"/>
      <c r="Z457" s="656"/>
      <c r="AA457" s="635"/>
      <c r="AB457" s="635"/>
      <c r="AC457" s="635"/>
    </row>
    <row r="458" spans="1:68" ht="27" hidden="1" customHeight="1" x14ac:dyDescent="0.25">
      <c r="A458" s="54" t="s">
        <v>737</v>
      </c>
      <c r="B458" s="54" t="s">
        <v>738</v>
      </c>
      <c r="C458" s="31">
        <v>4301011875</v>
      </c>
      <c r="D458" s="650">
        <v>4680115884885</v>
      </c>
      <c r="E458" s="651"/>
      <c r="F458" s="640">
        <v>0.8</v>
      </c>
      <c r="G458" s="32">
        <v>15</v>
      </c>
      <c r="H458" s="640">
        <v>12</v>
      </c>
      <c r="I458" s="640">
        <v>12.41</v>
      </c>
      <c r="J458" s="32">
        <v>64</v>
      </c>
      <c r="K458" s="32" t="s">
        <v>114</v>
      </c>
      <c r="L458" s="32"/>
      <c r="M458" s="33" t="s">
        <v>66</v>
      </c>
      <c r="N458" s="33"/>
      <c r="O458" s="32">
        <v>60</v>
      </c>
      <c r="P458" s="7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48"/>
      <c r="R458" s="648"/>
      <c r="S458" s="648"/>
      <c r="T458" s="649"/>
      <c r="U458" s="34"/>
      <c r="V458" s="34"/>
      <c r="W458" s="35" t="s">
        <v>67</v>
      </c>
      <c r="X458" s="641">
        <v>0</v>
      </c>
      <c r="Y458" s="6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43" t="s">
        <v>739</v>
      </c>
      <c r="AG458" s="64"/>
      <c r="AJ458" s="68"/>
      <c r="AK458" s="68">
        <v>0</v>
      </c>
      <c r="BB458" s="544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37.5" hidden="1" customHeight="1" x14ac:dyDescent="0.25">
      <c r="A459" s="54" t="s">
        <v>740</v>
      </c>
      <c r="B459" s="54" t="s">
        <v>741</v>
      </c>
      <c r="C459" s="31">
        <v>4301011871</v>
      </c>
      <c r="D459" s="650">
        <v>4680115884908</v>
      </c>
      <c r="E459" s="651"/>
      <c r="F459" s="640">
        <v>0.4</v>
      </c>
      <c r="G459" s="32">
        <v>10</v>
      </c>
      <c r="H459" s="640">
        <v>4</v>
      </c>
      <c r="I459" s="640">
        <v>4.1900000000000004</v>
      </c>
      <c r="J459" s="32">
        <v>132</v>
      </c>
      <c r="K459" s="32" t="s">
        <v>123</v>
      </c>
      <c r="L459" s="32"/>
      <c r="M459" s="33" t="s">
        <v>66</v>
      </c>
      <c r="N459" s="33"/>
      <c r="O459" s="32">
        <v>60</v>
      </c>
      <c r="P459" s="10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48"/>
      <c r="R459" s="648"/>
      <c r="S459" s="648"/>
      <c r="T459" s="649"/>
      <c r="U459" s="34"/>
      <c r="V459" s="34"/>
      <c r="W459" s="35" t="s">
        <v>67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45" t="s">
        <v>739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55"/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7"/>
      <c r="P460" s="667" t="s">
        <v>72</v>
      </c>
      <c r="Q460" s="668"/>
      <c r="R460" s="668"/>
      <c r="S460" s="668"/>
      <c r="T460" s="668"/>
      <c r="U460" s="668"/>
      <c r="V460" s="669"/>
      <c r="W460" s="37" t="s">
        <v>73</v>
      </c>
      <c r="X460" s="643">
        <f>IFERROR(X458/H458,"0")+IFERROR(X459/H459,"0")</f>
        <v>0</v>
      </c>
      <c r="Y460" s="643">
        <f>IFERROR(Y458/H458,"0")+IFERROR(Y459/H459,"0")</f>
        <v>0</v>
      </c>
      <c r="Z460" s="643">
        <f>IFERROR(IF(Z458="",0,Z458),"0")+IFERROR(IF(Z459="",0,Z459),"0")</f>
        <v>0</v>
      </c>
      <c r="AA460" s="644"/>
      <c r="AB460" s="644"/>
      <c r="AC460" s="644"/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67" t="s">
        <v>72</v>
      </c>
      <c r="Q461" s="668"/>
      <c r="R461" s="668"/>
      <c r="S461" s="668"/>
      <c r="T461" s="668"/>
      <c r="U461" s="668"/>
      <c r="V461" s="669"/>
      <c r="W461" s="37" t="s">
        <v>67</v>
      </c>
      <c r="X461" s="643">
        <f>IFERROR(SUM(X458:X459),"0")</f>
        <v>0</v>
      </c>
      <c r="Y461" s="643">
        <f>IFERROR(SUM(Y458:Y459),"0")</f>
        <v>0</v>
      </c>
      <c r="Z461" s="37"/>
      <c r="AA461" s="644"/>
      <c r="AB461" s="644"/>
      <c r="AC461" s="644"/>
    </row>
    <row r="462" spans="1:68" ht="14.25" hidden="1" customHeight="1" x14ac:dyDescent="0.25">
      <c r="A462" s="672" t="s">
        <v>62</v>
      </c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6"/>
      <c r="P462" s="656"/>
      <c r="Q462" s="656"/>
      <c r="R462" s="656"/>
      <c r="S462" s="656"/>
      <c r="T462" s="656"/>
      <c r="U462" s="656"/>
      <c r="V462" s="656"/>
      <c r="W462" s="656"/>
      <c r="X462" s="656"/>
      <c r="Y462" s="656"/>
      <c r="Z462" s="656"/>
      <c r="AA462" s="635"/>
      <c r="AB462" s="635"/>
      <c r="AC462" s="635"/>
    </row>
    <row r="463" spans="1:68" ht="27" hidden="1" customHeight="1" x14ac:dyDescent="0.25">
      <c r="A463" s="54" t="s">
        <v>742</v>
      </c>
      <c r="B463" s="54" t="s">
        <v>743</v>
      </c>
      <c r="C463" s="31">
        <v>4301031457</v>
      </c>
      <c r="D463" s="650">
        <v>4607091384802</v>
      </c>
      <c r="E463" s="651"/>
      <c r="F463" s="640">
        <v>0.7</v>
      </c>
      <c r="G463" s="32">
        <v>6</v>
      </c>
      <c r="H463" s="640">
        <v>4.2</v>
      </c>
      <c r="I463" s="640">
        <v>4.45</v>
      </c>
      <c r="J463" s="32">
        <v>132</v>
      </c>
      <c r="K463" s="32" t="s">
        <v>123</v>
      </c>
      <c r="L463" s="32"/>
      <c r="M463" s="33" t="s">
        <v>66</v>
      </c>
      <c r="N463" s="33"/>
      <c r="O463" s="32">
        <v>50</v>
      </c>
      <c r="P463" s="9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48"/>
      <c r="R463" s="648"/>
      <c r="S463" s="648"/>
      <c r="T463" s="649"/>
      <c r="U463" s="34"/>
      <c r="V463" s="34"/>
      <c r="W463" s="35" t="s">
        <v>67</v>
      </c>
      <c r="X463" s="641">
        <v>0</v>
      </c>
      <c r="Y463" s="642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47" t="s">
        <v>744</v>
      </c>
      <c r="AG463" s="64"/>
      <c r="AJ463" s="68"/>
      <c r="AK463" s="68">
        <v>0</v>
      </c>
      <c r="BB463" s="54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5"/>
      <c r="B464" s="656"/>
      <c r="C464" s="656"/>
      <c r="D464" s="656"/>
      <c r="E464" s="656"/>
      <c r="F464" s="656"/>
      <c r="G464" s="656"/>
      <c r="H464" s="656"/>
      <c r="I464" s="656"/>
      <c r="J464" s="656"/>
      <c r="K464" s="656"/>
      <c r="L464" s="656"/>
      <c r="M464" s="656"/>
      <c r="N464" s="656"/>
      <c r="O464" s="657"/>
      <c r="P464" s="667" t="s">
        <v>72</v>
      </c>
      <c r="Q464" s="668"/>
      <c r="R464" s="668"/>
      <c r="S464" s="668"/>
      <c r="T464" s="668"/>
      <c r="U464" s="668"/>
      <c r="V464" s="669"/>
      <c r="W464" s="37" t="s">
        <v>73</v>
      </c>
      <c r="X464" s="643">
        <f>IFERROR(X463/H463,"0")</f>
        <v>0</v>
      </c>
      <c r="Y464" s="643">
        <f>IFERROR(Y463/H463,"0")</f>
        <v>0</v>
      </c>
      <c r="Z464" s="643">
        <f>IFERROR(IF(Z463="",0,Z463),"0")</f>
        <v>0</v>
      </c>
      <c r="AA464" s="644"/>
      <c r="AB464" s="644"/>
      <c r="AC464" s="644"/>
    </row>
    <row r="465" spans="1:68" hidden="1" x14ac:dyDescent="0.2">
      <c r="A465" s="656"/>
      <c r="B465" s="656"/>
      <c r="C465" s="656"/>
      <c r="D465" s="656"/>
      <c r="E465" s="656"/>
      <c r="F465" s="656"/>
      <c r="G465" s="656"/>
      <c r="H465" s="656"/>
      <c r="I465" s="656"/>
      <c r="J465" s="656"/>
      <c r="K465" s="656"/>
      <c r="L465" s="656"/>
      <c r="M465" s="656"/>
      <c r="N465" s="656"/>
      <c r="O465" s="657"/>
      <c r="P465" s="667" t="s">
        <v>72</v>
      </c>
      <c r="Q465" s="668"/>
      <c r="R465" s="668"/>
      <c r="S465" s="668"/>
      <c r="T465" s="668"/>
      <c r="U465" s="668"/>
      <c r="V465" s="669"/>
      <c r="W465" s="37" t="s">
        <v>67</v>
      </c>
      <c r="X465" s="643">
        <f>IFERROR(SUM(X463:X463),"0")</f>
        <v>0</v>
      </c>
      <c r="Y465" s="643">
        <f>IFERROR(SUM(Y463:Y463),"0")</f>
        <v>0</v>
      </c>
      <c r="Z465" s="37"/>
      <c r="AA465" s="644"/>
      <c r="AB465" s="644"/>
      <c r="AC465" s="644"/>
    </row>
    <row r="466" spans="1:68" ht="14.25" hidden="1" customHeight="1" x14ac:dyDescent="0.25">
      <c r="A466" s="672" t="s">
        <v>74</v>
      </c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6"/>
      <c r="P466" s="656"/>
      <c r="Q466" s="656"/>
      <c r="R466" s="656"/>
      <c r="S466" s="656"/>
      <c r="T466" s="656"/>
      <c r="U466" s="656"/>
      <c r="V466" s="656"/>
      <c r="W466" s="656"/>
      <c r="X466" s="656"/>
      <c r="Y466" s="656"/>
      <c r="Z466" s="656"/>
      <c r="AA466" s="635"/>
      <c r="AB466" s="635"/>
      <c r="AC466" s="635"/>
    </row>
    <row r="467" spans="1:68" ht="27" customHeight="1" x14ac:dyDescent="0.25">
      <c r="A467" s="54" t="s">
        <v>745</v>
      </c>
      <c r="B467" s="54" t="s">
        <v>746</v>
      </c>
      <c r="C467" s="31">
        <v>4301051899</v>
      </c>
      <c r="D467" s="650">
        <v>4607091384246</v>
      </c>
      <c r="E467" s="651"/>
      <c r="F467" s="640">
        <v>1.5</v>
      </c>
      <c r="G467" s="32">
        <v>6</v>
      </c>
      <c r="H467" s="640">
        <v>9</v>
      </c>
      <c r="I467" s="640">
        <v>9.4939999999999998</v>
      </c>
      <c r="J467" s="32">
        <v>64</v>
      </c>
      <c r="K467" s="32" t="s">
        <v>114</v>
      </c>
      <c r="L467" s="32"/>
      <c r="M467" s="33" t="s">
        <v>78</v>
      </c>
      <c r="N467" s="33"/>
      <c r="O467" s="32">
        <v>40</v>
      </c>
      <c r="P46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48"/>
      <c r="R467" s="648"/>
      <c r="S467" s="648"/>
      <c r="T467" s="649"/>
      <c r="U467" s="34"/>
      <c r="V467" s="34"/>
      <c r="W467" s="35" t="s">
        <v>67</v>
      </c>
      <c r="X467" s="641">
        <v>1150</v>
      </c>
      <c r="Y467" s="642">
        <f>IFERROR(IF(X467="",0,CEILING((X467/$H467),1)*$H467),"")</f>
        <v>1152</v>
      </c>
      <c r="Z467" s="36">
        <f>IFERROR(IF(Y467=0,"",ROUNDUP(Y467/H467,0)*0.01898),"")</f>
        <v>2.42944</v>
      </c>
      <c r="AA467" s="56"/>
      <c r="AB467" s="57"/>
      <c r="AC467" s="549" t="s">
        <v>747</v>
      </c>
      <c r="AG467" s="64"/>
      <c r="AJ467" s="68"/>
      <c r="AK467" s="68">
        <v>0</v>
      </c>
      <c r="BB467" s="550" t="s">
        <v>1</v>
      </c>
      <c r="BM467" s="64">
        <f>IFERROR(X467*I467/H467,"0")</f>
        <v>1213.1222222222223</v>
      </c>
      <c r="BN467" s="64">
        <f>IFERROR(Y467*I467/H467,"0")</f>
        <v>1215.232</v>
      </c>
      <c r="BO467" s="64">
        <f>IFERROR(1/J467*(X467/H467),"0")</f>
        <v>1.9965277777777777</v>
      </c>
      <c r="BP467" s="64">
        <f>IFERROR(1/J467*(Y467/H467),"0")</f>
        <v>2</v>
      </c>
    </row>
    <row r="468" spans="1:68" ht="27" hidden="1" customHeight="1" x14ac:dyDescent="0.25">
      <c r="A468" s="54" t="s">
        <v>748</v>
      </c>
      <c r="B468" s="54" t="s">
        <v>749</v>
      </c>
      <c r="C468" s="31">
        <v>4301051660</v>
      </c>
      <c r="D468" s="650">
        <v>4607091384253</v>
      </c>
      <c r="E468" s="651"/>
      <c r="F468" s="640">
        <v>0.4</v>
      </c>
      <c r="G468" s="32">
        <v>6</v>
      </c>
      <c r="H468" s="640">
        <v>2.4</v>
      </c>
      <c r="I468" s="640">
        <v>2.6640000000000001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40</v>
      </c>
      <c r="P468" s="67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48"/>
      <c r="R468" s="648"/>
      <c r="S468" s="648"/>
      <c r="T468" s="649"/>
      <c r="U468" s="34"/>
      <c r="V468" s="34"/>
      <c r="W468" s="35" t="s">
        <v>67</v>
      </c>
      <c r="X468" s="641">
        <v>0</v>
      </c>
      <c r="Y468" s="642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51" t="s">
        <v>747</v>
      </c>
      <c r="AG468" s="64"/>
      <c r="AJ468" s="68"/>
      <c r="AK468" s="68">
        <v>0</v>
      </c>
      <c r="BB468" s="55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748</v>
      </c>
      <c r="B469" s="54" t="s">
        <v>750</v>
      </c>
      <c r="C469" s="31">
        <v>4301052069</v>
      </c>
      <c r="D469" s="650">
        <v>4607091384253</v>
      </c>
      <c r="E469" s="651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77</v>
      </c>
      <c r="L469" s="32"/>
      <c r="M469" s="33" t="s">
        <v>78</v>
      </c>
      <c r="N469" s="33"/>
      <c r="O469" s="32">
        <v>40</v>
      </c>
      <c r="P469" s="98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1">
        <v>0</v>
      </c>
      <c r="Y469" s="642">
        <f>IFERROR(IF(X469="",0,CEILING((X469/$H469),1)*$H469),"")</f>
        <v>0</v>
      </c>
      <c r="Z469" s="36" t="str">
        <f>IFERROR(IF(Y469=0,"",ROUNDUP(Y469/H469,0)*0.00651),"")</f>
        <v/>
      </c>
      <c r="AA469" s="56"/>
      <c r="AB469" s="57"/>
      <c r="AC469" s="553" t="s">
        <v>751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55"/>
      <c r="B470" s="656"/>
      <c r="C470" s="656"/>
      <c r="D470" s="656"/>
      <c r="E470" s="656"/>
      <c r="F470" s="656"/>
      <c r="G470" s="656"/>
      <c r="H470" s="656"/>
      <c r="I470" s="656"/>
      <c r="J470" s="656"/>
      <c r="K470" s="656"/>
      <c r="L470" s="656"/>
      <c r="M470" s="656"/>
      <c r="N470" s="656"/>
      <c r="O470" s="657"/>
      <c r="P470" s="667" t="s">
        <v>72</v>
      </c>
      <c r="Q470" s="668"/>
      <c r="R470" s="668"/>
      <c r="S470" s="668"/>
      <c r="T470" s="668"/>
      <c r="U470" s="668"/>
      <c r="V470" s="669"/>
      <c r="W470" s="37" t="s">
        <v>73</v>
      </c>
      <c r="X470" s="643">
        <f>IFERROR(X467/H467,"0")+IFERROR(X468/H468,"0")+IFERROR(X469/H469,"0")</f>
        <v>127.77777777777777</v>
      </c>
      <c r="Y470" s="643">
        <f>IFERROR(Y467/H467,"0")+IFERROR(Y468/H468,"0")+IFERROR(Y469/H469,"0")</f>
        <v>128</v>
      </c>
      <c r="Z470" s="643">
        <f>IFERROR(IF(Z467="",0,Z467),"0")+IFERROR(IF(Z468="",0,Z468),"0")+IFERROR(IF(Z469="",0,Z469),"0")</f>
        <v>2.42944</v>
      </c>
      <c r="AA470" s="644"/>
      <c r="AB470" s="644"/>
      <c r="AC470" s="644"/>
    </row>
    <row r="471" spans="1:68" x14ac:dyDescent="0.2">
      <c r="A471" s="656"/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7"/>
      <c r="P471" s="667" t="s">
        <v>72</v>
      </c>
      <c r="Q471" s="668"/>
      <c r="R471" s="668"/>
      <c r="S471" s="668"/>
      <c r="T471" s="668"/>
      <c r="U471" s="668"/>
      <c r="V471" s="669"/>
      <c r="W471" s="37" t="s">
        <v>67</v>
      </c>
      <c r="X471" s="643">
        <f>IFERROR(SUM(X467:X469),"0")</f>
        <v>1150</v>
      </c>
      <c r="Y471" s="643">
        <f>IFERROR(SUM(Y467:Y469),"0")</f>
        <v>1152</v>
      </c>
      <c r="Z471" s="37"/>
      <c r="AA471" s="644"/>
      <c r="AB471" s="644"/>
      <c r="AC471" s="644"/>
    </row>
    <row r="472" spans="1:68" ht="27.75" hidden="1" customHeight="1" x14ac:dyDescent="0.2">
      <c r="A472" s="664" t="s">
        <v>752</v>
      </c>
      <c r="B472" s="665"/>
      <c r="C472" s="665"/>
      <c r="D472" s="665"/>
      <c r="E472" s="665"/>
      <c r="F472" s="665"/>
      <c r="G472" s="665"/>
      <c r="H472" s="665"/>
      <c r="I472" s="665"/>
      <c r="J472" s="665"/>
      <c r="K472" s="665"/>
      <c r="L472" s="665"/>
      <c r="M472" s="665"/>
      <c r="N472" s="665"/>
      <c r="O472" s="665"/>
      <c r="P472" s="665"/>
      <c r="Q472" s="665"/>
      <c r="R472" s="665"/>
      <c r="S472" s="665"/>
      <c r="T472" s="665"/>
      <c r="U472" s="665"/>
      <c r="V472" s="665"/>
      <c r="W472" s="665"/>
      <c r="X472" s="665"/>
      <c r="Y472" s="665"/>
      <c r="Z472" s="665"/>
      <c r="AA472" s="48"/>
      <c r="AB472" s="48"/>
      <c r="AC472" s="48"/>
    </row>
    <row r="473" spans="1:68" ht="16.5" hidden="1" customHeight="1" x14ac:dyDescent="0.25">
      <c r="A473" s="666" t="s">
        <v>753</v>
      </c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6"/>
      <c r="P473" s="656"/>
      <c r="Q473" s="656"/>
      <c r="R473" s="656"/>
      <c r="S473" s="656"/>
      <c r="T473" s="656"/>
      <c r="U473" s="656"/>
      <c r="V473" s="656"/>
      <c r="W473" s="656"/>
      <c r="X473" s="656"/>
      <c r="Y473" s="656"/>
      <c r="Z473" s="656"/>
      <c r="AA473" s="636"/>
      <c r="AB473" s="636"/>
      <c r="AC473" s="636"/>
    </row>
    <row r="474" spans="1:68" ht="14.25" hidden="1" customHeight="1" x14ac:dyDescent="0.25">
      <c r="A474" s="672" t="s">
        <v>62</v>
      </c>
      <c r="B474" s="656"/>
      <c r="C474" s="656"/>
      <c r="D474" s="656"/>
      <c r="E474" s="656"/>
      <c r="F474" s="656"/>
      <c r="G474" s="656"/>
      <c r="H474" s="656"/>
      <c r="I474" s="656"/>
      <c r="J474" s="656"/>
      <c r="K474" s="656"/>
      <c r="L474" s="656"/>
      <c r="M474" s="656"/>
      <c r="N474" s="656"/>
      <c r="O474" s="656"/>
      <c r="P474" s="656"/>
      <c r="Q474" s="656"/>
      <c r="R474" s="656"/>
      <c r="S474" s="656"/>
      <c r="T474" s="656"/>
      <c r="U474" s="656"/>
      <c r="V474" s="656"/>
      <c r="W474" s="656"/>
      <c r="X474" s="656"/>
      <c r="Y474" s="656"/>
      <c r="Z474" s="656"/>
      <c r="AA474" s="635"/>
      <c r="AB474" s="635"/>
      <c r="AC474" s="635"/>
    </row>
    <row r="475" spans="1:68" ht="27" hidden="1" customHeight="1" x14ac:dyDescent="0.25">
      <c r="A475" s="54" t="s">
        <v>754</v>
      </c>
      <c r="B475" s="54" t="s">
        <v>755</v>
      </c>
      <c r="C475" s="31">
        <v>4301031405</v>
      </c>
      <c r="D475" s="650">
        <v>4680115886100</v>
      </c>
      <c r="E475" s="651"/>
      <c r="F475" s="640">
        <v>0.9</v>
      </c>
      <c r="G475" s="32">
        <v>6</v>
      </c>
      <c r="H475" s="640">
        <v>5.4</v>
      </c>
      <c r="I475" s="640">
        <v>5.59</v>
      </c>
      <c r="J475" s="32">
        <v>132</v>
      </c>
      <c r="K475" s="32" t="s">
        <v>123</v>
      </c>
      <c r="L475" s="32"/>
      <c r="M475" s="33" t="s">
        <v>66</v>
      </c>
      <c r="N475" s="33"/>
      <c r="O475" s="32">
        <v>50</v>
      </c>
      <c r="P475" s="8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48"/>
      <c r="R475" s="648"/>
      <c r="S475" s="648"/>
      <c r="T475" s="649"/>
      <c r="U475" s="34"/>
      <c r="V475" s="34"/>
      <c r="W475" s="35" t="s">
        <v>67</v>
      </c>
      <c r="X475" s="641">
        <v>0</v>
      </c>
      <c r="Y475" s="642">
        <f t="shared" ref="Y475:Y480" si="73"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55" t="s">
        <v>756</v>
      </c>
      <c r="AG475" s="64"/>
      <c r="AJ475" s="68"/>
      <c r="AK475" s="68">
        <v>0</v>
      </c>
      <c r="BB475" s="556" t="s">
        <v>1</v>
      </c>
      <c r="BM475" s="64">
        <f t="shared" ref="BM475:BM480" si="74">IFERROR(X475*I475/H475,"0")</f>
        <v>0</v>
      </c>
      <c r="BN475" s="64">
        <f t="shared" ref="BN475:BN480" si="75">IFERROR(Y475*I475/H475,"0")</f>
        <v>0</v>
      </c>
      <c r="BO475" s="64">
        <f t="shared" ref="BO475:BO480" si="76">IFERROR(1/J475*(X475/H475),"0")</f>
        <v>0</v>
      </c>
      <c r="BP475" s="64">
        <f t="shared" ref="BP475:BP480" si="77">IFERROR(1/J475*(Y475/H475),"0")</f>
        <v>0</v>
      </c>
    </row>
    <row r="476" spans="1:68" ht="27" hidden="1" customHeight="1" x14ac:dyDescent="0.25">
      <c r="A476" s="54" t="s">
        <v>757</v>
      </c>
      <c r="B476" s="54" t="s">
        <v>758</v>
      </c>
      <c r="C476" s="31">
        <v>4301031402</v>
      </c>
      <c r="D476" s="650">
        <v>4680115886124</v>
      </c>
      <c r="E476" s="651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123</v>
      </c>
      <c r="L476" s="32"/>
      <c r="M476" s="33" t="s">
        <v>66</v>
      </c>
      <c r="N476" s="33"/>
      <c r="O476" s="32">
        <v>50</v>
      </c>
      <c r="P476" s="72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48"/>
      <c r="R476" s="648"/>
      <c r="S476" s="648"/>
      <c r="T476" s="649"/>
      <c r="U476" s="34"/>
      <c r="V476" s="34"/>
      <c r="W476" s="35" t="s">
        <v>67</v>
      </c>
      <c r="X476" s="641">
        <v>0</v>
      </c>
      <c r="Y476" s="642">
        <f t="shared" si="73"/>
        <v>0</v>
      </c>
      <c r="Z476" s="36" t="str">
        <f>IFERROR(IF(Y476=0,"",ROUNDUP(Y476/H476,0)*0.00902),"")</f>
        <v/>
      </c>
      <c r="AA476" s="56"/>
      <c r="AB476" s="57"/>
      <c r="AC476" s="557" t="s">
        <v>759</v>
      </c>
      <c r="AG476" s="64"/>
      <c r="AJ476" s="68"/>
      <c r="AK476" s="68">
        <v>0</v>
      </c>
      <c r="BB476" s="558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27" hidden="1" customHeight="1" x14ac:dyDescent="0.25">
      <c r="A477" s="54" t="s">
        <v>760</v>
      </c>
      <c r="B477" s="54" t="s">
        <v>761</v>
      </c>
      <c r="C477" s="31">
        <v>4301031362</v>
      </c>
      <c r="D477" s="650">
        <v>4607091384338</v>
      </c>
      <c r="E477" s="651"/>
      <c r="F477" s="640">
        <v>0.35</v>
      </c>
      <c r="G477" s="32">
        <v>6</v>
      </c>
      <c r="H477" s="640">
        <v>2.1</v>
      </c>
      <c r="I477" s="640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5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48"/>
      <c r="R477" s="648"/>
      <c r="S477" s="648"/>
      <c r="T477" s="649"/>
      <c r="U477" s="34"/>
      <c r="V477" s="34"/>
      <c r="W477" s="35" t="s">
        <v>67</v>
      </c>
      <c r="X477" s="641">
        <v>0</v>
      </c>
      <c r="Y477" s="642">
        <f t="shared" si="73"/>
        <v>0</v>
      </c>
      <c r="Z477" s="36" t="str">
        <f>IFERROR(IF(Y477=0,"",ROUNDUP(Y477/H477,0)*0.00502),"")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4301031364</v>
      </c>
      <c r="D478" s="650">
        <v>4680115883161</v>
      </c>
      <c r="E478" s="651"/>
      <c r="F478" s="640">
        <v>0.28000000000000003</v>
      </c>
      <c r="G478" s="32">
        <v>6</v>
      </c>
      <c r="H478" s="640">
        <v>1.68</v>
      </c>
      <c r="I478" s="640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4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1">
        <v>0</v>
      </c>
      <c r="Y478" s="642">
        <f t="shared" si="73"/>
        <v>0</v>
      </c>
      <c r="Z478" s="36" t="str">
        <f>IFERROR(IF(Y478=0,"",ROUNDUP(Y478/H478,0)*0.00502),"")</f>
        <v/>
      </c>
      <c r="AA478" s="56"/>
      <c r="AB478" s="57"/>
      <c r="AC478" s="561" t="s">
        <v>764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765</v>
      </c>
      <c r="B479" s="54" t="s">
        <v>766</v>
      </c>
      <c r="C479" s="31">
        <v>4301031358</v>
      </c>
      <c r="D479" s="650">
        <v>4607091389531</v>
      </c>
      <c r="E479" s="651"/>
      <c r="F479" s="640">
        <v>0.35</v>
      </c>
      <c r="G479" s="32">
        <v>6</v>
      </c>
      <c r="H479" s="640">
        <v>2.1</v>
      </c>
      <c r="I479" s="640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7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1">
        <v>0</v>
      </c>
      <c r="Y479" s="642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767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37.5" hidden="1" customHeight="1" x14ac:dyDescent="0.25">
      <c r="A480" s="54" t="s">
        <v>768</v>
      </c>
      <c r="B480" s="54" t="s">
        <v>769</v>
      </c>
      <c r="C480" s="31">
        <v>4301031360</v>
      </c>
      <c r="D480" s="650">
        <v>4607091384345</v>
      </c>
      <c r="E480" s="651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2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48"/>
      <c r="R480" s="648"/>
      <c r="S480" s="648"/>
      <c r="T480" s="649"/>
      <c r="U480" s="34"/>
      <c r="V480" s="34"/>
      <c r="W480" s="35" t="s">
        <v>67</v>
      </c>
      <c r="X480" s="641">
        <v>0</v>
      </c>
      <c r="Y480" s="642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idden="1" x14ac:dyDescent="0.2">
      <c r="A481" s="655"/>
      <c r="B481" s="656"/>
      <c r="C481" s="656"/>
      <c r="D481" s="656"/>
      <c r="E481" s="656"/>
      <c r="F481" s="656"/>
      <c r="G481" s="656"/>
      <c r="H481" s="656"/>
      <c r="I481" s="656"/>
      <c r="J481" s="656"/>
      <c r="K481" s="656"/>
      <c r="L481" s="656"/>
      <c r="M481" s="656"/>
      <c r="N481" s="656"/>
      <c r="O481" s="657"/>
      <c r="P481" s="667" t="s">
        <v>72</v>
      </c>
      <c r="Q481" s="668"/>
      <c r="R481" s="668"/>
      <c r="S481" s="668"/>
      <c r="T481" s="668"/>
      <c r="U481" s="668"/>
      <c r="V481" s="669"/>
      <c r="W481" s="37" t="s">
        <v>73</v>
      </c>
      <c r="X481" s="643">
        <f>IFERROR(X475/H475,"0")+IFERROR(X476/H476,"0")+IFERROR(X477/H477,"0")+IFERROR(X478/H478,"0")+IFERROR(X479/H479,"0")+IFERROR(X480/H480,"0")</f>
        <v>0</v>
      </c>
      <c r="Y481" s="643">
        <f>IFERROR(Y475/H475,"0")+IFERROR(Y476/H476,"0")+IFERROR(Y477/H477,"0")+IFERROR(Y478/H478,"0")+IFERROR(Y479/H479,"0")+IFERROR(Y480/H480,"0")</f>
        <v>0</v>
      </c>
      <c r="Z481" s="643">
        <f>IFERROR(IF(Z475="",0,Z475),"0")+IFERROR(IF(Z476="",0,Z476),"0")+IFERROR(IF(Z477="",0,Z477),"0")+IFERROR(IF(Z478="",0,Z478),"0")+IFERROR(IF(Z479="",0,Z479),"0")+IFERROR(IF(Z480="",0,Z480),"0")</f>
        <v>0</v>
      </c>
      <c r="AA481" s="644"/>
      <c r="AB481" s="644"/>
      <c r="AC481" s="644"/>
    </row>
    <row r="482" spans="1:68" hidden="1" x14ac:dyDescent="0.2">
      <c r="A482" s="656"/>
      <c r="B482" s="656"/>
      <c r="C482" s="656"/>
      <c r="D482" s="656"/>
      <c r="E482" s="656"/>
      <c r="F482" s="656"/>
      <c r="G482" s="656"/>
      <c r="H482" s="656"/>
      <c r="I482" s="656"/>
      <c r="J482" s="656"/>
      <c r="K482" s="656"/>
      <c r="L482" s="656"/>
      <c r="M482" s="656"/>
      <c r="N482" s="656"/>
      <c r="O482" s="657"/>
      <c r="P482" s="667" t="s">
        <v>72</v>
      </c>
      <c r="Q482" s="668"/>
      <c r="R482" s="668"/>
      <c r="S482" s="668"/>
      <c r="T482" s="668"/>
      <c r="U482" s="668"/>
      <c r="V482" s="669"/>
      <c r="W482" s="37" t="s">
        <v>67</v>
      </c>
      <c r="X482" s="643">
        <f>IFERROR(SUM(X475:X480),"0")</f>
        <v>0</v>
      </c>
      <c r="Y482" s="643">
        <f>IFERROR(SUM(Y475:Y480),"0")</f>
        <v>0</v>
      </c>
      <c r="Z482" s="37"/>
      <c r="AA482" s="644"/>
      <c r="AB482" s="644"/>
      <c r="AC482" s="644"/>
    </row>
    <row r="483" spans="1:68" ht="14.25" hidden="1" customHeight="1" x14ac:dyDescent="0.25">
      <c r="A483" s="672" t="s">
        <v>74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35"/>
      <c r="AB483" s="635"/>
      <c r="AC483" s="635"/>
    </row>
    <row r="484" spans="1:68" ht="27" hidden="1" customHeight="1" x14ac:dyDescent="0.25">
      <c r="A484" s="54" t="s">
        <v>770</v>
      </c>
      <c r="B484" s="54" t="s">
        <v>771</v>
      </c>
      <c r="C484" s="31">
        <v>4301051284</v>
      </c>
      <c r="D484" s="650">
        <v>4607091384352</v>
      </c>
      <c r="E484" s="651"/>
      <c r="F484" s="640">
        <v>0.6</v>
      </c>
      <c r="G484" s="32">
        <v>4</v>
      </c>
      <c r="H484" s="640">
        <v>2.4</v>
      </c>
      <c r="I484" s="640">
        <v>2.6259999999999999</v>
      </c>
      <c r="J484" s="32">
        <v>132</v>
      </c>
      <c r="K484" s="32" t="s">
        <v>123</v>
      </c>
      <c r="L484" s="32"/>
      <c r="M484" s="33" t="s">
        <v>78</v>
      </c>
      <c r="N484" s="33"/>
      <c r="O484" s="32">
        <v>45</v>
      </c>
      <c r="P484" s="9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48"/>
      <c r="R484" s="648"/>
      <c r="S484" s="648"/>
      <c r="T484" s="649"/>
      <c r="U484" s="34"/>
      <c r="V484" s="34"/>
      <c r="W484" s="35" t="s">
        <v>67</v>
      </c>
      <c r="X484" s="641">
        <v>0</v>
      </c>
      <c r="Y484" s="642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67" t="s">
        <v>772</v>
      </c>
      <c r="AG484" s="64"/>
      <c r="AJ484" s="68"/>
      <c r="AK484" s="68">
        <v>0</v>
      </c>
      <c r="BB484" s="568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773</v>
      </c>
      <c r="B485" s="54" t="s">
        <v>774</v>
      </c>
      <c r="C485" s="31">
        <v>4301051431</v>
      </c>
      <c r="D485" s="650">
        <v>4607091389654</v>
      </c>
      <c r="E485" s="651"/>
      <c r="F485" s="640">
        <v>0.33</v>
      </c>
      <c r="G485" s="32">
        <v>6</v>
      </c>
      <c r="H485" s="640">
        <v>1.98</v>
      </c>
      <c r="I485" s="640">
        <v>2.238</v>
      </c>
      <c r="J485" s="32">
        <v>182</v>
      </c>
      <c r="K485" s="32" t="s">
        <v>77</v>
      </c>
      <c r="L485" s="32"/>
      <c r="M485" s="33" t="s">
        <v>78</v>
      </c>
      <c r="N485" s="33"/>
      <c r="O485" s="32">
        <v>45</v>
      </c>
      <c r="P485" s="8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48"/>
      <c r="R485" s="648"/>
      <c r="S485" s="648"/>
      <c r="T485" s="649"/>
      <c r="U485" s="34"/>
      <c r="V485" s="34"/>
      <c r="W485" s="35" t="s">
        <v>67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9" t="s">
        <v>775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55"/>
      <c r="B486" s="656"/>
      <c r="C486" s="656"/>
      <c r="D486" s="656"/>
      <c r="E486" s="656"/>
      <c r="F486" s="656"/>
      <c r="G486" s="656"/>
      <c r="H486" s="656"/>
      <c r="I486" s="656"/>
      <c r="J486" s="656"/>
      <c r="K486" s="656"/>
      <c r="L486" s="656"/>
      <c r="M486" s="656"/>
      <c r="N486" s="656"/>
      <c r="O486" s="657"/>
      <c r="P486" s="667" t="s">
        <v>72</v>
      </c>
      <c r="Q486" s="668"/>
      <c r="R486" s="668"/>
      <c r="S486" s="668"/>
      <c r="T486" s="668"/>
      <c r="U486" s="668"/>
      <c r="V486" s="669"/>
      <c r="W486" s="37" t="s">
        <v>73</v>
      </c>
      <c r="X486" s="643">
        <f>IFERROR(X484/H484,"0")+IFERROR(X485/H485,"0")</f>
        <v>0</v>
      </c>
      <c r="Y486" s="643">
        <f>IFERROR(Y484/H484,"0")+IFERROR(Y485/H485,"0")</f>
        <v>0</v>
      </c>
      <c r="Z486" s="643">
        <f>IFERROR(IF(Z484="",0,Z484),"0")+IFERROR(IF(Z485="",0,Z485),"0")</f>
        <v>0</v>
      </c>
      <c r="AA486" s="644"/>
      <c r="AB486" s="644"/>
      <c r="AC486" s="644"/>
    </row>
    <row r="487" spans="1:68" hidden="1" x14ac:dyDescent="0.2">
      <c r="A487" s="656"/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7"/>
      <c r="P487" s="667" t="s">
        <v>72</v>
      </c>
      <c r="Q487" s="668"/>
      <c r="R487" s="668"/>
      <c r="S487" s="668"/>
      <c r="T487" s="668"/>
      <c r="U487" s="668"/>
      <c r="V487" s="669"/>
      <c r="W487" s="37" t="s">
        <v>67</v>
      </c>
      <c r="X487" s="643">
        <f>IFERROR(SUM(X484:X485),"0")</f>
        <v>0</v>
      </c>
      <c r="Y487" s="643">
        <f>IFERROR(SUM(Y484:Y485),"0")</f>
        <v>0</v>
      </c>
      <c r="Z487" s="37"/>
      <c r="AA487" s="644"/>
      <c r="AB487" s="644"/>
      <c r="AC487" s="644"/>
    </row>
    <row r="488" spans="1:68" ht="16.5" hidden="1" customHeight="1" x14ac:dyDescent="0.25">
      <c r="A488" s="666" t="s">
        <v>776</v>
      </c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6"/>
      <c r="P488" s="656"/>
      <c r="Q488" s="656"/>
      <c r="R488" s="656"/>
      <c r="S488" s="656"/>
      <c r="T488" s="656"/>
      <c r="U488" s="656"/>
      <c r="V488" s="656"/>
      <c r="W488" s="656"/>
      <c r="X488" s="656"/>
      <c r="Y488" s="656"/>
      <c r="Z488" s="656"/>
      <c r="AA488" s="636"/>
      <c r="AB488" s="636"/>
      <c r="AC488" s="636"/>
    </row>
    <row r="489" spans="1:68" ht="14.25" hidden="1" customHeight="1" x14ac:dyDescent="0.25">
      <c r="A489" s="672" t="s">
        <v>146</v>
      </c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6"/>
      <c r="P489" s="656"/>
      <c r="Q489" s="656"/>
      <c r="R489" s="656"/>
      <c r="S489" s="656"/>
      <c r="T489" s="656"/>
      <c r="U489" s="656"/>
      <c r="V489" s="656"/>
      <c r="W489" s="656"/>
      <c r="X489" s="656"/>
      <c r="Y489" s="656"/>
      <c r="Z489" s="656"/>
      <c r="AA489" s="635"/>
      <c r="AB489" s="635"/>
      <c r="AC489" s="635"/>
    </row>
    <row r="490" spans="1:68" ht="27" hidden="1" customHeight="1" x14ac:dyDescent="0.25">
      <c r="A490" s="54" t="s">
        <v>777</v>
      </c>
      <c r="B490" s="54" t="s">
        <v>778</v>
      </c>
      <c r="C490" s="31">
        <v>4301020416</v>
      </c>
      <c r="D490" s="650">
        <v>4680115885240</v>
      </c>
      <c r="E490" s="651"/>
      <c r="F490" s="640">
        <v>0.35</v>
      </c>
      <c r="G490" s="32">
        <v>6</v>
      </c>
      <c r="H490" s="640">
        <v>2.1</v>
      </c>
      <c r="I490" s="640">
        <v>2.31</v>
      </c>
      <c r="J490" s="32">
        <v>182</v>
      </c>
      <c r="K490" s="32" t="s">
        <v>77</v>
      </c>
      <c r="L490" s="32"/>
      <c r="M490" s="33" t="s">
        <v>66</v>
      </c>
      <c r="N490" s="33"/>
      <c r="O490" s="32">
        <v>40</v>
      </c>
      <c r="P490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48"/>
      <c r="R490" s="648"/>
      <c r="S490" s="648"/>
      <c r="T490" s="649"/>
      <c r="U490" s="34"/>
      <c r="V490" s="34"/>
      <c r="W490" s="35" t="s">
        <v>67</v>
      </c>
      <c r="X490" s="641">
        <v>0</v>
      </c>
      <c r="Y490" s="642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71" t="s">
        <v>779</v>
      </c>
      <c r="AG490" s="64"/>
      <c r="AJ490" s="68"/>
      <c r="AK490" s="68">
        <v>0</v>
      </c>
      <c r="BB490" s="572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655"/>
      <c r="B491" s="656"/>
      <c r="C491" s="656"/>
      <c r="D491" s="656"/>
      <c r="E491" s="656"/>
      <c r="F491" s="656"/>
      <c r="G491" s="656"/>
      <c r="H491" s="656"/>
      <c r="I491" s="656"/>
      <c r="J491" s="656"/>
      <c r="K491" s="656"/>
      <c r="L491" s="656"/>
      <c r="M491" s="656"/>
      <c r="N491" s="656"/>
      <c r="O491" s="657"/>
      <c r="P491" s="667" t="s">
        <v>72</v>
      </c>
      <c r="Q491" s="668"/>
      <c r="R491" s="668"/>
      <c r="S491" s="668"/>
      <c r="T491" s="668"/>
      <c r="U491" s="668"/>
      <c r="V491" s="669"/>
      <c r="W491" s="37" t="s">
        <v>73</v>
      </c>
      <c r="X491" s="643">
        <f>IFERROR(X490/H490,"0")</f>
        <v>0</v>
      </c>
      <c r="Y491" s="643">
        <f>IFERROR(Y490/H490,"0")</f>
        <v>0</v>
      </c>
      <c r="Z491" s="643">
        <f>IFERROR(IF(Z490="",0,Z490),"0")</f>
        <v>0</v>
      </c>
      <c r="AA491" s="644"/>
      <c r="AB491" s="644"/>
      <c r="AC491" s="644"/>
    </row>
    <row r="492" spans="1:68" hidden="1" x14ac:dyDescent="0.2">
      <c r="A492" s="656"/>
      <c r="B492" s="656"/>
      <c r="C492" s="656"/>
      <c r="D492" s="656"/>
      <c r="E492" s="656"/>
      <c r="F492" s="656"/>
      <c r="G492" s="656"/>
      <c r="H492" s="656"/>
      <c r="I492" s="656"/>
      <c r="J492" s="656"/>
      <c r="K492" s="656"/>
      <c r="L492" s="656"/>
      <c r="M492" s="656"/>
      <c r="N492" s="656"/>
      <c r="O492" s="657"/>
      <c r="P492" s="667" t="s">
        <v>72</v>
      </c>
      <c r="Q492" s="668"/>
      <c r="R492" s="668"/>
      <c r="S492" s="668"/>
      <c r="T492" s="668"/>
      <c r="U492" s="668"/>
      <c r="V492" s="669"/>
      <c r="W492" s="37" t="s">
        <v>67</v>
      </c>
      <c r="X492" s="643">
        <f>IFERROR(SUM(X490:X490),"0")</f>
        <v>0</v>
      </c>
      <c r="Y492" s="643">
        <f>IFERROR(SUM(Y490:Y490),"0")</f>
        <v>0</v>
      </c>
      <c r="Z492" s="37"/>
      <c r="AA492" s="644"/>
      <c r="AB492" s="644"/>
      <c r="AC492" s="644"/>
    </row>
    <row r="493" spans="1:68" ht="14.25" hidden="1" customHeight="1" x14ac:dyDescent="0.25">
      <c r="A493" s="672" t="s">
        <v>62</v>
      </c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6"/>
      <c r="P493" s="656"/>
      <c r="Q493" s="656"/>
      <c r="R493" s="656"/>
      <c r="S493" s="656"/>
      <c r="T493" s="656"/>
      <c r="U493" s="656"/>
      <c r="V493" s="656"/>
      <c r="W493" s="656"/>
      <c r="X493" s="656"/>
      <c r="Y493" s="656"/>
      <c r="Z493" s="656"/>
      <c r="AA493" s="635"/>
      <c r="AB493" s="635"/>
      <c r="AC493" s="635"/>
    </row>
    <row r="494" spans="1:68" ht="27" hidden="1" customHeight="1" x14ac:dyDescent="0.25">
      <c r="A494" s="54" t="s">
        <v>780</v>
      </c>
      <c r="B494" s="54" t="s">
        <v>781</v>
      </c>
      <c r="C494" s="31">
        <v>4301031407</v>
      </c>
      <c r="D494" s="650">
        <v>4680115886094</v>
      </c>
      <c r="E494" s="651"/>
      <c r="F494" s="640">
        <v>0.9</v>
      </c>
      <c r="G494" s="32">
        <v>6</v>
      </c>
      <c r="H494" s="640">
        <v>5.4</v>
      </c>
      <c r="I494" s="640">
        <v>5.59</v>
      </c>
      <c r="J494" s="32">
        <v>132</v>
      </c>
      <c r="K494" s="32" t="s">
        <v>123</v>
      </c>
      <c r="L494" s="32"/>
      <c r="M494" s="33" t="s">
        <v>66</v>
      </c>
      <c r="N494" s="33"/>
      <c r="O494" s="32">
        <v>50</v>
      </c>
      <c r="P494" s="7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48"/>
      <c r="R494" s="648"/>
      <c r="S494" s="648"/>
      <c r="T494" s="649"/>
      <c r="U494" s="34"/>
      <c r="V494" s="34"/>
      <c r="W494" s="35" t="s">
        <v>67</v>
      </c>
      <c r="X494" s="641">
        <v>0</v>
      </c>
      <c r="Y494" s="642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73" t="s">
        <v>782</v>
      </c>
      <c r="AG494" s="64"/>
      <c r="AJ494" s="68"/>
      <c r="AK494" s="68">
        <v>0</v>
      </c>
      <c r="BB494" s="574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t="27" hidden="1" customHeight="1" x14ac:dyDescent="0.25">
      <c r="A495" s="54" t="s">
        <v>783</v>
      </c>
      <c r="B495" s="54" t="s">
        <v>784</v>
      </c>
      <c r="C495" s="31">
        <v>4301031373</v>
      </c>
      <c r="D495" s="650">
        <v>4680115880771</v>
      </c>
      <c r="E495" s="651"/>
      <c r="F495" s="640">
        <v>0.28000000000000003</v>
      </c>
      <c r="G495" s="32">
        <v>6</v>
      </c>
      <c r="H495" s="640">
        <v>1.68</v>
      </c>
      <c r="I495" s="640">
        <v>1.81</v>
      </c>
      <c r="J495" s="32">
        <v>234</v>
      </c>
      <c r="K495" s="32" t="s">
        <v>65</v>
      </c>
      <c r="L495" s="32"/>
      <c r="M495" s="33" t="s">
        <v>66</v>
      </c>
      <c r="N495" s="33"/>
      <c r="O495" s="32">
        <v>50</v>
      </c>
      <c r="P495" s="8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48"/>
      <c r="R495" s="648"/>
      <c r="S495" s="648"/>
      <c r="T495" s="649"/>
      <c r="U495" s="34"/>
      <c r="V495" s="34"/>
      <c r="W495" s="35" t="s">
        <v>67</v>
      </c>
      <c r="X495" s="641">
        <v>0</v>
      </c>
      <c r="Y495" s="642">
        <f>IFERROR(IF(X495="",0,CEILING((X495/$H495),1)*$H495),"")</f>
        <v>0</v>
      </c>
      <c r="Z495" s="36" t="str">
        <f>IFERROR(IF(Y495=0,"",ROUNDUP(Y495/H495,0)*0.00502),"")</f>
        <v/>
      </c>
      <c r="AA495" s="56"/>
      <c r="AB495" s="57"/>
      <c r="AC495" s="575" t="s">
        <v>785</v>
      </c>
      <c r="AG495" s="64"/>
      <c r="AJ495" s="68"/>
      <c r="AK495" s="68">
        <v>0</v>
      </c>
      <c r="BB495" s="576" t="s">
        <v>1</v>
      </c>
      <c r="BM495" s="64">
        <f>IFERROR(X495*I495/H495,"0")</f>
        <v>0</v>
      </c>
      <c r="BN495" s="64">
        <f>IFERROR(Y495*I495/H495,"0")</f>
        <v>0</v>
      </c>
      <c r="BO495" s="64">
        <f>IFERROR(1/J495*(X495/H495),"0")</f>
        <v>0</v>
      </c>
      <c r="BP495" s="64">
        <f>IFERROR(1/J495*(Y495/H495),"0")</f>
        <v>0</v>
      </c>
    </row>
    <row r="496" spans="1:68" ht="27" hidden="1" customHeight="1" x14ac:dyDescent="0.25">
      <c r="A496" s="54" t="s">
        <v>786</v>
      </c>
      <c r="B496" s="54" t="s">
        <v>787</v>
      </c>
      <c r="C496" s="31">
        <v>4301031359</v>
      </c>
      <c r="D496" s="650">
        <v>4607091389500</v>
      </c>
      <c r="E496" s="651"/>
      <c r="F496" s="640">
        <v>0.35</v>
      </c>
      <c r="G496" s="32">
        <v>6</v>
      </c>
      <c r="H496" s="640">
        <v>2.1</v>
      </c>
      <c r="I496" s="640">
        <v>2.23</v>
      </c>
      <c r="J496" s="32">
        <v>234</v>
      </c>
      <c r="K496" s="32" t="s">
        <v>65</v>
      </c>
      <c r="L496" s="32"/>
      <c r="M496" s="33" t="s">
        <v>66</v>
      </c>
      <c r="N496" s="33"/>
      <c r="O496" s="32">
        <v>50</v>
      </c>
      <c r="P496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48"/>
      <c r="R496" s="648"/>
      <c r="S496" s="648"/>
      <c r="T496" s="649"/>
      <c r="U496" s="34"/>
      <c r="V496" s="34"/>
      <c r="W496" s="35" t="s">
        <v>67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55"/>
      <c r="B497" s="656"/>
      <c r="C497" s="656"/>
      <c r="D497" s="656"/>
      <c r="E497" s="656"/>
      <c r="F497" s="656"/>
      <c r="G497" s="656"/>
      <c r="H497" s="656"/>
      <c r="I497" s="656"/>
      <c r="J497" s="656"/>
      <c r="K497" s="656"/>
      <c r="L497" s="656"/>
      <c r="M497" s="656"/>
      <c r="N497" s="656"/>
      <c r="O497" s="657"/>
      <c r="P497" s="667" t="s">
        <v>72</v>
      </c>
      <c r="Q497" s="668"/>
      <c r="R497" s="668"/>
      <c r="S497" s="668"/>
      <c r="T497" s="668"/>
      <c r="U497" s="668"/>
      <c r="V497" s="669"/>
      <c r="W497" s="37" t="s">
        <v>73</v>
      </c>
      <c r="X497" s="643">
        <f>IFERROR(X494/H494,"0")+IFERROR(X495/H495,"0")+IFERROR(X496/H496,"0")</f>
        <v>0</v>
      </c>
      <c r="Y497" s="643">
        <f>IFERROR(Y494/H494,"0")+IFERROR(Y495/H495,"0")+IFERROR(Y496/H496,"0")</f>
        <v>0</v>
      </c>
      <c r="Z497" s="643">
        <f>IFERROR(IF(Z494="",0,Z494),"0")+IFERROR(IF(Z495="",0,Z495),"0")+IFERROR(IF(Z496="",0,Z496),"0")</f>
        <v>0</v>
      </c>
      <c r="AA497" s="644"/>
      <c r="AB497" s="644"/>
      <c r="AC497" s="644"/>
    </row>
    <row r="498" spans="1:68" hidden="1" x14ac:dyDescent="0.2">
      <c r="A498" s="656"/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7"/>
      <c r="P498" s="667" t="s">
        <v>72</v>
      </c>
      <c r="Q498" s="668"/>
      <c r="R498" s="668"/>
      <c r="S498" s="668"/>
      <c r="T498" s="668"/>
      <c r="U498" s="668"/>
      <c r="V498" s="669"/>
      <c r="W498" s="37" t="s">
        <v>67</v>
      </c>
      <c r="X498" s="643">
        <f>IFERROR(SUM(X494:X496),"0")</f>
        <v>0</v>
      </c>
      <c r="Y498" s="643">
        <f>IFERROR(SUM(Y494:Y496),"0")</f>
        <v>0</v>
      </c>
      <c r="Z498" s="37"/>
      <c r="AA498" s="644"/>
      <c r="AB498" s="644"/>
      <c r="AC498" s="644"/>
    </row>
    <row r="499" spans="1:68" ht="27.75" hidden="1" customHeight="1" x14ac:dyDescent="0.2">
      <c r="A499" s="664" t="s">
        <v>788</v>
      </c>
      <c r="B499" s="665"/>
      <c r="C499" s="665"/>
      <c r="D499" s="665"/>
      <c r="E499" s="665"/>
      <c r="F499" s="665"/>
      <c r="G499" s="665"/>
      <c r="H499" s="665"/>
      <c r="I499" s="665"/>
      <c r="J499" s="665"/>
      <c r="K499" s="665"/>
      <c r="L499" s="665"/>
      <c r="M499" s="665"/>
      <c r="N499" s="665"/>
      <c r="O499" s="665"/>
      <c r="P499" s="665"/>
      <c r="Q499" s="665"/>
      <c r="R499" s="665"/>
      <c r="S499" s="665"/>
      <c r="T499" s="665"/>
      <c r="U499" s="665"/>
      <c r="V499" s="665"/>
      <c r="W499" s="665"/>
      <c r="X499" s="665"/>
      <c r="Y499" s="665"/>
      <c r="Z499" s="665"/>
      <c r="AA499" s="48"/>
      <c r="AB499" s="48"/>
      <c r="AC499" s="48"/>
    </row>
    <row r="500" spans="1:68" ht="16.5" hidden="1" customHeight="1" x14ac:dyDescent="0.25">
      <c r="A500" s="666" t="s">
        <v>788</v>
      </c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6"/>
      <c r="P500" s="656"/>
      <c r="Q500" s="656"/>
      <c r="R500" s="656"/>
      <c r="S500" s="656"/>
      <c r="T500" s="656"/>
      <c r="U500" s="656"/>
      <c r="V500" s="656"/>
      <c r="W500" s="656"/>
      <c r="X500" s="656"/>
      <c r="Y500" s="656"/>
      <c r="Z500" s="656"/>
      <c r="AA500" s="636"/>
      <c r="AB500" s="636"/>
      <c r="AC500" s="636"/>
    </row>
    <row r="501" spans="1:68" ht="14.25" hidden="1" customHeight="1" x14ac:dyDescent="0.25">
      <c r="A501" s="672" t="s">
        <v>111</v>
      </c>
      <c r="B501" s="656"/>
      <c r="C501" s="656"/>
      <c r="D501" s="656"/>
      <c r="E501" s="656"/>
      <c r="F501" s="656"/>
      <c r="G501" s="656"/>
      <c r="H501" s="656"/>
      <c r="I501" s="656"/>
      <c r="J501" s="656"/>
      <c r="K501" s="656"/>
      <c r="L501" s="656"/>
      <c r="M501" s="656"/>
      <c r="N501" s="656"/>
      <c r="O501" s="656"/>
      <c r="P501" s="656"/>
      <c r="Q501" s="656"/>
      <c r="R501" s="656"/>
      <c r="S501" s="656"/>
      <c r="T501" s="656"/>
      <c r="U501" s="656"/>
      <c r="V501" s="656"/>
      <c r="W501" s="656"/>
      <c r="X501" s="656"/>
      <c r="Y501" s="656"/>
      <c r="Z501" s="656"/>
      <c r="AA501" s="635"/>
      <c r="AB501" s="635"/>
      <c r="AC501" s="635"/>
    </row>
    <row r="502" spans="1:68" ht="27" hidden="1" customHeight="1" x14ac:dyDescent="0.25">
      <c r="A502" s="54" t="s">
        <v>789</v>
      </c>
      <c r="B502" s="54" t="s">
        <v>790</v>
      </c>
      <c r="C502" s="31">
        <v>4301011769</v>
      </c>
      <c r="D502" s="650">
        <v>4607091389067</v>
      </c>
      <c r="E502" s="651"/>
      <c r="F502" s="640">
        <v>0.88</v>
      </c>
      <c r="G502" s="32">
        <v>6</v>
      </c>
      <c r="H502" s="640">
        <v>5.28</v>
      </c>
      <c r="I502" s="640">
        <v>5.63</v>
      </c>
      <c r="J502" s="32">
        <v>104</v>
      </c>
      <c r="K502" s="32" t="s">
        <v>114</v>
      </c>
      <c r="L502" s="32"/>
      <c r="M502" s="33" t="s">
        <v>78</v>
      </c>
      <c r="N502" s="33"/>
      <c r="O502" s="32">
        <v>60</v>
      </c>
      <c r="P502" s="71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48"/>
      <c r="R502" s="648"/>
      <c r="S502" s="648"/>
      <c r="T502" s="649"/>
      <c r="U502" s="34"/>
      <c r="V502" s="34"/>
      <c r="W502" s="35" t="s">
        <v>67</v>
      </c>
      <c r="X502" s="641">
        <v>0</v>
      </c>
      <c r="Y502" s="642">
        <f t="shared" ref="Y502:Y510" si="78">IFERROR(IF(X502="",0,CEILING((X502/$H502),1)*$H502),"")</f>
        <v>0</v>
      </c>
      <c r="Z502" s="36" t="str">
        <f t="shared" ref="Z502:Z507" si="79">IFERROR(IF(Y502=0,"",ROUNDUP(Y502/H502,0)*0.01196),"")</f>
        <v/>
      </c>
      <c r="AA502" s="56"/>
      <c r="AB502" s="57"/>
      <c r="AC502" s="579" t="s">
        <v>116</v>
      </c>
      <c r="AG502" s="64"/>
      <c r="AJ502" s="68"/>
      <c r="AK502" s="68">
        <v>0</v>
      </c>
      <c r="BB502" s="580" t="s">
        <v>1</v>
      </c>
      <c r="BM502" s="64">
        <f t="shared" ref="BM502:BM510" si="80">IFERROR(X502*I502/H502,"0")</f>
        <v>0</v>
      </c>
      <c r="BN502" s="64">
        <f t="shared" ref="BN502:BN510" si="81">IFERROR(Y502*I502/H502,"0")</f>
        <v>0</v>
      </c>
      <c r="BO502" s="64">
        <f t="shared" ref="BO502:BO510" si="82">IFERROR(1/J502*(X502/H502),"0")</f>
        <v>0</v>
      </c>
      <c r="BP502" s="64">
        <f t="shared" ref="BP502:BP510" si="83">IFERROR(1/J502*(Y502/H502),"0")</f>
        <v>0</v>
      </c>
    </row>
    <row r="503" spans="1:68" ht="16.5" hidden="1" customHeight="1" x14ac:dyDescent="0.25">
      <c r="A503" s="54" t="s">
        <v>791</v>
      </c>
      <c r="B503" s="54" t="s">
        <v>792</v>
      </c>
      <c r="C503" s="31">
        <v>4301012380</v>
      </c>
      <c r="D503" s="650">
        <v>4680115889576</v>
      </c>
      <c r="E503" s="651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114</v>
      </c>
      <c r="L503" s="32"/>
      <c r="M503" s="33" t="s">
        <v>115</v>
      </c>
      <c r="N503" s="33"/>
      <c r="O503" s="32">
        <v>60</v>
      </c>
      <c r="P503" s="10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48"/>
      <c r="R503" s="648"/>
      <c r="S503" s="648"/>
      <c r="T503" s="649"/>
      <c r="U503" s="34"/>
      <c r="V503" s="34"/>
      <c r="W503" s="35" t="s">
        <v>67</v>
      </c>
      <c r="X503" s="641">
        <v>0</v>
      </c>
      <c r="Y503" s="642">
        <f t="shared" si="78"/>
        <v>0</v>
      </c>
      <c r="Z503" s="36" t="str">
        <f t="shared" si="79"/>
        <v/>
      </c>
      <c r="AA503" s="56"/>
      <c r="AB503" s="57"/>
      <c r="AC503" s="581" t="s">
        <v>793</v>
      </c>
      <c r="AG503" s="64"/>
      <c r="AJ503" s="68"/>
      <c r="AK503" s="68">
        <v>0</v>
      </c>
      <c r="BB503" s="582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4301011961</v>
      </c>
      <c r="D504" s="650">
        <v>4680115885271</v>
      </c>
      <c r="E504" s="651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7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48"/>
      <c r="R504" s="648"/>
      <c r="S504" s="648"/>
      <c r="T504" s="649"/>
      <c r="U504" s="34"/>
      <c r="V504" s="34"/>
      <c r="W504" s="35" t="s">
        <v>67</v>
      </c>
      <c r="X504" s="641">
        <v>0</v>
      </c>
      <c r="Y504" s="642">
        <f t="shared" si="78"/>
        <v>0</v>
      </c>
      <c r="Z504" s="36" t="str">
        <f t="shared" si="79"/>
        <v/>
      </c>
      <c r="AA504" s="56"/>
      <c r="AB504" s="57"/>
      <c r="AC504" s="583" t="s">
        <v>796</v>
      </c>
      <c r="AG504" s="64"/>
      <c r="AJ504" s="68"/>
      <c r="AK504" s="68">
        <v>0</v>
      </c>
      <c r="BB504" s="584" t="s">
        <v>1</v>
      </c>
      <c r="BM504" s="64">
        <f t="shared" si="80"/>
        <v>0</v>
      </c>
      <c r="BN504" s="64">
        <f t="shared" si="81"/>
        <v>0</v>
      </c>
      <c r="BO504" s="64">
        <f t="shared" si="82"/>
        <v>0</v>
      </c>
      <c r="BP504" s="64">
        <f t="shared" si="83"/>
        <v>0</v>
      </c>
    </row>
    <row r="505" spans="1:68" ht="27" customHeight="1" x14ac:dyDescent="0.25">
      <c r="A505" s="54" t="s">
        <v>797</v>
      </c>
      <c r="B505" s="54" t="s">
        <v>798</v>
      </c>
      <c r="C505" s="31">
        <v>4301011369</v>
      </c>
      <c r="D505" s="650">
        <v>4680115885226</v>
      </c>
      <c r="E505" s="651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91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48"/>
      <c r="R505" s="648"/>
      <c r="S505" s="648"/>
      <c r="T505" s="649"/>
      <c r="U505" s="34"/>
      <c r="V505" s="34"/>
      <c r="W505" s="35" t="s">
        <v>67</v>
      </c>
      <c r="X505" s="641">
        <v>472</v>
      </c>
      <c r="Y505" s="642">
        <f t="shared" si="78"/>
        <v>475.20000000000005</v>
      </c>
      <c r="Z505" s="36">
        <f t="shared" si="79"/>
        <v>1.0764</v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80"/>
        <v>503.28787878787881</v>
      </c>
      <c r="BN505" s="64">
        <f t="shared" si="81"/>
        <v>506.7</v>
      </c>
      <c r="BO505" s="64">
        <f t="shared" si="82"/>
        <v>0.85955710955710962</v>
      </c>
      <c r="BP505" s="64">
        <f t="shared" si="83"/>
        <v>0.86538461538461542</v>
      </c>
    </row>
    <row r="506" spans="1:68" ht="16.5" hidden="1" customHeight="1" x14ac:dyDescent="0.25">
      <c r="A506" s="54" t="s">
        <v>800</v>
      </c>
      <c r="B506" s="54" t="s">
        <v>801</v>
      </c>
      <c r="C506" s="31">
        <v>4301011797</v>
      </c>
      <c r="D506" s="650">
        <v>4680115884502</v>
      </c>
      <c r="E506" s="651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114</v>
      </c>
      <c r="L506" s="32"/>
      <c r="M506" s="33" t="s">
        <v>78</v>
      </c>
      <c r="N506" s="33"/>
      <c r="O506" s="32">
        <v>60</v>
      </c>
      <c r="P506" s="85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1">
        <v>0</v>
      </c>
      <c r="Y506" s="642">
        <f t="shared" si="78"/>
        <v>0</v>
      </c>
      <c r="Z506" s="36" t="str">
        <f t="shared" si="79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customHeight="1" x14ac:dyDescent="0.25">
      <c r="A507" s="54" t="s">
        <v>803</v>
      </c>
      <c r="B507" s="54" t="s">
        <v>804</v>
      </c>
      <c r="C507" s="31">
        <v>4301011771</v>
      </c>
      <c r="D507" s="650">
        <v>4607091389104</v>
      </c>
      <c r="E507" s="651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91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1">
        <v>1150</v>
      </c>
      <c r="Y507" s="642">
        <f t="shared" si="78"/>
        <v>1151.04</v>
      </c>
      <c r="Z507" s="36">
        <f t="shared" si="79"/>
        <v>2.6072799999999998</v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80"/>
        <v>1226.2310606060605</v>
      </c>
      <c r="BN507" s="64">
        <f t="shared" si="81"/>
        <v>1227.3399999999999</v>
      </c>
      <c r="BO507" s="64">
        <f t="shared" si="82"/>
        <v>2.0942599067599068</v>
      </c>
      <c r="BP507" s="64">
        <f t="shared" si="83"/>
        <v>2.0961538461538458</v>
      </c>
    </row>
    <row r="508" spans="1:68" ht="27" hidden="1" customHeight="1" x14ac:dyDescent="0.25">
      <c r="A508" s="54" t="s">
        <v>806</v>
      </c>
      <c r="B508" s="54" t="s">
        <v>807</v>
      </c>
      <c r="C508" s="31">
        <v>4301012125</v>
      </c>
      <c r="D508" s="650">
        <v>4680115886391</v>
      </c>
      <c r="E508" s="651"/>
      <c r="F508" s="640">
        <v>0.4</v>
      </c>
      <c r="G508" s="32">
        <v>6</v>
      </c>
      <c r="H508" s="640">
        <v>2.4</v>
      </c>
      <c r="I508" s="640">
        <v>2.58</v>
      </c>
      <c r="J508" s="32">
        <v>182</v>
      </c>
      <c r="K508" s="32" t="s">
        <v>77</v>
      </c>
      <c r="L508" s="32"/>
      <c r="M508" s="33" t="s">
        <v>78</v>
      </c>
      <c r="N508" s="33"/>
      <c r="O508" s="32">
        <v>60</v>
      </c>
      <c r="P508" s="7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48"/>
      <c r="R508" s="648"/>
      <c r="S508" s="648"/>
      <c r="T508" s="649"/>
      <c r="U508" s="34"/>
      <c r="V508" s="34"/>
      <c r="W508" s="35" t="s">
        <v>67</v>
      </c>
      <c r="X508" s="641">
        <v>0</v>
      </c>
      <c r="Y508" s="642">
        <f t="shared" si="78"/>
        <v>0</v>
      </c>
      <c r="Z508" s="36" t="str">
        <f>IFERROR(IF(Y508=0,"",ROUNDUP(Y508/H508,0)*0.00651),"")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hidden="1" customHeight="1" x14ac:dyDescent="0.25">
      <c r="A509" s="54" t="s">
        <v>808</v>
      </c>
      <c r="B509" s="54" t="s">
        <v>809</v>
      </c>
      <c r="C509" s="31">
        <v>4301012048</v>
      </c>
      <c r="D509" s="650">
        <v>4680115880603</v>
      </c>
      <c r="E509" s="651"/>
      <c r="F509" s="640">
        <v>0.6</v>
      </c>
      <c r="G509" s="32">
        <v>8</v>
      </c>
      <c r="H509" s="640">
        <v>4.8</v>
      </c>
      <c r="I509" s="640">
        <v>6.91</v>
      </c>
      <c r="J509" s="32">
        <v>132</v>
      </c>
      <c r="K509" s="32" t="s">
        <v>123</v>
      </c>
      <c r="L509" s="32"/>
      <c r="M509" s="33" t="s">
        <v>78</v>
      </c>
      <c r="N509" s="33"/>
      <c r="O509" s="32">
        <v>60</v>
      </c>
      <c r="P509" s="9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1">
        <v>0</v>
      </c>
      <c r="Y509" s="642">
        <f t="shared" si="78"/>
        <v>0</v>
      </c>
      <c r="Z509" s="36" t="str">
        <f>IFERROR(IF(Y509=0,"",ROUNDUP(Y509/H509,0)*0.00902),"")</f>
        <v/>
      </c>
      <c r="AA509" s="56"/>
      <c r="AB509" s="57"/>
      <c r="AC509" s="593" t="s">
        <v>116</v>
      </c>
      <c r="AG509" s="64"/>
      <c r="AJ509" s="68"/>
      <c r="AK509" s="68">
        <v>0</v>
      </c>
      <c r="BB509" s="594" t="s">
        <v>1</v>
      </c>
      <c r="BM509" s="64">
        <f t="shared" si="80"/>
        <v>0</v>
      </c>
      <c r="BN509" s="64">
        <f t="shared" si="81"/>
        <v>0</v>
      </c>
      <c r="BO509" s="64">
        <f t="shared" si="82"/>
        <v>0</v>
      </c>
      <c r="BP509" s="64">
        <f t="shared" si="83"/>
        <v>0</v>
      </c>
    </row>
    <row r="510" spans="1:68" ht="27" hidden="1" customHeight="1" x14ac:dyDescent="0.25">
      <c r="A510" s="54" t="s">
        <v>810</v>
      </c>
      <c r="B510" s="54" t="s">
        <v>811</v>
      </c>
      <c r="C510" s="31">
        <v>4301012034</v>
      </c>
      <c r="D510" s="650">
        <v>4607091389982</v>
      </c>
      <c r="E510" s="651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123</v>
      </c>
      <c r="L510" s="32"/>
      <c r="M510" s="33" t="s">
        <v>115</v>
      </c>
      <c r="N510" s="33"/>
      <c r="O510" s="32">
        <v>60</v>
      </c>
      <c r="P510" s="9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48"/>
      <c r="R510" s="648"/>
      <c r="S510" s="648"/>
      <c r="T510" s="649"/>
      <c r="U510" s="34"/>
      <c r="V510" s="34"/>
      <c r="W510" s="35" t="s">
        <v>67</v>
      </c>
      <c r="X510" s="641">
        <v>0</v>
      </c>
      <c r="Y510" s="642">
        <f t="shared" si="78"/>
        <v>0</v>
      </c>
      <c r="Z510" s="36" t="str">
        <f>IFERROR(IF(Y510=0,"",ROUNDUP(Y510/H510,0)*0.00902),"")</f>
        <v/>
      </c>
      <c r="AA510" s="56"/>
      <c r="AB510" s="57"/>
      <c r="AC510" s="595" t="s">
        <v>805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x14ac:dyDescent="0.2">
      <c r="A511" s="655"/>
      <c r="B511" s="656"/>
      <c r="C511" s="656"/>
      <c r="D511" s="656"/>
      <c r="E511" s="656"/>
      <c r="F511" s="656"/>
      <c r="G511" s="656"/>
      <c r="H511" s="656"/>
      <c r="I511" s="656"/>
      <c r="J511" s="656"/>
      <c r="K511" s="656"/>
      <c r="L511" s="656"/>
      <c r="M511" s="656"/>
      <c r="N511" s="656"/>
      <c r="O511" s="657"/>
      <c r="P511" s="667" t="s">
        <v>72</v>
      </c>
      <c r="Q511" s="668"/>
      <c r="R511" s="668"/>
      <c r="S511" s="668"/>
      <c r="T511" s="668"/>
      <c r="U511" s="668"/>
      <c r="V511" s="669"/>
      <c r="W511" s="37" t="s">
        <v>73</v>
      </c>
      <c r="X511" s="643">
        <f>IFERROR(X502/H502,"0")+IFERROR(X503/H503,"0")+IFERROR(X504/H504,"0")+IFERROR(X505/H505,"0")+IFERROR(X506/H506,"0")+IFERROR(X507/H507,"0")+IFERROR(X508/H508,"0")+IFERROR(X509/H509,"0")+IFERROR(X510/H510,"0")</f>
        <v>307.19696969696969</v>
      </c>
      <c r="Y511" s="643">
        <f>IFERROR(Y502/H502,"0")+IFERROR(Y503/H503,"0")+IFERROR(Y504/H504,"0")+IFERROR(Y505/H505,"0")+IFERROR(Y506/H506,"0")+IFERROR(Y507/H507,"0")+IFERROR(Y508/H508,"0")+IFERROR(Y509/H509,"0")+IFERROR(Y510/H510,"0")</f>
        <v>308</v>
      </c>
      <c r="Z511" s="6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3.6836799999999998</v>
      </c>
      <c r="AA511" s="644"/>
      <c r="AB511" s="644"/>
      <c r="AC511" s="644"/>
    </row>
    <row r="512" spans="1:68" x14ac:dyDescent="0.2">
      <c r="A512" s="656"/>
      <c r="B512" s="656"/>
      <c r="C512" s="656"/>
      <c r="D512" s="656"/>
      <c r="E512" s="656"/>
      <c r="F512" s="656"/>
      <c r="G512" s="656"/>
      <c r="H512" s="656"/>
      <c r="I512" s="656"/>
      <c r="J512" s="656"/>
      <c r="K512" s="656"/>
      <c r="L512" s="656"/>
      <c r="M512" s="656"/>
      <c r="N512" s="656"/>
      <c r="O512" s="657"/>
      <c r="P512" s="667" t="s">
        <v>72</v>
      </c>
      <c r="Q512" s="668"/>
      <c r="R512" s="668"/>
      <c r="S512" s="668"/>
      <c r="T512" s="668"/>
      <c r="U512" s="668"/>
      <c r="V512" s="669"/>
      <c r="W512" s="37" t="s">
        <v>67</v>
      </c>
      <c r="X512" s="643">
        <f>IFERROR(SUM(X502:X510),"0")</f>
        <v>1622</v>
      </c>
      <c r="Y512" s="643">
        <f>IFERROR(SUM(Y502:Y510),"0")</f>
        <v>1626.24</v>
      </c>
      <c r="Z512" s="37"/>
      <c r="AA512" s="644"/>
      <c r="AB512" s="644"/>
      <c r="AC512" s="644"/>
    </row>
    <row r="513" spans="1:68" ht="14.25" hidden="1" customHeight="1" x14ac:dyDescent="0.25">
      <c r="A513" s="672" t="s">
        <v>146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35"/>
      <c r="AB513" s="635"/>
      <c r="AC513" s="635"/>
    </row>
    <row r="514" spans="1:68" ht="16.5" customHeight="1" x14ac:dyDescent="0.25">
      <c r="A514" s="54" t="s">
        <v>812</v>
      </c>
      <c r="B514" s="54" t="s">
        <v>813</v>
      </c>
      <c r="C514" s="31">
        <v>4301020334</v>
      </c>
      <c r="D514" s="650">
        <v>4607091388930</v>
      </c>
      <c r="E514" s="651"/>
      <c r="F514" s="640">
        <v>0.88</v>
      </c>
      <c r="G514" s="32">
        <v>6</v>
      </c>
      <c r="H514" s="640">
        <v>5.28</v>
      </c>
      <c r="I514" s="640">
        <v>5.63</v>
      </c>
      <c r="J514" s="32">
        <v>104</v>
      </c>
      <c r="K514" s="32" t="s">
        <v>114</v>
      </c>
      <c r="L514" s="32"/>
      <c r="M514" s="33" t="s">
        <v>78</v>
      </c>
      <c r="N514" s="33"/>
      <c r="O514" s="32">
        <v>70</v>
      </c>
      <c r="P514" s="81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48"/>
      <c r="R514" s="648"/>
      <c r="S514" s="648"/>
      <c r="T514" s="649"/>
      <c r="U514" s="34"/>
      <c r="V514" s="34"/>
      <c r="W514" s="35" t="s">
        <v>67</v>
      </c>
      <c r="X514" s="641">
        <v>2080</v>
      </c>
      <c r="Y514" s="642">
        <f>IFERROR(IF(X514="",0,CEILING((X514/$H514),1)*$H514),"")</f>
        <v>2080.3200000000002</v>
      </c>
      <c r="Z514" s="36">
        <f>IFERROR(IF(Y514=0,"",ROUNDUP(Y514/H514,0)*0.01196),"")</f>
        <v>4.7122400000000004</v>
      </c>
      <c r="AA514" s="56"/>
      <c r="AB514" s="57"/>
      <c r="AC514" s="597" t="s">
        <v>814</v>
      </c>
      <c r="AG514" s="64"/>
      <c r="AJ514" s="68"/>
      <c r="AK514" s="68">
        <v>0</v>
      </c>
      <c r="BB514" s="598" t="s">
        <v>1</v>
      </c>
      <c r="BM514" s="64">
        <f>IFERROR(X514*I514/H514,"0")</f>
        <v>2217.8787878787875</v>
      </c>
      <c r="BN514" s="64">
        <f>IFERROR(Y514*I514/H514,"0")</f>
        <v>2218.2199999999998</v>
      </c>
      <c r="BO514" s="64">
        <f>IFERROR(1/J514*(X514/H514),"0")</f>
        <v>3.7878787878787881</v>
      </c>
      <c r="BP514" s="64">
        <f>IFERROR(1/J514*(Y514/H514),"0")</f>
        <v>3.7884615384615388</v>
      </c>
    </row>
    <row r="515" spans="1:68" ht="16.5" hidden="1" customHeight="1" x14ac:dyDescent="0.25">
      <c r="A515" s="54" t="s">
        <v>815</v>
      </c>
      <c r="B515" s="54" t="s">
        <v>816</v>
      </c>
      <c r="C515" s="31">
        <v>4301020374</v>
      </c>
      <c r="D515" s="650">
        <v>4680115886407</v>
      </c>
      <c r="E515" s="651"/>
      <c r="F515" s="640">
        <v>0.4</v>
      </c>
      <c r="G515" s="32">
        <v>6</v>
      </c>
      <c r="H515" s="640">
        <v>2.4</v>
      </c>
      <c r="I515" s="640">
        <v>2.58</v>
      </c>
      <c r="J515" s="32">
        <v>182</v>
      </c>
      <c r="K515" s="32" t="s">
        <v>77</v>
      </c>
      <c r="L515" s="32"/>
      <c r="M515" s="33" t="s">
        <v>115</v>
      </c>
      <c r="N515" s="33"/>
      <c r="O515" s="32">
        <v>70</v>
      </c>
      <c r="P515" s="9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48"/>
      <c r="R515" s="648"/>
      <c r="S515" s="648"/>
      <c r="T515" s="649"/>
      <c r="U515" s="34"/>
      <c r="V515" s="34"/>
      <c r="W515" s="35" t="s">
        <v>67</v>
      </c>
      <c r="X515" s="641">
        <v>0</v>
      </c>
      <c r="Y515" s="642">
        <f>IFERROR(IF(X515="",0,CEILING((X515/$H515),1)*$H515),"")</f>
        <v>0</v>
      </c>
      <c r="Z515" s="36" t="str">
        <f>IFERROR(IF(Y515=0,"",ROUNDUP(Y515/H515,0)*0.00651),"")</f>
        <v/>
      </c>
      <c r="AA515" s="56"/>
      <c r="AB515" s="57"/>
      <c r="AC515" s="599" t="s">
        <v>814</v>
      </c>
      <c r="AG515" s="64"/>
      <c r="AJ515" s="68"/>
      <c r="AK515" s="68">
        <v>0</v>
      </c>
      <c r="BB515" s="600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16.5" hidden="1" customHeight="1" x14ac:dyDescent="0.25">
      <c r="A516" s="54" t="s">
        <v>817</v>
      </c>
      <c r="B516" s="54" t="s">
        <v>818</v>
      </c>
      <c r="C516" s="31">
        <v>4301020385</v>
      </c>
      <c r="D516" s="650">
        <v>4680115880054</v>
      </c>
      <c r="E516" s="651"/>
      <c r="F516" s="640">
        <v>0.6</v>
      </c>
      <c r="G516" s="32">
        <v>8</v>
      </c>
      <c r="H516" s="640">
        <v>4.8</v>
      </c>
      <c r="I516" s="64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70</v>
      </c>
      <c r="P516" s="82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48"/>
      <c r="R516" s="648"/>
      <c r="S516" s="648"/>
      <c r="T516" s="649"/>
      <c r="U516" s="34"/>
      <c r="V516" s="34"/>
      <c r="W516" s="35" t="s">
        <v>67</v>
      </c>
      <c r="X516" s="641">
        <v>0</v>
      </c>
      <c r="Y516" s="642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601" t="s">
        <v>814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55"/>
      <c r="B517" s="656"/>
      <c r="C517" s="656"/>
      <c r="D517" s="656"/>
      <c r="E517" s="656"/>
      <c r="F517" s="656"/>
      <c r="G517" s="656"/>
      <c r="H517" s="656"/>
      <c r="I517" s="656"/>
      <c r="J517" s="656"/>
      <c r="K517" s="656"/>
      <c r="L517" s="656"/>
      <c r="M517" s="656"/>
      <c r="N517" s="656"/>
      <c r="O517" s="657"/>
      <c r="P517" s="667" t="s">
        <v>72</v>
      </c>
      <c r="Q517" s="668"/>
      <c r="R517" s="668"/>
      <c r="S517" s="668"/>
      <c r="T517" s="668"/>
      <c r="U517" s="668"/>
      <c r="V517" s="669"/>
      <c r="W517" s="37" t="s">
        <v>73</v>
      </c>
      <c r="X517" s="643">
        <f>IFERROR(X514/H514,"0")+IFERROR(X515/H515,"0")+IFERROR(X516/H516,"0")</f>
        <v>393.93939393939394</v>
      </c>
      <c r="Y517" s="643">
        <f>IFERROR(Y514/H514,"0")+IFERROR(Y515/H515,"0")+IFERROR(Y516/H516,"0")</f>
        <v>394</v>
      </c>
      <c r="Z517" s="643">
        <f>IFERROR(IF(Z514="",0,Z514),"0")+IFERROR(IF(Z515="",0,Z515),"0")+IFERROR(IF(Z516="",0,Z516),"0")</f>
        <v>4.7122400000000004</v>
      </c>
      <c r="AA517" s="644"/>
      <c r="AB517" s="644"/>
      <c r="AC517" s="644"/>
    </row>
    <row r="518" spans="1:68" x14ac:dyDescent="0.2">
      <c r="A518" s="656"/>
      <c r="B518" s="656"/>
      <c r="C518" s="656"/>
      <c r="D518" s="656"/>
      <c r="E518" s="656"/>
      <c r="F518" s="656"/>
      <c r="G518" s="656"/>
      <c r="H518" s="656"/>
      <c r="I518" s="656"/>
      <c r="J518" s="656"/>
      <c r="K518" s="656"/>
      <c r="L518" s="656"/>
      <c r="M518" s="656"/>
      <c r="N518" s="656"/>
      <c r="O518" s="657"/>
      <c r="P518" s="667" t="s">
        <v>72</v>
      </c>
      <c r="Q518" s="668"/>
      <c r="R518" s="668"/>
      <c r="S518" s="668"/>
      <c r="T518" s="668"/>
      <c r="U518" s="668"/>
      <c r="V518" s="669"/>
      <c r="W518" s="37" t="s">
        <v>67</v>
      </c>
      <c r="X518" s="643">
        <f>IFERROR(SUM(X514:X516),"0")</f>
        <v>2080</v>
      </c>
      <c r="Y518" s="643">
        <f>IFERROR(SUM(Y514:Y516),"0")</f>
        <v>2080.3200000000002</v>
      </c>
      <c r="Z518" s="37"/>
      <c r="AA518" s="644"/>
      <c r="AB518" s="644"/>
      <c r="AC518" s="644"/>
    </row>
    <row r="519" spans="1:68" ht="14.25" hidden="1" customHeight="1" x14ac:dyDescent="0.25">
      <c r="A519" s="672" t="s">
        <v>62</v>
      </c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6"/>
      <c r="P519" s="656"/>
      <c r="Q519" s="656"/>
      <c r="R519" s="656"/>
      <c r="S519" s="656"/>
      <c r="T519" s="656"/>
      <c r="U519" s="656"/>
      <c r="V519" s="656"/>
      <c r="W519" s="656"/>
      <c r="X519" s="656"/>
      <c r="Y519" s="656"/>
      <c r="Z519" s="656"/>
      <c r="AA519" s="635"/>
      <c r="AB519" s="635"/>
      <c r="AC519" s="635"/>
    </row>
    <row r="520" spans="1:68" ht="27" hidden="1" customHeight="1" x14ac:dyDescent="0.25">
      <c r="A520" s="54" t="s">
        <v>819</v>
      </c>
      <c r="B520" s="54" t="s">
        <v>820</v>
      </c>
      <c r="C520" s="31">
        <v>4301031349</v>
      </c>
      <c r="D520" s="650">
        <v>4680115883116</v>
      </c>
      <c r="E520" s="651"/>
      <c r="F520" s="640">
        <v>0.88</v>
      </c>
      <c r="G520" s="32">
        <v>6</v>
      </c>
      <c r="H520" s="640">
        <v>5.28</v>
      </c>
      <c r="I520" s="640">
        <v>5.63</v>
      </c>
      <c r="J520" s="32">
        <v>104</v>
      </c>
      <c r="K520" s="32" t="s">
        <v>114</v>
      </c>
      <c r="L520" s="32"/>
      <c r="M520" s="33" t="s">
        <v>115</v>
      </c>
      <c r="N520" s="33"/>
      <c r="O520" s="32">
        <v>70</v>
      </c>
      <c r="P520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48"/>
      <c r="R520" s="648"/>
      <c r="S520" s="648"/>
      <c r="T520" s="649"/>
      <c r="U520" s="34"/>
      <c r="V520" s="34"/>
      <c r="W520" s="35" t="s">
        <v>67</v>
      </c>
      <c r="X520" s="641">
        <v>0</v>
      </c>
      <c r="Y520" s="642">
        <f t="shared" ref="Y520:Y526" si="84">IFERROR(IF(X520="",0,CEILING((X520/$H520),1)*$H520),"")</f>
        <v>0</v>
      </c>
      <c r="Z520" s="36" t="str">
        <f>IFERROR(IF(Y520=0,"",ROUNDUP(Y520/H520,0)*0.01196),"")</f>
        <v/>
      </c>
      <c r="AA520" s="56"/>
      <c r="AB520" s="57"/>
      <c r="AC520" s="603" t="s">
        <v>821</v>
      </c>
      <c r="AG520" s="64"/>
      <c r="AJ520" s="68"/>
      <c r="AK520" s="68">
        <v>0</v>
      </c>
      <c r="BB520" s="604" t="s">
        <v>1</v>
      </c>
      <c r="BM520" s="64">
        <f t="shared" ref="BM520:BM526" si="85">IFERROR(X520*I520/H520,"0")</f>
        <v>0</v>
      </c>
      <c r="BN520" s="64">
        <f t="shared" ref="BN520:BN526" si="86">IFERROR(Y520*I520/H520,"0")</f>
        <v>0</v>
      </c>
      <c r="BO520" s="64">
        <f t="shared" ref="BO520:BO526" si="87">IFERROR(1/J520*(X520/H520),"0")</f>
        <v>0</v>
      </c>
      <c r="BP520" s="64">
        <f t="shared" ref="BP520:BP526" si="88">IFERROR(1/J520*(Y520/H520),"0")</f>
        <v>0</v>
      </c>
    </row>
    <row r="521" spans="1:68" ht="27" customHeight="1" x14ac:dyDescent="0.25">
      <c r="A521" s="54" t="s">
        <v>822</v>
      </c>
      <c r="B521" s="54" t="s">
        <v>823</v>
      </c>
      <c r="C521" s="31">
        <v>4301031350</v>
      </c>
      <c r="D521" s="650">
        <v>4680115883093</v>
      </c>
      <c r="E521" s="651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114</v>
      </c>
      <c r="L521" s="32"/>
      <c r="M521" s="33" t="s">
        <v>66</v>
      </c>
      <c r="N521" s="33"/>
      <c r="O521" s="32">
        <v>70</v>
      </c>
      <c r="P521" s="70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48"/>
      <c r="R521" s="648"/>
      <c r="S521" s="648"/>
      <c r="T521" s="649"/>
      <c r="U521" s="34"/>
      <c r="V521" s="34"/>
      <c r="W521" s="35" t="s">
        <v>67</v>
      </c>
      <c r="X521" s="641">
        <v>546</v>
      </c>
      <c r="Y521" s="642">
        <f t="shared" si="84"/>
        <v>549.12</v>
      </c>
      <c r="Z521" s="36">
        <f>IFERROR(IF(Y521=0,"",ROUNDUP(Y521/H521,0)*0.01196),"")</f>
        <v>1.2438400000000001</v>
      </c>
      <c r="AA521" s="56"/>
      <c r="AB521" s="57"/>
      <c r="AC521" s="605" t="s">
        <v>824</v>
      </c>
      <c r="AG521" s="64"/>
      <c r="AJ521" s="68"/>
      <c r="AK521" s="68">
        <v>0</v>
      </c>
      <c r="BB521" s="606" t="s">
        <v>1</v>
      </c>
      <c r="BM521" s="64">
        <f t="shared" si="85"/>
        <v>582.19318181818176</v>
      </c>
      <c r="BN521" s="64">
        <f t="shared" si="86"/>
        <v>585.52</v>
      </c>
      <c r="BO521" s="64">
        <f t="shared" si="87"/>
        <v>0.99431818181818188</v>
      </c>
      <c r="BP521" s="64">
        <f t="shared" si="88"/>
        <v>1</v>
      </c>
    </row>
    <row r="522" spans="1:68" ht="27" customHeight="1" x14ac:dyDescent="0.25">
      <c r="A522" s="54" t="s">
        <v>825</v>
      </c>
      <c r="B522" s="54" t="s">
        <v>826</v>
      </c>
      <c r="C522" s="31">
        <v>4301031353</v>
      </c>
      <c r="D522" s="650">
        <v>4680115883109</v>
      </c>
      <c r="E522" s="651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114</v>
      </c>
      <c r="L522" s="32"/>
      <c r="M522" s="33" t="s">
        <v>66</v>
      </c>
      <c r="N522" s="33"/>
      <c r="O522" s="32">
        <v>70</v>
      </c>
      <c r="P522" s="71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1">
        <v>1316</v>
      </c>
      <c r="Y522" s="642">
        <f t="shared" si="84"/>
        <v>1320</v>
      </c>
      <c r="Z522" s="36">
        <f>IFERROR(IF(Y522=0,"",ROUNDUP(Y522/H522,0)*0.01196),"")</f>
        <v>2.99</v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si="85"/>
        <v>1403.2348484848485</v>
      </c>
      <c r="BN522" s="64">
        <f t="shared" si="86"/>
        <v>1407.4999999999998</v>
      </c>
      <c r="BO522" s="64">
        <f t="shared" si="87"/>
        <v>2.3965617715617715</v>
      </c>
      <c r="BP522" s="64">
        <f t="shared" si="88"/>
        <v>2.4038461538461542</v>
      </c>
    </row>
    <row r="523" spans="1:68" ht="27" hidden="1" customHeight="1" x14ac:dyDescent="0.25">
      <c r="A523" s="54" t="s">
        <v>828</v>
      </c>
      <c r="B523" s="54" t="s">
        <v>829</v>
      </c>
      <c r="C523" s="31">
        <v>4301031419</v>
      </c>
      <c r="D523" s="650">
        <v>4680115882072</v>
      </c>
      <c r="E523" s="651"/>
      <c r="F523" s="640">
        <v>0.6</v>
      </c>
      <c r="G523" s="32">
        <v>8</v>
      </c>
      <c r="H523" s="640">
        <v>4.8</v>
      </c>
      <c r="I523" s="640">
        <v>6.91</v>
      </c>
      <c r="J523" s="32">
        <v>132</v>
      </c>
      <c r="K523" s="32" t="s">
        <v>123</v>
      </c>
      <c r="L523" s="32"/>
      <c r="M523" s="33" t="s">
        <v>115</v>
      </c>
      <c r="N523" s="33"/>
      <c r="O523" s="32">
        <v>70</v>
      </c>
      <c r="P523" s="78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1">
        <v>0</v>
      </c>
      <c r="Y523" s="642">
        <f t="shared" si="84"/>
        <v>0</v>
      </c>
      <c r="Z523" s="36" t="str">
        <f>IFERROR(IF(Y523=0,"",ROUNDUP(Y523/H523,0)*0.00902),"")</f>
        <v/>
      </c>
      <c r="AA523" s="56"/>
      <c r="AB523" s="57"/>
      <c r="AC523" s="609" t="s">
        <v>821</v>
      </c>
      <c r="AG523" s="64"/>
      <c r="AJ523" s="68"/>
      <c r="AK523" s="68">
        <v>0</v>
      </c>
      <c r="BB523" s="610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ht="27" hidden="1" customHeight="1" x14ac:dyDescent="0.25">
      <c r="A524" s="54" t="s">
        <v>830</v>
      </c>
      <c r="B524" s="54" t="s">
        <v>831</v>
      </c>
      <c r="C524" s="31">
        <v>4301031352</v>
      </c>
      <c r="D524" s="650">
        <v>4680115882102</v>
      </c>
      <c r="E524" s="651"/>
      <c r="F524" s="640">
        <v>0.6</v>
      </c>
      <c r="G524" s="32">
        <v>6</v>
      </c>
      <c r="H524" s="640">
        <v>3.6</v>
      </c>
      <c r="I524" s="640">
        <v>3.79</v>
      </c>
      <c r="J524" s="32">
        <v>132</v>
      </c>
      <c r="K524" s="32" t="s">
        <v>123</v>
      </c>
      <c r="L524" s="32"/>
      <c r="M524" s="33" t="s">
        <v>66</v>
      </c>
      <c r="N524" s="33"/>
      <c r="O524" s="32">
        <v>70</v>
      </c>
      <c r="P524" s="79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48"/>
      <c r="R524" s="648"/>
      <c r="S524" s="648"/>
      <c r="T524" s="649"/>
      <c r="U524" s="34"/>
      <c r="V524" s="34"/>
      <c r="W524" s="35" t="s">
        <v>67</v>
      </c>
      <c r="X524" s="641">
        <v>0</v>
      </c>
      <c r="Y524" s="642">
        <f t="shared" si="84"/>
        <v>0</v>
      </c>
      <c r="Z524" s="36" t="str">
        <f>IFERROR(IF(Y524=0,"",ROUNDUP(Y524/H524,0)*0.00902),"")</f>
        <v/>
      </c>
      <c r="AA524" s="56"/>
      <c r="AB524" s="57"/>
      <c r="AC524" s="611" t="s">
        <v>824</v>
      </c>
      <c r="AG524" s="64"/>
      <c r="AJ524" s="68"/>
      <c r="AK524" s="68">
        <v>0</v>
      </c>
      <c r="BB524" s="612" t="s">
        <v>1</v>
      </c>
      <c r="BM524" s="64">
        <f t="shared" si="85"/>
        <v>0</v>
      </c>
      <c r="BN524" s="64">
        <f t="shared" si="86"/>
        <v>0</v>
      </c>
      <c r="BO524" s="64">
        <f t="shared" si="87"/>
        <v>0</v>
      </c>
      <c r="BP524" s="64">
        <f t="shared" si="88"/>
        <v>0</v>
      </c>
    </row>
    <row r="525" spans="1:68" ht="27" hidden="1" customHeight="1" x14ac:dyDescent="0.25">
      <c r="A525" s="54" t="s">
        <v>830</v>
      </c>
      <c r="B525" s="54" t="s">
        <v>832</v>
      </c>
      <c r="C525" s="31">
        <v>4301031418</v>
      </c>
      <c r="D525" s="650">
        <v>4680115882102</v>
      </c>
      <c r="E525" s="651"/>
      <c r="F525" s="640">
        <v>0.6</v>
      </c>
      <c r="G525" s="32">
        <v>8</v>
      </c>
      <c r="H525" s="640">
        <v>4.8</v>
      </c>
      <c r="I525" s="640">
        <v>6.67</v>
      </c>
      <c r="J525" s="32">
        <v>132</v>
      </c>
      <c r="K525" s="32" t="s">
        <v>123</v>
      </c>
      <c r="L525" s="32"/>
      <c r="M525" s="33" t="s">
        <v>66</v>
      </c>
      <c r="N525" s="33"/>
      <c r="O525" s="32">
        <v>70</v>
      </c>
      <c r="P525" s="8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48"/>
      <c r="R525" s="648"/>
      <c r="S525" s="648"/>
      <c r="T525" s="649"/>
      <c r="U525" s="34"/>
      <c r="V525" s="34"/>
      <c r="W525" s="35" t="s">
        <v>67</v>
      </c>
      <c r="X525" s="641">
        <v>0</v>
      </c>
      <c r="Y525" s="642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4301031417</v>
      </c>
      <c r="D526" s="650">
        <v>4680115882096</v>
      </c>
      <c r="E526" s="651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101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1">
        <v>0</v>
      </c>
      <c r="Y526" s="642">
        <f t="shared" si="84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x14ac:dyDescent="0.2">
      <c r="A527" s="655"/>
      <c r="B527" s="656"/>
      <c r="C527" s="656"/>
      <c r="D527" s="656"/>
      <c r="E527" s="656"/>
      <c r="F527" s="656"/>
      <c r="G527" s="656"/>
      <c r="H527" s="656"/>
      <c r="I527" s="656"/>
      <c r="J527" s="656"/>
      <c r="K527" s="656"/>
      <c r="L527" s="656"/>
      <c r="M527" s="656"/>
      <c r="N527" s="656"/>
      <c r="O527" s="657"/>
      <c r="P527" s="667" t="s">
        <v>72</v>
      </c>
      <c r="Q527" s="668"/>
      <c r="R527" s="668"/>
      <c r="S527" s="668"/>
      <c r="T527" s="668"/>
      <c r="U527" s="668"/>
      <c r="V527" s="669"/>
      <c r="W527" s="37" t="s">
        <v>73</v>
      </c>
      <c r="X527" s="643">
        <f>IFERROR(X520/H520,"0")+IFERROR(X521/H521,"0")+IFERROR(X522/H522,"0")+IFERROR(X523/H523,"0")+IFERROR(X524/H524,"0")+IFERROR(X525/H525,"0")+IFERROR(X526/H526,"0")</f>
        <v>352.65151515151513</v>
      </c>
      <c r="Y527" s="643">
        <f>IFERROR(Y520/H520,"0")+IFERROR(Y521/H521,"0")+IFERROR(Y522/H522,"0")+IFERROR(Y523/H523,"0")+IFERROR(Y524/H524,"0")+IFERROR(Y525/H525,"0")+IFERROR(Y526/H526,"0")</f>
        <v>354</v>
      </c>
      <c r="Z527" s="643">
        <f>IFERROR(IF(Z520="",0,Z520),"0")+IFERROR(IF(Z521="",0,Z521),"0")+IFERROR(IF(Z522="",0,Z522),"0")+IFERROR(IF(Z523="",0,Z523),"0")+IFERROR(IF(Z524="",0,Z524),"0")+IFERROR(IF(Z525="",0,Z525),"0")+IFERROR(IF(Z526="",0,Z526),"0")</f>
        <v>4.2338400000000007</v>
      </c>
      <c r="AA527" s="644"/>
      <c r="AB527" s="644"/>
      <c r="AC527" s="644"/>
    </row>
    <row r="528" spans="1:68" x14ac:dyDescent="0.2">
      <c r="A528" s="656"/>
      <c r="B528" s="656"/>
      <c r="C528" s="656"/>
      <c r="D528" s="656"/>
      <c r="E528" s="656"/>
      <c r="F528" s="656"/>
      <c r="G528" s="656"/>
      <c r="H528" s="656"/>
      <c r="I528" s="656"/>
      <c r="J528" s="656"/>
      <c r="K528" s="656"/>
      <c r="L528" s="656"/>
      <c r="M528" s="656"/>
      <c r="N528" s="656"/>
      <c r="O528" s="657"/>
      <c r="P528" s="667" t="s">
        <v>72</v>
      </c>
      <c r="Q528" s="668"/>
      <c r="R528" s="668"/>
      <c r="S528" s="668"/>
      <c r="T528" s="668"/>
      <c r="U528" s="668"/>
      <c r="V528" s="669"/>
      <c r="W528" s="37" t="s">
        <v>67</v>
      </c>
      <c r="X528" s="643">
        <f>IFERROR(SUM(X520:X526),"0")</f>
        <v>1862</v>
      </c>
      <c r="Y528" s="643">
        <f>IFERROR(SUM(Y520:Y526),"0")</f>
        <v>1869.12</v>
      </c>
      <c r="Z528" s="37"/>
      <c r="AA528" s="644"/>
      <c r="AB528" s="644"/>
      <c r="AC528" s="644"/>
    </row>
    <row r="529" spans="1:68" ht="27.75" hidden="1" customHeight="1" x14ac:dyDescent="0.2">
      <c r="A529" s="664" t="s">
        <v>835</v>
      </c>
      <c r="B529" s="665"/>
      <c r="C529" s="665"/>
      <c r="D529" s="665"/>
      <c r="E529" s="665"/>
      <c r="F529" s="665"/>
      <c r="G529" s="665"/>
      <c r="H529" s="665"/>
      <c r="I529" s="665"/>
      <c r="J529" s="665"/>
      <c r="K529" s="665"/>
      <c r="L529" s="665"/>
      <c r="M529" s="665"/>
      <c r="N529" s="665"/>
      <c r="O529" s="665"/>
      <c r="P529" s="665"/>
      <c r="Q529" s="665"/>
      <c r="R529" s="665"/>
      <c r="S529" s="665"/>
      <c r="T529" s="665"/>
      <c r="U529" s="665"/>
      <c r="V529" s="665"/>
      <c r="W529" s="665"/>
      <c r="X529" s="665"/>
      <c r="Y529" s="665"/>
      <c r="Z529" s="665"/>
      <c r="AA529" s="48"/>
      <c r="AB529" s="48"/>
      <c r="AC529" s="48"/>
    </row>
    <row r="530" spans="1:68" ht="16.5" hidden="1" customHeight="1" x14ac:dyDescent="0.25">
      <c r="A530" s="666" t="s">
        <v>835</v>
      </c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6"/>
      <c r="P530" s="656"/>
      <c r="Q530" s="656"/>
      <c r="R530" s="656"/>
      <c r="S530" s="656"/>
      <c r="T530" s="656"/>
      <c r="U530" s="656"/>
      <c r="V530" s="656"/>
      <c r="W530" s="656"/>
      <c r="X530" s="656"/>
      <c r="Y530" s="656"/>
      <c r="Z530" s="656"/>
      <c r="AA530" s="636"/>
      <c r="AB530" s="636"/>
      <c r="AC530" s="636"/>
    </row>
    <row r="531" spans="1:68" ht="14.25" hidden="1" customHeight="1" x14ac:dyDescent="0.25">
      <c r="A531" s="672" t="s">
        <v>111</v>
      </c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6"/>
      <c r="P531" s="656"/>
      <c r="Q531" s="656"/>
      <c r="R531" s="656"/>
      <c r="S531" s="656"/>
      <c r="T531" s="656"/>
      <c r="U531" s="656"/>
      <c r="V531" s="656"/>
      <c r="W531" s="656"/>
      <c r="X531" s="656"/>
      <c r="Y531" s="656"/>
      <c r="Z531" s="656"/>
      <c r="AA531" s="635"/>
      <c r="AB531" s="635"/>
      <c r="AC531" s="635"/>
    </row>
    <row r="532" spans="1:68" ht="27" hidden="1" customHeight="1" x14ac:dyDescent="0.25">
      <c r="A532" s="54" t="s">
        <v>836</v>
      </c>
      <c r="B532" s="54" t="s">
        <v>837</v>
      </c>
      <c r="C532" s="31">
        <v>4301011584</v>
      </c>
      <c r="D532" s="650">
        <v>4640242180564</v>
      </c>
      <c r="E532" s="651"/>
      <c r="F532" s="640">
        <v>1.5</v>
      </c>
      <c r="G532" s="32">
        <v>8</v>
      </c>
      <c r="H532" s="640">
        <v>12</v>
      </c>
      <c r="I532" s="640">
        <v>12.41</v>
      </c>
      <c r="J532" s="32">
        <v>64</v>
      </c>
      <c r="K532" s="32" t="s">
        <v>114</v>
      </c>
      <c r="L532" s="32"/>
      <c r="M532" s="33" t="s">
        <v>115</v>
      </c>
      <c r="N532" s="33"/>
      <c r="O532" s="32">
        <v>50</v>
      </c>
      <c r="P532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48"/>
      <c r="R532" s="648"/>
      <c r="S532" s="648"/>
      <c r="T532" s="649"/>
      <c r="U532" s="34"/>
      <c r="V532" s="34"/>
      <c r="W532" s="35" t="s">
        <v>67</v>
      </c>
      <c r="X532" s="641">
        <v>0</v>
      </c>
      <c r="Y532" s="642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17" t="s">
        <v>838</v>
      </c>
      <c r="AG532" s="64"/>
      <c r="AJ532" s="68"/>
      <c r="AK532" s="68">
        <v>0</v>
      </c>
      <c r="BB532" s="618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55"/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7"/>
      <c r="P533" s="667" t="s">
        <v>72</v>
      </c>
      <c r="Q533" s="668"/>
      <c r="R533" s="668"/>
      <c r="S533" s="668"/>
      <c r="T533" s="668"/>
      <c r="U533" s="668"/>
      <c r="V533" s="669"/>
      <c r="W533" s="37" t="s">
        <v>73</v>
      </c>
      <c r="X533" s="643">
        <f>IFERROR(X532/H532,"0")</f>
        <v>0</v>
      </c>
      <c r="Y533" s="643">
        <f>IFERROR(Y532/H532,"0")</f>
        <v>0</v>
      </c>
      <c r="Z533" s="643">
        <f>IFERROR(IF(Z532="",0,Z532),"0")</f>
        <v>0</v>
      </c>
      <c r="AA533" s="644"/>
      <c r="AB533" s="644"/>
      <c r="AC533" s="644"/>
    </row>
    <row r="534" spans="1:68" hidden="1" x14ac:dyDescent="0.2">
      <c r="A534" s="656"/>
      <c r="B534" s="656"/>
      <c r="C534" s="656"/>
      <c r="D534" s="656"/>
      <c r="E534" s="656"/>
      <c r="F534" s="656"/>
      <c r="G534" s="656"/>
      <c r="H534" s="656"/>
      <c r="I534" s="656"/>
      <c r="J534" s="656"/>
      <c r="K534" s="656"/>
      <c r="L534" s="656"/>
      <c r="M534" s="656"/>
      <c r="N534" s="656"/>
      <c r="O534" s="657"/>
      <c r="P534" s="667" t="s">
        <v>72</v>
      </c>
      <c r="Q534" s="668"/>
      <c r="R534" s="668"/>
      <c r="S534" s="668"/>
      <c r="T534" s="668"/>
      <c r="U534" s="668"/>
      <c r="V534" s="669"/>
      <c r="W534" s="37" t="s">
        <v>67</v>
      </c>
      <c r="X534" s="643">
        <f>IFERROR(SUM(X532:X532),"0")</f>
        <v>0</v>
      </c>
      <c r="Y534" s="643">
        <f>IFERROR(SUM(Y532:Y532),"0")</f>
        <v>0</v>
      </c>
      <c r="Z534" s="37"/>
      <c r="AA534" s="644"/>
      <c r="AB534" s="644"/>
      <c r="AC534" s="644"/>
    </row>
    <row r="535" spans="1:68" ht="14.25" hidden="1" customHeight="1" x14ac:dyDescent="0.25">
      <c r="A535" s="672" t="s">
        <v>146</v>
      </c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6"/>
      <c r="P535" s="656"/>
      <c r="Q535" s="656"/>
      <c r="R535" s="656"/>
      <c r="S535" s="656"/>
      <c r="T535" s="656"/>
      <c r="U535" s="656"/>
      <c r="V535" s="656"/>
      <c r="W535" s="656"/>
      <c r="X535" s="656"/>
      <c r="Y535" s="656"/>
      <c r="Z535" s="656"/>
      <c r="AA535" s="635"/>
      <c r="AB535" s="635"/>
      <c r="AC535" s="635"/>
    </row>
    <row r="536" spans="1:68" ht="27" hidden="1" customHeight="1" x14ac:dyDescent="0.25">
      <c r="A536" s="54" t="s">
        <v>839</v>
      </c>
      <c r="B536" s="54" t="s">
        <v>840</v>
      </c>
      <c r="C536" s="31">
        <v>4301020400</v>
      </c>
      <c r="D536" s="650">
        <v>4640242180519</v>
      </c>
      <c r="E536" s="651"/>
      <c r="F536" s="640">
        <v>1.5</v>
      </c>
      <c r="G536" s="32">
        <v>8</v>
      </c>
      <c r="H536" s="640">
        <v>12</v>
      </c>
      <c r="I536" s="640">
        <v>12.41</v>
      </c>
      <c r="J536" s="32">
        <v>64</v>
      </c>
      <c r="K536" s="32" t="s">
        <v>114</v>
      </c>
      <c r="L536" s="32"/>
      <c r="M536" s="33" t="s">
        <v>115</v>
      </c>
      <c r="N536" s="33"/>
      <c r="O536" s="32">
        <v>50</v>
      </c>
      <c r="P536" s="9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48"/>
      <c r="R536" s="648"/>
      <c r="S536" s="648"/>
      <c r="T536" s="649"/>
      <c r="U536" s="34"/>
      <c r="V536" s="34"/>
      <c r="W536" s="35" t="s">
        <v>67</v>
      </c>
      <c r="X536" s="641">
        <v>0</v>
      </c>
      <c r="Y536" s="642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19" t="s">
        <v>841</v>
      </c>
      <c r="AG536" s="64"/>
      <c r="AJ536" s="68"/>
      <c r="AK536" s="68">
        <v>0</v>
      </c>
      <c r="BB536" s="620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55"/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7"/>
      <c r="P537" s="667" t="s">
        <v>72</v>
      </c>
      <c r="Q537" s="668"/>
      <c r="R537" s="668"/>
      <c r="S537" s="668"/>
      <c r="T537" s="668"/>
      <c r="U537" s="668"/>
      <c r="V537" s="669"/>
      <c r="W537" s="37" t="s">
        <v>73</v>
      </c>
      <c r="X537" s="643">
        <f>IFERROR(X536/H536,"0")</f>
        <v>0</v>
      </c>
      <c r="Y537" s="643">
        <f>IFERROR(Y536/H536,"0")</f>
        <v>0</v>
      </c>
      <c r="Z537" s="643">
        <f>IFERROR(IF(Z536="",0,Z536),"0")</f>
        <v>0</v>
      </c>
      <c r="AA537" s="644"/>
      <c r="AB537" s="644"/>
      <c r="AC537" s="644"/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67" t="s">
        <v>72</v>
      </c>
      <c r="Q538" s="668"/>
      <c r="R538" s="668"/>
      <c r="S538" s="668"/>
      <c r="T538" s="668"/>
      <c r="U538" s="668"/>
      <c r="V538" s="669"/>
      <c r="W538" s="37" t="s">
        <v>67</v>
      </c>
      <c r="X538" s="643">
        <f>IFERROR(SUM(X536:X536),"0")</f>
        <v>0</v>
      </c>
      <c r="Y538" s="643">
        <f>IFERROR(SUM(Y536:Y536),"0")</f>
        <v>0</v>
      </c>
      <c r="Z538" s="37"/>
      <c r="AA538" s="644"/>
      <c r="AB538" s="644"/>
      <c r="AC538" s="644"/>
    </row>
    <row r="539" spans="1:68" ht="14.25" hidden="1" customHeight="1" x14ac:dyDescent="0.25">
      <c r="A539" s="672" t="s">
        <v>62</v>
      </c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6"/>
      <c r="P539" s="656"/>
      <c r="Q539" s="656"/>
      <c r="R539" s="656"/>
      <c r="S539" s="656"/>
      <c r="T539" s="656"/>
      <c r="U539" s="656"/>
      <c r="V539" s="656"/>
      <c r="W539" s="656"/>
      <c r="X539" s="656"/>
      <c r="Y539" s="656"/>
      <c r="Z539" s="656"/>
      <c r="AA539" s="635"/>
      <c r="AB539" s="635"/>
      <c r="AC539" s="635"/>
    </row>
    <row r="540" spans="1:68" ht="27" hidden="1" customHeight="1" x14ac:dyDescent="0.25">
      <c r="A540" s="54" t="s">
        <v>842</v>
      </c>
      <c r="B540" s="54" t="s">
        <v>843</v>
      </c>
      <c r="C540" s="31">
        <v>4301031500</v>
      </c>
      <c r="D540" s="650">
        <v>4640242180595</v>
      </c>
      <c r="E540" s="651"/>
      <c r="F540" s="640">
        <v>0.7</v>
      </c>
      <c r="G540" s="32">
        <v>6</v>
      </c>
      <c r="H540" s="640">
        <v>4.2</v>
      </c>
      <c r="I540" s="640">
        <v>4.45</v>
      </c>
      <c r="J540" s="32">
        <v>132</v>
      </c>
      <c r="K540" s="32" t="s">
        <v>123</v>
      </c>
      <c r="L540" s="32"/>
      <c r="M540" s="33" t="s">
        <v>66</v>
      </c>
      <c r="N540" s="33"/>
      <c r="O540" s="32">
        <v>40</v>
      </c>
      <c r="P540" s="84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48"/>
      <c r="R540" s="648"/>
      <c r="S540" s="648"/>
      <c r="T540" s="649"/>
      <c r="U540" s="34"/>
      <c r="V540" s="34"/>
      <c r="W540" s="35" t="s">
        <v>67</v>
      </c>
      <c r="X540" s="641">
        <v>0</v>
      </c>
      <c r="Y540" s="642">
        <f>IFERROR(IF(X540="",0,CEILING((X540/$H540),1)*$H540),"")</f>
        <v>0</v>
      </c>
      <c r="Z540" s="36" t="str">
        <f>IFERROR(IF(Y540=0,"",ROUNDUP(Y540/H540,0)*0.00902),"")</f>
        <v/>
      </c>
      <c r="AA540" s="56"/>
      <c r="AB540" s="57"/>
      <c r="AC540" s="621" t="s">
        <v>844</v>
      </c>
      <c r="AG540" s="64"/>
      <c r="AJ540" s="68"/>
      <c r="AK540" s="68">
        <v>0</v>
      </c>
      <c r="BB540" s="622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5"/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7"/>
      <c r="P541" s="667" t="s">
        <v>72</v>
      </c>
      <c r="Q541" s="668"/>
      <c r="R541" s="668"/>
      <c r="S541" s="668"/>
      <c r="T541" s="668"/>
      <c r="U541" s="668"/>
      <c r="V541" s="669"/>
      <c r="W541" s="37" t="s">
        <v>73</v>
      </c>
      <c r="X541" s="643">
        <f>IFERROR(X540/H540,"0")</f>
        <v>0</v>
      </c>
      <c r="Y541" s="643">
        <f>IFERROR(Y540/H540,"0")</f>
        <v>0</v>
      </c>
      <c r="Z541" s="643">
        <f>IFERROR(IF(Z540="",0,Z540),"0")</f>
        <v>0</v>
      </c>
      <c r="AA541" s="644"/>
      <c r="AB541" s="644"/>
      <c r="AC541" s="644"/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67" t="s">
        <v>72</v>
      </c>
      <c r="Q542" s="668"/>
      <c r="R542" s="668"/>
      <c r="S542" s="668"/>
      <c r="T542" s="668"/>
      <c r="U542" s="668"/>
      <c r="V542" s="669"/>
      <c r="W542" s="37" t="s">
        <v>67</v>
      </c>
      <c r="X542" s="643">
        <f>IFERROR(SUM(X540:X540),"0")</f>
        <v>0</v>
      </c>
      <c r="Y542" s="643">
        <f>IFERROR(SUM(Y540:Y540),"0")</f>
        <v>0</v>
      </c>
      <c r="Z542" s="37"/>
      <c r="AA542" s="644"/>
      <c r="AB542" s="644"/>
      <c r="AC542" s="644"/>
    </row>
    <row r="543" spans="1:68" ht="14.25" hidden="1" customHeight="1" x14ac:dyDescent="0.25">
      <c r="A543" s="672" t="s">
        <v>74</v>
      </c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6"/>
      <c r="P543" s="656"/>
      <c r="Q543" s="656"/>
      <c r="R543" s="656"/>
      <c r="S543" s="656"/>
      <c r="T543" s="656"/>
      <c r="U543" s="656"/>
      <c r="V543" s="656"/>
      <c r="W543" s="656"/>
      <c r="X543" s="656"/>
      <c r="Y543" s="656"/>
      <c r="Z543" s="656"/>
      <c r="AA543" s="635"/>
      <c r="AB543" s="635"/>
      <c r="AC543" s="635"/>
    </row>
    <row r="544" spans="1:68" ht="27" hidden="1" customHeight="1" x14ac:dyDescent="0.25">
      <c r="A544" s="54" t="s">
        <v>845</v>
      </c>
      <c r="B544" s="54" t="s">
        <v>846</v>
      </c>
      <c r="C544" s="31">
        <v>4301052043</v>
      </c>
      <c r="D544" s="650">
        <v>4640242180533</v>
      </c>
      <c r="E544" s="651"/>
      <c r="F544" s="640">
        <v>1.5</v>
      </c>
      <c r="G544" s="32">
        <v>6</v>
      </c>
      <c r="H544" s="640">
        <v>9</v>
      </c>
      <c r="I544" s="640">
        <v>9.4939999999999998</v>
      </c>
      <c r="J544" s="32">
        <v>64</v>
      </c>
      <c r="K544" s="32" t="s">
        <v>114</v>
      </c>
      <c r="L544" s="32"/>
      <c r="M544" s="33" t="s">
        <v>78</v>
      </c>
      <c r="N544" s="33"/>
      <c r="O544" s="32">
        <v>45</v>
      </c>
      <c r="P544" s="8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48"/>
      <c r="R544" s="648"/>
      <c r="S544" s="648"/>
      <c r="T544" s="649"/>
      <c r="U544" s="34"/>
      <c r="V544" s="34"/>
      <c r="W544" s="35" t="s">
        <v>67</v>
      </c>
      <c r="X544" s="641">
        <v>0</v>
      </c>
      <c r="Y544" s="642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23" t="s">
        <v>847</v>
      </c>
      <c r="AG544" s="64"/>
      <c r="AJ544" s="68"/>
      <c r="AK544" s="68">
        <v>0</v>
      </c>
      <c r="BB544" s="624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55"/>
      <c r="B545" s="656"/>
      <c r="C545" s="656"/>
      <c r="D545" s="656"/>
      <c r="E545" s="656"/>
      <c r="F545" s="656"/>
      <c r="G545" s="656"/>
      <c r="H545" s="656"/>
      <c r="I545" s="656"/>
      <c r="J545" s="656"/>
      <c r="K545" s="656"/>
      <c r="L545" s="656"/>
      <c r="M545" s="656"/>
      <c r="N545" s="656"/>
      <c r="O545" s="657"/>
      <c r="P545" s="667" t="s">
        <v>72</v>
      </c>
      <c r="Q545" s="668"/>
      <c r="R545" s="668"/>
      <c r="S545" s="668"/>
      <c r="T545" s="668"/>
      <c r="U545" s="668"/>
      <c r="V545" s="669"/>
      <c r="W545" s="37" t="s">
        <v>73</v>
      </c>
      <c r="X545" s="643">
        <f>IFERROR(X544/H544,"0")</f>
        <v>0</v>
      </c>
      <c r="Y545" s="643">
        <f>IFERROR(Y544/H544,"0")</f>
        <v>0</v>
      </c>
      <c r="Z545" s="643">
        <f>IFERROR(IF(Z544="",0,Z544),"0")</f>
        <v>0</v>
      </c>
      <c r="AA545" s="644"/>
      <c r="AB545" s="644"/>
      <c r="AC545" s="644"/>
    </row>
    <row r="546" spans="1:68" hidden="1" x14ac:dyDescent="0.2">
      <c r="A546" s="656"/>
      <c r="B546" s="656"/>
      <c r="C546" s="656"/>
      <c r="D546" s="656"/>
      <c r="E546" s="656"/>
      <c r="F546" s="656"/>
      <c r="G546" s="656"/>
      <c r="H546" s="656"/>
      <c r="I546" s="656"/>
      <c r="J546" s="656"/>
      <c r="K546" s="656"/>
      <c r="L546" s="656"/>
      <c r="M546" s="656"/>
      <c r="N546" s="656"/>
      <c r="O546" s="657"/>
      <c r="P546" s="667" t="s">
        <v>72</v>
      </c>
      <c r="Q546" s="668"/>
      <c r="R546" s="668"/>
      <c r="S546" s="668"/>
      <c r="T546" s="668"/>
      <c r="U546" s="668"/>
      <c r="V546" s="669"/>
      <c r="W546" s="37" t="s">
        <v>67</v>
      </c>
      <c r="X546" s="643">
        <f>IFERROR(SUM(X544:X544),"0")</f>
        <v>0</v>
      </c>
      <c r="Y546" s="643">
        <f>IFERROR(SUM(Y544:Y544),"0")</f>
        <v>0</v>
      </c>
      <c r="Z546" s="37"/>
      <c r="AA546" s="644"/>
      <c r="AB546" s="644"/>
      <c r="AC546" s="644"/>
    </row>
    <row r="547" spans="1:68" ht="14.25" hidden="1" customHeight="1" x14ac:dyDescent="0.25">
      <c r="A547" s="672" t="s">
        <v>164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35"/>
      <c r="AB547" s="635"/>
      <c r="AC547" s="635"/>
    </row>
    <row r="548" spans="1:68" ht="27" hidden="1" customHeight="1" x14ac:dyDescent="0.25">
      <c r="A548" s="54" t="s">
        <v>848</v>
      </c>
      <c r="B548" s="54" t="s">
        <v>849</v>
      </c>
      <c r="C548" s="31">
        <v>4301060535</v>
      </c>
      <c r="D548" s="650">
        <v>4640242180120</v>
      </c>
      <c r="E548" s="651"/>
      <c r="F548" s="640">
        <v>1.5</v>
      </c>
      <c r="G548" s="32">
        <v>6</v>
      </c>
      <c r="H548" s="640">
        <v>9</v>
      </c>
      <c r="I548" s="640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8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48"/>
      <c r="R548" s="648"/>
      <c r="S548" s="648"/>
      <c r="T548" s="649"/>
      <c r="U548" s="34"/>
      <c r="V548" s="34"/>
      <c r="W548" s="35" t="s">
        <v>67</v>
      </c>
      <c r="X548" s="641">
        <v>0</v>
      </c>
      <c r="Y548" s="642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25" t="s">
        <v>850</v>
      </c>
      <c r="AG548" s="64"/>
      <c r="AJ548" s="68"/>
      <c r="AK548" s="68">
        <v>0</v>
      </c>
      <c r="BB548" s="626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851</v>
      </c>
      <c r="B549" s="54" t="s">
        <v>852</v>
      </c>
      <c r="C549" s="31">
        <v>4301060536</v>
      </c>
      <c r="D549" s="650">
        <v>4640242180137</v>
      </c>
      <c r="E549" s="651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114</v>
      </c>
      <c r="L549" s="32"/>
      <c r="M549" s="33" t="s">
        <v>78</v>
      </c>
      <c r="N549" s="33"/>
      <c r="O549" s="32">
        <v>40</v>
      </c>
      <c r="P549" s="6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48"/>
      <c r="R549" s="648"/>
      <c r="S549" s="648"/>
      <c r="T549" s="649"/>
      <c r="U549" s="34"/>
      <c r="V549" s="34"/>
      <c r="W549" s="35" t="s">
        <v>67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853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5"/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7"/>
      <c r="P550" s="667" t="s">
        <v>72</v>
      </c>
      <c r="Q550" s="668"/>
      <c r="R550" s="668"/>
      <c r="S550" s="668"/>
      <c r="T550" s="668"/>
      <c r="U550" s="668"/>
      <c r="V550" s="669"/>
      <c r="W550" s="37" t="s">
        <v>73</v>
      </c>
      <c r="X550" s="643">
        <f>IFERROR(X548/H548,"0")+IFERROR(X549/H549,"0")</f>
        <v>0</v>
      </c>
      <c r="Y550" s="643">
        <f>IFERROR(Y548/H548,"0")+IFERROR(Y549/H549,"0")</f>
        <v>0</v>
      </c>
      <c r="Z550" s="643">
        <f>IFERROR(IF(Z548="",0,Z548),"0")+IFERROR(IF(Z549="",0,Z549),"0")</f>
        <v>0</v>
      </c>
      <c r="AA550" s="644"/>
      <c r="AB550" s="644"/>
      <c r="AC550" s="644"/>
    </row>
    <row r="551" spans="1:68" hidden="1" x14ac:dyDescent="0.2">
      <c r="A551" s="656"/>
      <c r="B551" s="656"/>
      <c r="C551" s="656"/>
      <c r="D551" s="656"/>
      <c r="E551" s="656"/>
      <c r="F551" s="656"/>
      <c r="G551" s="656"/>
      <c r="H551" s="656"/>
      <c r="I551" s="656"/>
      <c r="J551" s="656"/>
      <c r="K551" s="656"/>
      <c r="L551" s="656"/>
      <c r="M551" s="656"/>
      <c r="N551" s="656"/>
      <c r="O551" s="657"/>
      <c r="P551" s="667" t="s">
        <v>72</v>
      </c>
      <c r="Q551" s="668"/>
      <c r="R551" s="668"/>
      <c r="S551" s="668"/>
      <c r="T551" s="668"/>
      <c r="U551" s="668"/>
      <c r="V551" s="669"/>
      <c r="W551" s="37" t="s">
        <v>67</v>
      </c>
      <c r="X551" s="643">
        <f>IFERROR(SUM(X548:X549),"0")</f>
        <v>0</v>
      </c>
      <c r="Y551" s="643">
        <f>IFERROR(SUM(Y548:Y549),"0")</f>
        <v>0</v>
      </c>
      <c r="Z551" s="37"/>
      <c r="AA551" s="644"/>
      <c r="AB551" s="644"/>
      <c r="AC551" s="644"/>
    </row>
    <row r="552" spans="1:68" ht="16.5" hidden="1" customHeight="1" x14ac:dyDescent="0.25">
      <c r="A552" s="666" t="s">
        <v>854</v>
      </c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6"/>
      <c r="P552" s="656"/>
      <c r="Q552" s="656"/>
      <c r="R552" s="656"/>
      <c r="S552" s="656"/>
      <c r="T552" s="656"/>
      <c r="U552" s="656"/>
      <c r="V552" s="656"/>
      <c r="W552" s="656"/>
      <c r="X552" s="656"/>
      <c r="Y552" s="656"/>
      <c r="Z552" s="656"/>
      <c r="AA552" s="636"/>
      <c r="AB552" s="636"/>
      <c r="AC552" s="636"/>
    </row>
    <row r="553" spans="1:68" ht="14.25" hidden="1" customHeight="1" x14ac:dyDescent="0.25">
      <c r="A553" s="672" t="s">
        <v>146</v>
      </c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6"/>
      <c r="P553" s="656"/>
      <c r="Q553" s="656"/>
      <c r="R553" s="656"/>
      <c r="S553" s="656"/>
      <c r="T553" s="656"/>
      <c r="U553" s="656"/>
      <c r="V553" s="656"/>
      <c r="W553" s="656"/>
      <c r="X553" s="656"/>
      <c r="Y553" s="656"/>
      <c r="Z553" s="656"/>
      <c r="AA553" s="635"/>
      <c r="AB553" s="635"/>
      <c r="AC553" s="635"/>
    </row>
    <row r="554" spans="1:68" ht="27" hidden="1" customHeight="1" x14ac:dyDescent="0.25">
      <c r="A554" s="54" t="s">
        <v>855</v>
      </c>
      <c r="B554" s="54" t="s">
        <v>856</v>
      </c>
      <c r="C554" s="31">
        <v>4301020428</v>
      </c>
      <c r="D554" s="650">
        <v>4640242180090</v>
      </c>
      <c r="E554" s="651"/>
      <c r="F554" s="640">
        <v>1.5</v>
      </c>
      <c r="G554" s="32">
        <v>8</v>
      </c>
      <c r="H554" s="640">
        <v>12</v>
      </c>
      <c r="I554" s="640">
        <v>12.41</v>
      </c>
      <c r="J554" s="32">
        <v>64</v>
      </c>
      <c r="K554" s="32" t="s">
        <v>114</v>
      </c>
      <c r="L554" s="32"/>
      <c r="M554" s="33" t="s">
        <v>115</v>
      </c>
      <c r="N554" s="33"/>
      <c r="O554" s="32">
        <v>50</v>
      </c>
      <c r="P554" s="89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48"/>
      <c r="R554" s="648"/>
      <c r="S554" s="648"/>
      <c r="T554" s="649"/>
      <c r="U554" s="34"/>
      <c r="V554" s="34"/>
      <c r="W554" s="35" t="s">
        <v>67</v>
      </c>
      <c r="X554" s="641">
        <v>0</v>
      </c>
      <c r="Y554" s="64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9" t="s">
        <v>857</v>
      </c>
      <c r="AG554" s="64"/>
      <c r="AJ554" s="68"/>
      <c r="AK554" s="68">
        <v>0</v>
      </c>
      <c r="BB554" s="630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858</v>
      </c>
      <c r="B555" s="54" t="s">
        <v>859</v>
      </c>
      <c r="C555" s="31">
        <v>4301020441</v>
      </c>
      <c r="D555" s="650">
        <v>4680115889798</v>
      </c>
      <c r="E555" s="651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114</v>
      </c>
      <c r="L555" s="32"/>
      <c r="M555" s="33" t="s">
        <v>115</v>
      </c>
      <c r="N555" s="33"/>
      <c r="O555" s="32">
        <v>50</v>
      </c>
      <c r="P555" s="920" t="s">
        <v>860</v>
      </c>
      <c r="Q555" s="648"/>
      <c r="R555" s="648"/>
      <c r="S555" s="648"/>
      <c r="T555" s="649"/>
      <c r="U555" s="34"/>
      <c r="V555" s="34"/>
      <c r="W555" s="35" t="s">
        <v>67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861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55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57"/>
      <c r="P556" s="667" t="s">
        <v>72</v>
      </c>
      <c r="Q556" s="668"/>
      <c r="R556" s="668"/>
      <c r="S556" s="668"/>
      <c r="T556" s="668"/>
      <c r="U556" s="668"/>
      <c r="V556" s="669"/>
      <c r="W556" s="37" t="s">
        <v>73</v>
      </c>
      <c r="X556" s="643">
        <f>IFERROR(X554/H554,"0")+IFERROR(X555/H555,"0")</f>
        <v>0</v>
      </c>
      <c r="Y556" s="643">
        <f>IFERROR(Y554/H554,"0")+IFERROR(Y555/H555,"0")</f>
        <v>0</v>
      </c>
      <c r="Z556" s="643">
        <f>IFERROR(IF(Z554="",0,Z554),"0")+IFERROR(IF(Z555="",0,Z555),"0")</f>
        <v>0</v>
      </c>
      <c r="AA556" s="644"/>
      <c r="AB556" s="644"/>
      <c r="AC556" s="644"/>
    </row>
    <row r="557" spans="1:68" hidden="1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67" t="s">
        <v>72</v>
      </c>
      <c r="Q557" s="668"/>
      <c r="R557" s="668"/>
      <c r="S557" s="668"/>
      <c r="T557" s="668"/>
      <c r="U557" s="668"/>
      <c r="V557" s="669"/>
      <c r="W557" s="37" t="s">
        <v>67</v>
      </c>
      <c r="X557" s="643">
        <f>IFERROR(SUM(X554:X555),"0")</f>
        <v>0</v>
      </c>
      <c r="Y557" s="643">
        <f>IFERROR(SUM(Y554:Y555),"0")</f>
        <v>0</v>
      </c>
      <c r="Z557" s="37"/>
      <c r="AA557" s="644"/>
      <c r="AB557" s="644"/>
      <c r="AC557" s="644"/>
    </row>
    <row r="558" spans="1:68" ht="15" customHeight="1" x14ac:dyDescent="0.2">
      <c r="A558" s="929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839"/>
      <c r="P558" s="673" t="s">
        <v>862</v>
      </c>
      <c r="Q558" s="674"/>
      <c r="R558" s="674"/>
      <c r="S558" s="674"/>
      <c r="T558" s="674"/>
      <c r="U558" s="674"/>
      <c r="V558" s="675"/>
      <c r="W558" s="37" t="s">
        <v>67</v>
      </c>
      <c r="X558" s="6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17599</v>
      </c>
      <c r="Y558" s="6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17671.72</v>
      </c>
      <c r="Z558" s="37"/>
      <c r="AA558" s="644"/>
      <c r="AB558" s="644"/>
      <c r="AC558" s="644"/>
    </row>
    <row r="559" spans="1:68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839"/>
      <c r="P559" s="673" t="s">
        <v>863</v>
      </c>
      <c r="Q559" s="674"/>
      <c r="R559" s="674"/>
      <c r="S559" s="674"/>
      <c r="T559" s="674"/>
      <c r="U559" s="674"/>
      <c r="V559" s="675"/>
      <c r="W559" s="37" t="s">
        <v>67</v>
      </c>
      <c r="X559" s="643">
        <f>IFERROR(SUM(BM22:BM555),"0")</f>
        <v>18599.635111672273</v>
      </c>
      <c r="Y559" s="643">
        <f>IFERROR(SUM(BN22:BN555),"0")</f>
        <v>18676.128000000001</v>
      </c>
      <c r="Z559" s="37"/>
      <c r="AA559" s="644"/>
      <c r="AB559" s="644"/>
      <c r="AC559" s="644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839"/>
      <c r="P560" s="673" t="s">
        <v>864</v>
      </c>
      <c r="Q560" s="674"/>
      <c r="R560" s="674"/>
      <c r="S560" s="674"/>
      <c r="T560" s="674"/>
      <c r="U560" s="674"/>
      <c r="V560" s="675"/>
      <c r="W560" s="37" t="s">
        <v>865</v>
      </c>
      <c r="X560" s="38">
        <f>ROUNDUP(SUM(BO22:BO555),0)</f>
        <v>32</v>
      </c>
      <c r="Y560" s="38">
        <f>ROUNDUP(SUM(BP22:BP555),0)</f>
        <v>32</v>
      </c>
      <c r="Z560" s="37"/>
      <c r="AA560" s="644"/>
      <c r="AB560" s="644"/>
      <c r="AC560" s="644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839"/>
      <c r="P561" s="673" t="s">
        <v>866</v>
      </c>
      <c r="Q561" s="674"/>
      <c r="R561" s="674"/>
      <c r="S561" s="674"/>
      <c r="T561" s="674"/>
      <c r="U561" s="674"/>
      <c r="V561" s="675"/>
      <c r="W561" s="37" t="s">
        <v>67</v>
      </c>
      <c r="X561" s="643">
        <f>GrossWeightTotal+PalletQtyTotal*25</f>
        <v>19399.635111672273</v>
      </c>
      <c r="Y561" s="643">
        <f>GrossWeightTotalR+PalletQtyTotalR*25</f>
        <v>19476.128000000001</v>
      </c>
      <c r="Z561" s="37"/>
      <c r="AA561" s="644"/>
      <c r="AB561" s="644"/>
      <c r="AC561" s="644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839"/>
      <c r="P562" s="673" t="s">
        <v>867</v>
      </c>
      <c r="Q562" s="674"/>
      <c r="R562" s="674"/>
      <c r="S562" s="674"/>
      <c r="T562" s="674"/>
      <c r="U562" s="674"/>
      <c r="V562" s="675"/>
      <c r="W562" s="37" t="s">
        <v>865</v>
      </c>
      <c r="X562" s="6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2840.9678759512094</v>
      </c>
      <c r="Y562" s="6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2853</v>
      </c>
      <c r="Z562" s="37"/>
      <c r="AA562" s="644"/>
      <c r="AB562" s="644"/>
      <c r="AC562" s="644"/>
    </row>
    <row r="563" spans="1:32" ht="14.25" hidden="1" customHeight="1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839"/>
      <c r="P563" s="673" t="s">
        <v>868</v>
      </c>
      <c r="Q563" s="674"/>
      <c r="R563" s="674"/>
      <c r="S563" s="674"/>
      <c r="T563" s="674"/>
      <c r="U563" s="674"/>
      <c r="V563" s="675"/>
      <c r="W563" s="39" t="s">
        <v>869</v>
      </c>
      <c r="X563" s="37"/>
      <c r="Y563" s="37"/>
      <c r="Z563" s="37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37.198569999999997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870</v>
      </c>
      <c r="B565" s="633" t="s">
        <v>61</v>
      </c>
      <c r="C565" s="633" t="s">
        <v>92</v>
      </c>
      <c r="D565" s="662" t="s">
        <v>109</v>
      </c>
      <c r="E565" s="970"/>
      <c r="F565" s="970"/>
      <c r="G565" s="970"/>
      <c r="H565" s="970"/>
      <c r="I565" s="970"/>
      <c r="J565" s="769"/>
      <c r="K565" s="662" t="s">
        <v>333</v>
      </c>
      <c r="L565" s="970"/>
      <c r="M565" s="970"/>
      <c r="N565" s="970"/>
      <c r="O565" s="970"/>
      <c r="P565" s="970"/>
      <c r="Q565" s="970"/>
      <c r="R565" s="970"/>
      <c r="S565" s="970"/>
      <c r="T565" s="970"/>
      <c r="U565" s="970"/>
      <c r="V565" s="769"/>
      <c r="W565" s="662" t="s">
        <v>686</v>
      </c>
      <c r="X565" s="769"/>
      <c r="Y565" s="662" t="s">
        <v>752</v>
      </c>
      <c r="Z565" s="769"/>
      <c r="AA565" s="633" t="s">
        <v>788</v>
      </c>
      <c r="AB565" s="662" t="s">
        <v>835</v>
      </c>
      <c r="AC565" s="769"/>
      <c r="AF565" s="634"/>
    </row>
    <row r="566" spans="1:32" ht="14.25" customHeight="1" thickTop="1" x14ac:dyDescent="0.2">
      <c r="A566" s="660" t="s">
        <v>871</v>
      </c>
      <c r="B566" s="662" t="s">
        <v>61</v>
      </c>
      <c r="C566" s="662" t="s">
        <v>93</v>
      </c>
      <c r="D566" s="662" t="s">
        <v>110</v>
      </c>
      <c r="E566" s="662" t="s">
        <v>126</v>
      </c>
      <c r="F566" s="662" t="s">
        <v>172</v>
      </c>
      <c r="G566" s="662" t="s">
        <v>196</v>
      </c>
      <c r="H566" s="662" t="s">
        <v>236</v>
      </c>
      <c r="I566" s="662" t="s">
        <v>249</v>
      </c>
      <c r="J566" s="662" t="s">
        <v>109</v>
      </c>
      <c r="K566" s="662" t="s">
        <v>334</v>
      </c>
      <c r="L566" s="662" t="s">
        <v>355</v>
      </c>
      <c r="M566" s="662" t="s">
        <v>429</v>
      </c>
      <c r="N566" s="634"/>
      <c r="O566" s="662" t="s">
        <v>497</v>
      </c>
      <c r="P566" s="662" t="s">
        <v>530</v>
      </c>
      <c r="Q566" s="662" t="s">
        <v>546</v>
      </c>
      <c r="R566" s="662" t="s">
        <v>555</v>
      </c>
      <c r="S566" s="662" t="s">
        <v>576</v>
      </c>
      <c r="T566" s="662" t="s">
        <v>585</v>
      </c>
      <c r="U566" s="662" t="s">
        <v>669</v>
      </c>
      <c r="V566" s="662" t="s">
        <v>676</v>
      </c>
      <c r="W566" s="662" t="s">
        <v>687</v>
      </c>
      <c r="X566" s="662" t="s">
        <v>736</v>
      </c>
      <c r="Y566" s="662" t="s">
        <v>753</v>
      </c>
      <c r="Z566" s="662" t="s">
        <v>776</v>
      </c>
      <c r="AA566" s="662" t="s">
        <v>788</v>
      </c>
      <c r="AB566" s="662" t="s">
        <v>835</v>
      </c>
      <c r="AC566" s="662" t="s">
        <v>854</v>
      </c>
      <c r="AF566" s="634"/>
    </row>
    <row r="567" spans="1:32" ht="13.5" customHeight="1" thickBot="1" x14ac:dyDescent="0.25">
      <c r="A567" s="661"/>
      <c r="B567" s="663"/>
      <c r="C567" s="663"/>
      <c r="D567" s="663"/>
      <c r="E567" s="663"/>
      <c r="F567" s="663"/>
      <c r="G567" s="663"/>
      <c r="H567" s="663"/>
      <c r="I567" s="663"/>
      <c r="J567" s="663"/>
      <c r="K567" s="663"/>
      <c r="L567" s="663"/>
      <c r="M567" s="663"/>
      <c r="N567" s="634"/>
      <c r="O567" s="663"/>
      <c r="P567" s="663"/>
      <c r="Q567" s="663"/>
      <c r="R567" s="663"/>
      <c r="S567" s="663"/>
      <c r="T567" s="663"/>
      <c r="U567" s="663"/>
      <c r="V567" s="663"/>
      <c r="W567" s="663"/>
      <c r="X567" s="663"/>
      <c r="Y567" s="663"/>
      <c r="Z567" s="663"/>
      <c r="AA567" s="663"/>
      <c r="AB567" s="663"/>
      <c r="AC567" s="663"/>
      <c r="AF567" s="634"/>
    </row>
    <row r="568" spans="1:32" ht="18" customHeight="1" thickTop="1" thickBot="1" x14ac:dyDescent="0.25">
      <c r="A568" s="40" t="s">
        <v>872</v>
      </c>
      <c r="B568" s="46">
        <f>IFERROR(Y22*1,"0")+IFERROR(Y23*1,"0")+IFERROR(Y27*1,"0")+IFERROR(Y28*1,"0")+IFERROR(Y29*1,"0")+IFERROR(Y30*1,"0")+IFERROR(Y31*1,"0")</f>
        <v>0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1036.8000000000002</v>
      </c>
      <c r="E568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194.4</v>
      </c>
      <c r="F568" s="46">
        <f>IFERROR(Y85*1,"0")+IFERROR(Y86*1,"0")+IFERROR(Y87*1,"0")+IFERROR(Y88*1,"0")+IFERROR(Y89*1,"0")+IFERROR(Y90*1,"0")+IFERROR(Y94*1,"0")+IFERROR(Y95*1,"0")+IFERROR(Y96*1,"0")+IFERROR(Y97*1,"0")</f>
        <v>1560.6</v>
      </c>
      <c r="G568" s="46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2220.2999999999997</v>
      </c>
      <c r="H568" s="46">
        <f>IFERROR(Y131*1,"0")+IFERROR(Y132*1,"0")+IFERROR(Y136*1,"0")+IFERROR(Y137*1,"0")+IFERROR(Y141*1,"0")+IFERROR(Y142*1,"0")</f>
        <v>0</v>
      </c>
      <c r="I568" s="46">
        <f>IFERROR(Y147*1,"0")+IFERROR(Y148*1,"0")+IFERROR(Y149*1,"0")+IFERROR(Y150*1,"0")+IFERROR(Y151*1,"0")+IFERROR(Y152*1,"0")+IFERROR(Y156*1,"0")</f>
        <v>0</v>
      </c>
      <c r="J568" s="46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503.44</v>
      </c>
      <c r="K568" s="46">
        <f>IFERROR(Y203*1,"0")+IFERROR(Y204*1,"0")+IFERROR(Y205*1,"0")+IFERROR(Y206*1,"0")+IFERROR(Y207*1,"0")+IFERROR(Y208*1,"0")+IFERROR(Y209*1,"0")</f>
        <v>0</v>
      </c>
      <c r="L568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182.70000000000002</v>
      </c>
      <c r="M568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954.6</v>
      </c>
      <c r="N568" s="634"/>
      <c r="O568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46">
        <f>IFERROR(Y326*1,"0")+IFERROR(Y327*1,"0")+IFERROR(Y328*1,"0")+IFERROR(Y329*1,"0")+IFERROR(Y330*1,"0")</f>
        <v>0</v>
      </c>
      <c r="Q568" s="46">
        <f>IFERROR(Y335*1,"0")+IFERROR(Y336*1,"0")+IFERROR(Y337*1,"0")</f>
        <v>122.39999999999999</v>
      </c>
      <c r="R568" s="46">
        <f>IFERROR(Y342*1,"0")+IFERROR(Y343*1,"0")+IFERROR(Y344*1,"0")+IFERROR(Y345*1,"0")+IFERROR(Y346*1,"0")+IFERROR(Y350*1,"0")+IFERROR(Y351*1,"0")</f>
        <v>0</v>
      </c>
      <c r="S568" s="46">
        <f>IFERROR(Y356*1,"0")+IFERROR(Y357*1,"0")+IFERROR(Y358*1,"0")</f>
        <v>0</v>
      </c>
      <c r="T568" s="46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748.8</v>
      </c>
      <c r="U568" s="46">
        <f>IFERROR(Y415*1,"0")+IFERROR(Y416*1,"0")</f>
        <v>0</v>
      </c>
      <c r="V568" s="46">
        <f>IFERROR(Y421*1,"0")+IFERROR(Y422*1,"0")+IFERROR(Y423*1,"0")</f>
        <v>0</v>
      </c>
      <c r="W568" s="46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3420</v>
      </c>
      <c r="X568" s="46">
        <f>IFERROR(Y458*1,"0")+IFERROR(Y459*1,"0")+IFERROR(Y463*1,"0")+IFERROR(Y467*1,"0")+IFERROR(Y468*1,"0")+IFERROR(Y469*1,"0")</f>
        <v>1152</v>
      </c>
      <c r="Y568" s="46">
        <f>IFERROR(Y475*1,"0")+IFERROR(Y476*1,"0")+IFERROR(Y477*1,"0")+IFERROR(Y478*1,"0")+IFERROR(Y479*1,"0")+IFERROR(Y480*1,"0")+IFERROR(Y484*1,"0")+IFERROR(Y485*1,"0")</f>
        <v>0</v>
      </c>
      <c r="Z568" s="46">
        <f>IFERROR(Y490*1,"0")+IFERROR(Y494*1,"0")+IFERROR(Y495*1,"0")+IFERROR(Y496*1,"0")</f>
        <v>0</v>
      </c>
      <c r="AA568" s="46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5575.68</v>
      </c>
      <c r="AB568" s="46">
        <f>IFERROR(Y532*1,"0")+IFERROR(Y536*1,"0")+IFERROR(Y540*1,"0")+IFERROR(Y544*1,"0")+IFERROR(Y548*1,"0")+IFERROR(Y549*1,"0")</f>
        <v>0</v>
      </c>
      <c r="AC568" s="46">
        <f>IFERROR(Y554*1,"0")+IFERROR(Y555*1,"0")</f>
        <v>0</v>
      </c>
      <c r="AF568" s="634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5,00"/>
        <filter val="1 116,00"/>
        <filter val="1 150,00"/>
        <filter val="1 298,00"/>
        <filter val="1 316,00"/>
        <filter val="1 622,00"/>
        <filter val="1 796,00"/>
        <filter val="1 862,00"/>
        <filter val="1 951,00"/>
        <filter val="121,00"/>
        <filter val="122,00"/>
        <filter val="127,78"/>
        <filter val="144,00"/>
        <filter val="155,00"/>
        <filter val="17 599,00"/>
        <filter val="17,59"/>
        <filter val="172,88"/>
        <filter val="172,93"/>
        <filter val="18 599,64"/>
        <filter val="181,00"/>
        <filter val="182,00"/>
        <filter val="19 399,64"/>
        <filter val="19,07"/>
        <filter val="190,00"/>
        <filter val="2 080,00"/>
        <filter val="2 594,00"/>
        <filter val="2 840,97"/>
        <filter val="205,19"/>
        <filter val="206,00"/>
        <filter val="23,98"/>
        <filter val="24,24"/>
        <filter val="259,00"/>
        <filter val="26,67"/>
        <filter val="279,14"/>
        <filter val="307,20"/>
        <filter val="32"/>
        <filter val="335,83"/>
        <filter val="352,65"/>
        <filter val="393,94"/>
        <filter val="402,00"/>
        <filter val="472,00"/>
        <filter val="48,00"/>
        <filter val="50,42"/>
        <filter val="500,00"/>
        <filter val="52,00"/>
        <filter val="53,67"/>
        <filter val="546,00"/>
        <filter val="57,00"/>
        <filter val="59,00"/>
        <filter val="69,00"/>
        <filter val="690,00"/>
        <filter val="747,00"/>
        <filter val="805,00"/>
        <filter val="806,00"/>
        <filter val="86,19"/>
        <filter val="95,77"/>
        <filter val="95,83"/>
        <filter val="97,00"/>
      </filters>
    </filterColumn>
    <filterColumn colId="29" showButton="0"/>
    <filterColumn colId="30" showButton="0"/>
  </autoFilter>
  <mergeCells count="1001">
    <mergeCell ref="D17:E18"/>
    <mergeCell ref="D173:E173"/>
    <mergeCell ref="D344:E344"/>
    <mergeCell ref="D515:E515"/>
    <mergeCell ref="A449:O450"/>
    <mergeCell ref="X17:X18"/>
    <mergeCell ref="P307:T307"/>
    <mergeCell ref="P58:T58"/>
    <mergeCell ref="D421:E421"/>
    <mergeCell ref="D50:E50"/>
    <mergeCell ref="P373:T373"/>
    <mergeCell ref="D408:E408"/>
    <mergeCell ref="P387:V387"/>
    <mergeCell ref="Y17:Y18"/>
    <mergeCell ref="A266:O267"/>
    <mergeCell ref="D57:E57"/>
    <mergeCell ref="P526:T526"/>
    <mergeCell ref="A340:Z340"/>
    <mergeCell ref="D509:E509"/>
    <mergeCell ref="P96:T96"/>
    <mergeCell ref="H17:H18"/>
    <mergeCell ref="P90:T90"/>
    <mergeCell ref="A146:Z146"/>
    <mergeCell ref="P161:T161"/>
    <mergeCell ref="D204:E204"/>
    <mergeCell ref="P503:T503"/>
    <mergeCell ref="P459:T459"/>
    <mergeCell ref="Z17:Z18"/>
    <mergeCell ref="D383:E383"/>
    <mergeCell ref="A386:O387"/>
    <mergeCell ref="A8:C8"/>
    <mergeCell ref="P385:T385"/>
    <mergeCell ref="P410:T410"/>
    <mergeCell ref="P447:T447"/>
    <mergeCell ref="D97:E97"/>
    <mergeCell ref="P138:V138"/>
    <mergeCell ref="P76:V76"/>
    <mergeCell ref="P151:T151"/>
    <mergeCell ref="D395:E395"/>
    <mergeCell ref="A426:Z426"/>
    <mergeCell ref="A10:C10"/>
    <mergeCell ref="P126:T126"/>
    <mergeCell ref="A413:Z413"/>
    <mergeCell ref="A217:Z217"/>
    <mergeCell ref="P218:T218"/>
    <mergeCell ref="P69:V69"/>
    <mergeCell ref="A21:Z21"/>
    <mergeCell ref="A192:Z192"/>
    <mergeCell ref="P438:V438"/>
    <mergeCell ref="A428:Z428"/>
    <mergeCell ref="P425:V425"/>
    <mergeCell ref="A129:Z129"/>
    <mergeCell ref="D121:E121"/>
    <mergeCell ref="D80:E80"/>
    <mergeCell ref="H10:M10"/>
    <mergeCell ref="D296:E296"/>
    <mergeCell ref="A157:O158"/>
    <mergeCell ref="P27:T27"/>
    <mergeCell ref="A186:Z186"/>
    <mergeCell ref="P232:T232"/>
    <mergeCell ref="P330:T330"/>
    <mergeCell ref="P395:T395"/>
    <mergeCell ref="D565:J565"/>
    <mergeCell ref="Q6:R6"/>
    <mergeCell ref="P243:T243"/>
    <mergeCell ref="P436:T436"/>
    <mergeCell ref="A251:O252"/>
    <mergeCell ref="D102:E102"/>
    <mergeCell ref="P81:V81"/>
    <mergeCell ref="P379:V379"/>
    <mergeCell ref="P450:V450"/>
    <mergeCell ref="A424:O425"/>
    <mergeCell ref="AC566:AC567"/>
    <mergeCell ref="P443:V443"/>
    <mergeCell ref="P210:V210"/>
    <mergeCell ref="A35:Z35"/>
    <mergeCell ref="P510:T510"/>
    <mergeCell ref="A529:Z529"/>
    <mergeCell ref="P308:V308"/>
    <mergeCell ref="A333:Z333"/>
    <mergeCell ref="P185:V185"/>
    <mergeCell ref="P216:V216"/>
    <mergeCell ref="A42:O43"/>
    <mergeCell ref="D271:E271"/>
    <mergeCell ref="V12:W12"/>
    <mergeCell ref="P319:T319"/>
    <mergeCell ref="D458:E458"/>
    <mergeCell ref="D433:E433"/>
    <mergeCell ref="P368:T368"/>
    <mergeCell ref="A362:Z362"/>
    <mergeCell ref="P566:P567"/>
    <mergeCell ref="P43:V43"/>
    <mergeCell ref="D237:E237"/>
    <mergeCell ref="A310:Z310"/>
    <mergeCell ref="Q5:R5"/>
    <mergeCell ref="D120:E120"/>
    <mergeCell ref="F17:F18"/>
    <mergeCell ref="P72:T72"/>
    <mergeCell ref="D242:E242"/>
    <mergeCell ref="P435:T435"/>
    <mergeCell ref="D107:E107"/>
    <mergeCell ref="D163:E163"/>
    <mergeCell ref="P291:T291"/>
    <mergeCell ref="D478:E478"/>
    <mergeCell ref="P288:T288"/>
    <mergeCell ref="P484:T484"/>
    <mergeCell ref="A24:O25"/>
    <mergeCell ref="P65:T65"/>
    <mergeCell ref="D549:E549"/>
    <mergeCell ref="P136:T136"/>
    <mergeCell ref="P434:T434"/>
    <mergeCell ref="D244:E244"/>
    <mergeCell ref="P228:T228"/>
    <mergeCell ref="D342:E342"/>
    <mergeCell ref="D336:E336"/>
    <mergeCell ref="A215:O216"/>
    <mergeCell ref="P85:T85"/>
    <mergeCell ref="P383:T383"/>
    <mergeCell ref="D522:E522"/>
    <mergeCell ref="P60:T60"/>
    <mergeCell ref="D291:E291"/>
    <mergeCell ref="D239:E239"/>
    <mergeCell ref="D95:E95"/>
    <mergeCell ref="P149:T149"/>
    <mergeCell ref="P174:T174"/>
    <mergeCell ref="P469:T469"/>
    <mergeCell ref="AD17:AF18"/>
    <mergeCell ref="D503:E503"/>
    <mergeCell ref="A481:O482"/>
    <mergeCell ref="U566:U567"/>
    <mergeCell ref="W566:W567"/>
    <mergeCell ref="M566:M567"/>
    <mergeCell ref="O566:O567"/>
    <mergeCell ref="P117:V117"/>
    <mergeCell ref="F5:G5"/>
    <mergeCell ref="A352:O353"/>
    <mergeCell ref="A488:Z488"/>
    <mergeCell ref="P169:V169"/>
    <mergeCell ref="P144:V144"/>
    <mergeCell ref="P411:V411"/>
    <mergeCell ref="P67:T67"/>
    <mergeCell ref="D430:E430"/>
    <mergeCell ref="P509:T509"/>
    <mergeCell ref="D175:E175"/>
    <mergeCell ref="D221:E221"/>
    <mergeCell ref="V11:W11"/>
    <mergeCell ref="A294:Z294"/>
    <mergeCell ref="A394:Z394"/>
    <mergeCell ref="P57:T57"/>
    <mergeCell ref="P367:T367"/>
    <mergeCell ref="A497:O498"/>
    <mergeCell ref="D475:E475"/>
    <mergeCell ref="P342:T342"/>
    <mergeCell ref="P406:V406"/>
    <mergeCell ref="D152:E152"/>
    <mergeCell ref="K565:V565"/>
    <mergeCell ref="D223:E223"/>
    <mergeCell ref="D521:E521"/>
    <mergeCell ref="P2:W3"/>
    <mergeCell ref="P498:V498"/>
    <mergeCell ref="D241:E241"/>
    <mergeCell ref="D508:E508"/>
    <mergeCell ref="D228:E228"/>
    <mergeCell ref="P312:V312"/>
    <mergeCell ref="D404:E404"/>
    <mergeCell ref="D526:E526"/>
    <mergeCell ref="D10:E10"/>
    <mergeCell ref="F10:G10"/>
    <mergeCell ref="D305:E305"/>
    <mergeCell ref="D243:E243"/>
    <mergeCell ref="A308:O309"/>
    <mergeCell ref="D270:E270"/>
    <mergeCell ref="D544:E544"/>
    <mergeCell ref="A550:O551"/>
    <mergeCell ref="D397:E397"/>
    <mergeCell ref="A130:Z130"/>
    <mergeCell ref="A201:Z201"/>
    <mergeCell ref="A245:O246"/>
    <mergeCell ref="P364:T364"/>
    <mergeCell ref="P121:T121"/>
    <mergeCell ref="P181:T181"/>
    <mergeCell ref="P357:T357"/>
    <mergeCell ref="D29:E29"/>
    <mergeCell ref="D23:E23"/>
    <mergeCell ref="D265:E265"/>
    <mergeCell ref="P344:T344"/>
    <mergeCell ref="P195:V195"/>
    <mergeCell ref="A20:Z20"/>
    <mergeCell ref="A125:Z125"/>
    <mergeCell ref="A194:O195"/>
    <mergeCell ref="D566:D567"/>
    <mergeCell ref="P49:T49"/>
    <mergeCell ref="P478:T478"/>
    <mergeCell ref="P107:T107"/>
    <mergeCell ref="D150:E150"/>
    <mergeCell ref="D321:E321"/>
    <mergeCell ref="P63:V63"/>
    <mergeCell ref="P194:V194"/>
    <mergeCell ref="A255:O256"/>
    <mergeCell ref="P492:V492"/>
    <mergeCell ref="P415:T415"/>
    <mergeCell ref="M17:M18"/>
    <mergeCell ref="A531:Z531"/>
    <mergeCell ref="O17:O18"/>
    <mergeCell ref="P336:T336"/>
    <mergeCell ref="P556:V556"/>
    <mergeCell ref="P52:V52"/>
    <mergeCell ref="P430:T430"/>
    <mergeCell ref="A235:Z235"/>
    <mergeCell ref="P102:T102"/>
    <mergeCell ref="P481:V481"/>
    <mergeCell ref="A247:Z247"/>
    <mergeCell ref="D177:E177"/>
    <mergeCell ref="A483:Z483"/>
    <mergeCell ref="P183:T183"/>
    <mergeCell ref="D226:E226"/>
    <mergeCell ref="P352:V352"/>
    <mergeCell ref="P365:T365"/>
    <mergeCell ref="A318:Z318"/>
    <mergeCell ref="D452:E452"/>
    <mergeCell ref="P515:T515"/>
    <mergeCell ref="P536:T536"/>
    <mergeCell ref="A558:O563"/>
    <mergeCell ref="P241:T241"/>
    <mergeCell ref="P41:T41"/>
    <mergeCell ref="D22:E22"/>
    <mergeCell ref="A62:O63"/>
    <mergeCell ref="D149:E149"/>
    <mergeCell ref="D320:E320"/>
    <mergeCell ref="D447:E447"/>
    <mergeCell ref="A127:O128"/>
    <mergeCell ref="P255:V255"/>
    <mergeCell ref="P301:T301"/>
    <mergeCell ref="D385:E385"/>
    <mergeCell ref="P295:T295"/>
    <mergeCell ref="P178:T178"/>
    <mergeCell ref="Y565:Z565"/>
    <mergeCell ref="P105:T105"/>
    <mergeCell ref="P276:T276"/>
    <mergeCell ref="D86:E86"/>
    <mergeCell ref="P214:T214"/>
    <mergeCell ref="P270:T270"/>
    <mergeCell ref="D384:E384"/>
    <mergeCell ref="P463:T463"/>
    <mergeCell ref="D151:E151"/>
    <mergeCell ref="A457:Z457"/>
    <mergeCell ref="P421:T421"/>
    <mergeCell ref="A411:O412"/>
    <mergeCell ref="P408:T408"/>
    <mergeCell ref="D218:E218"/>
    <mergeCell ref="A314:Z314"/>
    <mergeCell ref="A539:Z539"/>
    <mergeCell ref="A64:Z64"/>
    <mergeCell ref="A257:Z257"/>
    <mergeCell ref="P555:T555"/>
    <mergeCell ref="P48:T48"/>
    <mergeCell ref="D436:E436"/>
    <mergeCell ref="P490:T490"/>
    <mergeCell ref="P346:T346"/>
    <mergeCell ref="V566:V567"/>
    <mergeCell ref="X566:X567"/>
    <mergeCell ref="D227:E227"/>
    <mergeCell ref="P262:V262"/>
    <mergeCell ref="A9:C9"/>
    <mergeCell ref="P321:T321"/>
    <mergeCell ref="D525:E525"/>
    <mergeCell ref="D373:E373"/>
    <mergeCell ref="D58:E58"/>
    <mergeCell ref="P112:T112"/>
    <mergeCell ref="A414:Z414"/>
    <mergeCell ref="D231:E231"/>
    <mergeCell ref="D358:E358"/>
    <mergeCell ref="P70:V70"/>
    <mergeCell ref="P537:V537"/>
    <mergeCell ref="P116:V116"/>
    <mergeCell ref="A543:Z543"/>
    <mergeCell ref="P32:V32"/>
    <mergeCell ref="A299:Z299"/>
    <mergeCell ref="Q13:R13"/>
    <mergeCell ref="P134:V134"/>
    <mergeCell ref="A93:Z93"/>
    <mergeCell ref="A155:Z155"/>
    <mergeCell ref="P339:V339"/>
    <mergeCell ref="D389:E389"/>
    <mergeCell ref="P176:T176"/>
    <mergeCell ref="P114:T114"/>
    <mergeCell ref="A530:Z530"/>
    <mergeCell ref="P188:T188"/>
    <mergeCell ref="P42:V42"/>
    <mergeCell ref="P471:V471"/>
    <mergeCell ref="A541:O542"/>
    <mergeCell ref="D288:E288"/>
    <mergeCell ref="D459:E459"/>
    <mergeCell ref="P59:T59"/>
    <mergeCell ref="P123:V123"/>
    <mergeCell ref="D136:E136"/>
    <mergeCell ref="D434:E434"/>
    <mergeCell ref="P482:V482"/>
    <mergeCell ref="P111:T111"/>
    <mergeCell ref="P282:T282"/>
    <mergeCell ref="D225:E225"/>
    <mergeCell ref="P409:T409"/>
    <mergeCell ref="A399:O400"/>
    <mergeCell ref="P61:T61"/>
    <mergeCell ref="A51:O52"/>
    <mergeCell ref="D249:E249"/>
    <mergeCell ref="P433:T433"/>
    <mergeCell ref="D105:E105"/>
    <mergeCell ref="D276:E276"/>
    <mergeCell ref="A349:Z349"/>
    <mergeCell ref="P353:V353"/>
    <mergeCell ref="D468:E468"/>
    <mergeCell ref="D49:E49"/>
    <mergeCell ref="P505:T505"/>
    <mergeCell ref="A499:Z499"/>
    <mergeCell ref="P507:T507"/>
    <mergeCell ref="D269:E269"/>
    <mergeCell ref="D440:E440"/>
    <mergeCell ref="AB17:AB18"/>
    <mergeCell ref="A54:Z54"/>
    <mergeCell ref="A212:Z212"/>
    <mergeCell ref="P563:V563"/>
    <mergeCell ref="A388:Z388"/>
    <mergeCell ref="D446:E446"/>
    <mergeCell ref="A519:Z519"/>
    <mergeCell ref="P550:V550"/>
    <mergeCell ref="D367:E367"/>
    <mergeCell ref="H5:M5"/>
    <mergeCell ref="P158:V158"/>
    <mergeCell ref="E566:E567"/>
    <mergeCell ref="P225:T225"/>
    <mergeCell ref="P396:T396"/>
    <mergeCell ref="A341:Z341"/>
    <mergeCell ref="D6:M6"/>
    <mergeCell ref="A75:O76"/>
    <mergeCell ref="A456:Z456"/>
    <mergeCell ref="D304:E304"/>
    <mergeCell ref="D510:E510"/>
    <mergeCell ref="G566:G567"/>
    <mergeCell ref="P175:T175"/>
    <mergeCell ref="P266:V266"/>
    <mergeCell ref="D540:E540"/>
    <mergeCell ref="A292:O293"/>
    <mergeCell ref="P162:T162"/>
    <mergeCell ref="P331:V331"/>
    <mergeCell ref="P227:T227"/>
    <mergeCell ref="D319:E319"/>
    <mergeCell ref="P398:T398"/>
    <mergeCell ref="D441:E441"/>
    <mergeCell ref="D368:E368"/>
    <mergeCell ref="AA17:AA18"/>
    <mergeCell ref="A135:Z135"/>
    <mergeCell ref="AC17:AC18"/>
    <mergeCell ref="A439:Z439"/>
    <mergeCell ref="P485:T485"/>
    <mergeCell ref="A420:Z420"/>
    <mergeCell ref="D89:E89"/>
    <mergeCell ref="P254:T254"/>
    <mergeCell ref="A297:O298"/>
    <mergeCell ref="P343:T343"/>
    <mergeCell ref="A533:O534"/>
    <mergeCell ref="F566:F567"/>
    <mergeCell ref="A460:O461"/>
    <mergeCell ref="V6:W9"/>
    <mergeCell ref="P38:T38"/>
    <mergeCell ref="P554:T554"/>
    <mergeCell ref="P234:V234"/>
    <mergeCell ref="D364:E364"/>
    <mergeCell ref="D435:E435"/>
    <mergeCell ref="P274:T274"/>
    <mergeCell ref="P345:T345"/>
    <mergeCell ref="D484:E484"/>
    <mergeCell ref="P222:T222"/>
    <mergeCell ref="P22:T22"/>
    <mergeCell ref="D65:E65"/>
    <mergeCell ref="P193:T193"/>
    <mergeCell ref="P320:T320"/>
    <mergeCell ref="P40:T40"/>
    <mergeCell ref="A437:O438"/>
    <mergeCell ref="P92:V92"/>
    <mergeCell ref="D415:E415"/>
    <mergeCell ref="P532:T532"/>
    <mergeCell ref="D39:E39"/>
    <mergeCell ref="A160:Z160"/>
    <mergeCell ref="A489:Z489"/>
    <mergeCell ref="P316:V316"/>
    <mergeCell ref="P80:T80"/>
    <mergeCell ref="D506:E506"/>
    <mergeCell ref="P525:T525"/>
    <mergeCell ref="P106:T106"/>
    <mergeCell ref="P177:T177"/>
    <mergeCell ref="P475:T475"/>
    <mergeCell ref="P226:T226"/>
    <mergeCell ref="D85:E85"/>
    <mergeCell ref="D207:E207"/>
    <mergeCell ref="P269:T269"/>
    <mergeCell ref="P335:T335"/>
    <mergeCell ref="P392:V392"/>
    <mergeCell ref="P215:V215"/>
    <mergeCell ref="P386:V386"/>
    <mergeCell ref="D203:E203"/>
    <mergeCell ref="D374:E374"/>
    <mergeCell ref="P165:V165"/>
    <mergeCell ref="P363:T363"/>
    <mergeCell ref="Y566:Y567"/>
    <mergeCell ref="P204:T204"/>
    <mergeCell ref="P179:T179"/>
    <mergeCell ref="P375:T375"/>
    <mergeCell ref="P446:T446"/>
    <mergeCell ref="J9:M9"/>
    <mergeCell ref="D112:E112"/>
    <mergeCell ref="D283:E283"/>
    <mergeCell ref="P440:T440"/>
    <mergeCell ref="D554:E554"/>
    <mergeCell ref="P141:T141"/>
    <mergeCell ref="P454:V454"/>
    <mergeCell ref="D56:E56"/>
    <mergeCell ref="D193:E193"/>
    <mergeCell ref="P206:T206"/>
    <mergeCell ref="P377:T377"/>
    <mergeCell ref="P448:T448"/>
    <mergeCell ref="P37:T37"/>
    <mergeCell ref="D176:E176"/>
    <mergeCell ref="P304:T304"/>
    <mergeCell ref="D114:E114"/>
    <mergeCell ref="D285:E285"/>
    <mergeCell ref="P504:T504"/>
    <mergeCell ref="P560:V560"/>
    <mergeCell ref="D206:E206"/>
    <mergeCell ref="P390:T390"/>
    <mergeCell ref="D504:E504"/>
    <mergeCell ref="D181:E181"/>
    <mergeCell ref="D273:E273"/>
    <mergeCell ref="P156:T156"/>
    <mergeCell ref="P252:V252"/>
    <mergeCell ref="P327:T327"/>
    <mergeCell ref="P540:T540"/>
    <mergeCell ref="P562:V562"/>
    <mergeCell ref="P518:V518"/>
    <mergeCell ref="P248:T248"/>
    <mergeCell ref="P441:T441"/>
    <mergeCell ref="P506:T506"/>
    <mergeCell ref="P306:T306"/>
    <mergeCell ref="P477:T477"/>
    <mergeCell ref="P157:V157"/>
    <mergeCell ref="D555:E555"/>
    <mergeCell ref="P534:V534"/>
    <mergeCell ref="P338:V338"/>
    <mergeCell ref="P313:V313"/>
    <mergeCell ref="P444:V444"/>
    <mergeCell ref="A13:M13"/>
    <mergeCell ref="A325:Z325"/>
    <mergeCell ref="D250:E250"/>
    <mergeCell ref="P437:V437"/>
    <mergeCell ref="D61:E61"/>
    <mergeCell ref="P115:T115"/>
    <mergeCell ref="A196:Z196"/>
    <mergeCell ref="A15:M15"/>
    <mergeCell ref="P238:T238"/>
    <mergeCell ref="D254:E254"/>
    <mergeCell ref="D48:E48"/>
    <mergeCell ref="A354:Z354"/>
    <mergeCell ref="A427:Z427"/>
    <mergeCell ref="D346:E346"/>
    <mergeCell ref="P229:T229"/>
    <mergeCell ref="A359:O360"/>
    <mergeCell ref="A419:Z419"/>
    <mergeCell ref="A153:O154"/>
    <mergeCell ref="T5:U5"/>
    <mergeCell ref="D119:E119"/>
    <mergeCell ref="V5:W5"/>
    <mergeCell ref="P203:T203"/>
    <mergeCell ref="P374:T374"/>
    <mergeCell ref="P496:T496"/>
    <mergeCell ref="D40:E40"/>
    <mergeCell ref="A491:O492"/>
    <mergeCell ref="D111:E111"/>
    <mergeCell ref="D282:E282"/>
    <mergeCell ref="A347:O348"/>
    <mergeCell ref="D409:E409"/>
    <mergeCell ref="D469:E469"/>
    <mergeCell ref="Q8:R8"/>
    <mergeCell ref="D183:E183"/>
    <mergeCell ref="P311:T311"/>
    <mergeCell ref="D248:E248"/>
    <mergeCell ref="D219:E219"/>
    <mergeCell ref="D104:E104"/>
    <mergeCell ref="D275:E275"/>
    <mergeCell ref="T6:U9"/>
    <mergeCell ref="Q10:R10"/>
    <mergeCell ref="D41:E41"/>
    <mergeCell ref="P405:V405"/>
    <mergeCell ref="A401:Z401"/>
    <mergeCell ref="D222:E222"/>
    <mergeCell ref="G17:G18"/>
    <mergeCell ref="A81:O82"/>
    <mergeCell ref="A466:Z466"/>
    <mergeCell ref="P184:V184"/>
    <mergeCell ref="N17:N18"/>
    <mergeCell ref="U17:V17"/>
    <mergeCell ref="P25:V25"/>
    <mergeCell ref="P356:T356"/>
    <mergeCell ref="P256:V256"/>
    <mergeCell ref="A493:Z493"/>
    <mergeCell ref="D485:E485"/>
    <mergeCell ref="A145:Z145"/>
    <mergeCell ref="D137:E137"/>
    <mergeCell ref="A12:M12"/>
    <mergeCell ref="A53:Z53"/>
    <mergeCell ref="A324:Z324"/>
    <mergeCell ref="P293:V293"/>
    <mergeCell ref="D343:E343"/>
    <mergeCell ref="P397:T397"/>
    <mergeCell ref="P74:T74"/>
    <mergeCell ref="A19:Z19"/>
    <mergeCell ref="P372:T372"/>
    <mergeCell ref="D182:E182"/>
    <mergeCell ref="P292:V292"/>
    <mergeCell ref="A14:M14"/>
    <mergeCell ref="D280:E280"/>
    <mergeCell ref="P163:T163"/>
    <mergeCell ref="D480:E480"/>
    <mergeCell ref="P15:T16"/>
    <mergeCell ref="P23:T23"/>
    <mergeCell ref="A44:Z44"/>
    <mergeCell ref="A17:A18"/>
    <mergeCell ref="K17:K18"/>
    <mergeCell ref="C17:C18"/>
    <mergeCell ref="D37:E37"/>
    <mergeCell ref="P66:T66"/>
    <mergeCell ref="D477:E477"/>
    <mergeCell ref="D490:E490"/>
    <mergeCell ref="D74:E74"/>
    <mergeCell ref="P87:T87"/>
    <mergeCell ref="D68:E68"/>
    <mergeCell ref="D335:E335"/>
    <mergeCell ref="D372:E372"/>
    <mergeCell ref="P449:V449"/>
    <mergeCell ref="P516:T516"/>
    <mergeCell ref="D188:E188"/>
    <mergeCell ref="P208:T208"/>
    <mergeCell ref="D396:E396"/>
    <mergeCell ref="P219:T219"/>
    <mergeCell ref="D162:E162"/>
    <mergeCell ref="A69:O70"/>
    <mergeCell ref="D156:E156"/>
    <mergeCell ref="P272:T272"/>
    <mergeCell ref="D327:E327"/>
    <mergeCell ref="D398:E398"/>
    <mergeCell ref="D106:E106"/>
    <mergeCell ref="D416:E416"/>
    <mergeCell ref="P75:V75"/>
    <mergeCell ref="A118:Z118"/>
    <mergeCell ref="D103:E103"/>
    <mergeCell ref="A474:Z474"/>
    <mergeCell ref="P296:T296"/>
    <mergeCell ref="A486:O487"/>
    <mergeCell ref="D476:E476"/>
    <mergeCell ref="P455:V455"/>
    <mergeCell ref="A451:Z451"/>
    <mergeCell ref="A454:O455"/>
    <mergeCell ref="P207:T207"/>
    <mergeCell ref="A445:Z445"/>
    <mergeCell ref="P99:V99"/>
    <mergeCell ref="P317:V317"/>
    <mergeCell ref="A472:Z472"/>
    <mergeCell ref="P128:V128"/>
    <mergeCell ref="D402:E402"/>
    <mergeCell ref="P431:T431"/>
    <mergeCell ref="D230:E230"/>
    <mergeCell ref="P358:T358"/>
    <mergeCell ref="D168:E168"/>
    <mergeCell ref="P380:V380"/>
    <mergeCell ref="P528:V528"/>
    <mergeCell ref="D345:E345"/>
    <mergeCell ref="D467:E467"/>
    <mergeCell ref="P512:V512"/>
    <mergeCell ref="A381:Z381"/>
    <mergeCell ref="P514:T514"/>
    <mergeCell ref="P124:V124"/>
    <mergeCell ref="P360:V360"/>
    <mergeCell ref="D422:E422"/>
    <mergeCell ref="A517:O518"/>
    <mergeCell ref="P170:V170"/>
    <mergeCell ref="P527:V527"/>
    <mergeCell ref="D27:E27"/>
    <mergeCell ref="A338:O339"/>
    <mergeCell ref="A138:O139"/>
    <mergeCell ref="A553:Z553"/>
    <mergeCell ref="AB565:AC565"/>
    <mergeCell ref="Q566:Q567"/>
    <mergeCell ref="D132:E132"/>
    <mergeCell ref="P89:T89"/>
    <mergeCell ref="P260:T260"/>
    <mergeCell ref="D59:E59"/>
    <mergeCell ref="D295:E295"/>
    <mergeCell ref="D178:E178"/>
    <mergeCell ref="P88:T88"/>
    <mergeCell ref="D172:E172"/>
    <mergeCell ref="P461:V461"/>
    <mergeCell ref="D463:E463"/>
    <mergeCell ref="A143:O144"/>
    <mergeCell ref="A552:Z552"/>
    <mergeCell ref="A535:Z535"/>
    <mergeCell ref="A473:Z473"/>
    <mergeCell ref="P191:V191"/>
    <mergeCell ref="P51:V51"/>
    <mergeCell ref="D179:E179"/>
    <mergeCell ref="D337:E337"/>
    <mergeCell ref="P544:T544"/>
    <mergeCell ref="P283:T283"/>
    <mergeCell ref="D264:E264"/>
    <mergeCell ref="A277:O278"/>
    <mergeCell ref="A133:O134"/>
    <mergeCell ref="D220:E220"/>
    <mergeCell ref="D391:E391"/>
    <mergeCell ref="P199:V199"/>
    <mergeCell ref="P119:T119"/>
    <mergeCell ref="P62:V62"/>
    <mergeCell ref="P133:V133"/>
    <mergeCell ref="P127:V127"/>
    <mergeCell ref="P298:V298"/>
    <mergeCell ref="P198:V198"/>
    <mergeCell ref="P369:V369"/>
    <mergeCell ref="P347:V347"/>
    <mergeCell ref="D259:E259"/>
    <mergeCell ref="Z566:Z567"/>
    <mergeCell ref="D330:E330"/>
    <mergeCell ref="AB566:AB567"/>
    <mergeCell ref="R566:R567"/>
    <mergeCell ref="T566:T567"/>
    <mergeCell ref="P305:T305"/>
    <mergeCell ref="D96:E96"/>
    <mergeCell ref="D350:E350"/>
    <mergeCell ref="P370:V370"/>
    <mergeCell ref="A198:O199"/>
    <mergeCell ref="A369:O370"/>
    <mergeCell ref="P122:T122"/>
    <mergeCell ref="P297:V297"/>
    <mergeCell ref="P497:V497"/>
    <mergeCell ref="P285:T285"/>
    <mergeCell ref="D328:E328"/>
    <mergeCell ref="A253:Z253"/>
    <mergeCell ref="D286:E286"/>
    <mergeCell ref="P224:T224"/>
    <mergeCell ref="P303:T303"/>
    <mergeCell ref="P538:V538"/>
    <mergeCell ref="D507:E507"/>
    <mergeCell ref="P486:V486"/>
    <mergeCell ref="A5:C5"/>
    <mergeCell ref="D390:E390"/>
    <mergeCell ref="A110:Z110"/>
    <mergeCell ref="P418:V418"/>
    <mergeCell ref="P412:V412"/>
    <mergeCell ref="P491:V491"/>
    <mergeCell ref="D548:E548"/>
    <mergeCell ref="D9:E9"/>
    <mergeCell ref="F9:G9"/>
    <mergeCell ref="D403:E403"/>
    <mergeCell ref="P422:T422"/>
    <mergeCell ref="A210:O211"/>
    <mergeCell ref="A263:Z263"/>
    <mergeCell ref="P264:T264"/>
    <mergeCell ref="P68:T68"/>
    <mergeCell ref="P239:T239"/>
    <mergeCell ref="D38:E38"/>
    <mergeCell ref="A312:O313"/>
    <mergeCell ref="P524:T524"/>
    <mergeCell ref="P82:V82"/>
    <mergeCell ref="D532:E532"/>
    <mergeCell ref="P132:T132"/>
    <mergeCell ref="A527:O528"/>
    <mergeCell ref="D122:E122"/>
    <mergeCell ref="P109:V109"/>
    <mergeCell ref="A268:Z268"/>
    <mergeCell ref="P541:V541"/>
    <mergeCell ref="D214:E214"/>
    <mergeCell ref="D284:E284"/>
    <mergeCell ref="P246:V246"/>
    <mergeCell ref="D520:E520"/>
    <mergeCell ref="P120:T120"/>
    <mergeCell ref="AA566:AA567"/>
    <mergeCell ref="P350:T350"/>
    <mergeCell ref="P139:V139"/>
    <mergeCell ref="I17:I18"/>
    <mergeCell ref="D141:E141"/>
    <mergeCell ref="D306:E306"/>
    <mergeCell ref="P189:T189"/>
    <mergeCell ref="D377:E377"/>
    <mergeCell ref="P424:V424"/>
    <mergeCell ref="A417:O418"/>
    <mergeCell ref="P287:T287"/>
    <mergeCell ref="A547:Z547"/>
    <mergeCell ref="P281:T281"/>
    <mergeCell ref="P548:T548"/>
    <mergeCell ref="P523:T523"/>
    <mergeCell ref="H566:H567"/>
    <mergeCell ref="P470:V470"/>
    <mergeCell ref="J566:J567"/>
    <mergeCell ref="D72:E72"/>
    <mergeCell ref="L566:L567"/>
    <mergeCell ref="P267:V267"/>
    <mergeCell ref="A556:O557"/>
    <mergeCell ref="P278:V278"/>
    <mergeCell ref="A159:Z159"/>
    <mergeCell ref="P78:T78"/>
    <mergeCell ref="P205:T205"/>
    <mergeCell ref="D260:E260"/>
    <mergeCell ref="P376:T376"/>
    <mergeCell ref="D453:E453"/>
    <mergeCell ref="A322:O323"/>
    <mergeCell ref="D113:E113"/>
    <mergeCell ref="P465:V465"/>
    <mergeCell ref="W565:X565"/>
    <mergeCell ref="A77:Z77"/>
    <mergeCell ref="P323:V323"/>
    <mergeCell ref="D523:E523"/>
    <mergeCell ref="P250:T250"/>
    <mergeCell ref="P50:T50"/>
    <mergeCell ref="D31:E31"/>
    <mergeCell ref="A166:Z166"/>
    <mergeCell ref="P286:T286"/>
    <mergeCell ref="D329:E329"/>
    <mergeCell ref="P479:T479"/>
    <mergeCell ref="D229:E229"/>
    <mergeCell ref="P131:T131"/>
    <mergeCell ref="P187:T187"/>
    <mergeCell ref="D375:E375"/>
    <mergeCell ref="P429:T429"/>
    <mergeCell ref="P423:T423"/>
    <mergeCell ref="P223:T223"/>
    <mergeCell ref="P494:T494"/>
    <mergeCell ref="P180:T180"/>
    <mergeCell ref="P416:T416"/>
    <mergeCell ref="D88:E88"/>
    <mergeCell ref="P142:T142"/>
    <mergeCell ref="D148:E148"/>
    <mergeCell ref="P137:T137"/>
    <mergeCell ref="D180:E180"/>
    <mergeCell ref="P197:T197"/>
    <mergeCell ref="P495:T495"/>
    <mergeCell ref="D167:E167"/>
    <mergeCell ref="P351:T351"/>
    <mergeCell ref="D161:E161"/>
    <mergeCell ref="P289:T289"/>
    <mergeCell ref="A26:Z26"/>
    <mergeCell ref="P103:T103"/>
    <mergeCell ref="A233:O234"/>
    <mergeCell ref="P97:T97"/>
    <mergeCell ref="P230:T230"/>
    <mergeCell ref="P168:T168"/>
    <mergeCell ref="D382:E382"/>
    <mergeCell ref="D1:F1"/>
    <mergeCell ref="P190:V190"/>
    <mergeCell ref="A71:Z71"/>
    <mergeCell ref="P47:T47"/>
    <mergeCell ref="A164:O165"/>
    <mergeCell ref="J17:J18"/>
    <mergeCell ref="A91:O92"/>
    <mergeCell ref="L17:L18"/>
    <mergeCell ref="P359:V359"/>
    <mergeCell ref="D240:E240"/>
    <mergeCell ref="A100:Z100"/>
    <mergeCell ref="A371:Z371"/>
    <mergeCell ref="A171:Z171"/>
    <mergeCell ref="Q9:R9"/>
    <mergeCell ref="Q11:R11"/>
    <mergeCell ref="A6:C6"/>
    <mergeCell ref="P167:T167"/>
    <mergeCell ref="P378:T378"/>
    <mergeCell ref="P55:T55"/>
    <mergeCell ref="H1:Q1"/>
    <mergeCell ref="A116:O117"/>
    <mergeCell ref="P277:V277"/>
    <mergeCell ref="P284:T284"/>
    <mergeCell ref="P348:V348"/>
    <mergeCell ref="P17:T18"/>
    <mergeCell ref="S566:S567"/>
    <mergeCell ref="D67:E67"/>
    <mergeCell ref="A464:O465"/>
    <mergeCell ref="D5:E5"/>
    <mergeCell ref="A140:Z140"/>
    <mergeCell ref="D303:E303"/>
    <mergeCell ref="P382:T382"/>
    <mergeCell ref="P453:T453"/>
    <mergeCell ref="D496:E496"/>
    <mergeCell ref="A32:O33"/>
    <mergeCell ref="D290:E290"/>
    <mergeCell ref="D94:E94"/>
    <mergeCell ref="P98:V98"/>
    <mergeCell ref="P259:T259"/>
    <mergeCell ref="P148:T148"/>
    <mergeCell ref="P240:T240"/>
    <mergeCell ref="P460:V460"/>
    <mergeCell ref="A279:Z279"/>
    <mergeCell ref="P33:V33"/>
    <mergeCell ref="A300:Z300"/>
    <mergeCell ref="D356:E356"/>
    <mergeCell ref="P164:V164"/>
    <mergeCell ref="A45:Z45"/>
    <mergeCell ref="P399:V399"/>
    <mergeCell ref="P273:T273"/>
    <mergeCell ref="D272:E272"/>
    <mergeCell ref="A123:O124"/>
    <mergeCell ref="D514:E514"/>
    <mergeCell ref="A169:O170"/>
    <mergeCell ref="P39:T39"/>
    <mergeCell ref="A46:Z46"/>
    <mergeCell ref="D87:E87"/>
    <mergeCell ref="D28:E28"/>
    <mergeCell ref="D495:E495"/>
    <mergeCell ref="A101:Z101"/>
    <mergeCell ref="D326:E326"/>
    <mergeCell ref="P476:T476"/>
    <mergeCell ref="A108:O109"/>
    <mergeCell ref="D236:E236"/>
    <mergeCell ref="D432:E432"/>
    <mergeCell ref="D55:E55"/>
    <mergeCell ref="D30:E30"/>
    <mergeCell ref="P242:T242"/>
    <mergeCell ref="A361:Z361"/>
    <mergeCell ref="D524:E524"/>
    <mergeCell ref="A537:O538"/>
    <mergeCell ref="D209:E209"/>
    <mergeCell ref="D147:E147"/>
    <mergeCell ref="P337:T337"/>
    <mergeCell ref="P508:T508"/>
    <mergeCell ref="D274:E274"/>
    <mergeCell ref="P402:T402"/>
    <mergeCell ref="D301:E301"/>
    <mergeCell ref="P271:T271"/>
    <mergeCell ref="P94:T94"/>
    <mergeCell ref="P265:T265"/>
    <mergeCell ref="D208:E208"/>
    <mergeCell ref="P261:V261"/>
    <mergeCell ref="P332:V332"/>
    <mergeCell ref="P389:T389"/>
    <mergeCell ref="P56:T56"/>
    <mergeCell ref="D224:E224"/>
    <mergeCell ref="A407:Z407"/>
    <mergeCell ref="P403:T403"/>
    <mergeCell ref="D8:M8"/>
    <mergeCell ref="P458:T458"/>
    <mergeCell ref="D366:E366"/>
    <mergeCell ref="P108:V108"/>
    <mergeCell ref="P237:T237"/>
    <mergeCell ref="P31:T31"/>
    <mergeCell ref="A462:Z462"/>
    <mergeCell ref="P329:T329"/>
    <mergeCell ref="P522:T522"/>
    <mergeCell ref="P251:V251"/>
    <mergeCell ref="P487:V487"/>
    <mergeCell ref="A511:O512"/>
    <mergeCell ref="A98:O99"/>
    <mergeCell ref="P95:T95"/>
    <mergeCell ref="A355:Z355"/>
    <mergeCell ref="P502:T502"/>
    <mergeCell ref="D516:E516"/>
    <mergeCell ref="D115:E115"/>
    <mergeCell ref="D311:E311"/>
    <mergeCell ref="P182:T182"/>
    <mergeCell ref="P417:V417"/>
    <mergeCell ref="P480:T480"/>
    <mergeCell ref="Q12:R12"/>
    <mergeCell ref="P280:T280"/>
    <mergeCell ref="D90:E90"/>
    <mergeCell ref="A470:O471"/>
    <mergeCell ref="P467:T467"/>
    <mergeCell ref="P442:T442"/>
    <mergeCell ref="P517:V517"/>
    <mergeCell ref="P209:T209"/>
    <mergeCell ref="P147:T147"/>
    <mergeCell ref="W17:W18"/>
    <mergeCell ref="P559:V559"/>
    <mergeCell ref="A213:Z213"/>
    <mergeCell ref="A331:O332"/>
    <mergeCell ref="P546:V546"/>
    <mergeCell ref="P154:V154"/>
    <mergeCell ref="D142:E142"/>
    <mergeCell ref="P561:V561"/>
    <mergeCell ref="B566:B567"/>
    <mergeCell ref="D378:E378"/>
    <mergeCell ref="D7:M7"/>
    <mergeCell ref="A513:Z513"/>
    <mergeCell ref="P91:V91"/>
    <mergeCell ref="D365:E365"/>
    <mergeCell ref="A405:O406"/>
    <mergeCell ref="P236:T236"/>
    <mergeCell ref="D79:E79"/>
    <mergeCell ref="D536:E536"/>
    <mergeCell ref="D315:E315"/>
    <mergeCell ref="A184:O185"/>
    <mergeCell ref="D442:E442"/>
    <mergeCell ref="P521:T521"/>
    <mergeCell ref="D502:E502"/>
    <mergeCell ref="D302:E302"/>
    <mergeCell ref="P173:T173"/>
    <mergeCell ref="D429:E429"/>
    <mergeCell ref="P29:T29"/>
    <mergeCell ref="H9:I9"/>
    <mergeCell ref="P24:V24"/>
    <mergeCell ref="D281:E281"/>
    <mergeCell ref="P322:V322"/>
    <mergeCell ref="P211:V211"/>
    <mergeCell ref="A36:Z36"/>
    <mergeCell ref="R1:T1"/>
    <mergeCell ref="P172:T172"/>
    <mergeCell ref="P28:T28"/>
    <mergeCell ref="P150:T150"/>
    <mergeCell ref="P221:T221"/>
    <mergeCell ref="P326:T326"/>
    <mergeCell ref="D307:E307"/>
    <mergeCell ref="A316:O317"/>
    <mergeCell ref="A443:O444"/>
    <mergeCell ref="P549:T549"/>
    <mergeCell ref="P432:T432"/>
    <mergeCell ref="P400:V400"/>
    <mergeCell ref="P30:T30"/>
    <mergeCell ref="D73:E73"/>
    <mergeCell ref="P152:T152"/>
    <mergeCell ref="A200:Z200"/>
    <mergeCell ref="P464:V464"/>
    <mergeCell ref="P290:T290"/>
    <mergeCell ref="P452:T452"/>
    <mergeCell ref="A202:Z202"/>
    <mergeCell ref="P233:V233"/>
    <mergeCell ref="A258:Z258"/>
    <mergeCell ref="A500:Z500"/>
    <mergeCell ref="P104:T104"/>
    <mergeCell ref="P275:T275"/>
    <mergeCell ref="B17:B18"/>
    <mergeCell ref="A392:O393"/>
    <mergeCell ref="D479:E479"/>
    <mergeCell ref="P143:V143"/>
    <mergeCell ref="D131:E131"/>
    <mergeCell ref="P533:V533"/>
    <mergeCell ref="D494:E494"/>
    <mergeCell ref="P558:V558"/>
    <mergeCell ref="P309:V309"/>
    <mergeCell ref="A334:Z334"/>
    <mergeCell ref="P545:V545"/>
    <mergeCell ref="P153:V153"/>
    <mergeCell ref="P220:T220"/>
    <mergeCell ref="P391:T391"/>
    <mergeCell ref="D505:E505"/>
    <mergeCell ref="P511:V511"/>
    <mergeCell ref="D238:E238"/>
    <mergeCell ref="P86:T86"/>
    <mergeCell ref="D78:E78"/>
    <mergeCell ref="P328:T328"/>
    <mergeCell ref="P384:T384"/>
    <mergeCell ref="D205:E205"/>
    <mergeCell ref="D376:E376"/>
    <mergeCell ref="A379:O380"/>
    <mergeCell ref="P249:T249"/>
    <mergeCell ref="P520:T520"/>
    <mergeCell ref="D363:E363"/>
    <mergeCell ref="P542:V542"/>
    <mergeCell ref="D357:E357"/>
    <mergeCell ref="P404:T404"/>
    <mergeCell ref="D351:E351"/>
    <mergeCell ref="P551:V551"/>
    <mergeCell ref="A501:Z501"/>
    <mergeCell ref="P557:V557"/>
    <mergeCell ref="A545:O546"/>
    <mergeCell ref="P113:T113"/>
    <mergeCell ref="D232:E232"/>
    <mergeCell ref="D448:E448"/>
    <mergeCell ref="A261:O262"/>
    <mergeCell ref="V10:W10"/>
    <mergeCell ref="P79:T79"/>
    <mergeCell ref="D60:E60"/>
    <mergeCell ref="P73:T73"/>
    <mergeCell ref="P244:T244"/>
    <mergeCell ref="D187:E187"/>
    <mergeCell ref="P315:T315"/>
    <mergeCell ref="A190:O191"/>
    <mergeCell ref="P231:T231"/>
    <mergeCell ref="D423:E423"/>
    <mergeCell ref="D174:E174"/>
    <mergeCell ref="P302:T302"/>
    <mergeCell ref="A566:A567"/>
    <mergeCell ref="I566:I567"/>
    <mergeCell ref="A34:Z34"/>
    <mergeCell ref="A83:Z83"/>
    <mergeCell ref="D410:E410"/>
    <mergeCell ref="K566:K567"/>
    <mergeCell ref="P245:V245"/>
    <mergeCell ref="C566:C567"/>
    <mergeCell ref="D189:E189"/>
    <mergeCell ref="D431:E431"/>
    <mergeCell ref="D287:E287"/>
    <mergeCell ref="P366:T366"/>
    <mergeCell ref="P468:T468"/>
    <mergeCell ref="P393:V393"/>
    <mergeCell ref="D66:E66"/>
    <mergeCell ref="D126:E126"/>
    <mergeCell ref="D197:E197"/>
    <mergeCell ref="D47:E47"/>
    <mergeCell ref="A84:Z84"/>
    <mergeCell ref="D289:E28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2026-09-17T12:18:05Z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