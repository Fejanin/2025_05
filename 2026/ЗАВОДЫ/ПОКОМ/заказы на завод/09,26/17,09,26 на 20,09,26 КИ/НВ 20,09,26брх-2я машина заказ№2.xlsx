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7D5C676-7051-4836-AD76-2C3B4EFD7DC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M509" i="1"/>
  <c r="Z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N505" i="1" s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M495" i="1"/>
  <c r="Z495" i="1"/>
  <c r="Y495" i="1"/>
  <c r="BN495" i="1" s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M476" i="1"/>
  <c r="Z476" i="1"/>
  <c r="Y476" i="1"/>
  <c r="BN476" i="1" s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X454" i="1"/>
  <c r="BO453" i="1"/>
  <c r="BM453" i="1"/>
  <c r="Y453" i="1"/>
  <c r="BN453" i="1" s="1"/>
  <c r="P453" i="1"/>
  <c r="BO452" i="1"/>
  <c r="BM452" i="1"/>
  <c r="Y452" i="1"/>
  <c r="Y454" i="1" s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N441" i="1"/>
  <c r="BM441" i="1"/>
  <c r="Y441" i="1"/>
  <c r="BP441" i="1" s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N429" i="1"/>
  <c r="BM429" i="1"/>
  <c r="Y429" i="1"/>
  <c r="BP429" i="1" s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BN421" i="1" s="1"/>
  <c r="P421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M403" i="1"/>
  <c r="Z403" i="1"/>
  <c r="Y403" i="1"/>
  <c r="BN403" i="1" s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X393" i="1"/>
  <c r="X392" i="1"/>
  <c r="BO391" i="1"/>
  <c r="BN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X387" i="1"/>
  <c r="X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M377" i="1"/>
  <c r="Z377" i="1"/>
  <c r="Y377" i="1"/>
  <c r="BN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M365" i="1"/>
  <c r="Z365" i="1"/>
  <c r="Y365" i="1"/>
  <c r="BN365" i="1" s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M345" i="1"/>
  <c r="Z345" i="1"/>
  <c r="Y345" i="1"/>
  <c r="BN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N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N295" i="1"/>
  <c r="BM295" i="1"/>
  <c r="Y295" i="1"/>
  <c r="BP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N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BP280" i="1" s="1"/>
  <c r="P280" i="1"/>
  <c r="X278" i="1"/>
  <c r="X277" i="1"/>
  <c r="BP276" i="1"/>
  <c r="BO276" i="1"/>
  <c r="BM276" i="1"/>
  <c r="Z276" i="1"/>
  <c r="Y276" i="1"/>
  <c r="BN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N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M264" i="1"/>
  <c r="Z264" i="1"/>
  <c r="Y264" i="1"/>
  <c r="BN264" i="1" s="1"/>
  <c r="P264" i="1"/>
  <c r="X262" i="1"/>
  <c r="Y261" i="1"/>
  <c r="X261" i="1"/>
  <c r="BO260" i="1"/>
  <c r="BN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N243" i="1" s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N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N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M219" i="1"/>
  <c r="Z219" i="1"/>
  <c r="Y219" i="1"/>
  <c r="BN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N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M188" i="1"/>
  <c r="Z188" i="1"/>
  <c r="Y188" i="1"/>
  <c r="BN188" i="1" s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M175" i="1"/>
  <c r="Z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O161" i="1"/>
  <c r="BN161" i="1"/>
  <c r="BM161" i="1"/>
  <c r="Y161" i="1"/>
  <c r="BP161" i="1" s="1"/>
  <c r="P161" i="1"/>
  <c r="X158" i="1"/>
  <c r="X157" i="1"/>
  <c r="BP156" i="1"/>
  <c r="BO156" i="1"/>
  <c r="BM156" i="1"/>
  <c r="Z156" i="1"/>
  <c r="Z157" i="1" s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BP142" i="1" s="1"/>
  <c r="P142" i="1"/>
  <c r="BO141" i="1"/>
  <c r="BN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M120" i="1"/>
  <c r="Z120" i="1"/>
  <c r="Y120" i="1"/>
  <c r="BN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N112" i="1"/>
  <c r="BM112" i="1"/>
  <c r="Z112" i="1"/>
  <c r="Y112" i="1"/>
  <c r="BP112" i="1" s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N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O97" i="1"/>
  <c r="BM97" i="1"/>
  <c r="Y97" i="1"/>
  <c r="BN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M89" i="1"/>
  <c r="Z89" i="1"/>
  <c r="Y89" i="1"/>
  <c r="BN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N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M78" i="1"/>
  <c r="Z78" i="1"/>
  <c r="Y78" i="1"/>
  <c r="BN78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N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N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N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M49" i="1"/>
  <c r="Z49" i="1"/>
  <c r="Y49" i="1"/>
  <c r="BN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M37" i="1"/>
  <c r="Z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N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558" i="1" s="1"/>
  <c r="X24" i="1"/>
  <c r="BO23" i="1"/>
  <c r="BN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58" i="1" l="1"/>
  <c r="BP58" i="1"/>
  <c r="Z85" i="1"/>
  <c r="BP85" i="1"/>
  <c r="Z97" i="1"/>
  <c r="BP97" i="1"/>
  <c r="Z126" i="1"/>
  <c r="Z127" i="1" s="1"/>
  <c r="BP126" i="1"/>
  <c r="Z206" i="1"/>
  <c r="BP206" i="1"/>
  <c r="Z231" i="1"/>
  <c r="BP231" i="1"/>
  <c r="Z243" i="1"/>
  <c r="BP243" i="1"/>
  <c r="Z272" i="1"/>
  <c r="BP272" i="1"/>
  <c r="Z282" i="1"/>
  <c r="BP282" i="1"/>
  <c r="Z289" i="1"/>
  <c r="BP289" i="1"/>
  <c r="Z373" i="1"/>
  <c r="BP373" i="1"/>
  <c r="Z385" i="1"/>
  <c r="BP385" i="1"/>
  <c r="Z421" i="1"/>
  <c r="BP421" i="1"/>
  <c r="Z433" i="1"/>
  <c r="BP433" i="1"/>
  <c r="Z453" i="1"/>
  <c r="BP453" i="1"/>
  <c r="Z505" i="1"/>
  <c r="BP505" i="1"/>
  <c r="X559" i="1"/>
  <c r="Z23" i="1"/>
  <c r="Y33" i="1"/>
  <c r="Z66" i="1"/>
  <c r="Z104" i="1"/>
  <c r="Z141" i="1"/>
  <c r="I568" i="1"/>
  <c r="BN156" i="1"/>
  <c r="Y157" i="1"/>
  <c r="Z161" i="1"/>
  <c r="Z227" i="1"/>
  <c r="Z239" i="1"/>
  <c r="Z260" i="1"/>
  <c r="Z295" i="1"/>
  <c r="Z327" i="1"/>
  <c r="Z391" i="1"/>
  <c r="Z429" i="1"/>
  <c r="Z441" i="1"/>
  <c r="Z525" i="1"/>
  <c r="AB568" i="1"/>
  <c r="Z29" i="1"/>
  <c r="Z72" i="1"/>
  <c r="BN126" i="1"/>
  <c r="Y127" i="1"/>
  <c r="Y184" i="1"/>
  <c r="BP320" i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5" i="1"/>
  <c r="BN95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204" i="1"/>
  <c r="BN204" i="1"/>
  <c r="Z208" i="1"/>
  <c r="BN208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Z270" i="1"/>
  <c r="BN270" i="1"/>
  <c r="Z274" i="1"/>
  <c r="BN274" i="1"/>
  <c r="Z280" i="1"/>
  <c r="BN280" i="1"/>
  <c r="Z284" i="1"/>
  <c r="BN284" i="1"/>
  <c r="Z287" i="1"/>
  <c r="BN287" i="1"/>
  <c r="Z291" i="1"/>
  <c r="BN291" i="1"/>
  <c r="Y297" i="1"/>
  <c r="Z302" i="1"/>
  <c r="BN302" i="1"/>
  <c r="BP304" i="1"/>
  <c r="BN304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H9" i="1"/>
  <c r="A10" i="1"/>
  <c r="Y42" i="1"/>
  <c r="Y52" i="1"/>
  <c r="Y81" i="1"/>
  <c r="Y109" i="1"/>
  <c r="Y24" i="1"/>
  <c r="Y32" i="1"/>
  <c r="Y63" i="1"/>
  <c r="Y69" i="1"/>
  <c r="Y75" i="1"/>
  <c r="Y92" i="1"/>
  <c r="Y98" i="1"/>
  <c r="Y117" i="1"/>
  <c r="Y123" i="1"/>
  <c r="Y134" i="1"/>
  <c r="Y138" i="1"/>
  <c r="Y144" i="1"/>
  <c r="Y153" i="1"/>
  <c r="Y164" i="1"/>
  <c r="Y170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BP285" i="1"/>
  <c r="BN285" i="1"/>
  <c r="Z285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96" i="1"/>
  <c r="BN396" i="1"/>
  <c r="Z396" i="1"/>
  <c r="Z399" i="1" s="1"/>
  <c r="Y400" i="1"/>
  <c r="BP404" i="1"/>
  <c r="BN404" i="1"/>
  <c r="Z404" i="1"/>
  <c r="Y406" i="1"/>
  <c r="Y411" i="1"/>
  <c r="BP408" i="1"/>
  <c r="BN408" i="1"/>
  <c r="Z408" i="1"/>
  <c r="Y412" i="1"/>
  <c r="Z424" i="1"/>
  <c r="BP422" i="1"/>
  <c r="BN422" i="1"/>
  <c r="Z422" i="1"/>
  <c r="Y424" i="1"/>
  <c r="P568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Z75" i="1" s="1"/>
  <c r="BN73" i="1"/>
  <c r="Z79" i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BP183" i="1"/>
  <c r="BN183" i="1"/>
  <c r="Z183" i="1"/>
  <c r="Y185" i="1"/>
  <c r="Y190" i="1"/>
  <c r="BP187" i="1"/>
  <c r="BN187" i="1"/>
  <c r="Z187" i="1"/>
  <c r="Z190" i="1" s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BP283" i="1"/>
  <c r="BN283" i="1"/>
  <c r="Z283" i="1"/>
  <c r="BP290" i="1"/>
  <c r="BN290" i="1"/>
  <c r="Z290" i="1"/>
  <c r="BP364" i="1"/>
  <c r="BN364" i="1"/>
  <c r="Z364" i="1"/>
  <c r="BP368" i="1"/>
  <c r="BN368" i="1"/>
  <c r="Z368" i="1"/>
  <c r="Y370" i="1"/>
  <c r="Y379" i="1"/>
  <c r="BP372" i="1"/>
  <c r="BN372" i="1"/>
  <c r="Z372" i="1"/>
  <c r="Y380" i="1"/>
  <c r="BP376" i="1"/>
  <c r="BN376" i="1"/>
  <c r="Z376" i="1"/>
  <c r="BP384" i="1"/>
  <c r="BN384" i="1"/>
  <c r="Z384" i="1"/>
  <c r="BP432" i="1"/>
  <c r="BN432" i="1"/>
  <c r="Z432" i="1"/>
  <c r="Y293" i="1"/>
  <c r="BP286" i="1"/>
  <c r="BN286" i="1"/>
  <c r="BP288" i="1"/>
  <c r="BN288" i="1"/>
  <c r="Z288" i="1"/>
  <c r="Y292" i="1"/>
  <c r="BP296" i="1"/>
  <c r="BN296" i="1"/>
  <c r="Z296" i="1"/>
  <c r="Z297" i="1" s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BP357" i="1"/>
  <c r="BN357" i="1"/>
  <c r="Z357" i="1"/>
  <c r="Z359" i="1" s="1"/>
  <c r="T568" i="1"/>
  <c r="BP366" i="1"/>
  <c r="BN366" i="1"/>
  <c r="Z366" i="1"/>
  <c r="Z369" i="1" s="1"/>
  <c r="BP374" i="1"/>
  <c r="BN374" i="1"/>
  <c r="Z374" i="1"/>
  <c r="BP378" i="1"/>
  <c r="BN378" i="1"/>
  <c r="Z378" i="1"/>
  <c r="Y387" i="1"/>
  <c r="BP382" i="1"/>
  <c r="BN382" i="1"/>
  <c r="Z382" i="1"/>
  <c r="Y386" i="1"/>
  <c r="Z392" i="1"/>
  <c r="BP390" i="1"/>
  <c r="BN390" i="1"/>
  <c r="Z390" i="1"/>
  <c r="Y399" i="1"/>
  <c r="BP398" i="1"/>
  <c r="BN398" i="1"/>
  <c r="Z398" i="1"/>
  <c r="Y405" i="1"/>
  <c r="BP402" i="1"/>
  <c r="BN402" i="1"/>
  <c r="Z402" i="1"/>
  <c r="Z405" i="1" s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Z517" i="1" s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7" i="1"/>
  <c r="Z91" i="1" l="1"/>
  <c r="Z386" i="1"/>
  <c r="Z556" i="1"/>
  <c r="Z481" i="1"/>
  <c r="Z443" i="1"/>
  <c r="Z486" i="1"/>
  <c r="Z470" i="1"/>
  <c r="Z449" i="1"/>
  <c r="Z437" i="1"/>
  <c r="Z331" i="1"/>
  <c r="Z308" i="1"/>
  <c r="Z292" i="1"/>
  <c r="Z184" i="1"/>
  <c r="Z153" i="1"/>
  <c r="Z123" i="1"/>
  <c r="Z108" i="1"/>
  <c r="Z98" i="1"/>
  <c r="Z81" i="1"/>
  <c r="Z51" i="1"/>
  <c r="Z42" i="1"/>
  <c r="Z511" i="1"/>
  <c r="Z527" i="1"/>
  <c r="Y558" i="1"/>
  <c r="Y559" i="1"/>
  <c r="Z411" i="1"/>
  <c r="Z347" i="1"/>
  <c r="Z245" i="1"/>
  <c r="Z210" i="1"/>
  <c r="Z497" i="1"/>
  <c r="Z338" i="1"/>
  <c r="Z379" i="1"/>
  <c r="Z233" i="1"/>
  <c r="Z116" i="1"/>
  <c r="Z69" i="1"/>
  <c r="Z62" i="1"/>
  <c r="Y560" i="1"/>
  <c r="Z322" i="1"/>
  <c r="Z277" i="1"/>
  <c r="Z251" i="1"/>
  <c r="Y562" i="1"/>
  <c r="Z563" i="1" l="1"/>
  <c r="Y561" i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<sst xmlns="http://schemas.openxmlformats.org/spreadsheetml/2006/main" count="2542" uniqueCount="915">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</sst>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46285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875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1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0.41666666666666669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150</v>
      </c>
      <c r="Y47" s="642">
        <f>IFERROR(IF(X47="",0,CEILING((X47/$H47),1)*$H47),"")</f>
        <v>151.20000000000002</v>
      </c>
      <c r="Z47" s="36">
        <f>IFERROR(IF(Y47=0,"",ROUNDUP(Y47/H47,0)*0.01898),"")</f>
        <v>0.26572000000000001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155.69444444444446</v>
      </c>
      <c r="BN47" s="64">
        <f>IFERROR(Y47*I47/H47,"0")</f>
        <v>156.94</v>
      </c>
      <c r="BO47" s="64">
        <f>IFERROR(1/J47*(X47/H47),"0")</f>
        <v>0.21701388888888887</v>
      </c>
      <c r="BP47" s="64">
        <f>IFERROR(1/J47*(Y47/H47),"0")</f>
        <v>0.21875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8</v>
      </c>
      <c r="Y50" s="642">
        <f>IFERROR(IF(X50="",0,CEILING((X50/$H50),1)*$H50),"")</f>
        <v>11.100000000000001</v>
      </c>
      <c r="Z50" s="36">
        <f>IFERROR(IF(Y50=0,"",ROUNDUP(Y50/H50,0)*0.00902),"")</f>
        <v>2.7060000000000001E-2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8.4108108108108102</v>
      </c>
      <c r="BN50" s="64">
        <f>IFERROR(Y50*I50/H50,"0")</f>
        <v>11.670000000000002</v>
      </c>
      <c r="BO50" s="64">
        <f>IFERROR(1/J50*(X50/H50),"0")</f>
        <v>1.6380016380016377E-2</v>
      </c>
      <c r="BP50" s="64">
        <f>IFERROR(1/J50*(Y50/H50),"0")</f>
        <v>2.2727272727272731E-2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16.051051051051051</v>
      </c>
      <c r="Y51" s="643">
        <f>IFERROR(Y47/H47,"0")+IFERROR(Y48/H48,"0")+IFERROR(Y49/H49,"0")+IFERROR(Y50/H50,"0")</f>
        <v>17</v>
      </c>
      <c r="Z51" s="643">
        <f>IFERROR(IF(Z47="",0,Z47),"0")+IFERROR(IF(Z48="",0,Z48),"0")+IFERROR(IF(Z49="",0,Z49),"0")+IFERROR(IF(Z50="",0,Z50),"0")</f>
        <v>0.29278000000000004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158</v>
      </c>
      <c r="Y52" s="643">
        <f>IFERROR(SUM(Y47:Y50),"0")</f>
        <v>162.30000000000001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0</v>
      </c>
      <c r="Y55" s="642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150</v>
      </c>
      <c r="Y56" s="642">
        <f t="shared" si="0"/>
        <v>151.20000000000002</v>
      </c>
      <c r="Z56" s="36">
        <f>IFERROR(IF(Y56=0,"",ROUNDUP(Y56/H56,0)*0.01898),"")</f>
        <v>0.26572000000000001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155.69444444444446</v>
      </c>
      <c r="BN56" s="64">
        <f t="shared" si="2"/>
        <v>156.94</v>
      </c>
      <c r="BO56" s="64">
        <f t="shared" si="3"/>
        <v>0.21701388888888887</v>
      </c>
      <c r="BP56" s="64">
        <f t="shared" si="4"/>
        <v>0.21875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7</v>
      </c>
      <c r="Y58" s="642">
        <f t="shared" si="0"/>
        <v>8</v>
      </c>
      <c r="Z58" s="36">
        <f>IFERROR(IF(Y58=0,"",ROUNDUP(Y58/H58,0)*0.00902),"")</f>
        <v>1.804E-2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7.3325000000000005</v>
      </c>
      <c r="BN58" s="64">
        <f t="shared" si="2"/>
        <v>8.3800000000000008</v>
      </c>
      <c r="BO58" s="64">
        <f t="shared" si="3"/>
        <v>1.3257575757575758E-2</v>
      </c>
      <c r="BP58" s="64">
        <f t="shared" si="4"/>
        <v>1.5151515151515152E-2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45</v>
      </c>
      <c r="Y61" s="642">
        <f t="shared" si="0"/>
        <v>45</v>
      </c>
      <c r="Z61" s="36">
        <f>IFERROR(IF(Y61=0,"",ROUNDUP(Y61/H61,0)*0.00902),"")</f>
        <v>9.0200000000000002E-2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46.900000000000006</v>
      </c>
      <c r="BN61" s="64">
        <f t="shared" si="2"/>
        <v>46.900000000000006</v>
      </c>
      <c r="BO61" s="64">
        <f t="shared" si="3"/>
        <v>7.575757575757576E-2</v>
      </c>
      <c r="BP61" s="64">
        <f t="shared" si="4"/>
        <v>7.575757575757576E-2</v>
      </c>
    </row>
    <row r="62" spans="1:68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25.638888888888886</v>
      </c>
      <c r="Y62" s="643">
        <f>IFERROR(Y55/H55,"0")+IFERROR(Y56/H56,"0")+IFERROR(Y57/H57,"0")+IFERROR(Y58/H58,"0")+IFERROR(Y59/H59,"0")+IFERROR(Y60/H60,"0")+IFERROR(Y61/H61,"0")</f>
        <v>26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0.37396000000000001</v>
      </c>
      <c r="AA62" s="644"/>
      <c r="AB62" s="644"/>
      <c r="AC62" s="64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202</v>
      </c>
      <c r="Y63" s="643">
        <f>IFERROR(SUM(Y55:Y61),"0")</f>
        <v>204.20000000000002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hidden="1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0</v>
      </c>
      <c r="Y65" s="642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0</v>
      </c>
      <c r="Y69" s="643">
        <f>IFERROR(Y65/H65,"0")+IFERROR(Y66/H66,"0")+IFERROR(Y67/H67,"0")+IFERROR(Y68/H68,"0")</f>
        <v>0</v>
      </c>
      <c r="Z69" s="643">
        <f>IFERROR(IF(Z65="",0,Z65),"0")+IFERROR(IF(Z66="",0,Z66),"0")+IFERROR(IF(Z67="",0,Z67),"0")+IFERROR(IF(Z68="",0,Z68),"0")</f>
        <v>0</v>
      </c>
      <c r="AA69" s="644"/>
      <c r="AB69" s="644"/>
      <c r="AC69" s="644"/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0</v>
      </c>
      <c r="Y70" s="643">
        <f>IFERROR(SUM(Y65:Y68),"0")</f>
        <v>0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0</v>
      </c>
      <c r="Y78" s="64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0</v>
      </c>
      <c r="Y81" s="643">
        <f>IFERROR(Y78/H78,"0")+IFERROR(Y79/H79,"0")+IFERROR(Y80/H80,"0")</f>
        <v>0</v>
      </c>
      <c r="Z81" s="643">
        <f>IFERROR(IF(Z78="",0,Z78),"0")+IFERROR(IF(Z79="",0,Z79),"0")+IFERROR(IF(Z80="",0,Z80),"0")</f>
        <v>0</v>
      </c>
      <c r="AA81" s="644"/>
      <c r="AB81" s="644"/>
      <c r="AC81" s="64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0</v>
      </c>
      <c r="Y82" s="643">
        <f>IFERROR(SUM(Y78:Y80),"0")</f>
        <v>0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119</v>
      </c>
      <c r="Y85" s="642">
        <f t="shared" ref="Y85:Y90" si="5"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123.51759259259259</v>
      </c>
      <c r="BN85" s="64">
        <f t="shared" ref="BN85:BN90" si="7">IFERROR(Y85*I85/H85,"0")</f>
        <v>134.52000000000001</v>
      </c>
      <c r="BO85" s="64">
        <f t="shared" ref="BO85:BO90" si="8">IFERROR(1/J85*(X85/H85),"0")</f>
        <v>0.17216435185185183</v>
      </c>
      <c r="BP85" s="64">
        <f t="shared" ref="BP85:BP90" si="9">IFERROR(1/J85*(Y85/H85),"0")</f>
        <v>0.18750000000000003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11.018518518518517</v>
      </c>
      <c r="Y91" s="643">
        <f>IFERROR(Y85/H85,"0")+IFERROR(Y86/H86,"0")+IFERROR(Y87/H87,"0")+IFERROR(Y88/H88,"0")+IFERROR(Y89/H89,"0")+IFERROR(Y90/H90,"0")</f>
        <v>12.000000000000002</v>
      </c>
      <c r="Z91" s="643">
        <f>IFERROR(IF(Z85="",0,Z85),"0")+IFERROR(IF(Z86="",0,Z86),"0")+IFERROR(IF(Z87="",0,Z87),"0")+IFERROR(IF(Z88="",0,Z88),"0")+IFERROR(IF(Z89="",0,Z89),"0")+IFERROR(IF(Z90="",0,Z90),"0")</f>
        <v>0.22776000000000002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119</v>
      </c>
      <c r="Y92" s="643">
        <f>IFERROR(SUM(Y85:Y90),"0")</f>
        <v>129.60000000000002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371</v>
      </c>
      <c r="Y94" s="642">
        <f>IFERROR(IF(X94="",0,CEILING((X94/$H94),1)*$H94),"")</f>
        <v>372.59999999999997</v>
      </c>
      <c r="Z94" s="36">
        <f>IFERROR(IF(Y94=0,"",ROUNDUP(Y94/H94,0)*0.01898),"")</f>
        <v>0.87307999999999997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393.6264197530864</v>
      </c>
      <c r="BN94" s="64">
        <f>IFERROR(Y94*I94/H94,"0")</f>
        <v>395.32399999999996</v>
      </c>
      <c r="BO94" s="64">
        <f>IFERROR(1/J94*(X94/H94),"0")</f>
        <v>0.71566358024691357</v>
      </c>
      <c r="BP94" s="64">
        <f>IFERROR(1/J94*(Y94/H94),"0")</f>
        <v>0.71875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0</v>
      </c>
      <c r="Y96" s="642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45.802469135802468</v>
      </c>
      <c r="Y98" s="643">
        <f>IFERROR(Y94/H94,"0")+IFERROR(Y95/H95,"0")+IFERROR(Y96/H96,"0")+IFERROR(Y97/H97,"0")</f>
        <v>46</v>
      </c>
      <c r="Z98" s="643">
        <f>IFERROR(IF(Z94="",0,Z94),"0")+IFERROR(IF(Z95="",0,Z95),"0")+IFERROR(IF(Z96="",0,Z96),"0")+IFERROR(IF(Z97="",0,Z97),"0")</f>
        <v>0.87307999999999997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371</v>
      </c>
      <c r="Y99" s="643">
        <f>IFERROR(SUM(Y94:Y97),"0")</f>
        <v>372.59999999999997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143</v>
      </c>
      <c r="Y102" s="642">
        <f t="shared" ref="Y102:Y107" si="10">IFERROR(IF(X102="",0,CEILING((X102/$H102),1)*$H102),"")</f>
        <v>151.20000000000002</v>
      </c>
      <c r="Z102" s="36">
        <f>IFERROR(IF(Y102=0,"",ROUNDUP(Y102/H102,0)*0.01898),"")</f>
        <v>0.26572000000000001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148.42870370370372</v>
      </c>
      <c r="BN102" s="64">
        <f t="shared" ref="BN102:BN107" si="12">IFERROR(Y102*I102/H102,"0")</f>
        <v>156.94</v>
      </c>
      <c r="BO102" s="64">
        <f t="shared" ref="BO102:BO107" si="13">IFERROR(1/J102*(X102/H102),"0")</f>
        <v>0.20688657407407407</v>
      </c>
      <c r="BP102" s="64">
        <f t="shared" ref="BP102:BP107" si="14">IFERROR(1/J102*(Y102/H102),"0")</f>
        <v>0.21875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13.24074074074074</v>
      </c>
      <c r="Y108" s="643">
        <f>IFERROR(Y102/H102,"0")+IFERROR(Y103/H103,"0")+IFERROR(Y104/H104,"0")+IFERROR(Y105/H105,"0")+IFERROR(Y106/H106,"0")+IFERROR(Y107/H107,"0")</f>
        <v>14</v>
      </c>
      <c r="Z108" s="643">
        <f>IFERROR(IF(Z102="",0,Z102),"0")+IFERROR(IF(Z103="",0,Z103),"0")+IFERROR(IF(Z104="",0,Z104),"0")+IFERROR(IF(Z105="",0,Z105),"0")+IFERROR(IF(Z106="",0,Z106),"0")+IFERROR(IF(Z107="",0,Z107),"0")</f>
        <v>0.26572000000000001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143</v>
      </c>
      <c r="Y109" s="643">
        <f>IFERROR(SUM(Y102:Y107),"0")</f>
        <v>151.20000000000002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12</v>
      </c>
      <c r="Y115" s="642">
        <f>IFERROR(IF(X115="",0,CEILING((X115/$H115),1)*$H115),"")</f>
        <v>12</v>
      </c>
      <c r="Z115" s="36">
        <f>IFERROR(IF(Y115=0,"",ROUNDUP(Y115/H115,0)*0.00651),"")</f>
        <v>3.2550000000000003E-2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12.9</v>
      </c>
      <c r="BN115" s="64">
        <f>IFERROR(Y115*I115/H115,"0")</f>
        <v>12.9</v>
      </c>
      <c r="BO115" s="64">
        <f>IFERROR(1/J115*(X115/H115),"0")</f>
        <v>2.7472527472527476E-2</v>
      </c>
      <c r="BP115" s="64">
        <f>IFERROR(1/J115*(Y115/H115),"0")</f>
        <v>2.7472527472527476E-2</v>
      </c>
    </row>
    <row r="116" spans="1:68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5</v>
      </c>
      <c r="Y116" s="643">
        <f>IFERROR(Y111/H111,"0")+IFERROR(Y112/H112,"0")+IFERROR(Y113/H113,"0")+IFERROR(Y114/H114,"0")+IFERROR(Y115/H115,"0")</f>
        <v>5</v>
      </c>
      <c r="Z116" s="643">
        <f>IFERROR(IF(Z111="",0,Z111),"0")+IFERROR(IF(Z112="",0,Z112),"0")+IFERROR(IF(Z113="",0,Z113),"0")+IFERROR(IF(Z114="",0,Z114),"0")+IFERROR(IF(Z115="",0,Z115),"0")</f>
        <v>3.2550000000000003E-2</v>
      </c>
      <c r="AA116" s="644"/>
      <c r="AB116" s="644"/>
      <c r="AC116" s="644"/>
    </row>
    <row r="117" spans="1:68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12</v>
      </c>
      <c r="Y117" s="643">
        <f>IFERROR(SUM(Y111:Y115),"0")</f>
        <v>12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hidden="1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0</v>
      </c>
      <c r="Y119" s="642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0</v>
      </c>
      <c r="Y121" s="64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0</v>
      </c>
      <c r="Y123" s="643">
        <f>IFERROR(Y119/H119,"0")+IFERROR(Y120/H120,"0")+IFERROR(Y121/H121,"0")+IFERROR(Y122/H122,"0")</f>
        <v>0</v>
      </c>
      <c r="Z123" s="643">
        <f>IFERROR(IF(Z119="",0,Z119),"0")+IFERROR(IF(Z120="",0,Z120),"0")+IFERROR(IF(Z121="",0,Z121),"0")+IFERROR(IF(Z122="",0,Z122),"0")</f>
        <v>0</v>
      </c>
      <c r="AA123" s="644"/>
      <c r="AB123" s="644"/>
      <c r="AC123" s="644"/>
    </row>
    <row r="124" spans="1:68" hidden="1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0</v>
      </c>
      <c r="Y124" s="643">
        <f>IFERROR(SUM(Y119:Y122),"0")</f>
        <v>0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8</v>
      </c>
      <c r="Y126" s="642">
        <f>IFERROR(IF(X126="",0,CEILING((X126/$H126),1)*$H126),"")</f>
        <v>9.9</v>
      </c>
      <c r="Z126" s="36">
        <f>IFERROR(IF(Y126=0,"",ROUNDUP(Y126/H126,0)*0.00651),"")</f>
        <v>3.2550000000000003E-2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9.0424242424242429</v>
      </c>
      <c r="BN126" s="64">
        <f>IFERROR(Y126*I126/H126,"0")</f>
        <v>11.190000000000001</v>
      </c>
      <c r="BO126" s="64">
        <f>IFERROR(1/J126*(X126/H126),"0")</f>
        <v>2.2200022200022203E-2</v>
      </c>
      <c r="BP126" s="64">
        <f>IFERROR(1/J126*(Y126/H126),"0")</f>
        <v>2.7472527472527476E-2</v>
      </c>
    </row>
    <row r="127" spans="1:68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4.0404040404040407</v>
      </c>
      <c r="Y127" s="643">
        <f>IFERROR(Y126/H126,"0")</f>
        <v>5</v>
      </c>
      <c r="Z127" s="643">
        <f>IFERROR(IF(Z126="",0,Z126),"0")</f>
        <v>3.2550000000000003E-2</v>
      </c>
      <c r="AA127" s="644"/>
      <c r="AB127" s="644"/>
      <c r="AC127" s="644"/>
    </row>
    <row r="128" spans="1:68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8</v>
      </c>
      <c r="Y128" s="643">
        <f>IFERROR(SUM(Y126:Y126),"0")</f>
        <v>9.9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58</v>
      </c>
      <c r="Y131" s="642">
        <f>IFERROR(IF(X131="",0,CEILING((X131/$H131),1)*$H131),"")</f>
        <v>60.800000000000004</v>
      </c>
      <c r="Z131" s="36">
        <f>IFERROR(IF(Y131=0,"",ROUNDUP(Y131/H131,0)*0.00651),"")</f>
        <v>0.12369000000000001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61.262499999999996</v>
      </c>
      <c r="BN131" s="64">
        <f>IFERROR(Y131*I131/H131,"0")</f>
        <v>64.22</v>
      </c>
      <c r="BO131" s="64">
        <f>IFERROR(1/J131*(X131/H131),"0")</f>
        <v>9.9587912087912095E-2</v>
      </c>
      <c r="BP131" s="64">
        <f>IFERROR(1/J131*(Y131/H131),"0")</f>
        <v>0.1043956043956044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18.125</v>
      </c>
      <c r="Y133" s="643">
        <f>IFERROR(Y131/H131,"0")+IFERROR(Y132/H132,"0")</f>
        <v>19</v>
      </c>
      <c r="Z133" s="643">
        <f>IFERROR(IF(Z131="",0,Z131),"0")+IFERROR(IF(Z132="",0,Z132),"0")</f>
        <v>0.12369000000000001</v>
      </c>
      <c r="AA133" s="644"/>
      <c r="AB133" s="644"/>
      <c r="AC133" s="644"/>
    </row>
    <row r="134" spans="1:68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58</v>
      </c>
      <c r="Y134" s="643">
        <f>IFERROR(SUM(Y131:Y132),"0")</f>
        <v>60.800000000000004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78</v>
      </c>
      <c r="Y136" s="642">
        <f>IFERROR(IF(X136="",0,CEILING((X136/$H136),1)*$H136),"")</f>
        <v>78.399999999999991</v>
      </c>
      <c r="Z136" s="36">
        <f>IFERROR(IF(Y136=0,"",ROUNDUP(Y136/H136,0)*0.00651),"")</f>
        <v>0.18228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85.465714285714299</v>
      </c>
      <c r="BN136" s="64">
        <f>IFERROR(Y136*I136/H136,"0")</f>
        <v>85.903999999999996</v>
      </c>
      <c r="BO136" s="64">
        <f>IFERROR(1/J136*(X136/H136),"0")</f>
        <v>0.15306122448979592</v>
      </c>
      <c r="BP136" s="64">
        <f>IFERROR(1/J136*(Y136/H136),"0")</f>
        <v>0.15384615384615385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27.857142857142858</v>
      </c>
      <c r="Y138" s="643">
        <f>IFERROR(Y136/H136,"0")+IFERROR(Y137/H137,"0")</f>
        <v>28</v>
      </c>
      <c r="Z138" s="643">
        <f>IFERROR(IF(Z136="",0,Z136),"0")+IFERROR(IF(Z137="",0,Z137),"0")</f>
        <v>0.18228</v>
      </c>
      <c r="AA138" s="644"/>
      <c r="AB138" s="644"/>
      <c r="AC138" s="644"/>
    </row>
    <row r="139" spans="1:68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78</v>
      </c>
      <c r="Y139" s="643">
        <f>IFERROR(SUM(Y136:Y137),"0")</f>
        <v>78.399999999999991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61</v>
      </c>
      <c r="Y141" s="642">
        <f>IFERROR(IF(X141="",0,CEILING((X141/$H141),1)*$H141),"")</f>
        <v>63.36</v>
      </c>
      <c r="Z141" s="36">
        <f>IFERROR(IF(Y141=0,"",ROUNDUP(Y141/H141,0)*0.00651),"")</f>
        <v>0.15623999999999999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67.192424242424238</v>
      </c>
      <c r="BN141" s="64">
        <f>IFERROR(Y141*I141/H141,"0")</f>
        <v>69.792000000000002</v>
      </c>
      <c r="BO141" s="64">
        <f>IFERROR(1/J141*(X141/H141),"0")</f>
        <v>0.12695637695637696</v>
      </c>
      <c r="BP141" s="64">
        <f>IFERROR(1/J141*(Y141/H141),"0")</f>
        <v>0.13186813186813187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23.106060606060606</v>
      </c>
      <c r="Y143" s="643">
        <f>IFERROR(Y141/H141,"0")+IFERROR(Y142/H142,"0")</f>
        <v>24</v>
      </c>
      <c r="Z143" s="643">
        <f>IFERROR(IF(Z141="",0,Z141),"0")+IFERROR(IF(Z142="",0,Z142),"0")</f>
        <v>0.15623999999999999</v>
      </c>
      <c r="AA143" s="644"/>
      <c r="AB143" s="644"/>
      <c r="AC143" s="644"/>
    </row>
    <row r="144" spans="1:68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61</v>
      </c>
      <c r="Y144" s="643">
        <f>IFERROR(SUM(Y141:Y142),"0")</f>
        <v>63.36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250</v>
      </c>
      <c r="Y172" s="642">
        <f t="shared" ref="Y172:Y183" si="21">IFERROR(IF(X172="",0,CEILING((X172/$H172),1)*$H172),"")</f>
        <v>252</v>
      </c>
      <c r="Z172" s="36">
        <f>IFERROR(IF(Y172=0,"",ROUNDUP(Y172/H172,0)*0.00902),"")</f>
        <v>0.64944000000000002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263.57142857142856</v>
      </c>
      <c r="BN172" s="64">
        <f t="shared" ref="BN172:BN183" si="23">IFERROR(Y172*I172/H172,"0")</f>
        <v>265.68</v>
      </c>
      <c r="BO172" s="64">
        <f t="shared" ref="BO172:BO183" si="24">IFERROR(1/J172*(X172/H172),"0")</f>
        <v>0.54112554112554112</v>
      </c>
      <c r="BP172" s="64">
        <f t="shared" ref="BP172:BP183" si="25">IFERROR(1/J172*(Y172/H172),"0")</f>
        <v>0.54545454545454541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250</v>
      </c>
      <c r="Y174" s="642">
        <f t="shared" si="21"/>
        <v>252</v>
      </c>
      <c r="Z174" s="36">
        <f>IFERROR(IF(Y174=0,"",ROUNDUP(Y174/H174,0)*0.00902),"")</f>
        <v>0.64944000000000002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263.57142857142856</v>
      </c>
      <c r="BN174" s="64">
        <f t="shared" si="23"/>
        <v>265.68</v>
      </c>
      <c r="BO174" s="64">
        <f t="shared" si="24"/>
        <v>0.54112554112554112</v>
      </c>
      <c r="BP174" s="64">
        <f t="shared" si="25"/>
        <v>0.54545454545454541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250</v>
      </c>
      <c r="Y176" s="642">
        <f t="shared" si="21"/>
        <v>252</v>
      </c>
      <c r="Z176" s="36">
        <f>IFERROR(IF(Y176=0,"",ROUNDUP(Y176/H176,0)*0.00902),"")</f>
        <v>0.64944000000000002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263.57142857142856</v>
      </c>
      <c r="BN176" s="64">
        <f t="shared" si="23"/>
        <v>265.68</v>
      </c>
      <c r="BO176" s="64">
        <f t="shared" si="24"/>
        <v>0.54112554112554112</v>
      </c>
      <c r="BP176" s="64">
        <f t="shared" si="25"/>
        <v>0.54545454545454541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70</v>
      </c>
      <c r="Y179" s="642">
        <f t="shared" si="21"/>
        <v>70.56</v>
      </c>
      <c r="Z179" s="36">
        <f>IFERROR(IF(Y179=0,"",ROUNDUP(Y179/H179,0)*0.00502),"")</f>
        <v>0.21084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74.166666666666671</v>
      </c>
      <c r="BN179" s="64">
        <f t="shared" si="23"/>
        <v>74.760000000000005</v>
      </c>
      <c r="BO179" s="64">
        <f t="shared" si="24"/>
        <v>0.17806267806267811</v>
      </c>
      <c r="BP179" s="64">
        <f t="shared" si="25"/>
        <v>0.17948717948717952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70</v>
      </c>
      <c r="Y181" s="642">
        <f t="shared" si="21"/>
        <v>70.56</v>
      </c>
      <c r="Z181" s="36">
        <f>IFERROR(IF(Y181=0,"",ROUNDUP(Y181/H181,0)*0.00502),"")</f>
        <v>0.21084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74.166666666666671</v>
      </c>
      <c r="BN181" s="64">
        <f t="shared" si="23"/>
        <v>74.760000000000005</v>
      </c>
      <c r="BO181" s="64">
        <f t="shared" si="24"/>
        <v>0.17806267806267811</v>
      </c>
      <c r="BP181" s="64">
        <f t="shared" si="25"/>
        <v>0.17948717948717952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70</v>
      </c>
      <c r="Y183" s="642">
        <f t="shared" si="21"/>
        <v>70.56</v>
      </c>
      <c r="Z183" s="36">
        <f>IFERROR(IF(Y183=0,"",ROUNDUP(Y183/H183,0)*0.00502),"")</f>
        <v>0.21084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74.166666666666671</v>
      </c>
      <c r="BN183" s="64">
        <f t="shared" si="23"/>
        <v>74.760000000000005</v>
      </c>
      <c r="BO183" s="64">
        <f t="shared" si="24"/>
        <v>0.17806267806267811</v>
      </c>
      <c r="BP183" s="64">
        <f t="shared" si="25"/>
        <v>0.17948717948717952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339.28571428571433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342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2.5808400000000002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960</v>
      </c>
      <c r="Y185" s="643">
        <f>IFERROR(SUM(Y172:Y183),"0")</f>
        <v>967.67999999999984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50</v>
      </c>
      <c r="Y218" s="642">
        <f t="shared" ref="Y218:Y232" si="32">IFERROR(IF(X218="",0,CEILING((X218/$H218),1)*$H218),"")</f>
        <v>50.400000000000006</v>
      </c>
      <c r="Z218" s="36">
        <f>IFERROR(IF(Y218=0,"",ROUNDUP(Y218/H218,0)*0.00902),"")</f>
        <v>0.10824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52.976190476190474</v>
      </c>
      <c r="BN218" s="64">
        <f t="shared" ref="BN218:BN232" si="34">IFERROR(Y218*I218/H218,"0")</f>
        <v>53.400000000000006</v>
      </c>
      <c r="BO218" s="64">
        <f t="shared" ref="BO218:BO232" si="35">IFERROR(1/J218*(X218/H218),"0")</f>
        <v>9.0187590187590191E-2</v>
      </c>
      <c r="BP218" s="64">
        <f t="shared" ref="BP218:BP232" si="36">IFERROR(1/J218*(Y218/H218),"0")</f>
        <v>9.0909090909090912E-2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100</v>
      </c>
      <c r="Y220" s="642">
        <f t="shared" si="32"/>
        <v>100.80000000000001</v>
      </c>
      <c r="Z220" s="36">
        <f>IFERROR(IF(Y220=0,"",ROUNDUP(Y220/H220,0)*0.00902),"")</f>
        <v>0.21648000000000001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104.5238095238095</v>
      </c>
      <c r="BN220" s="64">
        <f t="shared" si="34"/>
        <v>105.36</v>
      </c>
      <c r="BO220" s="64">
        <f t="shared" si="35"/>
        <v>0.18037518037518038</v>
      </c>
      <c r="BP220" s="64">
        <f t="shared" si="36"/>
        <v>0.18181818181818182</v>
      </c>
    </row>
    <row r="221" spans="1:68" ht="37.5" hidden="1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0</v>
      </c>
      <c r="Y221" s="642">
        <f t="shared" si="32"/>
        <v>0</v>
      </c>
      <c r="Z221" s="36" t="str">
        <f>IFERROR(IF(Y221=0,"",ROUNDUP(Y221/H221,0)*0.00556),"")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46</v>
      </c>
      <c r="Y222" s="642">
        <f t="shared" si="32"/>
        <v>46.2</v>
      </c>
      <c r="Z222" s="36">
        <f t="shared" ref="Z222:Z227" si="37">IFERROR(IF(Y222=0,"",ROUNDUP(Y222/H222,0)*0.00502),"")</f>
        <v>0.11044000000000001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48.847619047619048</v>
      </c>
      <c r="BN222" s="64">
        <f t="shared" si="34"/>
        <v>49.06</v>
      </c>
      <c r="BO222" s="64">
        <f t="shared" si="35"/>
        <v>9.361009361009362E-2</v>
      </c>
      <c r="BP222" s="64">
        <f t="shared" si="36"/>
        <v>9.401709401709403E-2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18</v>
      </c>
      <c r="Y227" s="642">
        <f t="shared" si="32"/>
        <v>18</v>
      </c>
      <c r="Z227" s="36">
        <f t="shared" si="37"/>
        <v>5.0200000000000002E-2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19.3</v>
      </c>
      <c r="BN227" s="64">
        <f t="shared" si="34"/>
        <v>19.3</v>
      </c>
      <c r="BO227" s="64">
        <f t="shared" si="35"/>
        <v>4.2735042735042736E-2</v>
      </c>
      <c r="BP227" s="64">
        <f t="shared" si="36"/>
        <v>4.2735042735042736E-2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4</v>
      </c>
      <c r="Y228" s="642">
        <f t="shared" si="32"/>
        <v>4</v>
      </c>
      <c r="Z228" s="36">
        <f>IFERROR(IF(Y228=0,"",ROUNDUP(Y228/H228,0)*0.00417),"")</f>
        <v>2.085E-2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5.05</v>
      </c>
      <c r="BN228" s="64">
        <f t="shared" si="34"/>
        <v>5.05</v>
      </c>
      <c r="BO228" s="64">
        <f t="shared" si="35"/>
        <v>1.488095238095238E-2</v>
      </c>
      <c r="BP228" s="64">
        <f t="shared" si="36"/>
        <v>1.488095238095238E-2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105</v>
      </c>
      <c r="Y229" s="642">
        <f t="shared" si="32"/>
        <v>105</v>
      </c>
      <c r="Z229" s="36">
        <f>IFERROR(IF(Y229=0,"",ROUNDUP(Y229/H229,0)*0.00502),"")</f>
        <v>0.251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110.00000000000001</v>
      </c>
      <c r="BN229" s="64">
        <f t="shared" si="34"/>
        <v>110.00000000000001</v>
      </c>
      <c r="BO229" s="64">
        <f t="shared" si="35"/>
        <v>0.21367521367521369</v>
      </c>
      <c r="BP229" s="64">
        <f t="shared" si="36"/>
        <v>0.21367521367521369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122.61904761904762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123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0.75721000000000005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323</v>
      </c>
      <c r="Y234" s="643">
        <f>IFERROR(SUM(Y218:Y232),"0")</f>
        <v>324.40000000000003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6</v>
      </c>
      <c r="Y249" s="642">
        <f>IFERROR(IF(X249="",0,CEILING((X249/$H249),1)*$H249),"")</f>
        <v>6.3</v>
      </c>
      <c r="Z249" s="36">
        <f>IFERROR(IF(Y249=0,"",ROUNDUP(Y249/H249,0)*0.0059),"")</f>
        <v>2.9499999999999998E-2</v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6.9047619047619042</v>
      </c>
      <c r="BN249" s="64">
        <f>IFERROR(Y249*I249/H249,"0")</f>
        <v>7.25</v>
      </c>
      <c r="BO249" s="64">
        <f>IFERROR(1/J249*(X249/H249),"0")</f>
        <v>2.2045855379188711E-2</v>
      </c>
      <c r="BP249" s="64">
        <f>IFERROR(1/J249*(Y249/H249),"0")</f>
        <v>2.3148148148148147E-2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4</v>
      </c>
      <c r="Y250" s="642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4.6031746031746028</v>
      </c>
      <c r="BN250" s="64">
        <f>IFERROR(Y250*I250/H250,"0")</f>
        <v>5.8</v>
      </c>
      <c r="BO250" s="64">
        <f>IFERROR(1/J250*(X250/H250),"0")</f>
        <v>1.469723691945914E-2</v>
      </c>
      <c r="BP250" s="64">
        <f>IFERROR(1/J250*(Y250/H250),"0")</f>
        <v>1.8518518518518517E-2</v>
      </c>
    </row>
    <row r="251" spans="1:68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7.9365079365079367</v>
      </c>
      <c r="Y251" s="643">
        <f>IFERROR(Y248/H248,"0")+IFERROR(Y249/H249,"0")+IFERROR(Y250/H250,"0")</f>
        <v>9</v>
      </c>
      <c r="Z251" s="643">
        <f>IFERROR(IF(Z248="",0,Z248),"0")+IFERROR(IF(Z249="",0,Z249),"0")+IFERROR(IF(Z250="",0,Z250),"0")</f>
        <v>5.3099999999999994E-2</v>
      </c>
      <c r="AA251" s="644"/>
      <c r="AB251" s="644"/>
      <c r="AC251" s="644"/>
    </row>
    <row r="252" spans="1:68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10</v>
      </c>
      <c r="Y252" s="643">
        <f>IFERROR(SUM(Y248:Y250),"0")</f>
        <v>11.34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5</v>
      </c>
      <c r="Y254" s="642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5.753968253968254</v>
      </c>
      <c r="BN254" s="64">
        <f>IFERROR(Y254*I254/H254,"0")</f>
        <v>5.8</v>
      </c>
      <c r="BO254" s="64">
        <f>IFERROR(1/J254*(X254/H254),"0")</f>
        <v>1.8371546149323927E-2</v>
      </c>
      <c r="BP254" s="64">
        <f>IFERROR(1/J254*(Y254/H254),"0")</f>
        <v>1.8518518518518517E-2</v>
      </c>
    </row>
    <row r="255" spans="1:68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3.9682539682539684</v>
      </c>
      <c r="Y255" s="643">
        <f>IFERROR(Y254/H254,"0")</f>
        <v>4</v>
      </c>
      <c r="Z255" s="643">
        <f>IFERROR(IF(Z254="",0,Z254),"0")</f>
        <v>2.3599999999999999E-2</v>
      </c>
      <c r="AA255" s="644"/>
      <c r="AB255" s="644"/>
      <c r="AC255" s="644"/>
    </row>
    <row r="256" spans="1:68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5</v>
      </c>
      <c r="Y256" s="643">
        <f>IFERROR(SUM(Y254:Y254),"0")</f>
        <v>5.04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75</v>
      </c>
      <c r="Y269" s="642">
        <f t="shared" ref="Y269:Y276" si="43">IFERROR(IF(X269="",0,CEILING((X269/$H269),1)*$H269),"")</f>
        <v>75.600000000000009</v>
      </c>
      <c r="Z269" s="36">
        <f>IFERROR(IF(Y269=0,"",ROUNDUP(Y269/H269,0)*0.00902),"")</f>
        <v>0.12628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77.638888888888886</v>
      </c>
      <c r="BN269" s="64">
        <f t="shared" ref="BN269:BN276" si="45">IFERROR(Y269*I269/H269,"0")</f>
        <v>78.260000000000005</v>
      </c>
      <c r="BO269" s="64">
        <f t="shared" ref="BO269:BO276" si="46">IFERROR(1/J269*(X269/H269),"0")</f>
        <v>0.10521885521885521</v>
      </c>
      <c r="BP269" s="64">
        <f t="shared" ref="BP269:BP276" si="47">IFERROR(1/J269*(Y269/H269),"0")</f>
        <v>0.10606060606060606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0</v>
      </c>
      <c r="Y271" s="642">
        <f t="shared" si="43"/>
        <v>0</v>
      </c>
      <c r="Z271" s="36" t="str">
        <f>IFERROR(IF(Y271=0,"",ROUNDUP(Y271/H271,0)*0.00902),"")</f>
        <v/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100</v>
      </c>
      <c r="Y272" s="642">
        <f t="shared" si="43"/>
        <v>102.60000000000001</v>
      </c>
      <c r="Z272" s="36">
        <f>IFERROR(IF(Y272=0,"",ROUNDUP(Y272/H272,0)*0.00902),"")</f>
        <v>0.17138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103.5185185185185</v>
      </c>
      <c r="BN272" s="64">
        <f t="shared" si="45"/>
        <v>106.21</v>
      </c>
      <c r="BO272" s="64">
        <f t="shared" si="46"/>
        <v>0.14029180695847362</v>
      </c>
      <c r="BP272" s="64">
        <f t="shared" si="47"/>
        <v>0.14393939393939395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45</v>
      </c>
      <c r="Y273" s="642">
        <f t="shared" si="43"/>
        <v>45</v>
      </c>
      <c r="Z273" s="36">
        <f>IFERROR(IF(Y273=0,"",ROUNDUP(Y273/H273,0)*0.00502),"")</f>
        <v>0.1255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48.249999999999993</v>
      </c>
      <c r="BN273" s="64">
        <f t="shared" si="45"/>
        <v>48.249999999999993</v>
      </c>
      <c r="BO273" s="64">
        <f t="shared" si="46"/>
        <v>0.10683760683760685</v>
      </c>
      <c r="BP273" s="64">
        <f t="shared" si="47"/>
        <v>0.10683760683760685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27</v>
      </c>
      <c r="Y274" s="642">
        <f t="shared" si="43"/>
        <v>27</v>
      </c>
      <c r="Z274" s="36">
        <f>IFERROR(IF(Y274=0,"",ROUNDUP(Y274/H274,0)*0.00502),"")</f>
        <v>7.5300000000000006E-2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28.499999999999996</v>
      </c>
      <c r="BN274" s="64">
        <f t="shared" si="45"/>
        <v>28.499999999999996</v>
      </c>
      <c r="BO274" s="64">
        <f t="shared" si="46"/>
        <v>6.4102564102564111E-2</v>
      </c>
      <c r="BP274" s="64">
        <f t="shared" si="47"/>
        <v>6.4102564102564111E-2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9</v>
      </c>
      <c r="Y276" s="642">
        <f t="shared" si="43"/>
        <v>9</v>
      </c>
      <c r="Z276" s="36">
        <f>IFERROR(IF(Y276=0,"",ROUNDUP(Y276/H276,0)*0.00502),"")</f>
        <v>2.5100000000000001E-2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9.4999999999999982</v>
      </c>
      <c r="BN276" s="64">
        <f t="shared" si="45"/>
        <v>9.4999999999999982</v>
      </c>
      <c r="BO276" s="64">
        <f t="shared" si="46"/>
        <v>2.1367521367521368E-2</v>
      </c>
      <c r="BP276" s="64">
        <f t="shared" si="47"/>
        <v>2.1367521367521368E-2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95.925925925925924</v>
      </c>
      <c r="Y277" s="643">
        <f>IFERROR(Y269/H269,"0")+IFERROR(Y270/H270,"0")+IFERROR(Y271/H271,"0")+IFERROR(Y272/H272,"0")+IFERROR(Y273/H273,"0")+IFERROR(Y274/H274,"0")+IFERROR(Y275/H275,"0")+IFERROR(Y276/H276,"0")</f>
        <v>97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0.69494000000000011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356</v>
      </c>
      <c r="Y278" s="643">
        <f>IFERROR(SUM(Y269:Y276),"0")</f>
        <v>361.8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hidden="1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0</v>
      </c>
      <c r="Y280" s="642">
        <f t="shared" ref="Y280:Y291" si="48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0</v>
      </c>
      <c r="BN280" s="64">
        <f t="shared" ref="BN280:BN291" si="50">IFERROR(Y280*I280/H280,"0")</f>
        <v>0</v>
      </c>
      <c r="BO280" s="64">
        <f t="shared" ref="BO280:BO291" si="51">IFERROR(1/J280*(X280/H280),"0")</f>
        <v>0</v>
      </c>
      <c r="BP280" s="64">
        <f t="shared" ref="BP280:BP291" si="52"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150</v>
      </c>
      <c r="Y281" s="642">
        <f t="shared" si="48"/>
        <v>153.9</v>
      </c>
      <c r="Z281" s="36">
        <f>IFERROR(IF(Y281=0,"",ROUNDUP(Y281/H281,0)*0.01898),"")</f>
        <v>0.36062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158.81481481481484</v>
      </c>
      <c r="BN281" s="64">
        <f t="shared" si="50"/>
        <v>162.94400000000002</v>
      </c>
      <c r="BO281" s="64">
        <f t="shared" si="51"/>
        <v>0.28935185185185186</v>
      </c>
      <c r="BP281" s="64">
        <f t="shared" si="52"/>
        <v>0.296875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15</v>
      </c>
      <c r="Y282" s="642">
        <f t="shared" si="48"/>
        <v>17.399999999999999</v>
      </c>
      <c r="Z282" s="36">
        <f>IFERROR(IF(Y282=0,"",ROUNDUP(Y282/H282,0)*0.01898),"")</f>
        <v>3.7960000000000001E-2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15.851724137931038</v>
      </c>
      <c r="BN282" s="64">
        <f t="shared" si="50"/>
        <v>18.388000000000002</v>
      </c>
      <c r="BO282" s="64">
        <f t="shared" si="51"/>
        <v>2.6939655172413795E-2</v>
      </c>
      <c r="BP282" s="64">
        <f t="shared" si="52"/>
        <v>3.125E-2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180</v>
      </c>
      <c r="Y283" s="642">
        <f t="shared" si="48"/>
        <v>180</v>
      </c>
      <c r="Z283" s="36">
        <f>IFERROR(IF(Y283=0,"",ROUNDUP(Y283/H283,0)*0.00651),"")</f>
        <v>0.48825000000000002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200.25</v>
      </c>
      <c r="BN283" s="64">
        <f t="shared" si="50"/>
        <v>200.25</v>
      </c>
      <c r="BO283" s="64">
        <f t="shared" si="51"/>
        <v>0.41208791208791212</v>
      </c>
      <c r="BP283" s="64">
        <f t="shared" si="52"/>
        <v>0.41208791208791212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240</v>
      </c>
      <c r="Y286" s="642">
        <f t="shared" si="48"/>
        <v>240</v>
      </c>
      <c r="Z286" s="36">
        <f>IFERROR(IF(Y286=0,"",ROUNDUP(Y286/H286,0)*0.00651),"")</f>
        <v>0.65100000000000002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265.20000000000005</v>
      </c>
      <c r="BN286" s="64">
        <f t="shared" si="50"/>
        <v>265.20000000000005</v>
      </c>
      <c r="BO286" s="64">
        <f t="shared" si="51"/>
        <v>0.5494505494505495</v>
      </c>
      <c r="BP286" s="64">
        <f t="shared" si="52"/>
        <v>0.5494505494505495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60</v>
      </c>
      <c r="Y288" s="642">
        <f t="shared" si="48"/>
        <v>60</v>
      </c>
      <c r="Z288" s="36">
        <f>IFERROR(IF(Y288=0,"",ROUNDUP(Y288/H288,0)*0.00651),"")</f>
        <v>0.16275000000000001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66.300000000000011</v>
      </c>
      <c r="BN288" s="64">
        <f t="shared" si="50"/>
        <v>66.300000000000011</v>
      </c>
      <c r="BO288" s="64">
        <f t="shared" si="51"/>
        <v>0.13736263736263737</v>
      </c>
      <c r="BP288" s="64">
        <f t="shared" si="52"/>
        <v>0.13736263736263737</v>
      </c>
    </row>
    <row r="289" spans="1:68" ht="27" hidden="1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0</v>
      </c>
      <c r="Y289" s="642">
        <f t="shared" si="48"/>
        <v>0</v>
      </c>
      <c r="Z289" s="36" t="str">
        <f>IFERROR(IF(Y289=0,"",ROUNDUP(Y289/H289,0)*0.00651),"")</f>
        <v/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0</v>
      </c>
      <c r="BN289" s="64">
        <f t="shared" si="50"/>
        <v>0</v>
      </c>
      <c r="BO289" s="64">
        <f t="shared" si="51"/>
        <v>0</v>
      </c>
      <c r="BP289" s="64">
        <f t="shared" si="52"/>
        <v>0</v>
      </c>
    </row>
    <row r="290" spans="1:68" ht="27" hidden="1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0</v>
      </c>
      <c r="Y290" s="642">
        <f t="shared" si="48"/>
        <v>0</v>
      </c>
      <c r="Z290" s="36" t="str">
        <f>IFERROR(IF(Y290=0,"",ROUNDUP(Y290/H290,0)*0.00651),"")</f>
        <v/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220.24265644955301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221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1.70058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645</v>
      </c>
      <c r="Y293" s="643">
        <f>IFERROR(SUM(Y280:Y291),"0")</f>
        <v>651.29999999999995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18</v>
      </c>
      <c r="Y296" s="642">
        <f>IFERROR(IF(X296="",0,CEILING((X296/$H296),1)*$H296),"")</f>
        <v>19.2</v>
      </c>
      <c r="Z296" s="36">
        <f>IFERROR(IF(Y296=0,"",ROUNDUP(Y296/H296,0)*0.00651),"")</f>
        <v>5.2080000000000001E-2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19.890000000000004</v>
      </c>
      <c r="BN296" s="64">
        <f>IFERROR(Y296*I296/H296,"0")</f>
        <v>21.216000000000001</v>
      </c>
      <c r="BO296" s="64">
        <f>IFERROR(1/J296*(X296/H296),"0")</f>
        <v>4.1208791208791215E-2</v>
      </c>
      <c r="BP296" s="64">
        <f>IFERROR(1/J296*(Y296/H296),"0")</f>
        <v>4.3956043956043959E-2</v>
      </c>
    </row>
    <row r="297" spans="1:68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7.5</v>
      </c>
      <c r="Y297" s="643">
        <f>IFERROR(Y295/H295,"0")+IFERROR(Y296/H296,"0")</f>
        <v>8</v>
      </c>
      <c r="Z297" s="643">
        <f>IFERROR(IF(Z295="",0,Z295),"0")+IFERROR(IF(Z296="",0,Z296),"0")</f>
        <v>5.2080000000000001E-2</v>
      </c>
      <c r="AA297" s="644"/>
      <c r="AB297" s="644"/>
      <c r="AC297" s="644"/>
    </row>
    <row r="298" spans="1:68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18</v>
      </c>
      <c r="Y298" s="643">
        <f>IFERROR(SUM(Y295:Y296),"0")</f>
        <v>19.2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2</v>
      </c>
      <c r="Y315" s="642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1.1111111111111112</v>
      </c>
      <c r="Y316" s="643">
        <f>IFERROR(Y315/H315,"0")</f>
        <v>2</v>
      </c>
      <c r="Z316" s="643">
        <f>IFERROR(IF(Z315="",0,Z315),"0")</f>
        <v>1.18E-2</v>
      </c>
      <c r="AA316" s="644"/>
      <c r="AB316" s="644"/>
      <c r="AC316" s="644"/>
    </row>
    <row r="317" spans="1:68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2</v>
      </c>
      <c r="Y317" s="643">
        <f>IFERROR(SUM(Y315:Y315),"0")</f>
        <v>3.6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0</v>
      </c>
      <c r="Y338" s="643">
        <f>IFERROR(Y335/H335,"0")+IFERROR(Y336/H336,"0")+IFERROR(Y337/H337,"0")</f>
        <v>0</v>
      </c>
      <c r="Z338" s="643">
        <f>IFERROR(IF(Z335="",0,Z335),"0")+IFERROR(IF(Z336="",0,Z336),"0")+IFERROR(IF(Z337="",0,Z337),"0")</f>
        <v>0</v>
      </c>
      <c r="AA338" s="644"/>
      <c r="AB338" s="644"/>
      <c r="AC338" s="644"/>
    </row>
    <row r="339" spans="1:68" hidden="1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0</v>
      </c>
      <c r="Y339" s="643">
        <f>IFERROR(SUM(Y335:Y337),"0")</f>
        <v>0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hidden="1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0</v>
      </c>
      <c r="Y357" s="6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13</v>
      </c>
      <c r="Y358" s="642">
        <f>IFERROR(IF(X358="",0,CEILING((X358/$H358),1)*$H358),"")</f>
        <v>15.6</v>
      </c>
      <c r="Z358" s="36">
        <f>IFERROR(IF(Y358=0,"",ROUNDUP(Y358/H358,0)*0.01898),"")</f>
        <v>3.7960000000000001E-2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13.683333333333335</v>
      </c>
      <c r="BN358" s="64">
        <f>IFERROR(Y358*I358/H358,"0")</f>
        <v>16.420000000000002</v>
      </c>
      <c r="BO358" s="64">
        <f>IFERROR(1/J358*(X358/H358),"0")</f>
        <v>2.6041666666666668E-2</v>
      </c>
      <c r="BP358" s="64">
        <f>IFERROR(1/J358*(Y358/H358),"0")</f>
        <v>3.125E-2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1.6666666666666667</v>
      </c>
      <c r="Y359" s="643">
        <f>IFERROR(Y356/H356,"0")+IFERROR(Y357/H357,"0")+IFERROR(Y358/H358,"0")</f>
        <v>2</v>
      </c>
      <c r="Z359" s="643">
        <f>IFERROR(IF(Z356="",0,Z356),"0")+IFERROR(IF(Z357="",0,Z357),"0")+IFERROR(IF(Z358="",0,Z358),"0")</f>
        <v>3.7960000000000001E-2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13</v>
      </c>
      <c r="Y360" s="643">
        <f>IFERROR(SUM(Y356:Y358),"0")</f>
        <v>15.6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18</v>
      </c>
      <c r="Y378" s="642">
        <f t="shared" si="63"/>
        <v>18</v>
      </c>
      <c r="Z378" s="36">
        <f>IFERROR(IF(Y378=0,"",ROUNDUP(Y378/H378,0)*0.00651),"")</f>
        <v>6.5100000000000005E-2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20.279999999999998</v>
      </c>
      <c r="BN378" s="64">
        <f t="shared" si="65"/>
        <v>20.279999999999998</v>
      </c>
      <c r="BO378" s="64">
        <f t="shared" si="66"/>
        <v>5.4945054945054951E-2</v>
      </c>
      <c r="BP378" s="64">
        <f t="shared" si="67"/>
        <v>5.4945054945054951E-2</v>
      </c>
    </row>
    <row r="379" spans="1:68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10</v>
      </c>
      <c r="Y379" s="643">
        <f>IFERROR(Y372/H372,"0")+IFERROR(Y373/H373,"0")+IFERROR(Y374/H374,"0")+IFERROR(Y375/H375,"0")+IFERROR(Y376/H376,"0")+IFERROR(Y377/H377,"0")+IFERROR(Y378/H378,"0")</f>
        <v>10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6.5100000000000005E-2</v>
      </c>
      <c r="AA379" s="644"/>
      <c r="AB379" s="644"/>
      <c r="AC379" s="644"/>
    </row>
    <row r="380" spans="1:68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18</v>
      </c>
      <c r="Y380" s="643">
        <f>IFERROR(SUM(Y372:Y378),"0")</f>
        <v>18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26</v>
      </c>
      <c r="Y389" s="642">
        <f>IFERROR(IF(X389="",0,CEILING((X389/$H389),1)*$H389),"")</f>
        <v>33.6</v>
      </c>
      <c r="Z389" s="36">
        <f>IFERROR(IF(Y389=0,"",ROUNDUP(Y389/H389,0)*0.01898),"")</f>
        <v>7.5920000000000001E-2</v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27.529047619047617</v>
      </c>
      <c r="BN389" s="64">
        <f>IFERROR(Y389*I389/H389,"0")</f>
        <v>35.576000000000001</v>
      </c>
      <c r="BO389" s="64">
        <f>IFERROR(1/J389*(X389/H389),"0")</f>
        <v>4.8363095238095233E-2</v>
      </c>
      <c r="BP389" s="64">
        <f>IFERROR(1/J389*(Y389/H389),"0")</f>
        <v>6.25E-2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300</v>
      </c>
      <c r="Y390" s="642">
        <f>IFERROR(IF(X390="",0,CEILING((X390/$H390),1)*$H390),"")</f>
        <v>304.2</v>
      </c>
      <c r="Z390" s="36">
        <f>IFERROR(IF(Y390=0,"",ROUNDUP(Y390/H390,0)*0.01898),"")</f>
        <v>0.74021999999999999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319.00000000000006</v>
      </c>
      <c r="BN390" s="64">
        <f>IFERROR(Y390*I390/H390,"0")</f>
        <v>323.46600000000001</v>
      </c>
      <c r="BO390" s="64">
        <f>IFERROR(1/J390*(X390/H390),"0")</f>
        <v>0.60096153846153844</v>
      </c>
      <c r="BP390" s="64">
        <f>IFERROR(1/J390*(Y390/H390),"0")</f>
        <v>0.609375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41.556776556776555</v>
      </c>
      <c r="Y392" s="643">
        <f>IFERROR(Y389/H389,"0")+IFERROR(Y390/H390,"0")+IFERROR(Y391/H391,"0")</f>
        <v>43</v>
      </c>
      <c r="Z392" s="643">
        <f>IFERROR(IF(Z389="",0,Z389),"0")+IFERROR(IF(Z390="",0,Z390),"0")+IFERROR(IF(Z391="",0,Z391),"0")</f>
        <v>0.81613999999999998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326</v>
      </c>
      <c r="Y393" s="643">
        <f>IFERROR(SUM(Y389:Y391),"0")</f>
        <v>337.8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35</v>
      </c>
      <c r="Y395" s="642">
        <f>IFERROR(IF(X395="",0,CEILING((X395/$H395),1)*$H395),"")</f>
        <v>36.480000000000004</v>
      </c>
      <c r="Z395" s="36">
        <f>IFERROR(IF(Y395=0,"",ROUNDUP(Y395/H395,0)*0.00902),"")</f>
        <v>0.10824</v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38.108552631578952</v>
      </c>
      <c r="BN395" s="64">
        <f>IFERROR(Y395*I395/H395,"0")</f>
        <v>39.720000000000006</v>
      </c>
      <c r="BO395" s="64">
        <f>IFERROR(1/J395*(X395/H395),"0")</f>
        <v>8.7220893141945782E-2</v>
      </c>
      <c r="BP395" s="64">
        <f>IFERROR(1/J395*(Y395/H395),"0")</f>
        <v>9.0909090909090925E-2</v>
      </c>
    </row>
    <row r="396" spans="1:68" ht="27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35</v>
      </c>
      <c r="Y396" s="642">
        <f>IFERROR(IF(X396="",0,CEILING((X396/$H396),1)*$H396),"")</f>
        <v>36.480000000000004</v>
      </c>
      <c r="Z396" s="36">
        <f>IFERROR(IF(Y396=0,"",ROUNDUP(Y396/H396,0)*0.00902),"")</f>
        <v>0.10824</v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37.648026315789473</v>
      </c>
      <c r="BN396" s="64">
        <f>IFERROR(Y396*I396/H396,"0")</f>
        <v>39.24</v>
      </c>
      <c r="BO396" s="64">
        <f>IFERROR(1/J396*(X396/H396),"0")</f>
        <v>8.7220893141945782E-2</v>
      </c>
      <c r="BP396" s="64">
        <f>IFERROR(1/J396*(Y396/H396),"0")</f>
        <v>9.0909090909090925E-2</v>
      </c>
    </row>
    <row r="397" spans="1:68" ht="27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10</v>
      </c>
      <c r="Y397" s="642">
        <f>IFERROR(IF(X397="",0,CEILING((X397/$H397),1)*$H397),"")</f>
        <v>10.199999999999999</v>
      </c>
      <c r="Z397" s="36">
        <f>IFERROR(IF(Y397=0,"",ROUNDUP(Y397/H397,0)*0.00651),"")</f>
        <v>2.6040000000000001E-2</v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11.588235294117649</v>
      </c>
      <c r="BN397" s="64">
        <f>IFERROR(Y397*I397/H397,"0")</f>
        <v>11.82</v>
      </c>
      <c r="BO397" s="64">
        <f>IFERROR(1/J397*(X397/H397),"0")</f>
        <v>2.1547080370609786E-2</v>
      </c>
      <c r="BP397" s="64">
        <f>IFERROR(1/J397*(Y397/H397),"0")</f>
        <v>2.197802197802198E-2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17</v>
      </c>
      <c r="Y398" s="642">
        <f>IFERROR(IF(X398="",0,CEILING((X398/$H398),1)*$H398),"")</f>
        <v>17.849999999999998</v>
      </c>
      <c r="Z398" s="36">
        <f>IFERROR(IF(Y398=0,"",ROUNDUP(Y398/H398,0)*0.00651),"")</f>
        <v>4.5569999999999999E-2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19.200000000000003</v>
      </c>
      <c r="BN398" s="64">
        <f>IFERROR(Y398*I398/H398,"0")</f>
        <v>20.16</v>
      </c>
      <c r="BO398" s="64">
        <f>IFERROR(1/J398*(X398/H398),"0")</f>
        <v>3.6630036630036632E-2</v>
      </c>
      <c r="BP398" s="64">
        <f>IFERROR(1/J398*(Y398/H398),"0")</f>
        <v>3.8461538461538464E-2</v>
      </c>
    </row>
    <row r="399" spans="1:68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33.61455108359133</v>
      </c>
      <c r="Y399" s="643">
        <f>IFERROR(Y395/H395,"0")+IFERROR(Y396/H396,"0")+IFERROR(Y397/H397,"0")+IFERROR(Y398/H398,"0")</f>
        <v>35</v>
      </c>
      <c r="Z399" s="643">
        <f>IFERROR(IF(Z395="",0,Z395),"0")+IFERROR(IF(Z396="",0,Z396),"0")+IFERROR(IF(Z397="",0,Z397),"0")+IFERROR(IF(Z398="",0,Z398),"0")</f>
        <v>0.28809000000000001</v>
      </c>
      <c r="AA399" s="644"/>
      <c r="AB399" s="644"/>
      <c r="AC399" s="644"/>
    </row>
    <row r="400" spans="1:68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97</v>
      </c>
      <c r="Y400" s="643">
        <f>IFERROR(SUM(Y395:Y398),"0")</f>
        <v>101.01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hidden="1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0</v>
      </c>
      <c r="Y402" s="642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20</v>
      </c>
      <c r="Y404" s="642">
        <f>IFERROR(IF(X404="",0,CEILING((X404/$H404),1)*$H404),"")</f>
        <v>20</v>
      </c>
      <c r="Z404" s="36">
        <f>IFERROR(IF(Y404=0,"",ROUNDUP(Y404/H404,0)*0.00474),"")</f>
        <v>4.7400000000000005E-2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22.400000000000002</v>
      </c>
      <c r="BN404" s="64">
        <f>IFERROR(Y404*I404/H404,"0")</f>
        <v>22.400000000000002</v>
      </c>
      <c r="BO404" s="64">
        <f>IFERROR(1/J404*(X404/H404),"0")</f>
        <v>4.2016806722689072E-2</v>
      </c>
      <c r="BP404" s="64">
        <f>IFERROR(1/J404*(Y404/H404),"0")</f>
        <v>4.2016806722689072E-2</v>
      </c>
    </row>
    <row r="405" spans="1:68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10</v>
      </c>
      <c r="Y405" s="643">
        <f>IFERROR(Y402/H402,"0")+IFERROR(Y403/H403,"0")+IFERROR(Y404/H404,"0")</f>
        <v>10</v>
      </c>
      <c r="Z405" s="643">
        <f>IFERROR(IF(Z402="",0,Z402),"0")+IFERROR(IF(Z403="",0,Z403),"0")+IFERROR(IF(Z404="",0,Z404),"0")</f>
        <v>4.7400000000000005E-2</v>
      </c>
      <c r="AA405" s="644"/>
      <c r="AB405" s="644"/>
      <c r="AC405" s="644"/>
    </row>
    <row r="406" spans="1:68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20</v>
      </c>
      <c r="Y406" s="643">
        <f>IFERROR(SUM(Y402:Y404),"0")</f>
        <v>20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5</v>
      </c>
      <c r="Y422" s="642">
        <f>IFERROR(IF(X422="",0,CEILING((X422/$H422),1)*$H422),"")</f>
        <v>6.3000000000000007</v>
      </c>
      <c r="Z422" s="36">
        <f>IFERROR(IF(Y422=0,"",ROUNDUP(Y422/H422,0)*0.00651),"")</f>
        <v>1.9529999999999999E-2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5.6</v>
      </c>
      <c r="BN422" s="64">
        <f>IFERROR(Y422*I422/H422,"0")</f>
        <v>7.056</v>
      </c>
      <c r="BO422" s="64">
        <f>IFERROR(1/J422*(X422/H422),"0")</f>
        <v>1.3082155939298797E-2</v>
      </c>
      <c r="BP422" s="64">
        <f>IFERROR(1/J422*(Y422/H422),"0")</f>
        <v>1.6483516483516484E-2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11</v>
      </c>
      <c r="Y423" s="642">
        <f>IFERROR(IF(X423="",0,CEILING((X423/$H423),1)*$H423),"")</f>
        <v>12.600000000000001</v>
      </c>
      <c r="Z423" s="36">
        <f>IFERROR(IF(Y423=0,"",ROUNDUP(Y423/H423,0)*0.00651),"")</f>
        <v>3.9059999999999997E-2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12.257142857142856</v>
      </c>
      <c r="BN423" s="64">
        <f>IFERROR(Y423*I423/H423,"0")</f>
        <v>14.040000000000001</v>
      </c>
      <c r="BO423" s="64">
        <f>IFERROR(1/J423*(X423/H423),"0")</f>
        <v>2.8780743066457355E-2</v>
      </c>
      <c r="BP423" s="64">
        <f>IFERROR(1/J423*(Y423/H423),"0")</f>
        <v>3.2967032967032968E-2</v>
      </c>
    </row>
    <row r="424" spans="1:68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7.6190476190476186</v>
      </c>
      <c r="Y424" s="643">
        <f>IFERROR(Y421/H421,"0")+IFERROR(Y422/H422,"0")+IFERROR(Y423/H423,"0")</f>
        <v>9</v>
      </c>
      <c r="Z424" s="643">
        <f>IFERROR(IF(Z421="",0,Z421),"0")+IFERROR(IF(Z422="",0,Z422),"0")+IFERROR(IF(Z423="",0,Z423),"0")</f>
        <v>5.8589999999999996E-2</v>
      </c>
      <c r="AA424" s="644"/>
      <c r="AB424" s="644"/>
      <c r="AC424" s="644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16</v>
      </c>
      <c r="Y425" s="643">
        <f>IFERROR(SUM(Y421:Y423),"0")</f>
        <v>18.900000000000002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18</v>
      </c>
      <c r="Y429" s="642">
        <f t="shared" ref="Y429:Y436" si="68">IFERROR(IF(X429="",0,CEILING((X429/$H429),1)*$H429),"")</f>
        <v>30</v>
      </c>
      <c r="Z429" s="36">
        <f>IFERROR(IF(Y429=0,"",ROUNDUP(Y429/H429,0)*0.02175),"")</f>
        <v>4.3499999999999997E-2</v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18.564000000000004</v>
      </c>
      <c r="BN429" s="64">
        <f t="shared" ref="BN429:BN436" si="70">IFERROR(Y429*I429/H429,"0")</f>
        <v>30.94</v>
      </c>
      <c r="BO429" s="64">
        <f t="shared" ref="BO429:BO436" si="71">IFERROR(1/J429*(X429/H429),"0")</f>
        <v>2.4999999999999998E-2</v>
      </c>
      <c r="BP429" s="64">
        <f t="shared" ref="BP429:BP436" si="72">IFERROR(1/J429*(Y429/H429),"0")</f>
        <v>4.1666666666666664E-2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1000</v>
      </c>
      <c r="Y430" s="642">
        <f t="shared" si="68"/>
        <v>1005</v>
      </c>
      <c r="Z430" s="36">
        <f>IFERROR(IF(Y430=0,"",ROUNDUP(Y430/H430,0)*0.02175),"")</f>
        <v>1.4572499999999999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1031.3333333333333</v>
      </c>
      <c r="BN430" s="64">
        <f t="shared" si="70"/>
        <v>1036.49</v>
      </c>
      <c r="BO430" s="64">
        <f t="shared" si="71"/>
        <v>1.3888888888888888</v>
      </c>
      <c r="BP430" s="64">
        <f t="shared" si="72"/>
        <v>1.3958333333333333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594</v>
      </c>
      <c r="Y431" s="642">
        <f t="shared" si="68"/>
        <v>600</v>
      </c>
      <c r="Z431" s="36">
        <f>IFERROR(IF(Y431=0,"",ROUNDUP(Y431/H431,0)*0.02175),"")</f>
        <v>0.86999999999999988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612.61199999999997</v>
      </c>
      <c r="BN431" s="64">
        <f t="shared" si="70"/>
        <v>618.79999999999995</v>
      </c>
      <c r="BO431" s="64">
        <f t="shared" si="71"/>
        <v>0.82499999999999996</v>
      </c>
      <c r="BP431" s="64">
        <f t="shared" si="72"/>
        <v>0.83333333333333326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411</v>
      </c>
      <c r="Y432" s="642">
        <f t="shared" si="68"/>
        <v>420</v>
      </c>
      <c r="Z432" s="36">
        <f>IFERROR(IF(Y432=0,"",ROUNDUP(Y432/H432,0)*0.02175),"")</f>
        <v>0.60899999999999999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423.87799999999999</v>
      </c>
      <c r="BN432" s="64">
        <f t="shared" si="70"/>
        <v>433.16</v>
      </c>
      <c r="BO432" s="64">
        <f t="shared" si="71"/>
        <v>0.5708333333333333</v>
      </c>
      <c r="BP432" s="64">
        <f t="shared" si="72"/>
        <v>0.58333333333333326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500</v>
      </c>
      <c r="Y433" s="642">
        <f t="shared" si="68"/>
        <v>510</v>
      </c>
      <c r="Z433" s="36">
        <f>IFERROR(IF(Y433=0,"",ROUNDUP(Y433/H433,0)*0.02175),"")</f>
        <v>0.73949999999999994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515.66666666666663</v>
      </c>
      <c r="BN433" s="64">
        <f t="shared" si="70"/>
        <v>525.98</v>
      </c>
      <c r="BO433" s="64">
        <f t="shared" si="71"/>
        <v>0.69444444444444442</v>
      </c>
      <c r="BP433" s="64">
        <f t="shared" si="72"/>
        <v>0.70833333333333326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168.20000000000002</v>
      </c>
      <c r="Y437" s="643">
        <f>IFERROR(Y429/H429,"0")+IFERROR(Y430/H430,"0")+IFERROR(Y431/H431,"0")+IFERROR(Y432/H432,"0")+IFERROR(Y433/H433,"0")+IFERROR(Y434/H434,"0")+IFERROR(Y435/H435,"0")+IFERROR(Y436/H436,"0")</f>
        <v>171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3.7192500000000002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2523</v>
      </c>
      <c r="Y438" s="643">
        <f>IFERROR(SUM(Y429:Y436),"0")</f>
        <v>2565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788</v>
      </c>
      <c r="Y440" s="642">
        <f>IFERROR(IF(X440="",0,CEILING((X440/$H440),1)*$H440),"")</f>
        <v>795</v>
      </c>
      <c r="Z440" s="36">
        <f>IFERROR(IF(Y440=0,"",ROUNDUP(Y440/H440,0)*0.02175),"")</f>
        <v>1.1527499999999999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812.69066666666674</v>
      </c>
      <c r="BN440" s="64">
        <f>IFERROR(Y440*I440/H440,"0")</f>
        <v>819.91</v>
      </c>
      <c r="BO440" s="64">
        <f>IFERROR(1/J440*(X440/H440),"0")</f>
        <v>1.0944444444444443</v>
      </c>
      <c r="BP440" s="64">
        <f>IFERROR(1/J440*(Y440/H440),"0")</f>
        <v>1.1041666666666665</v>
      </c>
    </row>
    <row r="441" spans="1:68" ht="27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48</v>
      </c>
      <c r="Y441" s="642">
        <f>IFERROR(IF(X441="",0,CEILING((X441/$H441),1)*$H441),"")</f>
        <v>60</v>
      </c>
      <c r="Z441" s="36">
        <f>IFERROR(IF(Y441=0,"",ROUNDUP(Y441/H441,0)*0.02175),"")</f>
        <v>8.6999999999999994E-2</v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49.504000000000005</v>
      </c>
      <c r="BN441" s="64">
        <f>IFERROR(Y441*I441/H441,"0")</f>
        <v>61.88</v>
      </c>
      <c r="BO441" s="64">
        <f>IFERROR(1/J441*(X441/H441),"0")</f>
        <v>6.6666666666666666E-2</v>
      </c>
      <c r="BP441" s="64">
        <f>IFERROR(1/J441*(Y441/H441),"0")</f>
        <v>8.3333333333333329E-2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55.733333333333334</v>
      </c>
      <c r="Y443" s="643">
        <f>IFERROR(Y440/H440,"0")+IFERROR(Y441/H441,"0")+IFERROR(Y442/H442,"0")</f>
        <v>57</v>
      </c>
      <c r="Z443" s="643">
        <f>IFERROR(IF(Z440="",0,Z440),"0")+IFERROR(IF(Z441="",0,Z441),"0")+IFERROR(IF(Z442="",0,Z442),"0")</f>
        <v>1.2397499999999999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836</v>
      </c>
      <c r="Y444" s="643">
        <f>IFERROR(SUM(Y440:Y442),"0")</f>
        <v>855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58</v>
      </c>
      <c r="Y447" s="642">
        <f>IFERROR(IF(X447="",0,CEILING((X447/$H447),1)*$H447),"")</f>
        <v>63</v>
      </c>
      <c r="Z447" s="36">
        <f>IFERROR(IF(Y447=0,"",ROUNDUP(Y447/H447,0)*0.01898),"")</f>
        <v>0.13286000000000001</v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61.183555555555557</v>
      </c>
      <c r="BN447" s="64">
        <f>IFERROR(Y447*I447/H447,"0")</f>
        <v>66.457999999999998</v>
      </c>
      <c r="BO447" s="64">
        <f>IFERROR(1/J447*(X447/H447),"0")</f>
        <v>0.10069444444444445</v>
      </c>
      <c r="BP447" s="64">
        <f>IFERROR(1/J447*(Y447/H447),"0")</f>
        <v>0.109375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6.4444444444444446</v>
      </c>
      <c r="Y449" s="643">
        <f>IFERROR(Y446/H446,"0")+IFERROR(Y447/H447,"0")+IFERROR(Y448/H448,"0")</f>
        <v>7</v>
      </c>
      <c r="Z449" s="643">
        <f>IFERROR(IF(Z446="",0,Z446),"0")+IFERROR(IF(Z447="",0,Z447),"0")+IFERROR(IF(Z448="",0,Z448),"0")</f>
        <v>0.13286000000000001</v>
      </c>
      <c r="AA449" s="644"/>
      <c r="AB449" s="644"/>
      <c r="AC449" s="644"/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58</v>
      </c>
      <c r="Y450" s="643">
        <f>IFERROR(SUM(Y446:Y448),"0")</f>
        <v>63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80</v>
      </c>
      <c r="Y453" s="642">
        <f>IFERROR(IF(X453="",0,CEILING((X453/$H453),1)*$H453),"")</f>
        <v>81</v>
      </c>
      <c r="Z453" s="36">
        <f>IFERROR(IF(Y453=0,"",ROUNDUP(Y453/H453,0)*0.01898),"")</f>
        <v>0.17082</v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84.391111111111115</v>
      </c>
      <c r="BN453" s="64">
        <f>IFERROR(Y453*I453/H453,"0")</f>
        <v>85.445999999999998</v>
      </c>
      <c r="BO453" s="64">
        <f>IFERROR(1/J453*(X453/H453),"0")</f>
        <v>0.1388888888888889</v>
      </c>
      <c r="BP453" s="64">
        <f>IFERROR(1/J453*(Y453/H453),"0")</f>
        <v>0.140625</v>
      </c>
    </row>
    <row r="454" spans="1:68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8.8888888888888893</v>
      </c>
      <c r="Y454" s="643">
        <f>IFERROR(Y452/H452,"0")+IFERROR(Y453/H453,"0")</f>
        <v>9</v>
      </c>
      <c r="Z454" s="643">
        <f>IFERROR(IF(Z452="",0,Z452),"0")+IFERROR(IF(Z453="",0,Z453),"0")</f>
        <v>0.17082</v>
      </c>
      <c r="AA454" s="644"/>
      <c r="AB454" s="644"/>
      <c r="AC454" s="644"/>
    </row>
    <row r="455" spans="1:68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80</v>
      </c>
      <c r="Y455" s="643">
        <f>IFERROR(SUM(Y452:Y453),"0")</f>
        <v>81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300</v>
      </c>
      <c r="Y467" s="642">
        <f>IFERROR(IF(X467="",0,CEILING((X467/$H467),1)*$H467),"")</f>
        <v>306</v>
      </c>
      <c r="Z467" s="36">
        <f>IFERROR(IF(Y467=0,"",ROUNDUP(Y467/H467,0)*0.01898),"")</f>
        <v>0.64532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316.46666666666664</v>
      </c>
      <c r="BN467" s="64">
        <f>IFERROR(Y467*I467/H467,"0")</f>
        <v>322.79599999999999</v>
      </c>
      <c r="BO467" s="64">
        <f>IFERROR(1/J467*(X467/H467),"0")</f>
        <v>0.52083333333333337</v>
      </c>
      <c r="BP467" s="64">
        <f>IFERROR(1/J467*(Y467/H467),"0")</f>
        <v>0.53125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60</v>
      </c>
      <c r="Y468" s="642">
        <f>IFERROR(IF(X468="",0,CEILING((X468/$H468),1)*$H468),"")</f>
        <v>60</v>
      </c>
      <c r="Z468" s="36">
        <f>IFERROR(IF(Y468=0,"",ROUNDUP(Y468/H468,0)*0.00651),"")</f>
        <v>0.16275000000000001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66.600000000000009</v>
      </c>
      <c r="BN468" s="64">
        <f>IFERROR(Y468*I468/H468,"0")</f>
        <v>66.600000000000009</v>
      </c>
      <c r="BO468" s="64">
        <f>IFERROR(1/J468*(X468/H468),"0")</f>
        <v>0.13736263736263737</v>
      </c>
      <c r="BP468" s="64">
        <f>IFERROR(1/J468*(Y468/H468),"0")</f>
        <v>0.13736263736263737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58.333333333333336</v>
      </c>
      <c r="Y470" s="643">
        <f>IFERROR(Y467/H467,"0")+IFERROR(Y468/H468,"0")+IFERROR(Y469/H469,"0")</f>
        <v>59</v>
      </c>
      <c r="Z470" s="643">
        <f>IFERROR(IF(Z467="",0,Z467),"0")+IFERROR(IF(Z468="",0,Z468),"0")+IFERROR(IF(Z469="",0,Z469),"0")</f>
        <v>0.80807000000000007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360</v>
      </c>
      <c r="Y471" s="643">
        <f>IFERROR(SUM(Y467:Y469),"0")</f>
        <v>366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90</v>
      </c>
      <c r="Y475" s="642">
        <f t="shared" ref="Y475:Y480" si="73">IFERROR(IF(X475="",0,CEILING((X475/$H475),1)*$H475),"")</f>
        <v>91.800000000000011</v>
      </c>
      <c r="Z475" s="36">
        <f>IFERROR(IF(Y475=0,"",ROUNDUP(Y475/H475,0)*0.00902),"")</f>
        <v>0.15334</v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93.166666666666657</v>
      </c>
      <c r="BN475" s="64">
        <f t="shared" ref="BN475:BN480" si="75">IFERROR(Y475*I475/H475,"0")</f>
        <v>95.03</v>
      </c>
      <c r="BO475" s="64">
        <f t="shared" ref="BO475:BO480" si="76">IFERROR(1/J475*(X475/H475),"0")</f>
        <v>0.12626262626262624</v>
      </c>
      <c r="BP475" s="64">
        <f t="shared" ref="BP475:BP480" si="77">IFERROR(1/J475*(Y475/H475),"0")</f>
        <v>0.12878787878787878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16.666666666666664</v>
      </c>
      <c r="Y481" s="643">
        <f>IFERROR(Y475/H475,"0")+IFERROR(Y476/H476,"0")+IFERROR(Y477/H477,"0")+IFERROR(Y478/H478,"0")+IFERROR(Y479/H479,"0")+IFERROR(Y480/H480,"0")</f>
        <v>17</v>
      </c>
      <c r="Z481" s="643">
        <f>IFERROR(IF(Z475="",0,Z475),"0")+IFERROR(IF(Z476="",0,Z476),"0")+IFERROR(IF(Z477="",0,Z477),"0")+IFERROR(IF(Z478="",0,Z478),"0")+IFERROR(IF(Z479="",0,Z479),"0")+IFERROR(IF(Z480="",0,Z480),"0")</f>
        <v>0.15334</v>
      </c>
      <c r="AA481" s="644"/>
      <c r="AB481" s="644"/>
      <c r="AC481" s="644"/>
    </row>
    <row r="482" spans="1:68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90</v>
      </c>
      <c r="Y482" s="643">
        <f>IFERROR(SUM(Y475:Y480),"0")</f>
        <v>91.800000000000011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225</v>
      </c>
      <c r="Y494" s="642">
        <f>IFERROR(IF(X494="",0,CEILING((X494/$H494),1)*$H494),"")</f>
        <v>226.8</v>
      </c>
      <c r="Z494" s="36">
        <f>IFERROR(IF(Y494=0,"",ROUNDUP(Y494/H494,0)*0.00902),"")</f>
        <v>0.37884000000000001</v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232.91666666666666</v>
      </c>
      <c r="BN494" s="64">
        <f>IFERROR(Y494*I494/H494,"0")</f>
        <v>234.78</v>
      </c>
      <c r="BO494" s="64">
        <f>IFERROR(1/J494*(X494/H494),"0")</f>
        <v>0.31565656565656564</v>
      </c>
      <c r="BP494" s="64">
        <f>IFERROR(1/J494*(Y494/H494),"0")</f>
        <v>0.31818181818181818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41.666666666666664</v>
      </c>
      <c r="Y497" s="643">
        <f>IFERROR(Y494/H494,"0")+IFERROR(Y495/H495,"0")+IFERROR(Y496/H496,"0")</f>
        <v>42</v>
      </c>
      <c r="Z497" s="643">
        <f>IFERROR(IF(Z494="",0,Z494),"0")+IFERROR(IF(Z495="",0,Z495),"0")+IFERROR(IF(Z496="",0,Z496),"0")</f>
        <v>0.37884000000000001</v>
      </c>
      <c r="AA497" s="644"/>
      <c r="AB497" s="644"/>
      <c r="AC497" s="644"/>
    </row>
    <row r="498" spans="1:68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225</v>
      </c>
      <c r="Y498" s="643">
        <f>IFERROR(SUM(Y494:Y496),"0")</f>
        <v>226.8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0</v>
      </c>
      <c r="Y505" s="642">
        <f t="shared" si="78"/>
        <v>0</v>
      </c>
      <c r="Z505" s="36" t="str">
        <f t="shared" si="79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0</v>
      </c>
      <c r="Y507" s="642">
        <f t="shared" si="78"/>
        <v>0</v>
      </c>
      <c r="Z507" s="36" t="str">
        <f t="shared" si="79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idden="1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0</v>
      </c>
      <c r="Y511" s="643">
        <f>IFERROR(Y502/H502,"0")+IFERROR(Y503/H503,"0")+IFERROR(Y504/H504,"0")+IFERROR(Y505/H505,"0")+IFERROR(Y506/H506,"0")+IFERROR(Y507/H507,"0")+IFERROR(Y508/H508,"0")+IFERROR(Y509/H509,"0")+IFERROR(Y510/H510,"0")</f>
        <v>0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4"/>
      <c r="AB511" s="644"/>
      <c r="AC511" s="644"/>
    </row>
    <row r="512" spans="1:68" hidden="1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0</v>
      </c>
      <c r="Y512" s="643">
        <f>IFERROR(SUM(Y502:Y510),"0")</f>
        <v>0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270</v>
      </c>
      <c r="Y514" s="642">
        <f>IFERROR(IF(X514="",0,CEILING((X514/$H514),1)*$H514),"")</f>
        <v>274.56</v>
      </c>
      <c r="Z514" s="36">
        <f>IFERROR(IF(Y514=0,"",ROUNDUP(Y514/H514,0)*0.01196),"")</f>
        <v>0.62192000000000003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287.89772727272725</v>
      </c>
      <c r="BN514" s="64">
        <f>IFERROR(Y514*I514/H514,"0")</f>
        <v>292.76</v>
      </c>
      <c r="BO514" s="64">
        <f>IFERROR(1/J514*(X514/H514),"0")</f>
        <v>0.49169580419580416</v>
      </c>
      <c r="BP514" s="64">
        <f>IFERROR(1/J514*(Y514/H514),"0")</f>
        <v>0.5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51.136363636363633</v>
      </c>
      <c r="Y517" s="643">
        <f>IFERROR(Y514/H514,"0")+IFERROR(Y515/H515,"0")+IFERROR(Y516/H516,"0")</f>
        <v>52</v>
      </c>
      <c r="Z517" s="643">
        <f>IFERROR(IF(Z514="",0,Z514),"0")+IFERROR(IF(Z515="",0,Z515),"0")+IFERROR(IF(Z516="",0,Z516),"0")</f>
        <v>0.62192000000000003</v>
      </c>
      <c r="AA517" s="644"/>
      <c r="AB517" s="644"/>
      <c r="AC517" s="644"/>
    </row>
    <row r="518" spans="1:68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270</v>
      </c>
      <c r="Y518" s="643">
        <f>IFERROR(SUM(Y514:Y516),"0")</f>
        <v>274.56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140</v>
      </c>
      <c r="Y520" s="642">
        <f t="shared" ref="Y520:Y526" si="84">IFERROR(IF(X520="",0,CEILING((X520/$H520),1)*$H520),"")</f>
        <v>142.56</v>
      </c>
      <c r="Z520" s="36">
        <f>IFERROR(IF(Y520=0,"",ROUNDUP(Y520/H520,0)*0.01196),"")</f>
        <v>0.32291999999999998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149.280303030303</v>
      </c>
      <c r="BN520" s="64">
        <f t="shared" ref="BN520:BN526" si="86">IFERROR(Y520*I520/H520,"0")</f>
        <v>152.01</v>
      </c>
      <c r="BO520" s="64">
        <f t="shared" ref="BO520:BO526" si="87">IFERROR(1/J520*(X520/H520),"0")</f>
        <v>0.25495337995337997</v>
      </c>
      <c r="BP520" s="64">
        <f t="shared" ref="BP520:BP526" si="88">IFERROR(1/J520*(Y520/H520),"0")</f>
        <v>0.25961538461538464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100</v>
      </c>
      <c r="Y521" s="642">
        <f t="shared" si="84"/>
        <v>100.32000000000001</v>
      </c>
      <c r="Z521" s="36">
        <f>IFERROR(IF(Y521=0,"",ROUNDUP(Y521/H521,0)*0.01196),"")</f>
        <v>0.22724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106.62878787878788</v>
      </c>
      <c r="BN521" s="64">
        <f t="shared" si="86"/>
        <v>106.97</v>
      </c>
      <c r="BO521" s="64">
        <f t="shared" si="87"/>
        <v>0.18210955710955709</v>
      </c>
      <c r="BP521" s="64">
        <f t="shared" si="88"/>
        <v>0.18269230769230771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304</v>
      </c>
      <c r="Y522" s="642">
        <f t="shared" si="84"/>
        <v>306.24</v>
      </c>
      <c r="Z522" s="36">
        <f>IFERROR(IF(Y522=0,"",ROUNDUP(Y522/H522,0)*0.01196),"")</f>
        <v>0.69367999999999996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324.15151515151513</v>
      </c>
      <c r="BN522" s="64">
        <f t="shared" si="86"/>
        <v>326.53999999999996</v>
      </c>
      <c r="BO522" s="64">
        <f t="shared" si="87"/>
        <v>0.55361305361305357</v>
      </c>
      <c r="BP522" s="64">
        <f t="shared" si="88"/>
        <v>0.55769230769230771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103.03030303030303</v>
      </c>
      <c r="Y527" s="643">
        <f>IFERROR(Y520/H520,"0")+IFERROR(Y521/H521,"0")+IFERROR(Y522/H522,"0")+IFERROR(Y523/H523,"0")+IFERROR(Y524/H524,"0")+IFERROR(Y525/H525,"0")+IFERROR(Y526/H526,"0")</f>
        <v>104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1.2438400000000001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544</v>
      </c>
      <c r="Y528" s="643">
        <f>IFERROR(SUM(Y520:Y526),"0")</f>
        <v>549.12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150</v>
      </c>
      <c r="Y544" s="642">
        <f>IFERROR(IF(X544="",0,CEILING((X544/$H544),1)*$H544),"")</f>
        <v>153</v>
      </c>
      <c r="Z544" s="36">
        <f>IFERROR(IF(Y544=0,"",ROUNDUP(Y544/H544,0)*0.01898),"")</f>
        <v>0.32266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158.23333333333332</v>
      </c>
      <c r="BN544" s="64">
        <f>IFERROR(Y544*I544/H544,"0")</f>
        <v>161.398</v>
      </c>
      <c r="BO544" s="64">
        <f>IFERROR(1/J544*(X544/H544),"0")</f>
        <v>0.26041666666666669</v>
      </c>
      <c r="BP544" s="64">
        <f>IFERROR(1/J544*(Y544/H544),"0")</f>
        <v>0.265625</v>
      </c>
    </row>
    <row r="545" spans="1:68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16.666666666666668</v>
      </c>
      <c r="Y545" s="643">
        <f>IFERROR(Y544/H544,"0")</f>
        <v>17</v>
      </c>
      <c r="Z545" s="643">
        <f>IFERROR(IF(Z544="",0,Z544),"0")</f>
        <v>0.32266</v>
      </c>
      <c r="AA545" s="644"/>
      <c r="AB545" s="644"/>
      <c r="AC545" s="644"/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150</v>
      </c>
      <c r="Y546" s="643">
        <f>IFERROR(SUM(Y544:Y544),"0")</f>
        <v>153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9155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9325.31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9618.5280354175811</v>
      </c>
      <c r="Y559" s="643">
        <f>IFERROR(SUM(BN22:BN555),"0")</f>
        <v>9797.264000000001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16</v>
      </c>
      <c r="Y560" s="38">
        <f>ROUNDUP(SUM(BP22:BP555),0)</f>
        <v>17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10018.528035417581</v>
      </c>
      <c r="Y561" s="643">
        <f>GrossWeightTotalR+PalletQtyTotalR*25</f>
        <v>10222.264000000001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1619.6932017274721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1646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18.539389999999997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162.30000000000001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204.20000000000002</v>
      </c>
      <c r="F568" s="46">
        <f>IFERROR(Y85*1,"0")+IFERROR(Y86*1,"0")+IFERROR(Y87*1,"0")+IFERROR(Y88*1,"0")+IFERROR(Y89*1,"0")+IFERROR(Y90*1,"0")+IFERROR(Y94*1,"0")+IFERROR(Y95*1,"0")+IFERROR(Y96*1,"0")+IFERROR(Y97*1,"0")</f>
        <v>502.2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173.10000000000002</v>
      </c>
      <c r="H568" s="46">
        <f>IFERROR(Y131*1,"0")+IFERROR(Y132*1,"0")+IFERROR(Y136*1,"0")+IFERROR(Y137*1,"0")+IFERROR(Y141*1,"0")+IFERROR(Y142*1,"0")</f>
        <v>202.56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967.67999999999984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340.78000000000009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1032.3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3.6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0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15.6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476.81000000000006</v>
      </c>
      <c r="U568" s="46">
        <f>IFERROR(Y415*1,"0")+IFERROR(Y416*1,"0")</f>
        <v>0</v>
      </c>
      <c r="V568" s="46">
        <f>IFERROR(Y421*1,"0")+IFERROR(Y422*1,"0")+IFERROR(Y423*1,"0")</f>
        <v>18.900000000000002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3564</v>
      </c>
      <c r="X568" s="46">
        <f>IFERROR(Y458*1,"0")+IFERROR(Y459*1,"0")+IFERROR(Y463*1,"0")+IFERROR(Y467*1,"0")+IFERROR(Y468*1,"0")+IFERROR(Y469*1,"0")</f>
        <v>366</v>
      </c>
      <c r="Y568" s="46">
        <f>IFERROR(Y475*1,"0")+IFERROR(Y476*1,"0")+IFERROR(Y477*1,"0")+IFERROR(Y478*1,"0")+IFERROR(Y479*1,"0")+IFERROR(Y480*1,"0")+IFERROR(Y484*1,"0")+IFERROR(Y485*1,"0")</f>
        <v>91.800000000000011</v>
      </c>
      <c r="Z568" s="46">
        <f>IFERROR(Y490*1,"0")+IFERROR(Y494*1,"0")+IFERROR(Y495*1,"0")+IFERROR(Y496*1,"0")</f>
        <v>226.8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823.68000000000006</v>
      </c>
      <c r="AB568" s="46">
        <f>IFERROR(Y532*1,"0")+IFERROR(Y536*1,"0")+IFERROR(Y540*1,"0")+IFERROR(Y544*1,"0")+IFERROR(Y548*1,"0")+IFERROR(Y549*1,"0")</f>
        <v>153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619,69"/>
        <filter val="1,11"/>
        <filter val="1,67"/>
        <filter val="10 018,53"/>
        <filter val="10,00"/>
        <filter val="100,00"/>
        <filter val="103,03"/>
        <filter val="105,00"/>
        <filter val="11,00"/>
        <filter val="11,02"/>
        <filter val="119,00"/>
        <filter val="12,00"/>
        <filter val="122,62"/>
        <filter val="13,00"/>
        <filter val="13,24"/>
        <filter val="140,00"/>
        <filter val="143,00"/>
        <filter val="15,00"/>
        <filter val="150,00"/>
        <filter val="158,00"/>
        <filter val="16"/>
        <filter val="16,00"/>
        <filter val="16,05"/>
        <filter val="16,67"/>
        <filter val="168,20"/>
        <filter val="17,00"/>
        <filter val="18,00"/>
        <filter val="18,13"/>
        <filter val="180,00"/>
        <filter val="2 523,00"/>
        <filter val="2,00"/>
        <filter val="20,00"/>
        <filter val="202,00"/>
        <filter val="220,24"/>
        <filter val="225,00"/>
        <filter val="23,11"/>
        <filter val="240,00"/>
        <filter val="25,64"/>
        <filter val="250,00"/>
        <filter val="26,00"/>
        <filter val="27,00"/>
        <filter val="27,86"/>
        <filter val="270,00"/>
        <filter val="3,97"/>
        <filter val="300,00"/>
        <filter val="304,00"/>
        <filter val="323,00"/>
        <filter val="326,00"/>
        <filter val="33,61"/>
        <filter val="339,29"/>
        <filter val="35,00"/>
        <filter val="356,00"/>
        <filter val="360,00"/>
        <filter val="371,00"/>
        <filter val="4,00"/>
        <filter val="4,04"/>
        <filter val="41,56"/>
        <filter val="41,67"/>
        <filter val="411,00"/>
        <filter val="45,00"/>
        <filter val="45,80"/>
        <filter val="46,00"/>
        <filter val="48,00"/>
        <filter val="5,00"/>
        <filter val="50,00"/>
        <filter val="500,00"/>
        <filter val="51,14"/>
        <filter val="544,00"/>
        <filter val="55,73"/>
        <filter val="58,00"/>
        <filter val="58,33"/>
        <filter val="594,00"/>
        <filter val="6,00"/>
        <filter val="6,44"/>
        <filter val="60,00"/>
        <filter val="61,00"/>
        <filter val="645,00"/>
        <filter val="7,00"/>
        <filter val="7,50"/>
        <filter val="7,62"/>
        <filter val="7,94"/>
        <filter val="70,00"/>
        <filter val="75,00"/>
        <filter val="78,00"/>
        <filter val="788,00"/>
        <filter val="8,00"/>
        <filter val="8,89"/>
        <filter val="80,00"/>
        <filter val="836,00"/>
        <filter val="9 155,00"/>
        <filter val="9 618,53"/>
        <filter val="9,00"/>
        <filter val="90,00"/>
        <filter val="95,93"/>
        <filter val="960,00"/>
        <filter val="97,00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2026-09-17T12:08:34Z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