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19E4E9-4945-4B86-B41B-664779243DF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M495" i="1"/>
  <c r="Z495" i="1"/>
  <c r="Y495" i="1"/>
  <c r="BN495" i="1" s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M476" i="1"/>
  <c r="Z476" i="1"/>
  <c r="Y476" i="1"/>
  <c r="BN476" i="1" s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BN421" i="1" s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M403" i="1"/>
  <c r="Z403" i="1"/>
  <c r="Y403" i="1"/>
  <c r="BN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M345" i="1"/>
  <c r="Z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N295" i="1"/>
  <c r="BM295" i="1"/>
  <c r="Y295" i="1"/>
  <c r="BP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M276" i="1"/>
  <c r="Z276" i="1"/>
  <c r="Y276" i="1"/>
  <c r="BN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M264" i="1"/>
  <c r="Z264" i="1"/>
  <c r="Y264" i="1"/>
  <c r="BN264" i="1" s="1"/>
  <c r="P264" i="1"/>
  <c r="X262" i="1"/>
  <c r="Y261" i="1"/>
  <c r="X261" i="1"/>
  <c r="BO260" i="1"/>
  <c r="BN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N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N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N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M219" i="1"/>
  <c r="Z219" i="1"/>
  <c r="Y219" i="1"/>
  <c r="BN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N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M188" i="1"/>
  <c r="Z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M175" i="1"/>
  <c r="Z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4" i="1" s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N161" i="1"/>
  <c r="BM161" i="1"/>
  <c r="Y161" i="1"/>
  <c r="BP161" i="1" s="1"/>
  <c r="P161" i="1"/>
  <c r="X158" i="1"/>
  <c r="X157" i="1"/>
  <c r="BP156" i="1"/>
  <c r="BO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N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M120" i="1"/>
  <c r="Z120" i="1"/>
  <c r="Y120" i="1"/>
  <c r="BN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N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M89" i="1"/>
  <c r="Z89" i="1"/>
  <c r="Y89" i="1"/>
  <c r="BN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M78" i="1"/>
  <c r="Z78" i="1"/>
  <c r="Y78" i="1"/>
  <c r="BN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M49" i="1"/>
  <c r="Z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M37" i="1"/>
  <c r="Z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558" i="1" s="1"/>
  <c r="X24" i="1"/>
  <c r="BO23" i="1"/>
  <c r="BN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58" i="1" l="1"/>
  <c r="BP58" i="1"/>
  <c r="Z85" i="1"/>
  <c r="BP85" i="1"/>
  <c r="Z97" i="1"/>
  <c r="BP97" i="1"/>
  <c r="Z126" i="1"/>
  <c r="Z127" i="1" s="1"/>
  <c r="BP126" i="1"/>
  <c r="Z206" i="1"/>
  <c r="BP206" i="1"/>
  <c r="Z231" i="1"/>
  <c r="BP231" i="1"/>
  <c r="Z243" i="1"/>
  <c r="BP243" i="1"/>
  <c r="Z272" i="1"/>
  <c r="BP272" i="1"/>
  <c r="Z282" i="1"/>
  <c r="BP282" i="1"/>
  <c r="Z289" i="1"/>
  <c r="BP289" i="1"/>
  <c r="Z373" i="1"/>
  <c r="BP373" i="1"/>
  <c r="Z385" i="1"/>
  <c r="BP385" i="1"/>
  <c r="Z421" i="1"/>
  <c r="BP421" i="1"/>
  <c r="Z433" i="1"/>
  <c r="BP433" i="1"/>
  <c r="Z453" i="1"/>
  <c r="BP453" i="1"/>
  <c r="Z505" i="1"/>
  <c r="BP505" i="1"/>
  <c r="X559" i="1"/>
  <c r="Z23" i="1"/>
  <c r="Y33" i="1"/>
  <c r="Z66" i="1"/>
  <c r="Z104" i="1"/>
  <c r="Z141" i="1"/>
  <c r="I568" i="1"/>
  <c r="BN156" i="1"/>
  <c r="Y157" i="1"/>
  <c r="Z161" i="1"/>
  <c r="Z227" i="1"/>
  <c r="Z239" i="1"/>
  <c r="Z260" i="1"/>
  <c r="Z295" i="1"/>
  <c r="Z327" i="1"/>
  <c r="Z391" i="1"/>
  <c r="Z429" i="1"/>
  <c r="Z441" i="1"/>
  <c r="Z525" i="1"/>
  <c r="AB568" i="1"/>
  <c r="BN126" i="1"/>
  <c r="Y127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X561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BP422" i="1"/>
  <c r="BN422" i="1"/>
  <c r="Z422" i="1"/>
  <c r="Y424" i="1"/>
  <c r="P568" i="1"/>
  <c r="Y24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BN73" i="1"/>
  <c r="Z79" i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Y386" i="1"/>
  <c r="Z392" i="1"/>
  <c r="BP390" i="1"/>
  <c r="BN390" i="1"/>
  <c r="Z390" i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7" i="1"/>
  <c r="Z386" i="1" l="1"/>
  <c r="Z338" i="1"/>
  <c r="Z424" i="1"/>
  <c r="Z81" i="1"/>
  <c r="Z91" i="1"/>
  <c r="Z32" i="1"/>
  <c r="Z292" i="1"/>
  <c r="Z481" i="1"/>
  <c r="Z443" i="1"/>
  <c r="Z437" i="1"/>
  <c r="Z331" i="1"/>
  <c r="Z308" i="1"/>
  <c r="Z369" i="1"/>
  <c r="Z190" i="1"/>
  <c r="Z184" i="1"/>
  <c r="Z153" i="1"/>
  <c r="Z123" i="1"/>
  <c r="Z108" i="1"/>
  <c r="Z98" i="1"/>
  <c r="Z75" i="1"/>
  <c r="Z51" i="1"/>
  <c r="Z42" i="1"/>
  <c r="Z399" i="1"/>
  <c r="Z352" i="1"/>
  <c r="Z556" i="1"/>
  <c r="Z527" i="1"/>
  <c r="Z470" i="1"/>
  <c r="Z449" i="1"/>
  <c r="Y558" i="1"/>
  <c r="Y559" i="1"/>
  <c r="Y562" i="1"/>
  <c r="Z322" i="1"/>
  <c r="Z277" i="1"/>
  <c r="Z251" i="1"/>
  <c r="Z511" i="1"/>
  <c r="Z497" i="1"/>
  <c r="Z379" i="1"/>
  <c r="Z233" i="1"/>
  <c r="Z116" i="1"/>
  <c r="Z69" i="1"/>
  <c r="Z62" i="1"/>
  <c r="Y560" i="1"/>
  <c r="Z411" i="1"/>
  <c r="Z347" i="1"/>
  <c r="Z245" i="1"/>
  <c r="Z210" i="1"/>
  <c r="Z563" i="1" l="1"/>
  <c r="Y561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<sst xmlns="http://schemas.openxmlformats.org/spreadsheetml/2006/main" count="2542" uniqueCount="915">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</sst>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46285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890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6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0.45833333333333331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1194</v>
      </c>
      <c r="Y47" s="642">
        <f>IFERROR(IF(X47="",0,CEILING((X47/$H47),1)*$H47),"")</f>
        <v>1198.8000000000002</v>
      </c>
      <c r="Z47" s="36">
        <f>IFERROR(IF(Y47=0,"",ROUNDUP(Y47/H47,0)*0.01898),"")</f>
        <v>2.1067800000000001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1239.3277777777778</v>
      </c>
      <c r="BN47" s="64">
        <f>IFERROR(Y47*I47/H47,"0")</f>
        <v>1244.3100000000002</v>
      </c>
      <c r="BO47" s="64">
        <f>IFERROR(1/J47*(X47/H47),"0")</f>
        <v>1.7274305555555554</v>
      </c>
      <c r="BP47" s="64">
        <f>IFERROR(1/J47*(Y47/H47),"0")</f>
        <v>1.7343750000000002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84</v>
      </c>
      <c r="Y50" s="642">
        <f>IFERROR(IF(X50="",0,CEILING((X50/$H50),1)*$H50),"")</f>
        <v>85.100000000000009</v>
      </c>
      <c r="Z50" s="36">
        <f>IFERROR(IF(Y50=0,"",ROUNDUP(Y50/H50,0)*0.00902),"")</f>
        <v>0.20746000000000001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88.313513513513513</v>
      </c>
      <c r="BN50" s="64">
        <f>IFERROR(Y50*I50/H50,"0")</f>
        <v>89.470000000000013</v>
      </c>
      <c r="BO50" s="64">
        <f>IFERROR(1/J50*(X50/H50),"0")</f>
        <v>0.171990171990172</v>
      </c>
      <c r="BP50" s="64">
        <f>IFERROR(1/J50*(Y50/H50),"0")</f>
        <v>0.17424242424242425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133.25825825825825</v>
      </c>
      <c r="Y51" s="643">
        <f>IFERROR(Y47/H47,"0")+IFERROR(Y48/H48,"0")+IFERROR(Y49/H49,"0")+IFERROR(Y50/H50,"0")</f>
        <v>134</v>
      </c>
      <c r="Z51" s="643">
        <f>IFERROR(IF(Z47="",0,Z47),"0")+IFERROR(IF(Z48="",0,Z48),"0")+IFERROR(IF(Z49="",0,Z49),"0")+IFERROR(IF(Z50="",0,Z50),"0")</f>
        <v>2.3142400000000003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1278</v>
      </c>
      <c r="Y52" s="643">
        <f>IFERROR(SUM(Y47:Y50),"0")</f>
        <v>1283.9000000000001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0</v>
      </c>
      <c r="Y62" s="643">
        <f>IFERROR(Y55/H55,"0")+IFERROR(Y56/H56,"0")+IFERROR(Y57/H57,"0")+IFERROR(Y58/H58,"0")+IFERROR(Y59/H59,"0")+IFERROR(Y60/H60,"0")+IFERROR(Y61/H61,"0")</f>
        <v>0</v>
      </c>
      <c r="Z62" s="6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44"/>
      <c r="AB62" s="644"/>
      <c r="AC62" s="64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0</v>
      </c>
      <c r="Y63" s="643">
        <f>IFERROR(SUM(Y55:Y61),"0")</f>
        <v>0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168</v>
      </c>
      <c r="Y65" s="642">
        <f>IFERROR(IF(X65="",0,CEILING((X65/$H65),1)*$H65),"")</f>
        <v>172.8</v>
      </c>
      <c r="Z65" s="36">
        <f>IFERROR(IF(Y65=0,"",ROUNDUP(Y65/H65,0)*0.01898),"")</f>
        <v>0.30368000000000001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174.37777777777779</v>
      </c>
      <c r="BN65" s="64">
        <f>IFERROR(Y65*I65/H65,"0")</f>
        <v>179.36</v>
      </c>
      <c r="BO65" s="64">
        <f>IFERROR(1/J65*(X65/H65),"0")</f>
        <v>0.24305555555555555</v>
      </c>
      <c r="BP65" s="64">
        <f>IFERROR(1/J65*(Y65/H65),"0")</f>
        <v>0.25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15.555555555555555</v>
      </c>
      <c r="Y69" s="643">
        <f>IFERROR(Y65/H65,"0")+IFERROR(Y66/H66,"0")+IFERROR(Y67/H67,"0")+IFERROR(Y68/H68,"0")</f>
        <v>16</v>
      </c>
      <c r="Z69" s="643">
        <f>IFERROR(IF(Z65="",0,Z65),"0")+IFERROR(IF(Z66="",0,Z66),"0")+IFERROR(IF(Z67="",0,Z67),"0")+IFERROR(IF(Z68="",0,Z68),"0")</f>
        <v>0.30368000000000001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168</v>
      </c>
      <c r="Y70" s="643">
        <f>IFERROR(SUM(Y65:Y68),"0")</f>
        <v>172.8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108</v>
      </c>
      <c r="Y85" s="642">
        <f t="shared" ref="Y85:Y90" si="5"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112.1</v>
      </c>
      <c r="BN85" s="64">
        <f t="shared" ref="BN85:BN90" si="7">IFERROR(Y85*I85/H85,"0")</f>
        <v>112.1</v>
      </c>
      <c r="BO85" s="64">
        <f t="shared" ref="BO85:BO90" si="8">IFERROR(1/J85*(X85/H85),"0")</f>
        <v>0.15625</v>
      </c>
      <c r="BP85" s="64">
        <f t="shared" ref="BP85:BP90" si="9">IFERROR(1/J85*(Y85/H85),"0")</f>
        <v>0.15625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10</v>
      </c>
      <c r="Y91" s="643">
        <f>IFERROR(Y85/H85,"0")+IFERROR(Y86/H86,"0")+IFERROR(Y87/H87,"0")+IFERROR(Y88/H88,"0")+IFERROR(Y89/H89,"0")+IFERROR(Y90/H90,"0")</f>
        <v>10</v>
      </c>
      <c r="Z91" s="643">
        <f>IFERROR(IF(Z85="",0,Z85),"0")+IFERROR(IF(Z86="",0,Z86),"0")+IFERROR(IF(Z87="",0,Z87),"0")+IFERROR(IF(Z88="",0,Z88),"0")+IFERROR(IF(Z89="",0,Z89),"0")+IFERROR(IF(Z90="",0,Z90),"0")</f>
        <v>0.1898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108</v>
      </c>
      <c r="Y92" s="643">
        <f>IFERROR(SUM(Y85:Y90),"0")</f>
        <v>108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163</v>
      </c>
      <c r="Y96" s="642">
        <f>IFERROR(IF(X96="",0,CEILING((X96/$H96),1)*$H96),"")</f>
        <v>164.70000000000002</v>
      </c>
      <c r="Z96" s="36">
        <f>IFERROR(IF(Y96=0,"",ROUNDUP(Y96/H96,0)*0.00651),"")</f>
        <v>0.39711000000000002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178.21333333333331</v>
      </c>
      <c r="BN96" s="64">
        <f>IFERROR(Y96*I96/H96,"0")</f>
        <v>180.072</v>
      </c>
      <c r="BO96" s="64">
        <f>IFERROR(1/J96*(X96/H96),"0")</f>
        <v>0.33170533170533173</v>
      </c>
      <c r="BP96" s="64">
        <f>IFERROR(1/J96*(Y96/H96),"0")</f>
        <v>0.3351648351648352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60.370370370370367</v>
      </c>
      <c r="Y98" s="643">
        <f>IFERROR(Y94/H94,"0")+IFERROR(Y95/H95,"0")+IFERROR(Y96/H96,"0")+IFERROR(Y97/H97,"0")</f>
        <v>61</v>
      </c>
      <c r="Z98" s="643">
        <f>IFERROR(IF(Z94="",0,Z94),"0")+IFERROR(IF(Z95="",0,Z95),"0")+IFERROR(IF(Z96="",0,Z96),"0")+IFERROR(IF(Z97="",0,Z97),"0")</f>
        <v>0.39711000000000002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163</v>
      </c>
      <c r="Y99" s="643">
        <f>IFERROR(SUM(Y94:Y97),"0")</f>
        <v>164.70000000000002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162</v>
      </c>
      <c r="Y102" s="642">
        <f t="shared" ref="Y102:Y107" si="10">IFERROR(IF(X102="",0,CEILING((X102/$H102),1)*$H102),"")</f>
        <v>162</v>
      </c>
      <c r="Z102" s="36">
        <f>IFERROR(IF(Y102=0,"",ROUNDUP(Y102/H102,0)*0.01898),"")</f>
        <v>0.28470000000000001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168.15</v>
      </c>
      <c r="BN102" s="64">
        <f t="shared" ref="BN102:BN107" si="12">IFERROR(Y102*I102/H102,"0")</f>
        <v>168.15</v>
      </c>
      <c r="BO102" s="64">
        <f t="shared" ref="BO102:BO107" si="13">IFERROR(1/J102*(X102/H102),"0")</f>
        <v>0.23437499999999997</v>
      </c>
      <c r="BP102" s="64">
        <f t="shared" ref="BP102:BP107" si="14">IFERROR(1/J102*(Y102/H102),"0")</f>
        <v>0.23437499999999997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78</v>
      </c>
      <c r="Y105" s="642">
        <f t="shared" si="10"/>
        <v>81</v>
      </c>
      <c r="Z105" s="36">
        <f>IFERROR(IF(Y105=0,"",ROUNDUP(Y105/H105,0)*0.00902),"")</f>
        <v>0.16236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81.293333333333351</v>
      </c>
      <c r="BN105" s="64">
        <f t="shared" si="12"/>
        <v>84.420000000000016</v>
      </c>
      <c r="BO105" s="64">
        <f t="shared" si="13"/>
        <v>0.1313131313131313</v>
      </c>
      <c r="BP105" s="64">
        <f t="shared" si="14"/>
        <v>0.13636363636363635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32.333333333333329</v>
      </c>
      <c r="Y108" s="643">
        <f>IFERROR(Y102/H102,"0")+IFERROR(Y103/H103,"0")+IFERROR(Y104/H104,"0")+IFERROR(Y105/H105,"0")+IFERROR(Y106/H106,"0")+IFERROR(Y107/H107,"0")</f>
        <v>33</v>
      </c>
      <c r="Z108" s="643">
        <f>IFERROR(IF(Z102="",0,Z102),"0")+IFERROR(IF(Z103="",0,Z103),"0")+IFERROR(IF(Z104="",0,Z104),"0")+IFERROR(IF(Z105="",0,Z105),"0")+IFERROR(IF(Z106="",0,Z106),"0")+IFERROR(IF(Z107="",0,Z107),"0")</f>
        <v>0.44706000000000001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240</v>
      </c>
      <c r="Y109" s="643">
        <f>IFERROR(SUM(Y102:Y107),"0")</f>
        <v>243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47</v>
      </c>
      <c r="Y115" s="642">
        <f>IFERROR(IF(X115="",0,CEILING((X115/$H115),1)*$H115),"")</f>
        <v>48</v>
      </c>
      <c r="Z115" s="36">
        <f>IFERROR(IF(Y115=0,"",ROUNDUP(Y115/H115,0)*0.00651),"")</f>
        <v>0.13020000000000001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50.525000000000006</v>
      </c>
      <c r="BN115" s="64">
        <f>IFERROR(Y115*I115/H115,"0")</f>
        <v>51.6</v>
      </c>
      <c r="BO115" s="64">
        <f>IFERROR(1/J115*(X115/H115),"0")</f>
        <v>0.10760073260073262</v>
      </c>
      <c r="BP115" s="64">
        <f>IFERROR(1/J115*(Y115/H115),"0")</f>
        <v>0.1098901098901099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19.583333333333336</v>
      </c>
      <c r="Y116" s="643">
        <f>IFERROR(Y111/H111,"0")+IFERROR(Y112/H112,"0")+IFERROR(Y113/H113,"0")+IFERROR(Y114/H114,"0")+IFERROR(Y115/H115,"0")</f>
        <v>20</v>
      </c>
      <c r="Z116" s="643">
        <f>IFERROR(IF(Z111="",0,Z111),"0")+IFERROR(IF(Z112="",0,Z112),"0")+IFERROR(IF(Z113="",0,Z113),"0")+IFERROR(IF(Z114="",0,Z114),"0")+IFERROR(IF(Z115="",0,Z115),"0")</f>
        <v>0.13020000000000001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47</v>
      </c>
      <c r="Y117" s="643">
        <f>IFERROR(SUM(Y111:Y115),"0")</f>
        <v>48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220</v>
      </c>
      <c r="Y119" s="642">
        <f>IFERROR(IF(X119="",0,CEILING((X119/$H119),1)*$H119),"")</f>
        <v>226.79999999999998</v>
      </c>
      <c r="Z119" s="36">
        <f>IFERROR(IF(Y119=0,"",ROUNDUP(Y119/H119,0)*0.01898),"")</f>
        <v>0.53144000000000002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233.25432098765432</v>
      </c>
      <c r="BN119" s="64">
        <f>IFERROR(Y119*I119/H119,"0")</f>
        <v>240.46399999999997</v>
      </c>
      <c r="BO119" s="64">
        <f>IFERROR(1/J119*(X119/H119),"0")</f>
        <v>0.42438271604938271</v>
      </c>
      <c r="BP119" s="64">
        <f>IFERROR(1/J119*(Y119/H119),"0")</f>
        <v>0.4375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93</v>
      </c>
      <c r="Y121" s="642">
        <f>IFERROR(IF(X121="",0,CEILING((X121/$H121),1)*$H121),"")</f>
        <v>94.5</v>
      </c>
      <c r="Z121" s="36">
        <f>IFERROR(IF(Y121=0,"",ROUNDUP(Y121/H121,0)*0.00651),"")</f>
        <v>0.22785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101.67999999999999</v>
      </c>
      <c r="BN121" s="64">
        <f>IFERROR(Y121*I121/H121,"0")</f>
        <v>103.32</v>
      </c>
      <c r="BO121" s="64">
        <f>IFERROR(1/J121*(X121/H121),"0")</f>
        <v>0.18925518925518925</v>
      </c>
      <c r="BP121" s="64">
        <f>IFERROR(1/J121*(Y121/H121),"0")</f>
        <v>0.19230769230769232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61.604938271604937</v>
      </c>
      <c r="Y123" s="643">
        <f>IFERROR(Y119/H119,"0")+IFERROR(Y120/H120,"0")+IFERROR(Y121/H121,"0")+IFERROR(Y122/H122,"0")</f>
        <v>63</v>
      </c>
      <c r="Z123" s="643">
        <f>IFERROR(IF(Z119="",0,Z119),"0")+IFERROR(IF(Z120="",0,Z120),"0")+IFERROR(IF(Z121="",0,Z121),"0")+IFERROR(IF(Z122="",0,Z122),"0")</f>
        <v>0.75929000000000002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313</v>
      </c>
      <c r="Y124" s="643">
        <f>IFERROR(SUM(Y119:Y122),"0")</f>
        <v>321.29999999999995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21</v>
      </c>
      <c r="Y141" s="642">
        <f>IFERROR(IF(X141="",0,CEILING((X141/$H141),1)*$H141),"")</f>
        <v>21.12</v>
      </c>
      <c r="Z141" s="36">
        <f>IFERROR(IF(Y141=0,"",ROUNDUP(Y141/H141,0)*0.00651),"")</f>
        <v>5.2080000000000001E-2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23.131818181818179</v>
      </c>
      <c r="BN141" s="64">
        <f>IFERROR(Y141*I141/H141,"0")</f>
        <v>23.263999999999999</v>
      </c>
      <c r="BO141" s="64">
        <f>IFERROR(1/J141*(X141/H141),"0")</f>
        <v>4.3706293706293704E-2</v>
      </c>
      <c r="BP141" s="64">
        <f>IFERROR(1/J141*(Y141/H141),"0")</f>
        <v>4.3956043956043959E-2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7.9545454545454541</v>
      </c>
      <c r="Y143" s="643">
        <f>IFERROR(Y141/H141,"0")+IFERROR(Y142/H142,"0")</f>
        <v>8</v>
      </c>
      <c r="Z143" s="643">
        <f>IFERROR(IF(Z141="",0,Z141),"0")+IFERROR(IF(Z142="",0,Z142),"0")</f>
        <v>5.2080000000000001E-2</v>
      </c>
      <c r="AA143" s="644"/>
      <c r="AB143" s="644"/>
      <c r="AC143" s="644"/>
    </row>
    <row r="144" spans="1:68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21</v>
      </c>
      <c r="Y144" s="643">
        <f>IFERROR(SUM(Y141:Y142),"0")</f>
        <v>21.12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hidden="1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0</v>
      </c>
      <c r="Y172" s="642">
        <f t="shared" ref="Y172:Y183" si="21"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0</v>
      </c>
      <c r="BN172" s="64">
        <f t="shared" ref="BN172:BN183" si="23">IFERROR(Y172*I172/H172,"0")</f>
        <v>0</v>
      </c>
      <c r="BO172" s="64">
        <f t="shared" ref="BO172:BO183" si="24">IFERROR(1/J172*(X172/H172),"0")</f>
        <v>0</v>
      </c>
      <c r="BP172" s="64">
        <f t="shared" ref="BP172:BP183" si="25">IFERROR(1/J172*(Y172/H172),"0")</f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0</v>
      </c>
      <c r="Y174" s="642">
        <f t="shared" si="21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0</v>
      </c>
      <c r="Y176" s="642">
        <f t="shared" si="21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28</v>
      </c>
      <c r="Y179" s="642">
        <f t="shared" si="21"/>
        <v>28.56</v>
      </c>
      <c r="Z179" s="36">
        <f>IFERROR(IF(Y179=0,"",ROUNDUP(Y179/H179,0)*0.00502),"")</f>
        <v>8.5339999999999999E-2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29.666666666666671</v>
      </c>
      <c r="BN179" s="64">
        <f t="shared" si="23"/>
        <v>30.259999999999998</v>
      </c>
      <c r="BO179" s="64">
        <f t="shared" si="24"/>
        <v>7.122507122507124E-2</v>
      </c>
      <c r="BP179" s="64">
        <f t="shared" si="25"/>
        <v>7.2649572649572655E-2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16.666666666666668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17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8.5339999999999999E-2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28</v>
      </c>
      <c r="Y185" s="643">
        <f>IFERROR(SUM(Y172:Y183),"0")</f>
        <v>28.56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44</v>
      </c>
      <c r="Y222" s="642">
        <f t="shared" si="32"/>
        <v>44.1</v>
      </c>
      <c r="Z222" s="36">
        <f t="shared" ref="Z222:Z227" si="37">IFERROR(IF(Y222=0,"",ROUNDUP(Y222/H222,0)*0.00502),"")</f>
        <v>0.10542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46.723809523809521</v>
      </c>
      <c r="BN222" s="64">
        <f t="shared" si="34"/>
        <v>46.83</v>
      </c>
      <c r="BO222" s="64">
        <f t="shared" si="35"/>
        <v>8.9540089540089546E-2</v>
      </c>
      <c r="BP222" s="64">
        <f t="shared" si="36"/>
        <v>8.9743589743589758E-2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0</v>
      </c>
      <c r="Y227" s="642">
        <f t="shared" si="32"/>
        <v>0</v>
      </c>
      <c r="Z227" s="36" t="str">
        <f t="shared" si="37"/>
        <v/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220</v>
      </c>
      <c r="Y229" s="642">
        <f t="shared" si="32"/>
        <v>220.5</v>
      </c>
      <c r="Z229" s="36">
        <f>IFERROR(IF(Y229=0,"",ROUNDUP(Y229/H229,0)*0.00502),"")</f>
        <v>0.52710000000000001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230.47619047619048</v>
      </c>
      <c r="BN229" s="64">
        <f t="shared" si="34"/>
        <v>231</v>
      </c>
      <c r="BO229" s="64">
        <f t="shared" si="35"/>
        <v>0.44770044770044776</v>
      </c>
      <c r="BP229" s="64">
        <f t="shared" si="36"/>
        <v>0.44871794871794879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125.71428571428571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126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0.63251999999999997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264</v>
      </c>
      <c r="Y234" s="643">
        <f>IFERROR(SUM(Y218:Y232),"0")</f>
        <v>264.60000000000002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100</v>
      </c>
      <c r="Y269" s="642">
        <f t="shared" ref="Y269:Y276" si="43">IFERROR(IF(X269="",0,CEILING((X269/$H269),1)*$H269),"")</f>
        <v>102.60000000000001</v>
      </c>
      <c r="Z269" s="36">
        <f>IFERROR(IF(Y269=0,"",ROUNDUP(Y269/H269,0)*0.00902),"")</f>
        <v>0.17138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103.5185185185185</v>
      </c>
      <c r="BN269" s="64">
        <f t="shared" ref="BN269:BN276" si="45">IFERROR(Y269*I269/H269,"0")</f>
        <v>106.21</v>
      </c>
      <c r="BO269" s="64">
        <f t="shared" ref="BO269:BO276" si="46">IFERROR(1/J269*(X269/H269),"0")</f>
        <v>0.14029180695847362</v>
      </c>
      <c r="BP269" s="64">
        <f t="shared" ref="BP269:BP276" si="47">IFERROR(1/J269*(Y269/H269),"0")</f>
        <v>0.14393939393939395</v>
      </c>
    </row>
    <row r="270" spans="1:68" ht="27" hidden="1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0</v>
      </c>
      <c r="Y270" s="642">
        <f t="shared" si="43"/>
        <v>0</v>
      </c>
      <c r="Z270" s="36" t="str">
        <f>IFERROR(IF(Y270=0,"",ROUNDUP(Y270/H270,0)*0.00902),"")</f>
        <v/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0</v>
      </c>
      <c r="BN270" s="64">
        <f t="shared" si="45"/>
        <v>0</v>
      </c>
      <c r="BO270" s="64">
        <f t="shared" si="46"/>
        <v>0</v>
      </c>
      <c r="BP270" s="64">
        <f t="shared" si="47"/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0</v>
      </c>
      <c r="Y271" s="642">
        <f t="shared" si="43"/>
        <v>0</v>
      </c>
      <c r="Z271" s="36" t="str">
        <f>IFERROR(IF(Y271=0,"",ROUNDUP(Y271/H271,0)*0.00902),"")</f>
        <v/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75</v>
      </c>
      <c r="Y272" s="642">
        <f t="shared" si="43"/>
        <v>75.600000000000009</v>
      </c>
      <c r="Z272" s="36">
        <f>IFERROR(IF(Y272=0,"",ROUNDUP(Y272/H272,0)*0.00902),"")</f>
        <v>0.12628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77.638888888888886</v>
      </c>
      <c r="BN272" s="64">
        <f t="shared" si="45"/>
        <v>78.260000000000005</v>
      </c>
      <c r="BO272" s="64">
        <f t="shared" si="46"/>
        <v>0.10521885521885521</v>
      </c>
      <c r="BP272" s="64">
        <f t="shared" si="47"/>
        <v>0.10606060606060606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0</v>
      </c>
      <c r="Y273" s="642">
        <f t="shared" si="43"/>
        <v>0</v>
      </c>
      <c r="Z273" s="36" t="str">
        <f>IFERROR(IF(Y273=0,"",ROUNDUP(Y273/H273,0)*0.00502),"")</f>
        <v/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0</v>
      </c>
      <c r="Y274" s="642">
        <f t="shared" si="43"/>
        <v>0</v>
      </c>
      <c r="Z274" s="36" t="str">
        <f>IFERROR(IF(Y274=0,"",ROUNDUP(Y274/H274,0)*0.00502),"")</f>
        <v/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32.407407407407405</v>
      </c>
      <c r="Y277" s="643">
        <f>IFERROR(Y269/H269,"0")+IFERROR(Y270/H270,"0")+IFERROR(Y271/H271,"0")+IFERROR(Y272/H272,"0")+IFERROR(Y273/H273,"0")+IFERROR(Y274/H274,"0")+IFERROR(Y275/H275,"0")+IFERROR(Y276/H276,"0")</f>
        <v>33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0.29766000000000004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175</v>
      </c>
      <c r="Y278" s="643">
        <f>IFERROR(SUM(Y269:Y276),"0")</f>
        <v>178.20000000000002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135</v>
      </c>
      <c r="Y281" s="642">
        <f t="shared" si="48"/>
        <v>137.69999999999999</v>
      </c>
      <c r="Z281" s="36">
        <f>IFERROR(IF(Y281=0,"",ROUNDUP(Y281/H281,0)*0.01898),"")</f>
        <v>0.32266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142.93333333333334</v>
      </c>
      <c r="BN281" s="64">
        <f t="shared" si="50"/>
        <v>145.792</v>
      </c>
      <c r="BO281" s="64">
        <f t="shared" si="51"/>
        <v>0.26041666666666669</v>
      </c>
      <c r="BP281" s="64">
        <f t="shared" si="52"/>
        <v>0.265625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800</v>
      </c>
      <c r="Y286" s="642">
        <f t="shared" si="48"/>
        <v>801.6</v>
      </c>
      <c r="Z286" s="36">
        <f>IFERROR(IF(Y286=0,"",ROUNDUP(Y286/H286,0)*0.00651),"")</f>
        <v>2.1743399999999999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884</v>
      </c>
      <c r="BN286" s="64">
        <f t="shared" si="50"/>
        <v>885.76800000000014</v>
      </c>
      <c r="BO286" s="64">
        <f t="shared" si="51"/>
        <v>1.8315018315018319</v>
      </c>
      <c r="BP286" s="64">
        <f t="shared" si="52"/>
        <v>1.8351648351648353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120</v>
      </c>
      <c r="Y288" s="642">
        <f t="shared" si="48"/>
        <v>120</v>
      </c>
      <c r="Z288" s="36">
        <f>IFERROR(IF(Y288=0,"",ROUNDUP(Y288/H288,0)*0.00651),"")</f>
        <v>0.32550000000000001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132.60000000000002</v>
      </c>
      <c r="BN288" s="64">
        <f t="shared" si="50"/>
        <v>132.60000000000002</v>
      </c>
      <c r="BO288" s="64">
        <f t="shared" si="51"/>
        <v>0.27472527472527475</v>
      </c>
      <c r="BP288" s="64">
        <f t="shared" si="52"/>
        <v>0.27472527472527475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30</v>
      </c>
      <c r="Y289" s="642">
        <f t="shared" si="48"/>
        <v>31.2</v>
      </c>
      <c r="Z289" s="36">
        <f>IFERROR(IF(Y289=0,"",ROUNDUP(Y289/H289,0)*0.00651),"")</f>
        <v>8.4629999999999997E-2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33.150000000000006</v>
      </c>
      <c r="BN289" s="64">
        <f t="shared" si="50"/>
        <v>34.476000000000006</v>
      </c>
      <c r="BO289" s="64">
        <f t="shared" si="51"/>
        <v>6.8681318681318687E-2</v>
      </c>
      <c r="BP289" s="64">
        <f t="shared" si="52"/>
        <v>7.1428571428571438E-2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198</v>
      </c>
      <c r="Y290" s="642">
        <f t="shared" si="48"/>
        <v>199.2</v>
      </c>
      <c r="Z290" s="36">
        <f>IFERROR(IF(Y290=0,"",ROUNDUP(Y290/H290,0)*0.00651),"")</f>
        <v>0.54032999999999998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219.285</v>
      </c>
      <c r="BN290" s="64">
        <f t="shared" si="50"/>
        <v>220.61399999999998</v>
      </c>
      <c r="BO290" s="64">
        <f t="shared" si="51"/>
        <v>0.45329670329670335</v>
      </c>
      <c r="BP290" s="64">
        <f t="shared" si="52"/>
        <v>0.45604395604395609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495.00000000000006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497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3.44746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1283</v>
      </c>
      <c r="Y293" s="643">
        <f>IFERROR(SUM(Y280:Y291),"0")</f>
        <v>1289.7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118</v>
      </c>
      <c r="Y336" s="642">
        <f>IFERROR(IF(X336="",0,CEILING((X336/$H336),1)*$H336),"")</f>
        <v>120</v>
      </c>
      <c r="Z336" s="36">
        <f>IFERROR(IF(Y336=0,"",ROUNDUP(Y336/H336,0)*0.00651),"")</f>
        <v>0.32550000000000001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130.39000000000001</v>
      </c>
      <c r="BN336" s="64">
        <f>IFERROR(Y336*I336/H336,"0")</f>
        <v>132.60000000000002</v>
      </c>
      <c r="BO336" s="64">
        <f>IFERROR(1/J336*(X336/H336),"0")</f>
        <v>0.27014652014652019</v>
      </c>
      <c r="BP336" s="64">
        <f>IFERROR(1/J336*(Y336/H336),"0")</f>
        <v>0.27472527472527475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30</v>
      </c>
      <c r="Y337" s="642">
        <f>IFERROR(IF(X337="",0,CEILING((X337/$H337),1)*$H337),"")</f>
        <v>31.2</v>
      </c>
      <c r="Z337" s="36">
        <f>IFERROR(IF(Y337=0,"",ROUNDUP(Y337/H337,0)*0.00651),"")</f>
        <v>8.4629999999999997E-2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32.250000000000007</v>
      </c>
      <c r="BN337" s="64">
        <f>IFERROR(Y337*I337/H337,"0")</f>
        <v>33.54</v>
      </c>
      <c r="BO337" s="64">
        <f>IFERROR(1/J337*(X337/H337),"0")</f>
        <v>6.8681318681318687E-2</v>
      </c>
      <c r="BP337" s="64">
        <f>IFERROR(1/J337*(Y337/H337),"0")</f>
        <v>7.1428571428571438E-2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61.666666666666671</v>
      </c>
      <c r="Y338" s="643">
        <f>IFERROR(Y335/H335,"0")+IFERROR(Y336/H336,"0")+IFERROR(Y337/H337,"0")</f>
        <v>63</v>
      </c>
      <c r="Z338" s="643">
        <f>IFERROR(IF(Z335="",0,Z335),"0")+IFERROR(IF(Z336="",0,Z336),"0")+IFERROR(IF(Z337="",0,Z337),"0")</f>
        <v>0.41012999999999999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148</v>
      </c>
      <c r="Y339" s="643">
        <f>IFERROR(SUM(Y335:Y337),"0")</f>
        <v>151.19999999999999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202</v>
      </c>
      <c r="Y356" s="642">
        <f>IFERROR(IF(X356="",0,CEILING((X356/$H356),1)*$H356),"")</f>
        <v>202.79999999999998</v>
      </c>
      <c r="Z356" s="36">
        <f>IFERROR(IF(Y356=0,"",ROUNDUP(Y356/H356,0)*0.01898),"")</f>
        <v>0.49348000000000003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212.61794871794874</v>
      </c>
      <c r="BN356" s="64">
        <f>IFERROR(Y356*I356/H356,"0")</f>
        <v>213.46</v>
      </c>
      <c r="BO356" s="64">
        <f>IFERROR(1/J356*(X356/H356),"0")</f>
        <v>0.4046474358974359</v>
      </c>
      <c r="BP356" s="64">
        <f>IFERROR(1/J356*(Y356/H356),"0")</f>
        <v>0.40625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251</v>
      </c>
      <c r="Y357" s="642">
        <f>IFERROR(IF(X357="",0,CEILING((X357/$H357),1)*$H357),"")</f>
        <v>257.39999999999998</v>
      </c>
      <c r="Z357" s="36">
        <f>IFERROR(IF(Y357=0,"",ROUNDUP(Y357/H357,0)*0.01898),"")</f>
        <v>0.62634000000000001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264.19358974358977</v>
      </c>
      <c r="BN357" s="64">
        <f>IFERROR(Y357*I357/H357,"0")</f>
        <v>270.93</v>
      </c>
      <c r="BO357" s="64">
        <f>IFERROR(1/J357*(X357/H357),"0")</f>
        <v>0.50280448717948723</v>
      </c>
      <c r="BP357" s="64">
        <f>IFERROR(1/J357*(Y357/H357),"0")</f>
        <v>0.515625</v>
      </c>
    </row>
    <row r="358" spans="1:68" ht="27" hidden="1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58.07692307692308</v>
      </c>
      <c r="Y359" s="643">
        <f>IFERROR(Y356/H356,"0")+IFERROR(Y357/H357,"0")+IFERROR(Y358/H358,"0")</f>
        <v>59</v>
      </c>
      <c r="Z359" s="643">
        <f>IFERROR(IF(Z356="",0,Z356),"0")+IFERROR(IF(Z357="",0,Z357),"0")+IFERROR(IF(Z358="",0,Z358),"0")</f>
        <v>1.11982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453</v>
      </c>
      <c r="Y360" s="643">
        <f>IFERROR(SUM(Y356:Y358),"0")</f>
        <v>460.19999999999993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84</v>
      </c>
      <c r="Y373" s="642">
        <f t="shared" si="63"/>
        <v>84</v>
      </c>
      <c r="Z373" s="36">
        <f>IFERROR(IF(Y373=0,"",ROUNDUP(Y373/H373,0)*0.00902),"")</f>
        <v>0.1804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89</v>
      </c>
      <c r="BN373" s="64">
        <f t="shared" si="65"/>
        <v>89</v>
      </c>
      <c r="BO373" s="64">
        <f t="shared" si="66"/>
        <v>0.15151515151515152</v>
      </c>
      <c r="BP373" s="64">
        <f t="shared" si="67"/>
        <v>0.15151515151515152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0</v>
      </c>
      <c r="Y378" s="642">
        <f t="shared" si="63"/>
        <v>0</v>
      </c>
      <c r="Z378" s="36" t="str">
        <f>IFERROR(IF(Y378=0,"",ROUNDUP(Y378/H378,0)*0.00651),"")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20</v>
      </c>
      <c r="Y379" s="643">
        <f>IFERROR(Y372/H372,"0")+IFERROR(Y373/H373,"0")+IFERROR(Y374/H374,"0")+IFERROR(Y375/H375,"0")+IFERROR(Y376/H376,"0")+IFERROR(Y377/H377,"0")+IFERROR(Y378/H378,"0")</f>
        <v>20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0.1804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84</v>
      </c>
      <c r="Y380" s="643">
        <f>IFERROR(SUM(Y372:Y378),"0")</f>
        <v>84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502</v>
      </c>
      <c r="Y390" s="642">
        <f>IFERROR(IF(X390="",0,CEILING((X390/$H390),1)*$H390),"")</f>
        <v>507</v>
      </c>
      <c r="Z390" s="36">
        <f>IFERROR(IF(Y390=0,"",ROUNDUP(Y390/H390,0)*0.01898),"")</f>
        <v>1.2337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533.79333333333341</v>
      </c>
      <c r="BN390" s="64">
        <f>IFERROR(Y390*I390/H390,"0")</f>
        <v>539.11</v>
      </c>
      <c r="BO390" s="64">
        <f>IFERROR(1/J390*(X390/H390),"0")</f>
        <v>1.0056089743589745</v>
      </c>
      <c r="BP390" s="64">
        <f>IFERROR(1/J390*(Y390/H390),"0")</f>
        <v>1.015625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64.358974358974365</v>
      </c>
      <c r="Y392" s="643">
        <f>IFERROR(Y389/H389,"0")+IFERROR(Y390/H390,"0")+IFERROR(Y391/H391,"0")</f>
        <v>65</v>
      </c>
      <c r="Z392" s="643">
        <f>IFERROR(IF(Z389="",0,Z389),"0")+IFERROR(IF(Z390="",0,Z390),"0")+IFERROR(IF(Z391="",0,Z391),"0")</f>
        <v>1.2337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502</v>
      </c>
      <c r="Y393" s="643">
        <f>IFERROR(SUM(Y389:Y391),"0")</f>
        <v>507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20</v>
      </c>
      <c r="Y398" s="642">
        <f>IFERROR(IF(X398="",0,CEILING((X398/$H398),1)*$H398),"")</f>
        <v>20.399999999999999</v>
      </c>
      <c r="Z398" s="36">
        <f>IFERROR(IF(Y398=0,"",ROUNDUP(Y398/H398,0)*0.00651),"")</f>
        <v>5.2080000000000001E-2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22.588235294117645</v>
      </c>
      <c r="BN398" s="64">
        <f>IFERROR(Y398*I398/H398,"0")</f>
        <v>23.04</v>
      </c>
      <c r="BO398" s="64">
        <f>IFERROR(1/J398*(X398/H398),"0")</f>
        <v>4.3094160741219571E-2</v>
      </c>
      <c r="BP398" s="64">
        <f>IFERROR(1/J398*(Y398/H398),"0")</f>
        <v>4.3956043956043959E-2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7.8431372549019613</v>
      </c>
      <c r="Y399" s="643">
        <f>IFERROR(Y395/H395,"0")+IFERROR(Y396/H396,"0")+IFERROR(Y397/H397,"0")+IFERROR(Y398/H398,"0")</f>
        <v>8</v>
      </c>
      <c r="Z399" s="643">
        <f>IFERROR(IF(Z395="",0,Z395),"0")+IFERROR(IF(Z396="",0,Z396),"0")+IFERROR(IF(Z397="",0,Z397),"0")+IFERROR(IF(Z398="",0,Z398),"0")</f>
        <v>5.2080000000000001E-2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20</v>
      </c>
      <c r="Y400" s="643">
        <f>IFERROR(SUM(Y395:Y398),"0")</f>
        <v>20.399999999999999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23</v>
      </c>
      <c r="Y402" s="642">
        <f>IFERROR(IF(X402="",0,CEILING((X402/$H402),1)*$H402),"")</f>
        <v>24</v>
      </c>
      <c r="Z402" s="36">
        <f>IFERROR(IF(Y402=0,"",ROUNDUP(Y402/H402,0)*0.00474),"")</f>
        <v>5.688E-2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25.76</v>
      </c>
      <c r="BN402" s="64">
        <f>IFERROR(Y402*I402/H402,"0")</f>
        <v>26.880000000000003</v>
      </c>
      <c r="BO402" s="64">
        <f>IFERROR(1/J402*(X402/H402),"0")</f>
        <v>4.8319327731092432E-2</v>
      </c>
      <c r="BP402" s="64">
        <f>IFERROR(1/J402*(Y402/H402),"0")</f>
        <v>5.0420168067226892E-2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15</v>
      </c>
      <c r="Y403" s="642">
        <f>IFERROR(IF(X403="",0,CEILING((X403/$H403),1)*$H403),"")</f>
        <v>16</v>
      </c>
      <c r="Z403" s="36">
        <f>IFERROR(IF(Y403=0,"",ROUNDUP(Y403/H403,0)*0.00474),"")</f>
        <v>3.7920000000000002E-2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16.8</v>
      </c>
      <c r="BN403" s="64">
        <f>IFERROR(Y403*I403/H403,"0")</f>
        <v>17.920000000000002</v>
      </c>
      <c r="BO403" s="64">
        <f>IFERROR(1/J403*(X403/H403),"0")</f>
        <v>3.1512605042016806E-2</v>
      </c>
      <c r="BP403" s="64">
        <f>IFERROR(1/J403*(Y403/H403),"0")</f>
        <v>3.3613445378151259E-2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23</v>
      </c>
      <c r="Y404" s="642">
        <f>IFERROR(IF(X404="",0,CEILING((X404/$H404),1)*$H404),"")</f>
        <v>24</v>
      </c>
      <c r="Z404" s="36">
        <f>IFERROR(IF(Y404=0,"",ROUNDUP(Y404/H404,0)*0.00474),"")</f>
        <v>5.688E-2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25.76</v>
      </c>
      <c r="BN404" s="64">
        <f>IFERROR(Y404*I404/H404,"0")</f>
        <v>26.880000000000003</v>
      </c>
      <c r="BO404" s="64">
        <f>IFERROR(1/J404*(X404/H404),"0")</f>
        <v>4.8319327731092432E-2</v>
      </c>
      <c r="BP404" s="64">
        <f>IFERROR(1/J404*(Y404/H404),"0")</f>
        <v>5.0420168067226892E-2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30.5</v>
      </c>
      <c r="Y405" s="643">
        <f>IFERROR(Y402/H402,"0")+IFERROR(Y403/H403,"0")+IFERROR(Y404/H404,"0")</f>
        <v>32</v>
      </c>
      <c r="Z405" s="643">
        <f>IFERROR(IF(Z402="",0,Z402),"0")+IFERROR(IF(Z403="",0,Z403),"0")+IFERROR(IF(Z404="",0,Z404),"0")</f>
        <v>0.15167999999999998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61</v>
      </c>
      <c r="Y406" s="643">
        <f>IFERROR(SUM(Y402:Y404),"0")</f>
        <v>64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0</v>
      </c>
      <c r="Y424" s="643">
        <f>IFERROR(Y421/H421,"0")+IFERROR(Y422/H422,"0")+IFERROR(Y423/H423,"0")</f>
        <v>0</v>
      </c>
      <c r="Z424" s="643">
        <f>IFERROR(IF(Z421="",0,Z421),"0")+IFERROR(IF(Z422="",0,Z422),"0")+IFERROR(IF(Z423="",0,Z423),"0")</f>
        <v>0</v>
      </c>
      <c r="AA424" s="644"/>
      <c r="AB424" s="644"/>
      <c r="AC424" s="644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0</v>
      </c>
      <c r="Y425" s="643">
        <f>IFERROR(SUM(Y421:Y423),"0")</f>
        <v>0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522</v>
      </c>
      <c r="Y430" s="642">
        <f t="shared" si="68"/>
        <v>525</v>
      </c>
      <c r="Z430" s="36">
        <f>IFERROR(IF(Y430=0,"",ROUNDUP(Y430/H430,0)*0.02175),"")</f>
        <v>0.76124999999999998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538.35599999999999</v>
      </c>
      <c r="BN430" s="64">
        <f t="shared" si="70"/>
        <v>541.45000000000005</v>
      </c>
      <c r="BO430" s="64">
        <f t="shared" si="71"/>
        <v>0.72499999999999987</v>
      </c>
      <c r="BP430" s="64">
        <f t="shared" si="72"/>
        <v>0.72916666666666663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625</v>
      </c>
      <c r="Y431" s="642">
        <f t="shared" si="68"/>
        <v>630</v>
      </c>
      <c r="Z431" s="36">
        <f>IFERROR(IF(Y431=0,"",ROUNDUP(Y431/H431,0)*0.02175),"")</f>
        <v>0.91349999999999998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644.58333333333337</v>
      </c>
      <c r="BN431" s="64">
        <f t="shared" si="70"/>
        <v>649.74</v>
      </c>
      <c r="BO431" s="64">
        <f t="shared" si="71"/>
        <v>0.86805555555555547</v>
      </c>
      <c r="BP431" s="64">
        <f t="shared" si="72"/>
        <v>0.875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1065</v>
      </c>
      <c r="Y432" s="642">
        <f t="shared" si="68"/>
        <v>1065</v>
      </c>
      <c r="Z432" s="36">
        <f>IFERROR(IF(Y432=0,"",ROUNDUP(Y432/H432,0)*0.02175),"")</f>
        <v>1.5442499999999999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1098.3699999999999</v>
      </c>
      <c r="BN432" s="64">
        <f t="shared" si="70"/>
        <v>1098.3699999999999</v>
      </c>
      <c r="BO432" s="64">
        <f t="shared" si="71"/>
        <v>1.4791666666666665</v>
      </c>
      <c r="BP432" s="64">
        <f t="shared" si="72"/>
        <v>1.4791666666666665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516</v>
      </c>
      <c r="Y433" s="642">
        <f t="shared" si="68"/>
        <v>525</v>
      </c>
      <c r="Z433" s="36">
        <f>IFERROR(IF(Y433=0,"",ROUNDUP(Y433/H433,0)*0.02175),"")</f>
        <v>0.76124999999999998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532.16800000000001</v>
      </c>
      <c r="BN433" s="64">
        <f t="shared" si="70"/>
        <v>541.45000000000005</v>
      </c>
      <c r="BO433" s="64">
        <f t="shared" si="71"/>
        <v>0.71666666666666656</v>
      </c>
      <c r="BP433" s="64">
        <f t="shared" si="72"/>
        <v>0.72916666666666663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181.86666666666667</v>
      </c>
      <c r="Y437" s="643">
        <f>IFERROR(Y429/H429,"0")+IFERROR(Y430/H430,"0")+IFERROR(Y431/H431,"0")+IFERROR(Y432/H432,"0")+IFERROR(Y433/H433,"0")+IFERROR(Y434/H434,"0")+IFERROR(Y435/H435,"0")+IFERROR(Y436/H436,"0")</f>
        <v>183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3.9802499999999998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2728</v>
      </c>
      <c r="Y438" s="643">
        <f>IFERROR(SUM(Y429:Y436),"0")</f>
        <v>2745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710</v>
      </c>
      <c r="Y440" s="642">
        <f>IFERROR(IF(X440="",0,CEILING((X440/$H440),1)*$H440),"")</f>
        <v>720</v>
      </c>
      <c r="Z440" s="36">
        <f>IFERROR(IF(Y440=0,"",ROUNDUP(Y440/H440,0)*0.02175),"")</f>
        <v>1.044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732.24666666666667</v>
      </c>
      <c r="BN440" s="64">
        <f>IFERROR(Y440*I440/H440,"0")</f>
        <v>742.56</v>
      </c>
      <c r="BO440" s="64">
        <f>IFERROR(1/J440*(X440/H440),"0")</f>
        <v>0.98611111111111116</v>
      </c>
      <c r="BP440" s="64">
        <f>IFERROR(1/J440*(Y440/H440),"0")</f>
        <v>1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47.333333333333336</v>
      </c>
      <c r="Y443" s="643">
        <f>IFERROR(Y440/H440,"0")+IFERROR(Y441/H441,"0")+IFERROR(Y442/H442,"0")</f>
        <v>48</v>
      </c>
      <c r="Z443" s="643">
        <f>IFERROR(IF(Z440="",0,Z440),"0")+IFERROR(IF(Z441="",0,Z441),"0")+IFERROR(IF(Z442="",0,Z442),"0")</f>
        <v>1.044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710</v>
      </c>
      <c r="Y444" s="643">
        <f>IFERROR(SUM(Y440:Y442),"0")</f>
        <v>720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344</v>
      </c>
      <c r="Y467" s="642">
        <f>IFERROR(IF(X467="",0,CEILING((X467/$H467),1)*$H467),"")</f>
        <v>351</v>
      </c>
      <c r="Z467" s="36">
        <f>IFERROR(IF(Y467=0,"",ROUNDUP(Y467/H467,0)*0.01898),"")</f>
        <v>0.74021999999999999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362.88177777777776</v>
      </c>
      <c r="BN467" s="64">
        <f>IFERROR(Y467*I467/H467,"0")</f>
        <v>370.26599999999996</v>
      </c>
      <c r="BO467" s="64">
        <f>IFERROR(1/J467*(X467/H467),"0")</f>
        <v>0.59722222222222221</v>
      </c>
      <c r="BP467" s="64">
        <f>IFERROR(1/J467*(Y467/H467),"0")</f>
        <v>0.609375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38.222222222222221</v>
      </c>
      <c r="Y470" s="643">
        <f>IFERROR(Y467/H467,"0")+IFERROR(Y468/H468,"0")+IFERROR(Y469/H469,"0")</f>
        <v>39</v>
      </c>
      <c r="Z470" s="643">
        <f>IFERROR(IF(Z467="",0,Z467),"0")+IFERROR(IF(Z468="",0,Z468),"0")+IFERROR(IF(Z469="",0,Z469),"0")</f>
        <v>0.74021999999999999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344</v>
      </c>
      <c r="Y471" s="643">
        <f>IFERROR(SUM(Y467:Y469),"0")</f>
        <v>351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169</v>
      </c>
      <c r="Y505" s="642">
        <f t="shared" si="78"/>
        <v>174.24</v>
      </c>
      <c r="Z505" s="36">
        <f t="shared" si="79"/>
        <v>0.39468000000000003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180.2026515151515</v>
      </c>
      <c r="BN505" s="64">
        <f t="shared" si="81"/>
        <v>185.79</v>
      </c>
      <c r="BO505" s="64">
        <f t="shared" si="82"/>
        <v>0.30776515151515155</v>
      </c>
      <c r="BP505" s="64">
        <f t="shared" si="83"/>
        <v>0.31730769230769235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246</v>
      </c>
      <c r="Y507" s="642">
        <f t="shared" si="78"/>
        <v>248.16000000000003</v>
      </c>
      <c r="Z507" s="36">
        <f t="shared" si="79"/>
        <v>0.56211999999999995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262.30681818181819</v>
      </c>
      <c r="BN507" s="64">
        <f t="shared" si="81"/>
        <v>264.61</v>
      </c>
      <c r="BO507" s="64">
        <f t="shared" si="82"/>
        <v>0.44798951048951047</v>
      </c>
      <c r="BP507" s="64">
        <f t="shared" si="83"/>
        <v>0.45192307692307693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78.598484848484844</v>
      </c>
      <c r="Y511" s="643">
        <f>IFERROR(Y502/H502,"0")+IFERROR(Y503/H503,"0")+IFERROR(Y504/H504,"0")+IFERROR(Y505/H505,"0")+IFERROR(Y506/H506,"0")+IFERROR(Y507/H507,"0")+IFERROR(Y508/H508,"0")+IFERROR(Y509/H509,"0")+IFERROR(Y510/H510,"0")</f>
        <v>80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0.95679999999999998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415</v>
      </c>
      <c r="Y512" s="643">
        <f>IFERROR(SUM(Y502:Y510),"0")</f>
        <v>422.40000000000003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hidden="1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0</v>
      </c>
      <c r="Y514" s="642">
        <f>IFERROR(IF(X514="",0,CEILING((X514/$H514),1)*$H514),"")</f>
        <v>0</v>
      </c>
      <c r="Z514" s="36" t="str">
        <f>IFERROR(IF(Y514=0,"",ROUNDUP(Y514/H514,0)*0.01196),"")</f>
        <v/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97</v>
      </c>
      <c r="Y516" s="642">
        <f>IFERROR(IF(X516="",0,CEILING((X516/$H516),1)*$H516),"")</f>
        <v>100.8</v>
      </c>
      <c r="Z516" s="36">
        <f>IFERROR(IF(Y516=0,"",ROUNDUP(Y516/H516,0)*0.00902),"")</f>
        <v>0.18942000000000001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139.63958333333335</v>
      </c>
      <c r="BN516" s="64">
        <f>IFERROR(Y516*I516/H516,"0")</f>
        <v>145.11000000000001</v>
      </c>
      <c r="BO516" s="64">
        <f>IFERROR(1/J516*(X516/H516),"0")</f>
        <v>0.15309343434343436</v>
      </c>
      <c r="BP516" s="64">
        <f>IFERROR(1/J516*(Y516/H516),"0")</f>
        <v>0.15909090909090909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20.208333333333336</v>
      </c>
      <c r="Y517" s="643">
        <f>IFERROR(Y514/H514,"0")+IFERROR(Y515/H515,"0")+IFERROR(Y516/H516,"0")</f>
        <v>21</v>
      </c>
      <c r="Z517" s="643">
        <f>IFERROR(IF(Z514="",0,Z514),"0")+IFERROR(IF(Z515="",0,Z515),"0")+IFERROR(IF(Z516="",0,Z516),"0")</f>
        <v>0.18942000000000001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97</v>
      </c>
      <c r="Y518" s="643">
        <f>IFERROR(SUM(Y514:Y516),"0")</f>
        <v>100.8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hidden="1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0</v>
      </c>
      <c r="Y521" s="642">
        <f t="shared" si="84"/>
        <v>0</v>
      </c>
      <c r="Z521" s="36" t="str">
        <f>IFERROR(IF(Y521=0,"",ROUNDUP(Y521/H521,0)*0.01196),"")</f>
        <v/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0</v>
      </c>
      <c r="Y522" s="642">
        <f t="shared" si="84"/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idden="1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0</v>
      </c>
      <c r="Y527" s="643">
        <f>IFERROR(Y520/H520,"0")+IFERROR(Y521/H521,"0")+IFERROR(Y522/H522,"0")+IFERROR(Y523/H523,"0")+IFERROR(Y524/H524,"0")+IFERROR(Y525/H525,"0")+IFERROR(Y526/H526,"0")</f>
        <v>0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4"/>
      <c r="AB527" s="644"/>
      <c r="AC527" s="644"/>
    </row>
    <row r="528" spans="1:68" hidden="1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0</v>
      </c>
      <c r="Y528" s="643">
        <f>IFERROR(SUM(Y520:Y526),"0")</f>
        <v>0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9650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9749.8799999999974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10194.267220209686</v>
      </c>
      <c r="Y559" s="643">
        <f>IFERROR(SUM(BN22:BN555),"0")</f>
        <v>10301.046000000002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17</v>
      </c>
      <c r="Y560" s="38">
        <f>ROUNDUP(SUM(BP22:BP555),0)</f>
        <v>17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10619.267220209686</v>
      </c>
      <c r="Y561" s="643">
        <f>GrossWeightTotalR+PalletQtyTotalR*25</f>
        <v>10726.046000000002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1619.1234361268673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1636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19.114940000000004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1283.9000000000001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172.8</v>
      </c>
      <c r="F568" s="46">
        <f>IFERROR(Y85*1,"0")+IFERROR(Y86*1,"0")+IFERROR(Y87*1,"0")+IFERROR(Y88*1,"0")+IFERROR(Y89*1,"0")+IFERROR(Y90*1,"0")+IFERROR(Y94*1,"0")+IFERROR(Y95*1,"0")+IFERROR(Y96*1,"0")+IFERROR(Y97*1,"0")</f>
        <v>272.70000000000005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612.29999999999995</v>
      </c>
      <c r="H568" s="46">
        <f>IFERROR(Y131*1,"0")+IFERROR(Y132*1,"0")+IFERROR(Y136*1,"0")+IFERROR(Y137*1,"0")+IFERROR(Y141*1,"0")+IFERROR(Y142*1,"0")</f>
        <v>21.12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28.56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264.60000000000002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1467.9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151.19999999999999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460.19999999999993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675.4</v>
      </c>
      <c r="U568" s="46">
        <f>IFERROR(Y415*1,"0")+IFERROR(Y416*1,"0")</f>
        <v>0</v>
      </c>
      <c r="V568" s="46">
        <f>IFERROR(Y421*1,"0")+IFERROR(Y422*1,"0")+IFERROR(Y423*1,"0")</f>
        <v>0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3465</v>
      </c>
      <c r="X568" s="46">
        <f>IFERROR(Y458*1,"0")+IFERROR(Y459*1,"0")+IFERROR(Y463*1,"0")+IFERROR(Y467*1,"0")+IFERROR(Y468*1,"0")+IFERROR(Y469*1,"0")</f>
        <v>351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523.20000000000005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5,00"/>
        <filter val="1 194,00"/>
        <filter val="1 278,00"/>
        <filter val="1 283,00"/>
        <filter val="1 619,12"/>
        <filter val="10 194,27"/>
        <filter val="10 619,27"/>
        <filter val="10,00"/>
        <filter val="100,00"/>
        <filter val="108,00"/>
        <filter val="118,00"/>
        <filter val="120,00"/>
        <filter val="125,71"/>
        <filter val="133,26"/>
        <filter val="135,00"/>
        <filter val="148,00"/>
        <filter val="15,00"/>
        <filter val="15,56"/>
        <filter val="16,67"/>
        <filter val="162,00"/>
        <filter val="163,00"/>
        <filter val="168,00"/>
        <filter val="169,00"/>
        <filter val="17"/>
        <filter val="175,00"/>
        <filter val="181,87"/>
        <filter val="19,58"/>
        <filter val="198,00"/>
        <filter val="2 728,00"/>
        <filter val="20,00"/>
        <filter val="20,21"/>
        <filter val="202,00"/>
        <filter val="21,00"/>
        <filter val="220,00"/>
        <filter val="23,00"/>
        <filter val="240,00"/>
        <filter val="246,00"/>
        <filter val="251,00"/>
        <filter val="264,00"/>
        <filter val="28,00"/>
        <filter val="30,00"/>
        <filter val="30,50"/>
        <filter val="313,00"/>
        <filter val="32,33"/>
        <filter val="32,41"/>
        <filter val="344,00"/>
        <filter val="38,22"/>
        <filter val="415,00"/>
        <filter val="44,00"/>
        <filter val="453,00"/>
        <filter val="47,00"/>
        <filter val="47,33"/>
        <filter val="495,00"/>
        <filter val="502,00"/>
        <filter val="516,00"/>
        <filter val="522,00"/>
        <filter val="58,08"/>
        <filter val="60,37"/>
        <filter val="61,00"/>
        <filter val="61,60"/>
        <filter val="61,67"/>
        <filter val="625,00"/>
        <filter val="64,36"/>
        <filter val="7,84"/>
        <filter val="7,95"/>
        <filter val="710,00"/>
        <filter val="75,00"/>
        <filter val="78,00"/>
        <filter val="78,60"/>
        <filter val="800,00"/>
        <filter val="84,00"/>
        <filter val="9 650,00"/>
        <filter val="93,00"/>
        <filter val="97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