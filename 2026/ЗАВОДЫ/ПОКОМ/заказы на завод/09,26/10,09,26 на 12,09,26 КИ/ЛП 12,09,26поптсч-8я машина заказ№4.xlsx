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0F17582-C6EC-4D78-BE34-7F7AFCEF9C0A}" xr6:coauthVersionLast="47" xr6:coauthVersionMax="47" xr10:uidLastSave="{00000000-0000-0000-0000-000000000000}"/>
  <bookViews>
    <workbookView xWindow="2640" yWindow="60" windowWidth="25905" windowHeight="1545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P466" i="2"/>
  <c r="BO465" i="2"/>
  <c r="BM465" i="2"/>
  <c r="Y465" i="2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P455" i="2"/>
  <c r="BO455" i="2"/>
  <c r="BM455" i="2"/>
  <c r="Y455" i="2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P410" i="2"/>
  <c r="BO410" i="2"/>
  <c r="BM410" i="2"/>
  <c r="Y410" i="2"/>
  <c r="BN410" i="2" s="1"/>
  <c r="P410" i="2"/>
  <c r="BO409" i="2"/>
  <c r="BM409" i="2"/>
  <c r="Y409" i="2"/>
  <c r="Z409" i="2" s="1"/>
  <c r="P409" i="2"/>
  <c r="X407" i="2"/>
  <c r="X406" i="2"/>
  <c r="BO405" i="2"/>
  <c r="BM405" i="2"/>
  <c r="Y405" i="2"/>
  <c r="P405" i="2"/>
  <c r="BO404" i="2"/>
  <c r="BM404" i="2"/>
  <c r="Y404" i="2"/>
  <c r="P404" i="2"/>
  <c r="BO403" i="2"/>
  <c r="BM403" i="2"/>
  <c r="Z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P298" i="2"/>
  <c r="BO297" i="2"/>
  <c r="BN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P255" i="2"/>
  <c r="BO255" i="2"/>
  <c r="BM255" i="2"/>
  <c r="Y255" i="2"/>
  <c r="P255" i="2"/>
  <c r="X253" i="2"/>
  <c r="X252" i="2"/>
  <c r="BO251" i="2"/>
  <c r="BM251" i="2"/>
  <c r="Y251" i="2"/>
  <c r="BP251" i="2" s="1"/>
  <c r="P251" i="2"/>
  <c r="BO250" i="2"/>
  <c r="BN250" i="2"/>
  <c r="BM250" i="2"/>
  <c r="Z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N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Z205" i="2"/>
  <c r="Z206" i="2" s="1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N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P191" i="2"/>
  <c r="BO191" i="2"/>
  <c r="BN191" i="2"/>
  <c r="BM191" i="2"/>
  <c r="Z191" i="2"/>
  <c r="Y191" i="2"/>
  <c r="P191" i="2"/>
  <c r="BO190" i="2"/>
  <c r="BM190" i="2"/>
  <c r="Y190" i="2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N185" i="2"/>
  <c r="BM185" i="2"/>
  <c r="Y185" i="2"/>
  <c r="BP185" i="2" s="1"/>
  <c r="BP184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P161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P105" i="2" s="1"/>
  <c r="P105" i="2"/>
  <c r="BO104" i="2"/>
  <c r="BM104" i="2"/>
  <c r="Z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N86" i="2"/>
  <c r="BM86" i="2"/>
  <c r="Z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BO77" i="2"/>
  <c r="BM77" i="2"/>
  <c r="Y77" i="2"/>
  <c r="BP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H9" i="2" s="1"/>
  <c r="D7" i="2"/>
  <c r="Q6" i="2"/>
  <c r="P2" i="2"/>
  <c r="Y61" i="2" l="1"/>
  <c r="Z27" i="2"/>
  <c r="Z267" i="2"/>
  <c r="BP267" i="2"/>
  <c r="BP40" i="2"/>
  <c r="Y137" i="2"/>
  <c r="Z195" i="2"/>
  <c r="Y227" i="2"/>
  <c r="Z230" i="2"/>
  <c r="Z297" i="2"/>
  <c r="Z454" i="2"/>
  <c r="Z64" i="2"/>
  <c r="Z93" i="2"/>
  <c r="Z185" i="2"/>
  <c r="Z233" i="2"/>
  <c r="Y493" i="2"/>
  <c r="Z497" i="2"/>
  <c r="Z498" i="2" s="1"/>
  <c r="BP41" i="2"/>
  <c r="BN41" i="2"/>
  <c r="Z41" i="2"/>
  <c r="BN60" i="2"/>
  <c r="Z60" i="2"/>
  <c r="BP78" i="2"/>
  <c r="BN78" i="2"/>
  <c r="Z78" i="2"/>
  <c r="BP85" i="2"/>
  <c r="Z85" i="2"/>
  <c r="BP95" i="2"/>
  <c r="BN95" i="2"/>
  <c r="Z95" i="2"/>
  <c r="BN106" i="2"/>
  <c r="Z106" i="2"/>
  <c r="BN123" i="2"/>
  <c r="BP124" i="2"/>
  <c r="Z124" i="2"/>
  <c r="BN128" i="2"/>
  <c r="BN190" i="2"/>
  <c r="Z190" i="2"/>
  <c r="Y202" i="2"/>
  <c r="BN215" i="2"/>
  <c r="BN249" i="2"/>
  <c r="BN256" i="2"/>
  <c r="BP277" i="2"/>
  <c r="BN277" i="2"/>
  <c r="Z277" i="2"/>
  <c r="BN282" i="2"/>
  <c r="BN293" i="2"/>
  <c r="BN298" i="2"/>
  <c r="BP298" i="2"/>
  <c r="BN326" i="2"/>
  <c r="BN352" i="2"/>
  <c r="BP363" i="2"/>
  <c r="Y367" i="2"/>
  <c r="BP373" i="2"/>
  <c r="Z373" i="2"/>
  <c r="BP383" i="2"/>
  <c r="BN383" i="2"/>
  <c r="Z383" i="2"/>
  <c r="BN396" i="2"/>
  <c r="Y400" i="2"/>
  <c r="Z396" i="2"/>
  <c r="BP405" i="2"/>
  <c r="BN405" i="2"/>
  <c r="Z405" i="2"/>
  <c r="BP411" i="2"/>
  <c r="Z411" i="2"/>
  <c r="BN415" i="2"/>
  <c r="BP441" i="2"/>
  <c r="BN441" i="2"/>
  <c r="Z441" i="2"/>
  <c r="BN449" i="2"/>
  <c r="Z449" i="2"/>
  <c r="Y468" i="2"/>
  <c r="Z465" i="2"/>
  <c r="BN503" i="2"/>
  <c r="BN517" i="2"/>
  <c r="B574" i="2"/>
  <c r="BN23" i="2"/>
  <c r="Z29" i="2"/>
  <c r="BN29" i="2"/>
  <c r="BP30" i="2"/>
  <c r="BN30" i="2"/>
  <c r="BN39" i="2"/>
  <c r="Z39" i="2"/>
  <c r="BN77" i="2"/>
  <c r="Z77" i="2"/>
  <c r="BN99" i="2"/>
  <c r="BN105" i="2"/>
  <c r="Z105" i="2"/>
  <c r="BP106" i="2"/>
  <c r="BN107" i="2"/>
  <c r="BN115" i="2"/>
  <c r="BN127" i="2"/>
  <c r="Z127" i="2"/>
  <c r="BN160" i="2"/>
  <c r="BN231" i="2"/>
  <c r="BN234" i="2"/>
  <c r="BN287" i="2"/>
  <c r="BN314" i="2"/>
  <c r="BN343" i="2"/>
  <c r="BP396" i="2"/>
  <c r="BN397" i="2"/>
  <c r="Z397" i="2"/>
  <c r="BP429" i="2"/>
  <c r="BN429" i="2"/>
  <c r="Z429" i="2"/>
  <c r="BN439" i="2"/>
  <c r="Z439" i="2"/>
  <c r="BN455" i="2"/>
  <c r="Z455" i="2"/>
  <c r="BP465" i="2"/>
  <c r="BP466" i="2"/>
  <c r="BN466" i="2"/>
  <c r="Z466" i="2"/>
  <c r="BN511" i="2"/>
  <c r="BN539" i="2"/>
  <c r="BP539" i="2"/>
  <c r="BN80" i="2"/>
  <c r="BP93" i="2"/>
  <c r="BN119" i="2"/>
  <c r="BN145" i="2"/>
  <c r="BN201" i="2"/>
  <c r="BN226" i="2"/>
  <c r="BN236" i="2"/>
  <c r="Y258" i="2"/>
  <c r="BN278" i="2"/>
  <c r="BN283" i="2"/>
  <c r="BN289" i="2"/>
  <c r="BN303" i="2"/>
  <c r="BN310" i="2"/>
  <c r="BN318" i="2"/>
  <c r="BN336" i="2"/>
  <c r="BN351" i="2"/>
  <c r="BN372" i="2"/>
  <c r="BN379" i="2"/>
  <c r="Y413" i="2"/>
  <c r="BP409" i="2"/>
  <c r="Y412" i="2"/>
  <c r="BN422" i="2"/>
  <c r="BN430" i="2"/>
  <c r="BN442" i="2"/>
  <c r="BN492" i="2"/>
  <c r="BN510" i="2"/>
  <c r="BN515" i="2"/>
  <c r="BN530" i="2"/>
  <c r="BN556" i="2"/>
  <c r="BN389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Z456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Z467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74" i="2" s="1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29" i="2" l="1"/>
  <c r="Z112" i="2"/>
  <c r="Z244" i="2"/>
  <c r="Z504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<sst xmlns="http://schemas.openxmlformats.org/spreadsheetml/2006/main" count="4374" uniqueCount="915">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</sst>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914</v>
      </c>
      <c r="I5" s="667"/>
      <c r="J5" s="667"/>
      <c r="K5" s="667"/>
      <c r="L5" s="667"/>
      <c r="M5" s="667"/>
      <c r="N5" s="72"/>
      <c r="P5" s="27" t="s">
        <v>4</v>
      </c>
      <c r="Q5" s="669">
        <v>46277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Суббота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0.66666666666666663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2496</v>
      </c>
      <c r="Y389" s="55">
        <f>IFERROR(IF(X389="",0,CEILING((X389/$H389),1)*$H389),"")</f>
        <v>2496</v>
      </c>
      <c r="Z389" s="41">
        <f>IFERROR(IF(Y389=0,"",ROUNDUP(Y389/H389,0)*0.01898),"")</f>
        <v>6.0735999999999999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2652.1600000000003</v>
      </c>
      <c r="BN389" s="78">
        <f>IFERROR(Y389*I389/H389,"0")</f>
        <v>2652.1600000000003</v>
      </c>
      <c r="BO389" s="78">
        <f>IFERROR(1/J389*(X389/H389),"0")</f>
        <v>5</v>
      </c>
      <c r="BP389" s="78">
        <f>IFERROR(1/J389*(Y389/H389),"0")</f>
        <v>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320</v>
      </c>
      <c r="Y393" s="43">
        <f>IFERROR(Y389/H389,"0")+IFERROR(Y390/H390,"0")+IFERROR(Y391/H391,"0")+IFERROR(Y392/H392,"0")</f>
        <v>320</v>
      </c>
      <c r="Z393" s="43">
        <f>IFERROR(IF(Z389="",0,Z389),"0")+IFERROR(IF(Z390="",0,Z390),"0")+IFERROR(IF(Z391="",0,Z391),"0")+IFERROR(IF(Z392="",0,Z392),"0")</f>
        <v>6.0735999999999999</v>
      </c>
      <c r="AA393" s="67"/>
      <c r="AB393" s="67"/>
      <c r="AC393" s="67"/>
    </row>
    <row r="394" spans="1:68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2496</v>
      </c>
      <c r="Y394" s="43">
        <f>IFERROR(SUM(Y389:Y392),"0")</f>
        <v>2496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2496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2496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2652.1600000000003</v>
      </c>
      <c r="Y565" s="43">
        <f>IFERROR(SUM(BN22:BN561),"0")</f>
        <v>2652.1600000000003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5</v>
      </c>
      <c r="Y566" s="44">
        <f>ROUNDUP(SUM(BP22:BP561),0)</f>
        <v>5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2777.1600000000003</v>
      </c>
      <c r="Y567" s="43">
        <f>GrossWeightTotalR+PalletQtyTotalR*25</f>
        <v>2777.1600000000003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320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320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6.0735999999999999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2496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496,00"/>
        <filter val="2 652,16"/>
        <filter val="2 777,16"/>
        <filter val="320,00"/>
        <filter val="5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2026-09-10T11:07:54Z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