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C61C0D7-5102-44DF-A0E5-FD003E78327E}" xr6:coauthVersionLast="47" xr6:coauthVersionMax="47" xr10:uidLastSave="{00000000-0000-0000-0000-000000000000}"/>
  <bookViews>
    <workbookView xWindow="2640" yWindow="60" windowWidth="25905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Z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N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N185" i="2"/>
  <c r="BM185" i="2"/>
  <c r="Y185" i="2"/>
  <c r="BP185" i="2" s="1"/>
  <c r="BP184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Z185" i="2" l="1"/>
  <c r="Z233" i="2"/>
  <c r="BP40" i="2"/>
  <c r="Z86" i="2"/>
  <c r="BN86" i="2"/>
  <c r="Z93" i="2"/>
  <c r="Z267" i="2"/>
  <c r="BN267" i="2"/>
  <c r="Z397" i="2"/>
  <c r="Z411" i="2"/>
  <c r="Z449" i="2"/>
  <c r="Y61" i="2"/>
  <c r="Y400" i="2"/>
  <c r="Z27" i="2"/>
  <c r="Z64" i="2"/>
  <c r="Z104" i="2"/>
  <c r="Y137" i="2"/>
  <c r="BP161" i="2"/>
  <c r="Z191" i="2"/>
  <c r="BN191" i="2"/>
  <c r="Z195" i="2"/>
  <c r="BN195" i="2"/>
  <c r="Z205" i="2"/>
  <c r="Z206" i="2" s="1"/>
  <c r="Y227" i="2"/>
  <c r="Z230" i="2"/>
  <c r="Z250" i="2"/>
  <c r="BN250" i="2"/>
  <c r="Z297" i="2"/>
  <c r="BN297" i="2"/>
  <c r="Z396" i="2"/>
  <c r="Z405" i="2"/>
  <c r="BN405" i="2"/>
  <c r="Z429" i="2"/>
  <c r="BN429" i="2"/>
  <c r="Z441" i="2"/>
  <c r="BN441" i="2"/>
  <c r="Z455" i="2"/>
  <c r="Y468" i="2"/>
  <c r="Z466" i="2"/>
  <c r="Z467" i="2" s="1"/>
  <c r="BN466" i="2"/>
  <c r="BP539" i="2"/>
  <c r="BP29" i="2"/>
  <c r="BN29" i="2"/>
  <c r="Z29" i="2"/>
  <c r="BN39" i="2"/>
  <c r="Z39" i="2"/>
  <c r="BN77" i="2"/>
  <c r="Z77" i="2"/>
  <c r="BN99" i="2"/>
  <c r="BN105" i="2"/>
  <c r="Z105" i="2"/>
  <c r="BN107" i="2"/>
  <c r="BN115" i="2"/>
  <c r="BN127" i="2"/>
  <c r="Z127" i="2"/>
  <c r="BN160" i="2"/>
  <c r="BN231" i="2"/>
  <c r="BN234" i="2"/>
  <c r="BN287" i="2"/>
  <c r="BN314" i="2"/>
  <c r="BP41" i="2"/>
  <c r="BN41" i="2"/>
  <c r="Z41" i="2"/>
  <c r="BN60" i="2"/>
  <c r="Z60" i="2"/>
  <c r="BP77" i="2"/>
  <c r="BP78" i="2"/>
  <c r="BN78" i="2"/>
  <c r="Z78" i="2"/>
  <c r="BP85" i="2"/>
  <c r="Z85" i="2"/>
  <c r="BP95" i="2"/>
  <c r="BN95" i="2"/>
  <c r="Z95" i="2"/>
  <c r="BP105" i="2"/>
  <c r="BN106" i="2"/>
  <c r="Z106" i="2"/>
  <c r="BN123" i="2"/>
  <c r="BP124" i="2"/>
  <c r="Z124" i="2"/>
  <c r="BN128" i="2"/>
  <c r="BN190" i="2"/>
  <c r="Z190" i="2"/>
  <c r="Y202" i="2"/>
  <c r="BN215" i="2"/>
  <c r="BN249" i="2"/>
  <c r="BN256" i="2"/>
  <c r="BP277" i="2"/>
  <c r="BN277" i="2"/>
  <c r="Z277" i="2"/>
  <c r="BN282" i="2"/>
  <c r="BN293" i="2"/>
  <c r="BN298" i="2"/>
  <c r="BP298" i="2"/>
  <c r="BP326" i="2"/>
  <c r="BN326" i="2"/>
  <c r="BN343" i="2"/>
  <c r="BN352" i="2"/>
  <c r="BN389" i="2"/>
  <c r="BP409" i="2"/>
  <c r="Y412" i="2"/>
  <c r="BN422" i="2"/>
  <c r="BN430" i="2"/>
  <c r="BN442" i="2"/>
  <c r="BN492" i="2"/>
  <c r="BN510" i="2"/>
  <c r="BN515" i="2"/>
  <c r="BN530" i="2"/>
  <c r="BN556" i="2"/>
  <c r="B574" i="2"/>
  <c r="BN23" i="2"/>
  <c r="BN30" i="2"/>
  <c r="BN80" i="2"/>
  <c r="BP93" i="2"/>
  <c r="BN119" i="2"/>
  <c r="BN145" i="2"/>
  <c r="BN201" i="2"/>
  <c r="BN226" i="2"/>
  <c r="BN236" i="2"/>
  <c r="Y258" i="2"/>
  <c r="BN278" i="2"/>
  <c r="BN283" i="2"/>
  <c r="BN289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Z456" i="2" s="1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74" i="2" s="1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X567" i="2" l="1"/>
  <c r="Z32" i="2"/>
  <c r="Z81" i="2"/>
  <c r="Z268" i="2"/>
  <c r="Z450" i="2"/>
  <c r="Z366" i="2"/>
  <c r="Z461" i="2"/>
  <c r="Z524" i="2"/>
  <c r="Z412" i="2"/>
  <c r="Z258" i="2"/>
  <c r="Z90" i="2"/>
  <c r="Z406" i="2"/>
  <c r="Z329" i="2"/>
  <c r="Z112" i="2"/>
  <c r="Z244" i="2"/>
  <c r="Z504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<sst xmlns="http://schemas.openxmlformats.org/spreadsheetml/2006/main" count="4374" uniqueCount="915">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</sst>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914</v>
      </c>
      <c r="I5" s="1013"/>
      <c r="J5" s="1013"/>
      <c r="K5" s="1013"/>
      <c r="L5" s="1013"/>
      <c r="M5" s="1013"/>
      <c r="N5" s="72"/>
      <c r="P5" s="27" t="s">
        <v>4</v>
      </c>
      <c r="Q5" s="1015">
        <v>46277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Суббота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0.66666666666666663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2000</v>
      </c>
      <c r="Y389" s="55">
        <f>IFERROR(IF(X389="",0,CEILING((X389/$H389),1)*$H389),"")</f>
        <v>2004.6</v>
      </c>
      <c r="Z389" s="41">
        <f>IFERROR(IF(Y389=0,"",ROUNDUP(Y389/H389,0)*0.01898),"")</f>
        <v>4.8778600000000001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2125.1282051282051</v>
      </c>
      <c r="BN389" s="78">
        <f>IFERROR(Y389*I389/H389,"0")</f>
        <v>2130.0160000000001</v>
      </c>
      <c r="BO389" s="78">
        <f>IFERROR(1/J389*(X389/H389),"0")</f>
        <v>4.0064102564102564</v>
      </c>
      <c r="BP389" s="78">
        <f>IFERROR(1/J389*(Y389/H389),"0")</f>
        <v>4.015625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256.41025641025641</v>
      </c>
      <c r="Y393" s="43">
        <f>IFERROR(Y389/H389,"0")+IFERROR(Y390/H390,"0")+IFERROR(Y391/H391,"0")+IFERROR(Y392/H392,"0")</f>
        <v>257</v>
      </c>
      <c r="Z393" s="43">
        <f>IFERROR(IF(Z389="",0,Z389),"0")+IFERROR(IF(Z390="",0,Z390),"0")+IFERROR(IF(Z391="",0,Z391),"0")+IFERROR(IF(Z392="",0,Z392),"0")</f>
        <v>4.8778600000000001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2000</v>
      </c>
      <c r="Y394" s="43">
        <f>IFERROR(SUM(Y389:Y392),"0")</f>
        <v>2004.6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2000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2004.6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2125.1282051282051</v>
      </c>
      <c r="Y565" s="43">
        <f>IFERROR(SUM(BN22:BN561),"0")</f>
        <v>2130.0160000000001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5</v>
      </c>
      <c r="Y566" s="44">
        <f>ROUNDUP(SUM(BP22:BP561),0)</f>
        <v>5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2250.1282051282051</v>
      </c>
      <c r="Y567" s="43">
        <f>GrossWeightTotalR+PalletQtyTotalR*25</f>
        <v>2255.0160000000001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256.41025641025641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257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4.8778600000000001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2004.6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000,00"/>
        <filter val="2 125,13"/>
        <filter val="2 250,13"/>
        <filter val="256,41"/>
        <filter val="5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2026-09-10T11:07:14Z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