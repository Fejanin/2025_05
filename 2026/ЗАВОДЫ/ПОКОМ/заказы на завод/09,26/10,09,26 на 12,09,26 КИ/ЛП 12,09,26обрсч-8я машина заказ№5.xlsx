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25C427-F064-43AE-AD4B-D3604B9B94E2}" xr6:coauthVersionLast="47" xr6:coauthVersionMax="47" xr10:uidLastSave="{00000000-0000-0000-0000-000000000000}"/>
  <bookViews>
    <workbookView xWindow="2640" yWindow="60" windowWidth="2590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N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Z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BN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P410" i="2"/>
  <c r="BO409" i="2"/>
  <c r="BM409" i="2"/>
  <c r="Y409" i="2"/>
  <c r="P409" i="2"/>
  <c r="X407" i="2"/>
  <c r="X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P200" i="2"/>
  <c r="BO200" i="2"/>
  <c r="BM200" i="2"/>
  <c r="Y200" i="2"/>
  <c r="P200" i="2"/>
  <c r="BO199" i="2"/>
  <c r="BM199" i="2"/>
  <c r="Y199" i="2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Z97" i="2"/>
  <c r="Y97" i="2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P78" i="2"/>
  <c r="BO78" i="2"/>
  <c r="BN78" i="2"/>
  <c r="BM78" i="2"/>
  <c r="Z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P64" i="2"/>
  <c r="X62" i="2"/>
  <c r="X61" i="2"/>
  <c r="BO60" i="2"/>
  <c r="BM60" i="2"/>
  <c r="Z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29" i="2" l="1"/>
  <c r="Z41" i="2"/>
  <c r="BP41" i="2"/>
  <c r="Z85" i="2"/>
  <c r="BN95" i="2"/>
  <c r="Y202" i="2"/>
  <c r="Z277" i="2"/>
  <c r="BP277" i="2"/>
  <c r="Z383" i="2"/>
  <c r="Z405" i="2"/>
  <c r="BP405" i="2"/>
  <c r="Z429" i="2"/>
  <c r="BP429" i="2"/>
  <c r="BN441" i="2"/>
  <c r="Z466" i="2"/>
  <c r="Z467" i="2" s="1"/>
  <c r="BP466" i="2"/>
  <c r="Y400" i="2"/>
  <c r="Z29" i="2"/>
  <c r="Z77" i="2"/>
  <c r="Z95" i="2"/>
  <c r="Z106" i="2"/>
  <c r="Y367" i="2"/>
  <c r="BN383" i="2"/>
  <c r="Z396" i="2"/>
  <c r="Z441" i="2"/>
  <c r="Z455" i="2"/>
  <c r="Y468" i="2"/>
  <c r="BP539" i="2"/>
  <c r="BN27" i="2"/>
  <c r="Z27" i="2"/>
  <c r="BP64" i="2"/>
  <c r="Z64" i="2"/>
  <c r="BN80" i="2"/>
  <c r="BP86" i="2"/>
  <c r="BN86" i="2"/>
  <c r="Z86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Y413" i="2"/>
  <c r="Z409" i="2"/>
  <c r="Y412" i="2"/>
  <c r="B574" i="2"/>
  <c r="Y24" i="2"/>
  <c r="BN23" i="2"/>
  <c r="BN30" i="2"/>
  <c r="BN40" i="2"/>
  <c r="BP40" i="2"/>
  <c r="BN93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403" i="2"/>
  <c r="Z403" i="2"/>
  <c r="BP409" i="2"/>
  <c r="BN410" i="2"/>
  <c r="BP410" i="2"/>
  <c r="BN422" i="2"/>
  <c r="BP430" i="2"/>
  <c r="BN430" i="2"/>
  <c r="BN442" i="2"/>
  <c r="BN492" i="2"/>
  <c r="BN510" i="2"/>
  <c r="BN515" i="2"/>
  <c r="BN530" i="2"/>
  <c r="BN556" i="2"/>
  <c r="Y61" i="2"/>
  <c r="BP77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P396" i="2"/>
  <c r="BN415" i="2"/>
  <c r="Z454" i="2"/>
  <c r="BP455" i="2"/>
  <c r="BP465" i="2"/>
  <c r="Y493" i="2"/>
  <c r="Z497" i="2"/>
  <c r="Z498" i="2" s="1"/>
  <c r="BN503" i="2"/>
  <c r="BN511" i="2"/>
  <c r="BN517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66" i="2" l="1"/>
  <c r="Z329" i="2"/>
  <c r="Z112" i="2"/>
  <c r="Z244" i="2"/>
  <c r="Z268" i="2"/>
  <c r="Z406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<sst xmlns="http://schemas.openxmlformats.org/spreadsheetml/2006/main" count="4374" uniqueCount="915">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</sst>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0.66666666666666663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998.4</v>
      </c>
      <c r="Y389" s="55">
        <f>IFERROR(IF(X389="",0,CEILING((X389/$H389),1)*$H389),"")</f>
        <v>998.4</v>
      </c>
      <c r="Z389" s="41">
        <f>IFERROR(IF(Y389=0,"",ROUNDUP(Y389/H389,0)*0.01898),"")</f>
        <v>2.42944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1060.864</v>
      </c>
      <c r="BN389" s="78">
        <f>IFERROR(Y389*I389/H389,"0")</f>
        <v>1060.864</v>
      </c>
      <c r="BO389" s="78">
        <f>IFERROR(1/J389*(X389/H389),"0")</f>
        <v>2</v>
      </c>
      <c r="BP389" s="78">
        <f>IFERROR(1/J389*(Y389/H389),"0")</f>
        <v>2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128</v>
      </c>
      <c r="Y393" s="43">
        <f>IFERROR(Y389/H389,"0")+IFERROR(Y390/H390,"0")+IFERROR(Y391/H391,"0")+IFERROR(Y392/H392,"0")</f>
        <v>128</v>
      </c>
      <c r="Z393" s="43">
        <f>IFERROR(IF(Z389="",0,Z389),"0")+IFERROR(IF(Z390="",0,Z390),"0")+IFERROR(IF(Z391="",0,Z391),"0")+IFERROR(IF(Z392="",0,Z392),"0")</f>
        <v>2.42944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998.4</v>
      </c>
      <c r="Y394" s="43">
        <f>IFERROR(SUM(Y389:Y392),"0")</f>
        <v>998.4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998.4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998.4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1060.864</v>
      </c>
      <c r="Y565" s="43">
        <f>IFERROR(SUM(BN22:BN561),"0")</f>
        <v>1060.864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2</v>
      </c>
      <c r="Y566" s="44">
        <f>ROUNDUP(SUM(BP22:BP561),0)</f>
        <v>2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1110.864</v>
      </c>
      <c r="Y567" s="43">
        <f>GrossWeightTotalR+PalletQtyTotalR*25</f>
        <v>1110.864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128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128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2.42944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998.4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86"/>
        <filter val="1 110,86"/>
        <filter val="128,00"/>
        <filter val="2"/>
        <filter val="998,4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