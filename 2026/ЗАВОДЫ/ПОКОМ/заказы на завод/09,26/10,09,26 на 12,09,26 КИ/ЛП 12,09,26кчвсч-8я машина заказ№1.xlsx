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3C0B23-D03D-430A-AE85-553C517B4C27}" xr6:coauthVersionLast="47" xr6:coauthVersionMax="47" xr10:uidLastSave="{00000000-0000-0000-0000-000000000000}"/>
  <bookViews>
    <workbookView xWindow="2640" yWindow="60" windowWidth="2590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Z492" i="2" s="1"/>
  <c r="P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N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06" i="2" l="1"/>
  <c r="Y367" i="2"/>
  <c r="Z29" i="2"/>
  <c r="Z77" i="2"/>
  <c r="Z190" i="2"/>
  <c r="BP298" i="2"/>
  <c r="BP410" i="2"/>
  <c r="Z454" i="2"/>
  <c r="Z95" i="2"/>
  <c r="B574" i="2"/>
  <c r="Z39" i="2"/>
  <c r="Z60" i="2"/>
  <c r="Z78" i="2"/>
  <c r="BN95" i="2"/>
  <c r="Y202" i="2"/>
  <c r="BP539" i="2"/>
  <c r="BN23" i="2"/>
  <c r="BN30" i="2"/>
  <c r="BN80" i="2"/>
  <c r="BP93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BN397" i="2"/>
  <c r="Z397" i="2"/>
  <c r="BP429" i="2"/>
  <c r="BN429" i="2"/>
  <c r="Z429" i="2"/>
  <c r="BN439" i="2"/>
  <c r="Z439" i="2"/>
  <c r="BN455" i="2"/>
  <c r="Z455" i="2"/>
  <c r="BP466" i="2"/>
  <c r="BN466" i="2"/>
  <c r="Z466" i="2"/>
  <c r="BP491" i="2"/>
  <c r="Y493" i="2"/>
  <c r="BN492" i="2"/>
  <c r="BN515" i="2"/>
  <c r="Y24" i="2"/>
  <c r="Z27" i="2"/>
  <c r="BP40" i="2"/>
  <c r="Y61" i="2"/>
  <c r="Z64" i="2"/>
  <c r="BP77" i="2"/>
  <c r="Z86" i="2"/>
  <c r="BN86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BP455" i="2"/>
  <c r="Y468" i="2"/>
  <c r="Z465" i="2"/>
  <c r="Z467" i="2" s="1"/>
  <c r="Y499" i="2"/>
  <c r="Z497" i="2"/>
  <c r="Z498" i="2" s="1"/>
  <c r="BN510" i="2"/>
  <c r="BN530" i="2"/>
  <c r="BN556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Y413" i="2"/>
  <c r="BP409" i="2"/>
  <c r="Y412" i="2"/>
  <c r="BN422" i="2"/>
  <c r="BN430" i="2"/>
  <c r="BN442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<sst xmlns="http://schemas.openxmlformats.org/spreadsheetml/2006/main" count="4374" uniqueCount="915">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</sst>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0.66666666666666663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4000</v>
      </c>
      <c r="Y474" s="55">
        <f>IFERROR(IF(X474="",0,CEILING((X474/$H474),1)*$H474),"")</f>
        <v>4005</v>
      </c>
      <c r="Z474" s="41">
        <f>IFERROR(IF(Y474=0,"",ROUNDUP(Y474/H474,0)*0.01898),"")</f>
        <v>8.4460999999999995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4219.5555555555557</v>
      </c>
      <c r="BN474" s="78">
        <f>IFERROR(Y474*I474/H474,"0")</f>
        <v>4224.83</v>
      </c>
      <c r="BO474" s="78">
        <f>IFERROR(1/J474*(X474/H474),"0")</f>
        <v>6.9444444444444446</v>
      </c>
      <c r="BP474" s="78">
        <f>IFERROR(1/J474*(Y474/H474),"0")</f>
        <v>6.953125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444.44444444444446</v>
      </c>
      <c r="Y477" s="43">
        <f>IFERROR(Y474/H474,"0")+IFERROR(Y475/H475,"0")+IFERROR(Y476/H476,"0")</f>
        <v>445</v>
      </c>
      <c r="Z477" s="43">
        <f>IFERROR(IF(Z474="",0,Z474),"0")+IFERROR(IF(Z475="",0,Z475),"0")+IFERROR(IF(Z476="",0,Z476),"0")</f>
        <v>8.4460999999999995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4000</v>
      </c>
      <c r="Y478" s="43">
        <f>IFERROR(SUM(Y474:Y476),"0")</f>
        <v>4005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4005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4219.5555555555557</v>
      </c>
      <c r="Y565" s="43">
        <f>IFERROR(SUM(BN22:BN561),"0")</f>
        <v>4224.83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4394.5555555555557</v>
      </c>
      <c r="Y567" s="43">
        <f>GrossWeightTotalR+PalletQtyTotalR*25</f>
        <v>4399.83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444.44444444444446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445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8.4460999999999995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4005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4 000,00"/>
        <filter val="4 219,56"/>
        <filter val="4 394,56"/>
        <filter val="444,44"/>
        <filter val="7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