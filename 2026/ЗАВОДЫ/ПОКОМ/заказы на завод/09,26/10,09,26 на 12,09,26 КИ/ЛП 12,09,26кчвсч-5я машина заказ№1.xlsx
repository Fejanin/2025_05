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CE0D45-73A4-4836-B3E2-3526E58A127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574" i="2" l="1"/>
  <c r="Z39" i="2"/>
  <c r="Z277" i="2"/>
  <c r="BN277" i="2"/>
  <c r="Z78" i="2"/>
  <c r="BN78" i="2"/>
  <c r="Z383" i="2"/>
  <c r="BN383" i="2"/>
  <c r="Z403" i="2"/>
  <c r="Z60" i="2"/>
  <c r="Z95" i="2"/>
  <c r="BN95" i="2"/>
  <c r="Z106" i="2"/>
  <c r="Y367" i="2"/>
  <c r="BP410" i="2"/>
  <c r="Z29" i="2"/>
  <c r="BN29" i="2"/>
  <c r="Z41" i="2"/>
  <c r="BN41" i="2"/>
  <c r="Z77" i="2"/>
  <c r="Z85" i="2"/>
  <c r="Z124" i="2"/>
  <c r="Z127" i="2"/>
  <c r="Z190" i="2"/>
  <c r="BP298" i="2"/>
  <c r="Z373" i="2"/>
  <c r="Z454" i="2"/>
  <c r="Y493" i="2"/>
  <c r="Z497" i="2"/>
  <c r="Z498" i="2" s="1"/>
  <c r="BN23" i="2"/>
  <c r="BN30" i="2"/>
  <c r="BN80" i="2"/>
  <c r="BP93" i="2"/>
  <c r="BN119" i="2"/>
  <c r="BN145" i="2"/>
  <c r="Y24" i="2"/>
  <c r="Z27" i="2"/>
  <c r="BP40" i="2"/>
  <c r="Y61" i="2"/>
  <c r="Z64" i="2"/>
  <c r="BP77" i="2"/>
  <c r="Z86" i="2"/>
  <c r="BN86" i="2"/>
  <c r="Z93" i="2"/>
  <c r="BN99" i="2"/>
  <c r="Z104" i="2"/>
  <c r="BN105" i="2"/>
  <c r="BP105" i="2"/>
  <c r="BN161" i="2"/>
  <c r="BP161" i="2"/>
  <c r="BP106" i="2"/>
  <c r="BN107" i="2"/>
  <c r="BN115" i="2"/>
  <c r="BN123" i="2"/>
  <c r="BN128" i="2"/>
  <c r="Y137" i="2"/>
  <c r="BN160" i="2"/>
  <c r="BP184" i="2"/>
  <c r="Z185" i="2"/>
  <c r="BN185" i="2"/>
  <c r="Z191" i="2"/>
  <c r="BN191" i="2"/>
  <c r="Z195" i="2"/>
  <c r="BN195" i="2"/>
  <c r="Y202" i="2"/>
  <c r="Z205" i="2"/>
  <c r="Z206" i="2" s="1"/>
  <c r="BN215" i="2"/>
  <c r="Y227" i="2"/>
  <c r="Z230" i="2"/>
  <c r="BN231" i="2"/>
  <c r="Z233" i="2"/>
  <c r="BN233" i="2"/>
  <c r="BN234" i="2"/>
  <c r="BN249" i="2"/>
  <c r="Z250" i="2"/>
  <c r="BN250" i="2"/>
  <c r="BP255" i="2"/>
  <c r="BN256" i="2"/>
  <c r="Z267" i="2"/>
  <c r="BN267" i="2"/>
  <c r="BN282" i="2"/>
  <c r="BN287" i="2"/>
  <c r="BN293" i="2"/>
  <c r="Z297" i="2"/>
  <c r="BN297" i="2"/>
  <c r="BN314" i="2"/>
  <c r="BN326" i="2"/>
  <c r="BN343" i="2"/>
  <c r="BN352" i="2"/>
  <c r="BN389" i="2"/>
  <c r="Z396" i="2"/>
  <c r="Z397" i="2"/>
  <c r="Y400" i="2"/>
  <c r="Z405" i="2"/>
  <c r="BN405" i="2"/>
  <c r="Y413" i="2"/>
  <c r="BP409" i="2"/>
  <c r="Z411" i="2"/>
  <c r="Y412" i="2"/>
  <c r="BN422" i="2"/>
  <c r="Z429" i="2"/>
  <c r="BN429" i="2"/>
  <c r="BN430" i="2"/>
  <c r="Z439" i="2"/>
  <c r="Z441" i="2"/>
  <c r="BN441" i="2"/>
  <c r="BN442" i="2"/>
  <c r="Z449" i="2"/>
  <c r="Z455" i="2"/>
  <c r="Z456" i="2" s="1"/>
  <c r="Z465" i="2"/>
  <c r="Z466" i="2"/>
  <c r="BN466" i="2"/>
  <c r="BN492" i="2"/>
  <c r="BN510" i="2"/>
  <c r="BN515" i="2"/>
  <c r="BN530" i="2"/>
  <c r="BP539" i="2"/>
  <c r="BN556" i="2"/>
  <c r="BN201" i="2"/>
  <c r="BN226" i="2"/>
  <c r="BN236" i="2"/>
  <c r="BN278" i="2"/>
  <c r="BN283" i="2"/>
  <c r="BN289" i="2"/>
  <c r="BN303" i="2"/>
  <c r="BN310" i="2"/>
  <c r="BN318" i="2"/>
  <c r="BN336" i="2"/>
  <c r="BN351" i="2"/>
  <c r="BN372" i="2"/>
  <c r="BN379" i="2"/>
  <c r="BP396" i="2"/>
  <c r="BN415" i="2"/>
  <c r="BP455" i="2"/>
  <c r="BP465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7" i="2" l="1"/>
  <c r="Z100" i="2"/>
  <c r="Z81" i="2"/>
  <c r="Z450" i="2"/>
  <c r="Z329" i="2"/>
  <c r="Z112" i="2"/>
  <c r="Z244" i="2"/>
  <c r="Z74" i="2"/>
  <c r="Z406" i="2"/>
  <c r="Z399" i="2"/>
  <c r="Z32" i="2"/>
  <c r="Z366" i="2"/>
  <c r="Z90" i="2"/>
  <c r="Z268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<sst xmlns="http://schemas.openxmlformats.org/spreadsheetml/2006/main" count="4374" uniqueCount="915">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</sst>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46277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Суббота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0.54166666666666663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350</v>
      </c>
      <c r="Y56" s="55">
        <f t="shared" si="0"/>
        <v>356.40000000000003</v>
      </c>
      <c r="Z56" s="41">
        <f>IFERROR(IF(Y56=0,"",ROUNDUP(Y56/H56,0)*0.01898),"")</f>
        <v>0.62634000000000001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363.28703703703707</v>
      </c>
      <c r="BN56" s="78">
        <f t="shared" si="2"/>
        <v>369.93</v>
      </c>
      <c r="BO56" s="78">
        <f t="shared" si="3"/>
        <v>0.5063657407407407</v>
      </c>
      <c r="BP56" s="78">
        <f t="shared" si="4"/>
        <v>0.515625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32.407407407407405</v>
      </c>
      <c r="Y61" s="43">
        <f>IFERROR(Y55/H55,"0")+IFERROR(Y56/H56,"0")+IFERROR(Y57/H57,"0")+IFERROR(Y58/H58,"0")+IFERROR(Y59/H59,"0")+IFERROR(Y60/H60,"0")</f>
        <v>33</v>
      </c>
      <c r="Z61" s="43">
        <f>IFERROR(IF(Z55="",0,Z55),"0")+IFERROR(IF(Z56="",0,Z56),"0")+IFERROR(IF(Z57="",0,Z57),"0")+IFERROR(IF(Z58="",0,Z58),"0")+IFERROR(IF(Z59="",0,Z59),"0")+IFERROR(IF(Z60="",0,Z60),"0")</f>
        <v>0.62634000000000001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350</v>
      </c>
      <c r="Y62" s="43">
        <f>IFERROR(SUM(Y55:Y60),"0")</f>
        <v>356.40000000000003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70</v>
      </c>
      <c r="Y77" s="55">
        <f>IFERROR(IF(X77="",0,CEILING((X77/$H77),1)*$H77),"")</f>
        <v>70.2</v>
      </c>
      <c r="Z77" s="41">
        <f>IFERROR(IF(Y77=0,"",ROUNDUP(Y77/H77,0)*0.01898),"")</f>
        <v>0.17082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73.679487179487182</v>
      </c>
      <c r="BN77" s="78">
        <f>IFERROR(Y77*I77/H77,"0")</f>
        <v>73.890000000000015</v>
      </c>
      <c r="BO77" s="78">
        <f>IFERROR(1/J77*(X77/H77),"0")</f>
        <v>0.14022435897435898</v>
      </c>
      <c r="BP77" s="78">
        <f>IFERROR(1/J77*(Y77/H77),"0")</f>
        <v>0.140625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8.9743589743589745</v>
      </c>
      <c r="Y81" s="43">
        <f>IFERROR(Y77/H77,"0")+IFERROR(Y78/H78,"0")+IFERROR(Y79/H79,"0")+IFERROR(Y80/H80,"0")</f>
        <v>9</v>
      </c>
      <c r="Z81" s="43">
        <f>IFERROR(IF(Z77="",0,Z77),"0")+IFERROR(IF(Z78="",0,Z78),"0")+IFERROR(IF(Z79="",0,Z79),"0")+IFERROR(IF(Z80="",0,Z80),"0")</f>
        <v>0.17082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70</v>
      </c>
      <c r="Y82" s="43">
        <f>IFERROR(SUM(Y77:Y80),"0")</f>
        <v>70.2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200</v>
      </c>
      <c r="Y85" s="55">
        <f>IFERROR(IF(X85="",0,CEILING((X85/$H85),1)*$H85),"")</f>
        <v>205.20000000000002</v>
      </c>
      <c r="Z85" s="41">
        <f>IFERROR(IF(Y85=0,"",ROUNDUP(Y85/H85,0)*0.01898),"")</f>
        <v>0.36062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207.59259259259258</v>
      </c>
      <c r="BN85" s="78">
        <f>IFERROR(Y85*I85/H85,"0")</f>
        <v>212.99</v>
      </c>
      <c r="BO85" s="78">
        <f>IFERROR(1/J85*(X85/H85),"0")</f>
        <v>0.28935185185185186</v>
      </c>
      <c r="BP85" s="78">
        <f>IFERROR(1/J85*(Y85/H85),"0")</f>
        <v>0.296875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18.518518518518519</v>
      </c>
      <c r="Y90" s="43">
        <f>IFERROR(Y85/H85,"0")+IFERROR(Y86/H86,"0")+IFERROR(Y87/H87,"0")+IFERROR(Y88/H88,"0")+IFERROR(Y89/H89,"0")</f>
        <v>19</v>
      </c>
      <c r="Z90" s="43">
        <f>IFERROR(IF(Z85="",0,Z85),"0")+IFERROR(IF(Z86="",0,Z86),"0")+IFERROR(IF(Z87="",0,Z87),"0")+IFERROR(IF(Z88="",0,Z88),"0")+IFERROR(IF(Z89="",0,Z89),"0")</f>
        <v>0.36062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200</v>
      </c>
      <c r="Y91" s="43">
        <f>IFERROR(SUM(Y85:Y89),"0")</f>
        <v>205.20000000000002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350</v>
      </c>
      <c r="Y93" s="55">
        <f t="shared" ref="Y93:Y99" si="5">IFERROR(IF(X93="",0,CEILING((X93/$H93),1)*$H93),"")</f>
        <v>356.4</v>
      </c>
      <c r="Z93" s="41">
        <f>IFERROR(IF(Y93=0,"",ROUNDUP(Y93/H93,0)*0.01898),"")</f>
        <v>0.83511999999999997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371.34567901234567</v>
      </c>
      <c r="BN93" s="78">
        <f t="shared" ref="BN93:BN99" si="7">IFERROR(Y93*I93/H93,"0")</f>
        <v>378.13599999999997</v>
      </c>
      <c r="BO93" s="78">
        <f t="shared" ref="BO93:BO99" si="8">IFERROR(1/J93*(X93/H93),"0")</f>
        <v>0.67515432098765438</v>
      </c>
      <c r="BP93" s="78">
        <f t="shared" ref="BP93:BP99" si="9">IFERROR(1/J93*(Y93/H93),"0")</f>
        <v>0.6875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108</v>
      </c>
      <c r="Y97" s="55">
        <f t="shared" si="5"/>
        <v>108</v>
      </c>
      <c r="Z97" s="41">
        <f>IFERROR(IF(Y97=0,"",ROUNDUP(Y97/H97,0)*0.00651),"")</f>
        <v>0.26040000000000002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118.07999999999998</v>
      </c>
      <c r="BN97" s="78">
        <f t="shared" si="7"/>
        <v>118.07999999999998</v>
      </c>
      <c r="BO97" s="78">
        <f t="shared" si="8"/>
        <v>0.2197802197802198</v>
      </c>
      <c r="BP97" s="78">
        <f t="shared" si="9"/>
        <v>0.2197802197802198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83.209876543209873</v>
      </c>
      <c r="Y100" s="43">
        <f>IFERROR(Y93/H93,"0")+IFERROR(Y94/H94,"0")+IFERROR(Y95/H95,"0")+IFERROR(Y96/H96,"0")+IFERROR(Y97/H97,"0")+IFERROR(Y98/H98,"0")+IFERROR(Y99/H99,"0")</f>
        <v>84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1.09552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458</v>
      </c>
      <c r="Y101" s="43">
        <f>IFERROR(SUM(Y93:Y99),"0")</f>
        <v>464.4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150</v>
      </c>
      <c r="Y104" s="55">
        <f t="shared" ref="Y104:Y111" si="10">IFERROR(IF(X104="",0,CEILING((X104/$H104),1)*$H104),"")</f>
        <v>151.20000000000002</v>
      </c>
      <c r="Z104" s="41">
        <f>IFERROR(IF(Y104=0,"",ROUNDUP(Y104/H104,0)*0.01898),"")</f>
        <v>0.26572000000000001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155.69444444444446</v>
      </c>
      <c r="BN104" s="78">
        <f t="shared" ref="BN104:BN111" si="12">IFERROR(Y104*I104/H104,"0")</f>
        <v>156.94</v>
      </c>
      <c r="BO104" s="78">
        <f t="shared" ref="BO104:BO111" si="13">IFERROR(1/J104*(X104/H104),"0")</f>
        <v>0.21701388888888887</v>
      </c>
      <c r="BP104" s="78">
        <f t="shared" ref="BP104:BP111" si="14">IFERROR(1/J104*(Y104/H104),"0")</f>
        <v>0.21875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13.888888888888888</v>
      </c>
      <c r="Y112" s="43">
        <f>IFERROR(Y104/H104,"0")+IFERROR(Y105/H105,"0")+IFERROR(Y106/H106,"0")+IFERROR(Y107/H107,"0")+IFERROR(Y108/H108,"0")+IFERROR(Y109/H109,"0")+IFERROR(Y110/H110,"0")+IFERROR(Y111/H111,"0")</f>
        <v>14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0.26572000000000001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150</v>
      </c>
      <c r="Y113" s="43">
        <f>IFERROR(SUM(Y104:Y111),"0")</f>
        <v>151.20000000000002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120</v>
      </c>
      <c r="Y115" s="55">
        <f>IFERROR(IF(X115="",0,CEILING((X115/$H115),1)*$H115),"")</f>
        <v>129.60000000000002</v>
      </c>
      <c r="Z115" s="41">
        <f>IFERROR(IF(Y115=0,"",ROUNDUP(Y115/H115,0)*0.01898),"")</f>
        <v>0.22776000000000002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124.55555555555556</v>
      </c>
      <c r="BN115" s="78">
        <f>IFERROR(Y115*I115/H115,"0")</f>
        <v>134.52000000000001</v>
      </c>
      <c r="BO115" s="78">
        <f>IFERROR(1/J115*(X115/H115),"0")</f>
        <v>0.1736111111111111</v>
      </c>
      <c r="BP115" s="78">
        <f>IFERROR(1/J115*(Y115/H115),"0")</f>
        <v>0.18750000000000003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11.111111111111111</v>
      </c>
      <c r="Y120" s="43">
        <f>IFERROR(Y115/H115,"0")+IFERROR(Y116/H116,"0")+IFERROR(Y117/H117,"0")+IFERROR(Y118/H118,"0")+IFERROR(Y119/H119,"0")</f>
        <v>12.000000000000002</v>
      </c>
      <c r="Z120" s="43">
        <f>IFERROR(IF(Z115="",0,Z115),"0")+IFERROR(IF(Z116="",0,Z116),"0")+IFERROR(IF(Z117="",0,Z117),"0")+IFERROR(IF(Z118="",0,Z118),"0")+IFERROR(IF(Z119="",0,Z119),"0")</f>
        <v>0.22776000000000002</v>
      </c>
      <c r="AA120" s="67"/>
      <c r="AB120" s="67"/>
      <c r="AC120" s="67"/>
    </row>
    <row r="121" spans="1:68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120</v>
      </c>
      <c r="Y121" s="43">
        <f>IFERROR(SUM(Y115:Y119),"0")</f>
        <v>129.60000000000002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1200</v>
      </c>
      <c r="Y123" s="55">
        <f t="shared" ref="Y123:Y130" si="15">IFERROR(IF(X123="",0,CEILING((X123/$H123),1)*$H123),"")</f>
        <v>1206.8999999999999</v>
      </c>
      <c r="Z123" s="41">
        <f>IFERROR(IF(Y123=0,"",ROUNDUP(Y123/H123,0)*0.01898),"")</f>
        <v>2.82802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1272.2962962962961</v>
      </c>
      <c r="BN123" s="78">
        <f t="shared" ref="BN123:BN130" si="17">IFERROR(Y123*I123/H123,"0")</f>
        <v>1279.6119999999999</v>
      </c>
      <c r="BO123" s="78">
        <f t="shared" ref="BO123:BO130" si="18">IFERROR(1/J123*(X123/H123),"0")</f>
        <v>2.3148148148148149</v>
      </c>
      <c r="BP123" s="78">
        <f t="shared" ref="BP123:BP130" si="19">IFERROR(1/J123*(Y123/H123),"0")</f>
        <v>2.328125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135</v>
      </c>
      <c r="Y127" s="55">
        <f t="shared" si="15"/>
        <v>135</v>
      </c>
      <c r="Z127" s="41">
        <f t="shared" si="20"/>
        <v>0.32550000000000001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147.6</v>
      </c>
      <c r="BN127" s="78">
        <f t="shared" si="17"/>
        <v>147.6</v>
      </c>
      <c r="BO127" s="78">
        <f t="shared" si="18"/>
        <v>0.27472527472527475</v>
      </c>
      <c r="BP127" s="78">
        <f t="shared" si="19"/>
        <v>0.27472527472527475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198.14814814814815</v>
      </c>
      <c r="Y131" s="43">
        <f>IFERROR(Y123/H123,"0")+IFERROR(Y124/H124,"0")+IFERROR(Y125/H125,"0")+IFERROR(Y126/H126,"0")+IFERROR(Y127/H127,"0")+IFERROR(Y128/H128,"0")+IFERROR(Y129/H129,"0")+IFERROR(Y130/H130,"0")</f>
        <v>199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3.1535199999999999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1335</v>
      </c>
      <c r="Y132" s="43">
        <f>IFERROR(SUM(Y123:Y130),"0")</f>
        <v>1341.8999999999999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50</v>
      </c>
      <c r="Y186" s="55">
        <f t="shared" si="27"/>
        <v>52.5</v>
      </c>
      <c r="Z186" s="41">
        <f t="shared" si="28"/>
        <v>0.1353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52.714285714285715</v>
      </c>
      <c r="BN186" s="78">
        <f t="shared" si="30"/>
        <v>55.35</v>
      </c>
      <c r="BO186" s="78">
        <f t="shared" si="31"/>
        <v>0.10822510822510824</v>
      </c>
      <c r="BP186" s="78">
        <f t="shared" si="32"/>
        <v>0.11363636363636365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28.571428571428573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30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0.27060000000000001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100</v>
      </c>
      <c r="Y197" s="43">
        <f>IFERROR(SUM(Y182:Y195),"0")</f>
        <v>105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40</v>
      </c>
      <c r="Y230" s="55">
        <f t="shared" ref="Y230:Y243" si="39">IFERROR(IF(X230="",0,CEILING((X230/$H230),1)*$H230),"")</f>
        <v>42</v>
      </c>
      <c r="Z230" s="41">
        <f>IFERROR(IF(Y230=0,"",ROUNDUP(Y230/H230,0)*0.00902),"")</f>
        <v>9.0200000000000002E-2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42.38095238095238</v>
      </c>
      <c r="BN230" s="78">
        <f t="shared" ref="BN230:BN243" si="41">IFERROR(Y230*I230/H230,"0")</f>
        <v>44.5</v>
      </c>
      <c r="BO230" s="78">
        <f t="shared" ref="BO230:BO243" si="42">IFERROR(1/J230*(X230/H230),"0")</f>
        <v>7.2150072150072145E-2</v>
      </c>
      <c r="BP230" s="78">
        <f t="shared" ref="BP230:BP243" si="43">IFERROR(1/J230*(Y230/H230),"0")</f>
        <v>7.575757575757576E-2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9.5238095238095237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9.0200000000000002E-2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40</v>
      </c>
      <c r="Y245" s="43">
        <f>IFERROR(SUM(Y230:Y243),"0")</f>
        <v>42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50</v>
      </c>
      <c r="Y276" s="55">
        <f t="shared" ref="Y276:Y283" si="45">IFERROR(IF(X276="",0,CEILING((X276/$H276),1)*$H276),"")</f>
        <v>54</v>
      </c>
      <c r="Z276" s="41">
        <f>IFERROR(IF(Y276=0,"",ROUNDUP(Y276/H276,0)*0.00902),"")</f>
        <v>9.0200000000000002E-2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51.759259259259252</v>
      </c>
      <c r="BN276" s="78">
        <f t="shared" ref="BN276:BN283" si="47">IFERROR(Y276*I276/H276,"0")</f>
        <v>55.9</v>
      </c>
      <c r="BO276" s="78">
        <f t="shared" ref="BO276:BO283" si="48">IFERROR(1/J276*(X276/H276),"0")</f>
        <v>7.0145903479236812E-2</v>
      </c>
      <c r="BP276" s="78">
        <f t="shared" ref="BP276:BP283" si="49">IFERROR(1/J276*(Y276/H276),"0")</f>
        <v>7.575757575757576E-2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50</v>
      </c>
      <c r="Y277" s="55">
        <f t="shared" si="45"/>
        <v>54</v>
      </c>
      <c r="Z277" s="41">
        <f>IFERROR(IF(Y277=0,"",ROUNDUP(Y277/H277,0)*0.00902),"")</f>
        <v>9.0200000000000002E-2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51.759259259259252</v>
      </c>
      <c r="BN277" s="78">
        <f t="shared" si="47"/>
        <v>55.9</v>
      </c>
      <c r="BO277" s="78">
        <f t="shared" si="48"/>
        <v>7.0145903479236812E-2</v>
      </c>
      <c r="BP277" s="78">
        <f t="shared" si="49"/>
        <v>7.575757575757576E-2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70</v>
      </c>
      <c r="Y278" s="55">
        <f t="shared" si="45"/>
        <v>70.2</v>
      </c>
      <c r="Z278" s="41">
        <f>IFERROR(IF(Y278=0,"",ROUNDUP(Y278/H278,0)*0.00902),"")</f>
        <v>0.11726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72.462962962962962</v>
      </c>
      <c r="BN278" s="78">
        <f t="shared" si="47"/>
        <v>72.67</v>
      </c>
      <c r="BO278" s="78">
        <f t="shared" si="48"/>
        <v>9.8204264870931535E-2</v>
      </c>
      <c r="BP278" s="78">
        <f t="shared" si="49"/>
        <v>9.8484848484848481E-2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40.74074074074074</v>
      </c>
      <c r="Y284" s="43">
        <f>IFERROR(Y276/H276,"0")+IFERROR(Y277/H277,"0")+IFERROR(Y278/H278,"0")+IFERROR(Y279/H279,"0")+IFERROR(Y280/H280,"0")+IFERROR(Y281/H281,"0")+IFERROR(Y282/H282,"0")+IFERROR(Y283/H283,"0")</f>
        <v>43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0.38786000000000004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220</v>
      </c>
      <c r="Y285" s="43">
        <f>IFERROR(SUM(Y276:Y283),"0")</f>
        <v>232.2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72</v>
      </c>
      <c r="Y290" s="55">
        <f t="shared" si="50"/>
        <v>72</v>
      </c>
      <c r="Z290" s="41">
        <f>IFERROR(IF(Y290=0,"",ROUNDUP(Y290/H290,0)*0.00651),"")</f>
        <v>0.1953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80.100000000000009</v>
      </c>
      <c r="BN290" s="78">
        <f t="shared" si="52"/>
        <v>80.100000000000009</v>
      </c>
      <c r="BO290" s="78">
        <f t="shared" si="53"/>
        <v>0.16483516483516486</v>
      </c>
      <c r="BP290" s="78">
        <f t="shared" si="54"/>
        <v>0.16483516483516486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168</v>
      </c>
      <c r="Y293" s="55">
        <f t="shared" si="50"/>
        <v>168</v>
      </c>
      <c r="Z293" s="41">
        <f>IFERROR(IF(Y293=0,"",ROUNDUP(Y293/H293,0)*0.00651),"")</f>
        <v>0.45569999999999999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185.64000000000001</v>
      </c>
      <c r="BN293" s="78">
        <f t="shared" si="52"/>
        <v>185.64000000000001</v>
      </c>
      <c r="BO293" s="78">
        <f t="shared" si="53"/>
        <v>0.38461538461538464</v>
      </c>
      <c r="BP293" s="78">
        <f t="shared" si="54"/>
        <v>0.38461538461538464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192</v>
      </c>
      <c r="Y295" s="55">
        <f t="shared" si="50"/>
        <v>192</v>
      </c>
      <c r="Z295" s="41">
        <f>IFERROR(IF(Y295=0,"",ROUNDUP(Y295/H295,0)*0.00651),"")</f>
        <v>0.52080000000000004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212.16000000000003</v>
      </c>
      <c r="BN295" s="78">
        <f t="shared" si="52"/>
        <v>212.16000000000003</v>
      </c>
      <c r="BO295" s="78">
        <f t="shared" si="53"/>
        <v>0.43956043956043961</v>
      </c>
      <c r="BP295" s="78">
        <f t="shared" si="54"/>
        <v>0.43956043956043961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72</v>
      </c>
      <c r="Y297" s="55">
        <f t="shared" si="50"/>
        <v>72</v>
      </c>
      <c r="Z297" s="41">
        <f>IFERROR(IF(Y297=0,"",ROUNDUP(Y297/H297,0)*0.00651),"")</f>
        <v>0.1953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79.740000000000009</v>
      </c>
      <c r="BN297" s="78">
        <f t="shared" si="52"/>
        <v>79.740000000000009</v>
      </c>
      <c r="BO297" s="78">
        <f t="shared" si="53"/>
        <v>0.16483516483516486</v>
      </c>
      <c r="BP297" s="78">
        <f t="shared" si="54"/>
        <v>0.16483516483516486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210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210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1.3671000000000002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504</v>
      </c>
      <c r="Y300" s="43">
        <f>IFERROR(SUM(Y287:Y298),"0")</f>
        <v>504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50</v>
      </c>
      <c r="Y333" s="55">
        <f>IFERROR(IF(X333="",0,CEILING((X333/$H333),1)*$H333),"")</f>
        <v>54</v>
      </c>
      <c r="Z333" s="41">
        <f>IFERROR(IF(Y333=0,"",ROUNDUP(Y333/H333,0)*0.01898),"")</f>
        <v>9.4899999999999998E-2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51.898148148148145</v>
      </c>
      <c r="BN333" s="78">
        <f>IFERROR(Y333*I333/H333,"0")</f>
        <v>56.05</v>
      </c>
      <c r="BO333" s="78">
        <f>IFERROR(1/J333*(X333/H333),"0")</f>
        <v>7.2337962962962965E-2</v>
      </c>
      <c r="BP333" s="78">
        <f>IFERROR(1/J333*(Y333/H333),"0")</f>
        <v>7.8125E-2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4.6296296296296298</v>
      </c>
      <c r="Y338" s="43">
        <f>IFERROR(Y333/H333,"0")+IFERROR(Y334/H334,"0")+IFERROR(Y335/H335,"0")+IFERROR(Y336/H336,"0")+IFERROR(Y337/H337,"0")</f>
        <v>5</v>
      </c>
      <c r="Z338" s="43">
        <f>IFERROR(IF(Z333="",0,Z333),"0")+IFERROR(IF(Z334="",0,Z334),"0")+IFERROR(IF(Z335="",0,Z335),"0")+IFERROR(IF(Z336="",0,Z336),"0")+IFERROR(IF(Z337="",0,Z337),"0")</f>
        <v>9.4899999999999998E-2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50</v>
      </c>
      <c r="Y339" s="43">
        <f>IFERROR(SUM(Y333:Y337),"0")</f>
        <v>54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50</v>
      </c>
      <c r="Y364" s="55">
        <f>IFERROR(IF(X364="",0,CEILING((X364/$H364),1)*$H364),"")</f>
        <v>54.6</v>
      </c>
      <c r="Z364" s="41">
        <f>IFERROR(IF(Y364=0,"",ROUNDUP(Y364/H364,0)*0.01898),"")</f>
        <v>0.13286000000000001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52.628205128205138</v>
      </c>
      <c r="BN364" s="78">
        <f>IFERROR(Y364*I364/H364,"0")</f>
        <v>57.470000000000013</v>
      </c>
      <c r="BO364" s="78">
        <f>IFERROR(1/J364*(X364/H364),"0")</f>
        <v>0.10016025641025642</v>
      </c>
      <c r="BP364" s="78">
        <f>IFERROR(1/J364*(Y364/H364),"0")</f>
        <v>0.109375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6.4102564102564106</v>
      </c>
      <c r="Y366" s="43">
        <f>IFERROR(Y363/H363,"0")+IFERROR(Y364/H364,"0")+IFERROR(Y365/H365,"0")</f>
        <v>7</v>
      </c>
      <c r="Z366" s="43">
        <f>IFERROR(IF(Z363="",0,Z363),"0")+IFERROR(IF(Z364="",0,Z364),"0")+IFERROR(IF(Z365="",0,Z365),"0")</f>
        <v>0.13286000000000001</v>
      </c>
      <c r="AA366" s="67"/>
      <c r="AB366" s="67"/>
      <c r="AC366" s="67"/>
    </row>
    <row r="367" spans="1:68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50</v>
      </c>
      <c r="Y367" s="43">
        <f>IFERROR(SUM(Y363:Y365),"0")</f>
        <v>54.6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150</v>
      </c>
      <c r="Y389" s="55">
        <f>IFERROR(IF(X389="",0,CEILING((X389/$H389),1)*$H389),"")</f>
        <v>156</v>
      </c>
      <c r="Z389" s="41">
        <f>IFERROR(IF(Y389=0,"",ROUNDUP(Y389/H389,0)*0.01898),"")</f>
        <v>0.37959999999999999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159.38461538461539</v>
      </c>
      <c r="BN389" s="78">
        <f>IFERROR(Y389*I389/H389,"0")</f>
        <v>165.76000000000002</v>
      </c>
      <c r="BO389" s="78">
        <f>IFERROR(1/J389*(X389/H389),"0")</f>
        <v>0.30048076923076922</v>
      </c>
      <c r="BP389" s="78">
        <f>IFERROR(1/J389*(Y389/H389),"0")</f>
        <v>0.3125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19.23076923076923</v>
      </c>
      <c r="Y393" s="43">
        <f>IFERROR(Y389/H389,"0")+IFERROR(Y390/H390,"0")+IFERROR(Y391/H391,"0")+IFERROR(Y392/H392,"0")</f>
        <v>20</v>
      </c>
      <c r="Z393" s="43">
        <f>IFERROR(IF(Z389="",0,Z389),"0")+IFERROR(IF(Z390="",0,Z390),"0")+IFERROR(IF(Z391="",0,Z391),"0")+IFERROR(IF(Z392="",0,Z392),"0")</f>
        <v>0.37959999999999999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150</v>
      </c>
      <c r="Y394" s="43">
        <f>IFERROR(SUM(Y389:Y392),"0")</f>
        <v>156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800</v>
      </c>
      <c r="Y397" s="55">
        <f>IFERROR(IF(X397="",0,CEILING((X397/$H397),1)*$H397),"")</f>
        <v>803.4</v>
      </c>
      <c r="Z397" s="41">
        <f>IFERROR(IF(Y397=0,"",ROUNDUP(Y397/H397,0)*0.01898),"")</f>
        <v>1.9549400000000001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850.66666666666674</v>
      </c>
      <c r="BN397" s="78">
        <f>IFERROR(Y397*I397/H397,"0")</f>
        <v>854.28200000000015</v>
      </c>
      <c r="BO397" s="78">
        <f>IFERROR(1/J397*(X397/H397),"0")</f>
        <v>1.6025641025641026</v>
      </c>
      <c r="BP397" s="78">
        <f>IFERROR(1/J397*(Y397/H397),"0")</f>
        <v>1.609375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102.56410256410257</v>
      </c>
      <c r="Y399" s="43">
        <f>IFERROR(Y396/H396,"0")+IFERROR(Y397/H397,"0")+IFERROR(Y398/H398,"0")</f>
        <v>103</v>
      </c>
      <c r="Z399" s="43">
        <f>IFERROR(IF(Z396="",0,Z396),"0")+IFERROR(IF(Z397="",0,Z397),"0")+IFERROR(IF(Z398="",0,Z398),"0")</f>
        <v>1.9549400000000001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800</v>
      </c>
      <c r="Y400" s="43">
        <f>IFERROR(SUM(Y396:Y398),"0")</f>
        <v>803.4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70</v>
      </c>
      <c r="Y428" s="55">
        <f>IFERROR(IF(X428="",0,CEILING((X428/$H428),1)*$H428),"")</f>
        <v>72.899999999999991</v>
      </c>
      <c r="Z428" s="41">
        <f>IFERROR(IF(Y428=0,"",ROUNDUP(Y428/H428,0)*0.01898),"")</f>
        <v>0.17082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74.269135802469137</v>
      </c>
      <c r="BN428" s="78">
        <f>IFERROR(Y428*I428/H428,"0")</f>
        <v>77.345999999999989</v>
      </c>
      <c r="BO428" s="78">
        <f>IFERROR(1/J428*(X428/H428),"0")</f>
        <v>0.13503086419753088</v>
      </c>
      <c r="BP428" s="78">
        <f>IFERROR(1/J428*(Y428/H428),"0")</f>
        <v>0.140625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105</v>
      </c>
      <c r="Y429" s="55">
        <f>IFERROR(IF(X429="",0,CEILING((X429/$H429),1)*$H429),"")</f>
        <v>105</v>
      </c>
      <c r="Z429" s="41">
        <f>IFERROR(IF(Y429=0,"",ROUNDUP(Y429/H429,0)*0.00651),"")</f>
        <v>0.32550000000000001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117.59999999999998</v>
      </c>
      <c r="BN429" s="78">
        <f>IFERROR(Y429*I429/H429,"0")</f>
        <v>117.59999999999998</v>
      </c>
      <c r="BO429" s="78">
        <f>IFERROR(1/J429*(X429/H429),"0")</f>
        <v>0.27472527472527475</v>
      </c>
      <c r="BP429" s="78">
        <f>IFERROR(1/J429*(Y429/H429),"0")</f>
        <v>0.27472527472527475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63</v>
      </c>
      <c r="Y430" s="55">
        <f>IFERROR(IF(X430="",0,CEILING((X430/$H430),1)*$H430),"")</f>
        <v>63</v>
      </c>
      <c r="Z430" s="41">
        <f>IFERROR(IF(Y430=0,"",ROUNDUP(Y430/H430,0)*0.00651),"")</f>
        <v>0.1953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70.199999999999989</v>
      </c>
      <c r="BN430" s="78">
        <f>IFERROR(Y430*I430/H430,"0")</f>
        <v>70.199999999999989</v>
      </c>
      <c r="BO430" s="78">
        <f>IFERROR(1/J430*(X430/H430),"0")</f>
        <v>0.16483516483516486</v>
      </c>
      <c r="BP430" s="78">
        <f>IFERROR(1/J430*(Y430/H430),"0")</f>
        <v>0.16483516483516486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88.641975308641975</v>
      </c>
      <c r="Y431" s="43">
        <f>IFERROR(Y428/H428,"0")+IFERROR(Y429/H429,"0")+IFERROR(Y430/H430,"0")</f>
        <v>89</v>
      </c>
      <c r="Z431" s="43">
        <f>IFERROR(IF(Z428="",0,Z428),"0")+IFERROR(IF(Z429="",0,Z429),"0")+IFERROR(IF(Z430="",0,Z430),"0")</f>
        <v>0.69162000000000001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238</v>
      </c>
      <c r="Y432" s="43">
        <f>IFERROR(SUM(Y428:Y430),"0")</f>
        <v>240.89999999999998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1500</v>
      </c>
      <c r="Y437" s="55">
        <f t="shared" si="70"/>
        <v>1500</v>
      </c>
      <c r="Z437" s="41">
        <f>IFERROR(IF(Y437=0,"",ROUNDUP(Y437/H437,0)*0.02175),"")</f>
        <v>2.1749999999999998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1547</v>
      </c>
      <c r="BN437" s="78">
        <f t="shared" si="72"/>
        <v>1547</v>
      </c>
      <c r="BO437" s="78">
        <f t="shared" si="73"/>
        <v>2.083333333333333</v>
      </c>
      <c r="BP437" s="78">
        <f t="shared" si="74"/>
        <v>2.083333333333333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70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1031.3333333333333</v>
      </c>
      <c r="BN438" s="78">
        <f t="shared" si="72"/>
        <v>1036.49</v>
      </c>
      <c r="BO438" s="78">
        <f t="shared" si="73"/>
        <v>1.3888888888888888</v>
      </c>
      <c r="BP438" s="78">
        <f t="shared" si="74"/>
        <v>1.3958333333333333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1500</v>
      </c>
      <c r="Y439" s="55">
        <f t="shared" si="70"/>
        <v>1500</v>
      </c>
      <c r="Z439" s="41">
        <f>IFERROR(IF(Y439=0,"",ROUNDUP(Y439/H439,0)*0.02175),"")</f>
        <v>2.1749999999999998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1547</v>
      </c>
      <c r="BN439" s="78">
        <f t="shared" si="72"/>
        <v>1547</v>
      </c>
      <c r="BO439" s="78">
        <f t="shared" si="73"/>
        <v>2.083333333333333</v>
      </c>
      <c r="BP439" s="78">
        <f t="shared" si="74"/>
        <v>2.083333333333333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800</v>
      </c>
      <c r="Y440" s="55">
        <f t="shared" si="70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825.06666666666672</v>
      </c>
      <c r="BN440" s="78">
        <f t="shared" si="72"/>
        <v>835.38</v>
      </c>
      <c r="BO440" s="78">
        <f t="shared" si="73"/>
        <v>1.1111111111111112</v>
      </c>
      <c r="BP440" s="78">
        <f t="shared" si="74"/>
        <v>1.125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320</v>
      </c>
      <c r="Y444" s="43">
        <f>IFERROR(Y436/H436,"0")+IFERROR(Y437/H437,"0")+IFERROR(Y438/H438,"0")+IFERROR(Y439/H439,"0")+IFERROR(Y440/H440,"0")+IFERROR(Y441/H441,"0")+IFERROR(Y442/H442,"0")+IFERROR(Y443/H443,"0")</f>
        <v>321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6.9817499999999999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4800</v>
      </c>
      <c r="Y445" s="43">
        <f>IFERROR(SUM(Y436:Y443),"0")</f>
        <v>4815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40</v>
      </c>
      <c r="Y482" s="55">
        <f t="shared" ref="Y482:Y487" si="75">IFERROR(IF(X482="",0,CEILING((X482/$H482),1)*$H482),"")</f>
        <v>43.2</v>
      </c>
      <c r="Z482" s="41">
        <f>IFERROR(IF(Y482=0,"",ROUNDUP(Y482/H482,0)*0.00902),"")</f>
        <v>7.2160000000000002E-2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41.407407407407405</v>
      </c>
      <c r="BN482" s="78">
        <f t="shared" ref="BN482:BN487" si="77">IFERROR(Y482*I482/H482,"0")</f>
        <v>44.72</v>
      </c>
      <c r="BO482" s="78">
        <f t="shared" ref="BO482:BO487" si="78">IFERROR(1/J482*(X482/H482),"0")</f>
        <v>5.6116722783389444E-2</v>
      </c>
      <c r="BP482" s="78">
        <f t="shared" ref="BP482:BP487" si="79">IFERROR(1/J482*(Y482/H482),"0")</f>
        <v>6.0606060606060608E-2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40</v>
      </c>
      <c r="Y483" s="55">
        <f t="shared" si="75"/>
        <v>43.2</v>
      </c>
      <c r="Z483" s="41">
        <f>IFERROR(IF(Y483=0,"",ROUNDUP(Y483/H483,0)*0.00902),"")</f>
        <v>7.2160000000000002E-2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41.407407407407405</v>
      </c>
      <c r="BN483" s="78">
        <f t="shared" si="77"/>
        <v>44.72</v>
      </c>
      <c r="BO483" s="78">
        <f t="shared" si="78"/>
        <v>5.6116722783389444E-2</v>
      </c>
      <c r="BP483" s="78">
        <f t="shared" si="79"/>
        <v>6.0606060606060608E-2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14.814814814814813</v>
      </c>
      <c r="Y488" s="43">
        <f>IFERROR(Y482/H482,"0")+IFERROR(Y483/H483,"0")+IFERROR(Y484/H484,"0")+IFERROR(Y485/H485,"0")+IFERROR(Y486/H486,"0")+IFERROR(Y487/H487,"0")</f>
        <v>16</v>
      </c>
      <c r="Z488" s="43">
        <f>IFERROR(IF(Z482="",0,Z482),"0")+IFERROR(IF(Z483="",0,Z483),"0")+IFERROR(IF(Z484="",0,Z484),"0")+IFERROR(IF(Z485="",0,Z485),"0")+IFERROR(IF(Z486="",0,Z486),"0")+IFERROR(IF(Z487="",0,Z487),"0")</f>
        <v>0.14432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80</v>
      </c>
      <c r="Y489" s="43">
        <f>IFERROR(SUM(Y482:Y487),"0")</f>
        <v>86.4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250</v>
      </c>
      <c r="Y511" s="55">
        <f t="shared" si="80"/>
        <v>253.44</v>
      </c>
      <c r="Z511" s="41">
        <f t="shared" si="81"/>
        <v>0.57408000000000003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266.57196969696969</v>
      </c>
      <c r="BN511" s="78">
        <f t="shared" si="83"/>
        <v>270.23999999999995</v>
      </c>
      <c r="BO511" s="78">
        <f t="shared" si="84"/>
        <v>0.45527389277389274</v>
      </c>
      <c r="BP511" s="78">
        <f t="shared" si="85"/>
        <v>0.46153846153846156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500</v>
      </c>
      <c r="Y512" s="55">
        <f t="shared" si="80"/>
        <v>501.6</v>
      </c>
      <c r="Z512" s="41">
        <f t="shared" si="81"/>
        <v>1.1362000000000001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533.14393939393938</v>
      </c>
      <c r="BN512" s="78">
        <f t="shared" si="83"/>
        <v>534.85</v>
      </c>
      <c r="BO512" s="78">
        <f t="shared" si="84"/>
        <v>0.91054778554778548</v>
      </c>
      <c r="BP512" s="78">
        <f t="shared" si="85"/>
        <v>0.91346153846153855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500</v>
      </c>
      <c r="Y514" s="55">
        <f t="shared" si="80"/>
        <v>501.6</v>
      </c>
      <c r="Z514" s="41">
        <f t="shared" si="81"/>
        <v>1.1362000000000001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533.14393939393938</v>
      </c>
      <c r="BN514" s="78">
        <f t="shared" si="83"/>
        <v>534.85</v>
      </c>
      <c r="BO514" s="78">
        <f t="shared" si="84"/>
        <v>0.91054778554778548</v>
      </c>
      <c r="BP514" s="78">
        <f t="shared" si="85"/>
        <v>0.91346153846153855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236.74242424242422</v>
      </c>
      <c r="Y518" s="43">
        <f>IFERROR(Y509/H509,"0")+IFERROR(Y510/H510,"0")+IFERROR(Y511/H511,"0")+IFERROR(Y512/H512,"0")+IFERROR(Y513/H513,"0")+IFERROR(Y514/H514,"0")+IFERROR(Y515/H515,"0")+IFERROR(Y516/H516,"0")+IFERROR(Y517/H517,"0")</f>
        <v>238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2.8464800000000001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1250</v>
      </c>
      <c r="Y519" s="43">
        <f>IFERROR(SUM(Y509:Y517),"0")</f>
        <v>1256.6399999999999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501.6</v>
      </c>
      <c r="Z521" s="41">
        <f>IFERROR(IF(Y521=0,"",ROUNDUP(Y521/H521,0)*0.01196),"")</f>
        <v>1.1362000000000001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533.14393939393938</v>
      </c>
      <c r="BN521" s="78">
        <f>IFERROR(Y521*I521/H521,"0")</f>
        <v>534.85</v>
      </c>
      <c r="BO521" s="78">
        <f>IFERROR(1/J521*(X521/H521),"0")</f>
        <v>0.91054778554778548</v>
      </c>
      <c r="BP521" s="78">
        <f>IFERROR(1/J521*(Y521/H521),"0")</f>
        <v>0.91346153846153855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94.696969696969688</v>
      </c>
      <c r="Y524" s="43">
        <f>IFERROR(Y521/H521,"0")+IFERROR(Y522/H522,"0")+IFERROR(Y523/H523,"0")</f>
        <v>95</v>
      </c>
      <c r="Z524" s="43">
        <f>IFERROR(IF(Z521="",0,Z521),"0")+IFERROR(IF(Z522="",0,Z522),"0")+IFERROR(IF(Z523="",0,Z523),"0")</f>
        <v>1.1362000000000001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500</v>
      </c>
      <c r="Y525" s="43">
        <f>IFERROR(SUM(Y521:Y523),"0")</f>
        <v>501.6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8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319.88636363636363</v>
      </c>
      <c r="BN527" s="78">
        <f t="shared" ref="BN527:BN533" si="88">IFERROR(Y527*I527/H527,"0")</f>
        <v>320.91000000000003</v>
      </c>
      <c r="BO527" s="78">
        <f t="shared" ref="BO527:BO533" si="89">IFERROR(1/J527*(X527/H527),"0")</f>
        <v>0.54632867132867136</v>
      </c>
      <c r="BP527" s="78">
        <f t="shared" ref="BP527:BP533" si="90">IFERROR(1/J527*(Y527/H527),"0")</f>
        <v>0.54807692307692313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200</v>
      </c>
      <c r="Y528" s="55">
        <f t="shared" si="86"/>
        <v>200.64000000000001</v>
      </c>
      <c r="Z528" s="41">
        <f>IFERROR(IF(Y528=0,"",ROUNDUP(Y528/H528,0)*0.01196),"")</f>
        <v>0.45448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213.25757575757575</v>
      </c>
      <c r="BN528" s="78">
        <f t="shared" si="88"/>
        <v>213.94</v>
      </c>
      <c r="BO528" s="78">
        <f t="shared" si="89"/>
        <v>0.36421911421911418</v>
      </c>
      <c r="BP528" s="78">
        <f t="shared" si="90"/>
        <v>0.36538461538461542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500</v>
      </c>
      <c r="Y529" s="55">
        <f t="shared" si="86"/>
        <v>501.6</v>
      </c>
      <c r="Z529" s="41">
        <f>IFERROR(IF(Y529=0,"",ROUNDUP(Y529/H529,0)*0.01196),"")</f>
        <v>1.1362000000000001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533.14393939393938</v>
      </c>
      <c r="BN529" s="78">
        <f t="shared" si="88"/>
        <v>534.85</v>
      </c>
      <c r="BO529" s="78">
        <f t="shared" si="89"/>
        <v>0.91054778554778548</v>
      </c>
      <c r="BP529" s="78">
        <f t="shared" si="90"/>
        <v>0.91346153846153855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189.39393939393938</v>
      </c>
      <c r="Y534" s="43">
        <f>IFERROR(Y527/H527,"0")+IFERROR(Y528/H528,"0")+IFERROR(Y529/H529,"0")+IFERROR(Y530/H530,"0")+IFERROR(Y531/H531,"0")+IFERROR(Y532/H532,"0")+IFERROR(Y533/H533,"0")</f>
        <v>190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2.2724000000000002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1000</v>
      </c>
      <c r="Y535" s="43">
        <f>IFERROR(SUM(Y527:Y533),"0")</f>
        <v>1003.2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250</v>
      </c>
      <c r="Y551" s="55">
        <f>IFERROR(IF(X551="",0,CEILING((X551/$H551),1)*$H551),"")</f>
        <v>252</v>
      </c>
      <c r="Z551" s="41">
        <f>IFERROR(IF(Y551=0,"",ROUNDUP(Y551/H551,0)*0.01898),"")</f>
        <v>0.53144000000000002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263.72222222222223</v>
      </c>
      <c r="BN551" s="78">
        <f>IFERROR(Y551*I551/H551,"0")</f>
        <v>265.83199999999999</v>
      </c>
      <c r="BO551" s="78">
        <f>IFERROR(1/J551*(X551/H551),"0")</f>
        <v>0.43402777777777779</v>
      </c>
      <c r="BP551" s="78">
        <f>IFERROR(1/J551*(Y551/H551),"0")</f>
        <v>0.4375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27.777777777777779</v>
      </c>
      <c r="Y552" s="43">
        <f>IFERROR(Y551/H551,"0")</f>
        <v>28</v>
      </c>
      <c r="Z552" s="43">
        <f>IFERROR(IF(Z551="",0,Z551),"0")</f>
        <v>0.53144000000000002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250</v>
      </c>
      <c r="Y553" s="43">
        <f>IFERROR(SUM(Y551:Y551),"0")</f>
        <v>252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12715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12825.84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13373.196831501835</v>
      </c>
      <c r="Y565" s="43">
        <f>IFERROR(SUM(BN22:BN561),"0")</f>
        <v>13489.248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22</v>
      </c>
      <c r="Y566" s="44">
        <f>ROUNDUP(SUM(BP22:BP561),0)</f>
        <v>22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13923.196831501835</v>
      </c>
      <c r="Y567" s="43">
        <f>GrossWeightTotalR+PalletQtyTotalR*25</f>
        <v>14039.248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1759.9969474969475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1775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25.182570000000002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426.6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669.6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1622.6999999999998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736.2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54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54.6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959.4</v>
      </c>
      <c r="U574" s="52">
        <f>IFERROR(Y422*1,"0")+IFERROR(Y423*1,"0")</f>
        <v>0</v>
      </c>
      <c r="V574" s="52">
        <f>IFERROR(Y428*1,"0")+IFERROR(Y429*1,"0")+IFERROR(Y430*1,"0")</f>
        <v>240.89999999999998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4815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86.4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2761.4399999999996</v>
      </c>
      <c r="AB574" s="52">
        <f>IFERROR(Y539*1,"0")+IFERROR(Y543*1,"0")+IFERROR(Y547*1,"0")+IFERROR(Y551*1,"0")+IFERROR(Y555*1,"0")+IFERROR(Y556*1,"0")</f>
        <v>252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50,00"/>
        <filter val="1 335,00"/>
        <filter val="1 500,00"/>
        <filter val="1 760,00"/>
        <filter val="100,00"/>
        <filter val="102,56"/>
        <filter val="105,00"/>
        <filter val="108,00"/>
        <filter val="11,11"/>
        <filter val="12 715,00"/>
        <filter val="120,00"/>
        <filter val="13 373,20"/>
        <filter val="13 923,20"/>
        <filter val="13,89"/>
        <filter val="135,00"/>
        <filter val="14,81"/>
        <filter val="150,00"/>
        <filter val="168,00"/>
        <filter val="18,52"/>
        <filter val="189,39"/>
        <filter val="19,23"/>
        <filter val="192,00"/>
        <filter val="198,15"/>
        <filter val="200,00"/>
        <filter val="210,00"/>
        <filter val="22"/>
        <filter val="220,00"/>
        <filter val="236,74"/>
        <filter val="238,00"/>
        <filter val="250,00"/>
        <filter val="27,78"/>
        <filter val="28,57"/>
        <filter val="300,00"/>
        <filter val="32,41"/>
        <filter val="320,00"/>
        <filter val="350,00"/>
        <filter val="4 800,00"/>
        <filter val="4,63"/>
        <filter val="40,00"/>
        <filter val="40,74"/>
        <filter val="458,00"/>
        <filter val="50,00"/>
        <filter val="500,00"/>
        <filter val="504,00"/>
        <filter val="6,41"/>
        <filter val="63,00"/>
        <filter val="70,00"/>
        <filter val="72,00"/>
        <filter val="8,97"/>
        <filter val="80,00"/>
        <filter val="800,00"/>
        <filter val="83,21"/>
        <filter val="88,64"/>
        <filter val="9,52"/>
        <filter val="94,7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2026-09-10T11:21:29Z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