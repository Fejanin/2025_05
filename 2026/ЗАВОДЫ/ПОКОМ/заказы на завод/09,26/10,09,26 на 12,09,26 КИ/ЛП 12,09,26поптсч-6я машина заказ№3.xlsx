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31668B-67FC-42C9-97F8-7F10D3D77E6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P184" i="2" l="1"/>
  <c r="Z185" i="2"/>
  <c r="BN185" i="2"/>
  <c r="Z233" i="2"/>
  <c r="BN233" i="2"/>
  <c r="Z439" i="2"/>
  <c r="BP40" i="2"/>
  <c r="Z93" i="2"/>
  <c r="Z267" i="2"/>
  <c r="BN267" i="2"/>
  <c r="Z397" i="2"/>
  <c r="Z411" i="2"/>
  <c r="Z449" i="2"/>
  <c r="Z64" i="2"/>
  <c r="Z27" i="2"/>
  <c r="Z86" i="2"/>
  <c r="BN86" i="2"/>
  <c r="Y400" i="2"/>
  <c r="Y61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BN466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N123" i="2"/>
  <c r="BP124" i="2"/>
  <c r="Z124" i="2"/>
  <c r="BN128" i="2"/>
  <c r="BN190" i="2"/>
  <c r="Z190" i="2"/>
  <c r="Y202" i="2"/>
  <c r="BN215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07" i="2"/>
  <c r="BN115" i="2"/>
  <c r="BN127" i="2"/>
  <c r="Z127" i="2"/>
  <c r="BN160" i="2"/>
  <c r="BP231" i="2"/>
  <c r="BN231" i="2"/>
  <c r="BN256" i="2"/>
  <c r="BN287" i="2"/>
  <c r="BN314" i="2"/>
  <c r="BN343" i="2"/>
  <c r="BN352" i="2"/>
  <c r="BN389" i="2"/>
  <c r="BP409" i="2"/>
  <c r="Y412" i="2"/>
  <c r="BN234" i="2"/>
  <c r="BN249" i="2"/>
  <c r="BN282" i="2"/>
  <c r="BN293" i="2"/>
  <c r="BN326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Z456" i="2" s="1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100" i="2" l="1"/>
  <c r="Z461" i="2"/>
  <c r="Z524" i="2"/>
  <c r="Z412" i="2"/>
  <c r="Z258" i="2"/>
  <c r="Z273" i="2"/>
  <c r="Z366" i="2"/>
  <c r="Z268" i="2"/>
  <c r="Z450" i="2"/>
  <c r="Z399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<sst xmlns="http://schemas.openxmlformats.org/spreadsheetml/2006/main" count="4374" uniqueCount="915">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</sst>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Z10" sqref="Z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0.58333333333333337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108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112.1</v>
      </c>
      <c r="BN64" s="78">
        <f>IFERROR(Y64*I64/H64,"0")</f>
        <v>112.1</v>
      </c>
      <c r="BO64" s="78">
        <f>IFERROR(1/J64*(X64/H64),"0")</f>
        <v>0.15625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10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108</v>
      </c>
      <c r="Y69" s="43">
        <f>IFERROR(SUM(Y64:Y67),"0")</f>
        <v>108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121.5</v>
      </c>
      <c r="Y93" s="55">
        <f t="shared" ref="Y93:Y99" si="5">IFERROR(IF(X93="",0,CEILING((X93/$H93),1)*$H93),"")</f>
        <v>121.5</v>
      </c>
      <c r="Z93" s="41">
        <f>IFERROR(IF(Y93=0,"",ROUNDUP(Y93/H93,0)*0.01898),"")</f>
        <v>0.28470000000000001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128.91</v>
      </c>
      <c r="BN93" s="78">
        <f t="shared" ref="BN93:BN99" si="7">IFERROR(Y93*I93/H93,"0")</f>
        <v>128.91</v>
      </c>
      <c r="BO93" s="78">
        <f t="shared" ref="BO93:BO99" si="8">IFERROR(1/J93*(X93/H93),"0")</f>
        <v>0.234375</v>
      </c>
      <c r="BP93" s="78">
        <f t="shared" ref="BP93:BP99" si="9">IFERROR(1/J93*(Y93/H93),"0")</f>
        <v>0.234375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15</v>
      </c>
      <c r="Y100" s="43">
        <f>IFERROR(Y93/H93,"0")+IFERROR(Y94/H94,"0")+IFERROR(Y95/H95,"0")+IFERROR(Y96/H96,"0")+IFERROR(Y97/H97,"0")+IFERROR(Y98/H98,"0")+IFERROR(Y99/H99,"0")</f>
        <v>15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0.28470000000000001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121.5</v>
      </c>
      <c r="Y101" s="43">
        <f>IFERROR(SUM(Y93:Y99),"0")</f>
        <v>121.5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121.5</v>
      </c>
      <c r="Y123" s="55">
        <f t="shared" ref="Y123:Y130" si="15">IFERROR(IF(X123="",0,CEILING((X123/$H123),1)*$H123),"")</f>
        <v>121.5</v>
      </c>
      <c r="Z123" s="41">
        <f>IFERROR(IF(Y123=0,"",ROUNDUP(Y123/H123,0)*0.01898),"")</f>
        <v>0.28470000000000001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128.82</v>
      </c>
      <c r="BN123" s="78">
        <f t="shared" ref="BN123:BN130" si="17">IFERROR(Y123*I123/H123,"0")</f>
        <v>128.82</v>
      </c>
      <c r="BO123" s="78">
        <f t="shared" ref="BO123:BO130" si="18">IFERROR(1/J123*(X123/H123),"0")</f>
        <v>0.234375</v>
      </c>
      <c r="BP123" s="78">
        <f t="shared" ref="BP123:BP130" si="19">IFERROR(1/J123*(Y123/H123),"0")</f>
        <v>0.234375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15</v>
      </c>
      <c r="Y131" s="43">
        <f>IFERROR(Y123/H123,"0")+IFERROR(Y124/H124,"0")+IFERROR(Y125/H125,"0")+IFERROR(Y126/H126,"0")+IFERROR(Y127/H127,"0")+IFERROR(Y128/H128,"0")+IFERROR(Y129/H129,"0")+IFERROR(Y130/H130,"0")</f>
        <v>15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0.28470000000000001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121.5</v>
      </c>
      <c r="Y132" s="43">
        <f>IFERROR(SUM(Y123:Y130),"0")</f>
        <v>121.5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17.5</v>
      </c>
      <c r="Y182" s="55">
        <f t="shared" ref="Y182:Y195" si="27">IFERROR(IF(X182="",0,CEILING((X182/$H182),1)*$H182),"")</f>
        <v>17.5</v>
      </c>
      <c r="Z182" s="41">
        <f t="shared" ref="Z182:Z187" si="28">IFERROR(IF(Y182=0,"",ROUNDUP(Y182/H182,0)*0.00902),"")</f>
        <v>4.5100000000000001E-2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18.45</v>
      </c>
      <c r="BN182" s="78">
        <f t="shared" ref="BN182:BN195" si="30">IFERROR(Y182*I182/H182,"0")</f>
        <v>18.45</v>
      </c>
      <c r="BO182" s="78">
        <f t="shared" ref="BO182:BO195" si="31">IFERROR(1/J182*(X182/H182),"0")</f>
        <v>3.787878787878788E-2</v>
      </c>
      <c r="BP182" s="78">
        <f t="shared" ref="BP182:BP195" si="32">IFERROR(1/J182*(Y182/H182),"0")</f>
        <v>3.787878787878788E-2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4.5100000000000001E-2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17.5</v>
      </c>
      <c r="Y197" s="43">
        <f>IFERROR(SUM(Y182:Y195),"0")</f>
        <v>17.5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108</v>
      </c>
      <c r="Y335" s="55">
        <f>IFERROR(IF(X335="",0,CEILING((X335/$H335),1)*$H335),"")</f>
        <v>108</v>
      </c>
      <c r="Z335" s="41">
        <f>IFERROR(IF(Y335=0,"",ROUNDUP(Y335/H335,0)*0.01898),"")</f>
        <v>0.1898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112.1</v>
      </c>
      <c r="BN335" s="78">
        <f>IFERROR(Y335*I335/H335,"0")</f>
        <v>112.1</v>
      </c>
      <c r="BO335" s="78">
        <f>IFERROR(1/J335*(X335/H335),"0")</f>
        <v>0.15625</v>
      </c>
      <c r="BP335" s="78">
        <f>IFERROR(1/J335*(Y335/H335),"0")</f>
        <v>0.15625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10</v>
      </c>
      <c r="Y338" s="43">
        <f>IFERROR(Y333/H333,"0")+IFERROR(Y334/H334,"0")+IFERROR(Y335/H335,"0")+IFERROR(Y336/H336,"0")+IFERROR(Y337/H337,"0")</f>
        <v>10</v>
      </c>
      <c r="Z338" s="43">
        <f>IFERROR(IF(Z333="",0,Z333),"0")+IFERROR(IF(Z334="",0,Z334),"0")+IFERROR(IF(Z335="",0,Z335),"0")+IFERROR(IF(Z336="",0,Z336),"0")+IFERROR(IF(Z337="",0,Z337),"0")</f>
        <v>0.1898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108</v>
      </c>
      <c r="Y339" s="43">
        <f>IFERROR(SUM(Y333:Y337),"0")</f>
        <v>108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54</v>
      </c>
      <c r="Y371" s="55">
        <f t="shared" si="60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56.05</v>
      </c>
      <c r="BN371" s="78">
        <f t="shared" si="62"/>
        <v>56.05</v>
      </c>
      <c r="BO371" s="78">
        <f t="shared" si="63"/>
        <v>7.8125E-2</v>
      </c>
      <c r="BP371" s="78">
        <f t="shared" si="64"/>
        <v>7.8125E-2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108</v>
      </c>
      <c r="Y372" s="55">
        <f t="shared" si="60"/>
        <v>108</v>
      </c>
      <c r="Z372" s="41">
        <f>IFERROR(IF(Y372=0,"",ROUNDUP(Y372/H372,0)*0.01898),"")</f>
        <v>0.1898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112.1</v>
      </c>
      <c r="BN372" s="78">
        <f t="shared" si="62"/>
        <v>112.1</v>
      </c>
      <c r="BO372" s="78">
        <f t="shared" si="63"/>
        <v>0.15625</v>
      </c>
      <c r="BP372" s="78">
        <f t="shared" si="64"/>
        <v>0.15625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15</v>
      </c>
      <c r="Y376" s="43">
        <f>IFERROR(Y370/H370,"0")+IFERROR(Y371/H371,"0")+IFERROR(Y372/H372,"0")+IFERROR(Y373/H373,"0")+IFERROR(Y374/H374,"0")+IFERROR(Y375/H375,"0")</f>
        <v>15</v>
      </c>
      <c r="Z376" s="43">
        <f>IFERROR(IF(Z370="",0,Z370),"0")+IFERROR(IF(Z371="",0,Z371),"0")+IFERROR(IF(Z372="",0,Z372),"0")+IFERROR(IF(Z373="",0,Z373),"0")+IFERROR(IF(Z374="",0,Z374),"0")+IFERROR(IF(Z375="",0,Z375),"0")</f>
        <v>0.28470000000000001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162</v>
      </c>
      <c r="Y377" s="43">
        <f>IFERROR(SUM(Y370:Y375),"0")</f>
        <v>162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63</v>
      </c>
      <c r="Y379" s="55">
        <f t="shared" ref="Y379:Y385" si="65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66.75</v>
      </c>
      <c r="BN379" s="78">
        <f t="shared" ref="BN379:BN385" si="67">IFERROR(Y379*I379/H379,"0")</f>
        <v>66.75</v>
      </c>
      <c r="BO379" s="78">
        <f t="shared" ref="BO379:BO385" si="68">IFERROR(1/J379*(X379/H379),"0")</f>
        <v>0.11363636363636365</v>
      </c>
      <c r="BP379" s="78">
        <f t="shared" ref="BP379:BP385" si="69">IFERROR(1/J379*(Y379/H379),"0")</f>
        <v>0.11363636363636365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63</v>
      </c>
      <c r="Y380" s="55">
        <f t="shared" si="65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66.75</v>
      </c>
      <c r="BN380" s="78">
        <f t="shared" si="67"/>
        <v>66.75</v>
      </c>
      <c r="BO380" s="78">
        <f t="shared" si="68"/>
        <v>0.11363636363636365</v>
      </c>
      <c r="BP380" s="78">
        <f t="shared" si="69"/>
        <v>0.11363636363636365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30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126</v>
      </c>
      <c r="Y387" s="43">
        <f>IFERROR(SUM(Y379:Y385),"0")</f>
        <v>126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15</v>
      </c>
      <c r="Y392" s="55">
        <f>IFERROR(IF(X392="",0,CEILING((X392/$H392),1)*$H392),"")</f>
        <v>15</v>
      </c>
      <c r="Z392" s="41">
        <f>IFERROR(IF(Y392=0,"",ROUNDUP(Y392/H392,0)*0.00651),"")</f>
        <v>3.2550000000000003E-2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16.23</v>
      </c>
      <c r="BN392" s="78">
        <f>IFERROR(Y392*I392/H392,"0")</f>
        <v>16.23</v>
      </c>
      <c r="BO392" s="78">
        <f>IFERROR(1/J392*(X392/H392),"0")</f>
        <v>2.7472527472527476E-2</v>
      </c>
      <c r="BP392" s="78">
        <f>IFERROR(1/J392*(Y392/H392),"0")</f>
        <v>2.7472527472527476E-2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5</v>
      </c>
      <c r="Y393" s="43">
        <f>IFERROR(Y389/H389,"0")+IFERROR(Y390/H390,"0")+IFERROR(Y391/H391,"0")+IFERROR(Y392/H392,"0")</f>
        <v>5</v>
      </c>
      <c r="Z393" s="43">
        <f>IFERROR(IF(Z389="",0,Z389),"0")+IFERROR(IF(Z390="",0,Z390),"0")+IFERROR(IF(Z391="",0,Z391),"0")+IFERROR(IF(Z392="",0,Z392),"0")</f>
        <v>3.2550000000000003E-2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15</v>
      </c>
      <c r="Y394" s="43">
        <f>IFERROR(SUM(Y389:Y392),"0")</f>
        <v>15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156</v>
      </c>
      <c r="Y397" s="55">
        <f>IFERROR(IF(X397="",0,CEILING((X397/$H397),1)*$H397),"")</f>
        <v>156</v>
      </c>
      <c r="Z397" s="41">
        <f>IFERROR(IF(Y397=0,"",ROUNDUP(Y397/H397,0)*0.01898),"")</f>
        <v>0.37959999999999999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165.88</v>
      </c>
      <c r="BN397" s="78">
        <f>IFERROR(Y397*I397/H397,"0")</f>
        <v>165.88</v>
      </c>
      <c r="BO397" s="78">
        <f>IFERROR(1/J397*(X397/H397),"0")</f>
        <v>0.3125</v>
      </c>
      <c r="BP397" s="78">
        <f>IFERROR(1/J397*(Y397/H397),"0")</f>
        <v>0.3125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0.47449999999999998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198</v>
      </c>
      <c r="Y400" s="43">
        <f>IFERROR(SUM(Y396:Y398),"0")</f>
        <v>198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117</v>
      </c>
      <c r="Y422" s="55">
        <f>IFERROR(IF(X422="",0,CEILING((X422/$H422),1)*$H422),"")</f>
        <v>117</v>
      </c>
      <c r="Z422" s="41">
        <f>IFERROR(IF(Y422=0,"",ROUNDUP(Y422/H422,0)*0.01898),"")</f>
        <v>0.28470000000000001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123.15</v>
      </c>
      <c r="BN422" s="78">
        <f>IFERROR(Y422*I422/H422,"0")</f>
        <v>123.15</v>
      </c>
      <c r="BO422" s="78">
        <f>IFERROR(1/J422*(X422/H422),"0")</f>
        <v>0.234375</v>
      </c>
      <c r="BP422" s="78">
        <f>IFERROR(1/J422*(Y422/H422),"0")</f>
        <v>0.234375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117</v>
      </c>
      <c r="Y423" s="55">
        <f>IFERROR(IF(X423="",0,CEILING((X423/$H423),1)*$H423),"")</f>
        <v>117</v>
      </c>
      <c r="Z423" s="41">
        <f>IFERROR(IF(Y423=0,"",ROUNDUP(Y423/H423,0)*0.01898),"")</f>
        <v>0.28470000000000001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123.15</v>
      </c>
      <c r="BN423" s="78">
        <f>IFERROR(Y423*I423/H423,"0")</f>
        <v>123.15</v>
      </c>
      <c r="BO423" s="78">
        <f>IFERROR(1/J423*(X423/H423),"0")</f>
        <v>0.234375</v>
      </c>
      <c r="BP423" s="78">
        <f>IFERROR(1/J423*(Y423/H423),"0")</f>
        <v>0.234375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121.5</v>
      </c>
      <c r="Y428" s="55">
        <f>IFERROR(IF(X428="",0,CEILING((X428/$H428),1)*$H428),"")</f>
        <v>121.5</v>
      </c>
      <c r="Z428" s="41">
        <f>IFERROR(IF(Y428=0,"",ROUNDUP(Y428/H428,0)*0.01898),"")</f>
        <v>0.28470000000000001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128.91</v>
      </c>
      <c r="BN428" s="78">
        <f>IFERROR(Y428*I428/H428,"0")</f>
        <v>128.91</v>
      </c>
      <c r="BO428" s="78">
        <f>IFERROR(1/J428*(X428/H428),"0")</f>
        <v>0.234375</v>
      </c>
      <c r="BP428" s="78">
        <f>IFERROR(1/J428*(Y428/H428),"0")</f>
        <v>0.234375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25</v>
      </c>
      <c r="Y431" s="43">
        <f>IFERROR(Y428/H428,"0")+IFERROR(Y429/H429,"0")+IFERROR(Y430/H430,"0")</f>
        <v>25</v>
      </c>
      <c r="Z431" s="43">
        <f>IFERROR(IF(Z428="",0,Z428),"0")+IFERROR(IF(Z429="",0,Z429),"0")+IFERROR(IF(Z430="",0,Z430),"0")</f>
        <v>0.34980000000000006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142.5</v>
      </c>
      <c r="Y432" s="43">
        <f>IFERROR(SUM(Y428:Y430),"0")</f>
        <v>142.5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135</v>
      </c>
      <c r="Y453" s="55">
        <f>IFERROR(IF(X453="",0,CEILING((X453/$H453),1)*$H453),"")</f>
        <v>135</v>
      </c>
      <c r="Z453" s="41">
        <f>IFERROR(IF(Y453=0,"",ROUNDUP(Y453/H453,0)*0.01898),"")</f>
        <v>0.28470000000000001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142.5</v>
      </c>
      <c r="BN453" s="78">
        <f>IFERROR(Y453*I453/H453,"0")</f>
        <v>142.5</v>
      </c>
      <c r="BO453" s="78">
        <f>IFERROR(1/J453*(X453/H453),"0")</f>
        <v>0.234375</v>
      </c>
      <c r="BP453" s="78">
        <f>IFERROR(1/J453*(Y453/H453),"0")</f>
        <v>0.234375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18</v>
      </c>
      <c r="Y454" s="55">
        <f>IFERROR(IF(X454="",0,CEILING((X454/$H454),1)*$H454),"")</f>
        <v>18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18.988</v>
      </c>
      <c r="BN454" s="78">
        <f>IFERROR(Y454*I454/H454,"0")</f>
        <v>18.988</v>
      </c>
      <c r="BO454" s="78">
        <f>IFERROR(1/J454*(X454/H454),"0")</f>
        <v>3.125E-2</v>
      </c>
      <c r="BP454" s="78">
        <f>IFERROR(1/J454*(Y454/H454),"0")</f>
        <v>3.125E-2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17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153</v>
      </c>
      <c r="Y457" s="43">
        <f>IFERROR(SUM(Y453:Y455),"0")</f>
        <v>153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42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44.5</v>
      </c>
      <c r="BN547" s="78">
        <f>IFERROR(Y547*I547/H547,"0")</f>
        <v>44.5</v>
      </c>
      <c r="BO547" s="78">
        <f>IFERROR(1/J547*(X547/H547),"0")</f>
        <v>7.575757575757576E-2</v>
      </c>
      <c r="BP547" s="78">
        <f>IFERROR(1/J547*(Y547/H547),"0")</f>
        <v>7.575757575757576E-2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10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42</v>
      </c>
      <c r="Y549" s="43">
        <f>IFERROR(SUM(Y547:Y547),"0")</f>
        <v>42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1657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1657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1745.3680000000004</v>
      </c>
      <c r="Y565" s="43">
        <f>IFERROR(SUM(BN22:BN561),"0")</f>
        <v>1745.3680000000004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3</v>
      </c>
      <c r="Y566" s="44">
        <f>ROUNDUP(SUM(BP22:BP561),0)</f>
        <v>3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1820.3680000000004</v>
      </c>
      <c r="Y567" s="43">
        <f>GrossWeightTotalR+PalletQtyTotalR*25</f>
        <v>1820.3680000000004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222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3.5783100000000001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108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108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121.5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121.5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108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501</v>
      </c>
      <c r="U574" s="52">
        <f>IFERROR(Y422*1,"0")+IFERROR(Y423*1,"0")</f>
        <v>234</v>
      </c>
      <c r="V574" s="52">
        <f>IFERROR(Y428*1,"0")+IFERROR(Y429*1,"0")+IFERROR(Y430*1,"0")</f>
        <v>142.5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153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42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57,00"/>
        <filter val="1 745,37"/>
        <filter val="1 820,37"/>
        <filter val="10,00"/>
        <filter val="10,50"/>
        <filter val="108,00"/>
        <filter val="117,00"/>
        <filter val="121,50"/>
        <filter val="126,00"/>
        <filter val="135,00"/>
        <filter val="142,50"/>
        <filter val="15,00"/>
        <filter val="153,00"/>
        <filter val="156,00"/>
        <filter val="162,00"/>
        <filter val="17,00"/>
        <filter val="17,50"/>
        <filter val="18,00"/>
        <filter val="198,00"/>
        <filter val="222,00"/>
        <filter val="234,00"/>
        <filter val="25,00"/>
        <filter val="3"/>
        <filter val="30,00"/>
        <filter val="42,00"/>
        <filter val="5,00"/>
        <filter val="54,00"/>
        <filter val="63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