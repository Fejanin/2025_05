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F6E8D2-DD48-488D-985A-3365A161887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1" l="1"/>
  <c r="X561" i="1"/>
  <c r="BO560" i="1"/>
  <c r="BM560" i="1"/>
  <c r="Z560" i="1"/>
  <c r="Z561" i="1" s="1"/>
  <c r="Y560" i="1"/>
  <c r="AC573" i="1" s="1"/>
  <c r="P560" i="1"/>
  <c r="X557" i="1"/>
  <c r="Y556" i="1"/>
  <c r="X556" i="1"/>
  <c r="BO555" i="1"/>
  <c r="BM555" i="1"/>
  <c r="Y555" i="1"/>
  <c r="BP555" i="1" s="1"/>
  <c r="P555" i="1"/>
  <c r="BO554" i="1"/>
  <c r="BM554" i="1"/>
  <c r="Y554" i="1"/>
  <c r="P554" i="1"/>
  <c r="X552" i="1"/>
  <c r="X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4" i="1"/>
  <c r="X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BP529" i="1" s="1"/>
  <c r="P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P513" i="1" s="1"/>
  <c r="P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P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P491" i="1"/>
  <c r="BO491" i="1"/>
  <c r="BN491" i="1"/>
  <c r="BM491" i="1"/>
  <c r="Z491" i="1"/>
  <c r="Y491" i="1"/>
  <c r="P491" i="1"/>
  <c r="BO490" i="1"/>
  <c r="BM490" i="1"/>
  <c r="Y490" i="1"/>
  <c r="Y493" i="1" s="1"/>
  <c r="P490" i="1"/>
  <c r="X488" i="1"/>
  <c r="X487" i="1"/>
  <c r="BO486" i="1"/>
  <c r="BM486" i="1"/>
  <c r="Y486" i="1"/>
  <c r="BP486" i="1" s="1"/>
  <c r="P486" i="1"/>
  <c r="BO485" i="1"/>
  <c r="BM485" i="1"/>
  <c r="Y485" i="1"/>
  <c r="BP485" i="1" s="1"/>
  <c r="P485" i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O481" i="1"/>
  <c r="BM481" i="1"/>
  <c r="Y481" i="1"/>
  <c r="P481" i="1"/>
  <c r="X477" i="1"/>
  <c r="X476" i="1"/>
  <c r="BO475" i="1"/>
  <c r="BM475" i="1"/>
  <c r="Y475" i="1"/>
  <c r="P475" i="1"/>
  <c r="BO474" i="1"/>
  <c r="BM474" i="1"/>
  <c r="Y474" i="1"/>
  <c r="BP474" i="1" s="1"/>
  <c r="P474" i="1"/>
  <c r="BO473" i="1"/>
  <c r="BM473" i="1"/>
  <c r="Y473" i="1"/>
  <c r="P473" i="1"/>
  <c r="X471" i="1"/>
  <c r="X470" i="1"/>
  <c r="BO469" i="1"/>
  <c r="BM469" i="1"/>
  <c r="Y469" i="1"/>
  <c r="P469" i="1"/>
  <c r="X467" i="1"/>
  <c r="X466" i="1"/>
  <c r="BO465" i="1"/>
  <c r="BM465" i="1"/>
  <c r="Y465" i="1"/>
  <c r="BP465" i="1" s="1"/>
  <c r="P465" i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BP453" i="1" s="1"/>
  <c r="P453" i="1"/>
  <c r="BO452" i="1"/>
  <c r="BM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BP447" i="1" s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O438" i="1"/>
  <c r="BM438" i="1"/>
  <c r="Y438" i="1"/>
  <c r="BP438" i="1" s="1"/>
  <c r="P438" i="1"/>
  <c r="BO437" i="1"/>
  <c r="BM437" i="1"/>
  <c r="Y437" i="1"/>
  <c r="BP437" i="1" s="1"/>
  <c r="P437" i="1"/>
  <c r="BO436" i="1"/>
  <c r="BM436" i="1"/>
  <c r="Y436" i="1"/>
  <c r="BP436" i="1" s="1"/>
  <c r="P436" i="1"/>
  <c r="BO435" i="1"/>
  <c r="BM435" i="1"/>
  <c r="Y435" i="1"/>
  <c r="P435" i="1"/>
  <c r="X431" i="1"/>
  <c r="X430" i="1"/>
  <c r="BO429" i="1"/>
  <c r="BM429" i="1"/>
  <c r="Y429" i="1"/>
  <c r="BP429" i="1" s="1"/>
  <c r="P429" i="1"/>
  <c r="BO428" i="1"/>
  <c r="BM428" i="1"/>
  <c r="Y428" i="1"/>
  <c r="BP428" i="1" s="1"/>
  <c r="P428" i="1"/>
  <c r="BO427" i="1"/>
  <c r="BM427" i="1"/>
  <c r="Y427" i="1"/>
  <c r="P427" i="1"/>
  <c r="X424" i="1"/>
  <c r="X423" i="1"/>
  <c r="BO422" i="1"/>
  <c r="BM422" i="1"/>
  <c r="Y422" i="1"/>
  <c r="BP422" i="1" s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BP415" i="1" s="1"/>
  <c r="P415" i="1"/>
  <c r="BO414" i="1"/>
  <c r="BM414" i="1"/>
  <c r="Y414" i="1"/>
  <c r="P414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M403" i="1"/>
  <c r="Y403" i="1"/>
  <c r="BP403" i="1" s="1"/>
  <c r="P403" i="1"/>
  <c r="BO402" i="1"/>
  <c r="BM402" i="1"/>
  <c r="Y402" i="1"/>
  <c r="P402" i="1"/>
  <c r="BO401" i="1"/>
  <c r="BM401" i="1"/>
  <c r="Y401" i="1"/>
  <c r="Y406" i="1" s="1"/>
  <c r="P401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X393" i="1"/>
  <c r="X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BN378" i="1" s="1"/>
  <c r="P378" i="1"/>
  <c r="X376" i="1"/>
  <c r="X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BN363" i="1" s="1"/>
  <c r="P363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P336" i="1" s="1"/>
  <c r="P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P326" i="1"/>
  <c r="X324" i="1"/>
  <c r="X323" i="1"/>
  <c r="BO322" i="1"/>
  <c r="BM322" i="1"/>
  <c r="Y322" i="1"/>
  <c r="Y324" i="1" s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BP314" i="1" s="1"/>
  <c r="P314" i="1"/>
  <c r="BO313" i="1"/>
  <c r="BM313" i="1"/>
  <c r="Y313" i="1"/>
  <c r="BP313" i="1" s="1"/>
  <c r="P313" i="1"/>
  <c r="BO312" i="1"/>
  <c r="BM312" i="1"/>
  <c r="Y312" i="1"/>
  <c r="BP312" i="1" s="1"/>
  <c r="P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O309" i="1"/>
  <c r="BM309" i="1"/>
  <c r="Z309" i="1"/>
  <c r="Y309" i="1"/>
  <c r="BN309" i="1" s="1"/>
  <c r="P309" i="1"/>
  <c r="BO308" i="1"/>
  <c r="BM308" i="1"/>
  <c r="Y308" i="1"/>
  <c r="P308" i="1"/>
  <c r="X305" i="1"/>
  <c r="X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BP298" i="1" s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BP295" i="1" s="1"/>
  <c r="P295" i="1"/>
  <c r="BP294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P287" i="1"/>
  <c r="X285" i="1"/>
  <c r="X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P272" i="1"/>
  <c r="BO272" i="1"/>
  <c r="BM272" i="1"/>
  <c r="Y272" i="1"/>
  <c r="P272" i="1"/>
  <c r="BO271" i="1"/>
  <c r="BM271" i="1"/>
  <c r="Y271" i="1"/>
  <c r="P271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X263" i="1"/>
  <c r="X262" i="1"/>
  <c r="BO261" i="1"/>
  <c r="BM261" i="1"/>
  <c r="Y261" i="1"/>
  <c r="Y263" i="1" s="1"/>
  <c r="P261" i="1"/>
  <c r="X259" i="1"/>
  <c r="X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Y259" i="1" s="1"/>
  <c r="P255" i="1"/>
  <c r="X253" i="1"/>
  <c r="X252" i="1"/>
  <c r="BO251" i="1"/>
  <c r="BM251" i="1"/>
  <c r="Y251" i="1"/>
  <c r="BP251" i="1" s="1"/>
  <c r="P251" i="1"/>
  <c r="BO250" i="1"/>
  <c r="BN250" i="1"/>
  <c r="BM250" i="1"/>
  <c r="Z250" i="1"/>
  <c r="Y250" i="1"/>
  <c r="BP250" i="1" s="1"/>
  <c r="P250" i="1"/>
  <c r="BO249" i="1"/>
  <c r="BM249" i="1"/>
  <c r="Y249" i="1"/>
  <c r="BP249" i="1" s="1"/>
  <c r="P249" i="1"/>
  <c r="BO248" i="1"/>
  <c r="BM248" i="1"/>
  <c r="Z248" i="1"/>
  <c r="Y248" i="1"/>
  <c r="BN248" i="1" s="1"/>
  <c r="P248" i="1"/>
  <c r="BO247" i="1"/>
  <c r="BM247" i="1"/>
  <c r="Y247" i="1"/>
  <c r="P247" i="1"/>
  <c r="X245" i="1"/>
  <c r="X244" i="1"/>
  <c r="BO243" i="1"/>
  <c r="BM243" i="1"/>
  <c r="Y243" i="1"/>
  <c r="BP243" i="1" s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P232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X223" i="1"/>
  <c r="X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1" i="1"/>
  <c r="X210" i="1"/>
  <c r="BO209" i="1"/>
  <c r="BM209" i="1"/>
  <c r="Y209" i="1"/>
  <c r="P209" i="1"/>
  <c r="X207" i="1"/>
  <c r="X206" i="1"/>
  <c r="BO205" i="1"/>
  <c r="BM205" i="1"/>
  <c r="Y205" i="1"/>
  <c r="P205" i="1"/>
  <c r="X203" i="1"/>
  <c r="X202" i="1"/>
  <c r="BP201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BP194" i="1" s="1"/>
  <c r="P194" i="1"/>
  <c r="BP193" i="1"/>
  <c r="BO193" i="1"/>
  <c r="BN193" i="1"/>
  <c r="BM193" i="1"/>
  <c r="Z193" i="1"/>
  <c r="Y193" i="1"/>
  <c r="BO192" i="1"/>
  <c r="BM192" i="1"/>
  <c r="Y192" i="1"/>
  <c r="P192" i="1"/>
  <c r="BO191" i="1"/>
  <c r="BM191" i="1"/>
  <c r="Y191" i="1"/>
  <c r="BP191" i="1" s="1"/>
  <c r="P191" i="1"/>
  <c r="BO190" i="1"/>
  <c r="BM190" i="1"/>
  <c r="Y190" i="1"/>
  <c r="BP190" i="1" s="1"/>
  <c r="P190" i="1"/>
  <c r="BO189" i="1"/>
  <c r="BM189" i="1"/>
  <c r="Y189" i="1"/>
  <c r="BP189" i="1" s="1"/>
  <c r="BO188" i="1"/>
  <c r="BM188" i="1"/>
  <c r="Y188" i="1"/>
  <c r="BP188" i="1" s="1"/>
  <c r="P188" i="1"/>
  <c r="BP187" i="1"/>
  <c r="BO187" i="1"/>
  <c r="BM187" i="1"/>
  <c r="Y187" i="1"/>
  <c r="BO186" i="1"/>
  <c r="BM186" i="1"/>
  <c r="Y186" i="1"/>
  <c r="BP186" i="1" s="1"/>
  <c r="P186" i="1"/>
  <c r="BO185" i="1"/>
  <c r="BM185" i="1"/>
  <c r="Y185" i="1"/>
  <c r="BP185" i="1" s="1"/>
  <c r="BO184" i="1"/>
  <c r="BM184" i="1"/>
  <c r="Y184" i="1"/>
  <c r="BP184" i="1" s="1"/>
  <c r="P184" i="1"/>
  <c r="BO183" i="1"/>
  <c r="BM183" i="1"/>
  <c r="Z183" i="1"/>
  <c r="Y183" i="1"/>
  <c r="BN183" i="1" s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X175" i="1"/>
  <c r="X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X168" i="1"/>
  <c r="X167" i="1"/>
  <c r="BO166" i="1"/>
  <c r="BM166" i="1"/>
  <c r="Y166" i="1"/>
  <c r="P166" i="1"/>
  <c r="X164" i="1"/>
  <c r="X163" i="1"/>
  <c r="BO162" i="1"/>
  <c r="BM162" i="1"/>
  <c r="Y162" i="1"/>
  <c r="BN162" i="1" s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BO156" i="1"/>
  <c r="BM156" i="1"/>
  <c r="Y156" i="1"/>
  <c r="BP156" i="1" s="1"/>
  <c r="P156" i="1"/>
  <c r="X153" i="1"/>
  <c r="X152" i="1"/>
  <c r="BO151" i="1"/>
  <c r="BM151" i="1"/>
  <c r="Y151" i="1"/>
  <c r="BP151" i="1" s="1"/>
  <c r="P151" i="1"/>
  <c r="BO150" i="1"/>
  <c r="BM150" i="1"/>
  <c r="Y150" i="1"/>
  <c r="Y152" i="1" s="1"/>
  <c r="P150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Z141" i="1"/>
  <c r="Y141" i="1"/>
  <c r="BN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BO134" i="1"/>
  <c r="BM134" i="1"/>
  <c r="Y134" i="1"/>
  <c r="P134" i="1"/>
  <c r="X132" i="1"/>
  <c r="X131" i="1"/>
  <c r="BO130" i="1"/>
  <c r="BM130" i="1"/>
  <c r="Y130" i="1"/>
  <c r="BP130" i="1" s="1"/>
  <c r="BO129" i="1"/>
  <c r="BM129" i="1"/>
  <c r="Y129" i="1"/>
  <c r="BP129" i="1" s="1"/>
  <c r="P129" i="1"/>
  <c r="BO128" i="1"/>
  <c r="BM128" i="1"/>
  <c r="Y128" i="1"/>
  <c r="BP128" i="1" s="1"/>
  <c r="BO127" i="1"/>
  <c r="BM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P124" i="1"/>
  <c r="BO124" i="1"/>
  <c r="BN124" i="1"/>
  <c r="BM124" i="1"/>
  <c r="Z124" i="1"/>
  <c r="Y124" i="1"/>
  <c r="BO123" i="1"/>
  <c r="BM123" i="1"/>
  <c r="Y123" i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BN115" i="1" s="1"/>
  <c r="P115" i="1"/>
  <c r="X113" i="1"/>
  <c r="X112" i="1"/>
  <c r="BO111" i="1"/>
  <c r="BM111" i="1"/>
  <c r="Y111" i="1"/>
  <c r="P111" i="1"/>
  <c r="BO110" i="1"/>
  <c r="BM110" i="1"/>
  <c r="Y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BO105" i="1"/>
  <c r="BM105" i="1"/>
  <c r="Z105" i="1"/>
  <c r="Y105" i="1"/>
  <c r="BN105" i="1" s="1"/>
  <c r="P105" i="1"/>
  <c r="BO104" i="1"/>
  <c r="BM104" i="1"/>
  <c r="Y104" i="1"/>
  <c r="BP104" i="1" s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P97" i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BO93" i="1"/>
  <c r="BM93" i="1"/>
  <c r="Y93" i="1"/>
  <c r="P93" i="1"/>
  <c r="X91" i="1"/>
  <c r="X90" i="1"/>
  <c r="BO89" i="1"/>
  <c r="BM89" i="1"/>
  <c r="Y89" i="1"/>
  <c r="BN89" i="1" s="1"/>
  <c r="P89" i="1"/>
  <c r="BO88" i="1"/>
  <c r="BM88" i="1"/>
  <c r="Y88" i="1"/>
  <c r="BP88" i="1" s="1"/>
  <c r="P88" i="1"/>
  <c r="BO87" i="1"/>
  <c r="BM87" i="1"/>
  <c r="Y87" i="1"/>
  <c r="BN87" i="1" s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N79" i="1" s="1"/>
  <c r="P79" i="1"/>
  <c r="BO78" i="1"/>
  <c r="BM78" i="1"/>
  <c r="Y78" i="1"/>
  <c r="P78" i="1"/>
  <c r="BO77" i="1"/>
  <c r="BM77" i="1"/>
  <c r="Y77" i="1"/>
  <c r="BP77" i="1" s="1"/>
  <c r="P77" i="1"/>
  <c r="X75" i="1"/>
  <c r="X74" i="1"/>
  <c r="BO73" i="1"/>
  <c r="BM73" i="1"/>
  <c r="Y73" i="1"/>
  <c r="P73" i="1"/>
  <c r="BO72" i="1"/>
  <c r="BM72" i="1"/>
  <c r="Y72" i="1"/>
  <c r="Y74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N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N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Z48" i="1"/>
  <c r="Y48" i="1"/>
  <c r="BN48" i="1" s="1"/>
  <c r="P48" i="1"/>
  <c r="BO47" i="1"/>
  <c r="BM47" i="1"/>
  <c r="Y47" i="1"/>
  <c r="D573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C573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Z28" i="1"/>
  <c r="Y28" i="1"/>
  <c r="BN28" i="1" s="1"/>
  <c r="P28" i="1"/>
  <c r="BO27" i="1"/>
  <c r="BM27" i="1"/>
  <c r="Y27" i="1"/>
  <c r="P27" i="1"/>
  <c r="X25" i="1"/>
  <c r="X24" i="1"/>
  <c r="X567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38" i="1" l="1"/>
  <c r="BP55" i="1"/>
  <c r="BP89" i="1"/>
  <c r="BP119" i="1"/>
  <c r="BP162" i="1"/>
  <c r="BP177" i="1"/>
  <c r="BN177" i="1"/>
  <c r="Y211" i="1"/>
  <c r="Y210" i="1"/>
  <c r="BP209" i="1"/>
  <c r="BN209" i="1"/>
  <c r="Z209" i="1"/>
  <c r="Z210" i="1" s="1"/>
  <c r="BN217" i="1"/>
  <c r="Z217" i="1"/>
  <c r="BP234" i="1"/>
  <c r="BN234" i="1"/>
  <c r="Z234" i="1"/>
  <c r="BN240" i="1"/>
  <c r="Z240" i="1"/>
  <c r="BN278" i="1"/>
  <c r="Z278" i="1"/>
  <c r="BP296" i="1"/>
  <c r="BN296" i="1"/>
  <c r="Z296" i="1"/>
  <c r="BP302" i="1"/>
  <c r="BN302" i="1"/>
  <c r="Z302" i="1"/>
  <c r="BN313" i="1"/>
  <c r="BP352" i="1"/>
  <c r="BN352" i="1"/>
  <c r="Z352" i="1"/>
  <c r="BN370" i="1"/>
  <c r="BP416" i="1"/>
  <c r="BN416" i="1"/>
  <c r="Z416" i="1"/>
  <c r="BN436" i="1"/>
  <c r="BP454" i="1"/>
  <c r="BN454" i="1"/>
  <c r="Z454" i="1"/>
  <c r="Y471" i="1"/>
  <c r="Y470" i="1"/>
  <c r="BN469" i="1"/>
  <c r="BN485" i="1"/>
  <c r="BN501" i="1"/>
  <c r="BN511" i="1"/>
  <c r="BN529" i="1"/>
  <c r="Z22" i="1"/>
  <c r="BN22" i="1"/>
  <c r="Y25" i="1"/>
  <c r="Y33" i="1"/>
  <c r="BP28" i="1"/>
  <c r="Z38" i="1"/>
  <c r="Z40" i="1"/>
  <c r="BN40" i="1"/>
  <c r="BP48" i="1"/>
  <c r="Z55" i="1"/>
  <c r="Z57" i="1"/>
  <c r="BN57" i="1"/>
  <c r="Z77" i="1"/>
  <c r="BN77" i="1"/>
  <c r="Z86" i="1"/>
  <c r="BN86" i="1"/>
  <c r="Z89" i="1"/>
  <c r="Z98" i="1"/>
  <c r="BN98" i="1"/>
  <c r="BP105" i="1"/>
  <c r="Z119" i="1"/>
  <c r="Z128" i="1"/>
  <c r="BN128" i="1"/>
  <c r="BP141" i="1"/>
  <c r="BN151" i="1"/>
  <c r="Z156" i="1"/>
  <c r="BN156" i="1"/>
  <c r="BN158" i="1"/>
  <c r="Z162" i="1"/>
  <c r="Z171" i="1"/>
  <c r="BN171" i="1"/>
  <c r="BN173" i="1"/>
  <c r="Z177" i="1"/>
  <c r="BN186" i="1"/>
  <c r="BN187" i="1"/>
  <c r="Z187" i="1"/>
  <c r="BN201" i="1"/>
  <c r="Z201" i="1"/>
  <c r="BP217" i="1"/>
  <c r="BP219" i="1"/>
  <c r="BN219" i="1"/>
  <c r="Z219" i="1"/>
  <c r="Y227" i="1"/>
  <c r="BP226" i="1"/>
  <c r="BN226" i="1"/>
  <c r="Z226" i="1"/>
  <c r="Z227" i="1" s="1"/>
  <c r="BN232" i="1"/>
  <c r="Z232" i="1"/>
  <c r="BP240" i="1"/>
  <c r="BP242" i="1"/>
  <c r="BN242" i="1"/>
  <c r="Z242" i="1"/>
  <c r="BN272" i="1"/>
  <c r="Z272" i="1"/>
  <c r="BP278" i="1"/>
  <c r="BP280" i="1"/>
  <c r="BN280" i="1"/>
  <c r="Z280" i="1"/>
  <c r="BP288" i="1"/>
  <c r="BN288" i="1"/>
  <c r="Z288" i="1"/>
  <c r="BN294" i="1"/>
  <c r="Z294" i="1"/>
  <c r="BP334" i="1"/>
  <c r="BN334" i="1"/>
  <c r="Z334" i="1"/>
  <c r="BN343" i="1"/>
  <c r="Z343" i="1"/>
  <c r="BN384" i="1"/>
  <c r="BN390" i="1"/>
  <c r="BP404" i="1"/>
  <c r="BN404" i="1"/>
  <c r="Z404" i="1"/>
  <c r="BP442" i="1"/>
  <c r="BN442" i="1"/>
  <c r="Z442" i="1"/>
  <c r="BP475" i="1"/>
  <c r="BN475" i="1"/>
  <c r="Z475" i="1"/>
  <c r="BN521" i="1"/>
  <c r="Y180" i="1"/>
  <c r="BP183" i="1"/>
  <c r="BN190" i="1"/>
  <c r="BN221" i="1"/>
  <c r="BN236" i="1"/>
  <c r="BP248" i="1"/>
  <c r="BN282" i="1"/>
  <c r="BN290" i="1"/>
  <c r="BN298" i="1"/>
  <c r="Y305" i="1"/>
  <c r="BP309" i="1"/>
  <c r="BN327" i="1"/>
  <c r="BN336" i="1"/>
  <c r="BN372" i="1"/>
  <c r="Y398" i="1"/>
  <c r="BN428" i="1"/>
  <c r="BN438" i="1"/>
  <c r="BN465" i="1"/>
  <c r="BN513" i="1"/>
  <c r="BN527" i="1"/>
  <c r="BN555" i="1"/>
  <c r="BP560" i="1"/>
  <c r="BP87" i="1"/>
  <c r="BN160" i="1"/>
  <c r="BP160" i="1"/>
  <c r="Z160" i="1"/>
  <c r="BN192" i="1"/>
  <c r="BP192" i="1"/>
  <c r="Z192" i="1"/>
  <c r="Y203" i="1"/>
  <c r="BN199" i="1"/>
  <c r="BP199" i="1"/>
  <c r="Z199" i="1"/>
  <c r="Y207" i="1"/>
  <c r="Y206" i="1"/>
  <c r="BN205" i="1"/>
  <c r="BP205" i="1"/>
  <c r="Z205" i="1"/>
  <c r="Z206" i="1" s="1"/>
  <c r="BN215" i="1"/>
  <c r="BP215" i="1"/>
  <c r="Z215" i="1"/>
  <c r="BN238" i="1"/>
  <c r="BP238" i="1"/>
  <c r="Z238" i="1"/>
  <c r="BN350" i="1"/>
  <c r="BP350" i="1"/>
  <c r="Z350" i="1"/>
  <c r="BN365" i="1"/>
  <c r="BP365" i="1"/>
  <c r="Z365" i="1"/>
  <c r="BN374" i="1"/>
  <c r="BP374" i="1"/>
  <c r="Z374" i="1"/>
  <c r="BN402" i="1"/>
  <c r="BP402" i="1"/>
  <c r="Z402" i="1"/>
  <c r="Y456" i="1"/>
  <c r="BN452" i="1"/>
  <c r="BP452" i="1"/>
  <c r="Z452" i="1"/>
  <c r="BN515" i="1"/>
  <c r="BP515" i="1"/>
  <c r="Z515" i="1"/>
  <c r="X563" i="1"/>
  <c r="BP59" i="1"/>
  <c r="Z59" i="1"/>
  <c r="BP73" i="1"/>
  <c r="Z73" i="1"/>
  <c r="Z87" i="1"/>
  <c r="BN358" i="1"/>
  <c r="BP358" i="1"/>
  <c r="Z358" i="1"/>
  <c r="Y412" i="1"/>
  <c r="BN408" i="1"/>
  <c r="BP408" i="1"/>
  <c r="Z408" i="1"/>
  <c r="Y460" i="1"/>
  <c r="BN458" i="1"/>
  <c r="BP458" i="1"/>
  <c r="Z458" i="1"/>
  <c r="Y168" i="1"/>
  <c r="Y167" i="1"/>
  <c r="BN166" i="1"/>
  <c r="BP166" i="1"/>
  <c r="Z166" i="1"/>
  <c r="Z167" i="1" s="1"/>
  <c r="Y62" i="1"/>
  <c r="Y101" i="1"/>
  <c r="BN93" i="1"/>
  <c r="BP93" i="1"/>
  <c r="Z93" i="1"/>
  <c r="BN117" i="1"/>
  <c r="BP117" i="1"/>
  <c r="Z117" i="1"/>
  <c r="Y132" i="1"/>
  <c r="BN123" i="1"/>
  <c r="BP123" i="1"/>
  <c r="Z123" i="1"/>
  <c r="Y245" i="1"/>
  <c r="BN230" i="1"/>
  <c r="BP230" i="1"/>
  <c r="Z230" i="1"/>
  <c r="Y284" i="1"/>
  <c r="BN276" i="1"/>
  <c r="BP276" i="1"/>
  <c r="Z276" i="1"/>
  <c r="BN292" i="1"/>
  <c r="BP292" i="1"/>
  <c r="Z292" i="1"/>
  <c r="Y418" i="1"/>
  <c r="BN414" i="1"/>
  <c r="BP414" i="1"/>
  <c r="Z414" i="1"/>
  <c r="BN440" i="1"/>
  <c r="BP440" i="1"/>
  <c r="Z440" i="1"/>
  <c r="Y477" i="1"/>
  <c r="BN473" i="1"/>
  <c r="BP473" i="1"/>
  <c r="Z473" i="1"/>
  <c r="Y498" i="1"/>
  <c r="Y497" i="1"/>
  <c r="BN496" i="1"/>
  <c r="BP496" i="1"/>
  <c r="Z496" i="1"/>
  <c r="Z497" i="1" s="1"/>
  <c r="BN59" i="1"/>
  <c r="BP67" i="1"/>
  <c r="Z67" i="1"/>
  <c r="BN73" i="1"/>
  <c r="Y82" i="1"/>
  <c r="BP79" i="1"/>
  <c r="Z79" i="1"/>
  <c r="BN97" i="1"/>
  <c r="BP97" i="1"/>
  <c r="Z97" i="1"/>
  <c r="BN111" i="1"/>
  <c r="BP111" i="1"/>
  <c r="Z111" i="1"/>
  <c r="BN127" i="1"/>
  <c r="BP127" i="1"/>
  <c r="Z127" i="1"/>
  <c r="Y147" i="1"/>
  <c r="BN145" i="1"/>
  <c r="BP145" i="1"/>
  <c r="Z145" i="1"/>
  <c r="Y366" i="1"/>
  <c r="BN380" i="1"/>
  <c r="BP380" i="1"/>
  <c r="Z380" i="1"/>
  <c r="BN421" i="1"/>
  <c r="BP421" i="1"/>
  <c r="Z421" i="1"/>
  <c r="Y450" i="1"/>
  <c r="BN446" i="1"/>
  <c r="BP446" i="1"/>
  <c r="Z446" i="1"/>
  <c r="Y488" i="1"/>
  <c r="BN481" i="1"/>
  <c r="BP481" i="1"/>
  <c r="Z481" i="1"/>
  <c r="BN531" i="1"/>
  <c r="BP531" i="1"/>
  <c r="Z531" i="1"/>
  <c r="Y120" i="1"/>
  <c r="Y386" i="1"/>
  <c r="Y430" i="1"/>
  <c r="X573" i="1"/>
  <c r="Y68" i="1"/>
  <c r="Y75" i="1"/>
  <c r="Y81" i="1"/>
  <c r="F573" i="1"/>
  <c r="Z115" i="1"/>
  <c r="BP115" i="1"/>
  <c r="Y137" i="1"/>
  <c r="Z151" i="1"/>
  <c r="Z158" i="1"/>
  <c r="Z173" i="1"/>
  <c r="Y179" i="1"/>
  <c r="Z186" i="1"/>
  <c r="Z190" i="1"/>
  <c r="Z195" i="1"/>
  <c r="Z221" i="1"/>
  <c r="Z236" i="1"/>
  <c r="Y269" i="1"/>
  <c r="Z282" i="1"/>
  <c r="Y299" i="1"/>
  <c r="Z290" i="1"/>
  <c r="Z298" i="1"/>
  <c r="Y304" i="1"/>
  <c r="Z313" i="1"/>
  <c r="Y330" i="1"/>
  <c r="Z363" i="1"/>
  <c r="BP363" i="1"/>
  <c r="Z372" i="1"/>
  <c r="Z378" i="1"/>
  <c r="BP378" i="1"/>
  <c r="Z428" i="1"/>
  <c r="W573" i="1"/>
  <c r="Z438" i="1"/>
  <c r="Z465" i="1"/>
  <c r="Y504" i="1"/>
  <c r="Z513" i="1"/>
  <c r="Z521" i="1"/>
  <c r="Y534" i="1"/>
  <c r="Z529" i="1"/>
  <c r="Z555" i="1"/>
  <c r="BN560" i="1"/>
  <c r="Y561" i="1"/>
  <c r="H573" i="1"/>
  <c r="Y148" i="1"/>
  <c r="Y196" i="1"/>
  <c r="Y202" i="1"/>
  <c r="Y253" i="1"/>
  <c r="O573" i="1"/>
  <c r="Z327" i="1"/>
  <c r="Y339" i="1"/>
  <c r="Z336" i="1"/>
  <c r="Z370" i="1"/>
  <c r="Z384" i="1"/>
  <c r="Y392" i="1"/>
  <c r="Z390" i="1"/>
  <c r="Z436" i="1"/>
  <c r="Z469" i="1"/>
  <c r="Z470" i="1" s="1"/>
  <c r="BP469" i="1"/>
  <c r="Z485" i="1"/>
  <c r="Z501" i="1"/>
  <c r="Z511" i="1"/>
  <c r="Z527" i="1"/>
  <c r="H9" i="1"/>
  <c r="A10" i="1"/>
  <c r="B573" i="1"/>
  <c r="X564" i="1"/>
  <c r="X56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3" i="1"/>
  <c r="Z56" i="1"/>
  <c r="BN56" i="1"/>
  <c r="BP56" i="1"/>
  <c r="Z58" i="1"/>
  <c r="BN58" i="1"/>
  <c r="Z60" i="1"/>
  <c r="BN60" i="1"/>
  <c r="Y61" i="1"/>
  <c r="Z64" i="1"/>
  <c r="BN64" i="1"/>
  <c r="BP64" i="1"/>
  <c r="Z66" i="1"/>
  <c r="BN66" i="1"/>
  <c r="Y69" i="1"/>
  <c r="Z72" i="1"/>
  <c r="Z74" i="1" s="1"/>
  <c r="BN72" i="1"/>
  <c r="BP72" i="1"/>
  <c r="Z78" i="1"/>
  <c r="BN78" i="1"/>
  <c r="BP78" i="1"/>
  <c r="Z80" i="1"/>
  <c r="BN80" i="1"/>
  <c r="Z85" i="1"/>
  <c r="BN85" i="1"/>
  <c r="BP85" i="1"/>
  <c r="Z88" i="1"/>
  <c r="BN88" i="1"/>
  <c r="Y91" i="1"/>
  <c r="Z95" i="1"/>
  <c r="BN95" i="1"/>
  <c r="Z96" i="1"/>
  <c r="BN96" i="1"/>
  <c r="Z99" i="1"/>
  <c r="BN99" i="1"/>
  <c r="Y100" i="1"/>
  <c r="Z104" i="1"/>
  <c r="BN104" i="1"/>
  <c r="Z106" i="1"/>
  <c r="BN106" i="1"/>
  <c r="BP107" i="1"/>
  <c r="BN107" i="1"/>
  <c r="Z107" i="1"/>
  <c r="BP110" i="1"/>
  <c r="BN110" i="1"/>
  <c r="Z110" i="1"/>
  <c r="F9" i="1"/>
  <c r="J9" i="1"/>
  <c r="Y43" i="1"/>
  <c r="Y51" i="1"/>
  <c r="Y90" i="1"/>
  <c r="G573" i="1"/>
  <c r="Y112" i="1"/>
  <c r="Y113" i="1"/>
  <c r="BP109" i="1"/>
  <c r="BN109" i="1"/>
  <c r="Z109" i="1"/>
  <c r="Z116" i="1"/>
  <c r="BN116" i="1"/>
  <c r="Z118" i="1"/>
  <c r="BN118" i="1"/>
  <c r="Y121" i="1"/>
  <c r="Z125" i="1"/>
  <c r="BN125" i="1"/>
  <c r="Z126" i="1"/>
  <c r="BN126" i="1"/>
  <c r="Z129" i="1"/>
  <c r="BN129" i="1"/>
  <c r="Z130" i="1"/>
  <c r="BN130" i="1"/>
  <c r="Y131" i="1"/>
  <c r="Z134" i="1"/>
  <c r="BN134" i="1"/>
  <c r="BP134" i="1"/>
  <c r="Z135" i="1"/>
  <c r="BN135" i="1"/>
  <c r="Y136" i="1"/>
  <c r="Z140" i="1"/>
  <c r="Z142" i="1" s="1"/>
  <c r="BN140" i="1"/>
  <c r="BP140" i="1"/>
  <c r="Y143" i="1"/>
  <c r="Z146" i="1"/>
  <c r="Z147" i="1" s="1"/>
  <c r="BN146" i="1"/>
  <c r="BP146" i="1"/>
  <c r="Z150" i="1"/>
  <c r="BN150" i="1"/>
  <c r="BP150" i="1"/>
  <c r="Y153" i="1"/>
  <c r="I573" i="1"/>
  <c r="Z157" i="1"/>
  <c r="BN157" i="1"/>
  <c r="Z159" i="1"/>
  <c r="BN159" i="1"/>
  <c r="Z161" i="1"/>
  <c r="BN161" i="1"/>
  <c r="Y164" i="1"/>
  <c r="J573" i="1"/>
  <c r="Z172" i="1"/>
  <c r="Z174" i="1" s="1"/>
  <c r="BN172" i="1"/>
  <c r="Y175" i="1"/>
  <c r="Z178" i="1"/>
  <c r="Z179" i="1" s="1"/>
  <c r="BN178" i="1"/>
  <c r="BP178" i="1"/>
  <c r="Z182" i="1"/>
  <c r="BN182" i="1"/>
  <c r="BP182" i="1"/>
  <c r="Z184" i="1"/>
  <c r="BN184" i="1"/>
  <c r="Z185" i="1"/>
  <c r="BN185" i="1"/>
  <c r="Z188" i="1"/>
  <c r="BN188" i="1"/>
  <c r="Z189" i="1"/>
  <c r="BN189" i="1"/>
  <c r="Z191" i="1"/>
  <c r="BN191" i="1"/>
  <c r="Z194" i="1"/>
  <c r="BN194" i="1"/>
  <c r="Y197" i="1"/>
  <c r="Z200" i="1"/>
  <c r="Z202" i="1" s="1"/>
  <c r="BN200" i="1"/>
  <c r="BP200" i="1"/>
  <c r="K573" i="1"/>
  <c r="Z216" i="1"/>
  <c r="BN216" i="1"/>
  <c r="Z218" i="1"/>
  <c r="BN218" i="1"/>
  <c r="Z220" i="1"/>
  <c r="BN220" i="1"/>
  <c r="Y223" i="1"/>
  <c r="L573" i="1"/>
  <c r="Y228" i="1"/>
  <c r="Z231" i="1"/>
  <c r="BN231" i="1"/>
  <c r="Z233" i="1"/>
  <c r="BN233" i="1"/>
  <c r="Z235" i="1"/>
  <c r="BN235" i="1"/>
  <c r="Z237" i="1"/>
  <c r="BN237" i="1"/>
  <c r="Z239" i="1"/>
  <c r="BN239" i="1"/>
  <c r="Z241" i="1"/>
  <c r="BN241" i="1"/>
  <c r="Z243" i="1"/>
  <c r="BN243" i="1"/>
  <c r="Y244" i="1"/>
  <c r="Z247" i="1"/>
  <c r="BN247" i="1"/>
  <c r="BP247" i="1"/>
  <c r="Z249" i="1"/>
  <c r="BN249" i="1"/>
  <c r="Z251" i="1"/>
  <c r="BN251" i="1"/>
  <c r="Y252" i="1"/>
  <c r="Z255" i="1"/>
  <c r="BN255" i="1"/>
  <c r="BP255" i="1"/>
  <c r="Z257" i="1"/>
  <c r="BN257" i="1"/>
  <c r="Y258" i="1"/>
  <c r="Z261" i="1"/>
  <c r="Z262" i="1" s="1"/>
  <c r="BN261" i="1"/>
  <c r="BP261" i="1"/>
  <c r="Y262" i="1"/>
  <c r="BP267" i="1"/>
  <c r="BN267" i="1"/>
  <c r="Z267" i="1"/>
  <c r="Z268" i="1" s="1"/>
  <c r="Y274" i="1"/>
  <c r="BP271" i="1"/>
  <c r="BN271" i="1"/>
  <c r="Z271" i="1"/>
  <c r="Z273" i="1" s="1"/>
  <c r="BP279" i="1"/>
  <c r="BN279" i="1"/>
  <c r="Z279" i="1"/>
  <c r="BP283" i="1"/>
  <c r="BN283" i="1"/>
  <c r="Z283" i="1"/>
  <c r="Y142" i="1"/>
  <c r="Y163" i="1"/>
  <c r="Y174" i="1"/>
  <c r="BN195" i="1"/>
  <c r="Y222" i="1"/>
  <c r="Z256" i="1"/>
  <c r="BN256" i="1"/>
  <c r="M573" i="1"/>
  <c r="Y268" i="1"/>
  <c r="Y273" i="1"/>
  <c r="Y285" i="1"/>
  <c r="BP277" i="1"/>
  <c r="BN277" i="1"/>
  <c r="Z277" i="1"/>
  <c r="Z284" i="1" s="1"/>
  <c r="BP281" i="1"/>
  <c r="BN281" i="1"/>
  <c r="Z281" i="1"/>
  <c r="Z304" i="1"/>
  <c r="Z287" i="1"/>
  <c r="BN287" i="1"/>
  <c r="BP287" i="1"/>
  <c r="Z289" i="1"/>
  <c r="BN289" i="1"/>
  <c r="Z291" i="1"/>
  <c r="BN291" i="1"/>
  <c r="Z293" i="1"/>
  <c r="BN293" i="1"/>
  <c r="Z295" i="1"/>
  <c r="BN295" i="1"/>
  <c r="Z297" i="1"/>
  <c r="BN297" i="1"/>
  <c r="Y300" i="1"/>
  <c r="Z303" i="1"/>
  <c r="BN303" i="1"/>
  <c r="BP303" i="1"/>
  <c r="Z308" i="1"/>
  <c r="BN308" i="1"/>
  <c r="BP308" i="1"/>
  <c r="Z310" i="1"/>
  <c r="BN310" i="1"/>
  <c r="Z312" i="1"/>
  <c r="BN312" i="1"/>
  <c r="Z314" i="1"/>
  <c r="BN314" i="1"/>
  <c r="Y315" i="1"/>
  <c r="Z318" i="1"/>
  <c r="Z319" i="1" s="1"/>
  <c r="BN318" i="1"/>
  <c r="BP318" i="1"/>
  <c r="Y319" i="1"/>
  <c r="Z322" i="1"/>
  <c r="Z323" i="1" s="1"/>
  <c r="BN322" i="1"/>
  <c r="BP322" i="1"/>
  <c r="Y323" i="1"/>
  <c r="Z326" i="1"/>
  <c r="Z329" i="1" s="1"/>
  <c r="BN326" i="1"/>
  <c r="BP326" i="1"/>
  <c r="Z328" i="1"/>
  <c r="BN328" i="1"/>
  <c r="Y329" i="1"/>
  <c r="Z333" i="1"/>
  <c r="BN333" i="1"/>
  <c r="BP333" i="1"/>
  <c r="BP337" i="1"/>
  <c r="BN337" i="1"/>
  <c r="Z337" i="1"/>
  <c r="Q573" i="1"/>
  <c r="Y345" i="1"/>
  <c r="BP342" i="1"/>
  <c r="BN342" i="1"/>
  <c r="Z342" i="1"/>
  <c r="Z345" i="1" s="1"/>
  <c r="BP351" i="1"/>
  <c r="BN351" i="1"/>
  <c r="Z351" i="1"/>
  <c r="Z366" i="1"/>
  <c r="BP364" i="1"/>
  <c r="BN364" i="1"/>
  <c r="Z364" i="1"/>
  <c r="T573" i="1"/>
  <c r="Y316" i="1"/>
  <c r="P573" i="1"/>
  <c r="Y338" i="1"/>
  <c r="BP335" i="1"/>
  <c r="BN335" i="1"/>
  <c r="Z335" i="1"/>
  <c r="BP344" i="1"/>
  <c r="BN344" i="1"/>
  <c r="Z344" i="1"/>
  <c r="Y346" i="1"/>
  <c r="Y354" i="1"/>
  <c r="BP349" i="1"/>
  <c r="BN349" i="1"/>
  <c r="Z349" i="1"/>
  <c r="R573" i="1"/>
  <c r="BP353" i="1"/>
  <c r="BN353" i="1"/>
  <c r="Z353" i="1"/>
  <c r="Y355" i="1"/>
  <c r="Y360" i="1"/>
  <c r="BP357" i="1"/>
  <c r="BN357" i="1"/>
  <c r="Z357" i="1"/>
  <c r="BP371" i="1"/>
  <c r="BN371" i="1"/>
  <c r="Z371" i="1"/>
  <c r="Y375" i="1"/>
  <c r="Y385" i="1"/>
  <c r="Y393" i="1"/>
  <c r="Y399" i="1"/>
  <c r="Y405" i="1"/>
  <c r="Y411" i="1"/>
  <c r="Y417" i="1"/>
  <c r="Y424" i="1"/>
  <c r="Y431" i="1"/>
  <c r="Y443" i="1"/>
  <c r="Y449" i="1"/>
  <c r="Y455" i="1"/>
  <c r="Y461" i="1"/>
  <c r="Y466" i="1"/>
  <c r="Y476" i="1"/>
  <c r="Y492" i="1"/>
  <c r="BP502" i="1"/>
  <c r="BN502" i="1"/>
  <c r="Z502" i="1"/>
  <c r="AA573" i="1"/>
  <c r="Y517" i="1"/>
  <c r="BP508" i="1"/>
  <c r="BN508" i="1"/>
  <c r="Z508" i="1"/>
  <c r="BP512" i="1"/>
  <c r="BN512" i="1"/>
  <c r="Z512" i="1"/>
  <c r="BP516" i="1"/>
  <c r="BN516" i="1"/>
  <c r="Z516" i="1"/>
  <c r="Y518" i="1"/>
  <c r="Y523" i="1"/>
  <c r="BP520" i="1"/>
  <c r="BN520" i="1"/>
  <c r="Z520" i="1"/>
  <c r="BP528" i="1"/>
  <c r="BN528" i="1"/>
  <c r="Z528" i="1"/>
  <c r="BP532" i="1"/>
  <c r="BN532" i="1"/>
  <c r="Z532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1" i="1"/>
  <c r="BP550" i="1"/>
  <c r="BN550" i="1"/>
  <c r="Z550" i="1"/>
  <c r="Z551" i="1" s="1"/>
  <c r="Y552" i="1"/>
  <c r="Y557" i="1"/>
  <c r="BP554" i="1"/>
  <c r="BN554" i="1"/>
  <c r="Z554" i="1"/>
  <c r="Z556" i="1" s="1"/>
  <c r="V573" i="1"/>
  <c r="Z573" i="1"/>
  <c r="S573" i="1"/>
  <c r="Y367" i="1"/>
  <c r="Z373" i="1"/>
  <c r="Z375" i="1" s="1"/>
  <c r="BN373" i="1"/>
  <c r="Y376" i="1"/>
  <c r="Z379" i="1"/>
  <c r="BN379" i="1"/>
  <c r="Z381" i="1"/>
  <c r="BN381" i="1"/>
  <c r="Z383" i="1"/>
  <c r="BN383" i="1"/>
  <c r="Z389" i="1"/>
  <c r="BN389" i="1"/>
  <c r="Z391" i="1"/>
  <c r="BN391" i="1"/>
  <c r="Z395" i="1"/>
  <c r="BN395" i="1"/>
  <c r="BP395" i="1"/>
  <c r="Z397" i="1"/>
  <c r="BN397" i="1"/>
  <c r="Z401" i="1"/>
  <c r="BN401" i="1"/>
  <c r="BP401" i="1"/>
  <c r="Z403" i="1"/>
  <c r="BN403" i="1"/>
  <c r="Z409" i="1"/>
  <c r="BN409" i="1"/>
  <c r="Z415" i="1"/>
  <c r="BN415" i="1"/>
  <c r="U573" i="1"/>
  <c r="Z422" i="1"/>
  <c r="Z423" i="1" s="1"/>
  <c r="BN422" i="1"/>
  <c r="Y423" i="1"/>
  <c r="Z427" i="1"/>
  <c r="BN427" i="1"/>
  <c r="BP427" i="1"/>
  <c r="Z429" i="1"/>
  <c r="BN429" i="1"/>
  <c r="Z435" i="1"/>
  <c r="BN435" i="1"/>
  <c r="BP435" i="1"/>
  <c r="Z437" i="1"/>
  <c r="BN437" i="1"/>
  <c r="Z439" i="1"/>
  <c r="BN439" i="1"/>
  <c r="Z441" i="1"/>
  <c r="BN441" i="1"/>
  <c r="Y444" i="1"/>
  <c r="Z447" i="1"/>
  <c r="Z449" i="1" s="1"/>
  <c r="BN447" i="1"/>
  <c r="Z453" i="1"/>
  <c r="Z455" i="1" s="1"/>
  <c r="BN453" i="1"/>
  <c r="Z459" i="1"/>
  <c r="Z460" i="1" s="1"/>
  <c r="BN459" i="1"/>
  <c r="Z464" i="1"/>
  <c r="Z466" i="1" s="1"/>
  <c r="BN464" i="1"/>
  <c r="BP464" i="1"/>
  <c r="Y467" i="1"/>
  <c r="Z474" i="1"/>
  <c r="Z476" i="1" s="1"/>
  <c r="BN474" i="1"/>
  <c r="Y573" i="1"/>
  <c r="Z482" i="1"/>
  <c r="BN482" i="1"/>
  <c r="Z484" i="1"/>
  <c r="BN484" i="1"/>
  <c r="Z486" i="1"/>
  <c r="BN486" i="1"/>
  <c r="Y487" i="1"/>
  <c r="Z490" i="1"/>
  <c r="Z492" i="1" s="1"/>
  <c r="BN490" i="1"/>
  <c r="BP490" i="1"/>
  <c r="Y503" i="1"/>
  <c r="BP500" i="1"/>
  <c r="BN500" i="1"/>
  <c r="Z500" i="1"/>
  <c r="Z503" i="1" s="1"/>
  <c r="BP510" i="1"/>
  <c r="BN510" i="1"/>
  <c r="Z510" i="1"/>
  <c r="BP514" i="1"/>
  <c r="BN514" i="1"/>
  <c r="Z514" i="1"/>
  <c r="BP522" i="1"/>
  <c r="BN522" i="1"/>
  <c r="Z522" i="1"/>
  <c r="Y524" i="1"/>
  <c r="Y533" i="1"/>
  <c r="BP526" i="1"/>
  <c r="BN526" i="1"/>
  <c r="Z526" i="1"/>
  <c r="BP530" i="1"/>
  <c r="BN530" i="1"/>
  <c r="Z530" i="1"/>
  <c r="AB573" i="1"/>
  <c r="Y562" i="1"/>
  <c r="Z417" i="1" l="1"/>
  <c r="Z411" i="1"/>
  <c r="Z392" i="1"/>
  <c r="Z359" i="1"/>
  <c r="Z222" i="1"/>
  <c r="Z487" i="1"/>
  <c r="Z430" i="1"/>
  <c r="Z385" i="1"/>
  <c r="Z131" i="1"/>
  <c r="Y565" i="1"/>
  <c r="Z81" i="1"/>
  <c r="Z315" i="1"/>
  <c r="Z163" i="1"/>
  <c r="Z120" i="1"/>
  <c r="Z100" i="1"/>
  <c r="Z61" i="1"/>
  <c r="Y564" i="1"/>
  <c r="Z398" i="1"/>
  <c r="Z244" i="1"/>
  <c r="Z152" i="1"/>
  <c r="Y563" i="1"/>
  <c r="Y566" i="1"/>
  <c r="Z523" i="1"/>
  <c r="Z354" i="1"/>
  <c r="Z338" i="1"/>
  <c r="Z112" i="1"/>
  <c r="Z51" i="1"/>
  <c r="Z42" i="1"/>
  <c r="Z32" i="1"/>
  <c r="X566" i="1"/>
  <c r="Z533" i="1"/>
  <c r="Z443" i="1"/>
  <c r="Z405" i="1"/>
  <c r="Z517" i="1"/>
  <c r="Z299" i="1"/>
  <c r="Z258" i="1"/>
  <c r="Z252" i="1"/>
  <c r="Z196" i="1"/>
  <c r="Z136" i="1"/>
  <c r="Z90" i="1"/>
  <c r="Z68" i="1"/>
  <c r="Y567" i="1"/>
  <c r="Z568" i="1" l="1"/>
</calcChain>
</file>

<file path=xl/sharedStrings.xml><?xml version="1.0" encoding="utf-8"?>
<sst xmlns="http://schemas.openxmlformats.org/spreadsheetml/2006/main" count="2590" uniqueCount="927">
  <si>
    <t xml:space="preserve">  БЛАНК ЗАКАЗА </t>
  </si>
  <si>
    <t>КИ</t>
  </si>
  <si>
    <t>на отгрузку продукции с ООО Трейд-Сервис с</t>
  </si>
  <si>
    <t>07.09.2026</t>
  </si>
  <si>
    <t>бланк создан</t>
  </si>
  <si>
    <t>02.09.2026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</si>
  <si>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</si>
  <si>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</si>
  <si>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</si>
  <si>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</si>
  <si>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</si>
  <si>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</si>
  <si>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</si>
  <si>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</si>
  <si>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</si>
  <si>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</si>
  <si>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</si>
  <si>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</si>
  <si>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</si>
  <si>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</si>
  <si>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</si>
  <si>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</si>
  <si>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</si>
  <si>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</si>
  <si>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</si>
  <si>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</si>
  <si>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</si>
  <si>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</si>
  <si>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</si>
  <si>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</si>
  <si>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</si>
  <si>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</si>
  <si>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</si>
  <si>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</si>
  <si>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</si>
  <si>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</si>
  <si>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</si>
  <si>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</si>
  <si>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</si>
  <si>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</si>
  <si>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</si>
  <si>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</si>
  <si>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</si>
  <si>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</si>
  <si>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</si>
  <si>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</si>
  <si>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</si>
  <si>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</si>
  <si>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</si>
  <si>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</si>
  <si>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</si>
  <si>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</si>
  <si>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</si>
  <si>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</si>
  <si>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</si>
  <si>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</si>
  <si>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</si>
  <si>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</si>
  <si>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</si>
  <si>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</si>
  <si>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</si>
  <si>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</si>
  <si>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</si>
  <si>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</si>
  <si>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</si>
  <si>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</si>
  <si>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</si>
  <si>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</si>
  <si>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</si>
  <si>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</si>
  <si>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</si>
  <si>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</si>
  <si>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</si>
  <si>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</si>
  <si>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</si>
  <si>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</si>
  <si>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</si>
  <si>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</si>
  <si>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</si>
  <si>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</si>
  <si>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</si>
  <si>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</si>
  <si>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</si>
  <si>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</si>
  <si>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</si>
  <si>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</si>
  <si>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</si>
  <si>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</si>
  <si>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</si>
  <si>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</si>
  <si>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</si>
  <si>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</si>
  <si>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</si>
  <si>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</si>
  <si>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</si>
  <si>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</si>
  <si>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</si>
  <si>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</si>
  <si>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</si>
  <si>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</si>
  <si>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</si>
  <si>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</si>
  <si>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</si>
  <si>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</si>
  <si>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</si>
  <si>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</si>
  <si>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</si>
  <si>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</si>
  <si>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</si>
  <si>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</si>
  <si>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</si>
  <si>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</si>
  <si>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</si>
  <si>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</si>
  <si>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</si>
  <si>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</si>
  <si>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</si>
  <si>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</si>
  <si>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</si>
  <si>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</si>
  <si>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</si>
  <si>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</si>
  <si>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</si>
  <si>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</si>
  <si>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</si>
  <si>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</si>
  <si>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</si>
  <si>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</si>
  <si>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</si>
  <si>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</si>
  <si>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</si>
  <si>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</si>
  <si>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</si>
  <si>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</si>
  <si>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</si>
  <si>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</si>
  <si>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</si>
  <si>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</si>
  <si>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</si>
  <si>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</si>
  <si>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</si>
  <si>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</si>
  <si>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</si>
  <si>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</si>
  <si>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</si>
  <si>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</si>
  <si>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</si>
  <si>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</si>
  <si>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</si>
  <si>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</si>
  <si>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</si>
  <si>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</si>
  <si>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</si>
  <si>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</si>
  <si>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</si>
  <si>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</si>
  <si>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</si>
  <si>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</si>
  <si>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</si>
  <si>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</si>
  <si>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</si>
  <si>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</si>
  <si>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</si>
  <si>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</si>
  <si>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</si>
  <si>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</si>
  <si>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</si>
  <si>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</si>
  <si>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</si>
  <si>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</si>
  <si>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</si>
  <si>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</si>
  <si>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</si>
  <si>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</si>
  <si>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</si>
  <si>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</si>
  <si>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</si>
  <si>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</si>
  <si>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</si>
  <si>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</si>
  <si>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</si>
  <si>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</si>
  <si>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</si>
  <si>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</si>
  <si>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</si>
  <si>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</si>
  <si>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</si>
  <si>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</si>
  <si>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</si>
  <si>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</si>
  <si>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</si>
  <si>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</si>
  <si>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</si>
  <si>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</si>
  <si>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</si>
  <si>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</si>
  <si>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</si>
  <si>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</si>
  <si>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</si>
  <si>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</si>
  <si>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</si>
  <si>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</si>
  <si>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</si>
  <si>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</si>
  <si>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</si>
  <si>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</si>
  <si>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</si>
  <si>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</si>
  <si>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</si>
  <si>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</si>
  <si>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</si>
  <si>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</si>
  <si>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</si>
  <si>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</si>
  <si>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</si>
  <si>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</si>
  <si>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</si>
  <si>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</si>
  <si>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</si>
  <si>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</si>
  <si>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</si>
  <si>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</si>
  <si>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</si>
  <si>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</si>
  <si>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</si>
  <si>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</si>
  <si>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</si>
  <si>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</si>
  <si>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</si>
  <si>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</si>
  <si>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</si>
  <si>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</si>
  <si>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</si>
  <si>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</si>
  <si>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</si>
  <si>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</si>
  <si>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</si>
  <si>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</si>
  <si>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</si>
  <si>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</si>
  <si>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</si>
  <si>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</si>
  <si>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</si>
  <si>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</si>
  <si>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</si>
  <si>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</si>
  <si>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</si>
  <si>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</si>
  <si>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</si>
  <si>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</si>
  <si>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</si>
  <si>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</si>
  <si>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</si>
  <si>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</si>
  <si>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</si>
  <si>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</si>
  <si>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</si>
  <si>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</si>
  <si>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</si>
  <si>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</si>
  <si>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</si>
  <si>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</si>
  <si>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</si>
  <si>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</si>
  <si>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</si>
  <si>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</si>
  <si>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</si>
  <si>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</si>
  <si>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</si>
  <si>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</si>
  <si>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</si>
  <si>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</si>
  <si>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</si>
  <si>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</si>
  <si>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</si>
  <si>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</si>
  <si>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</si>
  <si>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</si>
  <si>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</si>
  <si>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</si>
  <si>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</si>
  <si>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</si>
  <si>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</si>
  <si>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</si>
  <si>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</si>
  <si>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</si>
  <si>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</si>
  <si>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</si>
  <si>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</si>
  <si>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</si>
  <si>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</si>
  <si>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</si>
  <si>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</si>
  <si>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</si>
  <si>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</si>
  <si>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</si>
  <si>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</si>
  <si>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</si>
  <si>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</si>
  <si>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</si>
  <si>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</si>
  <si>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</si>
  <si>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</si>
  <si>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</si>
  <si>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</si>
  <si>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</si>
  <si>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</si>
  <si>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</si>
  <si>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</si>
  <si>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</si>
  <si>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</si>
  <si>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</si>
  <si>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</si>
  <si>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</si>
  <si>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</si>
  <si>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</si>
  <si>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</si>
  <si>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</si>
  <si>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</si>
  <si>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</si>
  <si>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</si>
  <si>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</si>
  <si>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</si>
  <si>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</si>
  <si>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</si>
  <si>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</si>
  <si>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</si>
  <si>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</si>
  <si>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</si>
  <si>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</si>
  <si>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</si>
  <si>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</si>
  <si>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</si>
  <si>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</si>
  <si>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</si>
  <si>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</si>
  <si>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</si>
  <si>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</si>
  <si>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</si>
  <si>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</si>
  <si>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</si>
  <si>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</si>
  <si>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</si>
  <si>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</si>
  <si>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</si>
  <si>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</si>
  <si>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</si>
  <si>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</si>
  <si>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</si>
  <si>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</si>
  <si>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</si>
  <si>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</si>
  <si>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</si>
  <si>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</si>
  <si>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</si>
  <si>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</si>
  <si>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</si>
  <si>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</si>
  <si>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</si>
  <si>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</si>
  <si>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</si>
  <si>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</si>
  <si>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</si>
  <si>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</si>
  <si>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</si>
  <si>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</si>
  <si>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</si>
  <si>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</si>
  <si>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</si>
  <si>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</si>
  <si>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</si>
  <si>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</si>
  <si>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</si>
  <si>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</si>
  <si>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</si>
  <si>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</si>
  <si>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</si>
  <si>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</si>
  <si>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</si>
  <si>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</si>
  <si>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</si>
  <si>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</si>
  <si>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</si>
  <si>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</si>
  <si>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</si>
  <si>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</si>
  <si>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</si>
  <si>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</si>
  <si>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</si>
  <si>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</si>
  <si>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</si>
  <si>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</si>
  <si>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</si>
  <si>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</si>
  <si>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</si>
  <si>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</si>
  <si>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</si>
  <si>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</si>
  <si>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</si>
  <si>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</si>
  <si>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</si>
  <si>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</si>
  <si>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</si>
  <si>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</si>
  <si>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</si>
  <si>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</si>
  <si>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</si>
  <si>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</si>
  <si>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</si>
  <si>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</si>
  <si>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</si>
  <si>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</si>
  <si>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</si>
  <si>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</si>
  <si>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</si>
  <si>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</si>
  <si>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</si>
  <si>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</si>
  <si>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</si>
  <si>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</si>
  <si>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</si>
  <si>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</si>
  <si>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</si>
  <si>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</si>
  <si>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</si>
  <si>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</si>
  <si>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</si>
  <si>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</si>
  <si>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</si>
  <si>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</si>
  <si>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</si>
  <si>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</si>
  <si>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</si>
  <si>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</si>
  <si>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</si>
  <si>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</si>
  <si>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</si>
  <si>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</si>
  <si>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</si>
  <si>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</si>
  <si>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</si>
  <si>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</si>
  <si>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</si>
  <si>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</si>
  <si>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</si>
  <si>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</si>
  <si>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</si>
  <si>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</si>
  <si>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</si>
  <si>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</si>
  <si>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</si>
  <si>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</si>
  <si>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</si>
  <si>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</si>
  <si>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</si>
  <si>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</si>
  <si>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</si>
  <si>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</si>
  <si>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</si>
  <si>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</si>
  <si>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</si>
  <si>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</si>
  <si>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</si>
  <si>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</si>
  <si>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</si>
  <si>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</si>
  <si>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</si>
  <si>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</si>
  <si>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</si>
  <si>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</si>
  <si>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</si>
  <si>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</si>
  <si>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</si>
  <si>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</si>
  <si>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</si>
  <si>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</si>
  <si>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</si>
  <si>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</si>
  <si>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</si>
  <si>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</si>
  <si>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</si>
  <si>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</si>
  <si>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</si>
  <si>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</si>
  <si>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</si>
  <si>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</si>
  <si>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</si>
  <si>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</si>
  <si>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</si>
  <si>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</si>
  <si>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</si>
  <si>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</si>
  <si>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</si>
  <si>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</si>
  <si>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</si>
  <si>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</si>
  <si>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</si>
  <si>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</si>
  <si>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</si>
  <si>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</si>
  <si>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</si>
  <si>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</si>
  <si>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</si>
  <si>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</si>
  <si>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</si>
  <si>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</si>
  <si>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</si>
  <si>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</si>
  <si>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</si>
  <si>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</si>
  <si>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</si>
  <si>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</si>
  <si>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</si>
  <si>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</si>
  <si>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</si>
  <si>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</si>
  <si>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</si>
  <si>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</si>
  <si>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</si>
  <si>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</si>
  <si>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</si>
  <si>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</si>
  <si>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</si>
  <si>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</si>
  <si>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</si>
  <si>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</si>
  <si>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</si>
  <si>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</si>
  <si>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</si>
  <si>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</si>
  <si>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</si>
  <si>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</si>
  <si>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</si>
  <si>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</si>
  <si>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</si>
  <si>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</si>
  <si>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</si>
  <si>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</si>
  <si>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</si>
  <si>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</si>
  <si>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</si>
  <si>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</si>
  <si>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</si>
  <si>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</si>
  <si>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</si>
  <si>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</si>
  <si>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</si>
  <si>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</si>
  <si>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</si>
  <si>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</si>
  <si>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</si>
  <si>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</si>
  <si>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</si>
  <si>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</si>
  <si>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</si>
  <si>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</si>
  <si>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</si>
  <si>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</si>
  <si>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</si>
  <si>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</si>
  <si>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</si>
  <si>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</si>
  <si>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</si>
  <si>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</si>
  <si>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</si>
  <si>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</si>
  <si>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</si>
  <si>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</si>
  <si>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</si>
  <si>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</si>
  <si>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</si>
  <si>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</si>
  <si>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</si>
  <si>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</si>
  <si>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</si>
  <si>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</si>
  <si>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</si>
  <si>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</si>
  <si>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</si>
  <si>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</si>
  <si>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</si>
  <si>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</si>
  <si>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</si>
  <si>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</si>
  <si>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</si>
  <si>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</si>
  <si>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</si>
  <si>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</si>
  <si>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</si>
  <si>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</si>
  <si>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</si>
  <si>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</si>
  <si>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</si>
  <si>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</si>
  <si>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</si>
  <si>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</si>
  <si>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</si>
  <si>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</si>
  <si>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</si>
  <si>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</si>
  <si>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</si>
  <si>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</si>
  <si>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</si>
  <si>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</si>
  <si>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</si>
  <si>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</si>
  <si>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</si>
  <si>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</si>
  <si>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</si>
  <si>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</si>
  <si>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</si>
  <si>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</si>
  <si>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</si>
  <si>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</si>
  <si>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</si>
  <si>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</si>
  <si>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</si>
  <si>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</si>
  <si>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</si>
  <si>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</si>
  <si>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</si>
  <si>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</si>
  <si>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</si>
  <si>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</si>
  <si>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</si>
  <si>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</si>
  <si>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</si>
  <si>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</si>
  <si>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</si>
  <si>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</si>
  <si>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</si>
  <si>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</si>
  <si>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</si>
  <si>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</si>
  <si>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</si>
  <si>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</si>
  <si>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</si>
  <si>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</si>
  <si>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</si>
  <si>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</si>
  <si>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</si>
  <si>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</si>
  <si>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</si>
  <si>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</si>
  <si>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</si>
  <si>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</si>
  <si>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</si>
  <si>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</si>
  <si>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</si>
  <si>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</si>
  <si>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</si>
  <si>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</si>
  <si>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</si>
  <si>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</si>
  <si>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</si>
  <si>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</si>
  <si>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</si>
  <si>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</si>
  <si>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</si>
  <si>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</si>
  <si>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</si>
  <si>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</si>
  <si>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</si>
  <si>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</si>
  <si>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</si>
  <si>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</si>
  <si>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</si>
  <si>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</si>
  <si>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</si>
  <si>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</si>
  <si>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</si>
  <si>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</si>
  <si>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</si>
  <si>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</si>
  <si>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</si>
  <si>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</si>
  <si>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</si>
  <si>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</si>
  <si>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</si>
  <si>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</si>
  <si>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</si>
  <si>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</si>
  <si>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</si>
  <si>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</si>
  <si>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</si>
  <si>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</si>
  <si>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</si>
  <si>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</si>
  <si>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</si>
  <si>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</si>
  <si>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</si>
  <si>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</si>
  <si>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</si>
  <si>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</si>
  <si>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</si>
  <si>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</si>
  <si>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</si>
  <si>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</si>
  <si>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</si>
  <si>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</si>
  <si>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</si>
  <si>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</si>
  <si>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</si>
  <si>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</si>
  <si>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</si>
  <si>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</si>
  <si>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</si>
  <si>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</si>
  <si>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</si>
  <si>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</si>
  <si>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</si>
  <si>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</si>
  <si>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</si>
  <si>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</si>
  <si>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</si>
  <si>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</si>
  <si>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</si>
  <si>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</si>
  <si>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</si>
  <si>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</si>
  <si>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</si>
  <si>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</si>
  <si>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</si>
  <si>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</si>
  <si>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</si>
  <si>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</si>
  <si>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</si>
  <si>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</si>
  <si>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</si>
  <si>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</si>
  <si>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</si>
  <si>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</si>
  <si>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</si>
  <si>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</si>
  <si>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</si>
  <si>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</si>
  <si>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</si>
  <si>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</si>
  <si>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</si>
  <si>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</si>
  <si>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</si>
  <si>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</si>
  <si>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</si>
  <si>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</si>
  <si>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</si>
  <si>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</si>
  <si>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</si>
  <si>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</si>
  <si>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</si>
  <si>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</si>
  <si>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</si>
  <si>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</si>
  <si>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</si>
  <si>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</si>
  <si>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</si>
  <si>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</si>
  <si>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</si>
  <si>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</si>
  <si>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</si>
  <si>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</si>
  <si>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</si>
  <si>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</si>
  <si>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</si>
  <si>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</si>
  <si>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</si>
  <si>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</si>
  <si>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</si>
  <si>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</si>
  <si>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</si>
  <si>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</si>
  <si>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</si>
  <si>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</si>
  <si>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</si>
  <si>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</si>
  <si>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</si>
  <si>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</si>
  <si>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</si>
  <si>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</si>
  <si>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</si>
  <si>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</si>
  <si>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</si>
  <si>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</si>
  <si>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</si>
  <si>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</si>
  <si>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</si>
  <si>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</si>
  <si>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</si>
  <si>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</si>
  <si>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</si>
  <si>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</si>
  <si>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</si>
  <si>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</si>
  <si>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</si>
  <si>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</si>
  <si>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</si>
  <si>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</si>
  <si>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</si>
  <si>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</si>
  <si>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</si>
  <si>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</si>
  <si>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</si>
  <si>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</si>
  <si>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</si>
  <si>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</si>
  <si>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</si>
  <si>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</si>
  <si>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</si>
  <si>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</si>
  <si>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</si>
  <si>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</si>
  <si>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</si>
  <si>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</si>
  <si>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</si>
  <si>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</si>
  <si>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</si>
  <si>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</si>
  <si>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</si>
  <si>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</si>
  <si>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</si>
  <si>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</si>
  <si>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</si>
  <si>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</si>
  <si>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</si>
  <si>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</si>
  <si>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</si>
  <si>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</si>
  <si>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</si>
  <si>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</si>
  <si>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</si>
  <si>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</si>
  <si>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</si>
  <si>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</si>
  <si>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</si>
  <si>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</si>
  <si>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</si>
  <si>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</si>
  <si>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</si>
  <si>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</si>
  <si>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</si>
  <si>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</si>
  <si>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</si>
  <si>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</si>
  <si>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</si>
  <si>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</si>
  <si>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</si>
  <si>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</si>
  <si>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</si>
  <si>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</si>
  <si>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</si>
  <si>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</si>
  <si>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</si>
  <si>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</si>
  <si>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</si>
  <si>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</si>
  <si>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</si>
  <si>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</si>
  <si>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</si>
  <si>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</si>
  <si>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</si>
  <si>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</si>
  <si>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</si>
  <si>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</si>
  <si>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</si>
  <si>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</si>
  <si>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</si>
  <si>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</si>
  <si>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</si>
  <si>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</si>
  <si>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</si>
  <si>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</si>
  <si>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</si>
  <si>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</si>
  <si>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</si>
  <si>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</si>
  <si>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</si>
  <si>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</si>
  <si>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</si>
  <si>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</si>
  <si>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</si>
  <si>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</si>
  <si>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</si>
  <si>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</si>
  <si>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</si>
  <si>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</si>
  <si>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</si>
  <si>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</si>
  <si>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</si>
  <si>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</si>
  <si>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</si>
  <si>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</si>
  <si>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</si>
  <si>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</si>
  <si>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</si>
  <si>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</si>
  <si>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</si>
  <si>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</si>
  <si>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</si>
  <si>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</si>
  <si>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</si>
  <si>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</si>
  <si>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</si>
  <si>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</si>
  <si>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</si>
  <si>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</si>
  <si>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</si>
  <si>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</si>
  <si>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</si>
  <si>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</si>
  <si>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</si>
  <si>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</si>
  <si>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</si>
  <si>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</si>
  <si>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</si>
  <si>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</si>
  <si>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</si>
  <si>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</si>
  <si>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</si>
  <si>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</si>
  <si>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</si>
  <si>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</si>
  <si>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</si>
  <si>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</si>
  <si>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</si>
  <si>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</si>
  <si>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</si>
  <si>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</si>
  <si>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13 европалет,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</si>
</sst>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2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3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0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8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3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7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5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9" customWidth="1"/>
    <col min="19" max="19" width="6.140625" style="6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9" customWidth="1"/>
    <col min="25" max="25" width="11" style="649" customWidth="1"/>
    <col min="26" max="26" width="10" style="649" customWidth="1"/>
    <col min="27" max="27" width="11.5703125" style="649" customWidth="1"/>
    <col min="28" max="28" width="10.42578125" style="649" customWidth="1"/>
    <col min="29" max="29" width="30" style="6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9" customWidth="1"/>
    <col min="34" max="34" width="9.140625" style="649" customWidth="1"/>
    <col min="35" max="16384" width="9.140625" style="649"/>
  </cols>
  <sheetData>
    <row r="1" spans="1:32" s="645" customFormat="1" ht="45" customHeight="1" x14ac:dyDescent="0.2">
      <c r="A1" s="41"/>
      <c r="B1" s="41"/>
      <c r="C1" s="41"/>
      <c r="D1" s="741" t="s">
        <v>0</v>
      </c>
      <c r="E1" s="699"/>
      <c r="F1" s="699"/>
      <c r="G1" s="12" t="s">
        <v>1</v>
      </c>
      <c r="H1" s="741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698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6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45" customFormat="1" ht="23.45" customHeight="1" x14ac:dyDescent="0.2">
      <c r="A5" s="796" t="s">
        <v>8</v>
      </c>
      <c r="B5" s="711"/>
      <c r="C5" s="712"/>
      <c r="D5" s="747"/>
      <c r="E5" s="748"/>
      <c r="F5" s="986" t="s">
        <v>9</v>
      </c>
      <c r="G5" s="712"/>
      <c r="H5" s="747" t="s">
        <v>926</v>
      </c>
      <c r="I5" s="913"/>
      <c r="J5" s="913"/>
      <c r="K5" s="913"/>
      <c r="L5" s="913"/>
      <c r="M5" s="748"/>
      <c r="N5" s="58"/>
      <c r="P5" s="24" t="s">
        <v>10</v>
      </c>
      <c r="Q5" s="998">
        <v>46272</v>
      </c>
      <c r="R5" s="794"/>
      <c r="T5" s="837" t="s">
        <v>11</v>
      </c>
      <c r="U5" s="819"/>
      <c r="V5" s="840" t="s">
        <v>12</v>
      </c>
      <c r="W5" s="794"/>
      <c r="AB5" s="51"/>
      <c r="AC5" s="51"/>
      <c r="AD5" s="51"/>
      <c r="AE5" s="51"/>
    </row>
    <row r="6" spans="1:32" s="645" customFormat="1" ht="24" customHeight="1" x14ac:dyDescent="0.2">
      <c r="A6" s="796" t="s">
        <v>13</v>
      </c>
      <c r="B6" s="711"/>
      <c r="C6" s="712"/>
      <c r="D6" s="916" t="s">
        <v>905</v>
      </c>
      <c r="E6" s="917"/>
      <c r="F6" s="917"/>
      <c r="G6" s="917"/>
      <c r="H6" s="917"/>
      <c r="I6" s="917"/>
      <c r="J6" s="917"/>
      <c r="K6" s="917"/>
      <c r="L6" s="917"/>
      <c r="M6" s="794"/>
      <c r="N6" s="59"/>
      <c r="P6" s="24" t="s">
        <v>14</v>
      </c>
      <c r="Q6" s="1008" t="str">
        <f>IF(Q5=0," ",CHOOSE(WEEKDAY(Q5,2),"Понедельник","Вторник","Среда","Четверг","Пятница","Суббота","Воскресенье"))</f>
        <v>Понедельник</v>
      </c>
      <c r="R6" s="666"/>
      <c r="T6" s="845" t="s">
        <v>15</v>
      </c>
      <c r="U6" s="819"/>
      <c r="V6" s="981" t="s">
        <v>16</v>
      </c>
      <c r="W6" s="672"/>
      <c r="AB6" s="51"/>
      <c r="AC6" s="51"/>
      <c r="AD6" s="51"/>
      <c r="AE6" s="51"/>
    </row>
    <row r="7" spans="1:32" s="645" customFormat="1" ht="21.75" hidden="1" customHeight="1" x14ac:dyDescent="0.2">
      <c r="A7" s="55"/>
      <c r="B7" s="55"/>
      <c r="C7" s="55"/>
      <c r="D7" s="720" t="str">
        <f>IFERROR(VLOOKUP(DeliveryAddress,Table,3,0),1)</f>
        <v>7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58"/>
      <c r="U7" s="819"/>
      <c r="V7" s="982"/>
      <c r="W7" s="983"/>
      <c r="AB7" s="51"/>
      <c r="AC7" s="51"/>
      <c r="AD7" s="51"/>
      <c r="AE7" s="51"/>
    </row>
    <row r="8" spans="1:32" s="645" customFormat="1" ht="25.5" customHeight="1" x14ac:dyDescent="0.2">
      <c r="A8" s="1016" t="s">
        <v>17</v>
      </c>
      <c r="B8" s="660"/>
      <c r="C8" s="661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18</v>
      </c>
      <c r="Q8" s="805">
        <v>0.5</v>
      </c>
      <c r="R8" s="722"/>
      <c r="T8" s="658"/>
      <c r="U8" s="819"/>
      <c r="V8" s="982"/>
      <c r="W8" s="983"/>
      <c r="AB8" s="51"/>
      <c r="AC8" s="51"/>
      <c r="AD8" s="51"/>
      <c r="AE8" s="51"/>
    </row>
    <row r="9" spans="1:32" s="645" customFormat="1" ht="39.950000000000003" customHeight="1" x14ac:dyDescent="0.2">
      <c r="A9" s="8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12"/>
      <c r="E9" s="664"/>
      <c r="F9" s="8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43"/>
      <c r="P9" s="26" t="s">
        <v>19</v>
      </c>
      <c r="Q9" s="789"/>
      <c r="R9" s="790"/>
      <c r="T9" s="658"/>
      <c r="U9" s="819"/>
      <c r="V9" s="984"/>
      <c r="W9" s="985"/>
      <c r="X9" s="43"/>
      <c r="Y9" s="43"/>
      <c r="Z9" s="43"/>
      <c r="AA9" s="43"/>
      <c r="AB9" s="51"/>
      <c r="AC9" s="51"/>
      <c r="AD9" s="51"/>
      <c r="AE9" s="51"/>
    </row>
    <row r="10" spans="1:32" s="645" customFormat="1" ht="26.45" customHeight="1" x14ac:dyDescent="0.2">
      <c r="A10" s="8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12"/>
      <c r="E10" s="664"/>
      <c r="F10" s="8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7" t="str">
        <f>IFERROR(VLOOKUP($D$10,Proxy,2,FALSE),"")</f>
        <v/>
      </c>
      <c r="I10" s="658"/>
      <c r="J10" s="658"/>
      <c r="K10" s="658"/>
      <c r="L10" s="658"/>
      <c r="M10" s="658"/>
      <c r="N10" s="644"/>
      <c r="P10" s="26" t="s">
        <v>20</v>
      </c>
      <c r="Q10" s="846"/>
      <c r="R10" s="847"/>
      <c r="U10" s="24" t="s">
        <v>21</v>
      </c>
      <c r="V10" s="671" t="s">
        <v>22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64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93"/>
      <c r="R11" s="794"/>
      <c r="U11" s="24" t="s">
        <v>25</v>
      </c>
      <c r="V11" s="944" t="s">
        <v>26</v>
      </c>
      <c r="W11" s="790"/>
      <c r="X11" s="45"/>
      <c r="Y11" s="45"/>
      <c r="Z11" s="45"/>
      <c r="AA11" s="45"/>
      <c r="AB11" s="51"/>
      <c r="AC11" s="51"/>
      <c r="AD11" s="51"/>
      <c r="AE11" s="51"/>
    </row>
    <row r="12" spans="1:32" s="645" customFormat="1" ht="18.600000000000001" customHeight="1" x14ac:dyDescent="0.2">
      <c r="A12" s="831" t="s">
        <v>27</v>
      </c>
      <c r="B12" s="711"/>
      <c r="C12" s="711"/>
      <c r="D12" s="711"/>
      <c r="E12" s="711"/>
      <c r="F12" s="711"/>
      <c r="G12" s="711"/>
      <c r="H12" s="711"/>
      <c r="I12" s="711"/>
      <c r="J12" s="711"/>
      <c r="K12" s="711"/>
      <c r="L12" s="711"/>
      <c r="M12" s="712"/>
      <c r="N12" s="62"/>
      <c r="P12" s="24" t="s">
        <v>28</v>
      </c>
      <c r="Q12" s="805"/>
      <c r="R12" s="722"/>
      <c r="S12" s="23"/>
      <c r="U12" s="24"/>
      <c r="V12" s="699"/>
      <c r="W12" s="658"/>
      <c r="AB12" s="51"/>
      <c r="AC12" s="51"/>
      <c r="AD12" s="51"/>
      <c r="AE12" s="51"/>
    </row>
    <row r="13" spans="1:32" s="645" customFormat="1" ht="23.25" customHeight="1" x14ac:dyDescent="0.2">
      <c r="A13" s="831" t="s">
        <v>29</v>
      </c>
      <c r="B13" s="711"/>
      <c r="C13" s="711"/>
      <c r="D13" s="711"/>
      <c r="E13" s="711"/>
      <c r="F13" s="711"/>
      <c r="G13" s="711"/>
      <c r="H13" s="711"/>
      <c r="I13" s="711"/>
      <c r="J13" s="711"/>
      <c r="K13" s="711"/>
      <c r="L13" s="711"/>
      <c r="M13" s="712"/>
      <c r="N13" s="62"/>
      <c r="O13" s="26"/>
      <c r="P13" s="26" t="s">
        <v>30</v>
      </c>
      <c r="Q13" s="944"/>
      <c r="R13" s="79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45" customFormat="1" ht="18.600000000000001" customHeight="1" x14ac:dyDescent="0.2">
      <c r="A14" s="831" t="s">
        <v>31</v>
      </c>
      <c r="B14" s="711"/>
      <c r="C14" s="711"/>
      <c r="D14" s="711"/>
      <c r="E14" s="711"/>
      <c r="F14" s="711"/>
      <c r="G14" s="711"/>
      <c r="H14" s="711"/>
      <c r="I14" s="711"/>
      <c r="J14" s="711"/>
      <c r="K14" s="711"/>
      <c r="L14" s="711"/>
      <c r="M14" s="71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45" customFormat="1" ht="22.5" customHeight="1" x14ac:dyDescent="0.2">
      <c r="A15" s="860" t="s">
        <v>32</v>
      </c>
      <c r="B15" s="711"/>
      <c r="C15" s="711"/>
      <c r="D15" s="711"/>
      <c r="E15" s="711"/>
      <c r="F15" s="711"/>
      <c r="G15" s="711"/>
      <c r="H15" s="711"/>
      <c r="I15" s="711"/>
      <c r="J15" s="711"/>
      <c r="K15" s="711"/>
      <c r="L15" s="711"/>
      <c r="M15" s="712"/>
      <c r="N15" s="63"/>
      <c r="P15" s="820" t="s">
        <v>33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808" t="s">
        <v>36</v>
      </c>
      <c r="D17" s="674" t="s">
        <v>37</v>
      </c>
      <c r="E17" s="678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677"/>
      <c r="R17" s="677"/>
      <c r="S17" s="677"/>
      <c r="T17" s="678"/>
      <c r="U17" s="1015" t="s">
        <v>49</v>
      </c>
      <c r="V17" s="712"/>
      <c r="W17" s="674" t="s">
        <v>50</v>
      </c>
      <c r="X17" s="674" t="s">
        <v>51</v>
      </c>
      <c r="Y17" s="1031" t="s">
        <v>52</v>
      </c>
      <c r="Z17" s="899" t="s">
        <v>53</v>
      </c>
      <c r="AA17" s="888" t="s">
        <v>54</v>
      </c>
      <c r="AB17" s="888" t="s">
        <v>55</v>
      </c>
      <c r="AC17" s="888" t="s">
        <v>56</v>
      </c>
      <c r="AD17" s="888" t="s">
        <v>57</v>
      </c>
      <c r="AE17" s="976"/>
      <c r="AF17" s="977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679"/>
      <c r="E18" s="681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679"/>
      <c r="Q18" s="680"/>
      <c r="R18" s="680"/>
      <c r="S18" s="680"/>
      <c r="T18" s="681"/>
      <c r="U18" s="67" t="s">
        <v>59</v>
      </c>
      <c r="V18" s="67" t="s">
        <v>60</v>
      </c>
      <c r="W18" s="675"/>
      <c r="X18" s="675"/>
      <c r="Y18" s="1032"/>
      <c r="Z18" s="900"/>
      <c r="AA18" s="889"/>
      <c r="AB18" s="889"/>
      <c r="AC18" s="889"/>
      <c r="AD18" s="978"/>
      <c r="AE18" s="979"/>
      <c r="AF18" s="980"/>
      <c r="AG18" s="66"/>
      <c r="BD18" s="65"/>
    </row>
    <row r="19" spans="1:68" ht="27.75" hidden="1" customHeight="1" x14ac:dyDescent="0.2">
      <c r="A19" s="655" t="s">
        <v>61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48"/>
      <c r="AB19" s="48"/>
      <c r="AC19" s="48"/>
    </row>
    <row r="20" spans="1:68" ht="16.5" hidden="1" customHeight="1" x14ac:dyDescent="0.25">
      <c r="A20" s="662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46"/>
      <c r="AB20" s="646"/>
      <c r="AC20" s="646"/>
    </row>
    <row r="21" spans="1:68" ht="14.25" hidden="1" customHeight="1" x14ac:dyDescent="0.25">
      <c r="A21" s="65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47"/>
      <c r="AB21" s="647"/>
      <c r="AC21" s="647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50">
        <v>0.19</v>
      </c>
      <c r="G22" s="32">
        <v>10</v>
      </c>
      <c r="H22" s="650">
        <v>1.9</v>
      </c>
      <c r="I22" s="65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4"/>
      <c r="V22" s="34"/>
      <c r="W22" s="35" t="s">
        <v>67</v>
      </c>
      <c r="X22" s="651">
        <v>0</v>
      </c>
      <c r="Y22" s="65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50">
        <v>0.3</v>
      </c>
      <c r="G23" s="32">
        <v>6</v>
      </c>
      <c r="H23" s="650">
        <v>1.8</v>
      </c>
      <c r="I23" s="65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4"/>
      <c r="V23" s="34"/>
      <c r="W23" s="35" t="s">
        <v>67</v>
      </c>
      <c r="X23" s="651">
        <v>0</v>
      </c>
      <c r="Y23" s="6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92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93"/>
      <c r="P24" s="659" t="s">
        <v>72</v>
      </c>
      <c r="Q24" s="660"/>
      <c r="R24" s="660"/>
      <c r="S24" s="660"/>
      <c r="T24" s="660"/>
      <c r="U24" s="660"/>
      <c r="V24" s="661"/>
      <c r="W24" s="37" t="s">
        <v>73</v>
      </c>
      <c r="X24" s="653">
        <f>IFERROR(X22/H22,"0")+IFERROR(X23/H23,"0")</f>
        <v>0</v>
      </c>
      <c r="Y24" s="653">
        <f>IFERROR(Y22/H22,"0")+IFERROR(Y23/H23,"0")</f>
        <v>0</v>
      </c>
      <c r="Z24" s="653">
        <f>IFERROR(IF(Z22="",0,Z22),"0")+IFERROR(IF(Z23="",0,Z23),"0")</f>
        <v>0</v>
      </c>
      <c r="AA24" s="654"/>
      <c r="AB24" s="654"/>
      <c r="AC24" s="654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93"/>
      <c r="P25" s="659" t="s">
        <v>72</v>
      </c>
      <c r="Q25" s="660"/>
      <c r="R25" s="660"/>
      <c r="S25" s="660"/>
      <c r="T25" s="660"/>
      <c r="U25" s="660"/>
      <c r="V25" s="661"/>
      <c r="W25" s="37" t="s">
        <v>67</v>
      </c>
      <c r="X25" s="653">
        <f>IFERROR(SUM(X22:X23),"0")</f>
        <v>0</v>
      </c>
      <c r="Y25" s="653">
        <f>IFERROR(SUM(Y22:Y23),"0")</f>
        <v>0</v>
      </c>
      <c r="Z25" s="37"/>
      <c r="AA25" s="654"/>
      <c r="AB25" s="654"/>
      <c r="AC25" s="654"/>
    </row>
    <row r="26" spans="1:68" ht="14.25" hidden="1" customHeight="1" x14ac:dyDescent="0.25">
      <c r="A26" s="65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47"/>
      <c r="AB26" s="647"/>
      <c r="AC26" s="647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50">
        <v>0.3</v>
      </c>
      <c r="G27" s="32">
        <v>6</v>
      </c>
      <c r="H27" s="650">
        <v>1.8</v>
      </c>
      <c r="I27" s="65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4"/>
      <c r="V27" s="34"/>
      <c r="W27" s="35" t="s">
        <v>67</v>
      </c>
      <c r="X27" s="651">
        <v>0</v>
      </c>
      <c r="Y27" s="6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50">
        <v>0.42</v>
      </c>
      <c r="G28" s="32">
        <v>6</v>
      </c>
      <c r="H28" s="650">
        <v>2.52</v>
      </c>
      <c r="I28" s="65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4"/>
      <c r="V28" s="34"/>
      <c r="W28" s="35" t="s">
        <v>67</v>
      </c>
      <c r="X28" s="651">
        <v>0</v>
      </c>
      <c r="Y28" s="6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50">
        <v>0.3</v>
      </c>
      <c r="G29" s="32">
        <v>6</v>
      </c>
      <c r="H29" s="650">
        <v>1.8</v>
      </c>
      <c r="I29" s="65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4"/>
      <c r="V29" s="34"/>
      <c r="W29" s="35" t="s">
        <v>67</v>
      </c>
      <c r="X29" s="651">
        <v>0</v>
      </c>
      <c r="Y29" s="6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50">
        <v>0.3</v>
      </c>
      <c r="G30" s="32">
        <v>6</v>
      </c>
      <c r="H30" s="650">
        <v>1.8</v>
      </c>
      <c r="I30" s="65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4"/>
      <c r="V30" s="34"/>
      <c r="W30" s="35" t="s">
        <v>67</v>
      </c>
      <c r="X30" s="651">
        <v>0</v>
      </c>
      <c r="Y30" s="65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50">
        <v>0.33</v>
      </c>
      <c r="G31" s="32">
        <v>6</v>
      </c>
      <c r="H31" s="650">
        <v>1.98</v>
      </c>
      <c r="I31" s="65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4"/>
      <c r="V31" s="34"/>
      <c r="W31" s="35" t="s">
        <v>67</v>
      </c>
      <c r="X31" s="651">
        <v>0</v>
      </c>
      <c r="Y31" s="65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92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93"/>
      <c r="P32" s="659" t="s">
        <v>72</v>
      </c>
      <c r="Q32" s="660"/>
      <c r="R32" s="660"/>
      <c r="S32" s="660"/>
      <c r="T32" s="660"/>
      <c r="U32" s="660"/>
      <c r="V32" s="661"/>
      <c r="W32" s="37" t="s">
        <v>73</v>
      </c>
      <c r="X32" s="653">
        <f>IFERROR(X27/H27,"0")+IFERROR(X28/H28,"0")+IFERROR(X29/H29,"0")+IFERROR(X30/H30,"0")+IFERROR(X31/H31,"0")</f>
        <v>0</v>
      </c>
      <c r="Y32" s="653">
        <f>IFERROR(Y27/H27,"0")+IFERROR(Y28/H28,"0")+IFERROR(Y29/H29,"0")+IFERROR(Y30/H30,"0")+IFERROR(Y31/H31,"0")</f>
        <v>0</v>
      </c>
      <c r="Z32" s="653">
        <f>IFERROR(IF(Z27="",0,Z27),"0")+IFERROR(IF(Z28="",0,Z28),"0")+IFERROR(IF(Z29="",0,Z29),"0")+IFERROR(IF(Z30="",0,Z30),"0")+IFERROR(IF(Z31="",0,Z31),"0")</f>
        <v>0</v>
      </c>
      <c r="AA32" s="654"/>
      <c r="AB32" s="654"/>
      <c r="AC32" s="654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93"/>
      <c r="P33" s="659" t="s">
        <v>72</v>
      </c>
      <c r="Q33" s="660"/>
      <c r="R33" s="660"/>
      <c r="S33" s="660"/>
      <c r="T33" s="660"/>
      <c r="U33" s="660"/>
      <c r="V33" s="661"/>
      <c r="W33" s="37" t="s">
        <v>67</v>
      </c>
      <c r="X33" s="653">
        <f>IFERROR(SUM(X27:X31),"0")</f>
        <v>0</v>
      </c>
      <c r="Y33" s="653">
        <f>IFERROR(SUM(Y27:Y31),"0")</f>
        <v>0</v>
      </c>
      <c r="Z33" s="37"/>
      <c r="AA33" s="654"/>
      <c r="AB33" s="654"/>
      <c r="AC33" s="654"/>
    </row>
    <row r="34" spans="1:68" ht="27.75" hidden="1" customHeight="1" x14ac:dyDescent="0.2">
      <c r="A34" s="655" t="s">
        <v>92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48"/>
      <c r="AB34" s="48"/>
      <c r="AC34" s="48"/>
    </row>
    <row r="35" spans="1:68" ht="16.5" hidden="1" customHeight="1" x14ac:dyDescent="0.25">
      <c r="A35" s="662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46"/>
      <c r="AB35" s="646"/>
      <c r="AC35" s="646"/>
    </row>
    <row r="36" spans="1:68" ht="14.25" hidden="1" customHeight="1" x14ac:dyDescent="0.25">
      <c r="A36" s="65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47"/>
      <c r="AB36" s="647"/>
      <c r="AC36" s="647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50">
        <v>0.32</v>
      </c>
      <c r="G37" s="32">
        <v>6</v>
      </c>
      <c r="H37" s="650">
        <v>1.92</v>
      </c>
      <c r="I37" s="65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4"/>
      <c r="V37" s="34"/>
      <c r="W37" s="35" t="s">
        <v>67</v>
      </c>
      <c r="X37" s="651">
        <v>0</v>
      </c>
      <c r="Y37" s="65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50">
        <v>0.32</v>
      </c>
      <c r="G38" s="32">
        <v>6</v>
      </c>
      <c r="H38" s="650">
        <v>1.92</v>
      </c>
      <c r="I38" s="65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4"/>
      <c r="V38" s="34"/>
      <c r="W38" s="35" t="s">
        <v>67</v>
      </c>
      <c r="X38" s="651">
        <v>0</v>
      </c>
      <c r="Y38" s="65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50">
        <v>0.3</v>
      </c>
      <c r="G39" s="32">
        <v>4</v>
      </c>
      <c r="H39" s="650">
        <v>1.2</v>
      </c>
      <c r="I39" s="65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4"/>
      <c r="V39" s="34"/>
      <c r="W39" s="35" t="s">
        <v>67</v>
      </c>
      <c r="X39" s="651">
        <v>0</v>
      </c>
      <c r="Y39" s="65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50">
        <v>0.32</v>
      </c>
      <c r="G40" s="32">
        <v>6</v>
      </c>
      <c r="H40" s="650">
        <v>1.92</v>
      </c>
      <c r="I40" s="65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4"/>
      <c r="V40" s="34"/>
      <c r="W40" s="35" t="s">
        <v>67</v>
      </c>
      <c r="X40" s="651">
        <v>0</v>
      </c>
      <c r="Y40" s="65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50">
        <v>0.32</v>
      </c>
      <c r="G41" s="32">
        <v>6</v>
      </c>
      <c r="H41" s="650">
        <v>1.92</v>
      </c>
      <c r="I41" s="65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4"/>
      <c r="V41" s="34"/>
      <c r="W41" s="35" t="s">
        <v>67</v>
      </c>
      <c r="X41" s="651">
        <v>0</v>
      </c>
      <c r="Y41" s="65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92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93"/>
      <c r="P42" s="659" t="s">
        <v>72</v>
      </c>
      <c r="Q42" s="660"/>
      <c r="R42" s="660"/>
      <c r="S42" s="660"/>
      <c r="T42" s="660"/>
      <c r="U42" s="660"/>
      <c r="V42" s="661"/>
      <c r="W42" s="37" t="s">
        <v>73</v>
      </c>
      <c r="X42" s="653">
        <f>IFERROR(X37/H37,"0")+IFERROR(X38/H38,"0")+IFERROR(X39/H39,"0")+IFERROR(X40/H40,"0")+IFERROR(X41/H41,"0")</f>
        <v>0</v>
      </c>
      <c r="Y42" s="653">
        <f>IFERROR(Y37/H37,"0")+IFERROR(Y38/H38,"0")+IFERROR(Y39/H39,"0")+IFERROR(Y40/H40,"0")+IFERROR(Y41/H41,"0")</f>
        <v>0</v>
      </c>
      <c r="Z42" s="653">
        <f>IFERROR(IF(Z37="",0,Z37),"0")+IFERROR(IF(Z38="",0,Z38),"0")+IFERROR(IF(Z39="",0,Z39),"0")+IFERROR(IF(Z40="",0,Z40),"0")+IFERROR(IF(Z41="",0,Z41),"0")</f>
        <v>0</v>
      </c>
      <c r="AA42" s="654"/>
      <c r="AB42" s="654"/>
      <c r="AC42" s="654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93"/>
      <c r="P43" s="659" t="s">
        <v>72</v>
      </c>
      <c r="Q43" s="660"/>
      <c r="R43" s="660"/>
      <c r="S43" s="660"/>
      <c r="T43" s="660"/>
      <c r="U43" s="660"/>
      <c r="V43" s="661"/>
      <c r="W43" s="37" t="s">
        <v>67</v>
      </c>
      <c r="X43" s="653">
        <f>IFERROR(SUM(X37:X41),"0")</f>
        <v>0</v>
      </c>
      <c r="Y43" s="653">
        <f>IFERROR(SUM(Y37:Y41),"0")</f>
        <v>0</v>
      </c>
      <c r="Z43" s="37"/>
      <c r="AA43" s="654"/>
      <c r="AB43" s="654"/>
      <c r="AC43" s="654"/>
    </row>
    <row r="44" spans="1:68" ht="27.75" hidden="1" customHeight="1" x14ac:dyDescent="0.2">
      <c r="A44" s="655" t="s">
        <v>109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48"/>
      <c r="AB44" s="48"/>
      <c r="AC44" s="48"/>
    </row>
    <row r="45" spans="1:68" ht="16.5" hidden="1" customHeight="1" x14ac:dyDescent="0.25">
      <c r="A45" s="662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46"/>
      <c r="AB45" s="646"/>
      <c r="AC45" s="646"/>
    </row>
    <row r="46" spans="1:68" ht="14.25" hidden="1" customHeight="1" x14ac:dyDescent="0.25">
      <c r="A46" s="65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47"/>
      <c r="AB46" s="647"/>
      <c r="AC46" s="647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50">
        <v>1.35</v>
      </c>
      <c r="G47" s="32">
        <v>8</v>
      </c>
      <c r="H47" s="650">
        <v>10.8</v>
      </c>
      <c r="I47" s="65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4"/>
      <c r="V47" s="34"/>
      <c r="W47" s="35" t="s">
        <v>67</v>
      </c>
      <c r="X47" s="651">
        <v>0</v>
      </c>
      <c r="Y47" s="65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50">
        <v>0.11</v>
      </c>
      <c r="G48" s="32">
        <v>10</v>
      </c>
      <c r="H48" s="650">
        <v>1.1000000000000001</v>
      </c>
      <c r="I48" s="65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4"/>
      <c r="V48" s="34"/>
      <c r="W48" s="35" t="s">
        <v>67</v>
      </c>
      <c r="X48" s="651">
        <v>0</v>
      </c>
      <c r="Y48" s="65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50">
        <v>0.4</v>
      </c>
      <c r="G49" s="32">
        <v>10</v>
      </c>
      <c r="H49" s="650">
        <v>4</v>
      </c>
      <c r="I49" s="65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4"/>
      <c r="V49" s="34"/>
      <c r="W49" s="35" t="s">
        <v>67</v>
      </c>
      <c r="X49" s="651">
        <v>21</v>
      </c>
      <c r="Y49" s="652">
        <f>IFERROR(IF(X49="",0,CEILING((X49/$H49),1)*$H49),"")</f>
        <v>24</v>
      </c>
      <c r="Z49" s="36">
        <f>IFERROR(IF(Y49=0,"",ROUNDUP(Y49/H49,0)*0.00902),"")</f>
        <v>5.4120000000000001E-2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21.997500000000002</v>
      </c>
      <c r="BN49" s="64">
        <f>IFERROR(Y49*I49/H49,"0")</f>
        <v>25.14</v>
      </c>
      <c r="BO49" s="64">
        <f>IFERROR(1/J49*(X49/H49),"0")</f>
        <v>3.9772727272727272E-2</v>
      </c>
      <c r="BP49" s="64">
        <f>IFERROR(1/J49*(Y49/H49),"0")</f>
        <v>4.5454545454545456E-2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50">
        <v>0.37</v>
      </c>
      <c r="G50" s="32">
        <v>10</v>
      </c>
      <c r="H50" s="650">
        <v>3.7</v>
      </c>
      <c r="I50" s="65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4"/>
      <c r="V50" s="34"/>
      <c r="W50" s="35" t="s">
        <v>67</v>
      </c>
      <c r="X50" s="651">
        <v>0</v>
      </c>
      <c r="Y50" s="65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92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93"/>
      <c r="P51" s="659" t="s">
        <v>72</v>
      </c>
      <c r="Q51" s="660"/>
      <c r="R51" s="660"/>
      <c r="S51" s="660"/>
      <c r="T51" s="660"/>
      <c r="U51" s="660"/>
      <c r="V51" s="661"/>
      <c r="W51" s="37" t="s">
        <v>73</v>
      </c>
      <c r="X51" s="653">
        <f>IFERROR(X47/H47,"0")+IFERROR(X48/H48,"0")+IFERROR(X49/H49,"0")+IFERROR(X50/H50,"0")</f>
        <v>5.25</v>
      </c>
      <c r="Y51" s="653">
        <f>IFERROR(Y47/H47,"0")+IFERROR(Y48/H48,"0")+IFERROR(Y49/H49,"0")+IFERROR(Y50/H50,"0")</f>
        <v>6</v>
      </c>
      <c r="Z51" s="653">
        <f>IFERROR(IF(Z47="",0,Z47),"0")+IFERROR(IF(Z48="",0,Z48),"0")+IFERROR(IF(Z49="",0,Z49),"0")+IFERROR(IF(Z50="",0,Z50),"0")</f>
        <v>5.4120000000000001E-2</v>
      </c>
      <c r="AA51" s="654"/>
      <c r="AB51" s="654"/>
      <c r="AC51" s="654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93"/>
      <c r="P52" s="659" t="s">
        <v>72</v>
      </c>
      <c r="Q52" s="660"/>
      <c r="R52" s="660"/>
      <c r="S52" s="660"/>
      <c r="T52" s="660"/>
      <c r="U52" s="660"/>
      <c r="V52" s="661"/>
      <c r="W52" s="37" t="s">
        <v>67</v>
      </c>
      <c r="X52" s="653">
        <f>IFERROR(SUM(X47:X50),"0")</f>
        <v>21</v>
      </c>
      <c r="Y52" s="653">
        <f>IFERROR(SUM(Y47:Y50),"0")</f>
        <v>24</v>
      </c>
      <c r="Z52" s="37"/>
      <c r="AA52" s="654"/>
      <c r="AB52" s="654"/>
      <c r="AC52" s="654"/>
    </row>
    <row r="53" spans="1:68" ht="16.5" hidden="1" customHeight="1" x14ac:dyDescent="0.25">
      <c r="A53" s="662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46"/>
      <c r="AB53" s="646"/>
      <c r="AC53" s="646"/>
    </row>
    <row r="54" spans="1:68" ht="14.25" hidden="1" customHeight="1" x14ac:dyDescent="0.25">
      <c r="A54" s="65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47"/>
      <c r="AB54" s="647"/>
      <c r="AC54" s="647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50">
        <v>1.4</v>
      </c>
      <c r="G55" s="32">
        <v>8</v>
      </c>
      <c r="H55" s="650">
        <v>11.2</v>
      </c>
      <c r="I55" s="65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80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4"/>
      <c r="V55" s="34"/>
      <c r="W55" s="35" t="s">
        <v>67</v>
      </c>
      <c r="X55" s="651">
        <v>0</v>
      </c>
      <c r="Y55" s="652">
        <f t="shared" ref="Y55:Y60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0</v>
      </c>
      <c r="BN55" s="64">
        <f t="shared" ref="BN55:BN60" si="2">IFERROR(Y55*I55/H55,"0")</f>
        <v>0</v>
      </c>
      <c r="BO55" s="64">
        <f t="shared" ref="BO55:BO60" si="3">IFERROR(1/J55*(X55/H55),"0")</f>
        <v>0</v>
      </c>
      <c r="BP55" s="64">
        <f t="shared" ref="BP55:BP60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50">
        <v>1.35</v>
      </c>
      <c r="G56" s="32">
        <v>8</v>
      </c>
      <c r="H56" s="650">
        <v>10.8</v>
      </c>
      <c r="I56" s="65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4"/>
      <c r="V56" s="34"/>
      <c r="W56" s="35" t="s">
        <v>67</v>
      </c>
      <c r="X56" s="651">
        <v>0</v>
      </c>
      <c r="Y56" s="65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50">
        <v>0.6</v>
      </c>
      <c r="G57" s="32">
        <v>8</v>
      </c>
      <c r="H57" s="650">
        <v>4.8</v>
      </c>
      <c r="I57" s="65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9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4"/>
      <c r="V57" s="34"/>
      <c r="W57" s="35" t="s">
        <v>67</v>
      </c>
      <c r="X57" s="651">
        <v>0</v>
      </c>
      <c r="Y57" s="65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50">
        <v>0.4</v>
      </c>
      <c r="G58" s="32">
        <v>10</v>
      </c>
      <c r="H58" s="650">
        <v>4</v>
      </c>
      <c r="I58" s="65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4"/>
      <c r="V58" s="34"/>
      <c r="W58" s="35" t="s">
        <v>67</v>
      </c>
      <c r="X58" s="651">
        <v>0</v>
      </c>
      <c r="Y58" s="65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50">
        <v>0.35</v>
      </c>
      <c r="G59" s="32">
        <v>6</v>
      </c>
      <c r="H59" s="650">
        <v>2.1</v>
      </c>
      <c r="I59" s="650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4"/>
      <c r="V59" s="34"/>
      <c r="W59" s="35" t="s">
        <v>67</v>
      </c>
      <c r="X59" s="651">
        <v>0</v>
      </c>
      <c r="Y59" s="652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50">
        <v>0.45</v>
      </c>
      <c r="G60" s="32">
        <v>10</v>
      </c>
      <c r="H60" s="650">
        <v>4.5</v>
      </c>
      <c r="I60" s="650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4"/>
      <c r="V60" s="34"/>
      <c r="W60" s="35" t="s">
        <v>67</v>
      </c>
      <c r="X60" s="651">
        <v>0</v>
      </c>
      <c r="Y60" s="65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idden="1" x14ac:dyDescent="0.2">
      <c r="A61" s="692"/>
      <c r="B61" s="658"/>
      <c r="C61" s="658"/>
      <c r="D61" s="658"/>
      <c r="E61" s="658"/>
      <c r="F61" s="658"/>
      <c r="G61" s="658"/>
      <c r="H61" s="658"/>
      <c r="I61" s="658"/>
      <c r="J61" s="658"/>
      <c r="K61" s="658"/>
      <c r="L61" s="658"/>
      <c r="M61" s="658"/>
      <c r="N61" s="658"/>
      <c r="O61" s="693"/>
      <c r="P61" s="659" t="s">
        <v>72</v>
      </c>
      <c r="Q61" s="660"/>
      <c r="R61" s="660"/>
      <c r="S61" s="660"/>
      <c r="T61" s="660"/>
      <c r="U61" s="660"/>
      <c r="V61" s="661"/>
      <c r="W61" s="37" t="s">
        <v>73</v>
      </c>
      <c r="X61" s="653">
        <f>IFERROR(X55/H55,"0")+IFERROR(X56/H56,"0")+IFERROR(X57/H57,"0")+IFERROR(X58/H58,"0")+IFERROR(X59/H59,"0")+IFERROR(X60/H60,"0")</f>
        <v>0</v>
      </c>
      <c r="Y61" s="653">
        <f>IFERROR(Y55/H55,"0")+IFERROR(Y56/H56,"0")+IFERROR(Y57/H57,"0")+IFERROR(Y58/H58,"0")+IFERROR(Y59/H59,"0")+IFERROR(Y60/H60,"0")</f>
        <v>0</v>
      </c>
      <c r="Z61" s="653">
        <f>IFERROR(IF(Z55="",0,Z55),"0")+IFERROR(IF(Z56="",0,Z56),"0")+IFERROR(IF(Z57="",0,Z57),"0")+IFERROR(IF(Z58="",0,Z58),"0")+IFERROR(IF(Z59="",0,Z59),"0")+IFERROR(IF(Z60="",0,Z60),"0")</f>
        <v>0</v>
      </c>
      <c r="AA61" s="654"/>
      <c r="AB61" s="654"/>
      <c r="AC61" s="654"/>
    </row>
    <row r="62" spans="1:68" hidden="1" x14ac:dyDescent="0.2">
      <c r="A62" s="658"/>
      <c r="B62" s="658"/>
      <c r="C62" s="658"/>
      <c r="D62" s="658"/>
      <c r="E62" s="658"/>
      <c r="F62" s="658"/>
      <c r="G62" s="658"/>
      <c r="H62" s="658"/>
      <c r="I62" s="658"/>
      <c r="J62" s="658"/>
      <c r="K62" s="658"/>
      <c r="L62" s="658"/>
      <c r="M62" s="658"/>
      <c r="N62" s="658"/>
      <c r="O62" s="693"/>
      <c r="P62" s="659" t="s">
        <v>72</v>
      </c>
      <c r="Q62" s="660"/>
      <c r="R62" s="660"/>
      <c r="S62" s="660"/>
      <c r="T62" s="660"/>
      <c r="U62" s="660"/>
      <c r="V62" s="661"/>
      <c r="W62" s="37" t="s">
        <v>67</v>
      </c>
      <c r="X62" s="653">
        <f>IFERROR(SUM(X55:X60),"0")</f>
        <v>0</v>
      </c>
      <c r="Y62" s="653">
        <f>IFERROR(SUM(Y55:Y60),"0")</f>
        <v>0</v>
      </c>
      <c r="Z62" s="37"/>
      <c r="AA62" s="654"/>
      <c r="AB62" s="654"/>
      <c r="AC62" s="654"/>
    </row>
    <row r="63" spans="1:68" ht="14.25" hidden="1" customHeight="1" x14ac:dyDescent="0.25">
      <c r="A63" s="657" t="s">
        <v>144</v>
      </c>
      <c r="B63" s="658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47"/>
      <c r="AB63" s="647"/>
      <c r="AC63" s="647"/>
    </row>
    <row r="64" spans="1:68" ht="16.5" hidden="1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50">
        <v>1.35</v>
      </c>
      <c r="G64" s="32">
        <v>8</v>
      </c>
      <c r="H64" s="650">
        <v>10.8</v>
      </c>
      <c r="I64" s="650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4"/>
      <c r="V64" s="34"/>
      <c r="W64" s="35" t="s">
        <v>67</v>
      </c>
      <c r="X64" s="651">
        <v>0</v>
      </c>
      <c r="Y64" s="652">
        <f>IFERROR(IF(X64="",0,CEILING((X64/$H64),1)*$H64),"")</f>
        <v>0</v>
      </c>
      <c r="Z64" s="36" t="str">
        <f>IFERROR(IF(Y64=0,"",ROUNDUP(Y64/H64,0)*0.01898),"")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50">
        <v>0.37</v>
      </c>
      <c r="G65" s="32">
        <v>6</v>
      </c>
      <c r="H65" s="650">
        <v>2.2200000000000002</v>
      </c>
      <c r="I65" s="650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10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4"/>
      <c r="V65" s="34"/>
      <c r="W65" s="35" t="s">
        <v>67</v>
      </c>
      <c r="X65" s="651">
        <v>0</v>
      </c>
      <c r="Y65" s="652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50">
        <v>0.1</v>
      </c>
      <c r="G66" s="32">
        <v>10</v>
      </c>
      <c r="H66" s="650">
        <v>1</v>
      </c>
      <c r="I66" s="650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8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4"/>
      <c r="V66" s="34"/>
      <c r="W66" s="35" t="s">
        <v>67</v>
      </c>
      <c r="X66" s="651">
        <v>0</v>
      </c>
      <c r="Y66" s="652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50">
        <v>0.45</v>
      </c>
      <c r="G67" s="32">
        <v>6</v>
      </c>
      <c r="H67" s="650">
        <v>2.7</v>
      </c>
      <c r="I67" s="650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4"/>
      <c r="V67" s="34"/>
      <c r="W67" s="35" t="s">
        <v>67</v>
      </c>
      <c r="X67" s="651">
        <v>0</v>
      </c>
      <c r="Y67" s="652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92"/>
      <c r="B68" s="658"/>
      <c r="C68" s="658"/>
      <c r="D68" s="658"/>
      <c r="E68" s="658"/>
      <c r="F68" s="658"/>
      <c r="G68" s="658"/>
      <c r="H68" s="658"/>
      <c r="I68" s="658"/>
      <c r="J68" s="658"/>
      <c r="K68" s="658"/>
      <c r="L68" s="658"/>
      <c r="M68" s="658"/>
      <c r="N68" s="658"/>
      <c r="O68" s="693"/>
      <c r="P68" s="659" t="s">
        <v>72</v>
      </c>
      <c r="Q68" s="660"/>
      <c r="R68" s="660"/>
      <c r="S68" s="660"/>
      <c r="T68" s="660"/>
      <c r="U68" s="660"/>
      <c r="V68" s="661"/>
      <c r="W68" s="37" t="s">
        <v>73</v>
      </c>
      <c r="X68" s="653">
        <f>IFERROR(X64/H64,"0")+IFERROR(X65/H65,"0")+IFERROR(X66/H66,"0")+IFERROR(X67/H67,"0")</f>
        <v>0</v>
      </c>
      <c r="Y68" s="653">
        <f>IFERROR(Y64/H64,"0")+IFERROR(Y65/H65,"0")+IFERROR(Y66/H66,"0")+IFERROR(Y67/H67,"0")</f>
        <v>0</v>
      </c>
      <c r="Z68" s="653">
        <f>IFERROR(IF(Z64="",0,Z64),"0")+IFERROR(IF(Z65="",0,Z65),"0")+IFERROR(IF(Z66="",0,Z66),"0")+IFERROR(IF(Z67="",0,Z67),"0")</f>
        <v>0</v>
      </c>
      <c r="AA68" s="654"/>
      <c r="AB68" s="654"/>
      <c r="AC68" s="654"/>
    </row>
    <row r="69" spans="1:68" hidden="1" x14ac:dyDescent="0.2">
      <c r="A69" s="658"/>
      <c r="B69" s="658"/>
      <c r="C69" s="658"/>
      <c r="D69" s="658"/>
      <c r="E69" s="658"/>
      <c r="F69" s="658"/>
      <c r="G69" s="658"/>
      <c r="H69" s="658"/>
      <c r="I69" s="658"/>
      <c r="J69" s="658"/>
      <c r="K69" s="658"/>
      <c r="L69" s="658"/>
      <c r="M69" s="658"/>
      <c r="N69" s="658"/>
      <c r="O69" s="693"/>
      <c r="P69" s="659" t="s">
        <v>72</v>
      </c>
      <c r="Q69" s="660"/>
      <c r="R69" s="660"/>
      <c r="S69" s="660"/>
      <c r="T69" s="660"/>
      <c r="U69" s="660"/>
      <c r="V69" s="661"/>
      <c r="W69" s="37" t="s">
        <v>67</v>
      </c>
      <c r="X69" s="653">
        <f>IFERROR(SUM(X64:X67),"0")</f>
        <v>0</v>
      </c>
      <c r="Y69" s="653">
        <f>IFERROR(SUM(Y64:Y67),"0")</f>
        <v>0</v>
      </c>
      <c r="Z69" s="37"/>
      <c r="AA69" s="654"/>
      <c r="AB69" s="654"/>
      <c r="AC69" s="654"/>
    </row>
    <row r="70" spans="1:68" ht="14.25" hidden="1" customHeight="1" x14ac:dyDescent="0.25">
      <c r="A70" s="657" t="s">
        <v>74</v>
      </c>
      <c r="B70" s="658"/>
      <c r="C70" s="658"/>
      <c r="D70" s="658"/>
      <c r="E70" s="658"/>
      <c r="F70" s="658"/>
      <c r="G70" s="658"/>
      <c r="H70" s="658"/>
      <c r="I70" s="658"/>
      <c r="J70" s="658"/>
      <c r="K70" s="658"/>
      <c r="L70" s="658"/>
      <c r="M70" s="658"/>
      <c r="N70" s="658"/>
      <c r="O70" s="658"/>
      <c r="P70" s="658"/>
      <c r="Q70" s="658"/>
      <c r="R70" s="658"/>
      <c r="S70" s="658"/>
      <c r="T70" s="658"/>
      <c r="U70" s="658"/>
      <c r="V70" s="658"/>
      <c r="W70" s="658"/>
      <c r="X70" s="658"/>
      <c r="Y70" s="658"/>
      <c r="Z70" s="658"/>
      <c r="AA70" s="647"/>
      <c r="AB70" s="647"/>
      <c r="AC70" s="647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50">
        <v>0.3</v>
      </c>
      <c r="G71" s="32">
        <v>6</v>
      </c>
      <c r="H71" s="650">
        <v>1.8</v>
      </c>
      <c r="I71" s="650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4"/>
      <c r="V71" s="34"/>
      <c r="W71" s="35" t="s">
        <v>67</v>
      </c>
      <c r="X71" s="651">
        <v>0</v>
      </c>
      <c r="Y71" s="65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50">
        <v>0.3</v>
      </c>
      <c r="G72" s="32">
        <v>6</v>
      </c>
      <c r="H72" s="650">
        <v>1.8</v>
      </c>
      <c r="I72" s="650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4"/>
      <c r="V72" s="34"/>
      <c r="W72" s="35" t="s">
        <v>67</v>
      </c>
      <c r="X72" s="651">
        <v>0</v>
      </c>
      <c r="Y72" s="65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50">
        <v>0.3</v>
      </c>
      <c r="G73" s="32">
        <v>6</v>
      </c>
      <c r="H73" s="650">
        <v>1.8</v>
      </c>
      <c r="I73" s="65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6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4"/>
      <c r="V73" s="34"/>
      <c r="W73" s="35" t="s">
        <v>67</v>
      </c>
      <c r="X73" s="651">
        <v>0</v>
      </c>
      <c r="Y73" s="6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92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93"/>
      <c r="P74" s="659" t="s">
        <v>72</v>
      </c>
      <c r="Q74" s="660"/>
      <c r="R74" s="660"/>
      <c r="S74" s="660"/>
      <c r="T74" s="660"/>
      <c r="U74" s="660"/>
      <c r="V74" s="661"/>
      <c r="W74" s="37" t="s">
        <v>73</v>
      </c>
      <c r="X74" s="653">
        <f>IFERROR(X71/H71,"0")+IFERROR(X72/H72,"0")+IFERROR(X73/H73,"0")</f>
        <v>0</v>
      </c>
      <c r="Y74" s="653">
        <f>IFERROR(Y71/H71,"0")+IFERROR(Y72/H72,"0")+IFERROR(Y73/H73,"0")</f>
        <v>0</v>
      </c>
      <c r="Z74" s="653">
        <f>IFERROR(IF(Z71="",0,Z71),"0")+IFERROR(IF(Z72="",0,Z72),"0")+IFERROR(IF(Z73="",0,Z73),"0")</f>
        <v>0</v>
      </c>
      <c r="AA74" s="654"/>
      <c r="AB74" s="654"/>
      <c r="AC74" s="654"/>
    </row>
    <row r="75" spans="1:68" hidden="1" x14ac:dyDescent="0.2">
      <c r="A75" s="658"/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93"/>
      <c r="P75" s="659" t="s">
        <v>72</v>
      </c>
      <c r="Q75" s="660"/>
      <c r="R75" s="660"/>
      <c r="S75" s="660"/>
      <c r="T75" s="660"/>
      <c r="U75" s="660"/>
      <c r="V75" s="661"/>
      <c r="W75" s="37" t="s">
        <v>67</v>
      </c>
      <c r="X75" s="653">
        <f>IFERROR(SUM(X71:X73),"0")</f>
        <v>0</v>
      </c>
      <c r="Y75" s="653">
        <f>IFERROR(SUM(Y71:Y73),"0")</f>
        <v>0</v>
      </c>
      <c r="Z75" s="37"/>
      <c r="AA75" s="654"/>
      <c r="AB75" s="654"/>
      <c r="AC75" s="654"/>
    </row>
    <row r="76" spans="1:68" ht="14.25" hidden="1" customHeight="1" x14ac:dyDescent="0.25">
      <c r="A76" s="657" t="s">
        <v>162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47"/>
      <c r="AB76" s="647"/>
      <c r="AC76" s="647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50">
        <v>1.3</v>
      </c>
      <c r="G77" s="32">
        <v>6</v>
      </c>
      <c r="H77" s="650">
        <v>7.8</v>
      </c>
      <c r="I77" s="650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8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4"/>
      <c r="V77" s="34"/>
      <c r="W77" s="35" t="s">
        <v>67</v>
      </c>
      <c r="X77" s="651">
        <v>0</v>
      </c>
      <c r="Y77" s="652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50">
        <v>1.3</v>
      </c>
      <c r="G78" s="32">
        <v>6</v>
      </c>
      <c r="H78" s="650">
        <v>7.8</v>
      </c>
      <c r="I78" s="65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4"/>
      <c r="V78" s="34"/>
      <c r="W78" s="35" t="s">
        <v>67</v>
      </c>
      <c r="X78" s="651">
        <v>0</v>
      </c>
      <c r="Y78" s="6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50">
        <v>0.4</v>
      </c>
      <c r="G79" s="32">
        <v>6</v>
      </c>
      <c r="H79" s="650">
        <v>2.4</v>
      </c>
      <c r="I79" s="650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4"/>
      <c r="V79" s="34"/>
      <c r="W79" s="35" t="s">
        <v>67</v>
      </c>
      <c r="X79" s="651">
        <v>0</v>
      </c>
      <c r="Y79" s="652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50">
        <v>0.4</v>
      </c>
      <c r="G80" s="32">
        <v>6</v>
      </c>
      <c r="H80" s="650">
        <v>2.4</v>
      </c>
      <c r="I80" s="65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1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4"/>
      <c r="V80" s="34"/>
      <c r="W80" s="35" t="s">
        <v>67</v>
      </c>
      <c r="X80" s="651">
        <v>0</v>
      </c>
      <c r="Y80" s="65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92"/>
      <c r="B81" s="658"/>
      <c r="C81" s="658"/>
      <c r="D81" s="658"/>
      <c r="E81" s="658"/>
      <c r="F81" s="658"/>
      <c r="G81" s="658"/>
      <c r="H81" s="658"/>
      <c r="I81" s="658"/>
      <c r="J81" s="658"/>
      <c r="K81" s="658"/>
      <c r="L81" s="658"/>
      <c r="M81" s="658"/>
      <c r="N81" s="658"/>
      <c r="O81" s="693"/>
      <c r="P81" s="659" t="s">
        <v>72</v>
      </c>
      <c r="Q81" s="660"/>
      <c r="R81" s="660"/>
      <c r="S81" s="660"/>
      <c r="T81" s="660"/>
      <c r="U81" s="660"/>
      <c r="V81" s="661"/>
      <c r="W81" s="37" t="s">
        <v>73</v>
      </c>
      <c r="X81" s="653">
        <f>IFERROR(X77/H77,"0")+IFERROR(X78/H78,"0")+IFERROR(X79/H79,"0")+IFERROR(X80/H80,"0")</f>
        <v>0</v>
      </c>
      <c r="Y81" s="653">
        <f>IFERROR(Y77/H77,"0")+IFERROR(Y78/H78,"0")+IFERROR(Y79/H79,"0")+IFERROR(Y80/H80,"0")</f>
        <v>0</v>
      </c>
      <c r="Z81" s="653">
        <f>IFERROR(IF(Z77="",0,Z77),"0")+IFERROR(IF(Z78="",0,Z78),"0")+IFERROR(IF(Z79="",0,Z79),"0")+IFERROR(IF(Z80="",0,Z80),"0")</f>
        <v>0</v>
      </c>
      <c r="AA81" s="654"/>
      <c r="AB81" s="654"/>
      <c r="AC81" s="654"/>
    </row>
    <row r="82" spans="1:68" hidden="1" x14ac:dyDescent="0.2">
      <c r="A82" s="658"/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93"/>
      <c r="P82" s="659" t="s">
        <v>72</v>
      </c>
      <c r="Q82" s="660"/>
      <c r="R82" s="660"/>
      <c r="S82" s="660"/>
      <c r="T82" s="660"/>
      <c r="U82" s="660"/>
      <c r="V82" s="661"/>
      <c r="W82" s="37" t="s">
        <v>67</v>
      </c>
      <c r="X82" s="653">
        <f>IFERROR(SUM(X77:X80),"0")</f>
        <v>0</v>
      </c>
      <c r="Y82" s="653">
        <f>IFERROR(SUM(Y77:Y80),"0")</f>
        <v>0</v>
      </c>
      <c r="Z82" s="37"/>
      <c r="AA82" s="654"/>
      <c r="AB82" s="654"/>
      <c r="AC82" s="654"/>
    </row>
    <row r="83" spans="1:68" ht="16.5" hidden="1" customHeight="1" x14ac:dyDescent="0.25">
      <c r="A83" s="662" t="s">
        <v>171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46"/>
      <c r="AB83" s="646"/>
      <c r="AC83" s="646"/>
    </row>
    <row r="84" spans="1:68" ht="14.25" hidden="1" customHeight="1" x14ac:dyDescent="0.25">
      <c r="A84" s="657" t="s">
        <v>111</v>
      </c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8"/>
      <c r="P84" s="658"/>
      <c r="Q84" s="658"/>
      <c r="R84" s="658"/>
      <c r="S84" s="658"/>
      <c r="T84" s="658"/>
      <c r="U84" s="658"/>
      <c r="V84" s="658"/>
      <c r="W84" s="658"/>
      <c r="X84" s="658"/>
      <c r="Y84" s="658"/>
      <c r="Z84" s="658"/>
      <c r="AA84" s="647"/>
      <c r="AB84" s="647"/>
      <c r="AC84" s="64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50">
        <v>1.35</v>
      </c>
      <c r="G85" s="32">
        <v>8</v>
      </c>
      <c r="H85" s="650">
        <v>10.8</v>
      </c>
      <c r="I85" s="65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4"/>
      <c r="V85" s="34"/>
      <c r="W85" s="35" t="s">
        <v>67</v>
      </c>
      <c r="X85" s="651">
        <v>0</v>
      </c>
      <c r="Y85" s="65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50">
        <v>0.17</v>
      </c>
      <c r="G86" s="32">
        <v>10</v>
      </c>
      <c r="H86" s="650">
        <v>1.7</v>
      </c>
      <c r="I86" s="65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8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4"/>
      <c r="V86" s="34"/>
      <c r="W86" s="35" t="s">
        <v>67</v>
      </c>
      <c r="X86" s="651">
        <v>0</v>
      </c>
      <c r="Y86" s="652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50">
        <v>0.17</v>
      </c>
      <c r="G87" s="32">
        <v>8</v>
      </c>
      <c r="H87" s="650">
        <v>1.36</v>
      </c>
      <c r="I87" s="65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68"/>
      <c r="R87" s="668"/>
      <c r="S87" s="668"/>
      <c r="T87" s="669"/>
      <c r="U87" s="34"/>
      <c r="V87" s="34"/>
      <c r="W87" s="35" t="s">
        <v>67</v>
      </c>
      <c r="X87" s="651">
        <v>0</v>
      </c>
      <c r="Y87" s="652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50">
        <v>0.4</v>
      </c>
      <c r="G88" s="32">
        <v>10</v>
      </c>
      <c r="H88" s="650">
        <v>4</v>
      </c>
      <c r="I88" s="65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67</v>
      </c>
      <c r="X88" s="651">
        <v>0</v>
      </c>
      <c r="Y88" s="65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50">
        <v>0.45</v>
      </c>
      <c r="G89" s="32">
        <v>10</v>
      </c>
      <c r="H89" s="650">
        <v>4.5</v>
      </c>
      <c r="I89" s="65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5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67</v>
      </c>
      <c r="X89" s="651">
        <v>0</v>
      </c>
      <c r="Y89" s="652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92"/>
      <c r="B90" s="658"/>
      <c r="C90" s="658"/>
      <c r="D90" s="658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93"/>
      <c r="P90" s="659" t="s">
        <v>72</v>
      </c>
      <c r="Q90" s="660"/>
      <c r="R90" s="660"/>
      <c r="S90" s="660"/>
      <c r="T90" s="660"/>
      <c r="U90" s="660"/>
      <c r="V90" s="661"/>
      <c r="W90" s="37" t="s">
        <v>73</v>
      </c>
      <c r="X90" s="653">
        <f>IFERROR(X85/H85,"0")+IFERROR(X86/H86,"0")+IFERROR(X87/H87,"0")+IFERROR(X88/H88,"0")+IFERROR(X89/H89,"0")</f>
        <v>0</v>
      </c>
      <c r="Y90" s="653">
        <f>IFERROR(Y85/H85,"0")+IFERROR(Y86/H86,"0")+IFERROR(Y87/H87,"0")+IFERROR(Y88/H88,"0")+IFERROR(Y89/H89,"0")</f>
        <v>0</v>
      </c>
      <c r="Z90" s="653">
        <f>IFERROR(IF(Z85="",0,Z85),"0")+IFERROR(IF(Z86="",0,Z86),"0")+IFERROR(IF(Z87="",0,Z87),"0")+IFERROR(IF(Z88="",0,Z88),"0")+IFERROR(IF(Z89="",0,Z89),"0")</f>
        <v>0</v>
      </c>
      <c r="AA90" s="654"/>
      <c r="AB90" s="654"/>
      <c r="AC90" s="654"/>
    </row>
    <row r="91" spans="1:68" hidden="1" x14ac:dyDescent="0.2">
      <c r="A91" s="658"/>
      <c r="B91" s="658"/>
      <c r="C91" s="658"/>
      <c r="D91" s="658"/>
      <c r="E91" s="658"/>
      <c r="F91" s="658"/>
      <c r="G91" s="658"/>
      <c r="H91" s="658"/>
      <c r="I91" s="658"/>
      <c r="J91" s="658"/>
      <c r="K91" s="658"/>
      <c r="L91" s="658"/>
      <c r="M91" s="658"/>
      <c r="N91" s="658"/>
      <c r="O91" s="693"/>
      <c r="P91" s="659" t="s">
        <v>72</v>
      </c>
      <c r="Q91" s="660"/>
      <c r="R91" s="660"/>
      <c r="S91" s="660"/>
      <c r="T91" s="660"/>
      <c r="U91" s="660"/>
      <c r="V91" s="661"/>
      <c r="W91" s="37" t="s">
        <v>67</v>
      </c>
      <c r="X91" s="653">
        <f>IFERROR(SUM(X85:X89),"0")</f>
        <v>0</v>
      </c>
      <c r="Y91" s="653">
        <f>IFERROR(SUM(Y85:Y89),"0")</f>
        <v>0</v>
      </c>
      <c r="Z91" s="37"/>
      <c r="AA91" s="654"/>
      <c r="AB91" s="654"/>
      <c r="AC91" s="654"/>
    </row>
    <row r="92" spans="1:68" ht="14.25" hidden="1" customHeight="1" x14ac:dyDescent="0.25">
      <c r="A92" s="657" t="s">
        <v>74</v>
      </c>
      <c r="B92" s="658"/>
      <c r="C92" s="658"/>
      <c r="D92" s="658"/>
      <c r="E92" s="658"/>
      <c r="F92" s="658"/>
      <c r="G92" s="658"/>
      <c r="H92" s="658"/>
      <c r="I92" s="658"/>
      <c r="J92" s="658"/>
      <c r="K92" s="658"/>
      <c r="L92" s="658"/>
      <c r="M92" s="658"/>
      <c r="N92" s="658"/>
      <c r="O92" s="658"/>
      <c r="P92" s="658"/>
      <c r="Q92" s="658"/>
      <c r="R92" s="658"/>
      <c r="S92" s="658"/>
      <c r="T92" s="658"/>
      <c r="U92" s="658"/>
      <c r="V92" s="658"/>
      <c r="W92" s="658"/>
      <c r="X92" s="658"/>
      <c r="Y92" s="658"/>
      <c r="Z92" s="658"/>
      <c r="AA92" s="647"/>
      <c r="AB92" s="647"/>
      <c r="AC92" s="647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50">
        <v>1.35</v>
      </c>
      <c r="G93" s="32">
        <v>6</v>
      </c>
      <c r="H93" s="650">
        <v>8.1</v>
      </c>
      <c r="I93" s="650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4"/>
      <c r="V93" s="34"/>
      <c r="W93" s="35" t="s">
        <v>67</v>
      </c>
      <c r="X93" s="651">
        <v>634</v>
      </c>
      <c r="Y93" s="652">
        <f t="shared" ref="Y93:Y99" si="5">IFERROR(IF(X93="",0,CEILING((X93/$H93),1)*$H93),"")</f>
        <v>639.9</v>
      </c>
      <c r="Z93" s="36">
        <f>IFERROR(IF(Y93=0,"",ROUNDUP(Y93/H93,0)*0.01898),"")</f>
        <v>1.49942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9" si="6">IFERROR(X93*I93/H93,"0")</f>
        <v>672.6661728395062</v>
      </c>
      <c r="BN93" s="64">
        <f t="shared" ref="BN93:BN99" si="7">IFERROR(Y93*I93/H93,"0")</f>
        <v>678.92599999999993</v>
      </c>
      <c r="BO93" s="64">
        <f t="shared" ref="BO93:BO99" si="8">IFERROR(1/J93*(X93/H93),"0")</f>
        <v>1.2229938271604939</v>
      </c>
      <c r="BP93" s="64">
        <f t="shared" ref="BP93:BP99" si="9">IFERROR(1/J93*(Y93/H93),"0")</f>
        <v>1.234375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50">
        <v>1.35</v>
      </c>
      <c r="G94" s="32">
        <v>6</v>
      </c>
      <c r="H94" s="650">
        <v>8.1</v>
      </c>
      <c r="I94" s="65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9" t="s">
        <v>188</v>
      </c>
      <c r="Q94" s="668"/>
      <c r="R94" s="668"/>
      <c r="S94" s="668"/>
      <c r="T94" s="669"/>
      <c r="U94" s="34"/>
      <c r="V94" s="34"/>
      <c r="W94" s="35" t="s">
        <v>67</v>
      </c>
      <c r="X94" s="651">
        <v>0</v>
      </c>
      <c r="Y94" s="652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50">
        <v>0.37</v>
      </c>
      <c r="G95" s="32">
        <v>6</v>
      </c>
      <c r="H95" s="650">
        <v>2.2200000000000002</v>
      </c>
      <c r="I95" s="65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4"/>
      <c r="V95" s="34"/>
      <c r="W95" s="35" t="s">
        <v>67</v>
      </c>
      <c r="X95" s="651">
        <v>0</v>
      </c>
      <c r="Y95" s="652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189</v>
      </c>
      <c r="B96" s="54" t="s">
        <v>191</v>
      </c>
      <c r="C96" s="31">
        <v>4301052090</v>
      </c>
      <c r="D96" s="665">
        <v>4680115884953</v>
      </c>
      <c r="E96" s="666"/>
      <c r="F96" s="650">
        <v>0.37</v>
      </c>
      <c r="G96" s="32">
        <v>6</v>
      </c>
      <c r="H96" s="650">
        <v>2.2200000000000002</v>
      </c>
      <c r="I96" s="650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5" t="s">
        <v>192</v>
      </c>
      <c r="Q96" s="668"/>
      <c r="R96" s="668"/>
      <c r="S96" s="668"/>
      <c r="T96" s="669"/>
      <c r="U96" s="34"/>
      <c r="V96" s="34"/>
      <c r="W96" s="35" t="s">
        <v>67</v>
      </c>
      <c r="X96" s="651">
        <v>0</v>
      </c>
      <c r="Y96" s="652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193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customHeight="1" x14ac:dyDescent="0.25">
      <c r="A97" s="54" t="s">
        <v>194</v>
      </c>
      <c r="B97" s="54" t="s">
        <v>195</v>
      </c>
      <c r="C97" s="31">
        <v>4301051718</v>
      </c>
      <c r="D97" s="665">
        <v>4607091385731</v>
      </c>
      <c r="E97" s="666"/>
      <c r="F97" s="650">
        <v>0.45</v>
      </c>
      <c r="G97" s="32">
        <v>6</v>
      </c>
      <c r="H97" s="650">
        <v>2.7</v>
      </c>
      <c r="I97" s="650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4"/>
      <c r="V97" s="34"/>
      <c r="W97" s="35" t="s">
        <v>67</v>
      </c>
      <c r="X97" s="651">
        <v>31</v>
      </c>
      <c r="Y97" s="652">
        <f t="shared" si="5"/>
        <v>32.400000000000006</v>
      </c>
      <c r="Z97" s="36">
        <f>IFERROR(IF(Y97=0,"",ROUNDUP(Y97/H97,0)*0.00651),"")</f>
        <v>7.8119999999999995E-2</v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33.893333333333331</v>
      </c>
      <c r="BN97" s="64">
        <f t="shared" si="7"/>
        <v>35.424000000000007</v>
      </c>
      <c r="BO97" s="64">
        <f t="shared" si="8"/>
        <v>6.3085063085063092E-2</v>
      </c>
      <c r="BP97" s="64">
        <f t="shared" si="9"/>
        <v>6.593406593406595E-2</v>
      </c>
    </row>
    <row r="98" spans="1:68" ht="27" hidden="1" customHeight="1" x14ac:dyDescent="0.25">
      <c r="A98" s="54" t="s">
        <v>194</v>
      </c>
      <c r="B98" s="54" t="s">
        <v>196</v>
      </c>
      <c r="C98" s="31">
        <v>4301052094</v>
      </c>
      <c r="D98" s="665">
        <v>4607091385731</v>
      </c>
      <c r="E98" s="666"/>
      <c r="F98" s="650">
        <v>0.45</v>
      </c>
      <c r="G98" s="32">
        <v>6</v>
      </c>
      <c r="H98" s="650">
        <v>2.7</v>
      </c>
      <c r="I98" s="650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4" t="s">
        <v>197</v>
      </c>
      <c r="Q98" s="668"/>
      <c r="R98" s="668"/>
      <c r="S98" s="668"/>
      <c r="T98" s="669"/>
      <c r="U98" s="34"/>
      <c r="V98" s="34"/>
      <c r="W98" s="35" t="s">
        <v>67</v>
      </c>
      <c r="X98" s="651">
        <v>0</v>
      </c>
      <c r="Y98" s="652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186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ht="16.5" hidden="1" customHeight="1" x14ac:dyDescent="0.25">
      <c r="A99" s="54" t="s">
        <v>198</v>
      </c>
      <c r="B99" s="54" t="s">
        <v>199</v>
      </c>
      <c r="C99" s="31">
        <v>4301052092</v>
      </c>
      <c r="D99" s="665">
        <v>4680115880894</v>
      </c>
      <c r="E99" s="666"/>
      <c r="F99" s="650">
        <v>0.33</v>
      </c>
      <c r="G99" s="32">
        <v>6</v>
      </c>
      <c r="H99" s="650">
        <v>1.98</v>
      </c>
      <c r="I99" s="650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7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4"/>
      <c r="V99" s="34"/>
      <c r="W99" s="35" t="s">
        <v>67</v>
      </c>
      <c r="X99" s="651">
        <v>0</v>
      </c>
      <c r="Y99" s="652">
        <f t="shared" si="5"/>
        <v>0</v>
      </c>
      <c r="Z99" s="36" t="str">
        <f>IFERROR(IF(Y99=0,"",ROUNDUP(Y99/H99,0)*0.00651),"")</f>
        <v/>
      </c>
      <c r="AA99" s="56"/>
      <c r="AB99" s="57"/>
      <c r="AC99" s="157" t="s">
        <v>200</v>
      </c>
      <c r="AG99" s="64"/>
      <c r="AJ99" s="68"/>
      <c r="AK99" s="68">
        <v>0</v>
      </c>
      <c r="BB99" s="158" t="s">
        <v>1</v>
      </c>
      <c r="BM99" s="64">
        <f t="shared" si="6"/>
        <v>0</v>
      </c>
      <c r="BN99" s="64">
        <f t="shared" si="7"/>
        <v>0</v>
      </c>
      <c r="BO99" s="64">
        <f t="shared" si="8"/>
        <v>0</v>
      </c>
      <c r="BP99" s="64">
        <f t="shared" si="9"/>
        <v>0</v>
      </c>
    </row>
    <row r="100" spans="1:68" x14ac:dyDescent="0.2">
      <c r="A100" s="692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93"/>
      <c r="P100" s="659" t="s">
        <v>72</v>
      </c>
      <c r="Q100" s="660"/>
      <c r="R100" s="660"/>
      <c r="S100" s="660"/>
      <c r="T100" s="660"/>
      <c r="U100" s="660"/>
      <c r="V100" s="661"/>
      <c r="W100" s="37" t="s">
        <v>73</v>
      </c>
      <c r="X100" s="653">
        <f>IFERROR(X93/H93,"0")+IFERROR(X94/H94,"0")+IFERROR(X95/H95,"0")+IFERROR(X96/H96,"0")+IFERROR(X97/H97,"0")+IFERROR(X98/H98,"0")+IFERROR(X99/H99,"0")</f>
        <v>89.753086419753089</v>
      </c>
      <c r="Y100" s="653">
        <f>IFERROR(Y93/H93,"0")+IFERROR(Y94/H94,"0")+IFERROR(Y95/H95,"0")+IFERROR(Y96/H96,"0")+IFERROR(Y97/H97,"0")+IFERROR(Y98/H98,"0")+IFERROR(Y99/H99,"0")</f>
        <v>91</v>
      </c>
      <c r="Z100" s="653">
        <f>IFERROR(IF(Z93="",0,Z93),"0")+IFERROR(IF(Z94="",0,Z94),"0")+IFERROR(IF(Z95="",0,Z95),"0")+IFERROR(IF(Z96="",0,Z96),"0")+IFERROR(IF(Z97="",0,Z97),"0")+IFERROR(IF(Z98="",0,Z98),"0")+IFERROR(IF(Z99="",0,Z99),"0")</f>
        <v>1.5775399999999999</v>
      </c>
      <c r="AA100" s="654"/>
      <c r="AB100" s="654"/>
      <c r="AC100" s="654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93"/>
      <c r="P101" s="659" t="s">
        <v>72</v>
      </c>
      <c r="Q101" s="660"/>
      <c r="R101" s="660"/>
      <c r="S101" s="660"/>
      <c r="T101" s="660"/>
      <c r="U101" s="660"/>
      <c r="V101" s="661"/>
      <c r="W101" s="37" t="s">
        <v>67</v>
      </c>
      <c r="X101" s="653">
        <f>IFERROR(SUM(X93:X99),"0")</f>
        <v>665</v>
      </c>
      <c r="Y101" s="653">
        <f>IFERROR(SUM(Y93:Y99),"0")</f>
        <v>672.3</v>
      </c>
      <c r="Z101" s="37"/>
      <c r="AA101" s="654"/>
      <c r="AB101" s="654"/>
      <c r="AC101" s="654"/>
    </row>
    <row r="102" spans="1:68" ht="16.5" hidden="1" customHeight="1" x14ac:dyDescent="0.25">
      <c r="A102" s="662" t="s">
        <v>201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46"/>
      <c r="AB102" s="646"/>
      <c r="AC102" s="646"/>
    </row>
    <row r="103" spans="1:68" ht="14.25" hidden="1" customHeight="1" x14ac:dyDescent="0.25">
      <c r="A103" s="65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47"/>
      <c r="AB103" s="647"/>
      <c r="AC103" s="647"/>
    </row>
    <row r="104" spans="1:68" ht="37.5" hidden="1" customHeight="1" x14ac:dyDescent="0.25">
      <c r="A104" s="54" t="s">
        <v>202</v>
      </c>
      <c r="B104" s="54" t="s">
        <v>203</v>
      </c>
      <c r="C104" s="31">
        <v>4301011514</v>
      </c>
      <c r="D104" s="665">
        <v>4680115882133</v>
      </c>
      <c r="E104" s="666"/>
      <c r="F104" s="650">
        <v>1.35</v>
      </c>
      <c r="G104" s="32">
        <v>8</v>
      </c>
      <c r="H104" s="650">
        <v>10.8</v>
      </c>
      <c r="I104" s="650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70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4"/>
      <c r="V104" s="34"/>
      <c r="W104" s="35" t="s">
        <v>67</v>
      </c>
      <c r="X104" s="651">
        <v>0</v>
      </c>
      <c r="Y104" s="652">
        <f t="shared" ref="Y104:Y111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ref="BM104:BM111" si="11">IFERROR(X104*I104/H104,"0")</f>
        <v>0</v>
      </c>
      <c r="BN104" s="64">
        <f t="shared" ref="BN104:BN111" si="12">IFERROR(Y104*I104/H104,"0")</f>
        <v>0</v>
      </c>
      <c r="BO104" s="64">
        <f t="shared" ref="BO104:BO111" si="13">IFERROR(1/J104*(X104/H104),"0")</f>
        <v>0</v>
      </c>
      <c r="BP104" s="64">
        <f t="shared" ref="BP104:BP111" si="14">IFERROR(1/J104*(Y104/H104),"0")</f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4301012051</v>
      </c>
      <c r="D105" s="665">
        <v>4680115887718</v>
      </c>
      <c r="E105" s="666"/>
      <c r="F105" s="650">
        <v>0.11</v>
      </c>
      <c r="G105" s="32">
        <v>10</v>
      </c>
      <c r="H105" s="650">
        <v>1.1000000000000001</v>
      </c>
      <c r="I105" s="650">
        <v>1.31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5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4"/>
      <c r="V105" s="34"/>
      <c r="W105" s="35" t="s">
        <v>67</v>
      </c>
      <c r="X105" s="651">
        <v>0</v>
      </c>
      <c r="Y105" s="652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208</v>
      </c>
      <c r="C106" s="31">
        <v>4301012334</v>
      </c>
      <c r="D106" s="665">
        <v>4680115887718</v>
      </c>
      <c r="E106" s="666"/>
      <c r="F106" s="650">
        <v>0.11</v>
      </c>
      <c r="G106" s="32">
        <v>8</v>
      </c>
      <c r="H106" s="650">
        <v>0.88</v>
      </c>
      <c r="I106" s="650">
        <v>1.0680000000000001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4"/>
      <c r="V106" s="34"/>
      <c r="W106" s="35" t="s">
        <v>67</v>
      </c>
      <c r="X106" s="651">
        <v>0</v>
      </c>
      <c r="Y106" s="65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205</v>
      </c>
      <c r="B107" s="54" t="s">
        <v>209</v>
      </c>
      <c r="C107" s="31">
        <v>4301012379</v>
      </c>
      <c r="D107" s="665">
        <v>4680115887718</v>
      </c>
      <c r="E107" s="666"/>
      <c r="F107" s="650">
        <v>0.11</v>
      </c>
      <c r="G107" s="32">
        <v>6</v>
      </c>
      <c r="H107" s="650">
        <v>0.66</v>
      </c>
      <c r="I107" s="650">
        <v>0.82599999999999996</v>
      </c>
      <c r="J107" s="32">
        <v>192</v>
      </c>
      <c r="K107" s="32" t="s">
        <v>119</v>
      </c>
      <c r="L107" s="32"/>
      <c r="M107" s="33" t="s">
        <v>66</v>
      </c>
      <c r="N107" s="33"/>
      <c r="O107" s="32">
        <v>30</v>
      </c>
      <c r="P107" s="95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4"/>
      <c r="V107" s="34"/>
      <c r="W107" s="35" t="s">
        <v>67</v>
      </c>
      <c r="X107" s="651">
        <v>0</v>
      </c>
      <c r="Y107" s="652">
        <f t="shared" si="10"/>
        <v>0</v>
      </c>
      <c r="Z107" s="36" t="str">
        <f>IFERROR(IF(Y107=0,"",ROUNDUP(Y107/H107,0)*0.00726),"")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4301011417</v>
      </c>
      <c r="D108" s="665">
        <v>4680115880269</v>
      </c>
      <c r="E108" s="666"/>
      <c r="F108" s="650">
        <v>0.375</v>
      </c>
      <c r="G108" s="32">
        <v>10</v>
      </c>
      <c r="H108" s="650">
        <v>3.75</v>
      </c>
      <c r="I108" s="650">
        <v>3.94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4"/>
      <c r="V108" s="34"/>
      <c r="W108" s="35" t="s">
        <v>67</v>
      </c>
      <c r="X108" s="651">
        <v>0</v>
      </c>
      <c r="Y108" s="65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37.5" hidden="1" customHeight="1" x14ac:dyDescent="0.25">
      <c r="A109" s="54" t="s">
        <v>212</v>
      </c>
      <c r="B109" s="54" t="s">
        <v>213</v>
      </c>
      <c r="C109" s="31">
        <v>4301011415</v>
      </c>
      <c r="D109" s="665">
        <v>4680115880429</v>
      </c>
      <c r="E109" s="666"/>
      <c r="F109" s="650">
        <v>0.45</v>
      </c>
      <c r="G109" s="32">
        <v>10</v>
      </c>
      <c r="H109" s="650">
        <v>4.5</v>
      </c>
      <c r="I109" s="650">
        <v>4.6900000000000004</v>
      </c>
      <c r="J109" s="32">
        <v>132</v>
      </c>
      <c r="K109" s="32" t="s">
        <v>123</v>
      </c>
      <c r="L109" s="32"/>
      <c r="M109" s="33" t="s">
        <v>78</v>
      </c>
      <c r="N109" s="33"/>
      <c r="O109" s="32">
        <v>50</v>
      </c>
      <c r="P109" s="90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4"/>
      <c r="V109" s="34"/>
      <c r="W109" s="35" t="s">
        <v>67</v>
      </c>
      <c r="X109" s="651">
        <v>0</v>
      </c>
      <c r="Y109" s="65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212</v>
      </c>
      <c r="B110" s="54" t="s">
        <v>214</v>
      </c>
      <c r="C110" s="31">
        <v>4301012254</v>
      </c>
      <c r="D110" s="665">
        <v>4680115880429</v>
      </c>
      <c r="E110" s="666"/>
      <c r="F110" s="650">
        <v>0.45</v>
      </c>
      <c r="G110" s="32">
        <v>10</v>
      </c>
      <c r="H110" s="650">
        <v>4.5</v>
      </c>
      <c r="I110" s="650">
        <v>4.6900000000000004</v>
      </c>
      <c r="J110" s="32">
        <v>132</v>
      </c>
      <c r="K110" s="32" t="s">
        <v>123</v>
      </c>
      <c r="L110" s="32"/>
      <c r="M110" s="33" t="s">
        <v>115</v>
      </c>
      <c r="N110" s="33"/>
      <c r="O110" s="32">
        <v>50</v>
      </c>
      <c r="P110" s="965" t="s">
        <v>215</v>
      </c>
      <c r="Q110" s="668"/>
      <c r="R110" s="668"/>
      <c r="S110" s="668"/>
      <c r="T110" s="669"/>
      <c r="U110" s="34"/>
      <c r="V110" s="34"/>
      <c r="W110" s="35" t="s">
        <v>67</v>
      </c>
      <c r="X110" s="651">
        <v>0</v>
      </c>
      <c r="Y110" s="65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216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37.5" hidden="1" customHeight="1" x14ac:dyDescent="0.25">
      <c r="A111" s="54" t="s">
        <v>217</v>
      </c>
      <c r="B111" s="54" t="s">
        <v>218</v>
      </c>
      <c r="C111" s="31">
        <v>4301011462</v>
      </c>
      <c r="D111" s="665">
        <v>4680115881457</v>
      </c>
      <c r="E111" s="666"/>
      <c r="F111" s="650">
        <v>0.75</v>
      </c>
      <c r="G111" s="32">
        <v>6</v>
      </c>
      <c r="H111" s="650">
        <v>4.5</v>
      </c>
      <c r="I111" s="650">
        <v>4.6900000000000004</v>
      </c>
      <c r="J111" s="32">
        <v>132</v>
      </c>
      <c r="K111" s="32" t="s">
        <v>123</v>
      </c>
      <c r="L111" s="32"/>
      <c r="M111" s="33" t="s">
        <v>78</v>
      </c>
      <c r="N111" s="33"/>
      <c r="O111" s="32">
        <v>50</v>
      </c>
      <c r="P111" s="9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4"/>
      <c r="V111" s="34"/>
      <c r="W111" s="35" t="s">
        <v>67</v>
      </c>
      <c r="X111" s="651">
        <v>0</v>
      </c>
      <c r="Y111" s="65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idden="1" x14ac:dyDescent="0.2">
      <c r="A112" s="692"/>
      <c r="B112" s="658"/>
      <c r="C112" s="658"/>
      <c r="D112" s="658"/>
      <c r="E112" s="658"/>
      <c r="F112" s="658"/>
      <c r="G112" s="658"/>
      <c r="H112" s="658"/>
      <c r="I112" s="658"/>
      <c r="J112" s="658"/>
      <c r="K112" s="658"/>
      <c r="L112" s="658"/>
      <c r="M112" s="658"/>
      <c r="N112" s="658"/>
      <c r="O112" s="693"/>
      <c r="P112" s="659" t="s">
        <v>72</v>
      </c>
      <c r="Q112" s="660"/>
      <c r="R112" s="660"/>
      <c r="S112" s="660"/>
      <c r="T112" s="660"/>
      <c r="U112" s="660"/>
      <c r="V112" s="661"/>
      <c r="W112" s="37" t="s">
        <v>73</v>
      </c>
      <c r="X112" s="653">
        <f>IFERROR(X104/H104,"0")+IFERROR(X105/H105,"0")+IFERROR(X106/H106,"0")+IFERROR(X107/H107,"0")+IFERROR(X108/H108,"0")+IFERROR(X109/H109,"0")+IFERROR(X110/H110,"0")+IFERROR(X111/H111,"0")</f>
        <v>0</v>
      </c>
      <c r="Y112" s="653">
        <f>IFERROR(Y104/H104,"0")+IFERROR(Y105/H105,"0")+IFERROR(Y106/H106,"0")+IFERROR(Y107/H107,"0")+IFERROR(Y108/H108,"0")+IFERROR(Y109/H109,"0")+IFERROR(Y110/H110,"0")+IFERROR(Y111/H111,"0")</f>
        <v>0</v>
      </c>
      <c r="Z112" s="65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54"/>
      <c r="AB112" s="654"/>
      <c r="AC112" s="654"/>
    </row>
    <row r="113" spans="1:68" hidden="1" x14ac:dyDescent="0.2">
      <c r="A113" s="658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93"/>
      <c r="P113" s="659" t="s">
        <v>72</v>
      </c>
      <c r="Q113" s="660"/>
      <c r="R113" s="660"/>
      <c r="S113" s="660"/>
      <c r="T113" s="660"/>
      <c r="U113" s="660"/>
      <c r="V113" s="661"/>
      <c r="W113" s="37" t="s">
        <v>67</v>
      </c>
      <c r="X113" s="653">
        <f>IFERROR(SUM(X104:X111),"0")</f>
        <v>0</v>
      </c>
      <c r="Y113" s="653">
        <f>IFERROR(SUM(Y104:Y111),"0")</f>
        <v>0</v>
      </c>
      <c r="Z113" s="37"/>
      <c r="AA113" s="654"/>
      <c r="AB113" s="654"/>
      <c r="AC113" s="654"/>
    </row>
    <row r="114" spans="1:68" ht="14.25" hidden="1" customHeight="1" x14ac:dyDescent="0.25">
      <c r="A114" s="657" t="s">
        <v>144</v>
      </c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8"/>
      <c r="P114" s="658"/>
      <c r="Q114" s="658"/>
      <c r="R114" s="658"/>
      <c r="S114" s="658"/>
      <c r="T114" s="658"/>
      <c r="U114" s="658"/>
      <c r="V114" s="658"/>
      <c r="W114" s="658"/>
      <c r="X114" s="658"/>
      <c r="Y114" s="658"/>
      <c r="Z114" s="658"/>
      <c r="AA114" s="647"/>
      <c r="AB114" s="647"/>
      <c r="AC114" s="647"/>
    </row>
    <row r="115" spans="1:68" ht="27" hidden="1" customHeight="1" x14ac:dyDescent="0.25">
      <c r="A115" s="54" t="s">
        <v>219</v>
      </c>
      <c r="B115" s="54" t="s">
        <v>220</v>
      </c>
      <c r="C115" s="31">
        <v>4301020391</v>
      </c>
      <c r="D115" s="665">
        <v>4680115881488</v>
      </c>
      <c r="E115" s="666"/>
      <c r="F115" s="650">
        <v>1.35</v>
      </c>
      <c r="G115" s="32">
        <v>8</v>
      </c>
      <c r="H115" s="650">
        <v>10.8</v>
      </c>
      <c r="I115" s="650">
        <v>11.21</v>
      </c>
      <c r="J115" s="32">
        <v>64</v>
      </c>
      <c r="K115" s="32" t="s">
        <v>114</v>
      </c>
      <c r="L115" s="32"/>
      <c r="M115" s="33" t="s">
        <v>115</v>
      </c>
      <c r="N115" s="33"/>
      <c r="O115" s="32">
        <v>55</v>
      </c>
      <c r="P115" s="8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4"/>
      <c r="V115" s="34"/>
      <c r="W115" s="35" t="s">
        <v>67</v>
      </c>
      <c r="X115" s="651">
        <v>0</v>
      </c>
      <c r="Y115" s="652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75" t="s">
        <v>221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4301020186</v>
      </c>
      <c r="D116" s="665">
        <v>4680115887664</v>
      </c>
      <c r="E116" s="666"/>
      <c r="F116" s="650">
        <v>0.1</v>
      </c>
      <c r="G116" s="32">
        <v>10</v>
      </c>
      <c r="H116" s="650">
        <v>1</v>
      </c>
      <c r="I116" s="650">
        <v>1.21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6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4"/>
      <c r="V116" s="34"/>
      <c r="W116" s="35" t="s">
        <v>67</v>
      </c>
      <c r="X116" s="651">
        <v>0</v>
      </c>
      <c r="Y116" s="652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225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226</v>
      </c>
      <c r="C117" s="31">
        <v>4301020430</v>
      </c>
      <c r="D117" s="665">
        <v>4680115887664</v>
      </c>
      <c r="E117" s="666"/>
      <c r="F117" s="650">
        <v>0.1</v>
      </c>
      <c r="G117" s="32">
        <v>8</v>
      </c>
      <c r="H117" s="650">
        <v>0.8</v>
      </c>
      <c r="I117" s="650">
        <v>0.98799999999999999</v>
      </c>
      <c r="J117" s="32">
        <v>392</v>
      </c>
      <c r="K117" s="32" t="s">
        <v>224</v>
      </c>
      <c r="L117" s="32"/>
      <c r="M117" s="33" t="s">
        <v>66</v>
      </c>
      <c r="N117" s="33"/>
      <c r="O117" s="32">
        <v>30</v>
      </c>
      <c r="P117" s="8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4"/>
      <c r="V117" s="34"/>
      <c r="W117" s="35" t="s">
        <v>67</v>
      </c>
      <c r="X117" s="651">
        <v>0</v>
      </c>
      <c r="Y117" s="652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9" t="s">
        <v>225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227</v>
      </c>
      <c r="B118" s="54" t="s">
        <v>228</v>
      </c>
      <c r="C118" s="31">
        <v>4301020393</v>
      </c>
      <c r="D118" s="665">
        <v>4680115882775</v>
      </c>
      <c r="E118" s="666"/>
      <c r="F118" s="650">
        <v>0.3</v>
      </c>
      <c r="G118" s="32">
        <v>8</v>
      </c>
      <c r="H118" s="650">
        <v>2.4</v>
      </c>
      <c r="I118" s="650">
        <v>2.5</v>
      </c>
      <c r="J118" s="32">
        <v>234</v>
      </c>
      <c r="K118" s="32" t="s">
        <v>65</v>
      </c>
      <c r="L118" s="32"/>
      <c r="M118" s="33" t="s">
        <v>115</v>
      </c>
      <c r="N118" s="33"/>
      <c r="O118" s="32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4"/>
      <c r="V118" s="34"/>
      <c r="W118" s="35" t="s">
        <v>67</v>
      </c>
      <c r="X118" s="651">
        <v>0</v>
      </c>
      <c r="Y118" s="652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229</v>
      </c>
      <c r="B119" s="54" t="s">
        <v>230</v>
      </c>
      <c r="C119" s="31">
        <v>4301020392</v>
      </c>
      <c r="D119" s="665">
        <v>4680115880658</v>
      </c>
      <c r="E119" s="666"/>
      <c r="F119" s="650">
        <v>0.4</v>
      </c>
      <c r="G119" s="32">
        <v>6</v>
      </c>
      <c r="H119" s="650">
        <v>2.4</v>
      </c>
      <c r="I119" s="650">
        <v>2.58</v>
      </c>
      <c r="J119" s="32">
        <v>182</v>
      </c>
      <c r="K119" s="32" t="s">
        <v>77</v>
      </c>
      <c r="L119" s="32"/>
      <c r="M119" s="33" t="s">
        <v>115</v>
      </c>
      <c r="N119" s="33"/>
      <c r="O119" s="32">
        <v>55</v>
      </c>
      <c r="P119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4"/>
      <c r="V119" s="34"/>
      <c r="W119" s="35" t="s">
        <v>67</v>
      </c>
      <c r="X119" s="651">
        <v>5</v>
      </c>
      <c r="Y119" s="652">
        <f>IFERROR(IF(X119="",0,CEILING((X119/$H119),1)*$H119),"")</f>
        <v>7.1999999999999993</v>
      </c>
      <c r="Z119" s="36">
        <f>IFERROR(IF(Y119=0,"",ROUNDUP(Y119/H119,0)*0.00651),"")</f>
        <v>1.9529999999999999E-2</v>
      </c>
      <c r="AA119" s="56"/>
      <c r="AB119" s="57"/>
      <c r="AC119" s="183" t="s">
        <v>221</v>
      </c>
      <c r="AG119" s="64"/>
      <c r="AJ119" s="68"/>
      <c r="AK119" s="68">
        <v>0</v>
      </c>
      <c r="BB119" s="184" t="s">
        <v>1</v>
      </c>
      <c r="BM119" s="64">
        <f>IFERROR(X119*I119/H119,"0")</f>
        <v>5.375</v>
      </c>
      <c r="BN119" s="64">
        <f>IFERROR(Y119*I119/H119,"0")</f>
        <v>7.7399999999999993</v>
      </c>
      <c r="BO119" s="64">
        <f>IFERROR(1/J119*(X119/H119),"0")</f>
        <v>1.1446886446886448E-2</v>
      </c>
      <c r="BP119" s="64">
        <f>IFERROR(1/J119*(Y119/H119),"0")</f>
        <v>1.6483516483516484E-2</v>
      </c>
    </row>
    <row r="120" spans="1:68" x14ac:dyDescent="0.2">
      <c r="A120" s="692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93"/>
      <c r="P120" s="659" t="s">
        <v>72</v>
      </c>
      <c r="Q120" s="660"/>
      <c r="R120" s="660"/>
      <c r="S120" s="660"/>
      <c r="T120" s="660"/>
      <c r="U120" s="660"/>
      <c r="V120" s="661"/>
      <c r="W120" s="37" t="s">
        <v>73</v>
      </c>
      <c r="X120" s="653">
        <f>IFERROR(X115/H115,"0")+IFERROR(X116/H116,"0")+IFERROR(X117/H117,"0")+IFERROR(X118/H118,"0")+IFERROR(X119/H119,"0")</f>
        <v>2.0833333333333335</v>
      </c>
      <c r="Y120" s="653">
        <f>IFERROR(Y115/H115,"0")+IFERROR(Y116/H116,"0")+IFERROR(Y117/H117,"0")+IFERROR(Y118/H118,"0")+IFERROR(Y119/H119,"0")</f>
        <v>3</v>
      </c>
      <c r="Z120" s="653">
        <f>IFERROR(IF(Z115="",0,Z115),"0")+IFERROR(IF(Z116="",0,Z116),"0")+IFERROR(IF(Z117="",0,Z117),"0")+IFERROR(IF(Z118="",0,Z118),"0")+IFERROR(IF(Z119="",0,Z119),"0")</f>
        <v>1.9529999999999999E-2</v>
      </c>
      <c r="AA120" s="654"/>
      <c r="AB120" s="654"/>
      <c r="AC120" s="654"/>
    </row>
    <row r="121" spans="1:68" x14ac:dyDescent="0.2">
      <c r="A121" s="658"/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93"/>
      <c r="P121" s="659" t="s">
        <v>72</v>
      </c>
      <c r="Q121" s="660"/>
      <c r="R121" s="660"/>
      <c r="S121" s="660"/>
      <c r="T121" s="660"/>
      <c r="U121" s="660"/>
      <c r="V121" s="661"/>
      <c r="W121" s="37" t="s">
        <v>67</v>
      </c>
      <c r="X121" s="653">
        <f>IFERROR(SUM(X115:X119),"0")</f>
        <v>5</v>
      </c>
      <c r="Y121" s="653">
        <f>IFERROR(SUM(Y115:Y119),"0")</f>
        <v>7.1999999999999993</v>
      </c>
      <c r="Z121" s="37"/>
      <c r="AA121" s="654"/>
      <c r="AB121" s="654"/>
      <c r="AC121" s="654"/>
    </row>
    <row r="122" spans="1:68" ht="14.25" hidden="1" customHeight="1" x14ac:dyDescent="0.25">
      <c r="A122" s="657" t="s">
        <v>74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47"/>
      <c r="AB122" s="647"/>
      <c r="AC122" s="647"/>
    </row>
    <row r="123" spans="1:68" ht="27" customHeight="1" x14ac:dyDescent="0.25">
      <c r="A123" s="54" t="s">
        <v>231</v>
      </c>
      <c r="B123" s="54" t="s">
        <v>232</v>
      </c>
      <c r="C123" s="31">
        <v>4301051724</v>
      </c>
      <c r="D123" s="665">
        <v>4607091385168</v>
      </c>
      <c r="E123" s="666"/>
      <c r="F123" s="650">
        <v>1.35</v>
      </c>
      <c r="G123" s="32">
        <v>6</v>
      </c>
      <c r="H123" s="650">
        <v>8.1</v>
      </c>
      <c r="I123" s="650">
        <v>8.5879999999999992</v>
      </c>
      <c r="J123" s="32">
        <v>64</v>
      </c>
      <c r="K123" s="32" t="s">
        <v>114</v>
      </c>
      <c r="L123" s="32"/>
      <c r="M123" s="33" t="s">
        <v>84</v>
      </c>
      <c r="N123" s="33"/>
      <c r="O123" s="32">
        <v>45</v>
      </c>
      <c r="P123" s="9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4"/>
      <c r="V123" s="34"/>
      <c r="W123" s="35" t="s">
        <v>67</v>
      </c>
      <c r="X123" s="651">
        <v>476</v>
      </c>
      <c r="Y123" s="652">
        <f t="shared" ref="Y123:Y130" si="15">IFERROR(IF(X123="",0,CEILING((X123/$H123),1)*$H123),"")</f>
        <v>477.9</v>
      </c>
      <c r="Z123" s="36">
        <f>IFERROR(IF(Y123=0,"",ROUNDUP(Y123/H123,0)*0.01898),"")</f>
        <v>1.11982</v>
      </c>
      <c r="AA123" s="56"/>
      <c r="AB123" s="57"/>
      <c r="AC123" s="185" t="s">
        <v>233</v>
      </c>
      <c r="AG123" s="64"/>
      <c r="AJ123" s="68"/>
      <c r="AK123" s="68">
        <v>0</v>
      </c>
      <c r="BB123" s="186" t="s">
        <v>1</v>
      </c>
      <c r="BM123" s="64">
        <f t="shared" ref="BM123:BM130" si="16">IFERROR(X123*I123/H123,"0")</f>
        <v>504.67753086419748</v>
      </c>
      <c r="BN123" s="64">
        <f t="shared" ref="BN123:BN130" si="17">IFERROR(Y123*I123/H123,"0")</f>
        <v>506.69199999999995</v>
      </c>
      <c r="BO123" s="64">
        <f t="shared" ref="BO123:BO130" si="18">IFERROR(1/J123*(X123/H123),"0")</f>
        <v>0.91820987654320996</v>
      </c>
      <c r="BP123" s="64">
        <f t="shared" ref="BP123:BP130" si="19">IFERROR(1/J123*(Y123/H123),"0")</f>
        <v>0.921875</v>
      </c>
    </row>
    <row r="124" spans="1:68" ht="27" hidden="1" customHeight="1" x14ac:dyDescent="0.25">
      <c r="A124" s="54" t="s">
        <v>231</v>
      </c>
      <c r="B124" s="54" t="s">
        <v>234</v>
      </c>
      <c r="C124" s="31">
        <v>4301052088</v>
      </c>
      <c r="D124" s="665">
        <v>4607091385168</v>
      </c>
      <c r="E124" s="666"/>
      <c r="F124" s="650">
        <v>1.35</v>
      </c>
      <c r="G124" s="32">
        <v>6</v>
      </c>
      <c r="H124" s="650">
        <v>8.1</v>
      </c>
      <c r="I124" s="650">
        <v>8.5879999999999992</v>
      </c>
      <c r="J124" s="32">
        <v>64</v>
      </c>
      <c r="K124" s="32" t="s">
        <v>114</v>
      </c>
      <c r="L124" s="32"/>
      <c r="M124" s="33" t="s">
        <v>78</v>
      </c>
      <c r="N124" s="33"/>
      <c r="O124" s="32">
        <v>45</v>
      </c>
      <c r="P124" s="1014" t="s">
        <v>235</v>
      </c>
      <c r="Q124" s="668"/>
      <c r="R124" s="668"/>
      <c r="S124" s="668"/>
      <c r="T124" s="669"/>
      <c r="U124" s="34"/>
      <c r="V124" s="34"/>
      <c r="W124" s="35" t="s">
        <v>67</v>
      </c>
      <c r="X124" s="651">
        <v>0</v>
      </c>
      <c r="Y124" s="652">
        <f t="shared" si="15"/>
        <v>0</v>
      </c>
      <c r="Z124" s="36" t="str">
        <f>IFERROR(IF(Y124=0,"",ROUNDUP(Y124/H124,0)*0.01898),"")</f>
        <v/>
      </c>
      <c r="AA124" s="56"/>
      <c r="AB124" s="57"/>
      <c r="AC124" s="187" t="s">
        <v>233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236</v>
      </c>
      <c r="B125" s="54" t="s">
        <v>237</v>
      </c>
      <c r="C125" s="31">
        <v>4301051730</v>
      </c>
      <c r="D125" s="665">
        <v>4607091383256</v>
      </c>
      <c r="E125" s="666"/>
      <c r="F125" s="650">
        <v>0.33</v>
      </c>
      <c r="G125" s="32">
        <v>6</v>
      </c>
      <c r="H125" s="650">
        <v>1.98</v>
      </c>
      <c r="I125" s="650">
        <v>2.226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4"/>
      <c r="V125" s="34"/>
      <c r="W125" s="35" t="s">
        <v>67</v>
      </c>
      <c r="X125" s="651">
        <v>0</v>
      </c>
      <c r="Y125" s="652">
        <f t="shared" si="15"/>
        <v>0</v>
      </c>
      <c r="Z125" s="36" t="str">
        <f t="shared" ref="Z125:Z130" si="20">IFERROR(IF(Y125=0,"",ROUNDUP(Y125/H125,0)*0.00651),"")</f>
        <v/>
      </c>
      <c r="AA125" s="56"/>
      <c r="AB125" s="57"/>
      <c r="AC125" s="189" t="s">
        <v>233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236</v>
      </c>
      <c r="B126" s="54" t="s">
        <v>238</v>
      </c>
      <c r="C126" s="31">
        <v>4301052087</v>
      </c>
      <c r="D126" s="665">
        <v>4607091383256</v>
      </c>
      <c r="E126" s="666"/>
      <c r="F126" s="650">
        <v>0.33</v>
      </c>
      <c r="G126" s="32">
        <v>6</v>
      </c>
      <c r="H126" s="650">
        <v>1.98</v>
      </c>
      <c r="I126" s="650">
        <v>2.226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18" t="s">
        <v>239</v>
      </c>
      <c r="Q126" s="668"/>
      <c r="R126" s="668"/>
      <c r="S126" s="668"/>
      <c r="T126" s="669"/>
      <c r="U126" s="34"/>
      <c r="V126" s="34"/>
      <c r="W126" s="35" t="s">
        <v>67</v>
      </c>
      <c r="X126" s="651">
        <v>0</v>
      </c>
      <c r="Y126" s="652">
        <f t="shared" si="15"/>
        <v>0</v>
      </c>
      <c r="Z126" s="36" t="str">
        <f t="shared" si="20"/>
        <v/>
      </c>
      <c r="AA126" s="56"/>
      <c r="AB126" s="57"/>
      <c r="AC126" s="191" t="s">
        <v>233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27" hidden="1" customHeight="1" x14ac:dyDescent="0.25">
      <c r="A127" s="54" t="s">
        <v>240</v>
      </c>
      <c r="B127" s="54" t="s">
        <v>241</v>
      </c>
      <c r="C127" s="31">
        <v>4301051721</v>
      </c>
      <c r="D127" s="665">
        <v>4607091385748</v>
      </c>
      <c r="E127" s="666"/>
      <c r="F127" s="650">
        <v>0.45</v>
      </c>
      <c r="G127" s="32">
        <v>6</v>
      </c>
      <c r="H127" s="650">
        <v>2.7</v>
      </c>
      <c r="I127" s="650">
        <v>2.952</v>
      </c>
      <c r="J127" s="32">
        <v>182</v>
      </c>
      <c r="K127" s="32" t="s">
        <v>77</v>
      </c>
      <c r="L127" s="32"/>
      <c r="M127" s="33" t="s">
        <v>84</v>
      </c>
      <c r="N127" s="33"/>
      <c r="O127" s="32">
        <v>45</v>
      </c>
      <c r="P127" s="9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4"/>
      <c r="V127" s="34"/>
      <c r="W127" s="35" t="s">
        <v>67</v>
      </c>
      <c r="X127" s="651">
        <v>0</v>
      </c>
      <c r="Y127" s="652">
        <f t="shared" si="15"/>
        <v>0</v>
      </c>
      <c r="Z127" s="36" t="str">
        <f t="shared" si="20"/>
        <v/>
      </c>
      <c r="AA127" s="56"/>
      <c r="AB127" s="57"/>
      <c r="AC127" s="193" t="s">
        <v>233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27" hidden="1" customHeight="1" x14ac:dyDescent="0.25">
      <c r="A128" s="54" t="s">
        <v>240</v>
      </c>
      <c r="B128" s="54" t="s">
        <v>242</v>
      </c>
      <c r="C128" s="31">
        <v>4301052086</v>
      </c>
      <c r="D128" s="665">
        <v>4607091385748</v>
      </c>
      <c r="E128" s="666"/>
      <c r="F128" s="650">
        <v>0.45</v>
      </c>
      <c r="G128" s="32">
        <v>6</v>
      </c>
      <c r="H128" s="650">
        <v>2.7</v>
      </c>
      <c r="I128" s="650">
        <v>2.952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4" t="s">
        <v>243</v>
      </c>
      <c r="Q128" s="668"/>
      <c r="R128" s="668"/>
      <c r="S128" s="668"/>
      <c r="T128" s="669"/>
      <c r="U128" s="34"/>
      <c r="V128" s="34"/>
      <c r="W128" s="35" t="s">
        <v>67</v>
      </c>
      <c r="X128" s="651">
        <v>0</v>
      </c>
      <c r="Y128" s="652">
        <f t="shared" si="15"/>
        <v>0</v>
      </c>
      <c r="Z128" s="36" t="str">
        <f t="shared" si="20"/>
        <v/>
      </c>
      <c r="AA128" s="56"/>
      <c r="AB128" s="57"/>
      <c r="AC128" s="195" t="s">
        <v>233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ht="16.5" hidden="1" customHeight="1" x14ac:dyDescent="0.25">
      <c r="A129" s="54" t="s">
        <v>244</v>
      </c>
      <c r="B129" s="54" t="s">
        <v>245</v>
      </c>
      <c r="C129" s="31">
        <v>4301051740</v>
      </c>
      <c r="D129" s="665">
        <v>4680115884533</v>
      </c>
      <c r="E129" s="666"/>
      <c r="F129" s="650">
        <v>0.3</v>
      </c>
      <c r="G129" s="32">
        <v>6</v>
      </c>
      <c r="H129" s="650">
        <v>1.8</v>
      </c>
      <c r="I129" s="650">
        <v>1.98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45</v>
      </c>
      <c r="P129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4"/>
      <c r="V129" s="34"/>
      <c r="W129" s="35" t="s">
        <v>67</v>
      </c>
      <c r="X129" s="651">
        <v>0</v>
      </c>
      <c r="Y129" s="652">
        <f t="shared" si="15"/>
        <v>0</v>
      </c>
      <c r="Z129" s="36" t="str">
        <f t="shared" si="20"/>
        <v/>
      </c>
      <c r="AA129" s="56"/>
      <c r="AB129" s="57"/>
      <c r="AC129" s="197" t="s">
        <v>246</v>
      </c>
      <c r="AG129" s="64"/>
      <c r="AJ129" s="68"/>
      <c r="AK129" s="68">
        <v>0</v>
      </c>
      <c r="BB129" s="198" t="s">
        <v>1</v>
      </c>
      <c r="BM129" s="64">
        <f t="shared" si="16"/>
        <v>0</v>
      </c>
      <c r="BN129" s="64">
        <f t="shared" si="17"/>
        <v>0</v>
      </c>
      <c r="BO129" s="64">
        <f t="shared" si="18"/>
        <v>0</v>
      </c>
      <c r="BP129" s="64">
        <f t="shared" si="19"/>
        <v>0</v>
      </c>
    </row>
    <row r="130" spans="1:68" ht="16.5" hidden="1" customHeight="1" x14ac:dyDescent="0.25">
      <c r="A130" s="54" t="s">
        <v>244</v>
      </c>
      <c r="B130" s="54" t="s">
        <v>247</v>
      </c>
      <c r="C130" s="31">
        <v>4301052085</v>
      </c>
      <c r="D130" s="665">
        <v>4680115884533</v>
      </c>
      <c r="E130" s="666"/>
      <c r="F130" s="650">
        <v>0.3</v>
      </c>
      <c r="G130" s="32">
        <v>6</v>
      </c>
      <c r="H130" s="650">
        <v>1.8</v>
      </c>
      <c r="I130" s="650">
        <v>1.98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45</v>
      </c>
      <c r="P130" s="926" t="s">
        <v>248</v>
      </c>
      <c r="Q130" s="668"/>
      <c r="R130" s="668"/>
      <c r="S130" s="668"/>
      <c r="T130" s="669"/>
      <c r="U130" s="34"/>
      <c r="V130" s="34"/>
      <c r="W130" s="35" t="s">
        <v>67</v>
      </c>
      <c r="X130" s="651">
        <v>0</v>
      </c>
      <c r="Y130" s="652">
        <f t="shared" si="15"/>
        <v>0</v>
      </c>
      <c r="Z130" s="36" t="str">
        <f t="shared" si="20"/>
        <v/>
      </c>
      <c r="AA130" s="56"/>
      <c r="AB130" s="57"/>
      <c r="AC130" s="199" t="s">
        <v>246</v>
      </c>
      <c r="AG130" s="64"/>
      <c r="AJ130" s="68"/>
      <c r="AK130" s="68">
        <v>0</v>
      </c>
      <c r="BB130" s="200" t="s">
        <v>1</v>
      </c>
      <c r="BM130" s="64">
        <f t="shared" si="16"/>
        <v>0</v>
      </c>
      <c r="BN130" s="64">
        <f t="shared" si="17"/>
        <v>0</v>
      </c>
      <c r="BO130" s="64">
        <f t="shared" si="18"/>
        <v>0</v>
      </c>
      <c r="BP130" s="64">
        <f t="shared" si="19"/>
        <v>0</v>
      </c>
    </row>
    <row r="131" spans="1:68" x14ac:dyDescent="0.2">
      <c r="A131" s="692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93"/>
      <c r="P131" s="659" t="s">
        <v>72</v>
      </c>
      <c r="Q131" s="660"/>
      <c r="R131" s="660"/>
      <c r="S131" s="660"/>
      <c r="T131" s="660"/>
      <c r="U131" s="660"/>
      <c r="V131" s="661"/>
      <c r="W131" s="37" t="s">
        <v>73</v>
      </c>
      <c r="X131" s="653">
        <f>IFERROR(X123/H123,"0")+IFERROR(X124/H124,"0")+IFERROR(X125/H125,"0")+IFERROR(X126/H126,"0")+IFERROR(X127/H127,"0")+IFERROR(X128/H128,"0")+IFERROR(X129/H129,"0")+IFERROR(X130/H130,"0")</f>
        <v>58.765432098765437</v>
      </c>
      <c r="Y131" s="653">
        <f>IFERROR(Y123/H123,"0")+IFERROR(Y124/H124,"0")+IFERROR(Y125/H125,"0")+IFERROR(Y126/H126,"0")+IFERROR(Y127/H127,"0")+IFERROR(Y128/H128,"0")+IFERROR(Y129/H129,"0")+IFERROR(Y130/H130,"0")</f>
        <v>59</v>
      </c>
      <c r="Z131" s="65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1.11982</v>
      </c>
      <c r="AA131" s="654"/>
      <c r="AB131" s="654"/>
      <c r="AC131" s="654"/>
    </row>
    <row r="132" spans="1:68" x14ac:dyDescent="0.2">
      <c r="A132" s="658"/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93"/>
      <c r="P132" s="659" t="s">
        <v>72</v>
      </c>
      <c r="Q132" s="660"/>
      <c r="R132" s="660"/>
      <c r="S132" s="660"/>
      <c r="T132" s="660"/>
      <c r="U132" s="660"/>
      <c r="V132" s="661"/>
      <c r="W132" s="37" t="s">
        <v>67</v>
      </c>
      <c r="X132" s="653">
        <f>IFERROR(SUM(X123:X130),"0")</f>
        <v>476</v>
      </c>
      <c r="Y132" s="653">
        <f>IFERROR(SUM(Y123:Y130),"0")</f>
        <v>477.9</v>
      </c>
      <c r="Z132" s="37"/>
      <c r="AA132" s="654"/>
      <c r="AB132" s="654"/>
      <c r="AC132" s="654"/>
    </row>
    <row r="133" spans="1:68" ht="14.25" hidden="1" customHeight="1" x14ac:dyDescent="0.25">
      <c r="A133" s="657" t="s">
        <v>162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47"/>
      <c r="AB133" s="647"/>
      <c r="AC133" s="647"/>
    </row>
    <row r="134" spans="1:68" ht="16.5" hidden="1" customHeight="1" x14ac:dyDescent="0.25">
      <c r="A134" s="54" t="s">
        <v>249</v>
      </c>
      <c r="B134" s="54" t="s">
        <v>250</v>
      </c>
      <c r="C134" s="31">
        <v>4301060317</v>
      </c>
      <c r="D134" s="665">
        <v>4680115880238</v>
      </c>
      <c r="E134" s="666"/>
      <c r="F134" s="650">
        <v>0.33</v>
      </c>
      <c r="G134" s="32">
        <v>6</v>
      </c>
      <c r="H134" s="650">
        <v>1.98</v>
      </c>
      <c r="I134" s="650">
        <v>2.238</v>
      </c>
      <c r="J134" s="32">
        <v>182</v>
      </c>
      <c r="K134" s="32" t="s">
        <v>77</v>
      </c>
      <c r="L134" s="32"/>
      <c r="M134" s="33" t="s">
        <v>78</v>
      </c>
      <c r="N134" s="33"/>
      <c r="O134" s="32">
        <v>40</v>
      </c>
      <c r="P134" s="9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4"/>
      <c r="V134" s="34"/>
      <c r="W134" s="35" t="s">
        <v>67</v>
      </c>
      <c r="X134" s="651">
        <v>0</v>
      </c>
      <c r="Y134" s="65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201" t="s">
        <v>251</v>
      </c>
      <c r="AG134" s="64"/>
      <c r="AJ134" s="68"/>
      <c r="AK134" s="68">
        <v>0</v>
      </c>
      <c r="BB134" s="20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249</v>
      </c>
      <c r="B135" s="54" t="s">
        <v>252</v>
      </c>
      <c r="C135" s="31">
        <v>4301060525</v>
      </c>
      <c r="D135" s="665">
        <v>4680115880238</v>
      </c>
      <c r="E135" s="666"/>
      <c r="F135" s="650">
        <v>0.33</v>
      </c>
      <c r="G135" s="32">
        <v>6</v>
      </c>
      <c r="H135" s="650">
        <v>1.98</v>
      </c>
      <c r="I135" s="650">
        <v>2.238</v>
      </c>
      <c r="J135" s="32">
        <v>182</v>
      </c>
      <c r="K135" s="32" t="s">
        <v>77</v>
      </c>
      <c r="L135" s="32"/>
      <c r="M135" s="33" t="s">
        <v>78</v>
      </c>
      <c r="N135" s="33"/>
      <c r="O135" s="32">
        <v>40</v>
      </c>
      <c r="P135" s="971" t="s">
        <v>253</v>
      </c>
      <c r="Q135" s="668"/>
      <c r="R135" s="668"/>
      <c r="S135" s="668"/>
      <c r="T135" s="669"/>
      <c r="U135" s="34"/>
      <c r="V135" s="34"/>
      <c r="W135" s="35" t="s">
        <v>67</v>
      </c>
      <c r="X135" s="651">
        <v>0</v>
      </c>
      <c r="Y135" s="65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203" t="s">
        <v>251</v>
      </c>
      <c r="AG135" s="64"/>
      <c r="AJ135" s="68"/>
      <c r="AK135" s="68">
        <v>0</v>
      </c>
      <c r="BB135" s="20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92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93"/>
      <c r="P136" s="659" t="s">
        <v>72</v>
      </c>
      <c r="Q136" s="660"/>
      <c r="R136" s="660"/>
      <c r="S136" s="660"/>
      <c r="T136" s="660"/>
      <c r="U136" s="660"/>
      <c r="V136" s="661"/>
      <c r="W136" s="37" t="s">
        <v>73</v>
      </c>
      <c r="X136" s="653">
        <f>IFERROR(X134/H134,"0")+IFERROR(X135/H135,"0")</f>
        <v>0</v>
      </c>
      <c r="Y136" s="653">
        <f>IFERROR(Y134/H134,"0")+IFERROR(Y135/H135,"0")</f>
        <v>0</v>
      </c>
      <c r="Z136" s="653">
        <f>IFERROR(IF(Z134="",0,Z134),"0")+IFERROR(IF(Z135="",0,Z135),"0")</f>
        <v>0</v>
      </c>
      <c r="AA136" s="654"/>
      <c r="AB136" s="654"/>
      <c r="AC136" s="654"/>
    </row>
    <row r="137" spans="1:68" hidden="1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93"/>
      <c r="P137" s="659" t="s">
        <v>72</v>
      </c>
      <c r="Q137" s="660"/>
      <c r="R137" s="660"/>
      <c r="S137" s="660"/>
      <c r="T137" s="660"/>
      <c r="U137" s="660"/>
      <c r="V137" s="661"/>
      <c r="W137" s="37" t="s">
        <v>67</v>
      </c>
      <c r="X137" s="653">
        <f>IFERROR(SUM(X134:X135),"0")</f>
        <v>0</v>
      </c>
      <c r="Y137" s="653">
        <f>IFERROR(SUM(Y134:Y135),"0")</f>
        <v>0</v>
      </c>
      <c r="Z137" s="37"/>
      <c r="AA137" s="654"/>
      <c r="AB137" s="654"/>
      <c r="AC137" s="654"/>
    </row>
    <row r="138" spans="1:68" ht="16.5" hidden="1" customHeight="1" x14ac:dyDescent="0.25">
      <c r="A138" s="662" t="s">
        <v>254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46"/>
      <c r="AB138" s="646"/>
      <c r="AC138" s="646"/>
    </row>
    <row r="139" spans="1:68" ht="14.25" hidden="1" customHeight="1" x14ac:dyDescent="0.25">
      <c r="A139" s="657" t="s">
        <v>111</v>
      </c>
      <c r="B139" s="658"/>
      <c r="C139" s="658"/>
      <c r="D139" s="658"/>
      <c r="E139" s="658"/>
      <c r="F139" s="658"/>
      <c r="G139" s="658"/>
      <c r="H139" s="658"/>
      <c r="I139" s="658"/>
      <c r="J139" s="658"/>
      <c r="K139" s="658"/>
      <c r="L139" s="658"/>
      <c r="M139" s="658"/>
      <c r="N139" s="658"/>
      <c r="O139" s="658"/>
      <c r="P139" s="658"/>
      <c r="Q139" s="658"/>
      <c r="R139" s="658"/>
      <c r="S139" s="658"/>
      <c r="T139" s="658"/>
      <c r="U139" s="658"/>
      <c r="V139" s="658"/>
      <c r="W139" s="658"/>
      <c r="X139" s="658"/>
      <c r="Y139" s="658"/>
      <c r="Z139" s="658"/>
      <c r="AA139" s="647"/>
      <c r="AB139" s="647"/>
      <c r="AC139" s="647"/>
    </row>
    <row r="140" spans="1:68" ht="27" hidden="1" customHeight="1" x14ac:dyDescent="0.25">
      <c r="A140" s="54" t="s">
        <v>255</v>
      </c>
      <c r="B140" s="54" t="s">
        <v>256</v>
      </c>
      <c r="C140" s="31">
        <v>4301011562</v>
      </c>
      <c r="D140" s="665">
        <v>4680115882577</v>
      </c>
      <c r="E140" s="666"/>
      <c r="F140" s="650">
        <v>0.4</v>
      </c>
      <c r="G140" s="32">
        <v>8</v>
      </c>
      <c r="H140" s="650">
        <v>3.2</v>
      </c>
      <c r="I140" s="650">
        <v>3.38</v>
      </c>
      <c r="J140" s="32">
        <v>182</v>
      </c>
      <c r="K140" s="32" t="s">
        <v>77</v>
      </c>
      <c r="L140" s="32"/>
      <c r="M140" s="33" t="s">
        <v>257</v>
      </c>
      <c r="N140" s="33"/>
      <c r="O140" s="32">
        <v>90</v>
      </c>
      <c r="P140" s="8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4"/>
      <c r="V140" s="34"/>
      <c r="W140" s="35" t="s">
        <v>67</v>
      </c>
      <c r="X140" s="651">
        <v>0</v>
      </c>
      <c r="Y140" s="65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205" t="s">
        <v>258</v>
      </c>
      <c r="AG140" s="64"/>
      <c r="AJ140" s="68"/>
      <c r="AK140" s="68">
        <v>0</v>
      </c>
      <c r="BB140" s="206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255</v>
      </c>
      <c r="B141" s="54" t="s">
        <v>259</v>
      </c>
      <c r="C141" s="31">
        <v>4301011564</v>
      </c>
      <c r="D141" s="665">
        <v>4680115882577</v>
      </c>
      <c r="E141" s="666"/>
      <c r="F141" s="650">
        <v>0.4</v>
      </c>
      <c r="G141" s="32">
        <v>8</v>
      </c>
      <c r="H141" s="650">
        <v>3.2</v>
      </c>
      <c r="I141" s="650">
        <v>3.38</v>
      </c>
      <c r="J141" s="32">
        <v>182</v>
      </c>
      <c r="K141" s="32" t="s">
        <v>77</v>
      </c>
      <c r="L141" s="32"/>
      <c r="M141" s="33" t="s">
        <v>257</v>
      </c>
      <c r="N141" s="33"/>
      <c r="O141" s="32">
        <v>90</v>
      </c>
      <c r="P141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4"/>
      <c r="V141" s="34"/>
      <c r="W141" s="35" t="s">
        <v>67</v>
      </c>
      <c r="X141" s="651">
        <v>0</v>
      </c>
      <c r="Y141" s="65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207" t="s">
        <v>258</v>
      </c>
      <c r="AG141" s="64"/>
      <c r="AJ141" s="68"/>
      <c r="AK141" s="68">
        <v>0</v>
      </c>
      <c r="BB141" s="208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92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93"/>
      <c r="P142" s="659" t="s">
        <v>72</v>
      </c>
      <c r="Q142" s="660"/>
      <c r="R142" s="660"/>
      <c r="S142" s="660"/>
      <c r="T142" s="660"/>
      <c r="U142" s="660"/>
      <c r="V142" s="661"/>
      <c r="W142" s="37" t="s">
        <v>73</v>
      </c>
      <c r="X142" s="653">
        <f>IFERROR(X140/H140,"0")+IFERROR(X141/H141,"0")</f>
        <v>0</v>
      </c>
      <c r="Y142" s="653">
        <f>IFERROR(Y140/H140,"0")+IFERROR(Y141/H141,"0")</f>
        <v>0</v>
      </c>
      <c r="Z142" s="653">
        <f>IFERROR(IF(Z140="",0,Z140),"0")+IFERROR(IF(Z141="",0,Z141),"0")</f>
        <v>0</v>
      </c>
      <c r="AA142" s="654"/>
      <c r="AB142" s="654"/>
      <c r="AC142" s="654"/>
    </row>
    <row r="143" spans="1:68" hidden="1" x14ac:dyDescent="0.2">
      <c r="A143" s="658"/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93"/>
      <c r="P143" s="659" t="s">
        <v>72</v>
      </c>
      <c r="Q143" s="660"/>
      <c r="R143" s="660"/>
      <c r="S143" s="660"/>
      <c r="T143" s="660"/>
      <c r="U143" s="660"/>
      <c r="V143" s="661"/>
      <c r="W143" s="37" t="s">
        <v>67</v>
      </c>
      <c r="X143" s="653">
        <f>IFERROR(SUM(X140:X141),"0")</f>
        <v>0</v>
      </c>
      <c r="Y143" s="653">
        <f>IFERROR(SUM(Y140:Y141),"0")</f>
        <v>0</v>
      </c>
      <c r="Z143" s="37"/>
      <c r="AA143" s="654"/>
      <c r="AB143" s="654"/>
      <c r="AC143" s="654"/>
    </row>
    <row r="144" spans="1:68" ht="14.25" hidden="1" customHeight="1" x14ac:dyDescent="0.25">
      <c r="A144" s="657" t="s">
        <v>62</v>
      </c>
      <c r="B144" s="658"/>
      <c r="C144" s="658"/>
      <c r="D144" s="658"/>
      <c r="E144" s="658"/>
      <c r="F144" s="658"/>
      <c r="G144" s="658"/>
      <c r="H144" s="658"/>
      <c r="I144" s="658"/>
      <c r="J144" s="658"/>
      <c r="K144" s="658"/>
      <c r="L144" s="658"/>
      <c r="M144" s="658"/>
      <c r="N144" s="658"/>
      <c r="O144" s="658"/>
      <c r="P144" s="658"/>
      <c r="Q144" s="658"/>
      <c r="R144" s="658"/>
      <c r="S144" s="658"/>
      <c r="T144" s="658"/>
      <c r="U144" s="658"/>
      <c r="V144" s="658"/>
      <c r="W144" s="658"/>
      <c r="X144" s="658"/>
      <c r="Y144" s="658"/>
      <c r="Z144" s="658"/>
      <c r="AA144" s="647"/>
      <c r="AB144" s="647"/>
      <c r="AC144" s="647"/>
    </row>
    <row r="145" spans="1:68" ht="27" hidden="1" customHeight="1" x14ac:dyDescent="0.25">
      <c r="A145" s="54" t="s">
        <v>260</v>
      </c>
      <c r="B145" s="54" t="s">
        <v>261</v>
      </c>
      <c r="C145" s="31">
        <v>4301031234</v>
      </c>
      <c r="D145" s="665">
        <v>4680115883444</v>
      </c>
      <c r="E145" s="666"/>
      <c r="F145" s="650">
        <v>0.35</v>
      </c>
      <c r="G145" s="32">
        <v>8</v>
      </c>
      <c r="H145" s="650">
        <v>2.8</v>
      </c>
      <c r="I145" s="650">
        <v>3.0680000000000001</v>
      </c>
      <c r="J145" s="32">
        <v>182</v>
      </c>
      <c r="K145" s="32" t="s">
        <v>77</v>
      </c>
      <c r="L145" s="32"/>
      <c r="M145" s="33" t="s">
        <v>257</v>
      </c>
      <c r="N145" s="33"/>
      <c r="O145" s="32">
        <v>90</v>
      </c>
      <c r="P145" s="7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4"/>
      <c r="V145" s="34"/>
      <c r="W145" s="35" t="s">
        <v>67</v>
      </c>
      <c r="X145" s="651">
        <v>0</v>
      </c>
      <c r="Y145" s="65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9" t="s">
        <v>262</v>
      </c>
      <c r="AG145" s="64"/>
      <c r="AJ145" s="68"/>
      <c r="AK145" s="68">
        <v>0</v>
      </c>
      <c r="BB145" s="210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27" hidden="1" customHeight="1" x14ac:dyDescent="0.25">
      <c r="A146" s="54" t="s">
        <v>260</v>
      </c>
      <c r="B146" s="54" t="s">
        <v>263</v>
      </c>
      <c r="C146" s="31">
        <v>4301031235</v>
      </c>
      <c r="D146" s="665">
        <v>4680115883444</v>
      </c>
      <c r="E146" s="666"/>
      <c r="F146" s="650">
        <v>0.35</v>
      </c>
      <c r="G146" s="32">
        <v>8</v>
      </c>
      <c r="H146" s="650">
        <v>2.8</v>
      </c>
      <c r="I146" s="650">
        <v>3.0680000000000001</v>
      </c>
      <c r="J146" s="32">
        <v>182</v>
      </c>
      <c r="K146" s="32" t="s">
        <v>77</v>
      </c>
      <c r="L146" s="32"/>
      <c r="M146" s="33" t="s">
        <v>257</v>
      </c>
      <c r="N146" s="33"/>
      <c r="O146" s="32">
        <v>90</v>
      </c>
      <c r="P146" s="9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4"/>
      <c r="V146" s="34"/>
      <c r="W146" s="35" t="s">
        <v>67</v>
      </c>
      <c r="X146" s="651">
        <v>0</v>
      </c>
      <c r="Y146" s="65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11" t="s">
        <v>262</v>
      </c>
      <c r="AG146" s="64"/>
      <c r="AJ146" s="68"/>
      <c r="AK146" s="68">
        <v>0</v>
      </c>
      <c r="BB146" s="212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92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93"/>
      <c r="P147" s="659" t="s">
        <v>72</v>
      </c>
      <c r="Q147" s="660"/>
      <c r="R147" s="660"/>
      <c r="S147" s="660"/>
      <c r="T147" s="660"/>
      <c r="U147" s="660"/>
      <c r="V147" s="661"/>
      <c r="W147" s="37" t="s">
        <v>73</v>
      </c>
      <c r="X147" s="653">
        <f>IFERROR(X145/H145,"0")+IFERROR(X146/H146,"0")</f>
        <v>0</v>
      </c>
      <c r="Y147" s="653">
        <f>IFERROR(Y145/H145,"0")+IFERROR(Y146/H146,"0")</f>
        <v>0</v>
      </c>
      <c r="Z147" s="653">
        <f>IFERROR(IF(Z145="",0,Z145),"0")+IFERROR(IF(Z146="",0,Z146),"0")</f>
        <v>0</v>
      </c>
      <c r="AA147" s="654"/>
      <c r="AB147" s="654"/>
      <c r="AC147" s="654"/>
    </row>
    <row r="148" spans="1:68" hidden="1" x14ac:dyDescent="0.2">
      <c r="A148" s="658"/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93"/>
      <c r="P148" s="659" t="s">
        <v>72</v>
      </c>
      <c r="Q148" s="660"/>
      <c r="R148" s="660"/>
      <c r="S148" s="660"/>
      <c r="T148" s="660"/>
      <c r="U148" s="660"/>
      <c r="V148" s="661"/>
      <c r="W148" s="37" t="s">
        <v>67</v>
      </c>
      <c r="X148" s="653">
        <f>IFERROR(SUM(X145:X146),"0")</f>
        <v>0</v>
      </c>
      <c r="Y148" s="653">
        <f>IFERROR(SUM(Y145:Y146),"0")</f>
        <v>0</v>
      </c>
      <c r="Z148" s="37"/>
      <c r="AA148" s="654"/>
      <c r="AB148" s="654"/>
      <c r="AC148" s="654"/>
    </row>
    <row r="149" spans="1:68" ht="14.25" hidden="1" customHeight="1" x14ac:dyDescent="0.25">
      <c r="A149" s="65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47"/>
      <c r="AB149" s="647"/>
      <c r="AC149" s="647"/>
    </row>
    <row r="150" spans="1:68" ht="16.5" hidden="1" customHeight="1" x14ac:dyDescent="0.25">
      <c r="A150" s="54" t="s">
        <v>264</v>
      </c>
      <c r="B150" s="54" t="s">
        <v>265</v>
      </c>
      <c r="C150" s="31">
        <v>4301051476</v>
      </c>
      <c r="D150" s="665">
        <v>4680115882584</v>
      </c>
      <c r="E150" s="666"/>
      <c r="F150" s="650">
        <v>0.33</v>
      </c>
      <c r="G150" s="32">
        <v>8</v>
      </c>
      <c r="H150" s="650">
        <v>2.64</v>
      </c>
      <c r="I150" s="650">
        <v>2.9079999999999999</v>
      </c>
      <c r="J150" s="32">
        <v>182</v>
      </c>
      <c r="K150" s="32" t="s">
        <v>77</v>
      </c>
      <c r="L150" s="32"/>
      <c r="M150" s="33" t="s">
        <v>257</v>
      </c>
      <c r="N150" s="33"/>
      <c r="O150" s="32">
        <v>60</v>
      </c>
      <c r="P150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4"/>
      <c r="V150" s="34"/>
      <c r="W150" s="35" t="s">
        <v>67</v>
      </c>
      <c r="X150" s="651">
        <v>0</v>
      </c>
      <c r="Y150" s="652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13" t="s">
        <v>258</v>
      </c>
      <c r="AG150" s="64"/>
      <c r="AJ150" s="68"/>
      <c r="AK150" s="68">
        <v>0</v>
      </c>
      <c r="BB150" s="214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16.5" hidden="1" customHeight="1" x14ac:dyDescent="0.25">
      <c r="A151" s="54" t="s">
        <v>264</v>
      </c>
      <c r="B151" s="54" t="s">
        <v>266</v>
      </c>
      <c r="C151" s="31">
        <v>4301051477</v>
      </c>
      <c r="D151" s="665">
        <v>4680115882584</v>
      </c>
      <c r="E151" s="666"/>
      <c r="F151" s="650">
        <v>0.33</v>
      </c>
      <c r="G151" s="32">
        <v>8</v>
      </c>
      <c r="H151" s="650">
        <v>2.64</v>
      </c>
      <c r="I151" s="650">
        <v>2.9079999999999999</v>
      </c>
      <c r="J151" s="32">
        <v>182</v>
      </c>
      <c r="K151" s="32" t="s">
        <v>77</v>
      </c>
      <c r="L151" s="32"/>
      <c r="M151" s="33" t="s">
        <v>257</v>
      </c>
      <c r="N151" s="33"/>
      <c r="O151" s="32">
        <v>60</v>
      </c>
      <c r="P151" s="101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4"/>
      <c r="V151" s="34"/>
      <c r="W151" s="35" t="s">
        <v>67</v>
      </c>
      <c r="X151" s="651">
        <v>0</v>
      </c>
      <c r="Y151" s="65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15" t="s">
        <v>258</v>
      </c>
      <c r="AG151" s="64"/>
      <c r="AJ151" s="68"/>
      <c r="AK151" s="68">
        <v>0</v>
      </c>
      <c r="BB151" s="21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92"/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93"/>
      <c r="P152" s="659" t="s">
        <v>72</v>
      </c>
      <c r="Q152" s="660"/>
      <c r="R152" s="660"/>
      <c r="S152" s="660"/>
      <c r="T152" s="660"/>
      <c r="U152" s="660"/>
      <c r="V152" s="661"/>
      <c r="W152" s="37" t="s">
        <v>73</v>
      </c>
      <c r="X152" s="653">
        <f>IFERROR(X150/H150,"0")+IFERROR(X151/H151,"0")</f>
        <v>0</v>
      </c>
      <c r="Y152" s="653">
        <f>IFERROR(Y150/H150,"0")+IFERROR(Y151/H151,"0")</f>
        <v>0</v>
      </c>
      <c r="Z152" s="653">
        <f>IFERROR(IF(Z150="",0,Z150),"0")+IFERROR(IF(Z151="",0,Z151),"0")</f>
        <v>0</v>
      </c>
      <c r="AA152" s="654"/>
      <c r="AB152" s="654"/>
      <c r="AC152" s="654"/>
    </row>
    <row r="153" spans="1:68" hidden="1" x14ac:dyDescent="0.2">
      <c r="A153" s="658"/>
      <c r="B153" s="658"/>
      <c r="C153" s="658"/>
      <c r="D153" s="658"/>
      <c r="E153" s="658"/>
      <c r="F153" s="658"/>
      <c r="G153" s="658"/>
      <c r="H153" s="658"/>
      <c r="I153" s="658"/>
      <c r="J153" s="658"/>
      <c r="K153" s="658"/>
      <c r="L153" s="658"/>
      <c r="M153" s="658"/>
      <c r="N153" s="658"/>
      <c r="O153" s="693"/>
      <c r="P153" s="659" t="s">
        <v>72</v>
      </c>
      <c r="Q153" s="660"/>
      <c r="R153" s="660"/>
      <c r="S153" s="660"/>
      <c r="T153" s="660"/>
      <c r="U153" s="660"/>
      <c r="V153" s="661"/>
      <c r="W153" s="37" t="s">
        <v>67</v>
      </c>
      <c r="X153" s="653">
        <f>IFERROR(SUM(X150:X151),"0")</f>
        <v>0</v>
      </c>
      <c r="Y153" s="653">
        <f>IFERROR(SUM(Y150:Y151),"0")</f>
        <v>0</v>
      </c>
      <c r="Z153" s="37"/>
      <c r="AA153" s="654"/>
      <c r="AB153" s="654"/>
      <c r="AC153" s="654"/>
    </row>
    <row r="154" spans="1:68" ht="16.5" hidden="1" customHeight="1" x14ac:dyDescent="0.25">
      <c r="A154" s="662" t="s">
        <v>267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46"/>
      <c r="AB154" s="646"/>
      <c r="AC154" s="646"/>
    </row>
    <row r="155" spans="1:68" ht="14.25" hidden="1" customHeight="1" x14ac:dyDescent="0.25">
      <c r="A155" s="657" t="s">
        <v>74</v>
      </c>
      <c r="B155" s="658"/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  <c r="Z155" s="658"/>
      <c r="AA155" s="647"/>
      <c r="AB155" s="647"/>
      <c r="AC155" s="647"/>
    </row>
    <row r="156" spans="1:68" ht="27" hidden="1" customHeight="1" x14ac:dyDescent="0.25">
      <c r="A156" s="54" t="s">
        <v>268</v>
      </c>
      <c r="B156" s="54" t="s">
        <v>269</v>
      </c>
      <c r="C156" s="31">
        <v>4301052254</v>
      </c>
      <c r="D156" s="665">
        <v>4680115888203</v>
      </c>
      <c r="E156" s="666"/>
      <c r="F156" s="650">
        <v>0.22</v>
      </c>
      <c r="G156" s="32">
        <v>6</v>
      </c>
      <c r="H156" s="650">
        <v>1.32</v>
      </c>
      <c r="I156" s="650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4"/>
      <c r="V156" s="34"/>
      <c r="W156" s="35" t="s">
        <v>67</v>
      </c>
      <c r="X156" s="651">
        <v>0</v>
      </c>
      <c r="Y156" s="652">
        <f t="shared" ref="Y156:Y162" si="21">IFERROR(IF(X156="",0,CEILING((X156/$H156),1)*$H156),"")</f>
        <v>0</v>
      </c>
      <c r="Z156" s="36" t="str">
        <f t="shared" ref="Z156:Z162" si="22">IFERROR(IF(Y156=0,"",ROUNDUP(Y156/H156,0)*0.00651),"")</f>
        <v/>
      </c>
      <c r="AA156" s="56"/>
      <c r="AB156" s="57"/>
      <c r="AC156" s="217" t="s">
        <v>270</v>
      </c>
      <c r="AG156" s="64"/>
      <c r="AJ156" s="68"/>
      <c r="AK156" s="68">
        <v>0</v>
      </c>
      <c r="BB156" s="218" t="s">
        <v>1</v>
      </c>
      <c r="BM156" s="64">
        <f t="shared" ref="BM156:BM162" si="23">IFERROR(X156*I156/H156,"0")</f>
        <v>0</v>
      </c>
      <c r="BN156" s="64">
        <f t="shared" ref="BN156:BN162" si="24">IFERROR(Y156*I156/H156,"0")</f>
        <v>0</v>
      </c>
      <c r="BO156" s="64">
        <f t="shared" ref="BO156:BO162" si="25">IFERROR(1/J156*(X156/H156),"0")</f>
        <v>0</v>
      </c>
      <c r="BP156" s="64">
        <f t="shared" ref="BP156:BP162" si="26">IFERROR(1/J156*(Y156/H156),"0")</f>
        <v>0</v>
      </c>
    </row>
    <row r="157" spans="1:68" ht="27" hidden="1" customHeight="1" x14ac:dyDescent="0.25">
      <c r="A157" s="54" t="s">
        <v>271</v>
      </c>
      <c r="B157" s="54" t="s">
        <v>272</v>
      </c>
      <c r="C157" s="31">
        <v>4301052172</v>
      </c>
      <c r="D157" s="665">
        <v>4680115888180</v>
      </c>
      <c r="E157" s="666"/>
      <c r="F157" s="650">
        <v>0.22</v>
      </c>
      <c r="G157" s="32">
        <v>9</v>
      </c>
      <c r="H157" s="650">
        <v>1.98</v>
      </c>
      <c r="I157" s="650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4"/>
      <c r="V157" s="34"/>
      <c r="W157" s="35" t="s">
        <v>67</v>
      </c>
      <c r="X157" s="651">
        <v>0</v>
      </c>
      <c r="Y157" s="652">
        <f t="shared" si="21"/>
        <v>0</v>
      </c>
      <c r="Z157" s="36" t="str">
        <f t="shared" si="22"/>
        <v/>
      </c>
      <c r="AA157" s="56"/>
      <c r="AB157" s="57"/>
      <c r="AC157" s="219" t="s">
        <v>273</v>
      </c>
      <c r="AG157" s="64"/>
      <c r="AJ157" s="68"/>
      <c r="AK157" s="68">
        <v>0</v>
      </c>
      <c r="BB157" s="220" t="s">
        <v>1</v>
      </c>
      <c r="BM157" s="64">
        <f t="shared" si="23"/>
        <v>0</v>
      </c>
      <c r="BN157" s="64">
        <f t="shared" si="24"/>
        <v>0</v>
      </c>
      <c r="BO157" s="64">
        <f t="shared" si="25"/>
        <v>0</v>
      </c>
      <c r="BP157" s="64">
        <f t="shared" si="26"/>
        <v>0</v>
      </c>
    </row>
    <row r="158" spans="1:68" ht="27" hidden="1" customHeight="1" x14ac:dyDescent="0.25">
      <c r="A158" s="54" t="s">
        <v>271</v>
      </c>
      <c r="B158" s="54" t="s">
        <v>274</v>
      </c>
      <c r="C158" s="31">
        <v>4301052252</v>
      </c>
      <c r="D158" s="665">
        <v>4680115888180</v>
      </c>
      <c r="E158" s="666"/>
      <c r="F158" s="650">
        <v>0.22</v>
      </c>
      <c r="G158" s="32">
        <v>6</v>
      </c>
      <c r="H158" s="650">
        <v>1.32</v>
      </c>
      <c r="I158" s="650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3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4"/>
      <c r="V158" s="34"/>
      <c r="W158" s="35" t="s">
        <v>67</v>
      </c>
      <c r="X158" s="651">
        <v>0</v>
      </c>
      <c r="Y158" s="652">
        <f t="shared" si="21"/>
        <v>0</v>
      </c>
      <c r="Z158" s="36" t="str">
        <f t="shared" si="22"/>
        <v/>
      </c>
      <c r="AA158" s="56"/>
      <c r="AB158" s="57"/>
      <c r="AC158" s="221" t="s">
        <v>273</v>
      </c>
      <c r="AG158" s="64"/>
      <c r="AJ158" s="68"/>
      <c r="AK158" s="68">
        <v>0</v>
      </c>
      <c r="BB158" s="222" t="s">
        <v>1</v>
      </c>
      <c r="BM158" s="64">
        <f t="shared" si="23"/>
        <v>0</v>
      </c>
      <c r="BN158" s="64">
        <f t="shared" si="24"/>
        <v>0</v>
      </c>
      <c r="BO158" s="64">
        <f t="shared" si="25"/>
        <v>0</v>
      </c>
      <c r="BP158" s="64">
        <f t="shared" si="26"/>
        <v>0</v>
      </c>
    </row>
    <row r="159" spans="1:68" ht="27" hidden="1" customHeight="1" x14ac:dyDescent="0.25">
      <c r="A159" s="54" t="s">
        <v>275</v>
      </c>
      <c r="B159" s="54" t="s">
        <v>276</v>
      </c>
      <c r="C159" s="31">
        <v>4301052173</v>
      </c>
      <c r="D159" s="665">
        <v>4680115888197</v>
      </c>
      <c r="E159" s="666"/>
      <c r="F159" s="650">
        <v>0.22</v>
      </c>
      <c r="G159" s="32">
        <v>9</v>
      </c>
      <c r="H159" s="650">
        <v>1.98</v>
      </c>
      <c r="I159" s="650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4"/>
      <c r="V159" s="34"/>
      <c r="W159" s="35" t="s">
        <v>67</v>
      </c>
      <c r="X159" s="651">
        <v>0</v>
      </c>
      <c r="Y159" s="652">
        <f t="shared" si="21"/>
        <v>0</v>
      </c>
      <c r="Z159" s="36" t="str">
        <f t="shared" si="22"/>
        <v/>
      </c>
      <c r="AA159" s="56"/>
      <c r="AB159" s="57"/>
      <c r="AC159" s="223" t="s">
        <v>277</v>
      </c>
      <c r="AG159" s="64"/>
      <c r="AJ159" s="68"/>
      <c r="AK159" s="68">
        <v>0</v>
      </c>
      <c r="BB159" s="224" t="s">
        <v>1</v>
      </c>
      <c r="BM159" s="64">
        <f t="shared" si="23"/>
        <v>0</v>
      </c>
      <c r="BN159" s="64">
        <f t="shared" si="24"/>
        <v>0</v>
      </c>
      <c r="BO159" s="64">
        <f t="shared" si="25"/>
        <v>0</v>
      </c>
      <c r="BP159" s="64">
        <f t="shared" si="26"/>
        <v>0</v>
      </c>
    </row>
    <row r="160" spans="1:68" ht="27" hidden="1" customHeight="1" x14ac:dyDescent="0.25">
      <c r="A160" s="54" t="s">
        <v>275</v>
      </c>
      <c r="B160" s="54" t="s">
        <v>278</v>
      </c>
      <c r="C160" s="31">
        <v>4301052253</v>
      </c>
      <c r="D160" s="665">
        <v>4680115888197</v>
      </c>
      <c r="E160" s="666"/>
      <c r="F160" s="650">
        <v>0.22</v>
      </c>
      <c r="G160" s="32">
        <v>6</v>
      </c>
      <c r="H160" s="650">
        <v>1.32</v>
      </c>
      <c r="I160" s="650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4"/>
      <c r="V160" s="34"/>
      <c r="W160" s="35" t="s">
        <v>67</v>
      </c>
      <c r="X160" s="651">
        <v>0</v>
      </c>
      <c r="Y160" s="652">
        <f t="shared" si="21"/>
        <v>0</v>
      </c>
      <c r="Z160" s="36" t="str">
        <f t="shared" si="22"/>
        <v/>
      </c>
      <c r="AA160" s="56"/>
      <c r="AB160" s="57"/>
      <c r="AC160" s="225" t="s">
        <v>277</v>
      </c>
      <c r="AG160" s="64"/>
      <c r="AJ160" s="68"/>
      <c r="AK160" s="68">
        <v>0</v>
      </c>
      <c r="BB160" s="226" t="s">
        <v>1</v>
      </c>
      <c r="BM160" s="64">
        <f t="shared" si="23"/>
        <v>0</v>
      </c>
      <c r="BN160" s="64">
        <f t="shared" si="24"/>
        <v>0</v>
      </c>
      <c r="BO160" s="64">
        <f t="shared" si="25"/>
        <v>0</v>
      </c>
      <c r="BP160" s="64">
        <f t="shared" si="26"/>
        <v>0</v>
      </c>
    </row>
    <row r="161" spans="1:68" ht="27" hidden="1" customHeight="1" x14ac:dyDescent="0.25">
      <c r="A161" s="54" t="s">
        <v>279</v>
      </c>
      <c r="B161" s="54" t="s">
        <v>280</v>
      </c>
      <c r="C161" s="31">
        <v>4301052175</v>
      </c>
      <c r="D161" s="665">
        <v>4680115888210</v>
      </c>
      <c r="E161" s="666"/>
      <c r="F161" s="650">
        <v>0.22</v>
      </c>
      <c r="G161" s="32">
        <v>9</v>
      </c>
      <c r="H161" s="650">
        <v>1.98</v>
      </c>
      <c r="I161" s="650">
        <v>2.2589999999999999</v>
      </c>
      <c r="J161" s="32">
        <v>182</v>
      </c>
      <c r="K161" s="32" t="s">
        <v>77</v>
      </c>
      <c r="L161" s="32"/>
      <c r="M161" s="33" t="s">
        <v>84</v>
      </c>
      <c r="N161" s="33"/>
      <c r="O161" s="32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4"/>
      <c r="V161" s="34"/>
      <c r="W161" s="35" t="s">
        <v>67</v>
      </c>
      <c r="X161" s="651">
        <v>0</v>
      </c>
      <c r="Y161" s="652">
        <f t="shared" si="21"/>
        <v>0</v>
      </c>
      <c r="Z161" s="36" t="str">
        <f t="shared" si="22"/>
        <v/>
      </c>
      <c r="AA161" s="56"/>
      <c r="AB161" s="57"/>
      <c r="AC161" s="227" t="s">
        <v>281</v>
      </c>
      <c r="AG161" s="64"/>
      <c r="AJ161" s="68"/>
      <c r="AK161" s="68">
        <v>0</v>
      </c>
      <c r="BB161" s="228" t="s">
        <v>1</v>
      </c>
      <c r="BM161" s="64">
        <f t="shared" si="23"/>
        <v>0</v>
      </c>
      <c r="BN161" s="64">
        <f t="shared" si="24"/>
        <v>0</v>
      </c>
      <c r="BO161" s="64">
        <f t="shared" si="25"/>
        <v>0</v>
      </c>
      <c r="BP161" s="64">
        <f t="shared" si="26"/>
        <v>0</v>
      </c>
    </row>
    <row r="162" spans="1:68" ht="27" hidden="1" customHeight="1" x14ac:dyDescent="0.25">
      <c r="A162" s="54" t="s">
        <v>279</v>
      </c>
      <c r="B162" s="54" t="s">
        <v>282</v>
      </c>
      <c r="C162" s="31">
        <v>4301052255</v>
      </c>
      <c r="D162" s="665">
        <v>4680115888210</v>
      </c>
      <c r="E162" s="666"/>
      <c r="F162" s="650">
        <v>0.22</v>
      </c>
      <c r="G162" s="32">
        <v>6</v>
      </c>
      <c r="H162" s="650">
        <v>1.32</v>
      </c>
      <c r="I162" s="650">
        <v>1.5660000000000001</v>
      </c>
      <c r="J162" s="32">
        <v>182</v>
      </c>
      <c r="K162" s="32" t="s">
        <v>77</v>
      </c>
      <c r="L162" s="32"/>
      <c r="M162" s="33" t="s">
        <v>84</v>
      </c>
      <c r="N162" s="33"/>
      <c r="O162" s="32">
        <v>40</v>
      </c>
      <c r="P162" s="91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4"/>
      <c r="V162" s="34"/>
      <c r="W162" s="35" t="s">
        <v>67</v>
      </c>
      <c r="X162" s="651">
        <v>0</v>
      </c>
      <c r="Y162" s="652">
        <f t="shared" si="21"/>
        <v>0</v>
      </c>
      <c r="Z162" s="36" t="str">
        <f t="shared" si="22"/>
        <v/>
      </c>
      <c r="AA162" s="56"/>
      <c r="AB162" s="57"/>
      <c r="AC162" s="229" t="s">
        <v>281</v>
      </c>
      <c r="AG162" s="64"/>
      <c r="AJ162" s="68"/>
      <c r="AK162" s="68">
        <v>0</v>
      </c>
      <c r="BB162" s="230" t="s">
        <v>1</v>
      </c>
      <c r="BM162" s="64">
        <f t="shared" si="23"/>
        <v>0</v>
      </c>
      <c r="BN162" s="64">
        <f t="shared" si="24"/>
        <v>0</v>
      </c>
      <c r="BO162" s="64">
        <f t="shared" si="25"/>
        <v>0</v>
      </c>
      <c r="BP162" s="64">
        <f t="shared" si="26"/>
        <v>0</v>
      </c>
    </row>
    <row r="163" spans="1:68" hidden="1" x14ac:dyDescent="0.2">
      <c r="A163" s="692"/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93"/>
      <c r="P163" s="659" t="s">
        <v>72</v>
      </c>
      <c r="Q163" s="660"/>
      <c r="R163" s="660"/>
      <c r="S163" s="660"/>
      <c r="T163" s="660"/>
      <c r="U163" s="660"/>
      <c r="V163" s="661"/>
      <c r="W163" s="37" t="s">
        <v>73</v>
      </c>
      <c r="X163" s="653">
        <f>IFERROR(X156/H156,"0")+IFERROR(X157/H157,"0")+IFERROR(X158/H158,"0")+IFERROR(X159/H159,"0")+IFERROR(X160/H160,"0")+IFERROR(X161/H161,"0")+IFERROR(X162/H162,"0")</f>
        <v>0</v>
      </c>
      <c r="Y163" s="653">
        <f>IFERROR(Y156/H156,"0")+IFERROR(Y157/H157,"0")+IFERROR(Y158/H158,"0")+IFERROR(Y159/H159,"0")+IFERROR(Y160/H160,"0")+IFERROR(Y161/H161,"0")+IFERROR(Y162/H162,"0")</f>
        <v>0</v>
      </c>
      <c r="Z163" s="65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54"/>
      <c r="AB163" s="654"/>
      <c r="AC163" s="654"/>
    </row>
    <row r="164" spans="1:68" hidden="1" x14ac:dyDescent="0.2">
      <c r="A164" s="658"/>
      <c r="B164" s="658"/>
      <c r="C164" s="658"/>
      <c r="D164" s="658"/>
      <c r="E164" s="658"/>
      <c r="F164" s="658"/>
      <c r="G164" s="658"/>
      <c r="H164" s="658"/>
      <c r="I164" s="658"/>
      <c r="J164" s="658"/>
      <c r="K164" s="658"/>
      <c r="L164" s="658"/>
      <c r="M164" s="658"/>
      <c r="N164" s="658"/>
      <c r="O164" s="693"/>
      <c r="P164" s="659" t="s">
        <v>72</v>
      </c>
      <c r="Q164" s="660"/>
      <c r="R164" s="660"/>
      <c r="S164" s="660"/>
      <c r="T164" s="660"/>
      <c r="U164" s="660"/>
      <c r="V164" s="661"/>
      <c r="W164" s="37" t="s">
        <v>67</v>
      </c>
      <c r="X164" s="653">
        <f>IFERROR(SUM(X156:X162),"0")</f>
        <v>0</v>
      </c>
      <c r="Y164" s="653">
        <f>IFERROR(SUM(Y156:Y162),"0")</f>
        <v>0</v>
      </c>
      <c r="Z164" s="37"/>
      <c r="AA164" s="654"/>
      <c r="AB164" s="654"/>
      <c r="AC164" s="654"/>
    </row>
    <row r="165" spans="1:68" ht="14.25" hidden="1" customHeight="1" x14ac:dyDescent="0.25">
      <c r="A165" s="657" t="s">
        <v>283</v>
      </c>
      <c r="B165" s="658"/>
      <c r="C165" s="658"/>
      <c r="D165" s="658"/>
      <c r="E165" s="658"/>
      <c r="F165" s="658"/>
      <c r="G165" s="658"/>
      <c r="H165" s="658"/>
      <c r="I165" s="658"/>
      <c r="J165" s="658"/>
      <c r="K165" s="658"/>
      <c r="L165" s="658"/>
      <c r="M165" s="658"/>
      <c r="N165" s="658"/>
      <c r="O165" s="658"/>
      <c r="P165" s="658"/>
      <c r="Q165" s="658"/>
      <c r="R165" s="658"/>
      <c r="S165" s="658"/>
      <c r="T165" s="658"/>
      <c r="U165" s="658"/>
      <c r="V165" s="658"/>
      <c r="W165" s="658"/>
      <c r="X165" s="658"/>
      <c r="Y165" s="658"/>
      <c r="Z165" s="658"/>
      <c r="AA165" s="647"/>
      <c r="AB165" s="647"/>
      <c r="AC165" s="647"/>
    </row>
    <row r="166" spans="1:68" ht="27" hidden="1" customHeight="1" x14ac:dyDescent="0.25">
      <c r="A166" s="54" t="s">
        <v>284</v>
      </c>
      <c r="B166" s="54" t="s">
        <v>285</v>
      </c>
      <c r="C166" s="31">
        <v>4301032067</v>
      </c>
      <c r="D166" s="665">
        <v>4680115889132</v>
      </c>
      <c r="E166" s="666"/>
      <c r="F166" s="650">
        <v>0.04</v>
      </c>
      <c r="G166" s="32">
        <v>8</v>
      </c>
      <c r="H166" s="650">
        <v>0.32</v>
      </c>
      <c r="I166" s="650">
        <v>0.5</v>
      </c>
      <c r="J166" s="32">
        <v>330</v>
      </c>
      <c r="K166" s="32" t="s">
        <v>286</v>
      </c>
      <c r="L166" s="32"/>
      <c r="M166" s="33" t="s">
        <v>287</v>
      </c>
      <c r="N166" s="33"/>
      <c r="O166" s="32">
        <v>120</v>
      </c>
      <c r="P166" s="7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4"/>
      <c r="V166" s="34"/>
      <c r="W166" s="35" t="s">
        <v>67</v>
      </c>
      <c r="X166" s="651">
        <v>0</v>
      </c>
      <c r="Y166" s="652">
        <f>IFERROR(IF(X166="",0,CEILING((X166/$H166),1)*$H166),"")</f>
        <v>0</v>
      </c>
      <c r="Z166" s="36" t="str">
        <f>IFERROR(IF(Y166=0,"",ROUNDUP(Y166/H166,0)*0.00337),"")</f>
        <v/>
      </c>
      <c r="AA166" s="56"/>
      <c r="AB166" s="57"/>
      <c r="AC166" s="231" t="s">
        <v>288</v>
      </c>
      <c r="AG166" s="64"/>
      <c r="AJ166" s="68"/>
      <c r="AK166" s="68">
        <v>0</v>
      </c>
      <c r="BB166" s="232" t="s">
        <v>289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92"/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93"/>
      <c r="P167" s="659" t="s">
        <v>72</v>
      </c>
      <c r="Q167" s="660"/>
      <c r="R167" s="660"/>
      <c r="S167" s="660"/>
      <c r="T167" s="660"/>
      <c r="U167" s="660"/>
      <c r="V167" s="661"/>
      <c r="W167" s="37" t="s">
        <v>73</v>
      </c>
      <c r="X167" s="653">
        <f>IFERROR(X166/H166,"0")</f>
        <v>0</v>
      </c>
      <c r="Y167" s="653">
        <f>IFERROR(Y166/H166,"0")</f>
        <v>0</v>
      </c>
      <c r="Z167" s="653">
        <f>IFERROR(IF(Z166="",0,Z166),"0")</f>
        <v>0</v>
      </c>
      <c r="AA167" s="654"/>
      <c r="AB167" s="654"/>
      <c r="AC167" s="654"/>
    </row>
    <row r="168" spans="1:68" hidden="1" x14ac:dyDescent="0.2">
      <c r="A168" s="658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93"/>
      <c r="P168" s="659" t="s">
        <v>72</v>
      </c>
      <c r="Q168" s="660"/>
      <c r="R168" s="660"/>
      <c r="S168" s="660"/>
      <c r="T168" s="660"/>
      <c r="U168" s="660"/>
      <c r="V168" s="661"/>
      <c r="W168" s="37" t="s">
        <v>67</v>
      </c>
      <c r="X168" s="653">
        <f>IFERROR(SUM(X166:X166),"0")</f>
        <v>0</v>
      </c>
      <c r="Y168" s="653">
        <f>IFERROR(SUM(Y166:Y166),"0")</f>
        <v>0</v>
      </c>
      <c r="Z168" s="37"/>
      <c r="AA168" s="654"/>
      <c r="AB168" s="654"/>
      <c r="AC168" s="654"/>
    </row>
    <row r="169" spans="1:68" ht="16.5" hidden="1" customHeight="1" x14ac:dyDescent="0.25">
      <c r="A169" s="662" t="s">
        <v>109</v>
      </c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8"/>
      <c r="P169" s="658"/>
      <c r="Q169" s="658"/>
      <c r="R169" s="658"/>
      <c r="S169" s="658"/>
      <c r="T169" s="658"/>
      <c r="U169" s="658"/>
      <c r="V169" s="658"/>
      <c r="W169" s="658"/>
      <c r="X169" s="658"/>
      <c r="Y169" s="658"/>
      <c r="Z169" s="658"/>
      <c r="AA169" s="646"/>
      <c r="AB169" s="646"/>
      <c r="AC169" s="646"/>
    </row>
    <row r="170" spans="1:68" ht="14.25" hidden="1" customHeight="1" x14ac:dyDescent="0.25">
      <c r="A170" s="657" t="s">
        <v>111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47"/>
      <c r="AB170" s="647"/>
      <c r="AC170" s="647"/>
    </row>
    <row r="171" spans="1:68" ht="27" hidden="1" customHeight="1" x14ac:dyDescent="0.25">
      <c r="A171" s="54" t="s">
        <v>290</v>
      </c>
      <c r="B171" s="54" t="s">
        <v>291</v>
      </c>
      <c r="C171" s="31">
        <v>4301012338</v>
      </c>
      <c r="D171" s="665">
        <v>4680115887374</v>
      </c>
      <c r="E171" s="666"/>
      <c r="F171" s="650">
        <v>1</v>
      </c>
      <c r="G171" s="32">
        <v>6</v>
      </c>
      <c r="H171" s="650">
        <v>6</v>
      </c>
      <c r="I171" s="650">
        <v>6.35</v>
      </c>
      <c r="J171" s="32">
        <v>104</v>
      </c>
      <c r="K171" s="32" t="s">
        <v>114</v>
      </c>
      <c r="L171" s="32"/>
      <c r="M171" s="33" t="s">
        <v>115</v>
      </c>
      <c r="N171" s="33"/>
      <c r="O171" s="32">
        <v>55</v>
      </c>
      <c r="P171" s="7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4"/>
      <c r="V171" s="34"/>
      <c r="W171" s="35" t="s">
        <v>67</v>
      </c>
      <c r="X171" s="651">
        <v>0</v>
      </c>
      <c r="Y171" s="652">
        <f>IFERROR(IF(X171="",0,CEILING((X171/$H171),1)*$H171),"")</f>
        <v>0</v>
      </c>
      <c r="Z171" s="36" t="str">
        <f>IFERROR(IF(Y171=0,"",ROUNDUP(Y171/H171,0)*0.01196),"")</f>
        <v/>
      </c>
      <c r="AA171" s="56"/>
      <c r="AB171" s="57"/>
      <c r="AC171" s="233" t="s">
        <v>292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4301011705</v>
      </c>
      <c r="D172" s="665">
        <v>4607091384604</v>
      </c>
      <c r="E172" s="666"/>
      <c r="F172" s="650">
        <v>0.4</v>
      </c>
      <c r="G172" s="32">
        <v>10</v>
      </c>
      <c r="H172" s="650">
        <v>4</v>
      </c>
      <c r="I172" s="650">
        <v>4.1900000000000004</v>
      </c>
      <c r="J172" s="32">
        <v>132</v>
      </c>
      <c r="K172" s="32" t="s">
        <v>123</v>
      </c>
      <c r="L172" s="32"/>
      <c r="M172" s="33" t="s">
        <v>115</v>
      </c>
      <c r="N172" s="33"/>
      <c r="O172" s="32">
        <v>50</v>
      </c>
      <c r="P172" s="6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4"/>
      <c r="V172" s="34"/>
      <c r="W172" s="35" t="s">
        <v>67</v>
      </c>
      <c r="X172" s="651">
        <v>0</v>
      </c>
      <c r="Y172" s="652">
        <f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35" t="s">
        <v>295</v>
      </c>
      <c r="AG172" s="64"/>
      <c r="AJ172" s="68"/>
      <c r="AK172" s="68">
        <v>0</v>
      </c>
      <c r="BB172" s="236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4301012344</v>
      </c>
      <c r="D173" s="665">
        <v>4680115888876</v>
      </c>
      <c r="E173" s="666"/>
      <c r="F173" s="650">
        <v>0.43</v>
      </c>
      <c r="G173" s="32">
        <v>6</v>
      </c>
      <c r="H173" s="650">
        <v>2.58</v>
      </c>
      <c r="I173" s="650">
        <v>2.76</v>
      </c>
      <c r="J173" s="32">
        <v>182</v>
      </c>
      <c r="K173" s="32" t="s">
        <v>77</v>
      </c>
      <c r="L173" s="32"/>
      <c r="M173" s="33" t="s">
        <v>78</v>
      </c>
      <c r="N173" s="33"/>
      <c r="O173" s="32">
        <v>55</v>
      </c>
      <c r="P173" s="7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4"/>
      <c r="V173" s="34"/>
      <c r="W173" s="35" t="s">
        <v>67</v>
      </c>
      <c r="X173" s="651">
        <v>0</v>
      </c>
      <c r="Y173" s="652">
        <f>IFERROR(IF(X173="",0,CEILING((X173/$H173),1)*$H173),"")</f>
        <v>0</v>
      </c>
      <c r="Z173" s="36" t="str">
        <f>IFERROR(IF(Y173=0,"",ROUNDUP(Y173/H173,0)*0.00651),"")</f>
        <v/>
      </c>
      <c r="AA173" s="56"/>
      <c r="AB173" s="57"/>
      <c r="AC173" s="237" t="s">
        <v>298</v>
      </c>
      <c r="AG173" s="64"/>
      <c r="AJ173" s="68"/>
      <c r="AK173" s="68">
        <v>0</v>
      </c>
      <c r="BB173" s="238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92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93"/>
      <c r="P174" s="659" t="s">
        <v>72</v>
      </c>
      <c r="Q174" s="660"/>
      <c r="R174" s="660"/>
      <c r="S174" s="660"/>
      <c r="T174" s="660"/>
      <c r="U174" s="660"/>
      <c r="V174" s="661"/>
      <c r="W174" s="37" t="s">
        <v>73</v>
      </c>
      <c r="X174" s="653">
        <f>IFERROR(X171/H171,"0")+IFERROR(X172/H172,"0")+IFERROR(X173/H173,"0")</f>
        <v>0</v>
      </c>
      <c r="Y174" s="653">
        <f>IFERROR(Y171/H171,"0")+IFERROR(Y172/H172,"0")+IFERROR(Y173/H173,"0")</f>
        <v>0</v>
      </c>
      <c r="Z174" s="653">
        <f>IFERROR(IF(Z171="",0,Z171),"0")+IFERROR(IF(Z172="",0,Z172),"0")+IFERROR(IF(Z173="",0,Z173),"0")</f>
        <v>0</v>
      </c>
      <c r="AA174" s="654"/>
      <c r="AB174" s="654"/>
      <c r="AC174" s="654"/>
    </row>
    <row r="175" spans="1:68" hidden="1" x14ac:dyDescent="0.2">
      <c r="A175" s="658"/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93"/>
      <c r="P175" s="659" t="s">
        <v>72</v>
      </c>
      <c r="Q175" s="660"/>
      <c r="R175" s="660"/>
      <c r="S175" s="660"/>
      <c r="T175" s="660"/>
      <c r="U175" s="660"/>
      <c r="V175" s="661"/>
      <c r="W175" s="37" t="s">
        <v>67</v>
      </c>
      <c r="X175" s="653">
        <f>IFERROR(SUM(X171:X173),"0")</f>
        <v>0</v>
      </c>
      <c r="Y175" s="653">
        <f>IFERROR(SUM(Y171:Y173),"0")</f>
        <v>0</v>
      </c>
      <c r="Z175" s="37"/>
      <c r="AA175" s="654"/>
      <c r="AB175" s="654"/>
      <c r="AC175" s="654"/>
    </row>
    <row r="176" spans="1:68" ht="14.25" hidden="1" customHeight="1" x14ac:dyDescent="0.25">
      <c r="A176" s="657" t="s">
        <v>144</v>
      </c>
      <c r="B176" s="658"/>
      <c r="C176" s="658"/>
      <c r="D176" s="658"/>
      <c r="E176" s="658"/>
      <c r="F176" s="658"/>
      <c r="G176" s="658"/>
      <c r="H176" s="658"/>
      <c r="I176" s="658"/>
      <c r="J176" s="658"/>
      <c r="K176" s="658"/>
      <c r="L176" s="658"/>
      <c r="M176" s="658"/>
      <c r="N176" s="658"/>
      <c r="O176" s="658"/>
      <c r="P176" s="658"/>
      <c r="Q176" s="658"/>
      <c r="R176" s="658"/>
      <c r="S176" s="658"/>
      <c r="T176" s="658"/>
      <c r="U176" s="658"/>
      <c r="V176" s="658"/>
      <c r="W176" s="658"/>
      <c r="X176" s="658"/>
      <c r="Y176" s="658"/>
      <c r="Z176" s="658"/>
      <c r="AA176" s="647"/>
      <c r="AB176" s="647"/>
      <c r="AC176" s="647"/>
    </row>
    <row r="177" spans="1:68" ht="16.5" hidden="1" customHeight="1" x14ac:dyDescent="0.25">
      <c r="A177" s="54" t="s">
        <v>299</v>
      </c>
      <c r="B177" s="54" t="s">
        <v>300</v>
      </c>
      <c r="C177" s="31">
        <v>4301020410</v>
      </c>
      <c r="D177" s="665">
        <v>4680115887695</v>
      </c>
      <c r="E177" s="666"/>
      <c r="F177" s="650">
        <v>0.12</v>
      </c>
      <c r="G177" s="32">
        <v>6</v>
      </c>
      <c r="H177" s="650">
        <v>0.72</v>
      </c>
      <c r="I177" s="650">
        <v>0.85</v>
      </c>
      <c r="J177" s="32">
        <v>252</v>
      </c>
      <c r="K177" s="32" t="s">
        <v>65</v>
      </c>
      <c r="L177" s="32"/>
      <c r="M177" s="33" t="s">
        <v>66</v>
      </c>
      <c r="N177" s="33"/>
      <c r="O177" s="32">
        <v>30</v>
      </c>
      <c r="P177" s="92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4"/>
      <c r="V177" s="34"/>
      <c r="W177" s="35" t="s">
        <v>67</v>
      </c>
      <c r="X177" s="651">
        <v>0</v>
      </c>
      <c r="Y177" s="652">
        <f>IFERROR(IF(X177="",0,CEILING((X177/$H177),1)*$H177),"")</f>
        <v>0</v>
      </c>
      <c r="Z177" s="36" t="str">
        <f>IFERROR(IF(Y177=0,"",ROUNDUP(Y177/H177,0)*0.00556),"")</f>
        <v/>
      </c>
      <c r="AA177" s="56"/>
      <c r="AB177" s="57"/>
      <c r="AC177" s="239" t="s">
        <v>301</v>
      </c>
      <c r="AG177" s="64"/>
      <c r="AJ177" s="68"/>
      <c r="AK177" s="68">
        <v>0</v>
      </c>
      <c r="BB177" s="240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t="16.5" hidden="1" customHeight="1" x14ac:dyDescent="0.25">
      <c r="A178" s="54" t="s">
        <v>302</v>
      </c>
      <c r="B178" s="54" t="s">
        <v>303</v>
      </c>
      <c r="C178" s="31">
        <v>4301020439</v>
      </c>
      <c r="D178" s="665">
        <v>4680115889491</v>
      </c>
      <c r="E178" s="666"/>
      <c r="F178" s="650">
        <v>0.3</v>
      </c>
      <c r="G178" s="32">
        <v>8</v>
      </c>
      <c r="H178" s="650">
        <v>2.4</v>
      </c>
      <c r="I178" s="650">
        <v>2.5</v>
      </c>
      <c r="J178" s="32">
        <v>234</v>
      </c>
      <c r="K178" s="32" t="s">
        <v>65</v>
      </c>
      <c r="L178" s="32"/>
      <c r="M178" s="33" t="s">
        <v>115</v>
      </c>
      <c r="N178" s="33"/>
      <c r="O178" s="32">
        <v>55</v>
      </c>
      <c r="P178" s="95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4"/>
      <c r="V178" s="34"/>
      <c r="W178" s="35" t="s">
        <v>67</v>
      </c>
      <c r="X178" s="651">
        <v>0</v>
      </c>
      <c r="Y178" s="652">
        <f>IFERROR(IF(X178="",0,CEILING((X178/$H178),1)*$H178),"")</f>
        <v>0</v>
      </c>
      <c r="Z178" s="36" t="str">
        <f>IFERROR(IF(Y178=0,"",ROUNDUP(Y178/H178,0)*0.00502),"")</f>
        <v/>
      </c>
      <c r="AA178" s="56"/>
      <c r="AB178" s="57"/>
      <c r="AC178" s="241" t="s">
        <v>304</v>
      </c>
      <c r="AG178" s="64"/>
      <c r="AJ178" s="68"/>
      <c r="AK178" s="68">
        <v>0</v>
      </c>
      <c r="BB178" s="242" t="s">
        <v>1</v>
      </c>
      <c r="BM178" s="64">
        <f>IFERROR(X178*I178/H178,"0")</f>
        <v>0</v>
      </c>
      <c r="BN178" s="64">
        <f>IFERROR(Y178*I178/H178,"0")</f>
        <v>0</v>
      </c>
      <c r="BO178" s="64">
        <f>IFERROR(1/J178*(X178/H178),"0")</f>
        <v>0</v>
      </c>
      <c r="BP178" s="64">
        <f>IFERROR(1/J178*(Y178/H178),"0")</f>
        <v>0</v>
      </c>
    </row>
    <row r="179" spans="1:68" hidden="1" x14ac:dyDescent="0.2">
      <c r="A179" s="692"/>
      <c r="B179" s="658"/>
      <c r="C179" s="658"/>
      <c r="D179" s="658"/>
      <c r="E179" s="658"/>
      <c r="F179" s="658"/>
      <c r="G179" s="658"/>
      <c r="H179" s="658"/>
      <c r="I179" s="658"/>
      <c r="J179" s="658"/>
      <c r="K179" s="658"/>
      <c r="L179" s="658"/>
      <c r="M179" s="658"/>
      <c r="N179" s="658"/>
      <c r="O179" s="693"/>
      <c r="P179" s="659" t="s">
        <v>72</v>
      </c>
      <c r="Q179" s="660"/>
      <c r="R179" s="660"/>
      <c r="S179" s="660"/>
      <c r="T179" s="660"/>
      <c r="U179" s="660"/>
      <c r="V179" s="661"/>
      <c r="W179" s="37" t="s">
        <v>73</v>
      </c>
      <c r="X179" s="653">
        <f>IFERROR(X177/H177,"0")+IFERROR(X178/H178,"0")</f>
        <v>0</v>
      </c>
      <c r="Y179" s="653">
        <f>IFERROR(Y177/H177,"0")+IFERROR(Y178/H178,"0")</f>
        <v>0</v>
      </c>
      <c r="Z179" s="653">
        <f>IFERROR(IF(Z177="",0,Z177),"0")+IFERROR(IF(Z178="",0,Z178),"0")</f>
        <v>0</v>
      </c>
      <c r="AA179" s="654"/>
      <c r="AB179" s="654"/>
      <c r="AC179" s="654"/>
    </row>
    <row r="180" spans="1:68" hidden="1" x14ac:dyDescent="0.2">
      <c r="A180" s="658"/>
      <c r="B180" s="658"/>
      <c r="C180" s="658"/>
      <c r="D180" s="658"/>
      <c r="E180" s="658"/>
      <c r="F180" s="658"/>
      <c r="G180" s="658"/>
      <c r="H180" s="658"/>
      <c r="I180" s="658"/>
      <c r="J180" s="658"/>
      <c r="K180" s="658"/>
      <c r="L180" s="658"/>
      <c r="M180" s="658"/>
      <c r="N180" s="658"/>
      <c r="O180" s="693"/>
      <c r="P180" s="659" t="s">
        <v>72</v>
      </c>
      <c r="Q180" s="660"/>
      <c r="R180" s="660"/>
      <c r="S180" s="660"/>
      <c r="T180" s="660"/>
      <c r="U180" s="660"/>
      <c r="V180" s="661"/>
      <c r="W180" s="37" t="s">
        <v>67</v>
      </c>
      <c r="X180" s="653">
        <f>IFERROR(SUM(X177:X178),"0")</f>
        <v>0</v>
      </c>
      <c r="Y180" s="653">
        <f>IFERROR(SUM(Y177:Y178),"0")</f>
        <v>0</v>
      </c>
      <c r="Z180" s="37"/>
      <c r="AA180" s="654"/>
      <c r="AB180" s="654"/>
      <c r="AC180" s="654"/>
    </row>
    <row r="181" spans="1:68" ht="14.25" hidden="1" customHeight="1" x14ac:dyDescent="0.25">
      <c r="A181" s="657" t="s">
        <v>62</v>
      </c>
      <c r="B181" s="658"/>
      <c r="C181" s="658"/>
      <c r="D181" s="658"/>
      <c r="E181" s="658"/>
      <c r="F181" s="658"/>
      <c r="G181" s="658"/>
      <c r="H181" s="658"/>
      <c r="I181" s="658"/>
      <c r="J181" s="658"/>
      <c r="K181" s="658"/>
      <c r="L181" s="658"/>
      <c r="M181" s="658"/>
      <c r="N181" s="658"/>
      <c r="O181" s="658"/>
      <c r="P181" s="658"/>
      <c r="Q181" s="658"/>
      <c r="R181" s="658"/>
      <c r="S181" s="658"/>
      <c r="T181" s="658"/>
      <c r="U181" s="658"/>
      <c r="V181" s="658"/>
      <c r="W181" s="658"/>
      <c r="X181" s="658"/>
      <c r="Y181" s="658"/>
      <c r="Z181" s="658"/>
      <c r="AA181" s="647"/>
      <c r="AB181" s="647"/>
      <c r="AC181" s="647"/>
    </row>
    <row r="182" spans="1:68" ht="27" customHeight="1" x14ac:dyDescent="0.25">
      <c r="A182" s="54" t="s">
        <v>305</v>
      </c>
      <c r="B182" s="54" t="s">
        <v>306</v>
      </c>
      <c r="C182" s="31">
        <v>4301031496</v>
      </c>
      <c r="D182" s="665">
        <v>4680115887428</v>
      </c>
      <c r="E182" s="666"/>
      <c r="F182" s="650">
        <v>0.7</v>
      </c>
      <c r="G182" s="32">
        <v>5</v>
      </c>
      <c r="H182" s="650">
        <v>3.5</v>
      </c>
      <c r="I182" s="650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4"/>
      <c r="V182" s="34"/>
      <c r="W182" s="35" t="s">
        <v>67</v>
      </c>
      <c r="X182" s="651">
        <v>200</v>
      </c>
      <c r="Y182" s="652">
        <f t="shared" ref="Y182:Y195" si="27">IFERROR(IF(X182="",0,CEILING((X182/$H182),1)*$H182),"")</f>
        <v>203</v>
      </c>
      <c r="Z182" s="36">
        <f t="shared" ref="Z182:Z187" si="28">IFERROR(IF(Y182=0,"",ROUNDUP(Y182/H182,0)*0.00902),"")</f>
        <v>0.52316000000000007</v>
      </c>
      <c r="AA182" s="56"/>
      <c r="AB182" s="57"/>
      <c r="AC182" s="243" t="s">
        <v>307</v>
      </c>
      <c r="AG182" s="64"/>
      <c r="AJ182" s="68"/>
      <c r="AK182" s="68">
        <v>0</v>
      </c>
      <c r="BB182" s="244" t="s">
        <v>1</v>
      </c>
      <c r="BM182" s="64">
        <f t="shared" ref="BM182:BM195" si="29">IFERROR(X182*I182/H182,"0")</f>
        <v>210.85714285714286</v>
      </c>
      <c r="BN182" s="64">
        <f t="shared" ref="BN182:BN195" si="30">IFERROR(Y182*I182/H182,"0")</f>
        <v>214.01999999999998</v>
      </c>
      <c r="BO182" s="64">
        <f t="shared" ref="BO182:BO195" si="31">IFERROR(1/J182*(X182/H182),"0")</f>
        <v>0.43290043290043295</v>
      </c>
      <c r="BP182" s="64">
        <f t="shared" ref="BP182:BP195" si="32">IFERROR(1/J182*(Y182/H182),"0")</f>
        <v>0.43939393939393939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4301031509</v>
      </c>
      <c r="D183" s="665">
        <v>4680115889170</v>
      </c>
      <c r="E183" s="666"/>
      <c r="F183" s="650">
        <v>0.7</v>
      </c>
      <c r="G183" s="32">
        <v>5</v>
      </c>
      <c r="H183" s="650">
        <v>3.5</v>
      </c>
      <c r="I183" s="650">
        <v>3.7650000000000001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45</v>
      </c>
      <c r="P183" s="9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4"/>
      <c r="V183" s="34"/>
      <c r="W183" s="35" t="s">
        <v>67</v>
      </c>
      <c r="X183" s="651">
        <v>0</v>
      </c>
      <c r="Y183" s="652">
        <f t="shared" si="27"/>
        <v>0</v>
      </c>
      <c r="Z183" s="36" t="str">
        <f t="shared" si="28"/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9"/>
        <v>0</v>
      </c>
      <c r="BN183" s="64">
        <f t="shared" si="30"/>
        <v>0</v>
      </c>
      <c r="BO183" s="64">
        <f t="shared" si="31"/>
        <v>0</v>
      </c>
      <c r="BP183" s="64">
        <f t="shared" si="32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4301031498</v>
      </c>
      <c r="D184" s="665">
        <v>4680115887398</v>
      </c>
      <c r="E184" s="666"/>
      <c r="F184" s="650">
        <v>0.7</v>
      </c>
      <c r="G184" s="32">
        <v>5</v>
      </c>
      <c r="H184" s="650">
        <v>3.5</v>
      </c>
      <c r="I184" s="650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40</v>
      </c>
      <c r="P184" s="7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4"/>
      <c r="V184" s="34"/>
      <c r="W184" s="35" t="s">
        <v>67</v>
      </c>
      <c r="X184" s="651">
        <v>150</v>
      </c>
      <c r="Y184" s="652">
        <f t="shared" si="27"/>
        <v>150.5</v>
      </c>
      <c r="Z184" s="36">
        <f t="shared" si="28"/>
        <v>0.38785999999999998</v>
      </c>
      <c r="AA184" s="56"/>
      <c r="AB184" s="57"/>
      <c r="AC184" s="247" t="s">
        <v>313</v>
      </c>
      <c r="AG184" s="64"/>
      <c r="AJ184" s="68"/>
      <c r="AK184" s="68">
        <v>0</v>
      </c>
      <c r="BB184" s="248" t="s">
        <v>1</v>
      </c>
      <c r="BM184" s="64">
        <f t="shared" si="29"/>
        <v>158.14285714285714</v>
      </c>
      <c r="BN184" s="64">
        <f t="shared" si="30"/>
        <v>158.67000000000002</v>
      </c>
      <c r="BO184" s="64">
        <f t="shared" si="31"/>
        <v>0.32467532467532467</v>
      </c>
      <c r="BP184" s="64">
        <f t="shared" si="32"/>
        <v>0.32575757575757575</v>
      </c>
    </row>
    <row r="185" spans="1:68" ht="27" hidden="1" customHeight="1" x14ac:dyDescent="0.25">
      <c r="A185" s="54" t="s">
        <v>311</v>
      </c>
      <c r="B185" s="54" t="s">
        <v>314</v>
      </c>
      <c r="C185" s="31">
        <v>4301031522</v>
      </c>
      <c r="D185" s="665">
        <v>4680115887398</v>
      </c>
      <c r="E185" s="666"/>
      <c r="F185" s="650">
        <v>0.7</v>
      </c>
      <c r="G185" s="32">
        <v>5</v>
      </c>
      <c r="H185" s="650">
        <v>3.5</v>
      </c>
      <c r="I185" s="650">
        <v>3.69</v>
      </c>
      <c r="J185" s="32">
        <v>132</v>
      </c>
      <c r="K185" s="32" t="s">
        <v>123</v>
      </c>
      <c r="L185" s="32"/>
      <c r="M185" s="33" t="s">
        <v>66</v>
      </c>
      <c r="N185" s="33"/>
      <c r="O185" s="32">
        <v>45</v>
      </c>
      <c r="P185" s="826" t="s">
        <v>315</v>
      </c>
      <c r="Q185" s="668"/>
      <c r="R185" s="668"/>
      <c r="S185" s="668"/>
      <c r="T185" s="669"/>
      <c r="U185" s="34"/>
      <c r="V185" s="34"/>
      <c r="W185" s="35" t="s">
        <v>67</v>
      </c>
      <c r="X185" s="651">
        <v>0</v>
      </c>
      <c r="Y185" s="652">
        <f t="shared" si="27"/>
        <v>0</v>
      </c>
      <c r="Z185" s="36" t="str">
        <f t="shared" si="28"/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9"/>
        <v>0</v>
      </c>
      <c r="BN185" s="64">
        <f t="shared" si="30"/>
        <v>0</v>
      </c>
      <c r="BO185" s="64">
        <f t="shared" si="31"/>
        <v>0</v>
      </c>
      <c r="BP185" s="64">
        <f t="shared" si="32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4301031497</v>
      </c>
      <c r="D186" s="665">
        <v>4680115887336</v>
      </c>
      <c r="E186" s="666"/>
      <c r="F186" s="650">
        <v>0.7</v>
      </c>
      <c r="G186" s="32">
        <v>5</v>
      </c>
      <c r="H186" s="650">
        <v>3.5</v>
      </c>
      <c r="I186" s="650">
        <v>3.69</v>
      </c>
      <c r="J186" s="32">
        <v>132</v>
      </c>
      <c r="K186" s="32" t="s">
        <v>123</v>
      </c>
      <c r="L186" s="32"/>
      <c r="M186" s="33" t="s">
        <v>66</v>
      </c>
      <c r="N186" s="33"/>
      <c r="O186" s="32">
        <v>40</v>
      </c>
      <c r="P186" s="98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4"/>
      <c r="V186" s="34"/>
      <c r="W186" s="35" t="s">
        <v>67</v>
      </c>
      <c r="X186" s="651">
        <v>150</v>
      </c>
      <c r="Y186" s="652">
        <f t="shared" si="27"/>
        <v>150.5</v>
      </c>
      <c r="Z186" s="36">
        <f t="shared" si="28"/>
        <v>0.38785999999999998</v>
      </c>
      <c r="AA186" s="56"/>
      <c r="AB186" s="57"/>
      <c r="AC186" s="251" t="s">
        <v>319</v>
      </c>
      <c r="AG186" s="64"/>
      <c r="AJ186" s="68"/>
      <c r="AK186" s="68">
        <v>0</v>
      </c>
      <c r="BB186" s="252" t="s">
        <v>1</v>
      </c>
      <c r="BM186" s="64">
        <f t="shared" si="29"/>
        <v>158.14285714285714</v>
      </c>
      <c r="BN186" s="64">
        <f t="shared" si="30"/>
        <v>158.67000000000002</v>
      </c>
      <c r="BO186" s="64">
        <f t="shared" si="31"/>
        <v>0.32467532467532467</v>
      </c>
      <c r="BP186" s="64">
        <f t="shared" si="32"/>
        <v>0.32575757575757575</v>
      </c>
    </row>
    <row r="187" spans="1:68" ht="27" hidden="1" customHeight="1" x14ac:dyDescent="0.25">
      <c r="A187" s="54" t="s">
        <v>317</v>
      </c>
      <c r="B187" s="54" t="s">
        <v>320</v>
      </c>
      <c r="C187" s="31">
        <v>4301031520</v>
      </c>
      <c r="D187" s="665">
        <v>4680115887336</v>
      </c>
      <c r="E187" s="666"/>
      <c r="F187" s="650">
        <v>0.7</v>
      </c>
      <c r="G187" s="32">
        <v>5</v>
      </c>
      <c r="H187" s="650">
        <v>3.5</v>
      </c>
      <c r="I187" s="650">
        <v>3.69</v>
      </c>
      <c r="J187" s="32">
        <v>132</v>
      </c>
      <c r="K187" s="32" t="s">
        <v>123</v>
      </c>
      <c r="L187" s="32"/>
      <c r="M187" s="33" t="s">
        <v>66</v>
      </c>
      <c r="N187" s="33"/>
      <c r="O187" s="32">
        <v>45</v>
      </c>
      <c r="P187" s="771" t="s">
        <v>321</v>
      </c>
      <c r="Q187" s="668"/>
      <c r="R187" s="668"/>
      <c r="S187" s="668"/>
      <c r="T187" s="669"/>
      <c r="U187" s="34"/>
      <c r="V187" s="34"/>
      <c r="W187" s="35" t="s">
        <v>67</v>
      </c>
      <c r="X187" s="651">
        <v>0</v>
      </c>
      <c r="Y187" s="652">
        <f t="shared" si="27"/>
        <v>0</v>
      </c>
      <c r="Z187" s="36" t="str">
        <f t="shared" si="28"/>
        <v/>
      </c>
      <c r="AA187" s="56"/>
      <c r="AB187" s="57"/>
      <c r="AC187" s="253" t="s">
        <v>322</v>
      </c>
      <c r="AG187" s="64"/>
      <c r="AJ187" s="68"/>
      <c r="AK187" s="68">
        <v>0</v>
      </c>
      <c r="BB187" s="254" t="s">
        <v>1</v>
      </c>
      <c r="BM187" s="64">
        <f t="shared" si="29"/>
        <v>0</v>
      </c>
      <c r="BN187" s="64">
        <f t="shared" si="30"/>
        <v>0</v>
      </c>
      <c r="BO187" s="64">
        <f t="shared" si="31"/>
        <v>0</v>
      </c>
      <c r="BP187" s="64">
        <f t="shared" si="32"/>
        <v>0</v>
      </c>
    </row>
    <row r="188" spans="1:68" ht="16.5" hidden="1" customHeight="1" x14ac:dyDescent="0.25">
      <c r="A188" s="54" t="s">
        <v>323</v>
      </c>
      <c r="B188" s="54" t="s">
        <v>324</v>
      </c>
      <c r="C188" s="31">
        <v>4301032049</v>
      </c>
      <c r="D188" s="665">
        <v>4680115887787</v>
      </c>
      <c r="E188" s="666"/>
      <c r="F188" s="650">
        <v>0.09</v>
      </c>
      <c r="G188" s="32">
        <v>10</v>
      </c>
      <c r="H188" s="650">
        <v>0.9</v>
      </c>
      <c r="I188" s="650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101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4"/>
      <c r="V188" s="34"/>
      <c r="W188" s="35" t="s">
        <v>67</v>
      </c>
      <c r="X188" s="651">
        <v>0</v>
      </c>
      <c r="Y188" s="652">
        <f t="shared" si="27"/>
        <v>0</v>
      </c>
      <c r="Z188" s="36" t="str">
        <f>IFERROR(IF(Y188=0,"",ROUNDUP(Y188/H188,0)*0.00417),"")</f>
        <v/>
      </c>
      <c r="AA188" s="56"/>
      <c r="AB188" s="57"/>
      <c r="AC188" s="255" t="s">
        <v>325</v>
      </c>
      <c r="AG188" s="64"/>
      <c r="AJ188" s="68"/>
      <c r="AK188" s="68">
        <v>0</v>
      </c>
      <c r="BB188" s="256" t="s">
        <v>1</v>
      </c>
      <c r="BM188" s="64">
        <f t="shared" si="29"/>
        <v>0</v>
      </c>
      <c r="BN188" s="64">
        <f t="shared" si="30"/>
        <v>0</v>
      </c>
      <c r="BO188" s="64">
        <f t="shared" si="31"/>
        <v>0</v>
      </c>
      <c r="BP188" s="64">
        <f t="shared" si="32"/>
        <v>0</v>
      </c>
    </row>
    <row r="189" spans="1:68" ht="16.5" hidden="1" customHeight="1" x14ac:dyDescent="0.25">
      <c r="A189" s="54" t="s">
        <v>323</v>
      </c>
      <c r="B189" s="54" t="s">
        <v>326</v>
      </c>
      <c r="C189" s="31">
        <v>4301031528</v>
      </c>
      <c r="D189" s="665">
        <v>4680115887787</v>
      </c>
      <c r="E189" s="666"/>
      <c r="F189" s="650">
        <v>0.09</v>
      </c>
      <c r="G189" s="32">
        <v>10</v>
      </c>
      <c r="H189" s="650">
        <v>0.9</v>
      </c>
      <c r="I189" s="650">
        <v>1.1100000000000001</v>
      </c>
      <c r="J189" s="32">
        <v>192</v>
      </c>
      <c r="K189" s="32" t="s">
        <v>119</v>
      </c>
      <c r="L189" s="32"/>
      <c r="M189" s="33" t="s">
        <v>66</v>
      </c>
      <c r="N189" s="33"/>
      <c r="O189" s="32">
        <v>45</v>
      </c>
      <c r="P189" s="935" t="s">
        <v>327</v>
      </c>
      <c r="Q189" s="668"/>
      <c r="R189" s="668"/>
      <c r="S189" s="668"/>
      <c r="T189" s="669"/>
      <c r="U189" s="34"/>
      <c r="V189" s="34"/>
      <c r="W189" s="35" t="s">
        <v>67</v>
      </c>
      <c r="X189" s="651">
        <v>0</v>
      </c>
      <c r="Y189" s="652">
        <f t="shared" si="27"/>
        <v>0</v>
      </c>
      <c r="Z189" s="36" t="str">
        <f>IFERROR(IF(Y189=0,"",ROUNDUP(Y189/H189,0)*0.00726),"")</f>
        <v/>
      </c>
      <c r="AA189" s="56"/>
      <c r="AB189" s="57"/>
      <c r="AC189" s="257" t="s">
        <v>325</v>
      </c>
      <c r="AG189" s="64"/>
      <c r="AJ189" s="68"/>
      <c r="AK189" s="68">
        <v>0</v>
      </c>
      <c r="BB189" s="258" t="s">
        <v>1</v>
      </c>
      <c r="BM189" s="64">
        <f t="shared" si="29"/>
        <v>0</v>
      </c>
      <c r="BN189" s="64">
        <f t="shared" si="30"/>
        <v>0</v>
      </c>
      <c r="BO189" s="64">
        <f t="shared" si="31"/>
        <v>0</v>
      </c>
      <c r="BP189" s="64">
        <f t="shared" si="32"/>
        <v>0</v>
      </c>
    </row>
    <row r="190" spans="1:68" ht="27" customHeight="1" x14ac:dyDescent="0.25">
      <c r="A190" s="54" t="s">
        <v>328</v>
      </c>
      <c r="B190" s="54" t="s">
        <v>329</v>
      </c>
      <c r="C190" s="31">
        <v>4301031448</v>
      </c>
      <c r="D190" s="665">
        <v>4680115887503</v>
      </c>
      <c r="E190" s="666"/>
      <c r="F190" s="650">
        <v>0.28000000000000003</v>
      </c>
      <c r="G190" s="32">
        <v>6</v>
      </c>
      <c r="H190" s="650">
        <v>1.68</v>
      </c>
      <c r="I190" s="650">
        <v>1.78</v>
      </c>
      <c r="J190" s="32">
        <v>234</v>
      </c>
      <c r="K190" s="32" t="s">
        <v>65</v>
      </c>
      <c r="L190" s="32"/>
      <c r="M190" s="33" t="s">
        <v>66</v>
      </c>
      <c r="N190" s="33"/>
      <c r="O190" s="32">
        <v>40</v>
      </c>
      <c r="P190" s="92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4"/>
      <c r="V190" s="34"/>
      <c r="W190" s="35" t="s">
        <v>67</v>
      </c>
      <c r="X190" s="651">
        <v>56</v>
      </c>
      <c r="Y190" s="652">
        <f t="shared" si="27"/>
        <v>57.12</v>
      </c>
      <c r="Z190" s="36">
        <f>IFERROR(IF(Y190=0,"",ROUNDUP(Y190/H190,0)*0.00502),"")</f>
        <v>0.17068</v>
      </c>
      <c r="AA190" s="56"/>
      <c r="AB190" s="57"/>
      <c r="AC190" s="259" t="s">
        <v>307</v>
      </c>
      <c r="AG190" s="64"/>
      <c r="AJ190" s="68"/>
      <c r="AK190" s="68">
        <v>0</v>
      </c>
      <c r="BB190" s="260" t="s">
        <v>1</v>
      </c>
      <c r="BM190" s="64">
        <f t="shared" si="29"/>
        <v>59.333333333333343</v>
      </c>
      <c r="BN190" s="64">
        <f t="shared" si="30"/>
        <v>60.519999999999996</v>
      </c>
      <c r="BO190" s="64">
        <f t="shared" si="31"/>
        <v>0.14245014245014248</v>
      </c>
      <c r="BP190" s="64">
        <f t="shared" si="32"/>
        <v>0.14529914529914531</v>
      </c>
    </row>
    <row r="191" spans="1:68" ht="27" hidden="1" customHeight="1" x14ac:dyDescent="0.25">
      <c r="A191" s="54" t="s">
        <v>330</v>
      </c>
      <c r="B191" s="54" t="s">
        <v>331</v>
      </c>
      <c r="C191" s="31">
        <v>4301031389</v>
      </c>
      <c r="D191" s="665">
        <v>4680115887763</v>
      </c>
      <c r="E191" s="666"/>
      <c r="F191" s="650">
        <v>0.09</v>
      </c>
      <c r="G191" s="32">
        <v>10</v>
      </c>
      <c r="H191" s="650">
        <v>0.9</v>
      </c>
      <c r="I191" s="650">
        <v>1.1100000000000001</v>
      </c>
      <c r="J191" s="32">
        <v>336</v>
      </c>
      <c r="K191" s="32" t="s">
        <v>119</v>
      </c>
      <c r="L191" s="32"/>
      <c r="M191" s="33" t="s">
        <v>66</v>
      </c>
      <c r="N191" s="33"/>
      <c r="O191" s="32">
        <v>45</v>
      </c>
      <c r="P191" s="9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4"/>
      <c r="V191" s="34"/>
      <c r="W191" s="35" t="s">
        <v>67</v>
      </c>
      <c r="X191" s="651">
        <v>0</v>
      </c>
      <c r="Y191" s="652">
        <f t="shared" si="27"/>
        <v>0</v>
      </c>
      <c r="Z191" s="36" t="str">
        <f>IFERROR(IF(Y191=0,"",ROUNDUP(Y191/H191,0)*0.00417),"")</f>
        <v/>
      </c>
      <c r="AA191" s="56"/>
      <c r="AB191" s="57"/>
      <c r="AC191" s="261" t="s">
        <v>332</v>
      </c>
      <c r="AG191" s="64"/>
      <c r="AJ191" s="68"/>
      <c r="AK191" s="68">
        <v>0</v>
      </c>
      <c r="BB191" s="262" t="s">
        <v>1</v>
      </c>
      <c r="BM191" s="64">
        <f t="shared" si="29"/>
        <v>0</v>
      </c>
      <c r="BN191" s="64">
        <f t="shared" si="30"/>
        <v>0</v>
      </c>
      <c r="BO191" s="64">
        <f t="shared" si="31"/>
        <v>0</v>
      </c>
      <c r="BP191" s="64">
        <f t="shared" si="32"/>
        <v>0</v>
      </c>
    </row>
    <row r="192" spans="1:68" ht="27" customHeight="1" x14ac:dyDescent="0.25">
      <c r="A192" s="54" t="s">
        <v>333</v>
      </c>
      <c r="B192" s="54" t="s">
        <v>334</v>
      </c>
      <c r="C192" s="31">
        <v>4301031454</v>
      </c>
      <c r="D192" s="665">
        <v>4680115887480</v>
      </c>
      <c r="E192" s="666"/>
      <c r="F192" s="650">
        <v>0.28000000000000003</v>
      </c>
      <c r="G192" s="32">
        <v>6</v>
      </c>
      <c r="H192" s="650">
        <v>1.68</v>
      </c>
      <c r="I192" s="650">
        <v>1.78</v>
      </c>
      <c r="J192" s="32">
        <v>234</v>
      </c>
      <c r="K192" s="32" t="s">
        <v>65</v>
      </c>
      <c r="L192" s="32"/>
      <c r="M192" s="33" t="s">
        <v>66</v>
      </c>
      <c r="N192" s="33"/>
      <c r="O192" s="32">
        <v>40</v>
      </c>
      <c r="P192" s="76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4"/>
      <c r="V192" s="34"/>
      <c r="W192" s="35" t="s">
        <v>67</v>
      </c>
      <c r="X192" s="651">
        <v>56</v>
      </c>
      <c r="Y192" s="652">
        <f t="shared" si="27"/>
        <v>57.12</v>
      </c>
      <c r="Z192" s="36">
        <f>IFERROR(IF(Y192=0,"",ROUNDUP(Y192/H192,0)*0.00502),"")</f>
        <v>0.17068</v>
      </c>
      <c r="AA192" s="56"/>
      <c r="AB192" s="57"/>
      <c r="AC192" s="263" t="s">
        <v>313</v>
      </c>
      <c r="AG192" s="64"/>
      <c r="AJ192" s="68"/>
      <c r="AK192" s="68">
        <v>0</v>
      </c>
      <c r="BB192" s="264" t="s">
        <v>1</v>
      </c>
      <c r="BM192" s="64">
        <f t="shared" si="29"/>
        <v>59.333333333333343</v>
      </c>
      <c r="BN192" s="64">
        <f t="shared" si="30"/>
        <v>60.519999999999996</v>
      </c>
      <c r="BO192" s="64">
        <f t="shared" si="31"/>
        <v>0.14245014245014248</v>
      </c>
      <c r="BP192" s="64">
        <f t="shared" si="32"/>
        <v>0.14529914529914531</v>
      </c>
    </row>
    <row r="193" spans="1:68" ht="27" hidden="1" customHeight="1" x14ac:dyDescent="0.25">
      <c r="A193" s="54" t="s">
        <v>333</v>
      </c>
      <c r="B193" s="54" t="s">
        <v>335</v>
      </c>
      <c r="C193" s="31">
        <v>4301031521</v>
      </c>
      <c r="D193" s="665">
        <v>4680115887480</v>
      </c>
      <c r="E193" s="666"/>
      <c r="F193" s="650">
        <v>0.28000000000000003</v>
      </c>
      <c r="G193" s="32">
        <v>6</v>
      </c>
      <c r="H193" s="650">
        <v>1.68</v>
      </c>
      <c r="I193" s="650">
        <v>1.78</v>
      </c>
      <c r="J193" s="32">
        <v>234</v>
      </c>
      <c r="K193" s="32" t="s">
        <v>65</v>
      </c>
      <c r="L193" s="32"/>
      <c r="M193" s="33" t="s">
        <v>66</v>
      </c>
      <c r="N193" s="33"/>
      <c r="O193" s="32">
        <v>45</v>
      </c>
      <c r="P193" s="905" t="s">
        <v>336</v>
      </c>
      <c r="Q193" s="668"/>
      <c r="R193" s="668"/>
      <c r="S193" s="668"/>
      <c r="T193" s="669"/>
      <c r="U193" s="34"/>
      <c r="V193" s="34"/>
      <c r="W193" s="35" t="s">
        <v>67</v>
      </c>
      <c r="X193" s="651">
        <v>0</v>
      </c>
      <c r="Y193" s="652">
        <f t="shared" si="27"/>
        <v>0</v>
      </c>
      <c r="Z193" s="36" t="str">
        <f>IFERROR(IF(Y193=0,"",ROUNDUP(Y193/H193,0)*0.00502),"")</f>
        <v/>
      </c>
      <c r="AA193" s="56"/>
      <c r="AB193" s="57"/>
      <c r="AC193" s="265" t="s">
        <v>316</v>
      </c>
      <c r="AG193" s="64"/>
      <c r="AJ193" s="68"/>
      <c r="AK193" s="68">
        <v>0</v>
      </c>
      <c r="BB193" s="266" t="s">
        <v>1</v>
      </c>
      <c r="BM193" s="64">
        <f t="shared" si="29"/>
        <v>0</v>
      </c>
      <c r="BN193" s="64">
        <f t="shared" si="30"/>
        <v>0</v>
      </c>
      <c r="BO193" s="64">
        <f t="shared" si="31"/>
        <v>0</v>
      </c>
      <c r="BP193" s="64">
        <f t="shared" si="32"/>
        <v>0</v>
      </c>
    </row>
    <row r="194" spans="1:68" ht="27" hidden="1" customHeight="1" x14ac:dyDescent="0.25">
      <c r="A194" s="54" t="s">
        <v>337</v>
      </c>
      <c r="B194" s="54" t="s">
        <v>338</v>
      </c>
      <c r="C194" s="31">
        <v>4301031434</v>
      </c>
      <c r="D194" s="665">
        <v>4680115888067</v>
      </c>
      <c r="E194" s="666"/>
      <c r="F194" s="650">
        <v>0.09</v>
      </c>
      <c r="G194" s="32">
        <v>10</v>
      </c>
      <c r="H194" s="650">
        <v>0.9</v>
      </c>
      <c r="I194" s="650">
        <v>1</v>
      </c>
      <c r="J194" s="32">
        <v>336</v>
      </c>
      <c r="K194" s="32" t="s">
        <v>119</v>
      </c>
      <c r="L194" s="32"/>
      <c r="M194" s="33" t="s">
        <v>66</v>
      </c>
      <c r="N194" s="33"/>
      <c r="O194" s="32">
        <v>45</v>
      </c>
      <c r="P194" s="78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4"/>
      <c r="V194" s="34"/>
      <c r="W194" s="35" t="s">
        <v>67</v>
      </c>
      <c r="X194" s="651">
        <v>0</v>
      </c>
      <c r="Y194" s="652">
        <f t="shared" si="27"/>
        <v>0</v>
      </c>
      <c r="Z194" s="36" t="str">
        <f>IFERROR(IF(Y194=0,"",ROUNDUP(Y194/H194,0)*0.00417),"")</f>
        <v/>
      </c>
      <c r="AA194" s="56"/>
      <c r="AB194" s="57"/>
      <c r="AC194" s="267" t="s">
        <v>339</v>
      </c>
      <c r="AG194" s="64"/>
      <c r="AJ194" s="68"/>
      <c r="AK194" s="68">
        <v>0</v>
      </c>
      <c r="BB194" s="268" t="s">
        <v>1</v>
      </c>
      <c r="BM194" s="64">
        <f t="shared" si="29"/>
        <v>0</v>
      </c>
      <c r="BN194" s="64">
        <f t="shared" si="30"/>
        <v>0</v>
      </c>
      <c r="BO194" s="64">
        <f t="shared" si="31"/>
        <v>0</v>
      </c>
      <c r="BP194" s="64">
        <f t="shared" si="32"/>
        <v>0</v>
      </c>
    </row>
    <row r="195" spans="1:68" ht="27" customHeight="1" x14ac:dyDescent="0.25">
      <c r="A195" s="54" t="s">
        <v>340</v>
      </c>
      <c r="B195" s="54" t="s">
        <v>341</v>
      </c>
      <c r="C195" s="31">
        <v>4301031519</v>
      </c>
      <c r="D195" s="665">
        <v>4680115887435</v>
      </c>
      <c r="E195" s="666"/>
      <c r="F195" s="650">
        <v>0.28000000000000003</v>
      </c>
      <c r="G195" s="32">
        <v>6</v>
      </c>
      <c r="H195" s="650">
        <v>1.68</v>
      </c>
      <c r="I195" s="650">
        <v>1.78</v>
      </c>
      <c r="J195" s="32">
        <v>234</v>
      </c>
      <c r="K195" s="32" t="s">
        <v>65</v>
      </c>
      <c r="L195" s="32"/>
      <c r="M195" s="33" t="s">
        <v>66</v>
      </c>
      <c r="N195" s="33"/>
      <c r="O195" s="32">
        <v>45</v>
      </c>
      <c r="P195" s="80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4"/>
      <c r="V195" s="34"/>
      <c r="W195" s="35" t="s">
        <v>67</v>
      </c>
      <c r="X195" s="651">
        <v>56</v>
      </c>
      <c r="Y195" s="652">
        <f t="shared" si="27"/>
        <v>57.12</v>
      </c>
      <c r="Z195" s="36">
        <f>IFERROR(IF(Y195=0,"",ROUNDUP(Y195/H195,0)*0.00502),"")</f>
        <v>0.17068</v>
      </c>
      <c r="AA195" s="56"/>
      <c r="AB195" s="57"/>
      <c r="AC195" s="269" t="s">
        <v>322</v>
      </c>
      <c r="AG195" s="64"/>
      <c r="AJ195" s="68"/>
      <c r="AK195" s="68">
        <v>0</v>
      </c>
      <c r="BB195" s="270" t="s">
        <v>1</v>
      </c>
      <c r="BM195" s="64">
        <f t="shared" si="29"/>
        <v>59.333333333333343</v>
      </c>
      <c r="BN195" s="64">
        <f t="shared" si="30"/>
        <v>60.519999999999996</v>
      </c>
      <c r="BO195" s="64">
        <f t="shared" si="31"/>
        <v>0.14245014245014248</v>
      </c>
      <c r="BP195" s="64">
        <f t="shared" si="32"/>
        <v>0.14529914529914531</v>
      </c>
    </row>
    <row r="196" spans="1:68" x14ac:dyDescent="0.2">
      <c r="A196" s="692"/>
      <c r="B196" s="658"/>
      <c r="C196" s="658"/>
      <c r="D196" s="658"/>
      <c r="E196" s="658"/>
      <c r="F196" s="658"/>
      <c r="G196" s="658"/>
      <c r="H196" s="658"/>
      <c r="I196" s="658"/>
      <c r="J196" s="658"/>
      <c r="K196" s="658"/>
      <c r="L196" s="658"/>
      <c r="M196" s="658"/>
      <c r="N196" s="658"/>
      <c r="O196" s="693"/>
      <c r="P196" s="659" t="s">
        <v>72</v>
      </c>
      <c r="Q196" s="660"/>
      <c r="R196" s="660"/>
      <c r="S196" s="660"/>
      <c r="T196" s="660"/>
      <c r="U196" s="660"/>
      <c r="V196" s="661"/>
      <c r="W196" s="37" t="s">
        <v>73</v>
      </c>
      <c r="X196" s="65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242.85714285714289</v>
      </c>
      <c r="Y196" s="65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246</v>
      </c>
      <c r="Z196" s="65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1.8109199999999999</v>
      </c>
      <c r="AA196" s="654"/>
      <c r="AB196" s="654"/>
      <c r="AC196" s="654"/>
    </row>
    <row r="197" spans="1:68" x14ac:dyDescent="0.2">
      <c r="A197" s="658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93"/>
      <c r="P197" s="659" t="s">
        <v>72</v>
      </c>
      <c r="Q197" s="660"/>
      <c r="R197" s="660"/>
      <c r="S197" s="660"/>
      <c r="T197" s="660"/>
      <c r="U197" s="660"/>
      <c r="V197" s="661"/>
      <c r="W197" s="37" t="s">
        <v>67</v>
      </c>
      <c r="X197" s="653">
        <f>IFERROR(SUM(X182:X195),"0")</f>
        <v>668</v>
      </c>
      <c r="Y197" s="653">
        <f>IFERROR(SUM(Y182:Y195),"0")</f>
        <v>675.36</v>
      </c>
      <c r="Z197" s="37"/>
      <c r="AA197" s="654"/>
      <c r="AB197" s="654"/>
      <c r="AC197" s="654"/>
    </row>
    <row r="198" spans="1:68" ht="14.25" hidden="1" customHeight="1" x14ac:dyDescent="0.25">
      <c r="A198" s="657" t="s">
        <v>74</v>
      </c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8"/>
      <c r="P198" s="658"/>
      <c r="Q198" s="658"/>
      <c r="R198" s="658"/>
      <c r="S198" s="658"/>
      <c r="T198" s="658"/>
      <c r="U198" s="658"/>
      <c r="V198" s="658"/>
      <c r="W198" s="658"/>
      <c r="X198" s="658"/>
      <c r="Y198" s="658"/>
      <c r="Z198" s="658"/>
      <c r="AA198" s="647"/>
      <c r="AB198" s="647"/>
      <c r="AC198" s="647"/>
    </row>
    <row r="199" spans="1:68" ht="16.5" hidden="1" customHeight="1" x14ac:dyDescent="0.25">
      <c r="A199" s="54" t="s">
        <v>342</v>
      </c>
      <c r="B199" s="54" t="s">
        <v>343</v>
      </c>
      <c r="C199" s="31">
        <v>4301052193</v>
      </c>
      <c r="D199" s="665">
        <v>4680115888395</v>
      </c>
      <c r="E199" s="666"/>
      <c r="F199" s="650">
        <v>0.42</v>
      </c>
      <c r="G199" s="32">
        <v>6</v>
      </c>
      <c r="H199" s="650">
        <v>2.52</v>
      </c>
      <c r="I199" s="650">
        <v>2.766</v>
      </c>
      <c r="J199" s="32">
        <v>182</v>
      </c>
      <c r="K199" s="32" t="s">
        <v>77</v>
      </c>
      <c r="L199" s="32"/>
      <c r="M199" s="33" t="s">
        <v>84</v>
      </c>
      <c r="N199" s="33"/>
      <c r="O199" s="32">
        <v>40</v>
      </c>
      <c r="P199" s="10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4"/>
      <c r="V199" s="34"/>
      <c r="W199" s="35" t="s">
        <v>67</v>
      </c>
      <c r="X199" s="651">
        <v>0</v>
      </c>
      <c r="Y199" s="652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71" t="s">
        <v>344</v>
      </c>
      <c r="AG199" s="64"/>
      <c r="AJ199" s="68"/>
      <c r="AK199" s="68">
        <v>0</v>
      </c>
      <c r="BB199" s="27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345</v>
      </c>
      <c r="B200" s="54" t="s">
        <v>346</v>
      </c>
      <c r="C200" s="31">
        <v>4301052191</v>
      </c>
      <c r="D200" s="665">
        <v>4680115888371</v>
      </c>
      <c r="E200" s="666"/>
      <c r="F200" s="650">
        <v>0.42</v>
      </c>
      <c r="G200" s="32">
        <v>6</v>
      </c>
      <c r="H200" s="650">
        <v>2.52</v>
      </c>
      <c r="I200" s="650">
        <v>2.766</v>
      </c>
      <c r="J200" s="32">
        <v>182</v>
      </c>
      <c r="K200" s="32" t="s">
        <v>77</v>
      </c>
      <c r="L200" s="32"/>
      <c r="M200" s="33" t="s">
        <v>84</v>
      </c>
      <c r="N200" s="33"/>
      <c r="O200" s="32">
        <v>40</v>
      </c>
      <c r="P200" s="9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4"/>
      <c r="V200" s="34"/>
      <c r="W200" s="35" t="s">
        <v>67</v>
      </c>
      <c r="X200" s="651">
        <v>0</v>
      </c>
      <c r="Y200" s="6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73" t="s">
        <v>347</v>
      </c>
      <c r="AG200" s="64"/>
      <c r="AJ200" s="68"/>
      <c r="AK200" s="68">
        <v>0</v>
      </c>
      <c r="BB200" s="27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348</v>
      </c>
      <c r="B201" s="54" t="s">
        <v>349</v>
      </c>
      <c r="C201" s="31">
        <v>4301052064</v>
      </c>
      <c r="D201" s="665">
        <v>4680115887459</v>
      </c>
      <c r="E201" s="666"/>
      <c r="F201" s="650">
        <v>0.3</v>
      </c>
      <c r="G201" s="32">
        <v>6</v>
      </c>
      <c r="H201" s="650">
        <v>1.8</v>
      </c>
      <c r="I201" s="650">
        <v>2.0579999999999998</v>
      </c>
      <c r="J201" s="32">
        <v>182</v>
      </c>
      <c r="K201" s="32" t="s">
        <v>77</v>
      </c>
      <c r="L201" s="32"/>
      <c r="M201" s="33" t="s">
        <v>78</v>
      </c>
      <c r="N201" s="33"/>
      <c r="O201" s="32">
        <v>45</v>
      </c>
      <c r="P201" s="94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4"/>
      <c r="V201" s="34"/>
      <c r="W201" s="35" t="s">
        <v>67</v>
      </c>
      <c r="X201" s="651">
        <v>0</v>
      </c>
      <c r="Y201" s="652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75" t="s">
        <v>350</v>
      </c>
      <c r="AG201" s="64"/>
      <c r="AJ201" s="68"/>
      <c r="AK201" s="68">
        <v>0</v>
      </c>
      <c r="BB201" s="27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92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93"/>
      <c r="P202" s="659" t="s">
        <v>72</v>
      </c>
      <c r="Q202" s="660"/>
      <c r="R202" s="660"/>
      <c r="S202" s="660"/>
      <c r="T202" s="660"/>
      <c r="U202" s="660"/>
      <c r="V202" s="661"/>
      <c r="W202" s="37" t="s">
        <v>73</v>
      </c>
      <c r="X202" s="653">
        <f>IFERROR(X199/H199,"0")+IFERROR(X200/H200,"0")+IFERROR(X201/H201,"0")</f>
        <v>0</v>
      </c>
      <c r="Y202" s="653">
        <f>IFERROR(Y199/H199,"0")+IFERROR(Y200/H200,"0")+IFERROR(Y201/H201,"0")</f>
        <v>0</v>
      </c>
      <c r="Z202" s="653">
        <f>IFERROR(IF(Z199="",0,Z199),"0")+IFERROR(IF(Z200="",0,Z200),"0")+IFERROR(IF(Z201="",0,Z201),"0")</f>
        <v>0</v>
      </c>
      <c r="AA202" s="654"/>
      <c r="AB202" s="654"/>
      <c r="AC202" s="654"/>
    </row>
    <row r="203" spans="1:68" hidden="1" x14ac:dyDescent="0.2">
      <c r="A203" s="658"/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93"/>
      <c r="P203" s="659" t="s">
        <v>72</v>
      </c>
      <c r="Q203" s="660"/>
      <c r="R203" s="660"/>
      <c r="S203" s="660"/>
      <c r="T203" s="660"/>
      <c r="U203" s="660"/>
      <c r="V203" s="661"/>
      <c r="W203" s="37" t="s">
        <v>67</v>
      </c>
      <c r="X203" s="653">
        <f>IFERROR(SUM(X199:X201),"0")</f>
        <v>0</v>
      </c>
      <c r="Y203" s="653">
        <f>IFERROR(SUM(Y199:Y201),"0")</f>
        <v>0</v>
      </c>
      <c r="Z203" s="37"/>
      <c r="AA203" s="654"/>
      <c r="AB203" s="654"/>
      <c r="AC203" s="654"/>
    </row>
    <row r="204" spans="1:68" ht="14.25" hidden="1" customHeight="1" x14ac:dyDescent="0.25">
      <c r="A204" s="657" t="s">
        <v>283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47"/>
      <c r="AB204" s="647"/>
      <c r="AC204" s="647"/>
    </row>
    <row r="205" spans="1:68" ht="16.5" hidden="1" customHeight="1" x14ac:dyDescent="0.25">
      <c r="A205" s="54" t="s">
        <v>351</v>
      </c>
      <c r="B205" s="54" t="s">
        <v>352</v>
      </c>
      <c r="C205" s="31">
        <v>4301032058</v>
      </c>
      <c r="D205" s="665">
        <v>4680115889026</v>
      </c>
      <c r="E205" s="666"/>
      <c r="F205" s="650">
        <v>0.06</v>
      </c>
      <c r="G205" s="32">
        <v>18</v>
      </c>
      <c r="H205" s="650">
        <v>1.08</v>
      </c>
      <c r="I205" s="650">
        <v>1.36</v>
      </c>
      <c r="J205" s="32">
        <v>216</v>
      </c>
      <c r="K205" s="32" t="s">
        <v>353</v>
      </c>
      <c r="L205" s="32"/>
      <c r="M205" s="33" t="s">
        <v>287</v>
      </c>
      <c r="N205" s="33"/>
      <c r="O205" s="32">
        <v>60</v>
      </c>
      <c r="P205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4"/>
      <c r="V205" s="34"/>
      <c r="W205" s="35" t="s">
        <v>67</v>
      </c>
      <c r="X205" s="651">
        <v>0</v>
      </c>
      <c r="Y205" s="652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7" t="s">
        <v>354</v>
      </c>
      <c r="AG205" s="64"/>
      <c r="AJ205" s="68"/>
      <c r="AK205" s="68">
        <v>0</v>
      </c>
      <c r="BB205" s="278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92"/>
      <c r="B206" s="658"/>
      <c r="C206" s="658"/>
      <c r="D206" s="658"/>
      <c r="E206" s="658"/>
      <c r="F206" s="658"/>
      <c r="G206" s="658"/>
      <c r="H206" s="658"/>
      <c r="I206" s="658"/>
      <c r="J206" s="658"/>
      <c r="K206" s="658"/>
      <c r="L206" s="658"/>
      <c r="M206" s="658"/>
      <c r="N206" s="658"/>
      <c r="O206" s="693"/>
      <c r="P206" s="659" t="s">
        <v>72</v>
      </c>
      <c r="Q206" s="660"/>
      <c r="R206" s="660"/>
      <c r="S206" s="660"/>
      <c r="T206" s="660"/>
      <c r="U206" s="660"/>
      <c r="V206" s="661"/>
      <c r="W206" s="37" t="s">
        <v>73</v>
      </c>
      <c r="X206" s="653">
        <f>IFERROR(X205/H205,"0")</f>
        <v>0</v>
      </c>
      <c r="Y206" s="653">
        <f>IFERROR(Y205/H205,"0")</f>
        <v>0</v>
      </c>
      <c r="Z206" s="653">
        <f>IFERROR(IF(Z205="",0,Z205),"0")</f>
        <v>0</v>
      </c>
      <c r="AA206" s="654"/>
      <c r="AB206" s="654"/>
      <c r="AC206" s="654"/>
    </row>
    <row r="207" spans="1:68" hidden="1" x14ac:dyDescent="0.2">
      <c r="A207" s="658"/>
      <c r="B207" s="658"/>
      <c r="C207" s="658"/>
      <c r="D207" s="658"/>
      <c r="E207" s="658"/>
      <c r="F207" s="658"/>
      <c r="G207" s="658"/>
      <c r="H207" s="658"/>
      <c r="I207" s="658"/>
      <c r="J207" s="658"/>
      <c r="K207" s="658"/>
      <c r="L207" s="658"/>
      <c r="M207" s="658"/>
      <c r="N207" s="658"/>
      <c r="O207" s="693"/>
      <c r="P207" s="659" t="s">
        <v>72</v>
      </c>
      <c r="Q207" s="660"/>
      <c r="R207" s="660"/>
      <c r="S207" s="660"/>
      <c r="T207" s="660"/>
      <c r="U207" s="660"/>
      <c r="V207" s="661"/>
      <c r="W207" s="37" t="s">
        <v>67</v>
      </c>
      <c r="X207" s="653">
        <f>IFERROR(SUM(X205:X205),"0")</f>
        <v>0</v>
      </c>
      <c r="Y207" s="653">
        <f>IFERROR(SUM(Y205:Y205),"0")</f>
        <v>0</v>
      </c>
      <c r="Z207" s="37"/>
      <c r="AA207" s="654"/>
      <c r="AB207" s="654"/>
      <c r="AC207" s="654"/>
    </row>
    <row r="208" spans="1:68" ht="14.25" hidden="1" customHeight="1" x14ac:dyDescent="0.25">
      <c r="A208" s="657" t="s">
        <v>355</v>
      </c>
      <c r="B208" s="658"/>
      <c r="C208" s="658"/>
      <c r="D208" s="658"/>
      <c r="E208" s="658"/>
      <c r="F208" s="658"/>
      <c r="G208" s="658"/>
      <c r="H208" s="658"/>
      <c r="I208" s="658"/>
      <c r="J208" s="658"/>
      <c r="K208" s="658"/>
      <c r="L208" s="658"/>
      <c r="M208" s="658"/>
      <c r="N208" s="658"/>
      <c r="O208" s="658"/>
      <c r="P208" s="658"/>
      <c r="Q208" s="658"/>
      <c r="R208" s="658"/>
      <c r="S208" s="658"/>
      <c r="T208" s="658"/>
      <c r="U208" s="658"/>
      <c r="V208" s="658"/>
      <c r="W208" s="658"/>
      <c r="X208" s="658"/>
      <c r="Y208" s="658"/>
      <c r="Z208" s="658"/>
      <c r="AA208" s="647"/>
      <c r="AB208" s="647"/>
      <c r="AC208" s="647"/>
    </row>
    <row r="209" spans="1:68" ht="27" hidden="1" customHeight="1" x14ac:dyDescent="0.25">
      <c r="A209" s="54" t="s">
        <v>356</v>
      </c>
      <c r="B209" s="54" t="s">
        <v>357</v>
      </c>
      <c r="C209" s="31">
        <v>4301041009</v>
      </c>
      <c r="D209" s="665">
        <v>4680115889033</v>
      </c>
      <c r="E209" s="666"/>
      <c r="F209" s="650">
        <v>0.11</v>
      </c>
      <c r="G209" s="32">
        <v>15</v>
      </c>
      <c r="H209" s="650">
        <v>1.65</v>
      </c>
      <c r="I209" s="650">
        <v>1.9</v>
      </c>
      <c r="J209" s="32">
        <v>216</v>
      </c>
      <c r="K209" s="32" t="s">
        <v>353</v>
      </c>
      <c r="L209" s="32"/>
      <c r="M209" s="33" t="s">
        <v>287</v>
      </c>
      <c r="N209" s="33"/>
      <c r="O209" s="32">
        <v>60</v>
      </c>
      <c r="P209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4"/>
      <c r="V209" s="34"/>
      <c r="W209" s="35" t="s">
        <v>67</v>
      </c>
      <c r="X209" s="651">
        <v>0</v>
      </c>
      <c r="Y209" s="652">
        <f>IFERROR(IF(X209="",0,CEILING((X209/$H209),1)*$H209),"")</f>
        <v>0</v>
      </c>
      <c r="Z209" s="36" t="str">
        <f>IFERROR(IF(Y209=0,"",ROUNDUP(Y209/H209,0)*0.0059),"")</f>
        <v/>
      </c>
      <c r="AA209" s="56"/>
      <c r="AB209" s="57"/>
      <c r="AC209" s="279" t="s">
        <v>358</v>
      </c>
      <c r="AG209" s="64"/>
      <c r="AJ209" s="68"/>
      <c r="AK209" s="68">
        <v>0</v>
      </c>
      <c r="BB209" s="280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92"/>
      <c r="B210" s="658"/>
      <c r="C210" s="658"/>
      <c r="D210" s="658"/>
      <c r="E210" s="658"/>
      <c r="F210" s="658"/>
      <c r="G210" s="658"/>
      <c r="H210" s="658"/>
      <c r="I210" s="658"/>
      <c r="J210" s="658"/>
      <c r="K210" s="658"/>
      <c r="L210" s="658"/>
      <c r="M210" s="658"/>
      <c r="N210" s="658"/>
      <c r="O210" s="693"/>
      <c r="P210" s="659" t="s">
        <v>72</v>
      </c>
      <c r="Q210" s="660"/>
      <c r="R210" s="660"/>
      <c r="S210" s="660"/>
      <c r="T210" s="660"/>
      <c r="U210" s="660"/>
      <c r="V210" s="661"/>
      <c r="W210" s="37" t="s">
        <v>73</v>
      </c>
      <c r="X210" s="653">
        <f>IFERROR(X209/H209,"0")</f>
        <v>0</v>
      </c>
      <c r="Y210" s="653">
        <f>IFERROR(Y209/H209,"0")</f>
        <v>0</v>
      </c>
      <c r="Z210" s="653">
        <f>IFERROR(IF(Z209="",0,Z209),"0")</f>
        <v>0</v>
      </c>
      <c r="AA210" s="654"/>
      <c r="AB210" s="654"/>
      <c r="AC210" s="654"/>
    </row>
    <row r="211" spans="1:68" hidden="1" x14ac:dyDescent="0.2">
      <c r="A211" s="658"/>
      <c r="B211" s="658"/>
      <c r="C211" s="658"/>
      <c r="D211" s="658"/>
      <c r="E211" s="658"/>
      <c r="F211" s="658"/>
      <c r="G211" s="658"/>
      <c r="H211" s="658"/>
      <c r="I211" s="658"/>
      <c r="J211" s="658"/>
      <c r="K211" s="658"/>
      <c r="L211" s="658"/>
      <c r="M211" s="658"/>
      <c r="N211" s="658"/>
      <c r="O211" s="693"/>
      <c r="P211" s="659" t="s">
        <v>72</v>
      </c>
      <c r="Q211" s="660"/>
      <c r="R211" s="660"/>
      <c r="S211" s="660"/>
      <c r="T211" s="660"/>
      <c r="U211" s="660"/>
      <c r="V211" s="661"/>
      <c r="W211" s="37" t="s">
        <v>67</v>
      </c>
      <c r="X211" s="653">
        <f>IFERROR(SUM(X209:X209),"0")</f>
        <v>0</v>
      </c>
      <c r="Y211" s="653">
        <f>IFERROR(SUM(Y209:Y209),"0")</f>
        <v>0</v>
      </c>
      <c r="Z211" s="37"/>
      <c r="AA211" s="654"/>
      <c r="AB211" s="654"/>
      <c r="AC211" s="654"/>
    </row>
    <row r="212" spans="1:68" ht="27.75" hidden="1" customHeight="1" x14ac:dyDescent="0.2">
      <c r="A212" s="655" t="s">
        <v>359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48"/>
      <c r="AB212" s="48"/>
      <c r="AC212" s="48"/>
    </row>
    <row r="213" spans="1:68" ht="16.5" hidden="1" customHeight="1" x14ac:dyDescent="0.25">
      <c r="A213" s="662" t="s">
        <v>360</v>
      </c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658"/>
      <c r="AA213" s="646"/>
      <c r="AB213" s="646"/>
      <c r="AC213" s="646"/>
    </row>
    <row r="214" spans="1:68" ht="14.25" hidden="1" customHeight="1" x14ac:dyDescent="0.25">
      <c r="A214" s="657" t="s">
        <v>111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47"/>
      <c r="AB214" s="647"/>
      <c r="AC214" s="647"/>
    </row>
    <row r="215" spans="1:68" ht="27" hidden="1" customHeight="1" x14ac:dyDescent="0.25">
      <c r="A215" s="54" t="s">
        <v>361</v>
      </c>
      <c r="B215" s="54" t="s">
        <v>362</v>
      </c>
      <c r="C215" s="31">
        <v>4301011223</v>
      </c>
      <c r="D215" s="665">
        <v>4607091383423</v>
      </c>
      <c r="E215" s="666"/>
      <c r="F215" s="650">
        <v>1.35</v>
      </c>
      <c r="G215" s="32">
        <v>8</v>
      </c>
      <c r="H215" s="650">
        <v>10.8</v>
      </c>
      <c r="I215" s="650">
        <v>11.305999999999999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70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4"/>
      <c r="V215" s="34"/>
      <c r="W215" s="35" t="s">
        <v>67</v>
      </c>
      <c r="X215" s="651">
        <v>0</v>
      </c>
      <c r="Y215" s="652">
        <f t="shared" ref="Y215:Y221" si="33">IFERROR(IF(X215="",0,CEILING((X215/$H215),1)*$H215),"")</f>
        <v>0</v>
      </c>
      <c r="Z215" s="36" t="str">
        <f t="shared" ref="Z215:Z221" si="34">IFERROR(IF(Y215=0,"",ROUNDUP(Y215/H215,0)*0.01898),"")</f>
        <v/>
      </c>
      <c r="AA215" s="56"/>
      <c r="AB215" s="57"/>
      <c r="AC215" s="281" t="s">
        <v>116</v>
      </c>
      <c r="AG215" s="64"/>
      <c r="AJ215" s="68"/>
      <c r="AK215" s="68">
        <v>0</v>
      </c>
      <c r="BB215" s="282" t="s">
        <v>1</v>
      </c>
      <c r="BM215" s="64">
        <f t="shared" ref="BM215:BM221" si="35">IFERROR(X215*I215/H215,"0")</f>
        <v>0</v>
      </c>
      <c r="BN215" s="64">
        <f t="shared" ref="BN215:BN221" si="36">IFERROR(Y215*I215/H215,"0")</f>
        <v>0</v>
      </c>
      <c r="BO215" s="64">
        <f t="shared" ref="BO215:BO221" si="37">IFERROR(1/J215*(X215/H215),"0")</f>
        <v>0</v>
      </c>
      <c r="BP215" s="64">
        <f t="shared" ref="BP215:BP221" si="38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4301012340</v>
      </c>
      <c r="D216" s="665">
        <v>4680115888760</v>
      </c>
      <c r="E216" s="666"/>
      <c r="F216" s="650">
        <v>1.4</v>
      </c>
      <c r="G216" s="32">
        <v>6</v>
      </c>
      <c r="H216" s="650">
        <v>8.4</v>
      </c>
      <c r="I216" s="650">
        <v>8.81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4"/>
      <c r="V216" s="34"/>
      <c r="W216" s="35" t="s">
        <v>67</v>
      </c>
      <c r="X216" s="651">
        <v>0</v>
      </c>
      <c r="Y216" s="652">
        <f t="shared" si="33"/>
        <v>0</v>
      </c>
      <c r="Z216" s="36" t="str">
        <f t="shared" si="34"/>
        <v/>
      </c>
      <c r="AA216" s="56"/>
      <c r="AB216" s="57"/>
      <c r="AC216" s="283" t="s">
        <v>365</v>
      </c>
      <c r="AG216" s="64"/>
      <c r="AJ216" s="68"/>
      <c r="AK216" s="68">
        <v>0</v>
      </c>
      <c r="BB216" s="284" t="s">
        <v>1</v>
      </c>
      <c r="BM216" s="64">
        <f t="shared" si="35"/>
        <v>0</v>
      </c>
      <c r="BN216" s="64">
        <f t="shared" si="36"/>
        <v>0</v>
      </c>
      <c r="BO216" s="64">
        <f t="shared" si="37"/>
        <v>0</v>
      </c>
      <c r="BP216" s="64">
        <f t="shared" si="38"/>
        <v>0</v>
      </c>
    </row>
    <row r="217" spans="1:68" ht="27" hidden="1" customHeight="1" x14ac:dyDescent="0.25">
      <c r="A217" s="54" t="s">
        <v>366</v>
      </c>
      <c r="B217" s="54" t="s">
        <v>367</v>
      </c>
      <c r="C217" s="31">
        <v>4301012341</v>
      </c>
      <c r="D217" s="665">
        <v>4680115888807</v>
      </c>
      <c r="E217" s="666"/>
      <c r="F217" s="650">
        <v>1.4</v>
      </c>
      <c r="G217" s="32">
        <v>6</v>
      </c>
      <c r="H217" s="650">
        <v>8.4</v>
      </c>
      <c r="I217" s="650">
        <v>8.81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4"/>
      <c r="V217" s="34"/>
      <c r="W217" s="35" t="s">
        <v>67</v>
      </c>
      <c r="X217" s="651">
        <v>0</v>
      </c>
      <c r="Y217" s="652">
        <f t="shared" si="33"/>
        <v>0</v>
      </c>
      <c r="Z217" s="36" t="str">
        <f t="shared" si="34"/>
        <v/>
      </c>
      <c r="AA217" s="56"/>
      <c r="AB217" s="57"/>
      <c r="AC217" s="285" t="s">
        <v>368</v>
      </c>
      <c r="AG217" s="64"/>
      <c r="AJ217" s="68"/>
      <c r="AK217" s="68">
        <v>0</v>
      </c>
      <c r="BB217" s="286" t="s">
        <v>1</v>
      </c>
      <c r="BM217" s="64">
        <f t="shared" si="35"/>
        <v>0</v>
      </c>
      <c r="BN217" s="64">
        <f t="shared" si="36"/>
        <v>0</v>
      </c>
      <c r="BO217" s="64">
        <f t="shared" si="37"/>
        <v>0</v>
      </c>
      <c r="BP217" s="64">
        <f t="shared" si="38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4301012342</v>
      </c>
      <c r="D218" s="665">
        <v>4680115888852</v>
      </c>
      <c r="E218" s="666"/>
      <c r="F218" s="650">
        <v>0.9</v>
      </c>
      <c r="G218" s="32">
        <v>6</v>
      </c>
      <c r="H218" s="650">
        <v>5.4</v>
      </c>
      <c r="I218" s="650">
        <v>5.81</v>
      </c>
      <c r="J218" s="32">
        <v>64</v>
      </c>
      <c r="K218" s="32" t="s">
        <v>114</v>
      </c>
      <c r="L218" s="32"/>
      <c r="M218" s="33" t="s">
        <v>78</v>
      </c>
      <c r="N218" s="33"/>
      <c r="O218" s="32">
        <v>35</v>
      </c>
      <c r="P218" s="10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4"/>
      <c r="V218" s="34"/>
      <c r="W218" s="35" t="s">
        <v>67</v>
      </c>
      <c r="X218" s="651">
        <v>0</v>
      </c>
      <c r="Y218" s="652">
        <f t="shared" si="33"/>
        <v>0</v>
      </c>
      <c r="Z218" s="36" t="str">
        <f t="shared" si="34"/>
        <v/>
      </c>
      <c r="AA218" s="56"/>
      <c r="AB218" s="57"/>
      <c r="AC218" s="287" t="s">
        <v>371</v>
      </c>
      <c r="AG218" s="64"/>
      <c r="AJ218" s="68"/>
      <c r="AK218" s="68">
        <v>0</v>
      </c>
      <c r="BB218" s="288" t="s">
        <v>1</v>
      </c>
      <c r="BM218" s="64">
        <f t="shared" si="35"/>
        <v>0</v>
      </c>
      <c r="BN218" s="64">
        <f t="shared" si="36"/>
        <v>0</v>
      </c>
      <c r="BO218" s="64">
        <f t="shared" si="37"/>
        <v>0</v>
      </c>
      <c r="BP218" s="64">
        <f t="shared" si="38"/>
        <v>0</v>
      </c>
    </row>
    <row r="219" spans="1:68" ht="37.5" hidden="1" customHeight="1" x14ac:dyDescent="0.25">
      <c r="A219" s="54" t="s">
        <v>372</v>
      </c>
      <c r="B219" s="54" t="s">
        <v>373</v>
      </c>
      <c r="C219" s="31">
        <v>4301012370</v>
      </c>
      <c r="D219" s="665">
        <v>4680115886957</v>
      </c>
      <c r="E219" s="666"/>
      <c r="F219" s="650">
        <v>1.35</v>
      </c>
      <c r="G219" s="32">
        <v>8</v>
      </c>
      <c r="H219" s="650">
        <v>10.8</v>
      </c>
      <c r="I219" s="650">
        <v>11.29</v>
      </c>
      <c r="J219" s="32">
        <v>64</v>
      </c>
      <c r="K219" s="32" t="s">
        <v>114</v>
      </c>
      <c r="L219" s="32"/>
      <c r="M219" s="33" t="s">
        <v>78</v>
      </c>
      <c r="N219" s="33"/>
      <c r="O219" s="32">
        <v>35</v>
      </c>
      <c r="P219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4"/>
      <c r="V219" s="34"/>
      <c r="W219" s="35" t="s">
        <v>67</v>
      </c>
      <c r="X219" s="651">
        <v>0</v>
      </c>
      <c r="Y219" s="652">
        <f t="shared" si="33"/>
        <v>0</v>
      </c>
      <c r="Z219" s="36" t="str">
        <f t="shared" si="34"/>
        <v/>
      </c>
      <c r="AA219" s="56"/>
      <c r="AB219" s="57"/>
      <c r="AC219" s="289" t="s">
        <v>374</v>
      </c>
      <c r="AG219" s="64"/>
      <c r="AJ219" s="68"/>
      <c r="AK219" s="68">
        <v>0</v>
      </c>
      <c r="BB219" s="290" t="s">
        <v>1</v>
      </c>
      <c r="BM219" s="64">
        <f t="shared" si="35"/>
        <v>0</v>
      </c>
      <c r="BN219" s="64">
        <f t="shared" si="36"/>
        <v>0</v>
      </c>
      <c r="BO219" s="64">
        <f t="shared" si="37"/>
        <v>0</v>
      </c>
      <c r="BP219" s="64">
        <f t="shared" si="38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4301012098</v>
      </c>
      <c r="D220" s="665">
        <v>4680115885660</v>
      </c>
      <c r="E220" s="666"/>
      <c r="F220" s="650">
        <v>1.35</v>
      </c>
      <c r="G220" s="32">
        <v>8</v>
      </c>
      <c r="H220" s="650">
        <v>10.8</v>
      </c>
      <c r="I220" s="650">
        <v>11.21</v>
      </c>
      <c r="J220" s="32">
        <v>64</v>
      </c>
      <c r="K220" s="32" t="s">
        <v>114</v>
      </c>
      <c r="L220" s="32"/>
      <c r="M220" s="33" t="s">
        <v>78</v>
      </c>
      <c r="N220" s="33"/>
      <c r="O220" s="32">
        <v>35</v>
      </c>
      <c r="P220" s="68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4"/>
      <c r="V220" s="34"/>
      <c r="W220" s="35" t="s">
        <v>67</v>
      </c>
      <c r="X220" s="651">
        <v>0</v>
      </c>
      <c r="Y220" s="652">
        <f t="shared" si="33"/>
        <v>0</v>
      </c>
      <c r="Z220" s="36" t="str">
        <f t="shared" si="34"/>
        <v/>
      </c>
      <c r="AA220" s="56"/>
      <c r="AB220" s="57"/>
      <c r="AC220" s="291" t="s">
        <v>377</v>
      </c>
      <c r="AG220" s="64"/>
      <c r="AJ220" s="68"/>
      <c r="AK220" s="68">
        <v>0</v>
      </c>
      <c r="BB220" s="292" t="s">
        <v>1</v>
      </c>
      <c r="BM220" s="64">
        <f t="shared" si="35"/>
        <v>0</v>
      </c>
      <c r="BN220" s="64">
        <f t="shared" si="36"/>
        <v>0</v>
      </c>
      <c r="BO220" s="64">
        <f t="shared" si="37"/>
        <v>0</v>
      </c>
      <c r="BP220" s="64">
        <f t="shared" si="38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4301012369</v>
      </c>
      <c r="D221" s="665">
        <v>4680115886773</v>
      </c>
      <c r="E221" s="666"/>
      <c r="F221" s="650">
        <v>0.9</v>
      </c>
      <c r="G221" s="32">
        <v>10</v>
      </c>
      <c r="H221" s="650">
        <v>9</v>
      </c>
      <c r="I221" s="650">
        <v>9.51</v>
      </c>
      <c r="J221" s="32">
        <v>64</v>
      </c>
      <c r="K221" s="32" t="s">
        <v>114</v>
      </c>
      <c r="L221" s="32"/>
      <c r="M221" s="33" t="s">
        <v>78</v>
      </c>
      <c r="N221" s="33"/>
      <c r="O221" s="32">
        <v>35</v>
      </c>
      <c r="P221" s="7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4"/>
      <c r="V221" s="34"/>
      <c r="W221" s="35" t="s">
        <v>67</v>
      </c>
      <c r="X221" s="651">
        <v>0</v>
      </c>
      <c r="Y221" s="652">
        <f t="shared" si="33"/>
        <v>0</v>
      </c>
      <c r="Z221" s="36" t="str">
        <f t="shared" si="34"/>
        <v/>
      </c>
      <c r="AA221" s="56"/>
      <c r="AB221" s="57"/>
      <c r="AC221" s="293" t="s">
        <v>380</v>
      </c>
      <c r="AG221" s="64"/>
      <c r="AJ221" s="68"/>
      <c r="AK221" s="68">
        <v>0</v>
      </c>
      <c r="BB221" s="294" t="s">
        <v>1</v>
      </c>
      <c r="BM221" s="64">
        <f t="shared" si="35"/>
        <v>0</v>
      </c>
      <c r="BN221" s="64">
        <f t="shared" si="36"/>
        <v>0</v>
      </c>
      <c r="BO221" s="64">
        <f t="shared" si="37"/>
        <v>0</v>
      </c>
      <c r="BP221" s="64">
        <f t="shared" si="38"/>
        <v>0</v>
      </c>
    </row>
    <row r="222" spans="1:68" hidden="1" x14ac:dyDescent="0.2">
      <c r="A222" s="692"/>
      <c r="B222" s="658"/>
      <c r="C222" s="658"/>
      <c r="D222" s="658"/>
      <c r="E222" s="658"/>
      <c r="F222" s="658"/>
      <c r="G222" s="658"/>
      <c r="H222" s="658"/>
      <c r="I222" s="658"/>
      <c r="J222" s="658"/>
      <c r="K222" s="658"/>
      <c r="L222" s="658"/>
      <c r="M222" s="658"/>
      <c r="N222" s="658"/>
      <c r="O222" s="693"/>
      <c r="P222" s="659" t="s">
        <v>72</v>
      </c>
      <c r="Q222" s="660"/>
      <c r="R222" s="660"/>
      <c r="S222" s="660"/>
      <c r="T222" s="660"/>
      <c r="U222" s="660"/>
      <c r="V222" s="661"/>
      <c r="W222" s="37" t="s">
        <v>73</v>
      </c>
      <c r="X222" s="653">
        <f>IFERROR(X215/H215,"0")+IFERROR(X216/H216,"0")+IFERROR(X217/H217,"0")+IFERROR(X218/H218,"0")+IFERROR(X219/H219,"0")+IFERROR(X220/H220,"0")+IFERROR(X221/H221,"0")</f>
        <v>0</v>
      </c>
      <c r="Y222" s="653">
        <f>IFERROR(Y215/H215,"0")+IFERROR(Y216/H216,"0")+IFERROR(Y217/H217,"0")+IFERROR(Y218/H218,"0")+IFERROR(Y219/H219,"0")+IFERROR(Y220/H220,"0")+IFERROR(Y221/H221,"0")</f>
        <v>0</v>
      </c>
      <c r="Z222" s="65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54"/>
      <c r="AB222" s="654"/>
      <c r="AC222" s="654"/>
    </row>
    <row r="223" spans="1:68" hidden="1" x14ac:dyDescent="0.2">
      <c r="A223" s="658"/>
      <c r="B223" s="658"/>
      <c r="C223" s="658"/>
      <c r="D223" s="658"/>
      <c r="E223" s="658"/>
      <c r="F223" s="658"/>
      <c r="G223" s="658"/>
      <c r="H223" s="658"/>
      <c r="I223" s="658"/>
      <c r="J223" s="658"/>
      <c r="K223" s="658"/>
      <c r="L223" s="658"/>
      <c r="M223" s="658"/>
      <c r="N223" s="658"/>
      <c r="O223" s="693"/>
      <c r="P223" s="659" t="s">
        <v>72</v>
      </c>
      <c r="Q223" s="660"/>
      <c r="R223" s="660"/>
      <c r="S223" s="660"/>
      <c r="T223" s="660"/>
      <c r="U223" s="660"/>
      <c r="V223" s="661"/>
      <c r="W223" s="37" t="s">
        <v>67</v>
      </c>
      <c r="X223" s="653">
        <f>IFERROR(SUM(X215:X221),"0")</f>
        <v>0</v>
      </c>
      <c r="Y223" s="653">
        <f>IFERROR(SUM(Y215:Y221),"0")</f>
        <v>0</v>
      </c>
      <c r="Z223" s="37"/>
      <c r="AA223" s="654"/>
      <c r="AB223" s="654"/>
      <c r="AC223" s="654"/>
    </row>
    <row r="224" spans="1:68" ht="16.5" hidden="1" customHeight="1" x14ac:dyDescent="0.25">
      <c r="A224" s="662" t="s">
        <v>381</v>
      </c>
      <c r="B224" s="658"/>
      <c r="C224" s="658"/>
      <c r="D224" s="658"/>
      <c r="E224" s="658"/>
      <c r="F224" s="658"/>
      <c r="G224" s="658"/>
      <c r="H224" s="658"/>
      <c r="I224" s="658"/>
      <c r="J224" s="658"/>
      <c r="K224" s="658"/>
      <c r="L224" s="658"/>
      <c r="M224" s="658"/>
      <c r="N224" s="658"/>
      <c r="O224" s="658"/>
      <c r="P224" s="658"/>
      <c r="Q224" s="658"/>
      <c r="R224" s="658"/>
      <c r="S224" s="658"/>
      <c r="T224" s="658"/>
      <c r="U224" s="658"/>
      <c r="V224" s="658"/>
      <c r="W224" s="658"/>
      <c r="X224" s="658"/>
      <c r="Y224" s="658"/>
      <c r="Z224" s="658"/>
      <c r="AA224" s="646"/>
      <c r="AB224" s="646"/>
      <c r="AC224" s="646"/>
    </row>
    <row r="225" spans="1:68" ht="14.25" hidden="1" customHeight="1" x14ac:dyDescent="0.25">
      <c r="A225" s="657" t="s">
        <v>144</v>
      </c>
      <c r="B225" s="658"/>
      <c r="C225" s="658"/>
      <c r="D225" s="658"/>
      <c r="E225" s="658"/>
      <c r="F225" s="658"/>
      <c r="G225" s="658"/>
      <c r="H225" s="658"/>
      <c r="I225" s="658"/>
      <c r="J225" s="658"/>
      <c r="K225" s="658"/>
      <c r="L225" s="658"/>
      <c r="M225" s="658"/>
      <c r="N225" s="658"/>
      <c r="O225" s="658"/>
      <c r="P225" s="658"/>
      <c r="Q225" s="658"/>
      <c r="R225" s="658"/>
      <c r="S225" s="658"/>
      <c r="T225" s="658"/>
      <c r="U225" s="658"/>
      <c r="V225" s="658"/>
      <c r="W225" s="658"/>
      <c r="X225" s="658"/>
      <c r="Y225" s="658"/>
      <c r="Z225" s="658"/>
      <c r="AA225" s="647"/>
      <c r="AB225" s="647"/>
      <c r="AC225" s="647"/>
    </row>
    <row r="226" spans="1:68" ht="27" hidden="1" customHeight="1" x14ac:dyDescent="0.25">
      <c r="A226" s="54" t="s">
        <v>382</v>
      </c>
      <c r="B226" s="54" t="s">
        <v>383</v>
      </c>
      <c r="C226" s="31">
        <v>4301020323</v>
      </c>
      <c r="D226" s="665">
        <v>4680115886223</v>
      </c>
      <c r="E226" s="666"/>
      <c r="F226" s="650">
        <v>0.33</v>
      </c>
      <c r="G226" s="32">
        <v>6</v>
      </c>
      <c r="H226" s="650">
        <v>1.98</v>
      </c>
      <c r="I226" s="650">
        <v>2.08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4"/>
      <c r="V226" s="34"/>
      <c r="W226" s="35" t="s">
        <v>67</v>
      </c>
      <c r="X226" s="651">
        <v>0</v>
      </c>
      <c r="Y226" s="652">
        <f>IFERROR(IF(X226="",0,CEILING((X226/$H226),1)*$H226),"")</f>
        <v>0</v>
      </c>
      <c r="Z226" s="36" t="str">
        <f>IFERROR(IF(Y226=0,"",ROUNDUP(Y226/H226,0)*0.00502),"")</f>
        <v/>
      </c>
      <c r="AA226" s="56"/>
      <c r="AB226" s="57"/>
      <c r="AC226" s="295" t="s">
        <v>384</v>
      </c>
      <c r="AG226" s="64"/>
      <c r="AJ226" s="68"/>
      <c r="AK226" s="68">
        <v>0</v>
      </c>
      <c r="BB226" s="296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692"/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93"/>
      <c r="P227" s="659" t="s">
        <v>72</v>
      </c>
      <c r="Q227" s="660"/>
      <c r="R227" s="660"/>
      <c r="S227" s="660"/>
      <c r="T227" s="660"/>
      <c r="U227" s="660"/>
      <c r="V227" s="661"/>
      <c r="W227" s="37" t="s">
        <v>73</v>
      </c>
      <c r="X227" s="653">
        <f>IFERROR(X226/H226,"0")</f>
        <v>0</v>
      </c>
      <c r="Y227" s="653">
        <f>IFERROR(Y226/H226,"0")</f>
        <v>0</v>
      </c>
      <c r="Z227" s="653">
        <f>IFERROR(IF(Z226="",0,Z226),"0")</f>
        <v>0</v>
      </c>
      <c r="AA227" s="654"/>
      <c r="AB227" s="654"/>
      <c r="AC227" s="654"/>
    </row>
    <row r="228" spans="1:68" hidden="1" x14ac:dyDescent="0.2">
      <c r="A228" s="658"/>
      <c r="B228" s="658"/>
      <c r="C228" s="658"/>
      <c r="D228" s="658"/>
      <c r="E228" s="658"/>
      <c r="F228" s="658"/>
      <c r="G228" s="658"/>
      <c r="H228" s="658"/>
      <c r="I228" s="658"/>
      <c r="J228" s="658"/>
      <c r="K228" s="658"/>
      <c r="L228" s="658"/>
      <c r="M228" s="658"/>
      <c r="N228" s="658"/>
      <c r="O228" s="693"/>
      <c r="P228" s="659" t="s">
        <v>72</v>
      </c>
      <c r="Q228" s="660"/>
      <c r="R228" s="660"/>
      <c r="S228" s="660"/>
      <c r="T228" s="660"/>
      <c r="U228" s="660"/>
      <c r="V228" s="661"/>
      <c r="W228" s="37" t="s">
        <v>67</v>
      </c>
      <c r="X228" s="653">
        <f>IFERROR(SUM(X226:X226),"0")</f>
        <v>0</v>
      </c>
      <c r="Y228" s="653">
        <f>IFERROR(SUM(Y226:Y226),"0")</f>
        <v>0</v>
      </c>
      <c r="Z228" s="37"/>
      <c r="AA228" s="654"/>
      <c r="AB228" s="654"/>
      <c r="AC228" s="654"/>
    </row>
    <row r="229" spans="1:68" ht="14.25" hidden="1" customHeight="1" x14ac:dyDescent="0.25">
      <c r="A229" s="657" t="s">
        <v>62</v>
      </c>
      <c r="B229" s="658"/>
      <c r="C229" s="658"/>
      <c r="D229" s="658"/>
      <c r="E229" s="658"/>
      <c r="F229" s="658"/>
      <c r="G229" s="658"/>
      <c r="H229" s="658"/>
      <c r="I229" s="658"/>
      <c r="J229" s="658"/>
      <c r="K229" s="658"/>
      <c r="L229" s="658"/>
      <c r="M229" s="658"/>
      <c r="N229" s="658"/>
      <c r="O229" s="658"/>
      <c r="P229" s="658"/>
      <c r="Q229" s="658"/>
      <c r="R229" s="658"/>
      <c r="S229" s="658"/>
      <c r="T229" s="658"/>
      <c r="U229" s="658"/>
      <c r="V229" s="658"/>
      <c r="W229" s="658"/>
      <c r="X229" s="658"/>
      <c r="Y229" s="658"/>
      <c r="Z229" s="658"/>
      <c r="AA229" s="647"/>
      <c r="AB229" s="647"/>
      <c r="AC229" s="647"/>
    </row>
    <row r="230" spans="1:68" ht="27" customHeight="1" x14ac:dyDescent="0.25">
      <c r="A230" s="54" t="s">
        <v>385</v>
      </c>
      <c r="B230" s="54" t="s">
        <v>386</v>
      </c>
      <c r="C230" s="31">
        <v>4301031191</v>
      </c>
      <c r="D230" s="665">
        <v>4680115880993</v>
      </c>
      <c r="E230" s="666"/>
      <c r="F230" s="650">
        <v>0.7</v>
      </c>
      <c r="G230" s="32">
        <v>6</v>
      </c>
      <c r="H230" s="650">
        <v>4.2</v>
      </c>
      <c r="I230" s="650">
        <v>4.45</v>
      </c>
      <c r="J230" s="32">
        <v>132</v>
      </c>
      <c r="K230" s="32" t="s">
        <v>123</v>
      </c>
      <c r="L230" s="32"/>
      <c r="M230" s="33" t="s">
        <v>66</v>
      </c>
      <c r="N230" s="33"/>
      <c r="O230" s="32">
        <v>40</v>
      </c>
      <c r="P230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4"/>
      <c r="V230" s="34"/>
      <c r="W230" s="35" t="s">
        <v>67</v>
      </c>
      <c r="X230" s="651">
        <v>100</v>
      </c>
      <c r="Y230" s="652">
        <f t="shared" ref="Y230:Y243" si="39">IFERROR(IF(X230="",0,CEILING((X230/$H230),1)*$H230),"")</f>
        <v>100.80000000000001</v>
      </c>
      <c r="Z230" s="36">
        <f>IFERROR(IF(Y230=0,"",ROUNDUP(Y230/H230,0)*0.00902),"")</f>
        <v>0.21648000000000001</v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ref="BM230:BM243" si="40">IFERROR(X230*I230/H230,"0")</f>
        <v>105.95238095238095</v>
      </c>
      <c r="BN230" s="64">
        <f t="shared" ref="BN230:BN243" si="41">IFERROR(Y230*I230/H230,"0")</f>
        <v>106.80000000000001</v>
      </c>
      <c r="BO230" s="64">
        <f t="shared" ref="BO230:BO243" si="42">IFERROR(1/J230*(X230/H230),"0")</f>
        <v>0.18037518037518038</v>
      </c>
      <c r="BP230" s="64">
        <f t="shared" ref="BP230:BP243" si="43">IFERROR(1/J230*(Y230/H230),"0")</f>
        <v>0.18181818181818182</v>
      </c>
    </row>
    <row r="231" spans="1:68" ht="27" hidden="1" customHeight="1" x14ac:dyDescent="0.25">
      <c r="A231" s="54" t="s">
        <v>388</v>
      </c>
      <c r="B231" s="54" t="s">
        <v>389</v>
      </c>
      <c r="C231" s="31">
        <v>4301031204</v>
      </c>
      <c r="D231" s="665">
        <v>4680115881761</v>
      </c>
      <c r="E231" s="666"/>
      <c r="F231" s="650">
        <v>0.7</v>
      </c>
      <c r="G231" s="32">
        <v>6</v>
      </c>
      <c r="H231" s="650">
        <v>4.2</v>
      </c>
      <c r="I231" s="650">
        <v>4.45</v>
      </c>
      <c r="J231" s="32">
        <v>132</v>
      </c>
      <c r="K231" s="32" t="s">
        <v>123</v>
      </c>
      <c r="L231" s="32"/>
      <c r="M231" s="33" t="s">
        <v>66</v>
      </c>
      <c r="N231" s="33"/>
      <c r="O231" s="32">
        <v>40</v>
      </c>
      <c r="P231" s="7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4"/>
      <c r="V231" s="34"/>
      <c r="W231" s="35" t="s">
        <v>67</v>
      </c>
      <c r="X231" s="651">
        <v>0</v>
      </c>
      <c r="Y231" s="652">
        <f t="shared" si="39"/>
        <v>0</v>
      </c>
      <c r="Z231" s="36" t="str">
        <f>IFERROR(IF(Y231=0,"",ROUNDUP(Y231/H231,0)*0.00902),"")</f>
        <v/>
      </c>
      <c r="AA231" s="56"/>
      <c r="AB231" s="57"/>
      <c r="AC231" s="299" t="s">
        <v>390</v>
      </c>
      <c r="AG231" s="64"/>
      <c r="AJ231" s="68"/>
      <c r="AK231" s="68">
        <v>0</v>
      </c>
      <c r="BB231" s="300" t="s">
        <v>1</v>
      </c>
      <c r="BM231" s="64">
        <f t="shared" si="40"/>
        <v>0</v>
      </c>
      <c r="BN231" s="64">
        <f t="shared" si="41"/>
        <v>0</v>
      </c>
      <c r="BO231" s="64">
        <f t="shared" si="42"/>
        <v>0</v>
      </c>
      <c r="BP231" s="64">
        <f t="shared" si="43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4301031201</v>
      </c>
      <c r="D232" s="665">
        <v>4680115881563</v>
      </c>
      <c r="E232" s="666"/>
      <c r="F232" s="650">
        <v>0.7</v>
      </c>
      <c r="G232" s="32">
        <v>6</v>
      </c>
      <c r="H232" s="650">
        <v>4.2</v>
      </c>
      <c r="I232" s="650">
        <v>4.3899999999999997</v>
      </c>
      <c r="J232" s="32">
        <v>132</v>
      </c>
      <c r="K232" s="32" t="s">
        <v>123</v>
      </c>
      <c r="L232" s="32"/>
      <c r="M232" s="33" t="s">
        <v>66</v>
      </c>
      <c r="N232" s="33"/>
      <c r="O232" s="32">
        <v>40</v>
      </c>
      <c r="P232" s="8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4"/>
      <c r="V232" s="34"/>
      <c r="W232" s="35" t="s">
        <v>67</v>
      </c>
      <c r="X232" s="651">
        <v>20</v>
      </c>
      <c r="Y232" s="652">
        <f t="shared" si="39"/>
        <v>21</v>
      </c>
      <c r="Z232" s="36">
        <f>IFERROR(IF(Y232=0,"",ROUNDUP(Y232/H232,0)*0.00902),"")</f>
        <v>4.5100000000000001E-2</v>
      </c>
      <c r="AA232" s="56"/>
      <c r="AB232" s="57"/>
      <c r="AC232" s="301" t="s">
        <v>393</v>
      </c>
      <c r="AG232" s="64"/>
      <c r="AJ232" s="68"/>
      <c r="AK232" s="68">
        <v>0</v>
      </c>
      <c r="BB232" s="302" t="s">
        <v>1</v>
      </c>
      <c r="BM232" s="64">
        <f t="shared" si="40"/>
        <v>20.904761904761902</v>
      </c>
      <c r="BN232" s="64">
        <f t="shared" si="41"/>
        <v>21.95</v>
      </c>
      <c r="BO232" s="64">
        <f t="shared" si="42"/>
        <v>3.6075036075036072E-2</v>
      </c>
      <c r="BP232" s="64">
        <f t="shared" si="43"/>
        <v>3.787878787878788E-2</v>
      </c>
    </row>
    <row r="233" spans="1:68" ht="37.5" hidden="1" customHeight="1" x14ac:dyDescent="0.25">
      <c r="A233" s="54" t="s">
        <v>394</v>
      </c>
      <c r="B233" s="54" t="s">
        <v>395</v>
      </c>
      <c r="C233" s="31">
        <v>4301031447</v>
      </c>
      <c r="D233" s="665">
        <v>4680115887565</v>
      </c>
      <c r="E233" s="666"/>
      <c r="F233" s="650">
        <v>0.08</v>
      </c>
      <c r="G233" s="32">
        <v>10</v>
      </c>
      <c r="H233" s="650">
        <v>0.8</v>
      </c>
      <c r="I233" s="650">
        <v>0.93</v>
      </c>
      <c r="J233" s="32">
        <v>252</v>
      </c>
      <c r="K233" s="32" t="s">
        <v>65</v>
      </c>
      <c r="L233" s="32"/>
      <c r="M233" s="33" t="s">
        <v>66</v>
      </c>
      <c r="N233" s="33"/>
      <c r="O233" s="32">
        <v>45</v>
      </c>
      <c r="P233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4"/>
      <c r="V233" s="34"/>
      <c r="W233" s="35" t="s">
        <v>67</v>
      </c>
      <c r="X233" s="651">
        <v>0</v>
      </c>
      <c r="Y233" s="652">
        <f t="shared" si="39"/>
        <v>0</v>
      </c>
      <c r="Z233" s="36" t="str">
        <f>IFERROR(IF(Y233=0,"",ROUNDUP(Y233/H233,0)*0.00556),"")</f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40"/>
        <v>0</v>
      </c>
      <c r="BN233" s="64">
        <f t="shared" si="41"/>
        <v>0</v>
      </c>
      <c r="BO233" s="64">
        <f t="shared" si="42"/>
        <v>0</v>
      </c>
      <c r="BP233" s="64">
        <f t="shared" si="43"/>
        <v>0</v>
      </c>
    </row>
    <row r="234" spans="1:68" ht="27" customHeight="1" x14ac:dyDescent="0.25">
      <c r="A234" s="54" t="s">
        <v>397</v>
      </c>
      <c r="B234" s="54" t="s">
        <v>398</v>
      </c>
      <c r="C234" s="31">
        <v>4301031199</v>
      </c>
      <c r="D234" s="665">
        <v>4680115880986</v>
      </c>
      <c r="E234" s="666"/>
      <c r="F234" s="650">
        <v>0.35</v>
      </c>
      <c r="G234" s="32">
        <v>6</v>
      </c>
      <c r="H234" s="650">
        <v>2.1</v>
      </c>
      <c r="I234" s="650">
        <v>2.23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4"/>
      <c r="V234" s="34"/>
      <c r="W234" s="35" t="s">
        <v>67</v>
      </c>
      <c r="X234" s="651">
        <v>18</v>
      </c>
      <c r="Y234" s="652">
        <f t="shared" si="39"/>
        <v>18.900000000000002</v>
      </c>
      <c r="Z234" s="36">
        <f t="shared" ref="Z234:Z239" si="44">IFERROR(IF(Y234=0,"",ROUNDUP(Y234/H234,0)*0.00502),"")</f>
        <v>4.5179999999999998E-2</v>
      </c>
      <c r="AA234" s="56"/>
      <c r="AB234" s="57"/>
      <c r="AC234" s="305" t="s">
        <v>387</v>
      </c>
      <c r="AG234" s="64"/>
      <c r="AJ234" s="68"/>
      <c r="AK234" s="68">
        <v>0</v>
      </c>
      <c r="BB234" s="306" t="s">
        <v>1</v>
      </c>
      <c r="BM234" s="64">
        <f t="shared" si="40"/>
        <v>19.114285714285714</v>
      </c>
      <c r="BN234" s="64">
        <f t="shared" si="41"/>
        <v>20.07</v>
      </c>
      <c r="BO234" s="64">
        <f t="shared" si="42"/>
        <v>3.6630036630036632E-2</v>
      </c>
      <c r="BP234" s="64">
        <f t="shared" si="43"/>
        <v>3.8461538461538464E-2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4301031443</v>
      </c>
      <c r="D235" s="665">
        <v>4680115887213</v>
      </c>
      <c r="E235" s="666"/>
      <c r="F235" s="650">
        <v>0.3</v>
      </c>
      <c r="G235" s="32">
        <v>6</v>
      </c>
      <c r="H235" s="650">
        <v>1.8</v>
      </c>
      <c r="I235" s="650">
        <v>1.9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45</v>
      </c>
      <c r="P235" s="87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4"/>
      <c r="V235" s="34"/>
      <c r="W235" s="35" t="s">
        <v>67</v>
      </c>
      <c r="X235" s="651">
        <v>0</v>
      </c>
      <c r="Y235" s="652">
        <f t="shared" si="39"/>
        <v>0</v>
      </c>
      <c r="Z235" s="36" t="str">
        <f t="shared" si="44"/>
        <v/>
      </c>
      <c r="AA235" s="56"/>
      <c r="AB235" s="57"/>
      <c r="AC235" s="307" t="s">
        <v>401</v>
      </c>
      <c r="AG235" s="64"/>
      <c r="AJ235" s="68"/>
      <c r="AK235" s="68">
        <v>0</v>
      </c>
      <c r="BB235" s="308" t="s">
        <v>1</v>
      </c>
      <c r="BM235" s="64">
        <f t="shared" si="40"/>
        <v>0</v>
      </c>
      <c r="BN235" s="64">
        <f t="shared" si="41"/>
        <v>0</v>
      </c>
      <c r="BO235" s="64">
        <f t="shared" si="42"/>
        <v>0</v>
      </c>
      <c r="BP235" s="64">
        <f t="shared" si="43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4301031205</v>
      </c>
      <c r="D236" s="665">
        <v>4680115881785</v>
      </c>
      <c r="E236" s="666"/>
      <c r="F236" s="650">
        <v>0.35</v>
      </c>
      <c r="G236" s="32">
        <v>6</v>
      </c>
      <c r="H236" s="650">
        <v>2.1</v>
      </c>
      <c r="I236" s="650">
        <v>2.23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7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4"/>
      <c r="V236" s="34"/>
      <c r="W236" s="35" t="s">
        <v>67</v>
      </c>
      <c r="X236" s="651">
        <v>0</v>
      </c>
      <c r="Y236" s="652">
        <f t="shared" si="39"/>
        <v>0</v>
      </c>
      <c r="Z236" s="36" t="str">
        <f t="shared" si="44"/>
        <v/>
      </c>
      <c r="AA236" s="56"/>
      <c r="AB236" s="57"/>
      <c r="AC236" s="309" t="s">
        <v>390</v>
      </c>
      <c r="AG236" s="64"/>
      <c r="AJ236" s="68"/>
      <c r="AK236" s="68">
        <v>0</v>
      </c>
      <c r="BB236" s="310" t="s">
        <v>1</v>
      </c>
      <c r="BM236" s="64">
        <f t="shared" si="40"/>
        <v>0</v>
      </c>
      <c r="BN236" s="64">
        <f t="shared" si="41"/>
        <v>0</v>
      </c>
      <c r="BO236" s="64">
        <f t="shared" si="42"/>
        <v>0</v>
      </c>
      <c r="BP236" s="64">
        <f t="shared" si="43"/>
        <v>0</v>
      </c>
    </row>
    <row r="237" spans="1:68" ht="27" hidden="1" customHeight="1" x14ac:dyDescent="0.25">
      <c r="A237" s="54" t="s">
        <v>404</v>
      </c>
      <c r="B237" s="54" t="s">
        <v>405</v>
      </c>
      <c r="C237" s="31">
        <v>4301031499</v>
      </c>
      <c r="D237" s="665">
        <v>4680115888432</v>
      </c>
      <c r="E237" s="666"/>
      <c r="F237" s="650">
        <v>0.3</v>
      </c>
      <c r="G237" s="32">
        <v>6</v>
      </c>
      <c r="H237" s="650">
        <v>1.8</v>
      </c>
      <c r="I237" s="650">
        <v>1.93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45</v>
      </c>
      <c r="P237" s="7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4"/>
      <c r="V237" s="34"/>
      <c r="W237" s="35" t="s">
        <v>67</v>
      </c>
      <c r="X237" s="651">
        <v>0</v>
      </c>
      <c r="Y237" s="652">
        <f t="shared" si="39"/>
        <v>0</v>
      </c>
      <c r="Z237" s="36" t="str">
        <f t="shared" si="44"/>
        <v/>
      </c>
      <c r="AA237" s="56"/>
      <c r="AB237" s="57"/>
      <c r="AC237" s="311" t="s">
        <v>406</v>
      </c>
      <c r="AG237" s="64"/>
      <c r="AJ237" s="68"/>
      <c r="AK237" s="68">
        <v>0</v>
      </c>
      <c r="BB237" s="312" t="s">
        <v>1</v>
      </c>
      <c r="BM237" s="64">
        <f t="shared" si="40"/>
        <v>0</v>
      </c>
      <c r="BN237" s="64">
        <f t="shared" si="41"/>
        <v>0</v>
      </c>
      <c r="BO237" s="64">
        <f t="shared" si="42"/>
        <v>0</v>
      </c>
      <c r="BP237" s="64">
        <f t="shared" si="43"/>
        <v>0</v>
      </c>
    </row>
    <row r="238" spans="1:68" ht="27" hidden="1" customHeight="1" x14ac:dyDescent="0.25">
      <c r="A238" s="54" t="s">
        <v>407</v>
      </c>
      <c r="B238" s="54" t="s">
        <v>408</v>
      </c>
      <c r="C238" s="31">
        <v>4301031427</v>
      </c>
      <c r="D238" s="665">
        <v>4680115888104</v>
      </c>
      <c r="E238" s="666"/>
      <c r="F238" s="650">
        <v>0.35</v>
      </c>
      <c r="G238" s="32">
        <v>6</v>
      </c>
      <c r="H238" s="650">
        <v>2.1</v>
      </c>
      <c r="I238" s="650">
        <v>2.2000000000000002</v>
      </c>
      <c r="J238" s="32">
        <v>234</v>
      </c>
      <c r="K238" s="32" t="s">
        <v>65</v>
      </c>
      <c r="L238" s="32"/>
      <c r="M238" s="33" t="s">
        <v>66</v>
      </c>
      <c r="N238" s="33"/>
      <c r="O238" s="32">
        <v>45</v>
      </c>
      <c r="P238" s="86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4"/>
      <c r="V238" s="34"/>
      <c r="W238" s="35" t="s">
        <v>67</v>
      </c>
      <c r="X238" s="651">
        <v>0</v>
      </c>
      <c r="Y238" s="652">
        <f t="shared" si="39"/>
        <v>0</v>
      </c>
      <c r="Z238" s="36" t="str">
        <f t="shared" si="44"/>
        <v/>
      </c>
      <c r="AA238" s="56"/>
      <c r="AB238" s="57"/>
      <c r="AC238" s="313" t="s">
        <v>409</v>
      </c>
      <c r="AG238" s="64"/>
      <c r="AJ238" s="68"/>
      <c r="AK238" s="68">
        <v>0</v>
      </c>
      <c r="BB238" s="314" t="s">
        <v>1</v>
      </c>
      <c r="BM238" s="64">
        <f t="shared" si="40"/>
        <v>0</v>
      </c>
      <c r="BN238" s="64">
        <f t="shared" si="41"/>
        <v>0</v>
      </c>
      <c r="BO238" s="64">
        <f t="shared" si="42"/>
        <v>0</v>
      </c>
      <c r="BP238" s="64">
        <f t="shared" si="43"/>
        <v>0</v>
      </c>
    </row>
    <row r="239" spans="1:68" ht="27" customHeight="1" x14ac:dyDescent="0.25">
      <c r="A239" s="54" t="s">
        <v>410</v>
      </c>
      <c r="B239" s="54" t="s">
        <v>411</v>
      </c>
      <c r="C239" s="31">
        <v>4301031399</v>
      </c>
      <c r="D239" s="665">
        <v>4680115886537</v>
      </c>
      <c r="E239" s="666"/>
      <c r="F239" s="650">
        <v>0.3</v>
      </c>
      <c r="G239" s="32">
        <v>6</v>
      </c>
      <c r="H239" s="650">
        <v>1.8</v>
      </c>
      <c r="I239" s="650">
        <v>1.93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4"/>
      <c r="V239" s="34"/>
      <c r="W239" s="35" t="s">
        <v>67</v>
      </c>
      <c r="X239" s="651">
        <v>30</v>
      </c>
      <c r="Y239" s="652">
        <f t="shared" si="39"/>
        <v>30.6</v>
      </c>
      <c r="Z239" s="36">
        <f t="shared" si="44"/>
        <v>8.5339999999999999E-2</v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40"/>
        <v>32.166666666666664</v>
      </c>
      <c r="BN239" s="64">
        <f t="shared" si="41"/>
        <v>32.81</v>
      </c>
      <c r="BO239" s="64">
        <f t="shared" si="42"/>
        <v>7.122507122507124E-2</v>
      </c>
      <c r="BP239" s="64">
        <f t="shared" si="43"/>
        <v>7.2649572649572655E-2</v>
      </c>
    </row>
    <row r="240" spans="1:68" ht="27" hidden="1" customHeight="1" x14ac:dyDescent="0.25">
      <c r="A240" s="54" t="s">
        <v>413</v>
      </c>
      <c r="B240" s="54" t="s">
        <v>414</v>
      </c>
      <c r="C240" s="31">
        <v>4301031279</v>
      </c>
      <c r="D240" s="665">
        <v>4680115887596</v>
      </c>
      <c r="E240" s="666"/>
      <c r="F240" s="650">
        <v>0.08</v>
      </c>
      <c r="G240" s="32">
        <v>10</v>
      </c>
      <c r="H240" s="650">
        <v>0.8</v>
      </c>
      <c r="I240" s="650">
        <v>1.01</v>
      </c>
      <c r="J240" s="32">
        <v>336</v>
      </c>
      <c r="K240" s="32" t="s">
        <v>119</v>
      </c>
      <c r="L240" s="32"/>
      <c r="M240" s="33" t="s">
        <v>66</v>
      </c>
      <c r="N240" s="33"/>
      <c r="O240" s="32">
        <v>45</v>
      </c>
      <c r="P240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4"/>
      <c r="V240" s="34"/>
      <c r="W240" s="35" t="s">
        <v>67</v>
      </c>
      <c r="X240" s="651">
        <v>0</v>
      </c>
      <c r="Y240" s="652">
        <f t="shared" si="39"/>
        <v>0</v>
      </c>
      <c r="Z240" s="36" t="str">
        <f>IFERROR(IF(Y240=0,"",ROUNDUP(Y240/H240,0)*0.00417),"")</f>
        <v/>
      </c>
      <c r="AA240" s="56"/>
      <c r="AB240" s="57"/>
      <c r="AC240" s="317" t="s">
        <v>415</v>
      </c>
      <c r="AG240" s="64"/>
      <c r="AJ240" s="68"/>
      <c r="AK240" s="68">
        <v>0</v>
      </c>
      <c r="BB240" s="318" t="s">
        <v>1</v>
      </c>
      <c r="BM240" s="64">
        <f t="shared" si="40"/>
        <v>0</v>
      </c>
      <c r="BN240" s="64">
        <f t="shared" si="41"/>
        <v>0</v>
      </c>
      <c r="BO240" s="64">
        <f t="shared" si="42"/>
        <v>0</v>
      </c>
      <c r="BP240" s="64">
        <f t="shared" si="43"/>
        <v>0</v>
      </c>
    </row>
    <row r="241" spans="1:68" ht="37.5" customHeight="1" x14ac:dyDescent="0.25">
      <c r="A241" s="54" t="s">
        <v>416</v>
      </c>
      <c r="B241" s="54" t="s">
        <v>417</v>
      </c>
      <c r="C241" s="31">
        <v>4301031202</v>
      </c>
      <c r="D241" s="665">
        <v>4680115881679</v>
      </c>
      <c r="E241" s="666"/>
      <c r="F241" s="650">
        <v>0.35</v>
      </c>
      <c r="G241" s="32">
        <v>6</v>
      </c>
      <c r="H241" s="650">
        <v>2.1</v>
      </c>
      <c r="I241" s="650">
        <v>2.2000000000000002</v>
      </c>
      <c r="J241" s="32">
        <v>234</v>
      </c>
      <c r="K241" s="32" t="s">
        <v>65</v>
      </c>
      <c r="L241" s="32"/>
      <c r="M241" s="33" t="s">
        <v>66</v>
      </c>
      <c r="N241" s="33"/>
      <c r="O241" s="32">
        <v>40</v>
      </c>
      <c r="P241" s="9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4"/>
      <c r="V241" s="34"/>
      <c r="W241" s="35" t="s">
        <v>67</v>
      </c>
      <c r="X241" s="651">
        <v>42</v>
      </c>
      <c r="Y241" s="652">
        <f t="shared" si="39"/>
        <v>42</v>
      </c>
      <c r="Z241" s="36">
        <f>IFERROR(IF(Y241=0,"",ROUNDUP(Y241/H241,0)*0.00502),"")</f>
        <v>0.1004</v>
      </c>
      <c r="AA241" s="56"/>
      <c r="AB241" s="57"/>
      <c r="AC241" s="319" t="s">
        <v>393</v>
      </c>
      <c r="AG241" s="64"/>
      <c r="AJ241" s="68"/>
      <c r="AK241" s="68">
        <v>0</v>
      </c>
      <c r="BB241" s="320" t="s">
        <v>1</v>
      </c>
      <c r="BM241" s="64">
        <f t="shared" si="40"/>
        <v>44</v>
      </c>
      <c r="BN241" s="64">
        <f t="shared" si="41"/>
        <v>44</v>
      </c>
      <c r="BO241" s="64">
        <f t="shared" si="42"/>
        <v>8.5470085470085472E-2</v>
      </c>
      <c r="BP241" s="64">
        <f t="shared" si="43"/>
        <v>8.5470085470085472E-2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4301031158</v>
      </c>
      <c r="D242" s="665">
        <v>4680115880191</v>
      </c>
      <c r="E242" s="666"/>
      <c r="F242" s="650">
        <v>0.4</v>
      </c>
      <c r="G242" s="32">
        <v>6</v>
      </c>
      <c r="H242" s="650">
        <v>2.4</v>
      </c>
      <c r="I242" s="650">
        <v>2.58</v>
      </c>
      <c r="J242" s="32">
        <v>182</v>
      </c>
      <c r="K242" s="32" t="s">
        <v>77</v>
      </c>
      <c r="L242" s="32"/>
      <c r="M242" s="33" t="s">
        <v>66</v>
      </c>
      <c r="N242" s="33"/>
      <c r="O242" s="32">
        <v>40</v>
      </c>
      <c r="P242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4"/>
      <c r="V242" s="34"/>
      <c r="W242" s="35" t="s">
        <v>67</v>
      </c>
      <c r="X242" s="651">
        <v>0</v>
      </c>
      <c r="Y242" s="652">
        <f t="shared" si="39"/>
        <v>0</v>
      </c>
      <c r="Z242" s="36" t="str">
        <f>IFERROR(IF(Y242=0,"",ROUNDUP(Y242/H242,0)*0.00651),"")</f>
        <v/>
      </c>
      <c r="AA242" s="56"/>
      <c r="AB242" s="57"/>
      <c r="AC242" s="321" t="s">
        <v>393</v>
      </c>
      <c r="AG242" s="64"/>
      <c r="AJ242" s="68"/>
      <c r="AK242" s="68">
        <v>0</v>
      </c>
      <c r="BB242" s="322" t="s">
        <v>1</v>
      </c>
      <c r="BM242" s="64">
        <f t="shared" si="40"/>
        <v>0</v>
      </c>
      <c r="BN242" s="64">
        <f t="shared" si="41"/>
        <v>0</v>
      </c>
      <c r="BO242" s="64">
        <f t="shared" si="42"/>
        <v>0</v>
      </c>
      <c r="BP242" s="64">
        <f t="shared" si="43"/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4301031245</v>
      </c>
      <c r="D243" s="665">
        <v>4680115883963</v>
      </c>
      <c r="E243" s="666"/>
      <c r="F243" s="650">
        <v>0.28000000000000003</v>
      </c>
      <c r="G243" s="32">
        <v>6</v>
      </c>
      <c r="H243" s="650">
        <v>1.68</v>
      </c>
      <c r="I243" s="650">
        <v>1.78</v>
      </c>
      <c r="J243" s="32">
        <v>234</v>
      </c>
      <c r="K243" s="32" t="s">
        <v>65</v>
      </c>
      <c r="L243" s="32"/>
      <c r="M243" s="33" t="s">
        <v>66</v>
      </c>
      <c r="N243" s="33"/>
      <c r="O243" s="32">
        <v>40</v>
      </c>
      <c r="P243" s="9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4"/>
      <c r="V243" s="34"/>
      <c r="W243" s="35" t="s">
        <v>67</v>
      </c>
      <c r="X243" s="651">
        <v>0</v>
      </c>
      <c r="Y243" s="652">
        <f t="shared" si="39"/>
        <v>0</v>
      </c>
      <c r="Z243" s="36" t="str">
        <f>IFERROR(IF(Y243=0,"",ROUNDUP(Y243/H243,0)*0.00502),"")</f>
        <v/>
      </c>
      <c r="AA243" s="56"/>
      <c r="AB243" s="57"/>
      <c r="AC243" s="323" t="s">
        <v>422</v>
      </c>
      <c r="AG243" s="64"/>
      <c r="AJ243" s="68"/>
      <c r="AK243" s="68">
        <v>0</v>
      </c>
      <c r="BB243" s="324" t="s">
        <v>1</v>
      </c>
      <c r="BM243" s="64">
        <f t="shared" si="40"/>
        <v>0</v>
      </c>
      <c r="BN243" s="64">
        <f t="shared" si="41"/>
        <v>0</v>
      </c>
      <c r="BO243" s="64">
        <f t="shared" si="42"/>
        <v>0</v>
      </c>
      <c r="BP243" s="64">
        <f t="shared" si="43"/>
        <v>0</v>
      </c>
    </row>
    <row r="244" spans="1:68" x14ac:dyDescent="0.2">
      <c r="A244" s="692"/>
      <c r="B244" s="658"/>
      <c r="C244" s="658"/>
      <c r="D244" s="658"/>
      <c r="E244" s="658"/>
      <c r="F244" s="658"/>
      <c r="G244" s="658"/>
      <c r="H244" s="658"/>
      <c r="I244" s="658"/>
      <c r="J244" s="658"/>
      <c r="K244" s="658"/>
      <c r="L244" s="658"/>
      <c r="M244" s="658"/>
      <c r="N244" s="658"/>
      <c r="O244" s="693"/>
      <c r="P244" s="659" t="s">
        <v>72</v>
      </c>
      <c r="Q244" s="660"/>
      <c r="R244" s="660"/>
      <c r="S244" s="660"/>
      <c r="T244" s="660"/>
      <c r="U244" s="660"/>
      <c r="V244" s="661"/>
      <c r="W244" s="37" t="s">
        <v>73</v>
      </c>
      <c r="X244" s="65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73.80952380952381</v>
      </c>
      <c r="Y244" s="65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75</v>
      </c>
      <c r="Z244" s="65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0.49249999999999999</v>
      </c>
      <c r="AA244" s="654"/>
      <c r="AB244" s="654"/>
      <c r="AC244" s="654"/>
    </row>
    <row r="245" spans="1:68" x14ac:dyDescent="0.2">
      <c r="A245" s="658"/>
      <c r="B245" s="658"/>
      <c r="C245" s="658"/>
      <c r="D245" s="658"/>
      <c r="E245" s="658"/>
      <c r="F245" s="658"/>
      <c r="G245" s="658"/>
      <c r="H245" s="658"/>
      <c r="I245" s="658"/>
      <c r="J245" s="658"/>
      <c r="K245" s="658"/>
      <c r="L245" s="658"/>
      <c r="M245" s="658"/>
      <c r="N245" s="658"/>
      <c r="O245" s="693"/>
      <c r="P245" s="659" t="s">
        <v>72</v>
      </c>
      <c r="Q245" s="660"/>
      <c r="R245" s="660"/>
      <c r="S245" s="660"/>
      <c r="T245" s="660"/>
      <c r="U245" s="660"/>
      <c r="V245" s="661"/>
      <c r="W245" s="37" t="s">
        <v>67</v>
      </c>
      <c r="X245" s="653">
        <f>IFERROR(SUM(X230:X243),"0")</f>
        <v>210</v>
      </c>
      <c r="Y245" s="653">
        <f>IFERROR(SUM(Y230:Y243),"0")</f>
        <v>213.3</v>
      </c>
      <c r="Z245" s="37"/>
      <c r="AA245" s="654"/>
      <c r="AB245" s="654"/>
      <c r="AC245" s="654"/>
    </row>
    <row r="246" spans="1:68" ht="14.25" hidden="1" customHeight="1" x14ac:dyDescent="0.25">
      <c r="A246" s="657" t="s">
        <v>74</v>
      </c>
      <c r="B246" s="658"/>
      <c r="C246" s="658"/>
      <c r="D246" s="658"/>
      <c r="E246" s="658"/>
      <c r="F246" s="658"/>
      <c r="G246" s="658"/>
      <c r="H246" s="658"/>
      <c r="I246" s="658"/>
      <c r="J246" s="658"/>
      <c r="K246" s="658"/>
      <c r="L246" s="658"/>
      <c r="M246" s="658"/>
      <c r="N246" s="658"/>
      <c r="O246" s="658"/>
      <c r="P246" s="658"/>
      <c r="Q246" s="658"/>
      <c r="R246" s="658"/>
      <c r="S246" s="658"/>
      <c r="T246" s="658"/>
      <c r="U246" s="658"/>
      <c r="V246" s="658"/>
      <c r="W246" s="658"/>
      <c r="X246" s="658"/>
      <c r="Y246" s="658"/>
      <c r="Z246" s="658"/>
      <c r="AA246" s="647"/>
      <c r="AB246" s="647"/>
      <c r="AC246" s="647"/>
    </row>
    <row r="247" spans="1:68" ht="16.5" hidden="1" customHeight="1" x14ac:dyDescent="0.25">
      <c r="A247" s="54" t="s">
        <v>423</v>
      </c>
      <c r="B247" s="54" t="s">
        <v>424</v>
      </c>
      <c r="C247" s="31">
        <v>4301052209</v>
      </c>
      <c r="D247" s="665">
        <v>4680115888692</v>
      </c>
      <c r="E247" s="666"/>
      <c r="F247" s="650">
        <v>0.8</v>
      </c>
      <c r="G247" s="32">
        <v>6</v>
      </c>
      <c r="H247" s="650">
        <v>4.8</v>
      </c>
      <c r="I247" s="650">
        <v>5.2220000000000004</v>
      </c>
      <c r="J247" s="32">
        <v>104</v>
      </c>
      <c r="K247" s="32" t="s">
        <v>114</v>
      </c>
      <c r="L247" s="32"/>
      <c r="M247" s="33" t="s">
        <v>84</v>
      </c>
      <c r="N247" s="33"/>
      <c r="O247" s="32">
        <v>35</v>
      </c>
      <c r="P247" s="9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4"/>
      <c r="V247" s="34"/>
      <c r="W247" s="35" t="s">
        <v>67</v>
      </c>
      <c r="X247" s="651">
        <v>0</v>
      </c>
      <c r="Y247" s="652">
        <f>IFERROR(IF(X247="",0,CEILING((X247/$H247),1)*$H247),"")</f>
        <v>0</v>
      </c>
      <c r="Z247" s="36" t="str">
        <f>IFERROR(IF(Y247=0,"",ROUNDUP(Y247/H247,0)*0.01196),"")</f>
        <v/>
      </c>
      <c r="AA247" s="56"/>
      <c r="AB247" s="57"/>
      <c r="AC247" s="325" t="s">
        <v>425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4301052213</v>
      </c>
      <c r="D248" s="665">
        <v>4680115888722</v>
      </c>
      <c r="E248" s="666"/>
      <c r="F248" s="650">
        <v>0.8</v>
      </c>
      <c r="G248" s="32">
        <v>6</v>
      </c>
      <c r="H248" s="650">
        <v>4.8</v>
      </c>
      <c r="I248" s="650">
        <v>5.2220000000000004</v>
      </c>
      <c r="J248" s="32">
        <v>104</v>
      </c>
      <c r="K248" s="32" t="s">
        <v>114</v>
      </c>
      <c r="L248" s="32"/>
      <c r="M248" s="33" t="s">
        <v>84</v>
      </c>
      <c r="N248" s="33"/>
      <c r="O248" s="32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4"/>
      <c r="V248" s="34"/>
      <c r="W248" s="35" t="s">
        <v>67</v>
      </c>
      <c r="X248" s="651">
        <v>0</v>
      </c>
      <c r="Y248" s="652">
        <f>IFERROR(IF(X248="",0,CEILING((X248/$H248),1)*$H248),"")</f>
        <v>0</v>
      </c>
      <c r="Z248" s="36" t="str">
        <f>IFERROR(IF(Y248=0,"",ROUNDUP(Y248/H248,0)*0.01196),"")</f>
        <v/>
      </c>
      <c r="AA248" s="56"/>
      <c r="AB248" s="57"/>
      <c r="AC248" s="327" t="s">
        <v>428</v>
      </c>
      <c r="AG248" s="64"/>
      <c r="AJ248" s="68"/>
      <c r="AK248" s="68">
        <v>0</v>
      </c>
      <c r="BB248" s="328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429</v>
      </c>
      <c r="B249" s="54" t="s">
        <v>430</v>
      </c>
      <c r="C249" s="31">
        <v>4301052177</v>
      </c>
      <c r="D249" s="665">
        <v>4680115888951</v>
      </c>
      <c r="E249" s="666"/>
      <c r="F249" s="650">
        <v>0.36</v>
      </c>
      <c r="G249" s="32">
        <v>6</v>
      </c>
      <c r="H249" s="650">
        <v>2.16</v>
      </c>
      <c r="I249" s="650">
        <v>2.4220000000000002</v>
      </c>
      <c r="J249" s="32">
        <v>132</v>
      </c>
      <c r="K249" s="32" t="s">
        <v>123</v>
      </c>
      <c r="L249" s="32"/>
      <c r="M249" s="33" t="s">
        <v>84</v>
      </c>
      <c r="N249" s="33"/>
      <c r="O249" s="32">
        <v>35</v>
      </c>
      <c r="P249" s="69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4"/>
      <c r="V249" s="34"/>
      <c r="W249" s="35" t="s">
        <v>67</v>
      </c>
      <c r="X249" s="651">
        <v>0</v>
      </c>
      <c r="Y249" s="652">
        <f>IFERROR(IF(X249="",0,CEILING((X249/$H249),1)*$H249),"")</f>
        <v>0</v>
      </c>
      <c r="Z249" s="36" t="str">
        <f>IFERROR(IF(Y249=0,"",ROUNDUP(Y249/H249,0)*0.00902),"")</f>
        <v/>
      </c>
      <c r="AA249" s="56"/>
      <c r="AB249" s="57"/>
      <c r="AC249" s="329" t="s">
        <v>431</v>
      </c>
      <c r="AG249" s="64"/>
      <c r="AJ249" s="68"/>
      <c r="AK249" s="68">
        <v>0</v>
      </c>
      <c r="BB249" s="33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432</v>
      </c>
      <c r="B250" s="54" t="s">
        <v>433</v>
      </c>
      <c r="C250" s="31">
        <v>4301052178</v>
      </c>
      <c r="D250" s="665">
        <v>4680115888975</v>
      </c>
      <c r="E250" s="666"/>
      <c r="F250" s="650">
        <v>0.32</v>
      </c>
      <c r="G250" s="32">
        <v>6</v>
      </c>
      <c r="H250" s="650">
        <v>1.92</v>
      </c>
      <c r="I250" s="650">
        <v>2.1819999999999999</v>
      </c>
      <c r="J250" s="32">
        <v>132</v>
      </c>
      <c r="K250" s="32" t="s">
        <v>123</v>
      </c>
      <c r="L250" s="32"/>
      <c r="M250" s="33" t="s">
        <v>84</v>
      </c>
      <c r="N250" s="33"/>
      <c r="O250" s="32">
        <v>35</v>
      </c>
      <c r="P250" s="78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4"/>
      <c r="V250" s="34"/>
      <c r="W250" s="35" t="s">
        <v>67</v>
      </c>
      <c r="X250" s="651">
        <v>0</v>
      </c>
      <c r="Y250" s="652">
        <f>IFERROR(IF(X250="",0,CEILING((X250/$H250),1)*$H250),"")</f>
        <v>0</v>
      </c>
      <c r="Z250" s="36" t="str">
        <f>IFERROR(IF(Y250=0,"",ROUNDUP(Y250/H250,0)*0.00902),"")</f>
        <v/>
      </c>
      <c r="AA250" s="56"/>
      <c r="AB250" s="57"/>
      <c r="AC250" s="331" t="s">
        <v>434</v>
      </c>
      <c r="AG250" s="64"/>
      <c r="AJ250" s="68"/>
      <c r="AK250" s="68">
        <v>0</v>
      </c>
      <c r="BB250" s="33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435</v>
      </c>
      <c r="B251" s="54" t="s">
        <v>436</v>
      </c>
      <c r="C251" s="31">
        <v>4301052176</v>
      </c>
      <c r="D251" s="665">
        <v>4680115888982</v>
      </c>
      <c r="E251" s="666"/>
      <c r="F251" s="650">
        <v>0.36</v>
      </c>
      <c r="G251" s="32">
        <v>6</v>
      </c>
      <c r="H251" s="650">
        <v>2.16</v>
      </c>
      <c r="I251" s="650">
        <v>2.4220000000000002</v>
      </c>
      <c r="J251" s="32">
        <v>132</v>
      </c>
      <c r="K251" s="32" t="s">
        <v>123</v>
      </c>
      <c r="L251" s="32"/>
      <c r="M251" s="33" t="s">
        <v>84</v>
      </c>
      <c r="N251" s="33"/>
      <c r="O251" s="32">
        <v>35</v>
      </c>
      <c r="P251" s="89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4"/>
      <c r="V251" s="34"/>
      <c r="W251" s="35" t="s">
        <v>67</v>
      </c>
      <c r="X251" s="651">
        <v>0</v>
      </c>
      <c r="Y251" s="652">
        <f>IFERROR(IF(X251="",0,CEILING((X251/$H251),1)*$H251),"")</f>
        <v>0</v>
      </c>
      <c r="Z251" s="36" t="str">
        <f>IFERROR(IF(Y251=0,"",ROUNDUP(Y251/H251,0)*0.00902),"")</f>
        <v/>
      </c>
      <c r="AA251" s="56"/>
      <c r="AB251" s="57"/>
      <c r="AC251" s="333" t="s">
        <v>428</v>
      </c>
      <c r="AG251" s="64"/>
      <c r="AJ251" s="68"/>
      <c r="AK251" s="68">
        <v>0</v>
      </c>
      <c r="BB251" s="33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92"/>
      <c r="B252" s="658"/>
      <c r="C252" s="658"/>
      <c r="D252" s="658"/>
      <c r="E252" s="658"/>
      <c r="F252" s="658"/>
      <c r="G252" s="658"/>
      <c r="H252" s="658"/>
      <c r="I252" s="658"/>
      <c r="J252" s="658"/>
      <c r="K252" s="658"/>
      <c r="L252" s="658"/>
      <c r="M252" s="658"/>
      <c r="N252" s="658"/>
      <c r="O252" s="693"/>
      <c r="P252" s="659" t="s">
        <v>72</v>
      </c>
      <c r="Q252" s="660"/>
      <c r="R252" s="660"/>
      <c r="S252" s="660"/>
      <c r="T252" s="660"/>
      <c r="U252" s="660"/>
      <c r="V252" s="661"/>
      <c r="W252" s="37" t="s">
        <v>73</v>
      </c>
      <c r="X252" s="653">
        <f>IFERROR(X247/H247,"0")+IFERROR(X248/H248,"0")+IFERROR(X249/H249,"0")+IFERROR(X250/H250,"0")+IFERROR(X251/H251,"0")</f>
        <v>0</v>
      </c>
      <c r="Y252" s="653">
        <f>IFERROR(Y247/H247,"0")+IFERROR(Y248/H248,"0")+IFERROR(Y249/H249,"0")+IFERROR(Y250/H250,"0")+IFERROR(Y251/H251,"0")</f>
        <v>0</v>
      </c>
      <c r="Z252" s="653">
        <f>IFERROR(IF(Z247="",0,Z247),"0")+IFERROR(IF(Z248="",0,Z248),"0")+IFERROR(IF(Z249="",0,Z249),"0")+IFERROR(IF(Z250="",0,Z250),"0")+IFERROR(IF(Z251="",0,Z251),"0")</f>
        <v>0</v>
      </c>
      <c r="AA252" s="654"/>
      <c r="AB252" s="654"/>
      <c r="AC252" s="654"/>
    </row>
    <row r="253" spans="1:68" hidden="1" x14ac:dyDescent="0.2">
      <c r="A253" s="658"/>
      <c r="B253" s="658"/>
      <c r="C253" s="658"/>
      <c r="D253" s="658"/>
      <c r="E253" s="658"/>
      <c r="F253" s="658"/>
      <c r="G253" s="658"/>
      <c r="H253" s="658"/>
      <c r="I253" s="658"/>
      <c r="J253" s="658"/>
      <c r="K253" s="658"/>
      <c r="L253" s="658"/>
      <c r="M253" s="658"/>
      <c r="N253" s="658"/>
      <c r="O253" s="693"/>
      <c r="P253" s="659" t="s">
        <v>72</v>
      </c>
      <c r="Q253" s="660"/>
      <c r="R253" s="660"/>
      <c r="S253" s="660"/>
      <c r="T253" s="660"/>
      <c r="U253" s="660"/>
      <c r="V253" s="661"/>
      <c r="W253" s="37" t="s">
        <v>67</v>
      </c>
      <c r="X253" s="653">
        <f>IFERROR(SUM(X247:X251),"0")</f>
        <v>0</v>
      </c>
      <c r="Y253" s="653">
        <f>IFERROR(SUM(Y247:Y251),"0")</f>
        <v>0</v>
      </c>
      <c r="Z253" s="37"/>
      <c r="AA253" s="654"/>
      <c r="AB253" s="654"/>
      <c r="AC253" s="654"/>
    </row>
    <row r="254" spans="1:68" ht="14.25" hidden="1" customHeight="1" x14ac:dyDescent="0.25">
      <c r="A254" s="657" t="s">
        <v>283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47"/>
      <c r="AB254" s="647"/>
      <c r="AC254" s="647"/>
    </row>
    <row r="255" spans="1:68" ht="27" hidden="1" customHeight="1" x14ac:dyDescent="0.25">
      <c r="A255" s="54" t="s">
        <v>437</v>
      </c>
      <c r="B255" s="54" t="s">
        <v>438</v>
      </c>
      <c r="C255" s="31">
        <v>4301032053</v>
      </c>
      <c r="D255" s="665">
        <v>4680115886780</v>
      </c>
      <c r="E255" s="666"/>
      <c r="F255" s="650">
        <v>7.0000000000000007E-2</v>
      </c>
      <c r="G255" s="32">
        <v>18</v>
      </c>
      <c r="H255" s="650">
        <v>1.26</v>
      </c>
      <c r="I255" s="650">
        <v>1.45</v>
      </c>
      <c r="J255" s="32">
        <v>216</v>
      </c>
      <c r="K255" s="32" t="s">
        <v>353</v>
      </c>
      <c r="L255" s="32"/>
      <c r="M255" s="33" t="s">
        <v>287</v>
      </c>
      <c r="N255" s="33"/>
      <c r="O255" s="32">
        <v>60</v>
      </c>
      <c r="P255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4"/>
      <c r="V255" s="34"/>
      <c r="W255" s="35" t="s">
        <v>67</v>
      </c>
      <c r="X255" s="651">
        <v>0</v>
      </c>
      <c r="Y255" s="6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35" t="s">
        <v>439</v>
      </c>
      <c r="AG255" s="64"/>
      <c r="AJ255" s="68"/>
      <c r="AK255" s="68">
        <v>0</v>
      </c>
      <c r="BB255" s="33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440</v>
      </c>
      <c r="B256" s="54" t="s">
        <v>441</v>
      </c>
      <c r="C256" s="31">
        <v>4301032051</v>
      </c>
      <c r="D256" s="665">
        <v>4680115886742</v>
      </c>
      <c r="E256" s="666"/>
      <c r="F256" s="650">
        <v>7.0000000000000007E-2</v>
      </c>
      <c r="G256" s="32">
        <v>18</v>
      </c>
      <c r="H256" s="650">
        <v>1.26</v>
      </c>
      <c r="I256" s="650">
        <v>1.45</v>
      </c>
      <c r="J256" s="32">
        <v>216</v>
      </c>
      <c r="K256" s="32" t="s">
        <v>353</v>
      </c>
      <c r="L256" s="32"/>
      <c r="M256" s="33" t="s">
        <v>287</v>
      </c>
      <c r="N256" s="33"/>
      <c r="O256" s="32">
        <v>90</v>
      </c>
      <c r="P256" s="8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4"/>
      <c r="V256" s="34"/>
      <c r="W256" s="35" t="s">
        <v>67</v>
      </c>
      <c r="X256" s="651">
        <v>1</v>
      </c>
      <c r="Y256" s="652">
        <f>IFERROR(IF(X256="",0,CEILING((X256/$H256),1)*$H256),"")</f>
        <v>1.26</v>
      </c>
      <c r="Z256" s="36">
        <f>IFERROR(IF(Y256=0,"",ROUNDUP(Y256/H256,0)*0.0059),"")</f>
        <v>5.8999999999999999E-3</v>
      </c>
      <c r="AA256" s="56"/>
      <c r="AB256" s="57"/>
      <c r="AC256" s="337" t="s">
        <v>442</v>
      </c>
      <c r="AG256" s="64"/>
      <c r="AJ256" s="68"/>
      <c r="AK256" s="68">
        <v>0</v>
      </c>
      <c r="BB256" s="338" t="s">
        <v>1</v>
      </c>
      <c r="BM256" s="64">
        <f>IFERROR(X256*I256/H256,"0")</f>
        <v>1.1507936507936507</v>
      </c>
      <c r="BN256" s="64">
        <f>IFERROR(Y256*I256/H256,"0")</f>
        <v>1.45</v>
      </c>
      <c r="BO256" s="64">
        <f>IFERROR(1/J256*(X256/H256),"0")</f>
        <v>3.6743092298647849E-3</v>
      </c>
      <c r="BP256" s="64">
        <f>IFERROR(1/J256*(Y256/H256),"0")</f>
        <v>4.6296296296296294E-3</v>
      </c>
    </row>
    <row r="257" spans="1:68" ht="27" customHeight="1" x14ac:dyDescent="0.25">
      <c r="A257" s="54" t="s">
        <v>443</v>
      </c>
      <c r="B257" s="54" t="s">
        <v>444</v>
      </c>
      <c r="C257" s="31">
        <v>4301032052</v>
      </c>
      <c r="D257" s="665">
        <v>4680115886766</v>
      </c>
      <c r="E257" s="666"/>
      <c r="F257" s="650">
        <v>7.0000000000000007E-2</v>
      </c>
      <c r="G257" s="32">
        <v>18</v>
      </c>
      <c r="H257" s="650">
        <v>1.26</v>
      </c>
      <c r="I257" s="650">
        <v>1.45</v>
      </c>
      <c r="J257" s="32">
        <v>216</v>
      </c>
      <c r="K257" s="32" t="s">
        <v>353</v>
      </c>
      <c r="L257" s="32"/>
      <c r="M257" s="33" t="s">
        <v>287</v>
      </c>
      <c r="N257" s="33"/>
      <c r="O257" s="32">
        <v>90</v>
      </c>
      <c r="P257" s="9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4"/>
      <c r="V257" s="34"/>
      <c r="W257" s="35" t="s">
        <v>67</v>
      </c>
      <c r="X257" s="651">
        <v>1</v>
      </c>
      <c r="Y257" s="652">
        <f>IFERROR(IF(X257="",0,CEILING((X257/$H257),1)*$H257),"")</f>
        <v>1.26</v>
      </c>
      <c r="Z257" s="36">
        <f>IFERROR(IF(Y257=0,"",ROUNDUP(Y257/H257,0)*0.0059),"")</f>
        <v>5.8999999999999999E-3</v>
      </c>
      <c r="AA257" s="56"/>
      <c r="AB257" s="57"/>
      <c r="AC257" s="339" t="s">
        <v>442</v>
      </c>
      <c r="AG257" s="64"/>
      <c r="AJ257" s="68"/>
      <c r="AK257" s="68">
        <v>0</v>
      </c>
      <c r="BB257" s="340" t="s">
        <v>1</v>
      </c>
      <c r="BM257" s="64">
        <f>IFERROR(X257*I257/H257,"0")</f>
        <v>1.1507936507936507</v>
      </c>
      <c r="BN257" s="64">
        <f>IFERROR(Y257*I257/H257,"0")</f>
        <v>1.45</v>
      </c>
      <c r="BO257" s="64">
        <f>IFERROR(1/J257*(X257/H257),"0")</f>
        <v>3.6743092298647849E-3</v>
      </c>
      <c r="BP257" s="64">
        <f>IFERROR(1/J257*(Y257/H257),"0")</f>
        <v>4.6296296296296294E-3</v>
      </c>
    </row>
    <row r="258" spans="1:68" x14ac:dyDescent="0.2">
      <c r="A258" s="692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93"/>
      <c r="P258" s="659" t="s">
        <v>72</v>
      </c>
      <c r="Q258" s="660"/>
      <c r="R258" s="660"/>
      <c r="S258" s="660"/>
      <c r="T258" s="660"/>
      <c r="U258" s="660"/>
      <c r="V258" s="661"/>
      <c r="W258" s="37" t="s">
        <v>73</v>
      </c>
      <c r="X258" s="653">
        <f>IFERROR(X255/H255,"0")+IFERROR(X256/H256,"0")+IFERROR(X257/H257,"0")</f>
        <v>1.5873015873015872</v>
      </c>
      <c r="Y258" s="653">
        <f>IFERROR(Y255/H255,"0")+IFERROR(Y256/H256,"0")+IFERROR(Y257/H257,"0")</f>
        <v>2</v>
      </c>
      <c r="Z258" s="653">
        <f>IFERROR(IF(Z255="",0,Z255),"0")+IFERROR(IF(Z256="",0,Z256),"0")+IFERROR(IF(Z257="",0,Z257),"0")</f>
        <v>1.18E-2</v>
      </c>
      <c r="AA258" s="654"/>
      <c r="AB258" s="654"/>
      <c r="AC258" s="654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93"/>
      <c r="P259" s="659" t="s">
        <v>72</v>
      </c>
      <c r="Q259" s="660"/>
      <c r="R259" s="660"/>
      <c r="S259" s="660"/>
      <c r="T259" s="660"/>
      <c r="U259" s="660"/>
      <c r="V259" s="661"/>
      <c r="W259" s="37" t="s">
        <v>67</v>
      </c>
      <c r="X259" s="653">
        <f>IFERROR(SUM(X255:X257),"0")</f>
        <v>2</v>
      </c>
      <c r="Y259" s="653">
        <f>IFERROR(SUM(Y255:Y257),"0")</f>
        <v>2.52</v>
      </c>
      <c r="Z259" s="37"/>
      <c r="AA259" s="654"/>
      <c r="AB259" s="654"/>
      <c r="AC259" s="654"/>
    </row>
    <row r="260" spans="1:68" ht="14.25" hidden="1" customHeight="1" x14ac:dyDescent="0.25">
      <c r="A260" s="657" t="s">
        <v>445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47"/>
      <c r="AB260" s="647"/>
      <c r="AC260" s="647"/>
    </row>
    <row r="261" spans="1:68" ht="27" hidden="1" customHeight="1" x14ac:dyDescent="0.25">
      <c r="A261" s="54" t="s">
        <v>446</v>
      </c>
      <c r="B261" s="54" t="s">
        <v>447</v>
      </c>
      <c r="C261" s="31">
        <v>4301170013</v>
      </c>
      <c r="D261" s="665">
        <v>4680115886797</v>
      </c>
      <c r="E261" s="666"/>
      <c r="F261" s="650">
        <v>7.0000000000000007E-2</v>
      </c>
      <c r="G261" s="32">
        <v>18</v>
      </c>
      <c r="H261" s="650">
        <v>1.26</v>
      </c>
      <c r="I261" s="650">
        <v>1.45</v>
      </c>
      <c r="J261" s="32">
        <v>216</v>
      </c>
      <c r="K261" s="32" t="s">
        <v>353</v>
      </c>
      <c r="L261" s="32"/>
      <c r="M261" s="33" t="s">
        <v>287</v>
      </c>
      <c r="N261" s="33"/>
      <c r="O261" s="32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4"/>
      <c r="V261" s="34"/>
      <c r="W261" s="35" t="s">
        <v>67</v>
      </c>
      <c r="X261" s="651">
        <v>0</v>
      </c>
      <c r="Y261" s="652">
        <f>IFERROR(IF(X261="",0,CEILING((X261/$H261),1)*$H261),"")</f>
        <v>0</v>
      </c>
      <c r="Z261" s="36" t="str">
        <f>IFERROR(IF(Y261=0,"",ROUNDUP(Y261/H261,0)*0.0059),"")</f>
        <v/>
      </c>
      <c r="AA261" s="56"/>
      <c r="AB261" s="57"/>
      <c r="AC261" s="341" t="s">
        <v>442</v>
      </c>
      <c r="AG261" s="64"/>
      <c r="AJ261" s="68"/>
      <c r="AK261" s="68">
        <v>0</v>
      </c>
      <c r="BB261" s="34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92"/>
      <c r="B262" s="658"/>
      <c r="C262" s="658"/>
      <c r="D262" s="658"/>
      <c r="E262" s="658"/>
      <c r="F262" s="658"/>
      <c r="G262" s="658"/>
      <c r="H262" s="658"/>
      <c r="I262" s="658"/>
      <c r="J262" s="658"/>
      <c r="K262" s="658"/>
      <c r="L262" s="658"/>
      <c r="M262" s="658"/>
      <c r="N262" s="658"/>
      <c r="O262" s="693"/>
      <c r="P262" s="659" t="s">
        <v>72</v>
      </c>
      <c r="Q262" s="660"/>
      <c r="R262" s="660"/>
      <c r="S262" s="660"/>
      <c r="T262" s="660"/>
      <c r="U262" s="660"/>
      <c r="V262" s="661"/>
      <c r="W262" s="37" t="s">
        <v>73</v>
      </c>
      <c r="X262" s="653">
        <f>IFERROR(X261/H261,"0")</f>
        <v>0</v>
      </c>
      <c r="Y262" s="653">
        <f>IFERROR(Y261/H261,"0")</f>
        <v>0</v>
      </c>
      <c r="Z262" s="653">
        <f>IFERROR(IF(Z261="",0,Z261),"0")</f>
        <v>0</v>
      </c>
      <c r="AA262" s="654"/>
      <c r="AB262" s="654"/>
      <c r="AC262" s="654"/>
    </row>
    <row r="263" spans="1:68" hidden="1" x14ac:dyDescent="0.2">
      <c r="A263" s="658"/>
      <c r="B263" s="658"/>
      <c r="C263" s="658"/>
      <c r="D263" s="658"/>
      <c r="E263" s="658"/>
      <c r="F263" s="658"/>
      <c r="G263" s="658"/>
      <c r="H263" s="658"/>
      <c r="I263" s="658"/>
      <c r="J263" s="658"/>
      <c r="K263" s="658"/>
      <c r="L263" s="658"/>
      <c r="M263" s="658"/>
      <c r="N263" s="658"/>
      <c r="O263" s="693"/>
      <c r="P263" s="659" t="s">
        <v>72</v>
      </c>
      <c r="Q263" s="660"/>
      <c r="R263" s="660"/>
      <c r="S263" s="660"/>
      <c r="T263" s="660"/>
      <c r="U263" s="660"/>
      <c r="V263" s="661"/>
      <c r="W263" s="37" t="s">
        <v>67</v>
      </c>
      <c r="X263" s="653">
        <f>IFERROR(SUM(X261:X261),"0")</f>
        <v>0</v>
      </c>
      <c r="Y263" s="653">
        <f>IFERROR(SUM(Y261:Y261),"0")</f>
        <v>0</v>
      </c>
      <c r="Z263" s="37"/>
      <c r="AA263" s="654"/>
      <c r="AB263" s="654"/>
      <c r="AC263" s="654"/>
    </row>
    <row r="264" spans="1:68" ht="16.5" hidden="1" customHeight="1" x14ac:dyDescent="0.25">
      <c r="A264" s="662" t="s">
        <v>448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46"/>
      <c r="AB264" s="646"/>
      <c r="AC264" s="646"/>
    </row>
    <row r="265" spans="1:68" ht="14.25" hidden="1" customHeight="1" x14ac:dyDescent="0.25">
      <c r="A265" s="657" t="s">
        <v>111</v>
      </c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8"/>
      <c r="P265" s="658"/>
      <c r="Q265" s="658"/>
      <c r="R265" s="658"/>
      <c r="S265" s="658"/>
      <c r="T265" s="658"/>
      <c r="U265" s="658"/>
      <c r="V265" s="658"/>
      <c r="W265" s="658"/>
      <c r="X265" s="658"/>
      <c r="Y265" s="658"/>
      <c r="Z265" s="658"/>
      <c r="AA265" s="647"/>
      <c r="AB265" s="647"/>
      <c r="AC265" s="647"/>
    </row>
    <row r="266" spans="1:68" ht="27" hidden="1" customHeight="1" x14ac:dyDescent="0.25">
      <c r="A266" s="54" t="s">
        <v>449</v>
      </c>
      <c r="B266" s="54" t="s">
        <v>450</v>
      </c>
      <c r="C266" s="31">
        <v>4301011450</v>
      </c>
      <c r="D266" s="665">
        <v>4680115881402</v>
      </c>
      <c r="E266" s="666"/>
      <c r="F266" s="650">
        <v>1.35</v>
      </c>
      <c r="G266" s="32">
        <v>8</v>
      </c>
      <c r="H266" s="650">
        <v>10.8</v>
      </c>
      <c r="I266" s="650">
        <v>11.21</v>
      </c>
      <c r="J266" s="32">
        <v>64</v>
      </c>
      <c r="K266" s="32" t="s">
        <v>114</v>
      </c>
      <c r="L266" s="32"/>
      <c r="M266" s="33" t="s">
        <v>115</v>
      </c>
      <c r="N266" s="33"/>
      <c r="O266" s="32">
        <v>55</v>
      </c>
      <c r="P266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4"/>
      <c r="V266" s="34"/>
      <c r="W266" s="35" t="s">
        <v>67</v>
      </c>
      <c r="X266" s="651">
        <v>0</v>
      </c>
      <c r="Y266" s="65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43" t="s">
        <v>451</v>
      </c>
      <c r="AG266" s="64"/>
      <c r="AJ266" s="68"/>
      <c r="AK266" s="68">
        <v>0</v>
      </c>
      <c r="BB266" s="34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4301011768</v>
      </c>
      <c r="D267" s="665">
        <v>4680115881396</v>
      </c>
      <c r="E267" s="666"/>
      <c r="F267" s="650">
        <v>0.45</v>
      </c>
      <c r="G267" s="32">
        <v>6</v>
      </c>
      <c r="H267" s="650">
        <v>2.7</v>
      </c>
      <c r="I267" s="650">
        <v>2.88</v>
      </c>
      <c r="J267" s="32">
        <v>182</v>
      </c>
      <c r="K267" s="32" t="s">
        <v>77</v>
      </c>
      <c r="L267" s="32"/>
      <c r="M267" s="33" t="s">
        <v>115</v>
      </c>
      <c r="N267" s="33"/>
      <c r="O267" s="32">
        <v>55</v>
      </c>
      <c r="P267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4"/>
      <c r="V267" s="34"/>
      <c r="W267" s="35" t="s">
        <v>67</v>
      </c>
      <c r="X267" s="651">
        <v>0</v>
      </c>
      <c r="Y267" s="65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45" t="s">
        <v>451</v>
      </c>
      <c r="AG267" s="64"/>
      <c r="AJ267" s="68"/>
      <c r="AK267" s="68">
        <v>0</v>
      </c>
      <c r="BB267" s="34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92"/>
      <c r="B268" s="658"/>
      <c r="C268" s="658"/>
      <c r="D268" s="658"/>
      <c r="E268" s="658"/>
      <c r="F268" s="658"/>
      <c r="G268" s="658"/>
      <c r="H268" s="658"/>
      <c r="I268" s="658"/>
      <c r="J268" s="658"/>
      <c r="K268" s="658"/>
      <c r="L268" s="658"/>
      <c r="M268" s="658"/>
      <c r="N268" s="658"/>
      <c r="O268" s="693"/>
      <c r="P268" s="659" t="s">
        <v>72</v>
      </c>
      <c r="Q268" s="660"/>
      <c r="R268" s="660"/>
      <c r="S268" s="660"/>
      <c r="T268" s="660"/>
      <c r="U268" s="660"/>
      <c r="V268" s="661"/>
      <c r="W268" s="37" t="s">
        <v>73</v>
      </c>
      <c r="X268" s="653">
        <f>IFERROR(X266/H266,"0")+IFERROR(X267/H267,"0")</f>
        <v>0</v>
      </c>
      <c r="Y268" s="653">
        <f>IFERROR(Y266/H266,"0")+IFERROR(Y267/H267,"0")</f>
        <v>0</v>
      </c>
      <c r="Z268" s="653">
        <f>IFERROR(IF(Z266="",0,Z266),"0")+IFERROR(IF(Z267="",0,Z267),"0")</f>
        <v>0</v>
      </c>
      <c r="AA268" s="654"/>
      <c r="AB268" s="654"/>
      <c r="AC268" s="654"/>
    </row>
    <row r="269" spans="1:68" hidden="1" x14ac:dyDescent="0.2">
      <c r="A269" s="658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93"/>
      <c r="P269" s="659" t="s">
        <v>72</v>
      </c>
      <c r="Q269" s="660"/>
      <c r="R269" s="660"/>
      <c r="S269" s="660"/>
      <c r="T269" s="660"/>
      <c r="U269" s="660"/>
      <c r="V269" s="661"/>
      <c r="W269" s="37" t="s">
        <v>67</v>
      </c>
      <c r="X269" s="653">
        <f>IFERROR(SUM(X266:X267),"0")</f>
        <v>0</v>
      </c>
      <c r="Y269" s="653">
        <f>IFERROR(SUM(Y266:Y267),"0")</f>
        <v>0</v>
      </c>
      <c r="Z269" s="37"/>
      <c r="AA269" s="654"/>
      <c r="AB269" s="654"/>
      <c r="AC269" s="654"/>
    </row>
    <row r="270" spans="1:68" ht="14.25" hidden="1" customHeight="1" x14ac:dyDescent="0.25">
      <c r="A270" s="657" t="s">
        <v>144</v>
      </c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8"/>
      <c r="P270" s="658"/>
      <c r="Q270" s="658"/>
      <c r="R270" s="658"/>
      <c r="S270" s="658"/>
      <c r="T270" s="658"/>
      <c r="U270" s="658"/>
      <c r="V270" s="658"/>
      <c r="W270" s="658"/>
      <c r="X270" s="658"/>
      <c r="Y270" s="658"/>
      <c r="Z270" s="658"/>
      <c r="AA270" s="647"/>
      <c r="AB270" s="647"/>
      <c r="AC270" s="647"/>
    </row>
    <row r="271" spans="1:68" ht="16.5" hidden="1" customHeight="1" x14ac:dyDescent="0.25">
      <c r="A271" s="54" t="s">
        <v>454</v>
      </c>
      <c r="B271" s="54" t="s">
        <v>455</v>
      </c>
      <c r="C271" s="31">
        <v>4301020261</v>
      </c>
      <c r="D271" s="665">
        <v>4680115882935</v>
      </c>
      <c r="E271" s="666"/>
      <c r="F271" s="650">
        <v>1.35</v>
      </c>
      <c r="G271" s="32">
        <v>8</v>
      </c>
      <c r="H271" s="650">
        <v>10.8</v>
      </c>
      <c r="I271" s="650">
        <v>11.21</v>
      </c>
      <c r="J271" s="32">
        <v>64</v>
      </c>
      <c r="K271" s="32" t="s">
        <v>114</v>
      </c>
      <c r="L271" s="32"/>
      <c r="M271" s="33" t="s">
        <v>115</v>
      </c>
      <c r="N271" s="33"/>
      <c r="O271" s="32">
        <v>50</v>
      </c>
      <c r="P271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4"/>
      <c r="V271" s="34"/>
      <c r="W271" s="35" t="s">
        <v>67</v>
      </c>
      <c r="X271" s="651">
        <v>0</v>
      </c>
      <c r="Y271" s="6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47" t="s">
        <v>456</v>
      </c>
      <c r="AG271" s="64"/>
      <c r="AJ271" s="68"/>
      <c r="AK271" s="68">
        <v>0</v>
      </c>
      <c r="BB271" s="34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16.5" hidden="1" customHeight="1" x14ac:dyDescent="0.25">
      <c r="A272" s="54" t="s">
        <v>457</v>
      </c>
      <c r="B272" s="54" t="s">
        <v>458</v>
      </c>
      <c r="C272" s="31">
        <v>4301020220</v>
      </c>
      <c r="D272" s="665">
        <v>4680115880764</v>
      </c>
      <c r="E272" s="666"/>
      <c r="F272" s="650">
        <v>0.35</v>
      </c>
      <c r="G272" s="32">
        <v>6</v>
      </c>
      <c r="H272" s="650">
        <v>2.1</v>
      </c>
      <c r="I272" s="650">
        <v>2.2799999999999998</v>
      </c>
      <c r="J272" s="32">
        <v>182</v>
      </c>
      <c r="K272" s="32" t="s">
        <v>77</v>
      </c>
      <c r="L272" s="32"/>
      <c r="M272" s="33" t="s">
        <v>115</v>
      </c>
      <c r="N272" s="33"/>
      <c r="O272" s="32">
        <v>50</v>
      </c>
      <c r="P272" s="8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4"/>
      <c r="V272" s="34"/>
      <c r="W272" s="35" t="s">
        <v>67</v>
      </c>
      <c r="X272" s="651">
        <v>0</v>
      </c>
      <c r="Y272" s="65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49" t="s">
        <v>456</v>
      </c>
      <c r="AG272" s="64"/>
      <c r="AJ272" s="68"/>
      <c r="AK272" s="68">
        <v>0</v>
      </c>
      <c r="BB272" s="35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92"/>
      <c r="B273" s="658"/>
      <c r="C273" s="658"/>
      <c r="D273" s="658"/>
      <c r="E273" s="658"/>
      <c r="F273" s="658"/>
      <c r="G273" s="658"/>
      <c r="H273" s="658"/>
      <c r="I273" s="658"/>
      <c r="J273" s="658"/>
      <c r="K273" s="658"/>
      <c r="L273" s="658"/>
      <c r="M273" s="658"/>
      <c r="N273" s="658"/>
      <c r="O273" s="693"/>
      <c r="P273" s="659" t="s">
        <v>72</v>
      </c>
      <c r="Q273" s="660"/>
      <c r="R273" s="660"/>
      <c r="S273" s="660"/>
      <c r="T273" s="660"/>
      <c r="U273" s="660"/>
      <c r="V273" s="661"/>
      <c r="W273" s="37" t="s">
        <v>73</v>
      </c>
      <c r="X273" s="653">
        <f>IFERROR(X271/H271,"0")+IFERROR(X272/H272,"0")</f>
        <v>0</v>
      </c>
      <c r="Y273" s="653">
        <f>IFERROR(Y271/H271,"0")+IFERROR(Y272/H272,"0")</f>
        <v>0</v>
      </c>
      <c r="Z273" s="653">
        <f>IFERROR(IF(Z271="",0,Z271),"0")+IFERROR(IF(Z272="",0,Z272),"0")</f>
        <v>0</v>
      </c>
      <c r="AA273" s="654"/>
      <c r="AB273" s="654"/>
      <c r="AC273" s="654"/>
    </row>
    <row r="274" spans="1:68" hidden="1" x14ac:dyDescent="0.2">
      <c r="A274" s="658"/>
      <c r="B274" s="658"/>
      <c r="C274" s="658"/>
      <c r="D274" s="658"/>
      <c r="E274" s="658"/>
      <c r="F274" s="658"/>
      <c r="G274" s="658"/>
      <c r="H274" s="658"/>
      <c r="I274" s="658"/>
      <c r="J274" s="658"/>
      <c r="K274" s="658"/>
      <c r="L274" s="658"/>
      <c r="M274" s="658"/>
      <c r="N274" s="658"/>
      <c r="O274" s="693"/>
      <c r="P274" s="659" t="s">
        <v>72</v>
      </c>
      <c r="Q274" s="660"/>
      <c r="R274" s="660"/>
      <c r="S274" s="660"/>
      <c r="T274" s="660"/>
      <c r="U274" s="660"/>
      <c r="V274" s="661"/>
      <c r="W274" s="37" t="s">
        <v>67</v>
      </c>
      <c r="X274" s="653">
        <f>IFERROR(SUM(X271:X272),"0")</f>
        <v>0</v>
      </c>
      <c r="Y274" s="653">
        <f>IFERROR(SUM(Y271:Y272),"0")</f>
        <v>0</v>
      </c>
      <c r="Z274" s="37"/>
      <c r="AA274" s="654"/>
      <c r="AB274" s="654"/>
      <c r="AC274" s="654"/>
    </row>
    <row r="275" spans="1:68" ht="14.25" hidden="1" customHeight="1" x14ac:dyDescent="0.25">
      <c r="A275" s="657" t="s">
        <v>62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47"/>
      <c r="AB275" s="647"/>
      <c r="AC275" s="647"/>
    </row>
    <row r="276" spans="1:68" ht="27" customHeight="1" x14ac:dyDescent="0.25">
      <c r="A276" s="54" t="s">
        <v>459</v>
      </c>
      <c r="B276" s="54" t="s">
        <v>460</v>
      </c>
      <c r="C276" s="31">
        <v>4301031224</v>
      </c>
      <c r="D276" s="665">
        <v>4680115882683</v>
      </c>
      <c r="E276" s="666"/>
      <c r="F276" s="650">
        <v>0.9</v>
      </c>
      <c r="G276" s="32">
        <v>6</v>
      </c>
      <c r="H276" s="650">
        <v>5.4</v>
      </c>
      <c r="I276" s="650">
        <v>5.59</v>
      </c>
      <c r="J276" s="32">
        <v>132</v>
      </c>
      <c r="K276" s="32" t="s">
        <v>123</v>
      </c>
      <c r="L276" s="32"/>
      <c r="M276" s="33" t="s">
        <v>66</v>
      </c>
      <c r="N276" s="33"/>
      <c r="O276" s="32">
        <v>40</v>
      </c>
      <c r="P276" s="9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4"/>
      <c r="V276" s="34"/>
      <c r="W276" s="35" t="s">
        <v>67</v>
      </c>
      <c r="X276" s="651">
        <v>60</v>
      </c>
      <c r="Y276" s="652">
        <f t="shared" ref="Y276:Y283" si="45">IFERROR(IF(X276="",0,CEILING((X276/$H276),1)*$H276),"")</f>
        <v>64.800000000000011</v>
      </c>
      <c r="Z276" s="36">
        <f>IFERROR(IF(Y276=0,"",ROUNDUP(Y276/H276,0)*0.00902),"")</f>
        <v>0.10824</v>
      </c>
      <c r="AA276" s="56"/>
      <c r="AB276" s="57"/>
      <c r="AC276" s="351" t="s">
        <v>461</v>
      </c>
      <c r="AG276" s="64"/>
      <c r="AJ276" s="68"/>
      <c r="AK276" s="68">
        <v>0</v>
      </c>
      <c r="BB276" s="352" t="s">
        <v>1</v>
      </c>
      <c r="BM276" s="64">
        <f t="shared" ref="BM276:BM283" si="46">IFERROR(X276*I276/H276,"0")</f>
        <v>62.1111111111111</v>
      </c>
      <c r="BN276" s="64">
        <f t="shared" ref="BN276:BN283" si="47">IFERROR(Y276*I276/H276,"0")</f>
        <v>67.08</v>
      </c>
      <c r="BO276" s="64">
        <f t="shared" ref="BO276:BO283" si="48">IFERROR(1/J276*(X276/H276),"0")</f>
        <v>8.4175084175084181E-2</v>
      </c>
      <c r="BP276" s="64">
        <f t="shared" ref="BP276:BP283" si="49">IFERROR(1/J276*(Y276/H276),"0")</f>
        <v>9.0909090909090925E-2</v>
      </c>
    </row>
    <row r="277" spans="1:68" ht="27" customHeight="1" x14ac:dyDescent="0.25">
      <c r="A277" s="54" t="s">
        <v>462</v>
      </c>
      <c r="B277" s="54" t="s">
        <v>463</v>
      </c>
      <c r="C277" s="31">
        <v>4301031230</v>
      </c>
      <c r="D277" s="665">
        <v>4680115882690</v>
      </c>
      <c r="E277" s="666"/>
      <c r="F277" s="650">
        <v>0.9</v>
      </c>
      <c r="G277" s="32">
        <v>6</v>
      </c>
      <c r="H277" s="650">
        <v>5.4</v>
      </c>
      <c r="I277" s="650">
        <v>5.59</v>
      </c>
      <c r="J277" s="32">
        <v>132</v>
      </c>
      <c r="K277" s="32" t="s">
        <v>123</v>
      </c>
      <c r="L277" s="32"/>
      <c r="M277" s="33" t="s">
        <v>66</v>
      </c>
      <c r="N277" s="33"/>
      <c r="O277" s="32">
        <v>40</v>
      </c>
      <c r="P277" s="82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4"/>
      <c r="V277" s="34"/>
      <c r="W277" s="35" t="s">
        <v>67</v>
      </c>
      <c r="X277" s="651">
        <v>50</v>
      </c>
      <c r="Y277" s="652">
        <f t="shared" si="45"/>
        <v>54</v>
      </c>
      <c r="Z277" s="36">
        <f>IFERROR(IF(Y277=0,"",ROUNDUP(Y277/H277,0)*0.00902),"")</f>
        <v>9.0200000000000002E-2</v>
      </c>
      <c r="AA277" s="56"/>
      <c r="AB277" s="57"/>
      <c r="AC277" s="353" t="s">
        <v>464</v>
      </c>
      <c r="AG277" s="64"/>
      <c r="AJ277" s="68"/>
      <c r="AK277" s="68">
        <v>0</v>
      </c>
      <c r="BB277" s="354" t="s">
        <v>1</v>
      </c>
      <c r="BM277" s="64">
        <f t="shared" si="46"/>
        <v>51.759259259259252</v>
      </c>
      <c r="BN277" s="64">
        <f t="shared" si="47"/>
        <v>55.9</v>
      </c>
      <c r="BO277" s="64">
        <f t="shared" si="48"/>
        <v>7.0145903479236812E-2</v>
      </c>
      <c r="BP277" s="64">
        <f t="shared" si="49"/>
        <v>7.575757575757576E-2</v>
      </c>
    </row>
    <row r="278" spans="1:68" ht="27" customHeight="1" x14ac:dyDescent="0.25">
      <c r="A278" s="54" t="s">
        <v>465</v>
      </c>
      <c r="B278" s="54" t="s">
        <v>466</v>
      </c>
      <c r="C278" s="31">
        <v>4301031220</v>
      </c>
      <c r="D278" s="665">
        <v>4680115882669</v>
      </c>
      <c r="E278" s="666"/>
      <c r="F278" s="650">
        <v>0.9</v>
      </c>
      <c r="G278" s="32">
        <v>6</v>
      </c>
      <c r="H278" s="650">
        <v>5.4</v>
      </c>
      <c r="I278" s="650">
        <v>5.59</v>
      </c>
      <c r="J278" s="32">
        <v>132</v>
      </c>
      <c r="K278" s="32" t="s">
        <v>123</v>
      </c>
      <c r="L278" s="32"/>
      <c r="M278" s="33" t="s">
        <v>66</v>
      </c>
      <c r="N278" s="33"/>
      <c r="O278" s="32">
        <v>40</v>
      </c>
      <c r="P278" s="9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4"/>
      <c r="V278" s="34"/>
      <c r="W278" s="35" t="s">
        <v>67</v>
      </c>
      <c r="X278" s="651">
        <v>80</v>
      </c>
      <c r="Y278" s="652">
        <f t="shared" si="45"/>
        <v>81</v>
      </c>
      <c r="Z278" s="36">
        <f>IFERROR(IF(Y278=0,"",ROUNDUP(Y278/H278,0)*0.00902),"")</f>
        <v>0.1353</v>
      </c>
      <c r="AA278" s="56"/>
      <c r="AB278" s="57"/>
      <c r="AC278" s="355" t="s">
        <v>467</v>
      </c>
      <c r="AG278" s="64"/>
      <c r="AJ278" s="68"/>
      <c r="AK278" s="68">
        <v>0</v>
      </c>
      <c r="BB278" s="356" t="s">
        <v>1</v>
      </c>
      <c r="BM278" s="64">
        <f t="shared" si="46"/>
        <v>82.81481481481481</v>
      </c>
      <c r="BN278" s="64">
        <f t="shared" si="47"/>
        <v>83.85</v>
      </c>
      <c r="BO278" s="64">
        <f t="shared" si="48"/>
        <v>0.11223344556677889</v>
      </c>
      <c r="BP278" s="64">
        <f t="shared" si="49"/>
        <v>0.11363636363636363</v>
      </c>
    </row>
    <row r="279" spans="1:68" ht="27" customHeight="1" x14ac:dyDescent="0.25">
      <c r="A279" s="54" t="s">
        <v>468</v>
      </c>
      <c r="B279" s="54" t="s">
        <v>469</v>
      </c>
      <c r="C279" s="31">
        <v>4301031221</v>
      </c>
      <c r="D279" s="665">
        <v>4680115882676</v>
      </c>
      <c r="E279" s="666"/>
      <c r="F279" s="650">
        <v>0.9</v>
      </c>
      <c r="G279" s="32">
        <v>6</v>
      </c>
      <c r="H279" s="650">
        <v>5.4</v>
      </c>
      <c r="I279" s="650">
        <v>5.59</v>
      </c>
      <c r="J279" s="32">
        <v>132</v>
      </c>
      <c r="K279" s="32" t="s">
        <v>123</v>
      </c>
      <c r="L279" s="32"/>
      <c r="M279" s="33" t="s">
        <v>66</v>
      </c>
      <c r="N279" s="33"/>
      <c r="O279" s="32">
        <v>40</v>
      </c>
      <c r="P279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4"/>
      <c r="V279" s="34"/>
      <c r="W279" s="35" t="s">
        <v>67</v>
      </c>
      <c r="X279" s="651">
        <v>60</v>
      </c>
      <c r="Y279" s="652">
        <f t="shared" si="45"/>
        <v>64.800000000000011</v>
      </c>
      <c r="Z279" s="36">
        <f>IFERROR(IF(Y279=0,"",ROUNDUP(Y279/H279,0)*0.00902),"")</f>
        <v>0.10824</v>
      </c>
      <c r="AA279" s="56"/>
      <c r="AB279" s="57"/>
      <c r="AC279" s="357" t="s">
        <v>470</v>
      </c>
      <c r="AG279" s="64"/>
      <c r="AJ279" s="68"/>
      <c r="AK279" s="68">
        <v>0</v>
      </c>
      <c r="BB279" s="358" t="s">
        <v>1</v>
      </c>
      <c r="BM279" s="64">
        <f t="shared" si="46"/>
        <v>62.1111111111111</v>
      </c>
      <c r="BN279" s="64">
        <f t="shared" si="47"/>
        <v>67.08</v>
      </c>
      <c r="BO279" s="64">
        <f t="shared" si="48"/>
        <v>8.4175084175084181E-2</v>
      </c>
      <c r="BP279" s="64">
        <f t="shared" si="49"/>
        <v>9.0909090909090925E-2</v>
      </c>
    </row>
    <row r="280" spans="1:68" ht="27" customHeight="1" x14ac:dyDescent="0.25">
      <c r="A280" s="54" t="s">
        <v>471</v>
      </c>
      <c r="B280" s="54" t="s">
        <v>472</v>
      </c>
      <c r="C280" s="31">
        <v>4301031223</v>
      </c>
      <c r="D280" s="665">
        <v>4680115884014</v>
      </c>
      <c r="E280" s="666"/>
      <c r="F280" s="650">
        <v>0.3</v>
      </c>
      <c r="G280" s="32">
        <v>6</v>
      </c>
      <c r="H280" s="650">
        <v>1.8</v>
      </c>
      <c r="I280" s="650">
        <v>1.93</v>
      </c>
      <c r="J280" s="32">
        <v>234</v>
      </c>
      <c r="K280" s="32" t="s">
        <v>65</v>
      </c>
      <c r="L280" s="32"/>
      <c r="M280" s="33" t="s">
        <v>66</v>
      </c>
      <c r="N280" s="33"/>
      <c r="O280" s="32">
        <v>40</v>
      </c>
      <c r="P280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4"/>
      <c r="V280" s="34"/>
      <c r="W280" s="35" t="s">
        <v>67</v>
      </c>
      <c r="X280" s="651">
        <v>9</v>
      </c>
      <c r="Y280" s="652">
        <f t="shared" si="45"/>
        <v>9</v>
      </c>
      <c r="Z280" s="36">
        <f>IFERROR(IF(Y280=0,"",ROUNDUP(Y280/H280,0)*0.00502),"")</f>
        <v>2.5100000000000001E-2</v>
      </c>
      <c r="AA280" s="56"/>
      <c r="AB280" s="57"/>
      <c r="AC280" s="359" t="s">
        <v>461</v>
      </c>
      <c r="AG280" s="64"/>
      <c r="AJ280" s="68"/>
      <c r="AK280" s="68">
        <v>0</v>
      </c>
      <c r="BB280" s="360" t="s">
        <v>1</v>
      </c>
      <c r="BM280" s="64">
        <f t="shared" si="46"/>
        <v>9.65</v>
      </c>
      <c r="BN280" s="64">
        <f t="shared" si="47"/>
        <v>9.65</v>
      </c>
      <c r="BO280" s="64">
        <f t="shared" si="48"/>
        <v>2.1367521367521368E-2</v>
      </c>
      <c r="BP280" s="64">
        <f t="shared" si="49"/>
        <v>2.1367521367521368E-2</v>
      </c>
    </row>
    <row r="281" spans="1:68" ht="27" customHeight="1" x14ac:dyDescent="0.25">
      <c r="A281" s="54" t="s">
        <v>473</v>
      </c>
      <c r="B281" s="54" t="s">
        <v>474</v>
      </c>
      <c r="C281" s="31">
        <v>4301031222</v>
      </c>
      <c r="D281" s="665">
        <v>4680115884007</v>
      </c>
      <c r="E281" s="666"/>
      <c r="F281" s="650">
        <v>0.3</v>
      </c>
      <c r="G281" s="32">
        <v>6</v>
      </c>
      <c r="H281" s="650">
        <v>1.8</v>
      </c>
      <c r="I281" s="650">
        <v>1.9</v>
      </c>
      <c r="J281" s="32">
        <v>234</v>
      </c>
      <c r="K281" s="32" t="s">
        <v>65</v>
      </c>
      <c r="L281" s="32"/>
      <c r="M281" s="33" t="s">
        <v>66</v>
      </c>
      <c r="N281" s="33"/>
      <c r="O281" s="32">
        <v>40</v>
      </c>
      <c r="P281" s="9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4"/>
      <c r="V281" s="34"/>
      <c r="W281" s="35" t="s">
        <v>67</v>
      </c>
      <c r="X281" s="651">
        <v>9</v>
      </c>
      <c r="Y281" s="652">
        <f t="shared" si="45"/>
        <v>9</v>
      </c>
      <c r="Z281" s="36">
        <f>IFERROR(IF(Y281=0,"",ROUNDUP(Y281/H281,0)*0.00502),"")</f>
        <v>2.5100000000000001E-2</v>
      </c>
      <c r="AA281" s="56"/>
      <c r="AB281" s="57"/>
      <c r="AC281" s="361" t="s">
        <v>464</v>
      </c>
      <c r="AG281" s="64"/>
      <c r="AJ281" s="68"/>
      <c r="AK281" s="68">
        <v>0</v>
      </c>
      <c r="BB281" s="362" t="s">
        <v>1</v>
      </c>
      <c r="BM281" s="64">
        <f t="shared" si="46"/>
        <v>9.4999999999999982</v>
      </c>
      <c r="BN281" s="64">
        <f t="shared" si="47"/>
        <v>9.4999999999999982</v>
      </c>
      <c r="BO281" s="64">
        <f t="shared" si="48"/>
        <v>2.1367521367521368E-2</v>
      </c>
      <c r="BP281" s="64">
        <f t="shared" si="49"/>
        <v>2.1367521367521368E-2</v>
      </c>
    </row>
    <row r="282" spans="1:68" ht="27" hidden="1" customHeight="1" x14ac:dyDescent="0.25">
      <c r="A282" s="54" t="s">
        <v>475</v>
      </c>
      <c r="B282" s="54" t="s">
        <v>476</v>
      </c>
      <c r="C282" s="31">
        <v>4301031229</v>
      </c>
      <c r="D282" s="665">
        <v>4680115884038</v>
      </c>
      <c r="E282" s="666"/>
      <c r="F282" s="650">
        <v>0.3</v>
      </c>
      <c r="G282" s="32">
        <v>6</v>
      </c>
      <c r="H282" s="650">
        <v>1.8</v>
      </c>
      <c r="I282" s="650">
        <v>1.9</v>
      </c>
      <c r="J282" s="32">
        <v>234</v>
      </c>
      <c r="K282" s="32" t="s">
        <v>65</v>
      </c>
      <c r="L282" s="32"/>
      <c r="M282" s="33" t="s">
        <v>66</v>
      </c>
      <c r="N282" s="33"/>
      <c r="O282" s="32">
        <v>40</v>
      </c>
      <c r="P282" s="9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4"/>
      <c r="V282" s="34"/>
      <c r="W282" s="35" t="s">
        <v>67</v>
      </c>
      <c r="X282" s="651">
        <v>0</v>
      </c>
      <c r="Y282" s="652">
        <f t="shared" si="45"/>
        <v>0</v>
      </c>
      <c r="Z282" s="36" t="str">
        <f>IFERROR(IF(Y282=0,"",ROUNDUP(Y282/H282,0)*0.00502),"")</f>
        <v/>
      </c>
      <c r="AA282" s="56"/>
      <c r="AB282" s="57"/>
      <c r="AC282" s="363" t="s">
        <v>467</v>
      </c>
      <c r="AG282" s="64"/>
      <c r="AJ282" s="68"/>
      <c r="AK282" s="68">
        <v>0</v>
      </c>
      <c r="BB282" s="364" t="s">
        <v>1</v>
      </c>
      <c r="BM282" s="64">
        <f t="shared" si="46"/>
        <v>0</v>
      </c>
      <c r="BN282" s="64">
        <f t="shared" si="47"/>
        <v>0</v>
      </c>
      <c r="BO282" s="64">
        <f t="shared" si="48"/>
        <v>0</v>
      </c>
      <c r="BP282" s="64">
        <f t="shared" si="49"/>
        <v>0</v>
      </c>
    </row>
    <row r="283" spans="1:68" ht="27" customHeight="1" x14ac:dyDescent="0.25">
      <c r="A283" s="54" t="s">
        <v>477</v>
      </c>
      <c r="B283" s="54" t="s">
        <v>478</v>
      </c>
      <c r="C283" s="31">
        <v>4301031225</v>
      </c>
      <c r="D283" s="665">
        <v>4680115884021</v>
      </c>
      <c r="E283" s="666"/>
      <c r="F283" s="650">
        <v>0.3</v>
      </c>
      <c r="G283" s="32">
        <v>6</v>
      </c>
      <c r="H283" s="650">
        <v>1.8</v>
      </c>
      <c r="I283" s="650">
        <v>1.9</v>
      </c>
      <c r="J283" s="32">
        <v>234</v>
      </c>
      <c r="K283" s="32" t="s">
        <v>65</v>
      </c>
      <c r="L283" s="32"/>
      <c r="M283" s="33" t="s">
        <v>66</v>
      </c>
      <c r="N283" s="33"/>
      <c r="O283" s="32">
        <v>40</v>
      </c>
      <c r="P283" s="82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4"/>
      <c r="V283" s="34"/>
      <c r="W283" s="35" t="s">
        <v>67</v>
      </c>
      <c r="X283" s="651">
        <v>15</v>
      </c>
      <c r="Y283" s="652">
        <f t="shared" si="45"/>
        <v>16.2</v>
      </c>
      <c r="Z283" s="36">
        <f>IFERROR(IF(Y283=0,"",ROUNDUP(Y283/H283,0)*0.00502),"")</f>
        <v>4.5179999999999998E-2</v>
      </c>
      <c r="AA283" s="56"/>
      <c r="AB283" s="57"/>
      <c r="AC283" s="365" t="s">
        <v>470</v>
      </c>
      <c r="AG283" s="64"/>
      <c r="AJ283" s="68"/>
      <c r="AK283" s="68">
        <v>0</v>
      </c>
      <c r="BB283" s="366" t="s">
        <v>1</v>
      </c>
      <c r="BM283" s="64">
        <f t="shared" si="46"/>
        <v>15.833333333333332</v>
      </c>
      <c r="BN283" s="64">
        <f t="shared" si="47"/>
        <v>17.099999999999998</v>
      </c>
      <c r="BO283" s="64">
        <f t="shared" si="48"/>
        <v>3.561253561253562E-2</v>
      </c>
      <c r="BP283" s="64">
        <f t="shared" si="49"/>
        <v>3.8461538461538464E-2</v>
      </c>
    </row>
    <row r="284" spans="1:68" x14ac:dyDescent="0.2">
      <c r="A284" s="692"/>
      <c r="B284" s="658"/>
      <c r="C284" s="658"/>
      <c r="D284" s="658"/>
      <c r="E284" s="658"/>
      <c r="F284" s="658"/>
      <c r="G284" s="658"/>
      <c r="H284" s="658"/>
      <c r="I284" s="658"/>
      <c r="J284" s="658"/>
      <c r="K284" s="658"/>
      <c r="L284" s="658"/>
      <c r="M284" s="658"/>
      <c r="N284" s="658"/>
      <c r="O284" s="693"/>
      <c r="P284" s="659" t="s">
        <v>72</v>
      </c>
      <c r="Q284" s="660"/>
      <c r="R284" s="660"/>
      <c r="S284" s="660"/>
      <c r="T284" s="660"/>
      <c r="U284" s="660"/>
      <c r="V284" s="661"/>
      <c r="W284" s="37" t="s">
        <v>73</v>
      </c>
      <c r="X284" s="653">
        <f>IFERROR(X276/H276,"0")+IFERROR(X277/H277,"0")+IFERROR(X278/H278,"0")+IFERROR(X279/H279,"0")+IFERROR(X280/H280,"0")+IFERROR(X281/H281,"0")+IFERROR(X282/H282,"0")+IFERROR(X283/H283,"0")</f>
        <v>64.629629629629619</v>
      </c>
      <c r="Y284" s="653">
        <f>IFERROR(Y276/H276,"0")+IFERROR(Y277/H277,"0")+IFERROR(Y278/H278,"0")+IFERROR(Y279/H279,"0")+IFERROR(Y280/H280,"0")+IFERROR(Y281/H281,"0")+IFERROR(Y282/H282,"0")+IFERROR(Y283/H283,"0")</f>
        <v>68</v>
      </c>
      <c r="Z284" s="65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0.53736000000000006</v>
      </c>
      <c r="AA284" s="654"/>
      <c r="AB284" s="654"/>
      <c r="AC284" s="654"/>
    </row>
    <row r="285" spans="1:68" x14ac:dyDescent="0.2">
      <c r="A285" s="658"/>
      <c r="B285" s="658"/>
      <c r="C285" s="658"/>
      <c r="D285" s="658"/>
      <c r="E285" s="658"/>
      <c r="F285" s="658"/>
      <c r="G285" s="658"/>
      <c r="H285" s="658"/>
      <c r="I285" s="658"/>
      <c r="J285" s="658"/>
      <c r="K285" s="658"/>
      <c r="L285" s="658"/>
      <c r="M285" s="658"/>
      <c r="N285" s="658"/>
      <c r="O285" s="693"/>
      <c r="P285" s="659" t="s">
        <v>72</v>
      </c>
      <c r="Q285" s="660"/>
      <c r="R285" s="660"/>
      <c r="S285" s="660"/>
      <c r="T285" s="660"/>
      <c r="U285" s="660"/>
      <c r="V285" s="661"/>
      <c r="W285" s="37" t="s">
        <v>67</v>
      </c>
      <c r="X285" s="653">
        <f>IFERROR(SUM(X276:X283),"0")</f>
        <v>283</v>
      </c>
      <c r="Y285" s="653">
        <f>IFERROR(SUM(Y276:Y283),"0")</f>
        <v>298.8</v>
      </c>
      <c r="Z285" s="37"/>
      <c r="AA285" s="654"/>
      <c r="AB285" s="654"/>
      <c r="AC285" s="654"/>
    </row>
    <row r="286" spans="1:68" ht="14.25" hidden="1" customHeight="1" x14ac:dyDescent="0.25">
      <c r="A286" s="657" t="s">
        <v>74</v>
      </c>
      <c r="B286" s="658"/>
      <c r="C286" s="658"/>
      <c r="D286" s="658"/>
      <c r="E286" s="658"/>
      <c r="F286" s="658"/>
      <c r="G286" s="658"/>
      <c r="H286" s="658"/>
      <c r="I286" s="658"/>
      <c r="J286" s="658"/>
      <c r="K286" s="658"/>
      <c r="L286" s="658"/>
      <c r="M286" s="658"/>
      <c r="N286" s="658"/>
      <c r="O286" s="658"/>
      <c r="P286" s="658"/>
      <c r="Q286" s="658"/>
      <c r="R286" s="658"/>
      <c r="S286" s="658"/>
      <c r="T286" s="658"/>
      <c r="U286" s="658"/>
      <c r="V286" s="658"/>
      <c r="W286" s="658"/>
      <c r="X286" s="658"/>
      <c r="Y286" s="658"/>
      <c r="Z286" s="658"/>
      <c r="AA286" s="647"/>
      <c r="AB286" s="647"/>
      <c r="AC286" s="647"/>
    </row>
    <row r="287" spans="1:68" ht="27" customHeight="1" x14ac:dyDescent="0.25">
      <c r="A287" s="54" t="s">
        <v>479</v>
      </c>
      <c r="B287" s="54" t="s">
        <v>480</v>
      </c>
      <c r="C287" s="31">
        <v>4301051408</v>
      </c>
      <c r="D287" s="665">
        <v>4680115881594</v>
      </c>
      <c r="E287" s="666"/>
      <c r="F287" s="650">
        <v>1.35</v>
      </c>
      <c r="G287" s="32">
        <v>6</v>
      </c>
      <c r="H287" s="650">
        <v>8.1</v>
      </c>
      <c r="I287" s="650">
        <v>8.5939999999999994</v>
      </c>
      <c r="J287" s="32">
        <v>64</v>
      </c>
      <c r="K287" s="32" t="s">
        <v>114</v>
      </c>
      <c r="L287" s="32"/>
      <c r="M287" s="33" t="s">
        <v>78</v>
      </c>
      <c r="N287" s="33"/>
      <c r="O287" s="32">
        <v>40</v>
      </c>
      <c r="P287" s="9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4"/>
      <c r="V287" s="34"/>
      <c r="W287" s="35" t="s">
        <v>67</v>
      </c>
      <c r="X287" s="651">
        <v>50</v>
      </c>
      <c r="Y287" s="652">
        <f t="shared" ref="Y287:Y298" si="50">IFERROR(IF(X287="",0,CEILING((X287/$H287),1)*$H287),"")</f>
        <v>56.699999999999996</v>
      </c>
      <c r="Z287" s="36">
        <f>IFERROR(IF(Y287=0,"",ROUNDUP(Y287/H287,0)*0.01898),"")</f>
        <v>0.13286000000000001</v>
      </c>
      <c r="AA287" s="56"/>
      <c r="AB287" s="57"/>
      <c r="AC287" s="367" t="s">
        <v>481</v>
      </c>
      <c r="AG287" s="64"/>
      <c r="AJ287" s="68"/>
      <c r="AK287" s="68">
        <v>0</v>
      </c>
      <c r="BB287" s="368" t="s">
        <v>1</v>
      </c>
      <c r="BM287" s="64">
        <f t="shared" ref="BM287:BM298" si="51">IFERROR(X287*I287/H287,"0")</f>
        <v>53.049382716049386</v>
      </c>
      <c r="BN287" s="64">
        <f t="shared" ref="BN287:BN298" si="52">IFERROR(Y287*I287/H287,"0")</f>
        <v>60.157999999999994</v>
      </c>
      <c r="BO287" s="64">
        <f t="shared" ref="BO287:BO298" si="53">IFERROR(1/J287*(X287/H287),"0")</f>
        <v>9.6450617283950615E-2</v>
      </c>
      <c r="BP287" s="64">
        <f t="shared" ref="BP287:BP298" si="54">IFERROR(1/J287*(Y287/H287),"0")</f>
        <v>0.109375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4301051411</v>
      </c>
      <c r="D288" s="665">
        <v>4680115881617</v>
      </c>
      <c r="E288" s="666"/>
      <c r="F288" s="650">
        <v>1.35</v>
      </c>
      <c r="G288" s="32">
        <v>6</v>
      </c>
      <c r="H288" s="650">
        <v>8.1</v>
      </c>
      <c r="I288" s="650">
        <v>8.5760000000000005</v>
      </c>
      <c r="J288" s="32">
        <v>64</v>
      </c>
      <c r="K288" s="32" t="s">
        <v>114</v>
      </c>
      <c r="L288" s="32"/>
      <c r="M288" s="33" t="s">
        <v>78</v>
      </c>
      <c r="N288" s="33"/>
      <c r="O288" s="32">
        <v>40</v>
      </c>
      <c r="P288" s="10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4"/>
      <c r="V288" s="34"/>
      <c r="W288" s="35" t="s">
        <v>67</v>
      </c>
      <c r="X288" s="651">
        <v>0</v>
      </c>
      <c r="Y288" s="652">
        <f t="shared" si="50"/>
        <v>0</v>
      </c>
      <c r="Z288" s="36" t="str">
        <f>IFERROR(IF(Y288=0,"",ROUNDUP(Y288/H288,0)*0.01898),"")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51"/>
        <v>0</v>
      </c>
      <c r="BN288" s="64">
        <f t="shared" si="52"/>
        <v>0</v>
      </c>
      <c r="BO288" s="64">
        <f t="shared" si="53"/>
        <v>0</v>
      </c>
      <c r="BP288" s="64">
        <f t="shared" si="54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4301051656</v>
      </c>
      <c r="D289" s="665">
        <v>4680115880573</v>
      </c>
      <c r="E289" s="666"/>
      <c r="F289" s="650">
        <v>1.45</v>
      </c>
      <c r="G289" s="32">
        <v>6</v>
      </c>
      <c r="H289" s="650">
        <v>8.6999999999999993</v>
      </c>
      <c r="I289" s="650">
        <v>9.1940000000000008</v>
      </c>
      <c r="J289" s="32">
        <v>64</v>
      </c>
      <c r="K289" s="32" t="s">
        <v>114</v>
      </c>
      <c r="L289" s="32"/>
      <c r="M289" s="33" t="s">
        <v>78</v>
      </c>
      <c r="N289" s="33"/>
      <c r="O289" s="32">
        <v>45</v>
      </c>
      <c r="P289" s="8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4"/>
      <c r="V289" s="34"/>
      <c r="W289" s="35" t="s">
        <v>67</v>
      </c>
      <c r="X289" s="651">
        <v>20</v>
      </c>
      <c r="Y289" s="652">
        <f t="shared" si="50"/>
        <v>26.099999999999998</v>
      </c>
      <c r="Z289" s="36">
        <f>IFERROR(IF(Y289=0,"",ROUNDUP(Y289/H289,0)*0.01898),"")</f>
        <v>5.6940000000000004E-2</v>
      </c>
      <c r="AA289" s="56"/>
      <c r="AB289" s="57"/>
      <c r="AC289" s="371" t="s">
        <v>487</v>
      </c>
      <c r="AG289" s="64"/>
      <c r="AJ289" s="68"/>
      <c r="AK289" s="68">
        <v>0</v>
      </c>
      <c r="BB289" s="372" t="s">
        <v>1</v>
      </c>
      <c r="BM289" s="64">
        <f t="shared" si="51"/>
        <v>21.135632183908051</v>
      </c>
      <c r="BN289" s="64">
        <f t="shared" si="52"/>
        <v>27.582000000000004</v>
      </c>
      <c r="BO289" s="64">
        <f t="shared" si="53"/>
        <v>3.5919540229885062E-2</v>
      </c>
      <c r="BP289" s="64">
        <f t="shared" si="54"/>
        <v>4.6875E-2</v>
      </c>
    </row>
    <row r="290" spans="1:68" ht="27" customHeight="1" x14ac:dyDescent="0.25">
      <c r="A290" s="54" t="s">
        <v>488</v>
      </c>
      <c r="B290" s="54" t="s">
        <v>489</v>
      </c>
      <c r="C290" s="31">
        <v>4301051407</v>
      </c>
      <c r="D290" s="665">
        <v>4680115882195</v>
      </c>
      <c r="E290" s="666"/>
      <c r="F290" s="650">
        <v>0.4</v>
      </c>
      <c r="G290" s="32">
        <v>6</v>
      </c>
      <c r="H290" s="650">
        <v>2.4</v>
      </c>
      <c r="I290" s="650">
        <v>2.67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4"/>
      <c r="V290" s="34"/>
      <c r="W290" s="35" t="s">
        <v>67</v>
      </c>
      <c r="X290" s="651">
        <v>100</v>
      </c>
      <c r="Y290" s="652">
        <f t="shared" si="50"/>
        <v>100.8</v>
      </c>
      <c r="Z290" s="36">
        <f>IFERROR(IF(Y290=0,"",ROUNDUP(Y290/H290,0)*0.00651),"")</f>
        <v>0.27342</v>
      </c>
      <c r="AA290" s="56"/>
      <c r="AB290" s="57"/>
      <c r="AC290" s="373" t="s">
        <v>481</v>
      </c>
      <c r="AG290" s="64"/>
      <c r="AJ290" s="68"/>
      <c r="AK290" s="68">
        <v>0</v>
      </c>
      <c r="BB290" s="374" t="s">
        <v>1</v>
      </c>
      <c r="BM290" s="64">
        <f t="shared" si="51"/>
        <v>111.25</v>
      </c>
      <c r="BN290" s="64">
        <f t="shared" si="52"/>
        <v>112.13999999999999</v>
      </c>
      <c r="BO290" s="64">
        <f t="shared" si="53"/>
        <v>0.22893772893772898</v>
      </c>
      <c r="BP290" s="64">
        <f t="shared" si="54"/>
        <v>0.23076923076923078</v>
      </c>
    </row>
    <row r="291" spans="1:68" ht="27" hidden="1" customHeight="1" x14ac:dyDescent="0.25">
      <c r="A291" s="54" t="s">
        <v>490</v>
      </c>
      <c r="B291" s="54" t="s">
        <v>491</v>
      </c>
      <c r="C291" s="31">
        <v>4301051752</v>
      </c>
      <c r="D291" s="665">
        <v>4680115882607</v>
      </c>
      <c r="E291" s="666"/>
      <c r="F291" s="650">
        <v>0.3</v>
      </c>
      <c r="G291" s="32">
        <v>6</v>
      </c>
      <c r="H291" s="650">
        <v>1.8</v>
      </c>
      <c r="I291" s="650">
        <v>2.052</v>
      </c>
      <c r="J291" s="32">
        <v>182</v>
      </c>
      <c r="K291" s="32" t="s">
        <v>77</v>
      </c>
      <c r="L291" s="32"/>
      <c r="M291" s="33" t="s">
        <v>84</v>
      </c>
      <c r="N291" s="33"/>
      <c r="O291" s="32">
        <v>45</v>
      </c>
      <c r="P291" s="10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4"/>
      <c r="V291" s="34"/>
      <c r="W291" s="35" t="s">
        <v>67</v>
      </c>
      <c r="X291" s="651">
        <v>0</v>
      </c>
      <c r="Y291" s="652">
        <f t="shared" si="50"/>
        <v>0</v>
      </c>
      <c r="Z291" s="36" t="str">
        <f>IFERROR(IF(Y291=0,"",ROUNDUP(Y291/H291,0)*0.00651),"")</f>
        <v/>
      </c>
      <c r="AA291" s="56"/>
      <c r="AB291" s="57"/>
      <c r="AC291" s="375" t="s">
        <v>487</v>
      </c>
      <c r="AG291" s="64"/>
      <c r="AJ291" s="68"/>
      <c r="AK291" s="68">
        <v>0</v>
      </c>
      <c r="BB291" s="376" t="s">
        <v>1</v>
      </c>
      <c r="BM291" s="64">
        <f t="shared" si="51"/>
        <v>0</v>
      </c>
      <c r="BN291" s="64">
        <f t="shared" si="52"/>
        <v>0</v>
      </c>
      <c r="BO291" s="64">
        <f t="shared" si="53"/>
        <v>0</v>
      </c>
      <c r="BP291" s="64">
        <f t="shared" si="54"/>
        <v>0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4301052143</v>
      </c>
      <c r="D292" s="665">
        <v>4680115882607</v>
      </c>
      <c r="E292" s="666"/>
      <c r="F292" s="650">
        <v>0.3</v>
      </c>
      <c r="G292" s="32">
        <v>6</v>
      </c>
      <c r="H292" s="650">
        <v>1.8</v>
      </c>
      <c r="I292" s="650">
        <v>2.0619999999999998</v>
      </c>
      <c r="J292" s="32">
        <v>132</v>
      </c>
      <c r="K292" s="32" t="s">
        <v>123</v>
      </c>
      <c r="L292" s="32"/>
      <c r="M292" s="33" t="s">
        <v>78</v>
      </c>
      <c r="N292" s="33"/>
      <c r="O292" s="32">
        <v>45</v>
      </c>
      <c r="P292" s="10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4"/>
      <c r="V292" s="34"/>
      <c r="W292" s="35" t="s">
        <v>67</v>
      </c>
      <c r="X292" s="651">
        <v>0</v>
      </c>
      <c r="Y292" s="652">
        <f t="shared" si="50"/>
        <v>0</v>
      </c>
      <c r="Z292" s="36" t="str">
        <f>IFERROR(IF(Y292=0,"",ROUNDUP(Y292/H292,0)*0.00902),"")</f>
        <v/>
      </c>
      <c r="AA292" s="56"/>
      <c r="AB292" s="57"/>
      <c r="AC292" s="377" t="s">
        <v>494</v>
      </c>
      <c r="AG292" s="64"/>
      <c r="AJ292" s="68"/>
      <c r="AK292" s="68">
        <v>0</v>
      </c>
      <c r="BB292" s="378" t="s">
        <v>1</v>
      </c>
      <c r="BM292" s="64">
        <f t="shared" si="51"/>
        <v>0</v>
      </c>
      <c r="BN292" s="64">
        <f t="shared" si="52"/>
        <v>0</v>
      </c>
      <c r="BO292" s="64">
        <f t="shared" si="53"/>
        <v>0</v>
      </c>
      <c r="BP292" s="64">
        <f t="shared" si="54"/>
        <v>0</v>
      </c>
    </row>
    <row r="293" spans="1:68" ht="27" customHeight="1" x14ac:dyDescent="0.25">
      <c r="A293" s="54" t="s">
        <v>495</v>
      </c>
      <c r="B293" s="54" t="s">
        <v>496</v>
      </c>
      <c r="C293" s="31">
        <v>4301051666</v>
      </c>
      <c r="D293" s="665">
        <v>4680115880092</v>
      </c>
      <c r="E293" s="666"/>
      <c r="F293" s="650">
        <v>0.4</v>
      </c>
      <c r="G293" s="32">
        <v>6</v>
      </c>
      <c r="H293" s="650">
        <v>2.4</v>
      </c>
      <c r="I293" s="650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45</v>
      </c>
      <c r="P293" s="10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4"/>
      <c r="V293" s="34"/>
      <c r="W293" s="35" t="s">
        <v>67</v>
      </c>
      <c r="X293" s="651">
        <v>80</v>
      </c>
      <c r="Y293" s="652">
        <f t="shared" si="50"/>
        <v>81.599999999999994</v>
      </c>
      <c r="Z293" s="36">
        <f>IFERROR(IF(Y293=0,"",ROUNDUP(Y293/H293,0)*0.00651),"")</f>
        <v>0.22134000000000001</v>
      </c>
      <c r="AA293" s="56"/>
      <c r="AB293" s="57"/>
      <c r="AC293" s="379" t="s">
        <v>487</v>
      </c>
      <c r="AG293" s="64"/>
      <c r="AJ293" s="68"/>
      <c r="AK293" s="68">
        <v>0</v>
      </c>
      <c r="BB293" s="380" t="s">
        <v>1</v>
      </c>
      <c r="BM293" s="64">
        <f t="shared" si="51"/>
        <v>88.40000000000002</v>
      </c>
      <c r="BN293" s="64">
        <f t="shared" si="52"/>
        <v>90.168000000000006</v>
      </c>
      <c r="BO293" s="64">
        <f t="shared" si="53"/>
        <v>0.18315018315018317</v>
      </c>
      <c r="BP293" s="64">
        <f t="shared" si="54"/>
        <v>0.18681318681318682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4301052214</v>
      </c>
      <c r="D294" s="665">
        <v>4680115889064</v>
      </c>
      <c r="E294" s="666"/>
      <c r="F294" s="650">
        <v>0.7</v>
      </c>
      <c r="G294" s="32">
        <v>6</v>
      </c>
      <c r="H294" s="650">
        <v>4.2</v>
      </c>
      <c r="I294" s="650">
        <v>4.6159999999999997</v>
      </c>
      <c r="J294" s="32">
        <v>104</v>
      </c>
      <c r="K294" s="32" t="s">
        <v>114</v>
      </c>
      <c r="L294" s="32"/>
      <c r="M294" s="33" t="s">
        <v>78</v>
      </c>
      <c r="N294" s="33"/>
      <c r="O294" s="32">
        <v>45</v>
      </c>
      <c r="P294" s="102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4"/>
      <c r="V294" s="34"/>
      <c r="W294" s="35" t="s">
        <v>67</v>
      </c>
      <c r="X294" s="651">
        <v>0</v>
      </c>
      <c r="Y294" s="652">
        <f t="shared" si="50"/>
        <v>0</v>
      </c>
      <c r="Z294" s="36" t="str">
        <f>IFERROR(IF(Y294=0,"",ROUNDUP(Y294/H294,0)*0.01196),"")</f>
        <v/>
      </c>
      <c r="AA294" s="56"/>
      <c r="AB294" s="57"/>
      <c r="AC294" s="381" t="s">
        <v>494</v>
      </c>
      <c r="AG294" s="64"/>
      <c r="AJ294" s="68"/>
      <c r="AK294" s="68">
        <v>0</v>
      </c>
      <c r="BB294" s="382" t="s">
        <v>1</v>
      </c>
      <c r="BM294" s="64">
        <f t="shared" si="51"/>
        <v>0</v>
      </c>
      <c r="BN294" s="64">
        <f t="shared" si="52"/>
        <v>0</v>
      </c>
      <c r="BO294" s="64">
        <f t="shared" si="53"/>
        <v>0</v>
      </c>
      <c r="BP294" s="64">
        <f t="shared" si="54"/>
        <v>0</v>
      </c>
    </row>
    <row r="295" spans="1:68" ht="27" customHeight="1" x14ac:dyDescent="0.25">
      <c r="A295" s="54" t="s">
        <v>499</v>
      </c>
      <c r="B295" s="54" t="s">
        <v>500</v>
      </c>
      <c r="C295" s="31">
        <v>4301051668</v>
      </c>
      <c r="D295" s="665">
        <v>4680115880221</v>
      </c>
      <c r="E295" s="666"/>
      <c r="F295" s="650">
        <v>0.4</v>
      </c>
      <c r="G295" s="32">
        <v>6</v>
      </c>
      <c r="H295" s="650">
        <v>2.4</v>
      </c>
      <c r="I295" s="650">
        <v>2.6520000000000001</v>
      </c>
      <c r="J295" s="32">
        <v>182</v>
      </c>
      <c r="K295" s="32" t="s">
        <v>77</v>
      </c>
      <c r="L295" s="32"/>
      <c r="M295" s="33" t="s">
        <v>78</v>
      </c>
      <c r="N295" s="33"/>
      <c r="O295" s="32">
        <v>45</v>
      </c>
      <c r="P295" s="9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4"/>
      <c r="V295" s="34"/>
      <c r="W295" s="35" t="s">
        <v>67</v>
      </c>
      <c r="X295" s="651">
        <v>32</v>
      </c>
      <c r="Y295" s="652">
        <f t="shared" si="50"/>
        <v>33.6</v>
      </c>
      <c r="Z295" s="36">
        <f>IFERROR(IF(Y295=0,"",ROUNDUP(Y295/H295,0)*0.00651),"")</f>
        <v>9.1139999999999999E-2</v>
      </c>
      <c r="AA295" s="56"/>
      <c r="AB295" s="57"/>
      <c r="AC295" s="383" t="s">
        <v>487</v>
      </c>
      <c r="AG295" s="64"/>
      <c r="AJ295" s="68"/>
      <c r="AK295" s="68">
        <v>0</v>
      </c>
      <c r="BB295" s="384" t="s">
        <v>1</v>
      </c>
      <c r="BM295" s="64">
        <f t="shared" si="51"/>
        <v>35.360000000000007</v>
      </c>
      <c r="BN295" s="64">
        <f t="shared" si="52"/>
        <v>37.128000000000007</v>
      </c>
      <c r="BO295" s="64">
        <f t="shared" si="53"/>
        <v>7.3260073260073263E-2</v>
      </c>
      <c r="BP295" s="64">
        <f t="shared" si="54"/>
        <v>7.6923076923076941E-2</v>
      </c>
    </row>
    <row r="296" spans="1:68" ht="27" customHeight="1" x14ac:dyDescent="0.25">
      <c r="A296" s="54" t="s">
        <v>501</v>
      </c>
      <c r="B296" s="54" t="s">
        <v>502</v>
      </c>
      <c r="C296" s="31">
        <v>4301051945</v>
      </c>
      <c r="D296" s="665">
        <v>4680115880504</v>
      </c>
      <c r="E296" s="666"/>
      <c r="F296" s="650">
        <v>0.4</v>
      </c>
      <c r="G296" s="32">
        <v>6</v>
      </c>
      <c r="H296" s="650">
        <v>2.4</v>
      </c>
      <c r="I296" s="650">
        <v>2.6520000000000001</v>
      </c>
      <c r="J296" s="32">
        <v>182</v>
      </c>
      <c r="K296" s="32" t="s">
        <v>77</v>
      </c>
      <c r="L296" s="32"/>
      <c r="M296" s="33" t="s">
        <v>84</v>
      </c>
      <c r="N296" s="33"/>
      <c r="O296" s="32">
        <v>40</v>
      </c>
      <c r="P296" s="84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4"/>
      <c r="V296" s="34"/>
      <c r="W296" s="35" t="s">
        <v>67</v>
      </c>
      <c r="X296" s="651">
        <v>40</v>
      </c>
      <c r="Y296" s="652">
        <f t="shared" si="50"/>
        <v>40.799999999999997</v>
      </c>
      <c r="Z296" s="36">
        <f>IFERROR(IF(Y296=0,"",ROUNDUP(Y296/H296,0)*0.00651),"")</f>
        <v>0.11067</v>
      </c>
      <c r="AA296" s="56"/>
      <c r="AB296" s="57"/>
      <c r="AC296" s="385" t="s">
        <v>503</v>
      </c>
      <c r="AG296" s="64"/>
      <c r="AJ296" s="68"/>
      <c r="AK296" s="68">
        <v>0</v>
      </c>
      <c r="BB296" s="386" t="s">
        <v>1</v>
      </c>
      <c r="BM296" s="64">
        <f t="shared" si="51"/>
        <v>44.20000000000001</v>
      </c>
      <c r="BN296" s="64">
        <f t="shared" si="52"/>
        <v>45.084000000000003</v>
      </c>
      <c r="BO296" s="64">
        <f t="shared" si="53"/>
        <v>9.1575091575091583E-2</v>
      </c>
      <c r="BP296" s="64">
        <f t="shared" si="54"/>
        <v>9.3406593406593408E-2</v>
      </c>
    </row>
    <row r="297" spans="1:68" ht="27" customHeight="1" x14ac:dyDescent="0.25">
      <c r="A297" s="54" t="s">
        <v>504</v>
      </c>
      <c r="B297" s="54" t="s">
        <v>505</v>
      </c>
      <c r="C297" s="31">
        <v>4301051410</v>
      </c>
      <c r="D297" s="665">
        <v>4680115882164</v>
      </c>
      <c r="E297" s="666"/>
      <c r="F297" s="650">
        <v>0.4</v>
      </c>
      <c r="G297" s="32">
        <v>6</v>
      </c>
      <c r="H297" s="650">
        <v>2.4</v>
      </c>
      <c r="I297" s="650">
        <v>2.6579999999999999</v>
      </c>
      <c r="J297" s="32">
        <v>182</v>
      </c>
      <c r="K297" s="32" t="s">
        <v>77</v>
      </c>
      <c r="L297" s="32"/>
      <c r="M297" s="33" t="s">
        <v>78</v>
      </c>
      <c r="N297" s="33"/>
      <c r="O297" s="32">
        <v>40</v>
      </c>
      <c r="P297" s="10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4"/>
      <c r="V297" s="34"/>
      <c r="W297" s="35" t="s">
        <v>67</v>
      </c>
      <c r="X297" s="651">
        <v>80</v>
      </c>
      <c r="Y297" s="652">
        <f t="shared" si="50"/>
        <v>81.599999999999994</v>
      </c>
      <c r="Z297" s="36">
        <f>IFERROR(IF(Y297=0,"",ROUNDUP(Y297/H297,0)*0.00651),"")</f>
        <v>0.22134000000000001</v>
      </c>
      <c r="AA297" s="56"/>
      <c r="AB297" s="57"/>
      <c r="AC297" s="387" t="s">
        <v>506</v>
      </c>
      <c r="AG297" s="64"/>
      <c r="AJ297" s="68"/>
      <c r="AK297" s="68">
        <v>0</v>
      </c>
      <c r="BB297" s="388" t="s">
        <v>1</v>
      </c>
      <c r="BM297" s="64">
        <f t="shared" si="51"/>
        <v>88.6</v>
      </c>
      <c r="BN297" s="64">
        <f t="shared" si="52"/>
        <v>90.371999999999986</v>
      </c>
      <c r="BO297" s="64">
        <f t="shared" si="53"/>
        <v>0.18315018315018317</v>
      </c>
      <c r="BP297" s="64">
        <f t="shared" si="54"/>
        <v>0.18681318681318682</v>
      </c>
    </row>
    <row r="298" spans="1:68" ht="27" hidden="1" customHeight="1" x14ac:dyDescent="0.25">
      <c r="A298" s="54" t="s">
        <v>507</v>
      </c>
      <c r="B298" s="54" t="s">
        <v>508</v>
      </c>
      <c r="C298" s="31">
        <v>4301052180</v>
      </c>
      <c r="D298" s="665">
        <v>4680115888340</v>
      </c>
      <c r="E298" s="666"/>
      <c r="F298" s="650">
        <v>0.4</v>
      </c>
      <c r="G298" s="32">
        <v>6</v>
      </c>
      <c r="H298" s="650">
        <v>2.4</v>
      </c>
      <c r="I298" s="650">
        <v>2.6520000000000001</v>
      </c>
      <c r="J298" s="32">
        <v>182</v>
      </c>
      <c r="K298" s="32" t="s">
        <v>77</v>
      </c>
      <c r="L298" s="32"/>
      <c r="M298" s="33" t="s">
        <v>78</v>
      </c>
      <c r="N298" s="33"/>
      <c r="O298" s="32">
        <v>45</v>
      </c>
      <c r="P298" s="9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4"/>
      <c r="V298" s="34"/>
      <c r="W298" s="35" t="s">
        <v>67</v>
      </c>
      <c r="X298" s="651">
        <v>0</v>
      </c>
      <c r="Y298" s="652">
        <f t="shared" si="50"/>
        <v>0</v>
      </c>
      <c r="Z298" s="36" t="str">
        <f>IFERROR(IF(Y298=0,"",ROUNDUP(Y298/H298,0)*0.00651),"")</f>
        <v/>
      </c>
      <c r="AA298" s="56"/>
      <c r="AB298" s="57"/>
      <c r="AC298" s="389" t="s">
        <v>509</v>
      </c>
      <c r="AG298" s="64"/>
      <c r="AJ298" s="68"/>
      <c r="AK298" s="68">
        <v>0</v>
      </c>
      <c r="BB298" s="390" t="s">
        <v>1</v>
      </c>
      <c r="BM298" s="64">
        <f t="shared" si="51"/>
        <v>0</v>
      </c>
      <c r="BN298" s="64">
        <f t="shared" si="52"/>
        <v>0</v>
      </c>
      <c r="BO298" s="64">
        <f t="shared" si="53"/>
        <v>0</v>
      </c>
      <c r="BP298" s="64">
        <f t="shared" si="54"/>
        <v>0</v>
      </c>
    </row>
    <row r="299" spans="1:68" x14ac:dyDescent="0.2">
      <c r="A299" s="692"/>
      <c r="B299" s="658"/>
      <c r="C299" s="658"/>
      <c r="D299" s="658"/>
      <c r="E299" s="658"/>
      <c r="F299" s="658"/>
      <c r="G299" s="658"/>
      <c r="H299" s="658"/>
      <c r="I299" s="658"/>
      <c r="J299" s="658"/>
      <c r="K299" s="658"/>
      <c r="L299" s="658"/>
      <c r="M299" s="658"/>
      <c r="N299" s="658"/>
      <c r="O299" s="693"/>
      <c r="P299" s="659" t="s">
        <v>72</v>
      </c>
      <c r="Q299" s="660"/>
      <c r="R299" s="660"/>
      <c r="S299" s="660"/>
      <c r="T299" s="660"/>
      <c r="U299" s="660"/>
      <c r="V299" s="661"/>
      <c r="W299" s="37" t="s">
        <v>73</v>
      </c>
      <c r="X299" s="65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146.80502341421882</v>
      </c>
      <c r="Y299" s="65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151</v>
      </c>
      <c r="Z299" s="65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1.1077100000000002</v>
      </c>
      <c r="AA299" s="654"/>
      <c r="AB299" s="654"/>
      <c r="AC299" s="654"/>
    </row>
    <row r="300" spans="1:68" x14ac:dyDescent="0.2">
      <c r="A300" s="658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93"/>
      <c r="P300" s="659" t="s">
        <v>72</v>
      </c>
      <c r="Q300" s="660"/>
      <c r="R300" s="660"/>
      <c r="S300" s="660"/>
      <c r="T300" s="660"/>
      <c r="U300" s="660"/>
      <c r="V300" s="661"/>
      <c r="W300" s="37" t="s">
        <v>67</v>
      </c>
      <c r="X300" s="653">
        <f>IFERROR(SUM(X287:X298),"0")</f>
        <v>402</v>
      </c>
      <c r="Y300" s="653">
        <f>IFERROR(SUM(Y287:Y298),"0")</f>
        <v>421.20000000000005</v>
      </c>
      <c r="Z300" s="37"/>
      <c r="AA300" s="654"/>
      <c r="AB300" s="654"/>
      <c r="AC300" s="654"/>
    </row>
    <row r="301" spans="1:68" ht="14.25" hidden="1" customHeight="1" x14ac:dyDescent="0.25">
      <c r="A301" s="657" t="s">
        <v>162</v>
      </c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8"/>
      <c r="P301" s="658"/>
      <c r="Q301" s="658"/>
      <c r="R301" s="658"/>
      <c r="S301" s="658"/>
      <c r="T301" s="658"/>
      <c r="U301" s="658"/>
      <c r="V301" s="658"/>
      <c r="W301" s="658"/>
      <c r="X301" s="658"/>
      <c r="Y301" s="658"/>
      <c r="Z301" s="658"/>
      <c r="AA301" s="647"/>
      <c r="AB301" s="647"/>
      <c r="AC301" s="647"/>
    </row>
    <row r="302" spans="1:68" ht="27" customHeight="1" x14ac:dyDescent="0.25">
      <c r="A302" s="54" t="s">
        <v>510</v>
      </c>
      <c r="B302" s="54" t="s">
        <v>511</v>
      </c>
      <c r="C302" s="31">
        <v>4301060463</v>
      </c>
      <c r="D302" s="665">
        <v>4680115880818</v>
      </c>
      <c r="E302" s="666"/>
      <c r="F302" s="650">
        <v>0.4</v>
      </c>
      <c r="G302" s="32">
        <v>6</v>
      </c>
      <c r="H302" s="650">
        <v>2.4</v>
      </c>
      <c r="I302" s="650">
        <v>2.6520000000000001</v>
      </c>
      <c r="J302" s="32">
        <v>182</v>
      </c>
      <c r="K302" s="32" t="s">
        <v>77</v>
      </c>
      <c r="L302" s="32"/>
      <c r="M302" s="33" t="s">
        <v>84</v>
      </c>
      <c r="N302" s="33"/>
      <c r="O302" s="32">
        <v>40</v>
      </c>
      <c r="P302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4"/>
      <c r="V302" s="34"/>
      <c r="W302" s="35" t="s">
        <v>67</v>
      </c>
      <c r="X302" s="651">
        <v>24</v>
      </c>
      <c r="Y302" s="652">
        <f>IFERROR(IF(X302="",0,CEILING((X302/$H302),1)*$H302),"")</f>
        <v>24</v>
      </c>
      <c r="Z302" s="36">
        <f>IFERROR(IF(Y302=0,"",ROUNDUP(Y302/H302,0)*0.00651),"")</f>
        <v>6.5100000000000005E-2</v>
      </c>
      <c r="AA302" s="56"/>
      <c r="AB302" s="57"/>
      <c r="AC302" s="391" t="s">
        <v>512</v>
      </c>
      <c r="AG302" s="64"/>
      <c r="AJ302" s="68"/>
      <c r="AK302" s="68">
        <v>0</v>
      </c>
      <c r="BB302" s="392" t="s">
        <v>1</v>
      </c>
      <c r="BM302" s="64">
        <f>IFERROR(X302*I302/H302,"0")</f>
        <v>26.520000000000003</v>
      </c>
      <c r="BN302" s="64">
        <f>IFERROR(Y302*I302/H302,"0")</f>
        <v>26.520000000000003</v>
      </c>
      <c r="BO302" s="64">
        <f>IFERROR(1/J302*(X302/H302),"0")</f>
        <v>5.4945054945054951E-2</v>
      </c>
      <c r="BP302" s="64">
        <f>IFERROR(1/J302*(Y302/H302),"0")</f>
        <v>5.4945054945054951E-2</v>
      </c>
    </row>
    <row r="303" spans="1:68" ht="27" customHeight="1" x14ac:dyDescent="0.25">
      <c r="A303" s="54" t="s">
        <v>513</v>
      </c>
      <c r="B303" s="54" t="s">
        <v>514</v>
      </c>
      <c r="C303" s="31">
        <v>4301060389</v>
      </c>
      <c r="D303" s="665">
        <v>4680115880801</v>
      </c>
      <c r="E303" s="666"/>
      <c r="F303" s="650">
        <v>0.4</v>
      </c>
      <c r="G303" s="32">
        <v>6</v>
      </c>
      <c r="H303" s="650">
        <v>2.4</v>
      </c>
      <c r="I303" s="650">
        <v>2.6520000000000001</v>
      </c>
      <c r="J303" s="32">
        <v>182</v>
      </c>
      <c r="K303" s="32" t="s">
        <v>77</v>
      </c>
      <c r="L303" s="32"/>
      <c r="M303" s="33" t="s">
        <v>78</v>
      </c>
      <c r="N303" s="33"/>
      <c r="O303" s="32">
        <v>40</v>
      </c>
      <c r="P303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4"/>
      <c r="V303" s="34"/>
      <c r="W303" s="35" t="s">
        <v>67</v>
      </c>
      <c r="X303" s="651">
        <v>20</v>
      </c>
      <c r="Y303" s="652">
        <f>IFERROR(IF(X303="",0,CEILING((X303/$H303),1)*$H303),"")</f>
        <v>21.599999999999998</v>
      </c>
      <c r="Z303" s="36">
        <f>IFERROR(IF(Y303=0,"",ROUNDUP(Y303/H303,0)*0.00651),"")</f>
        <v>5.8590000000000003E-2</v>
      </c>
      <c r="AA303" s="56"/>
      <c r="AB303" s="57"/>
      <c r="AC303" s="393" t="s">
        <v>515</v>
      </c>
      <c r="AG303" s="64"/>
      <c r="AJ303" s="68"/>
      <c r="AK303" s="68">
        <v>0</v>
      </c>
      <c r="BB303" s="394" t="s">
        <v>1</v>
      </c>
      <c r="BM303" s="64">
        <f>IFERROR(X303*I303/H303,"0")</f>
        <v>22.100000000000005</v>
      </c>
      <c r="BN303" s="64">
        <f>IFERROR(Y303*I303/H303,"0")</f>
        <v>23.868000000000002</v>
      </c>
      <c r="BO303" s="64">
        <f>IFERROR(1/J303*(X303/H303),"0")</f>
        <v>4.5787545787545791E-2</v>
      </c>
      <c r="BP303" s="64">
        <f>IFERROR(1/J303*(Y303/H303),"0")</f>
        <v>4.9450549450549455E-2</v>
      </c>
    </row>
    <row r="304" spans="1:68" x14ac:dyDescent="0.2">
      <c r="A304" s="692"/>
      <c r="B304" s="658"/>
      <c r="C304" s="658"/>
      <c r="D304" s="658"/>
      <c r="E304" s="658"/>
      <c r="F304" s="658"/>
      <c r="G304" s="658"/>
      <c r="H304" s="658"/>
      <c r="I304" s="658"/>
      <c r="J304" s="658"/>
      <c r="K304" s="658"/>
      <c r="L304" s="658"/>
      <c r="M304" s="658"/>
      <c r="N304" s="658"/>
      <c r="O304" s="693"/>
      <c r="P304" s="659" t="s">
        <v>72</v>
      </c>
      <c r="Q304" s="660"/>
      <c r="R304" s="660"/>
      <c r="S304" s="660"/>
      <c r="T304" s="660"/>
      <c r="U304" s="660"/>
      <c r="V304" s="661"/>
      <c r="W304" s="37" t="s">
        <v>73</v>
      </c>
      <c r="X304" s="653">
        <f>IFERROR(X302/H302,"0")+IFERROR(X303/H303,"0")</f>
        <v>18.333333333333336</v>
      </c>
      <c r="Y304" s="653">
        <f>IFERROR(Y302/H302,"0")+IFERROR(Y303/H303,"0")</f>
        <v>19</v>
      </c>
      <c r="Z304" s="653">
        <f>IFERROR(IF(Z302="",0,Z302),"0")+IFERROR(IF(Z303="",0,Z303),"0")</f>
        <v>0.12369000000000001</v>
      </c>
      <c r="AA304" s="654"/>
      <c r="AB304" s="654"/>
      <c r="AC304" s="654"/>
    </row>
    <row r="305" spans="1:68" x14ac:dyDescent="0.2">
      <c r="A305" s="658"/>
      <c r="B305" s="658"/>
      <c r="C305" s="658"/>
      <c r="D305" s="658"/>
      <c r="E305" s="658"/>
      <c r="F305" s="658"/>
      <c r="G305" s="658"/>
      <c r="H305" s="658"/>
      <c r="I305" s="658"/>
      <c r="J305" s="658"/>
      <c r="K305" s="658"/>
      <c r="L305" s="658"/>
      <c r="M305" s="658"/>
      <c r="N305" s="658"/>
      <c r="O305" s="693"/>
      <c r="P305" s="659" t="s">
        <v>72</v>
      </c>
      <c r="Q305" s="660"/>
      <c r="R305" s="660"/>
      <c r="S305" s="660"/>
      <c r="T305" s="660"/>
      <c r="U305" s="660"/>
      <c r="V305" s="661"/>
      <c r="W305" s="37" t="s">
        <v>67</v>
      </c>
      <c r="X305" s="653">
        <f>IFERROR(SUM(X302:X303),"0")</f>
        <v>44</v>
      </c>
      <c r="Y305" s="653">
        <f>IFERROR(SUM(Y302:Y303),"0")</f>
        <v>45.599999999999994</v>
      </c>
      <c r="Z305" s="37"/>
      <c r="AA305" s="654"/>
      <c r="AB305" s="654"/>
      <c r="AC305" s="654"/>
    </row>
    <row r="306" spans="1:68" ht="16.5" hidden="1" customHeight="1" x14ac:dyDescent="0.25">
      <c r="A306" s="662" t="s">
        <v>516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46"/>
      <c r="AB306" s="646"/>
      <c r="AC306" s="646"/>
    </row>
    <row r="307" spans="1:68" ht="14.25" hidden="1" customHeight="1" x14ac:dyDescent="0.25">
      <c r="A307" s="657" t="s">
        <v>111</v>
      </c>
      <c r="B307" s="658"/>
      <c r="C307" s="658"/>
      <c r="D307" s="658"/>
      <c r="E307" s="658"/>
      <c r="F307" s="658"/>
      <c r="G307" s="658"/>
      <c r="H307" s="658"/>
      <c r="I307" s="658"/>
      <c r="J307" s="658"/>
      <c r="K307" s="658"/>
      <c r="L307" s="658"/>
      <c r="M307" s="658"/>
      <c r="N307" s="658"/>
      <c r="O307" s="658"/>
      <c r="P307" s="658"/>
      <c r="Q307" s="658"/>
      <c r="R307" s="658"/>
      <c r="S307" s="658"/>
      <c r="T307" s="658"/>
      <c r="U307" s="658"/>
      <c r="V307" s="658"/>
      <c r="W307" s="658"/>
      <c r="X307" s="658"/>
      <c r="Y307" s="658"/>
      <c r="Z307" s="658"/>
      <c r="AA307" s="647"/>
      <c r="AB307" s="647"/>
      <c r="AC307" s="647"/>
    </row>
    <row r="308" spans="1:68" ht="27" hidden="1" customHeight="1" x14ac:dyDescent="0.25">
      <c r="A308" s="54" t="s">
        <v>517</v>
      </c>
      <c r="B308" s="54" t="s">
        <v>518</v>
      </c>
      <c r="C308" s="31">
        <v>4301011826</v>
      </c>
      <c r="D308" s="665">
        <v>4680115884137</v>
      </c>
      <c r="E308" s="666"/>
      <c r="F308" s="650">
        <v>1.45</v>
      </c>
      <c r="G308" s="32">
        <v>8</v>
      </c>
      <c r="H308" s="650">
        <v>11.6</v>
      </c>
      <c r="I308" s="650">
        <v>12.01</v>
      </c>
      <c r="J308" s="32">
        <v>64</v>
      </c>
      <c r="K308" s="32" t="s">
        <v>114</v>
      </c>
      <c r="L308" s="32"/>
      <c r="M308" s="33" t="s">
        <v>115</v>
      </c>
      <c r="N308" s="33"/>
      <c r="O308" s="32">
        <v>55</v>
      </c>
      <c r="P308" s="8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4"/>
      <c r="V308" s="34"/>
      <c r="W308" s="35" t="s">
        <v>67</v>
      </c>
      <c r="X308" s="651">
        <v>0</v>
      </c>
      <c r="Y308" s="652">
        <f t="shared" ref="Y308:Y314" si="55"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ref="BM308:BM314" si="56">IFERROR(X308*I308/H308,"0")</f>
        <v>0</v>
      </c>
      <c r="BN308" s="64">
        <f t="shared" ref="BN308:BN314" si="57">IFERROR(Y308*I308/H308,"0")</f>
        <v>0</v>
      </c>
      <c r="BO308" s="64">
        <f t="shared" ref="BO308:BO314" si="58">IFERROR(1/J308*(X308/H308),"0")</f>
        <v>0</v>
      </c>
      <c r="BP308" s="64">
        <f t="shared" ref="BP308:BP314" si="59">IFERROR(1/J308*(Y308/H308),"0")</f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4301011724</v>
      </c>
      <c r="D309" s="665">
        <v>4680115884236</v>
      </c>
      <c r="E309" s="666"/>
      <c r="F309" s="650">
        <v>1.45</v>
      </c>
      <c r="G309" s="32">
        <v>8</v>
      </c>
      <c r="H309" s="650">
        <v>11.6</v>
      </c>
      <c r="I309" s="650">
        <v>12.01</v>
      </c>
      <c r="J309" s="32">
        <v>64</v>
      </c>
      <c r="K309" s="32" t="s">
        <v>114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4"/>
      <c r="V309" s="34"/>
      <c r="W309" s="35" t="s">
        <v>67</v>
      </c>
      <c r="X309" s="651">
        <v>0</v>
      </c>
      <c r="Y309" s="652">
        <f t="shared" si="55"/>
        <v>0</v>
      </c>
      <c r="Z309" s="36" t="str">
        <f>IFERROR(IF(Y309=0,"",ROUNDUP(Y309/H309,0)*0.01898),"")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6"/>
        <v>0</v>
      </c>
      <c r="BN309" s="64">
        <f t="shared" si="57"/>
        <v>0</v>
      </c>
      <c r="BO309" s="64">
        <f t="shared" si="58"/>
        <v>0</v>
      </c>
      <c r="BP309" s="64">
        <f t="shared" si="59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4301011721</v>
      </c>
      <c r="D310" s="665">
        <v>4680115884175</v>
      </c>
      <c r="E310" s="666"/>
      <c r="F310" s="650">
        <v>1.45</v>
      </c>
      <c r="G310" s="32">
        <v>8</v>
      </c>
      <c r="H310" s="650">
        <v>11.6</v>
      </c>
      <c r="I310" s="650">
        <v>12.01</v>
      </c>
      <c r="J310" s="32">
        <v>64</v>
      </c>
      <c r="K310" s="32" t="s">
        <v>114</v>
      </c>
      <c r="L310" s="32"/>
      <c r="M310" s="33" t="s">
        <v>115</v>
      </c>
      <c r="N310" s="33"/>
      <c r="O310" s="32">
        <v>55</v>
      </c>
      <c r="P310" s="8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4"/>
      <c r="V310" s="34"/>
      <c r="W310" s="35" t="s">
        <v>67</v>
      </c>
      <c r="X310" s="651">
        <v>0</v>
      </c>
      <c r="Y310" s="652">
        <f t="shared" si="55"/>
        <v>0</v>
      </c>
      <c r="Z310" s="36" t="str">
        <f>IFERROR(IF(Y310=0,"",ROUNDUP(Y310/H310,0)*0.01898),"")</f>
        <v/>
      </c>
      <c r="AA310" s="56"/>
      <c r="AB310" s="57"/>
      <c r="AC310" s="399" t="s">
        <v>377</v>
      </c>
      <c r="AG310" s="64"/>
      <c r="AJ310" s="68"/>
      <c r="AK310" s="68">
        <v>0</v>
      </c>
      <c r="BB310" s="400" t="s">
        <v>1</v>
      </c>
      <c r="BM310" s="64">
        <f t="shared" si="56"/>
        <v>0</v>
      </c>
      <c r="BN310" s="64">
        <f t="shared" si="57"/>
        <v>0</v>
      </c>
      <c r="BO310" s="64">
        <f t="shared" si="58"/>
        <v>0</v>
      </c>
      <c r="BP310" s="64">
        <f t="shared" si="59"/>
        <v>0</v>
      </c>
    </row>
    <row r="311" spans="1:68" ht="27" hidden="1" customHeight="1" x14ac:dyDescent="0.25">
      <c r="A311" s="54" t="s">
        <v>525</v>
      </c>
      <c r="B311" s="54" t="s">
        <v>526</v>
      </c>
      <c r="C311" s="31">
        <v>4301011824</v>
      </c>
      <c r="D311" s="665">
        <v>4680115884144</v>
      </c>
      <c r="E311" s="666"/>
      <c r="F311" s="650">
        <v>0.4</v>
      </c>
      <c r="G311" s="32">
        <v>10</v>
      </c>
      <c r="H311" s="650">
        <v>4</v>
      </c>
      <c r="I311" s="650">
        <v>4.1900000000000004</v>
      </c>
      <c r="J311" s="32">
        <v>132</v>
      </c>
      <c r="K311" s="32" t="s">
        <v>123</v>
      </c>
      <c r="L311" s="32"/>
      <c r="M311" s="33" t="s">
        <v>115</v>
      </c>
      <c r="N311" s="33"/>
      <c r="O311" s="32">
        <v>55</v>
      </c>
      <c r="P311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4"/>
      <c r="V311" s="34"/>
      <c r="W311" s="35" t="s">
        <v>67</v>
      </c>
      <c r="X311" s="651">
        <v>0</v>
      </c>
      <c r="Y311" s="652">
        <f t="shared" si="55"/>
        <v>0</v>
      </c>
      <c r="Z311" s="36" t="str">
        <f>IFERROR(IF(Y311=0,"",ROUNDUP(Y311/H311,0)*0.00902),"")</f>
        <v/>
      </c>
      <c r="AA311" s="56"/>
      <c r="AB311" s="57"/>
      <c r="AC311" s="401" t="s">
        <v>519</v>
      </c>
      <c r="AG311" s="64"/>
      <c r="AJ311" s="68"/>
      <c r="AK311" s="68">
        <v>0</v>
      </c>
      <c r="BB311" s="402" t="s">
        <v>1</v>
      </c>
      <c r="BM311" s="64">
        <f t="shared" si="56"/>
        <v>0</v>
      </c>
      <c r="BN311" s="64">
        <f t="shared" si="57"/>
        <v>0</v>
      </c>
      <c r="BO311" s="64">
        <f t="shared" si="58"/>
        <v>0</v>
      </c>
      <c r="BP311" s="64">
        <f t="shared" si="59"/>
        <v>0</v>
      </c>
    </row>
    <row r="312" spans="1:68" ht="27" hidden="1" customHeight="1" x14ac:dyDescent="0.25">
      <c r="A312" s="54" t="s">
        <v>527</v>
      </c>
      <c r="B312" s="54" t="s">
        <v>528</v>
      </c>
      <c r="C312" s="31">
        <v>4301012149</v>
      </c>
      <c r="D312" s="665">
        <v>4680115886551</v>
      </c>
      <c r="E312" s="666"/>
      <c r="F312" s="650">
        <v>0.4</v>
      </c>
      <c r="G312" s="32">
        <v>10</v>
      </c>
      <c r="H312" s="650">
        <v>4</v>
      </c>
      <c r="I312" s="650">
        <v>4.1900000000000004</v>
      </c>
      <c r="J312" s="32">
        <v>132</v>
      </c>
      <c r="K312" s="32" t="s">
        <v>123</v>
      </c>
      <c r="L312" s="32"/>
      <c r="M312" s="33" t="s">
        <v>115</v>
      </c>
      <c r="N312" s="33"/>
      <c r="O312" s="32">
        <v>55</v>
      </c>
      <c r="P312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4"/>
      <c r="V312" s="34"/>
      <c r="W312" s="35" t="s">
        <v>67</v>
      </c>
      <c r="X312" s="651">
        <v>0</v>
      </c>
      <c r="Y312" s="652">
        <f t="shared" si="55"/>
        <v>0</v>
      </c>
      <c r="Z312" s="36" t="str">
        <f>IFERROR(IF(Y312=0,"",ROUNDUP(Y312/H312,0)*0.00902),"")</f>
        <v/>
      </c>
      <c r="AA312" s="56"/>
      <c r="AB312" s="57"/>
      <c r="AC312" s="403" t="s">
        <v>529</v>
      </c>
      <c r="AG312" s="64"/>
      <c r="AJ312" s="68"/>
      <c r="AK312" s="68">
        <v>0</v>
      </c>
      <c r="BB312" s="404" t="s">
        <v>1</v>
      </c>
      <c r="BM312" s="64">
        <f t="shared" si="56"/>
        <v>0</v>
      </c>
      <c r="BN312" s="64">
        <f t="shared" si="57"/>
        <v>0</v>
      </c>
      <c r="BO312" s="64">
        <f t="shared" si="58"/>
        <v>0</v>
      </c>
      <c r="BP312" s="64">
        <f t="shared" si="59"/>
        <v>0</v>
      </c>
    </row>
    <row r="313" spans="1:68" ht="27" hidden="1" customHeight="1" x14ac:dyDescent="0.25">
      <c r="A313" s="54" t="s">
        <v>530</v>
      </c>
      <c r="B313" s="54" t="s">
        <v>531</v>
      </c>
      <c r="C313" s="31">
        <v>4301012228</v>
      </c>
      <c r="D313" s="665">
        <v>4680115887282</v>
      </c>
      <c r="E313" s="666"/>
      <c r="F313" s="650">
        <v>0.4</v>
      </c>
      <c r="G313" s="32">
        <v>6</v>
      </c>
      <c r="H313" s="650">
        <v>2.4</v>
      </c>
      <c r="I313" s="650">
        <v>2.58</v>
      </c>
      <c r="J313" s="32">
        <v>182</v>
      </c>
      <c r="K313" s="32" t="s">
        <v>77</v>
      </c>
      <c r="L313" s="32"/>
      <c r="M313" s="33" t="s">
        <v>115</v>
      </c>
      <c r="N313" s="33"/>
      <c r="O313" s="32">
        <v>55</v>
      </c>
      <c r="P313" s="102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4"/>
      <c r="V313" s="34"/>
      <c r="W313" s="35" t="s">
        <v>67</v>
      </c>
      <c r="X313" s="651">
        <v>0</v>
      </c>
      <c r="Y313" s="652">
        <f t="shared" si="55"/>
        <v>0</v>
      </c>
      <c r="Z313" s="36" t="str">
        <f>IFERROR(IF(Y313=0,"",ROUNDUP(Y313/H313,0)*0.00651),"")</f>
        <v/>
      </c>
      <c r="AA313" s="56"/>
      <c r="AB313" s="57"/>
      <c r="AC313" s="405" t="s">
        <v>532</v>
      </c>
      <c r="AG313" s="64"/>
      <c r="AJ313" s="68"/>
      <c r="AK313" s="68">
        <v>0</v>
      </c>
      <c r="BB313" s="406" t="s">
        <v>1</v>
      </c>
      <c r="BM313" s="64">
        <f t="shared" si="56"/>
        <v>0</v>
      </c>
      <c r="BN313" s="64">
        <f t="shared" si="57"/>
        <v>0</v>
      </c>
      <c r="BO313" s="64">
        <f t="shared" si="58"/>
        <v>0</v>
      </c>
      <c r="BP313" s="64">
        <f t="shared" si="59"/>
        <v>0</v>
      </c>
    </row>
    <row r="314" spans="1:68" ht="27" hidden="1" customHeight="1" x14ac:dyDescent="0.25">
      <c r="A314" s="54" t="s">
        <v>533</v>
      </c>
      <c r="B314" s="54" t="s">
        <v>534</v>
      </c>
      <c r="C314" s="31">
        <v>4301011722</v>
      </c>
      <c r="D314" s="665">
        <v>4680115884205</v>
      </c>
      <c r="E314" s="666"/>
      <c r="F314" s="650">
        <v>0.4</v>
      </c>
      <c r="G314" s="32">
        <v>10</v>
      </c>
      <c r="H314" s="650">
        <v>4</v>
      </c>
      <c r="I314" s="650">
        <v>4.1900000000000004</v>
      </c>
      <c r="J314" s="32">
        <v>132</v>
      </c>
      <c r="K314" s="32" t="s">
        <v>123</v>
      </c>
      <c r="L314" s="32"/>
      <c r="M314" s="33" t="s">
        <v>115</v>
      </c>
      <c r="N314" s="33"/>
      <c r="O314" s="32">
        <v>55</v>
      </c>
      <c r="P314" s="9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4"/>
      <c r="V314" s="34"/>
      <c r="W314" s="35" t="s">
        <v>67</v>
      </c>
      <c r="X314" s="651">
        <v>0</v>
      </c>
      <c r="Y314" s="652">
        <f t="shared" si="55"/>
        <v>0</v>
      </c>
      <c r="Z314" s="36" t="str">
        <f>IFERROR(IF(Y314=0,"",ROUNDUP(Y314/H314,0)*0.00902),"")</f>
        <v/>
      </c>
      <c r="AA314" s="56"/>
      <c r="AB314" s="57"/>
      <c r="AC314" s="407" t="s">
        <v>377</v>
      </c>
      <c r="AG314" s="64"/>
      <c r="AJ314" s="68"/>
      <c r="AK314" s="68">
        <v>0</v>
      </c>
      <c r="BB314" s="408" t="s">
        <v>1</v>
      </c>
      <c r="BM314" s="64">
        <f t="shared" si="56"/>
        <v>0</v>
      </c>
      <c r="BN314" s="64">
        <f t="shared" si="57"/>
        <v>0</v>
      </c>
      <c r="BO314" s="64">
        <f t="shared" si="58"/>
        <v>0</v>
      </c>
      <c r="BP314" s="64">
        <f t="shared" si="59"/>
        <v>0</v>
      </c>
    </row>
    <row r="315" spans="1:68" hidden="1" x14ac:dyDescent="0.2">
      <c r="A315" s="692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93"/>
      <c r="P315" s="659" t="s">
        <v>72</v>
      </c>
      <c r="Q315" s="660"/>
      <c r="R315" s="660"/>
      <c r="S315" s="660"/>
      <c r="T315" s="660"/>
      <c r="U315" s="660"/>
      <c r="V315" s="661"/>
      <c r="W315" s="37" t="s">
        <v>73</v>
      </c>
      <c r="X315" s="653">
        <f>IFERROR(X308/H308,"0")+IFERROR(X309/H309,"0")+IFERROR(X310/H310,"0")+IFERROR(X311/H311,"0")+IFERROR(X312/H312,"0")+IFERROR(X313/H313,"0")+IFERROR(X314/H314,"0")</f>
        <v>0</v>
      </c>
      <c r="Y315" s="653">
        <f>IFERROR(Y308/H308,"0")+IFERROR(Y309/H309,"0")+IFERROR(Y310/H310,"0")+IFERROR(Y311/H311,"0")+IFERROR(Y312/H312,"0")+IFERROR(Y313/H313,"0")+IFERROR(Y314/H314,"0")</f>
        <v>0</v>
      </c>
      <c r="Z315" s="65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54"/>
      <c r="AB315" s="654"/>
      <c r="AC315" s="654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93"/>
      <c r="P316" s="659" t="s">
        <v>72</v>
      </c>
      <c r="Q316" s="660"/>
      <c r="R316" s="660"/>
      <c r="S316" s="660"/>
      <c r="T316" s="660"/>
      <c r="U316" s="660"/>
      <c r="V316" s="661"/>
      <c r="W316" s="37" t="s">
        <v>67</v>
      </c>
      <c r="X316" s="653">
        <f>IFERROR(SUM(X308:X314),"0")</f>
        <v>0</v>
      </c>
      <c r="Y316" s="653">
        <f>IFERROR(SUM(Y308:Y314),"0")</f>
        <v>0</v>
      </c>
      <c r="Z316" s="37"/>
      <c r="AA316" s="654"/>
      <c r="AB316" s="654"/>
      <c r="AC316" s="654"/>
    </row>
    <row r="317" spans="1:68" ht="14.25" hidden="1" customHeight="1" x14ac:dyDescent="0.25">
      <c r="A317" s="657" t="s">
        <v>144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47"/>
      <c r="AB317" s="647"/>
      <c r="AC317" s="647"/>
    </row>
    <row r="318" spans="1:68" ht="27" hidden="1" customHeight="1" x14ac:dyDescent="0.25">
      <c r="A318" s="54" t="s">
        <v>535</v>
      </c>
      <c r="B318" s="54" t="s">
        <v>536</v>
      </c>
      <c r="C318" s="31">
        <v>4301020377</v>
      </c>
      <c r="D318" s="665">
        <v>4680115885981</v>
      </c>
      <c r="E318" s="666"/>
      <c r="F318" s="650">
        <v>0.33</v>
      </c>
      <c r="G318" s="32">
        <v>6</v>
      </c>
      <c r="H318" s="650">
        <v>1.98</v>
      </c>
      <c r="I318" s="650">
        <v>2.08</v>
      </c>
      <c r="J318" s="32">
        <v>234</v>
      </c>
      <c r="K318" s="32" t="s">
        <v>65</v>
      </c>
      <c r="L318" s="32"/>
      <c r="M318" s="33" t="s">
        <v>78</v>
      </c>
      <c r="N318" s="33"/>
      <c r="O318" s="32">
        <v>50</v>
      </c>
      <c r="P318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4"/>
      <c r="V318" s="34"/>
      <c r="W318" s="35" t="s">
        <v>67</v>
      </c>
      <c r="X318" s="651">
        <v>0</v>
      </c>
      <c r="Y318" s="652">
        <f>IFERROR(IF(X318="",0,CEILING((X318/$H318),1)*$H318),"")</f>
        <v>0</v>
      </c>
      <c r="Z318" s="36" t="str">
        <f>IFERROR(IF(Y318=0,"",ROUNDUP(Y318/H318,0)*0.00502),"")</f>
        <v/>
      </c>
      <c r="AA318" s="56"/>
      <c r="AB318" s="57"/>
      <c r="AC318" s="409" t="s">
        <v>537</v>
      </c>
      <c r="AG318" s="64"/>
      <c r="AJ318" s="68"/>
      <c r="AK318" s="68">
        <v>0</v>
      </c>
      <c r="BB318" s="41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92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93"/>
      <c r="P319" s="659" t="s">
        <v>72</v>
      </c>
      <c r="Q319" s="660"/>
      <c r="R319" s="660"/>
      <c r="S319" s="660"/>
      <c r="T319" s="660"/>
      <c r="U319" s="660"/>
      <c r="V319" s="661"/>
      <c r="W319" s="37" t="s">
        <v>73</v>
      </c>
      <c r="X319" s="653">
        <f>IFERROR(X318/H318,"0")</f>
        <v>0</v>
      </c>
      <c r="Y319" s="653">
        <f>IFERROR(Y318/H318,"0")</f>
        <v>0</v>
      </c>
      <c r="Z319" s="653">
        <f>IFERROR(IF(Z318="",0,Z318),"0")</f>
        <v>0</v>
      </c>
      <c r="AA319" s="654"/>
      <c r="AB319" s="654"/>
      <c r="AC319" s="654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93"/>
      <c r="P320" s="659" t="s">
        <v>72</v>
      </c>
      <c r="Q320" s="660"/>
      <c r="R320" s="660"/>
      <c r="S320" s="660"/>
      <c r="T320" s="660"/>
      <c r="U320" s="660"/>
      <c r="V320" s="661"/>
      <c r="W320" s="37" t="s">
        <v>67</v>
      </c>
      <c r="X320" s="653">
        <f>IFERROR(SUM(X318:X318),"0")</f>
        <v>0</v>
      </c>
      <c r="Y320" s="653">
        <f>IFERROR(SUM(Y318:Y318),"0")</f>
        <v>0</v>
      </c>
      <c r="Z320" s="37"/>
      <c r="AA320" s="654"/>
      <c r="AB320" s="654"/>
      <c r="AC320" s="654"/>
    </row>
    <row r="321" spans="1:68" ht="14.25" hidden="1" customHeight="1" x14ac:dyDescent="0.25">
      <c r="A321" s="657" t="s">
        <v>538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47"/>
      <c r="AB321" s="647"/>
      <c r="AC321" s="647"/>
    </row>
    <row r="322" spans="1:68" ht="27" customHeight="1" x14ac:dyDescent="0.25">
      <c r="A322" s="54" t="s">
        <v>539</v>
      </c>
      <c r="B322" s="54" t="s">
        <v>540</v>
      </c>
      <c r="C322" s="31">
        <v>4301040362</v>
      </c>
      <c r="D322" s="665">
        <v>4680115886803</v>
      </c>
      <c r="E322" s="666"/>
      <c r="F322" s="650">
        <v>0.12</v>
      </c>
      <c r="G322" s="32">
        <v>15</v>
      </c>
      <c r="H322" s="650">
        <v>1.8</v>
      </c>
      <c r="I322" s="650">
        <v>1.9750000000000001</v>
      </c>
      <c r="J322" s="32">
        <v>216</v>
      </c>
      <c r="K322" s="32" t="s">
        <v>353</v>
      </c>
      <c r="L322" s="32"/>
      <c r="M322" s="33" t="s">
        <v>287</v>
      </c>
      <c r="N322" s="33"/>
      <c r="O322" s="32">
        <v>45</v>
      </c>
      <c r="P322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4"/>
      <c r="V322" s="34"/>
      <c r="W322" s="35" t="s">
        <v>67</v>
      </c>
      <c r="X322" s="651">
        <v>2</v>
      </c>
      <c r="Y322" s="652">
        <f>IFERROR(IF(X322="",0,CEILING((X322/$H322),1)*$H322),"")</f>
        <v>3.6</v>
      </c>
      <c r="Z322" s="36">
        <f>IFERROR(IF(Y322=0,"",ROUNDUP(Y322/H322,0)*0.0059),"")</f>
        <v>1.18E-2</v>
      </c>
      <c r="AA322" s="56"/>
      <c r="AB322" s="57"/>
      <c r="AC322" s="411" t="s">
        <v>541</v>
      </c>
      <c r="AG322" s="64"/>
      <c r="AJ322" s="68"/>
      <c r="AK322" s="68">
        <v>0</v>
      </c>
      <c r="BB322" s="412" t="s">
        <v>1</v>
      </c>
      <c r="BM322" s="64">
        <f>IFERROR(X322*I322/H322,"0")</f>
        <v>2.1944444444444446</v>
      </c>
      <c r="BN322" s="64">
        <f>IFERROR(Y322*I322/H322,"0")</f>
        <v>3.95</v>
      </c>
      <c r="BO322" s="64">
        <f>IFERROR(1/J322*(X322/H322),"0")</f>
        <v>5.1440329218106996E-3</v>
      </c>
      <c r="BP322" s="64">
        <f>IFERROR(1/J322*(Y322/H322),"0")</f>
        <v>9.2592592592592587E-3</v>
      </c>
    </row>
    <row r="323" spans="1:68" x14ac:dyDescent="0.2">
      <c r="A323" s="692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93"/>
      <c r="P323" s="659" t="s">
        <v>72</v>
      </c>
      <c r="Q323" s="660"/>
      <c r="R323" s="660"/>
      <c r="S323" s="660"/>
      <c r="T323" s="660"/>
      <c r="U323" s="660"/>
      <c r="V323" s="661"/>
      <c r="W323" s="37" t="s">
        <v>73</v>
      </c>
      <c r="X323" s="653">
        <f>IFERROR(X322/H322,"0")</f>
        <v>1.1111111111111112</v>
      </c>
      <c r="Y323" s="653">
        <f>IFERROR(Y322/H322,"0")</f>
        <v>2</v>
      </c>
      <c r="Z323" s="653">
        <f>IFERROR(IF(Z322="",0,Z322),"0")</f>
        <v>1.18E-2</v>
      </c>
      <c r="AA323" s="654"/>
      <c r="AB323" s="654"/>
      <c r="AC323" s="654"/>
    </row>
    <row r="324" spans="1:68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93"/>
      <c r="P324" s="659" t="s">
        <v>72</v>
      </c>
      <c r="Q324" s="660"/>
      <c r="R324" s="660"/>
      <c r="S324" s="660"/>
      <c r="T324" s="660"/>
      <c r="U324" s="660"/>
      <c r="V324" s="661"/>
      <c r="W324" s="37" t="s">
        <v>67</v>
      </c>
      <c r="X324" s="653">
        <f>IFERROR(SUM(X322:X322),"0")</f>
        <v>2</v>
      </c>
      <c r="Y324" s="653">
        <f>IFERROR(SUM(Y322:Y322),"0")</f>
        <v>3.6</v>
      </c>
      <c r="Z324" s="37"/>
      <c r="AA324" s="654"/>
      <c r="AB324" s="654"/>
      <c r="AC324" s="654"/>
    </row>
    <row r="325" spans="1:68" ht="14.25" hidden="1" customHeight="1" x14ac:dyDescent="0.25">
      <c r="A325" s="657" t="s">
        <v>355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47"/>
      <c r="AB325" s="647"/>
      <c r="AC325" s="647"/>
    </row>
    <row r="326" spans="1:68" ht="27" hidden="1" customHeight="1" x14ac:dyDescent="0.25">
      <c r="A326" s="54" t="s">
        <v>542</v>
      </c>
      <c r="B326" s="54" t="s">
        <v>543</v>
      </c>
      <c r="C326" s="31">
        <v>4301041004</v>
      </c>
      <c r="D326" s="665">
        <v>4680115886704</v>
      </c>
      <c r="E326" s="666"/>
      <c r="F326" s="650">
        <v>5.5E-2</v>
      </c>
      <c r="G326" s="32">
        <v>18</v>
      </c>
      <c r="H326" s="650">
        <v>0.99</v>
      </c>
      <c r="I326" s="650">
        <v>1.18</v>
      </c>
      <c r="J326" s="32">
        <v>216</v>
      </c>
      <c r="K326" s="32" t="s">
        <v>353</v>
      </c>
      <c r="L326" s="32"/>
      <c r="M326" s="33" t="s">
        <v>287</v>
      </c>
      <c r="N326" s="33"/>
      <c r="O326" s="32">
        <v>90</v>
      </c>
      <c r="P32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4"/>
      <c r="V326" s="34"/>
      <c r="W326" s="35" t="s">
        <v>67</v>
      </c>
      <c r="X326" s="651">
        <v>0</v>
      </c>
      <c r="Y326" s="652">
        <f>IFERROR(IF(X326="",0,CEILING((X326/$H326),1)*$H326),"")</f>
        <v>0</v>
      </c>
      <c r="Z326" s="36" t="str">
        <f>IFERROR(IF(Y326=0,"",ROUNDUP(Y326/H326,0)*0.0059),"")</f>
        <v/>
      </c>
      <c r="AA326" s="56"/>
      <c r="AB326" s="57"/>
      <c r="AC326" s="413" t="s">
        <v>544</v>
      </c>
      <c r="AG326" s="64"/>
      <c r="AJ326" s="68"/>
      <c r="AK326" s="68">
        <v>0</v>
      </c>
      <c r="BB326" s="414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545</v>
      </c>
      <c r="B327" s="54" t="s">
        <v>546</v>
      </c>
      <c r="C327" s="31">
        <v>4301041008</v>
      </c>
      <c r="D327" s="665">
        <v>4680115886681</v>
      </c>
      <c r="E327" s="666"/>
      <c r="F327" s="650">
        <v>0.12</v>
      </c>
      <c r="G327" s="32">
        <v>15</v>
      </c>
      <c r="H327" s="650">
        <v>1.8</v>
      </c>
      <c r="I327" s="650">
        <v>1.9750000000000001</v>
      </c>
      <c r="J327" s="32">
        <v>216</v>
      </c>
      <c r="K327" s="32" t="s">
        <v>353</v>
      </c>
      <c r="L327" s="32"/>
      <c r="M327" s="33" t="s">
        <v>287</v>
      </c>
      <c r="N327" s="33"/>
      <c r="O327" s="32">
        <v>90</v>
      </c>
      <c r="P327" s="8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4"/>
      <c r="V327" s="34"/>
      <c r="W327" s="35" t="s">
        <v>67</v>
      </c>
      <c r="X327" s="651">
        <v>0</v>
      </c>
      <c r="Y327" s="652">
        <f>IFERROR(IF(X327="",0,CEILING((X327/$H327),1)*$H327),"")</f>
        <v>0</v>
      </c>
      <c r="Z327" s="36" t="str">
        <f>IFERROR(IF(Y327=0,"",ROUNDUP(Y327/H327,0)*0.0059),"")</f>
        <v/>
      </c>
      <c r="AA327" s="56"/>
      <c r="AB327" s="57"/>
      <c r="AC327" s="415" t="s">
        <v>544</v>
      </c>
      <c r="AG327" s="64"/>
      <c r="AJ327" s="68"/>
      <c r="AK327" s="68">
        <v>0</v>
      </c>
      <c r="BB327" s="416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547</v>
      </c>
      <c r="B328" s="54" t="s">
        <v>548</v>
      </c>
      <c r="C328" s="31">
        <v>4301041007</v>
      </c>
      <c r="D328" s="665">
        <v>4680115886735</v>
      </c>
      <c r="E328" s="666"/>
      <c r="F328" s="650">
        <v>0.05</v>
      </c>
      <c r="G328" s="32">
        <v>18</v>
      </c>
      <c r="H328" s="650">
        <v>0.9</v>
      </c>
      <c r="I328" s="650">
        <v>1.0900000000000001</v>
      </c>
      <c r="J328" s="32">
        <v>216</v>
      </c>
      <c r="K328" s="32" t="s">
        <v>353</v>
      </c>
      <c r="L328" s="32"/>
      <c r="M328" s="33" t="s">
        <v>287</v>
      </c>
      <c r="N328" s="33"/>
      <c r="O328" s="32">
        <v>90</v>
      </c>
      <c r="P32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4"/>
      <c r="V328" s="34"/>
      <c r="W328" s="35" t="s">
        <v>67</v>
      </c>
      <c r="X328" s="651">
        <v>0</v>
      </c>
      <c r="Y328" s="652">
        <f>IFERROR(IF(X328="",0,CEILING((X328/$H328),1)*$H328),"")</f>
        <v>0</v>
      </c>
      <c r="Z328" s="36" t="str">
        <f>IFERROR(IF(Y328=0,"",ROUNDUP(Y328/H328,0)*0.0059),"")</f>
        <v/>
      </c>
      <c r="AA328" s="56"/>
      <c r="AB328" s="57"/>
      <c r="AC328" s="417" t="s">
        <v>544</v>
      </c>
      <c r="AG328" s="64"/>
      <c r="AJ328" s="68"/>
      <c r="AK328" s="68">
        <v>0</v>
      </c>
      <c r="BB328" s="418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92"/>
      <c r="B329" s="658"/>
      <c r="C329" s="658"/>
      <c r="D329" s="658"/>
      <c r="E329" s="658"/>
      <c r="F329" s="658"/>
      <c r="G329" s="658"/>
      <c r="H329" s="658"/>
      <c r="I329" s="658"/>
      <c r="J329" s="658"/>
      <c r="K329" s="658"/>
      <c r="L329" s="658"/>
      <c r="M329" s="658"/>
      <c r="N329" s="658"/>
      <c r="O329" s="693"/>
      <c r="P329" s="659" t="s">
        <v>72</v>
      </c>
      <c r="Q329" s="660"/>
      <c r="R329" s="660"/>
      <c r="S329" s="660"/>
      <c r="T329" s="660"/>
      <c r="U329" s="660"/>
      <c r="V329" s="661"/>
      <c r="W329" s="37" t="s">
        <v>73</v>
      </c>
      <c r="X329" s="653">
        <f>IFERROR(X326/H326,"0")+IFERROR(X327/H327,"0")+IFERROR(X328/H328,"0")</f>
        <v>0</v>
      </c>
      <c r="Y329" s="653">
        <f>IFERROR(Y326/H326,"0")+IFERROR(Y327/H327,"0")+IFERROR(Y328/H328,"0")</f>
        <v>0</v>
      </c>
      <c r="Z329" s="653">
        <f>IFERROR(IF(Z326="",0,Z326),"0")+IFERROR(IF(Z327="",0,Z327),"0")+IFERROR(IF(Z328="",0,Z328),"0")</f>
        <v>0</v>
      </c>
      <c r="AA329" s="654"/>
      <c r="AB329" s="654"/>
      <c r="AC329" s="654"/>
    </row>
    <row r="330" spans="1:68" hidden="1" x14ac:dyDescent="0.2">
      <c r="A330" s="658"/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93"/>
      <c r="P330" s="659" t="s">
        <v>72</v>
      </c>
      <c r="Q330" s="660"/>
      <c r="R330" s="660"/>
      <c r="S330" s="660"/>
      <c r="T330" s="660"/>
      <c r="U330" s="660"/>
      <c r="V330" s="661"/>
      <c r="W330" s="37" t="s">
        <v>67</v>
      </c>
      <c r="X330" s="653">
        <f>IFERROR(SUM(X326:X328),"0")</f>
        <v>0</v>
      </c>
      <c r="Y330" s="653">
        <f>IFERROR(SUM(Y326:Y328),"0")</f>
        <v>0</v>
      </c>
      <c r="Z330" s="37"/>
      <c r="AA330" s="654"/>
      <c r="AB330" s="654"/>
      <c r="AC330" s="654"/>
    </row>
    <row r="331" spans="1:68" ht="16.5" hidden="1" customHeight="1" x14ac:dyDescent="0.25">
      <c r="A331" s="662" t="s">
        <v>549</v>
      </c>
      <c r="B331" s="658"/>
      <c r="C331" s="658"/>
      <c r="D331" s="658"/>
      <c r="E331" s="658"/>
      <c r="F331" s="658"/>
      <c r="G331" s="658"/>
      <c r="H331" s="658"/>
      <c r="I331" s="658"/>
      <c r="J331" s="658"/>
      <c r="K331" s="658"/>
      <c r="L331" s="658"/>
      <c r="M331" s="658"/>
      <c r="N331" s="658"/>
      <c r="O331" s="658"/>
      <c r="P331" s="658"/>
      <c r="Q331" s="658"/>
      <c r="R331" s="658"/>
      <c r="S331" s="658"/>
      <c r="T331" s="658"/>
      <c r="U331" s="658"/>
      <c r="V331" s="658"/>
      <c r="W331" s="658"/>
      <c r="X331" s="658"/>
      <c r="Y331" s="658"/>
      <c r="Z331" s="658"/>
      <c r="AA331" s="646"/>
      <c r="AB331" s="646"/>
      <c r="AC331" s="646"/>
    </row>
    <row r="332" spans="1:68" ht="14.25" hidden="1" customHeight="1" x14ac:dyDescent="0.25">
      <c r="A332" s="657" t="s">
        <v>111</v>
      </c>
      <c r="B332" s="658"/>
      <c r="C332" s="658"/>
      <c r="D332" s="658"/>
      <c r="E332" s="658"/>
      <c r="F332" s="658"/>
      <c r="G332" s="658"/>
      <c r="H332" s="658"/>
      <c r="I332" s="658"/>
      <c r="J332" s="658"/>
      <c r="K332" s="658"/>
      <c r="L332" s="658"/>
      <c r="M332" s="658"/>
      <c r="N332" s="658"/>
      <c r="O332" s="658"/>
      <c r="P332" s="658"/>
      <c r="Q332" s="658"/>
      <c r="R332" s="658"/>
      <c r="S332" s="658"/>
      <c r="T332" s="658"/>
      <c r="U332" s="658"/>
      <c r="V332" s="658"/>
      <c r="W332" s="658"/>
      <c r="X332" s="658"/>
      <c r="Y332" s="658"/>
      <c r="Z332" s="658"/>
      <c r="AA332" s="647"/>
      <c r="AB332" s="647"/>
      <c r="AC332" s="647"/>
    </row>
    <row r="333" spans="1:68" ht="27" hidden="1" customHeight="1" x14ac:dyDescent="0.25">
      <c r="A333" s="54" t="s">
        <v>550</v>
      </c>
      <c r="B333" s="54" t="s">
        <v>551</v>
      </c>
      <c r="C333" s="31">
        <v>4301011855</v>
      </c>
      <c r="D333" s="665">
        <v>4680115885837</v>
      </c>
      <c r="E333" s="666"/>
      <c r="F333" s="650">
        <v>1.35</v>
      </c>
      <c r="G333" s="32">
        <v>8</v>
      </c>
      <c r="H333" s="650">
        <v>10.8</v>
      </c>
      <c r="I333" s="650">
        <v>11.21</v>
      </c>
      <c r="J333" s="32">
        <v>64</v>
      </c>
      <c r="K333" s="32" t="s">
        <v>114</v>
      </c>
      <c r="L333" s="32"/>
      <c r="M333" s="33" t="s">
        <v>115</v>
      </c>
      <c r="N333" s="33"/>
      <c r="O333" s="32">
        <v>55</v>
      </c>
      <c r="P333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4"/>
      <c r="V333" s="34"/>
      <c r="W333" s="35" t="s">
        <v>67</v>
      </c>
      <c r="X333" s="651">
        <v>0</v>
      </c>
      <c r="Y333" s="652">
        <f>IFERROR(IF(X333="",0,CEILING((X333/$H333),1)*$H333),"")</f>
        <v>0</v>
      </c>
      <c r="Z333" s="36" t="str">
        <f>IFERROR(IF(Y333=0,"",ROUNDUP(Y333/H333,0)*0.01898),"")</f>
        <v/>
      </c>
      <c r="AA333" s="56"/>
      <c r="AB333" s="57"/>
      <c r="AC333" s="419" t="s">
        <v>552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37.5" hidden="1" customHeight="1" x14ac:dyDescent="0.25">
      <c r="A334" s="54" t="s">
        <v>553</v>
      </c>
      <c r="B334" s="54" t="s">
        <v>554</v>
      </c>
      <c r="C334" s="31">
        <v>4301012234</v>
      </c>
      <c r="D334" s="665">
        <v>4680115887237</v>
      </c>
      <c r="E334" s="666"/>
      <c r="F334" s="650">
        <v>1.35</v>
      </c>
      <c r="G334" s="32">
        <v>8</v>
      </c>
      <c r="H334" s="650">
        <v>10.8</v>
      </c>
      <c r="I334" s="650">
        <v>11.21</v>
      </c>
      <c r="J334" s="32">
        <v>64</v>
      </c>
      <c r="K334" s="32" t="s">
        <v>114</v>
      </c>
      <c r="L334" s="32"/>
      <c r="M334" s="33" t="s">
        <v>115</v>
      </c>
      <c r="N334" s="33"/>
      <c r="O334" s="32">
        <v>55</v>
      </c>
      <c r="P334" s="7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4"/>
      <c r="V334" s="34"/>
      <c r="W334" s="35" t="s">
        <v>67</v>
      </c>
      <c r="X334" s="651">
        <v>0</v>
      </c>
      <c r="Y334" s="65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421" t="s">
        <v>555</v>
      </c>
      <c r="AG334" s="64"/>
      <c r="AJ334" s="68"/>
      <c r="AK334" s="68">
        <v>0</v>
      </c>
      <c r="BB334" s="42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556</v>
      </c>
      <c r="B335" s="54" t="s">
        <v>557</v>
      </c>
      <c r="C335" s="31">
        <v>4301011850</v>
      </c>
      <c r="D335" s="665">
        <v>4680115885806</v>
      </c>
      <c r="E335" s="666"/>
      <c r="F335" s="650">
        <v>1.35</v>
      </c>
      <c r="G335" s="32">
        <v>8</v>
      </c>
      <c r="H335" s="650">
        <v>10.8</v>
      </c>
      <c r="I335" s="650">
        <v>11.21</v>
      </c>
      <c r="J335" s="32">
        <v>64</v>
      </c>
      <c r="K335" s="32" t="s">
        <v>114</v>
      </c>
      <c r="L335" s="32"/>
      <c r="M335" s="33" t="s">
        <v>115</v>
      </c>
      <c r="N335" s="33"/>
      <c r="O335" s="32">
        <v>55</v>
      </c>
      <c r="P335" s="9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4"/>
      <c r="V335" s="34"/>
      <c r="W335" s="35" t="s">
        <v>67</v>
      </c>
      <c r="X335" s="651">
        <v>0</v>
      </c>
      <c r="Y335" s="65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423" t="s">
        <v>558</v>
      </c>
      <c r="AG335" s="64"/>
      <c r="AJ335" s="68"/>
      <c r="AK335" s="68">
        <v>0</v>
      </c>
      <c r="BB335" s="42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559</v>
      </c>
      <c r="B336" s="54" t="s">
        <v>560</v>
      </c>
      <c r="C336" s="31">
        <v>4301011852</v>
      </c>
      <c r="D336" s="665">
        <v>4680115885844</v>
      </c>
      <c r="E336" s="666"/>
      <c r="F336" s="650">
        <v>0.4</v>
      </c>
      <c r="G336" s="32">
        <v>10</v>
      </c>
      <c r="H336" s="650">
        <v>4</v>
      </c>
      <c r="I336" s="650">
        <v>4.1900000000000004</v>
      </c>
      <c r="J336" s="32">
        <v>132</v>
      </c>
      <c r="K336" s="32" t="s">
        <v>123</v>
      </c>
      <c r="L336" s="32"/>
      <c r="M336" s="33" t="s">
        <v>115</v>
      </c>
      <c r="N336" s="33"/>
      <c r="O336" s="32">
        <v>55</v>
      </c>
      <c r="P336" s="9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4"/>
      <c r="V336" s="34"/>
      <c r="W336" s="35" t="s">
        <v>67</v>
      </c>
      <c r="X336" s="651">
        <v>0</v>
      </c>
      <c r="Y336" s="652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25" t="s">
        <v>561</v>
      </c>
      <c r="AG336" s="64"/>
      <c r="AJ336" s="68"/>
      <c r="AK336" s="68">
        <v>0</v>
      </c>
      <c r="BB336" s="42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37.5" hidden="1" customHeight="1" x14ac:dyDescent="0.25">
      <c r="A337" s="54" t="s">
        <v>562</v>
      </c>
      <c r="B337" s="54" t="s">
        <v>563</v>
      </c>
      <c r="C337" s="31">
        <v>4301011851</v>
      </c>
      <c r="D337" s="665">
        <v>4680115885820</v>
      </c>
      <c r="E337" s="666"/>
      <c r="F337" s="650">
        <v>0.4</v>
      </c>
      <c r="G337" s="32">
        <v>10</v>
      </c>
      <c r="H337" s="650">
        <v>4</v>
      </c>
      <c r="I337" s="650">
        <v>4.1900000000000004</v>
      </c>
      <c r="J337" s="32">
        <v>132</v>
      </c>
      <c r="K337" s="32" t="s">
        <v>123</v>
      </c>
      <c r="L337" s="32"/>
      <c r="M337" s="33" t="s">
        <v>115</v>
      </c>
      <c r="N337" s="33"/>
      <c r="O337" s="32">
        <v>55</v>
      </c>
      <c r="P337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4"/>
      <c r="V337" s="34"/>
      <c r="W337" s="35" t="s">
        <v>67</v>
      </c>
      <c r="X337" s="651">
        <v>0</v>
      </c>
      <c r="Y337" s="652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27" t="s">
        <v>564</v>
      </c>
      <c r="AG337" s="64"/>
      <c r="AJ337" s="68"/>
      <c r="AK337" s="68">
        <v>0</v>
      </c>
      <c r="BB337" s="42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92"/>
      <c r="B338" s="658"/>
      <c r="C338" s="658"/>
      <c r="D338" s="658"/>
      <c r="E338" s="658"/>
      <c r="F338" s="658"/>
      <c r="G338" s="658"/>
      <c r="H338" s="658"/>
      <c r="I338" s="658"/>
      <c r="J338" s="658"/>
      <c r="K338" s="658"/>
      <c r="L338" s="658"/>
      <c r="M338" s="658"/>
      <c r="N338" s="658"/>
      <c r="O338" s="693"/>
      <c r="P338" s="659" t="s">
        <v>72</v>
      </c>
      <c r="Q338" s="660"/>
      <c r="R338" s="660"/>
      <c r="S338" s="660"/>
      <c r="T338" s="660"/>
      <c r="U338" s="660"/>
      <c r="V338" s="661"/>
      <c r="W338" s="37" t="s">
        <v>73</v>
      </c>
      <c r="X338" s="653">
        <f>IFERROR(X333/H333,"0")+IFERROR(X334/H334,"0")+IFERROR(X335/H335,"0")+IFERROR(X336/H336,"0")+IFERROR(X337/H337,"0")</f>
        <v>0</v>
      </c>
      <c r="Y338" s="653">
        <f>IFERROR(Y333/H333,"0")+IFERROR(Y334/H334,"0")+IFERROR(Y335/H335,"0")+IFERROR(Y336/H336,"0")+IFERROR(Y337/H337,"0")</f>
        <v>0</v>
      </c>
      <c r="Z338" s="653">
        <f>IFERROR(IF(Z333="",0,Z333),"0")+IFERROR(IF(Z334="",0,Z334),"0")+IFERROR(IF(Z335="",0,Z335),"0")+IFERROR(IF(Z336="",0,Z336),"0")+IFERROR(IF(Z337="",0,Z337),"0")</f>
        <v>0</v>
      </c>
      <c r="AA338" s="654"/>
      <c r="AB338" s="654"/>
      <c r="AC338" s="654"/>
    </row>
    <row r="339" spans="1:68" hidden="1" x14ac:dyDescent="0.2">
      <c r="A339" s="658"/>
      <c r="B339" s="658"/>
      <c r="C339" s="658"/>
      <c r="D339" s="658"/>
      <c r="E339" s="658"/>
      <c r="F339" s="658"/>
      <c r="G339" s="658"/>
      <c r="H339" s="658"/>
      <c r="I339" s="658"/>
      <c r="J339" s="658"/>
      <c r="K339" s="658"/>
      <c r="L339" s="658"/>
      <c r="M339" s="658"/>
      <c r="N339" s="658"/>
      <c r="O339" s="693"/>
      <c r="P339" s="659" t="s">
        <v>72</v>
      </c>
      <c r="Q339" s="660"/>
      <c r="R339" s="660"/>
      <c r="S339" s="660"/>
      <c r="T339" s="660"/>
      <c r="U339" s="660"/>
      <c r="V339" s="661"/>
      <c r="W339" s="37" t="s">
        <v>67</v>
      </c>
      <c r="X339" s="653">
        <f>IFERROR(SUM(X333:X337),"0")</f>
        <v>0</v>
      </c>
      <c r="Y339" s="653">
        <f>IFERROR(SUM(Y333:Y337),"0")</f>
        <v>0</v>
      </c>
      <c r="Z339" s="37"/>
      <c r="AA339" s="654"/>
      <c r="AB339" s="654"/>
      <c r="AC339" s="654"/>
    </row>
    <row r="340" spans="1:68" ht="16.5" hidden="1" customHeight="1" x14ac:dyDescent="0.25">
      <c r="A340" s="662" t="s">
        <v>565</v>
      </c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8"/>
      <c r="P340" s="658"/>
      <c r="Q340" s="658"/>
      <c r="R340" s="658"/>
      <c r="S340" s="658"/>
      <c r="T340" s="658"/>
      <c r="U340" s="658"/>
      <c r="V340" s="658"/>
      <c r="W340" s="658"/>
      <c r="X340" s="658"/>
      <c r="Y340" s="658"/>
      <c r="Z340" s="658"/>
      <c r="AA340" s="646"/>
      <c r="AB340" s="646"/>
      <c r="AC340" s="646"/>
    </row>
    <row r="341" spans="1:68" ht="14.25" hidden="1" customHeight="1" x14ac:dyDescent="0.25">
      <c r="A341" s="657" t="s">
        <v>74</v>
      </c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8"/>
      <c r="P341" s="658"/>
      <c r="Q341" s="658"/>
      <c r="R341" s="658"/>
      <c r="S341" s="658"/>
      <c r="T341" s="658"/>
      <c r="U341" s="658"/>
      <c r="V341" s="658"/>
      <c r="W341" s="658"/>
      <c r="X341" s="658"/>
      <c r="Y341" s="658"/>
      <c r="Z341" s="658"/>
      <c r="AA341" s="647"/>
      <c r="AB341" s="647"/>
      <c r="AC341" s="647"/>
    </row>
    <row r="342" spans="1:68" ht="27" hidden="1" customHeight="1" x14ac:dyDescent="0.25">
      <c r="A342" s="54" t="s">
        <v>566</v>
      </c>
      <c r="B342" s="54" t="s">
        <v>567</v>
      </c>
      <c r="C342" s="31">
        <v>4301051893</v>
      </c>
      <c r="D342" s="665">
        <v>4680115886186</v>
      </c>
      <c r="E342" s="666"/>
      <c r="F342" s="650">
        <v>0.3</v>
      </c>
      <c r="G342" s="32">
        <v>6</v>
      </c>
      <c r="H342" s="650">
        <v>1.8</v>
      </c>
      <c r="I342" s="650">
        <v>1.98</v>
      </c>
      <c r="J342" s="32">
        <v>182</v>
      </c>
      <c r="K342" s="32" t="s">
        <v>77</v>
      </c>
      <c r="L342" s="32"/>
      <c r="M342" s="33" t="s">
        <v>78</v>
      </c>
      <c r="N342" s="33"/>
      <c r="O342" s="32">
        <v>45</v>
      </c>
      <c r="P342" s="9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4"/>
      <c r="V342" s="34"/>
      <c r="W342" s="35" t="s">
        <v>67</v>
      </c>
      <c r="X342" s="651">
        <v>0</v>
      </c>
      <c r="Y342" s="652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29" t="s">
        <v>568</v>
      </c>
      <c r="AG342" s="64"/>
      <c r="AJ342" s="68"/>
      <c r="AK342" s="68">
        <v>0</v>
      </c>
      <c r="BB342" s="43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569</v>
      </c>
      <c r="B343" s="54" t="s">
        <v>570</v>
      </c>
      <c r="C343" s="31">
        <v>4301051795</v>
      </c>
      <c r="D343" s="665">
        <v>4680115881228</v>
      </c>
      <c r="E343" s="666"/>
      <c r="F343" s="650">
        <v>0.4</v>
      </c>
      <c r="G343" s="32">
        <v>6</v>
      </c>
      <c r="H343" s="650">
        <v>2.4</v>
      </c>
      <c r="I343" s="650">
        <v>2.6520000000000001</v>
      </c>
      <c r="J343" s="32">
        <v>182</v>
      </c>
      <c r="K343" s="32" t="s">
        <v>77</v>
      </c>
      <c r="L343" s="32"/>
      <c r="M343" s="33" t="s">
        <v>84</v>
      </c>
      <c r="N343" s="33"/>
      <c r="O343" s="32">
        <v>40</v>
      </c>
      <c r="P343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4"/>
      <c r="V343" s="34"/>
      <c r="W343" s="35" t="s">
        <v>67</v>
      </c>
      <c r="X343" s="651">
        <v>16</v>
      </c>
      <c r="Y343" s="652">
        <f>IFERROR(IF(X343="",0,CEILING((X343/$H343),1)*$H343),"")</f>
        <v>16.8</v>
      </c>
      <c r="Z343" s="36">
        <f>IFERROR(IF(Y343=0,"",ROUNDUP(Y343/H343,0)*0.00651),"")</f>
        <v>4.5569999999999999E-2</v>
      </c>
      <c r="AA343" s="56"/>
      <c r="AB343" s="57"/>
      <c r="AC343" s="431" t="s">
        <v>571</v>
      </c>
      <c r="AG343" s="64"/>
      <c r="AJ343" s="68"/>
      <c r="AK343" s="68">
        <v>0</v>
      </c>
      <c r="BB343" s="432" t="s">
        <v>1</v>
      </c>
      <c r="BM343" s="64">
        <f>IFERROR(X343*I343/H343,"0")</f>
        <v>17.680000000000003</v>
      </c>
      <c r="BN343" s="64">
        <f>IFERROR(Y343*I343/H343,"0")</f>
        <v>18.564000000000004</v>
      </c>
      <c r="BO343" s="64">
        <f>IFERROR(1/J343*(X343/H343),"0")</f>
        <v>3.6630036630036632E-2</v>
      </c>
      <c r="BP343" s="64">
        <f>IFERROR(1/J343*(Y343/H343),"0")</f>
        <v>3.8461538461538471E-2</v>
      </c>
    </row>
    <row r="344" spans="1:68" ht="27" customHeight="1" x14ac:dyDescent="0.25">
      <c r="A344" s="54" t="s">
        <v>572</v>
      </c>
      <c r="B344" s="54" t="s">
        <v>573</v>
      </c>
      <c r="C344" s="31">
        <v>4301051388</v>
      </c>
      <c r="D344" s="665">
        <v>4680115881211</v>
      </c>
      <c r="E344" s="666"/>
      <c r="F344" s="650">
        <v>0.4</v>
      </c>
      <c r="G344" s="32">
        <v>6</v>
      </c>
      <c r="H344" s="650">
        <v>2.4</v>
      </c>
      <c r="I344" s="650">
        <v>2.58</v>
      </c>
      <c r="J344" s="32">
        <v>182</v>
      </c>
      <c r="K344" s="32" t="s">
        <v>77</v>
      </c>
      <c r="L344" s="32"/>
      <c r="M344" s="33" t="s">
        <v>78</v>
      </c>
      <c r="N344" s="33"/>
      <c r="O344" s="32">
        <v>45</v>
      </c>
      <c r="P344" s="9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4"/>
      <c r="V344" s="34"/>
      <c r="W344" s="35" t="s">
        <v>67</v>
      </c>
      <c r="X344" s="651">
        <v>20</v>
      </c>
      <c r="Y344" s="652">
        <f>IFERROR(IF(X344="",0,CEILING((X344/$H344),1)*$H344),"")</f>
        <v>21.599999999999998</v>
      </c>
      <c r="Z344" s="36">
        <f>IFERROR(IF(Y344=0,"",ROUNDUP(Y344/H344,0)*0.00651),"")</f>
        <v>5.8590000000000003E-2</v>
      </c>
      <c r="AA344" s="56"/>
      <c r="AB344" s="57"/>
      <c r="AC344" s="433" t="s">
        <v>568</v>
      </c>
      <c r="AG344" s="64"/>
      <c r="AJ344" s="68"/>
      <c r="AK344" s="68">
        <v>0</v>
      </c>
      <c r="BB344" s="434" t="s">
        <v>1</v>
      </c>
      <c r="BM344" s="64">
        <f>IFERROR(X344*I344/H344,"0")</f>
        <v>21.5</v>
      </c>
      <c r="BN344" s="64">
        <f>IFERROR(Y344*I344/H344,"0")</f>
        <v>23.22</v>
      </c>
      <c r="BO344" s="64">
        <f>IFERROR(1/J344*(X344/H344),"0")</f>
        <v>4.5787545787545791E-2</v>
      </c>
      <c r="BP344" s="64">
        <f>IFERROR(1/J344*(Y344/H344),"0")</f>
        <v>4.9450549450549455E-2</v>
      </c>
    </row>
    <row r="345" spans="1:68" x14ac:dyDescent="0.2">
      <c r="A345" s="692"/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93"/>
      <c r="P345" s="659" t="s">
        <v>72</v>
      </c>
      <c r="Q345" s="660"/>
      <c r="R345" s="660"/>
      <c r="S345" s="660"/>
      <c r="T345" s="660"/>
      <c r="U345" s="660"/>
      <c r="V345" s="661"/>
      <c r="W345" s="37" t="s">
        <v>73</v>
      </c>
      <c r="X345" s="653">
        <f>IFERROR(X342/H342,"0")+IFERROR(X343/H343,"0")+IFERROR(X344/H344,"0")</f>
        <v>15</v>
      </c>
      <c r="Y345" s="653">
        <f>IFERROR(Y342/H342,"0")+IFERROR(Y343/H343,"0")+IFERROR(Y344/H344,"0")</f>
        <v>16</v>
      </c>
      <c r="Z345" s="653">
        <f>IFERROR(IF(Z342="",0,Z342),"0")+IFERROR(IF(Z343="",0,Z343),"0")+IFERROR(IF(Z344="",0,Z344),"0")</f>
        <v>0.10416</v>
      </c>
      <c r="AA345" s="654"/>
      <c r="AB345" s="654"/>
      <c r="AC345" s="654"/>
    </row>
    <row r="346" spans="1:68" x14ac:dyDescent="0.2">
      <c r="A346" s="658"/>
      <c r="B346" s="658"/>
      <c r="C346" s="658"/>
      <c r="D346" s="658"/>
      <c r="E346" s="658"/>
      <c r="F346" s="658"/>
      <c r="G346" s="658"/>
      <c r="H346" s="658"/>
      <c r="I346" s="658"/>
      <c r="J346" s="658"/>
      <c r="K346" s="658"/>
      <c r="L346" s="658"/>
      <c r="M346" s="658"/>
      <c r="N346" s="658"/>
      <c r="O346" s="693"/>
      <c r="P346" s="659" t="s">
        <v>72</v>
      </c>
      <c r="Q346" s="660"/>
      <c r="R346" s="660"/>
      <c r="S346" s="660"/>
      <c r="T346" s="660"/>
      <c r="U346" s="660"/>
      <c r="V346" s="661"/>
      <c r="W346" s="37" t="s">
        <v>67</v>
      </c>
      <c r="X346" s="653">
        <f>IFERROR(SUM(X342:X344),"0")</f>
        <v>36</v>
      </c>
      <c r="Y346" s="653">
        <f>IFERROR(SUM(Y342:Y344),"0")</f>
        <v>38.4</v>
      </c>
      <c r="Z346" s="37"/>
      <c r="AA346" s="654"/>
      <c r="AB346" s="654"/>
      <c r="AC346" s="654"/>
    </row>
    <row r="347" spans="1:68" ht="16.5" hidden="1" customHeight="1" x14ac:dyDescent="0.25">
      <c r="A347" s="662" t="s">
        <v>574</v>
      </c>
      <c r="B347" s="658"/>
      <c r="C347" s="658"/>
      <c r="D347" s="658"/>
      <c r="E347" s="658"/>
      <c r="F347" s="658"/>
      <c r="G347" s="658"/>
      <c r="H347" s="658"/>
      <c r="I347" s="658"/>
      <c r="J347" s="658"/>
      <c r="K347" s="658"/>
      <c r="L347" s="658"/>
      <c r="M347" s="658"/>
      <c r="N347" s="658"/>
      <c r="O347" s="658"/>
      <c r="P347" s="658"/>
      <c r="Q347" s="658"/>
      <c r="R347" s="658"/>
      <c r="S347" s="658"/>
      <c r="T347" s="658"/>
      <c r="U347" s="658"/>
      <c r="V347" s="658"/>
      <c r="W347" s="658"/>
      <c r="X347" s="658"/>
      <c r="Y347" s="658"/>
      <c r="Z347" s="658"/>
      <c r="AA347" s="646"/>
      <c r="AB347" s="646"/>
      <c r="AC347" s="646"/>
    </row>
    <row r="348" spans="1:68" ht="14.25" hidden="1" customHeight="1" x14ac:dyDescent="0.25">
      <c r="A348" s="657" t="s">
        <v>62</v>
      </c>
      <c r="B348" s="658"/>
      <c r="C348" s="658"/>
      <c r="D348" s="658"/>
      <c r="E348" s="658"/>
      <c r="F348" s="658"/>
      <c r="G348" s="658"/>
      <c r="H348" s="658"/>
      <c r="I348" s="658"/>
      <c r="J348" s="658"/>
      <c r="K348" s="658"/>
      <c r="L348" s="658"/>
      <c r="M348" s="658"/>
      <c r="N348" s="658"/>
      <c r="O348" s="658"/>
      <c r="P348" s="658"/>
      <c r="Q348" s="658"/>
      <c r="R348" s="658"/>
      <c r="S348" s="658"/>
      <c r="T348" s="658"/>
      <c r="U348" s="658"/>
      <c r="V348" s="658"/>
      <c r="W348" s="658"/>
      <c r="X348" s="658"/>
      <c r="Y348" s="658"/>
      <c r="Z348" s="658"/>
      <c r="AA348" s="647"/>
      <c r="AB348" s="647"/>
      <c r="AC348" s="647"/>
    </row>
    <row r="349" spans="1:68" ht="27" hidden="1" customHeight="1" x14ac:dyDescent="0.25">
      <c r="A349" s="54" t="s">
        <v>575</v>
      </c>
      <c r="B349" s="54" t="s">
        <v>576</v>
      </c>
      <c r="C349" s="31">
        <v>4301031445</v>
      </c>
      <c r="D349" s="665">
        <v>4680115888319</v>
      </c>
      <c r="E349" s="666"/>
      <c r="F349" s="650">
        <v>0.35</v>
      </c>
      <c r="G349" s="32">
        <v>6</v>
      </c>
      <c r="H349" s="650">
        <v>2.1</v>
      </c>
      <c r="I349" s="650">
        <v>2.23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45</v>
      </c>
      <c r="P349" s="97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4"/>
      <c r="V349" s="34"/>
      <c r="W349" s="35" t="s">
        <v>67</v>
      </c>
      <c r="X349" s="651">
        <v>0</v>
      </c>
      <c r="Y349" s="652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409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577</v>
      </c>
      <c r="B350" s="54" t="s">
        <v>578</v>
      </c>
      <c r="C350" s="31">
        <v>4301031502</v>
      </c>
      <c r="D350" s="665">
        <v>4680115884700</v>
      </c>
      <c r="E350" s="666"/>
      <c r="F350" s="650">
        <v>0.57999999999999996</v>
      </c>
      <c r="G350" s="32">
        <v>4</v>
      </c>
      <c r="H350" s="650">
        <v>2.3199999999999998</v>
      </c>
      <c r="I350" s="650">
        <v>2.42</v>
      </c>
      <c r="J350" s="32">
        <v>234</v>
      </c>
      <c r="K350" s="32" t="s">
        <v>65</v>
      </c>
      <c r="L350" s="32"/>
      <c r="M350" s="33" t="s">
        <v>66</v>
      </c>
      <c r="N350" s="33"/>
      <c r="O350" s="32">
        <v>40</v>
      </c>
      <c r="P35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4"/>
      <c r="V350" s="34"/>
      <c r="W350" s="35" t="s">
        <v>67</v>
      </c>
      <c r="X350" s="651">
        <v>0</v>
      </c>
      <c r="Y350" s="652">
        <f>IFERROR(IF(X350="",0,CEILING((X350/$H350),1)*$H350),"")</f>
        <v>0</v>
      </c>
      <c r="Z350" s="36" t="str">
        <f>IFERROR(IF(Y350=0,"",ROUNDUP(Y350/H350,0)*0.00502),"")</f>
        <v/>
      </c>
      <c r="AA350" s="56"/>
      <c r="AB350" s="57"/>
      <c r="AC350" s="437" t="s">
        <v>579</v>
      </c>
      <c r="AG350" s="64"/>
      <c r="AJ350" s="68"/>
      <c r="AK350" s="68">
        <v>0</v>
      </c>
      <c r="BB350" s="43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4301031307</v>
      </c>
      <c r="D351" s="665">
        <v>4680115880344</v>
      </c>
      <c r="E351" s="666"/>
      <c r="F351" s="650">
        <v>0.28000000000000003</v>
      </c>
      <c r="G351" s="32">
        <v>6</v>
      </c>
      <c r="H351" s="650">
        <v>1.68</v>
      </c>
      <c r="I351" s="650">
        <v>1.78</v>
      </c>
      <c r="J351" s="32">
        <v>234</v>
      </c>
      <c r="K351" s="32" t="s">
        <v>65</v>
      </c>
      <c r="L351" s="32"/>
      <c r="M351" s="33" t="s">
        <v>66</v>
      </c>
      <c r="N351" s="33"/>
      <c r="O351" s="32">
        <v>40</v>
      </c>
      <c r="P351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4"/>
      <c r="V351" s="34"/>
      <c r="W351" s="35" t="s">
        <v>67</v>
      </c>
      <c r="X351" s="651">
        <v>0</v>
      </c>
      <c r="Y351" s="652">
        <f>IFERROR(IF(X351="",0,CEILING((X351/$H351),1)*$H351),"")</f>
        <v>0</v>
      </c>
      <c r="Z351" s="36" t="str">
        <f>IFERROR(IF(Y351=0,"",ROUNDUP(Y351/H351,0)*0.00502),"")</f>
        <v/>
      </c>
      <c r="AA351" s="56"/>
      <c r="AB351" s="57"/>
      <c r="AC351" s="439" t="s">
        <v>582</v>
      </c>
      <c r="AG351" s="64"/>
      <c r="AJ351" s="68"/>
      <c r="AK351" s="68">
        <v>0</v>
      </c>
      <c r="BB351" s="44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583</v>
      </c>
      <c r="B352" s="54" t="s">
        <v>584</v>
      </c>
      <c r="C352" s="31">
        <v>4301031501</v>
      </c>
      <c r="D352" s="665">
        <v>4680115886919</v>
      </c>
      <c r="E352" s="666"/>
      <c r="F352" s="650">
        <v>0.4</v>
      </c>
      <c r="G352" s="32">
        <v>6</v>
      </c>
      <c r="H352" s="650">
        <v>2.4</v>
      </c>
      <c r="I352" s="650">
        <v>2.58</v>
      </c>
      <c r="J352" s="32">
        <v>182</v>
      </c>
      <c r="K352" s="32" t="s">
        <v>77</v>
      </c>
      <c r="L352" s="32"/>
      <c r="M352" s="33" t="s">
        <v>66</v>
      </c>
      <c r="N352" s="33"/>
      <c r="O352" s="32">
        <v>40</v>
      </c>
      <c r="P352" s="93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4"/>
      <c r="V352" s="34"/>
      <c r="W352" s="35" t="s">
        <v>67</v>
      </c>
      <c r="X352" s="651">
        <v>0</v>
      </c>
      <c r="Y352" s="652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41" t="s">
        <v>585</v>
      </c>
      <c r="AG352" s="64"/>
      <c r="AJ352" s="68"/>
      <c r="AK352" s="68">
        <v>0</v>
      </c>
      <c r="BB352" s="44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586</v>
      </c>
      <c r="B353" s="54" t="s">
        <v>587</v>
      </c>
      <c r="C353" s="31">
        <v>4301031246</v>
      </c>
      <c r="D353" s="665">
        <v>4680115883970</v>
      </c>
      <c r="E353" s="666"/>
      <c r="F353" s="650">
        <v>0.28000000000000003</v>
      </c>
      <c r="G353" s="32">
        <v>6</v>
      </c>
      <c r="H353" s="650">
        <v>1.68</v>
      </c>
      <c r="I353" s="650">
        <v>2.5</v>
      </c>
      <c r="J353" s="32">
        <v>234</v>
      </c>
      <c r="K353" s="32" t="s">
        <v>65</v>
      </c>
      <c r="L353" s="32"/>
      <c r="M353" s="33" t="s">
        <v>66</v>
      </c>
      <c r="N353" s="33"/>
      <c r="O353" s="32">
        <v>40</v>
      </c>
      <c r="P353" s="7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4"/>
      <c r="V353" s="34"/>
      <c r="W353" s="35" t="s">
        <v>67</v>
      </c>
      <c r="X353" s="651">
        <v>0</v>
      </c>
      <c r="Y353" s="652">
        <f>IFERROR(IF(X353="",0,CEILING((X353/$H353),1)*$H353),"")</f>
        <v>0</v>
      </c>
      <c r="Z353" s="36" t="str">
        <f>IFERROR(IF(Y353=0,"",ROUNDUP(Y353/H353,0)*0.00502),"")</f>
        <v/>
      </c>
      <c r="AA353" s="56"/>
      <c r="AB353" s="57"/>
      <c r="AC353" s="443" t="s">
        <v>588</v>
      </c>
      <c r="AG353" s="64"/>
      <c r="AJ353" s="68"/>
      <c r="AK353" s="68">
        <v>0</v>
      </c>
      <c r="BB353" s="44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92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93"/>
      <c r="P354" s="659" t="s">
        <v>72</v>
      </c>
      <c r="Q354" s="660"/>
      <c r="R354" s="660"/>
      <c r="S354" s="660"/>
      <c r="T354" s="660"/>
      <c r="U354" s="660"/>
      <c r="V354" s="661"/>
      <c r="W354" s="37" t="s">
        <v>73</v>
      </c>
      <c r="X354" s="653">
        <f>IFERROR(X349/H349,"0")+IFERROR(X350/H350,"0")+IFERROR(X351/H351,"0")+IFERROR(X352/H352,"0")+IFERROR(X353/H353,"0")</f>
        <v>0</v>
      </c>
      <c r="Y354" s="653">
        <f>IFERROR(Y349/H349,"0")+IFERROR(Y350/H350,"0")+IFERROR(Y351/H351,"0")+IFERROR(Y352/H352,"0")+IFERROR(Y353/H353,"0")</f>
        <v>0</v>
      </c>
      <c r="Z354" s="653">
        <f>IFERROR(IF(Z349="",0,Z349),"0")+IFERROR(IF(Z350="",0,Z350),"0")+IFERROR(IF(Z351="",0,Z351),"0")+IFERROR(IF(Z352="",0,Z352),"0")+IFERROR(IF(Z353="",0,Z353),"0")</f>
        <v>0</v>
      </c>
      <c r="AA354" s="654"/>
      <c r="AB354" s="654"/>
      <c r="AC354" s="654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93"/>
      <c r="P355" s="659" t="s">
        <v>72</v>
      </c>
      <c r="Q355" s="660"/>
      <c r="R355" s="660"/>
      <c r="S355" s="660"/>
      <c r="T355" s="660"/>
      <c r="U355" s="660"/>
      <c r="V355" s="661"/>
      <c r="W355" s="37" t="s">
        <v>67</v>
      </c>
      <c r="X355" s="653">
        <f>IFERROR(SUM(X349:X353),"0")</f>
        <v>0</v>
      </c>
      <c r="Y355" s="653">
        <f>IFERROR(SUM(Y349:Y353),"0")</f>
        <v>0</v>
      </c>
      <c r="Z355" s="37"/>
      <c r="AA355" s="654"/>
      <c r="AB355" s="654"/>
      <c r="AC355" s="654"/>
    </row>
    <row r="356" spans="1:68" ht="14.25" hidden="1" customHeight="1" x14ac:dyDescent="0.25">
      <c r="A356" s="657" t="s">
        <v>74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47"/>
      <c r="AB356" s="647"/>
      <c r="AC356" s="647"/>
    </row>
    <row r="357" spans="1:68" ht="27" hidden="1" customHeight="1" x14ac:dyDescent="0.25">
      <c r="A357" s="54" t="s">
        <v>589</v>
      </c>
      <c r="B357" s="54" t="s">
        <v>590</v>
      </c>
      <c r="C357" s="31">
        <v>4301051782</v>
      </c>
      <c r="D357" s="665">
        <v>4680115884618</v>
      </c>
      <c r="E357" s="666"/>
      <c r="F357" s="650">
        <v>0.6</v>
      </c>
      <c r="G357" s="32">
        <v>6</v>
      </c>
      <c r="H357" s="650">
        <v>3.6</v>
      </c>
      <c r="I357" s="650">
        <v>3.79</v>
      </c>
      <c r="J357" s="32">
        <v>132</v>
      </c>
      <c r="K357" s="32" t="s">
        <v>123</v>
      </c>
      <c r="L357" s="32"/>
      <c r="M357" s="33" t="s">
        <v>78</v>
      </c>
      <c r="N357" s="33"/>
      <c r="O357" s="32">
        <v>45</v>
      </c>
      <c r="P357" s="9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4"/>
      <c r="V357" s="34"/>
      <c r="W357" s="35" t="s">
        <v>67</v>
      </c>
      <c r="X357" s="651">
        <v>0</v>
      </c>
      <c r="Y357" s="652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45" t="s">
        <v>591</v>
      </c>
      <c r="AG357" s="64"/>
      <c r="AJ357" s="68"/>
      <c r="AK357" s="68">
        <v>0</v>
      </c>
      <c r="BB357" s="44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592</v>
      </c>
      <c r="B358" s="54" t="s">
        <v>593</v>
      </c>
      <c r="C358" s="31">
        <v>4301052057</v>
      </c>
      <c r="D358" s="665">
        <v>4680115887114</v>
      </c>
      <c r="E358" s="666"/>
      <c r="F358" s="650">
        <v>0.55000000000000004</v>
      </c>
      <c r="G358" s="32">
        <v>6</v>
      </c>
      <c r="H358" s="650">
        <v>3.3</v>
      </c>
      <c r="I358" s="650">
        <v>3.49</v>
      </c>
      <c r="J358" s="32">
        <v>132</v>
      </c>
      <c r="K358" s="32" t="s">
        <v>123</v>
      </c>
      <c r="L358" s="32"/>
      <c r="M358" s="33" t="s">
        <v>78</v>
      </c>
      <c r="N358" s="33"/>
      <c r="O358" s="32">
        <v>45</v>
      </c>
      <c r="P358" s="8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4"/>
      <c r="V358" s="34"/>
      <c r="W358" s="35" t="s">
        <v>67</v>
      </c>
      <c r="X358" s="651">
        <v>0</v>
      </c>
      <c r="Y358" s="652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47" t="s">
        <v>594</v>
      </c>
      <c r="AG358" s="64"/>
      <c r="AJ358" s="68"/>
      <c r="AK358" s="68">
        <v>0</v>
      </c>
      <c r="BB358" s="44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92"/>
      <c r="B359" s="658"/>
      <c r="C359" s="658"/>
      <c r="D359" s="658"/>
      <c r="E359" s="658"/>
      <c r="F359" s="658"/>
      <c r="G359" s="658"/>
      <c r="H359" s="658"/>
      <c r="I359" s="658"/>
      <c r="J359" s="658"/>
      <c r="K359" s="658"/>
      <c r="L359" s="658"/>
      <c r="M359" s="658"/>
      <c r="N359" s="658"/>
      <c r="O359" s="693"/>
      <c r="P359" s="659" t="s">
        <v>72</v>
      </c>
      <c r="Q359" s="660"/>
      <c r="R359" s="660"/>
      <c r="S359" s="660"/>
      <c r="T359" s="660"/>
      <c r="U359" s="660"/>
      <c r="V359" s="661"/>
      <c r="W359" s="37" t="s">
        <v>73</v>
      </c>
      <c r="X359" s="653">
        <f>IFERROR(X357/H357,"0")+IFERROR(X358/H358,"0")</f>
        <v>0</v>
      </c>
      <c r="Y359" s="653">
        <f>IFERROR(Y357/H357,"0")+IFERROR(Y358/H358,"0")</f>
        <v>0</v>
      </c>
      <c r="Z359" s="653">
        <f>IFERROR(IF(Z357="",0,Z357),"0")+IFERROR(IF(Z358="",0,Z358),"0")</f>
        <v>0</v>
      </c>
      <c r="AA359" s="654"/>
      <c r="AB359" s="654"/>
      <c r="AC359" s="654"/>
    </row>
    <row r="360" spans="1:68" hidden="1" x14ac:dyDescent="0.2">
      <c r="A360" s="658"/>
      <c r="B360" s="658"/>
      <c r="C360" s="658"/>
      <c r="D360" s="658"/>
      <c r="E360" s="658"/>
      <c r="F360" s="658"/>
      <c r="G360" s="658"/>
      <c r="H360" s="658"/>
      <c r="I360" s="658"/>
      <c r="J360" s="658"/>
      <c r="K360" s="658"/>
      <c r="L360" s="658"/>
      <c r="M360" s="658"/>
      <c r="N360" s="658"/>
      <c r="O360" s="693"/>
      <c r="P360" s="659" t="s">
        <v>72</v>
      </c>
      <c r="Q360" s="660"/>
      <c r="R360" s="660"/>
      <c r="S360" s="660"/>
      <c r="T360" s="660"/>
      <c r="U360" s="660"/>
      <c r="V360" s="661"/>
      <c r="W360" s="37" t="s">
        <v>67</v>
      </c>
      <c r="X360" s="653">
        <f>IFERROR(SUM(X357:X358),"0")</f>
        <v>0</v>
      </c>
      <c r="Y360" s="653">
        <f>IFERROR(SUM(Y357:Y358),"0")</f>
        <v>0</v>
      </c>
      <c r="Z360" s="37"/>
      <c r="AA360" s="654"/>
      <c r="AB360" s="654"/>
      <c r="AC360" s="654"/>
    </row>
    <row r="361" spans="1:68" ht="16.5" hidden="1" customHeight="1" x14ac:dyDescent="0.25">
      <c r="A361" s="662" t="s">
        <v>595</v>
      </c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8"/>
      <c r="P361" s="658"/>
      <c r="Q361" s="658"/>
      <c r="R361" s="658"/>
      <c r="S361" s="658"/>
      <c r="T361" s="658"/>
      <c r="U361" s="658"/>
      <c r="V361" s="658"/>
      <c r="W361" s="658"/>
      <c r="X361" s="658"/>
      <c r="Y361" s="658"/>
      <c r="Z361" s="658"/>
      <c r="AA361" s="646"/>
      <c r="AB361" s="646"/>
      <c r="AC361" s="646"/>
    </row>
    <row r="362" spans="1:68" ht="14.25" hidden="1" customHeight="1" x14ac:dyDescent="0.25">
      <c r="A362" s="657" t="s">
        <v>111</v>
      </c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8"/>
      <c r="P362" s="658"/>
      <c r="Q362" s="658"/>
      <c r="R362" s="658"/>
      <c r="S362" s="658"/>
      <c r="T362" s="658"/>
      <c r="U362" s="658"/>
      <c r="V362" s="658"/>
      <c r="W362" s="658"/>
      <c r="X362" s="658"/>
      <c r="Y362" s="658"/>
      <c r="Z362" s="658"/>
      <c r="AA362" s="647"/>
      <c r="AB362" s="647"/>
      <c r="AC362" s="647"/>
    </row>
    <row r="363" spans="1:68" ht="27" customHeight="1" x14ac:dyDescent="0.25">
      <c r="A363" s="54" t="s">
        <v>596</v>
      </c>
      <c r="B363" s="54" t="s">
        <v>597</v>
      </c>
      <c r="C363" s="31">
        <v>4301012324</v>
      </c>
      <c r="D363" s="665">
        <v>4680115887947</v>
      </c>
      <c r="E363" s="666"/>
      <c r="F363" s="650">
        <v>1.3</v>
      </c>
      <c r="G363" s="32">
        <v>6</v>
      </c>
      <c r="H363" s="650">
        <v>7.8</v>
      </c>
      <c r="I363" s="650">
        <v>8.2100000000000009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60</v>
      </c>
      <c r="P363" s="102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4"/>
      <c r="V363" s="34"/>
      <c r="W363" s="35" t="s">
        <v>67</v>
      </c>
      <c r="X363" s="651">
        <v>77</v>
      </c>
      <c r="Y363" s="652">
        <f>IFERROR(IF(X363="",0,CEILING((X363/$H363),1)*$H363),"")</f>
        <v>78</v>
      </c>
      <c r="Z363" s="36">
        <f>IFERROR(IF(Y363=0,"",ROUNDUP(Y363/H363,0)*0.01898),"")</f>
        <v>0.1898</v>
      </c>
      <c r="AA363" s="56"/>
      <c r="AB363" s="57"/>
      <c r="AC363" s="449" t="s">
        <v>368</v>
      </c>
      <c r="AG363" s="64"/>
      <c r="AJ363" s="68"/>
      <c r="AK363" s="68">
        <v>0</v>
      </c>
      <c r="BB363" s="450" t="s">
        <v>1</v>
      </c>
      <c r="BM363" s="64">
        <f>IFERROR(X363*I363/H363,"0")</f>
        <v>81.047435897435903</v>
      </c>
      <c r="BN363" s="64">
        <f>IFERROR(Y363*I363/H363,"0")</f>
        <v>82.100000000000023</v>
      </c>
      <c r="BO363" s="64">
        <f>IFERROR(1/J363*(X363/H363),"0")</f>
        <v>0.15424679487179488</v>
      </c>
      <c r="BP363" s="64">
        <f>IFERROR(1/J363*(Y363/H363),"0")</f>
        <v>0.15625</v>
      </c>
    </row>
    <row r="364" spans="1:68" ht="27" hidden="1" customHeight="1" x14ac:dyDescent="0.25">
      <c r="A364" s="54" t="s">
        <v>598</v>
      </c>
      <c r="B364" s="54" t="s">
        <v>599</v>
      </c>
      <c r="C364" s="31">
        <v>4301012325</v>
      </c>
      <c r="D364" s="665">
        <v>4680115887978</v>
      </c>
      <c r="E364" s="666"/>
      <c r="F364" s="650">
        <v>1.3</v>
      </c>
      <c r="G364" s="32">
        <v>6</v>
      </c>
      <c r="H364" s="650">
        <v>7.8</v>
      </c>
      <c r="I364" s="650">
        <v>8.2100000000000009</v>
      </c>
      <c r="J364" s="32">
        <v>64</v>
      </c>
      <c r="K364" s="32" t="s">
        <v>114</v>
      </c>
      <c r="L364" s="32"/>
      <c r="M364" s="33" t="s">
        <v>78</v>
      </c>
      <c r="N364" s="33"/>
      <c r="O364" s="32">
        <v>60</v>
      </c>
      <c r="P364" s="9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4"/>
      <c r="V364" s="34"/>
      <c r="W364" s="35" t="s">
        <v>67</v>
      </c>
      <c r="X364" s="651">
        <v>0</v>
      </c>
      <c r="Y364" s="652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51" t="s">
        <v>600</v>
      </c>
      <c r="AG364" s="64"/>
      <c r="AJ364" s="68"/>
      <c r="AK364" s="68">
        <v>0</v>
      </c>
      <c r="BB364" s="45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601</v>
      </c>
      <c r="B365" s="54" t="s">
        <v>602</v>
      </c>
      <c r="C365" s="31">
        <v>4301012327</v>
      </c>
      <c r="D365" s="665">
        <v>4680115887992</v>
      </c>
      <c r="E365" s="666"/>
      <c r="F365" s="650">
        <v>1.3</v>
      </c>
      <c r="G365" s="32">
        <v>6</v>
      </c>
      <c r="H365" s="650">
        <v>7.8</v>
      </c>
      <c r="I365" s="650">
        <v>8.2100000000000009</v>
      </c>
      <c r="J365" s="32">
        <v>64</v>
      </c>
      <c r="K365" s="32" t="s">
        <v>114</v>
      </c>
      <c r="L365" s="32"/>
      <c r="M365" s="33" t="s">
        <v>78</v>
      </c>
      <c r="N365" s="33"/>
      <c r="O365" s="32">
        <v>60</v>
      </c>
      <c r="P365" s="10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4"/>
      <c r="V365" s="34"/>
      <c r="W365" s="35" t="s">
        <v>67</v>
      </c>
      <c r="X365" s="651">
        <v>4</v>
      </c>
      <c r="Y365" s="652">
        <f>IFERROR(IF(X365="",0,CEILING((X365/$H365),1)*$H365),"")</f>
        <v>7.8</v>
      </c>
      <c r="Z365" s="36">
        <f>IFERROR(IF(Y365=0,"",ROUNDUP(Y365/H365,0)*0.01898),"")</f>
        <v>1.898E-2</v>
      </c>
      <c r="AA365" s="56"/>
      <c r="AB365" s="57"/>
      <c r="AC365" s="453" t="s">
        <v>603</v>
      </c>
      <c r="AG365" s="64"/>
      <c r="AJ365" s="68"/>
      <c r="AK365" s="68">
        <v>0</v>
      </c>
      <c r="BB365" s="454" t="s">
        <v>1</v>
      </c>
      <c r="BM365" s="64">
        <f>IFERROR(X365*I365/H365,"0")</f>
        <v>4.2102564102564104</v>
      </c>
      <c r="BN365" s="64">
        <f>IFERROR(Y365*I365/H365,"0")</f>
        <v>8.2100000000000009</v>
      </c>
      <c r="BO365" s="64">
        <f>IFERROR(1/J365*(X365/H365),"0")</f>
        <v>8.0128205128205138E-3</v>
      </c>
      <c r="BP365" s="64">
        <f>IFERROR(1/J365*(Y365/H365),"0")</f>
        <v>1.5625E-2</v>
      </c>
    </row>
    <row r="366" spans="1:68" x14ac:dyDescent="0.2">
      <c r="A366" s="692"/>
      <c r="B366" s="658"/>
      <c r="C366" s="658"/>
      <c r="D366" s="658"/>
      <c r="E366" s="658"/>
      <c r="F366" s="658"/>
      <c r="G366" s="658"/>
      <c r="H366" s="658"/>
      <c r="I366" s="658"/>
      <c r="J366" s="658"/>
      <c r="K366" s="658"/>
      <c r="L366" s="658"/>
      <c r="M366" s="658"/>
      <c r="N366" s="658"/>
      <c r="O366" s="693"/>
      <c r="P366" s="659" t="s">
        <v>72</v>
      </c>
      <c r="Q366" s="660"/>
      <c r="R366" s="660"/>
      <c r="S366" s="660"/>
      <c r="T366" s="660"/>
      <c r="U366" s="660"/>
      <c r="V366" s="661"/>
      <c r="W366" s="37" t="s">
        <v>73</v>
      </c>
      <c r="X366" s="653">
        <f>IFERROR(X363/H363,"0")+IFERROR(X364/H364,"0")+IFERROR(X365/H365,"0")</f>
        <v>10.384615384615385</v>
      </c>
      <c r="Y366" s="653">
        <f>IFERROR(Y363/H363,"0")+IFERROR(Y364/H364,"0")+IFERROR(Y365/H365,"0")</f>
        <v>11</v>
      </c>
      <c r="Z366" s="653">
        <f>IFERROR(IF(Z363="",0,Z363),"0")+IFERROR(IF(Z364="",0,Z364),"0")+IFERROR(IF(Z365="",0,Z365),"0")</f>
        <v>0.20877999999999999</v>
      </c>
      <c r="AA366" s="654"/>
      <c r="AB366" s="654"/>
      <c r="AC366" s="654"/>
    </row>
    <row r="367" spans="1:68" x14ac:dyDescent="0.2">
      <c r="A367" s="658"/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93"/>
      <c r="P367" s="659" t="s">
        <v>72</v>
      </c>
      <c r="Q367" s="660"/>
      <c r="R367" s="660"/>
      <c r="S367" s="660"/>
      <c r="T367" s="660"/>
      <c r="U367" s="660"/>
      <c r="V367" s="661"/>
      <c r="W367" s="37" t="s">
        <v>67</v>
      </c>
      <c r="X367" s="653">
        <f>IFERROR(SUM(X363:X365),"0")</f>
        <v>81</v>
      </c>
      <c r="Y367" s="653">
        <f>IFERROR(SUM(Y363:Y365),"0")</f>
        <v>85.8</v>
      </c>
      <c r="Z367" s="37"/>
      <c r="AA367" s="654"/>
      <c r="AB367" s="654"/>
      <c r="AC367" s="654"/>
    </row>
    <row r="368" spans="1:68" ht="16.5" hidden="1" customHeight="1" x14ac:dyDescent="0.25">
      <c r="A368" s="662" t="s">
        <v>604</v>
      </c>
      <c r="B368" s="658"/>
      <c r="C368" s="658"/>
      <c r="D368" s="658"/>
      <c r="E368" s="658"/>
      <c r="F368" s="658"/>
      <c r="G368" s="658"/>
      <c r="H368" s="658"/>
      <c r="I368" s="658"/>
      <c r="J368" s="658"/>
      <c r="K368" s="658"/>
      <c r="L368" s="658"/>
      <c r="M368" s="658"/>
      <c r="N368" s="658"/>
      <c r="O368" s="658"/>
      <c r="P368" s="658"/>
      <c r="Q368" s="658"/>
      <c r="R368" s="658"/>
      <c r="S368" s="658"/>
      <c r="T368" s="658"/>
      <c r="U368" s="658"/>
      <c r="V368" s="658"/>
      <c r="W368" s="658"/>
      <c r="X368" s="658"/>
      <c r="Y368" s="658"/>
      <c r="Z368" s="658"/>
      <c r="AA368" s="646"/>
      <c r="AB368" s="646"/>
      <c r="AC368" s="646"/>
    </row>
    <row r="369" spans="1:68" ht="14.25" hidden="1" customHeight="1" x14ac:dyDescent="0.25">
      <c r="A369" s="657" t="s">
        <v>111</v>
      </c>
      <c r="B369" s="658"/>
      <c r="C369" s="658"/>
      <c r="D369" s="658"/>
      <c r="E369" s="658"/>
      <c r="F369" s="658"/>
      <c r="G369" s="658"/>
      <c r="H369" s="658"/>
      <c r="I369" s="658"/>
      <c r="J369" s="658"/>
      <c r="K369" s="658"/>
      <c r="L369" s="658"/>
      <c r="M369" s="658"/>
      <c r="N369" s="658"/>
      <c r="O369" s="658"/>
      <c r="P369" s="658"/>
      <c r="Q369" s="658"/>
      <c r="R369" s="658"/>
      <c r="S369" s="658"/>
      <c r="T369" s="658"/>
      <c r="U369" s="658"/>
      <c r="V369" s="658"/>
      <c r="W369" s="658"/>
      <c r="X369" s="658"/>
      <c r="Y369" s="658"/>
      <c r="Z369" s="658"/>
      <c r="AA369" s="647"/>
      <c r="AB369" s="647"/>
      <c r="AC369" s="647"/>
    </row>
    <row r="370" spans="1:68" ht="27" hidden="1" customHeight="1" x14ac:dyDescent="0.25">
      <c r="A370" s="54" t="s">
        <v>605</v>
      </c>
      <c r="B370" s="54" t="s">
        <v>606</v>
      </c>
      <c r="C370" s="31">
        <v>4301012235</v>
      </c>
      <c r="D370" s="665">
        <v>4680115887190</v>
      </c>
      <c r="E370" s="666"/>
      <c r="F370" s="650">
        <v>1.35</v>
      </c>
      <c r="G370" s="32">
        <v>8</v>
      </c>
      <c r="H370" s="650">
        <v>10.8</v>
      </c>
      <c r="I370" s="650">
        <v>11.21</v>
      </c>
      <c r="J370" s="32">
        <v>64</v>
      </c>
      <c r="K370" s="32" t="s">
        <v>114</v>
      </c>
      <c r="L370" s="32"/>
      <c r="M370" s="33" t="s">
        <v>115</v>
      </c>
      <c r="N370" s="33"/>
      <c r="O370" s="32">
        <v>55</v>
      </c>
      <c r="P370" s="9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4"/>
      <c r="V370" s="34"/>
      <c r="W370" s="35" t="s">
        <v>67</v>
      </c>
      <c r="X370" s="651">
        <v>0</v>
      </c>
      <c r="Y370" s="6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55" t="s">
        <v>607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t="37.5" hidden="1" customHeight="1" x14ac:dyDescent="0.25">
      <c r="A371" s="54" t="s">
        <v>608</v>
      </c>
      <c r="B371" s="54" t="s">
        <v>609</v>
      </c>
      <c r="C371" s="31">
        <v>4301012233</v>
      </c>
      <c r="D371" s="665">
        <v>4680115887138</v>
      </c>
      <c r="E371" s="666"/>
      <c r="F371" s="650">
        <v>1.35</v>
      </c>
      <c r="G371" s="32">
        <v>8</v>
      </c>
      <c r="H371" s="650">
        <v>10.8</v>
      </c>
      <c r="I371" s="650">
        <v>11.21</v>
      </c>
      <c r="J371" s="32">
        <v>64</v>
      </c>
      <c r="K371" s="32" t="s">
        <v>114</v>
      </c>
      <c r="L371" s="32"/>
      <c r="M371" s="33" t="s">
        <v>115</v>
      </c>
      <c r="N371" s="33"/>
      <c r="O371" s="32">
        <v>55</v>
      </c>
      <c r="P371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4"/>
      <c r="V371" s="34"/>
      <c r="W371" s="35" t="s">
        <v>67</v>
      </c>
      <c r="X371" s="651">
        <v>0</v>
      </c>
      <c r="Y371" s="652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57" t="s">
        <v>610</v>
      </c>
      <c r="AG371" s="64"/>
      <c r="AJ371" s="68"/>
      <c r="AK371" s="68">
        <v>0</v>
      </c>
      <c r="BB371" s="458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4301012016</v>
      </c>
      <c r="D372" s="665">
        <v>4680115885554</v>
      </c>
      <c r="E372" s="666"/>
      <c r="F372" s="650">
        <v>1.35</v>
      </c>
      <c r="G372" s="32">
        <v>8</v>
      </c>
      <c r="H372" s="650">
        <v>10.8</v>
      </c>
      <c r="I372" s="650">
        <v>11.21</v>
      </c>
      <c r="J372" s="32">
        <v>64</v>
      </c>
      <c r="K372" s="32" t="s">
        <v>114</v>
      </c>
      <c r="L372" s="32"/>
      <c r="M372" s="33" t="s">
        <v>78</v>
      </c>
      <c r="N372" s="33"/>
      <c r="O372" s="32">
        <v>55</v>
      </c>
      <c r="P372" s="8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4"/>
      <c r="V372" s="34"/>
      <c r="W372" s="35" t="s">
        <v>67</v>
      </c>
      <c r="X372" s="651">
        <v>0</v>
      </c>
      <c r="Y372" s="652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59" t="s">
        <v>613</v>
      </c>
      <c r="AG372" s="64"/>
      <c r="AJ372" s="68"/>
      <c r="AK372" s="68">
        <v>0</v>
      </c>
      <c r="BB372" s="460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4301012236</v>
      </c>
      <c r="D373" s="665">
        <v>4680115887220</v>
      </c>
      <c r="E373" s="666"/>
      <c r="F373" s="650">
        <v>0.4</v>
      </c>
      <c r="G373" s="32">
        <v>10</v>
      </c>
      <c r="H373" s="650">
        <v>4</v>
      </c>
      <c r="I373" s="650">
        <v>4.1900000000000004</v>
      </c>
      <c r="J373" s="32">
        <v>132</v>
      </c>
      <c r="K373" s="32" t="s">
        <v>123</v>
      </c>
      <c r="L373" s="32"/>
      <c r="M373" s="33" t="s">
        <v>115</v>
      </c>
      <c r="N373" s="33"/>
      <c r="O373" s="32">
        <v>55</v>
      </c>
      <c r="P373" s="10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4"/>
      <c r="V373" s="34"/>
      <c r="W373" s="35" t="s">
        <v>67</v>
      </c>
      <c r="X373" s="651">
        <v>0</v>
      </c>
      <c r="Y373" s="65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61" t="s">
        <v>607</v>
      </c>
      <c r="AG373" s="64"/>
      <c r="AJ373" s="68"/>
      <c r="AK373" s="68">
        <v>0</v>
      </c>
      <c r="BB373" s="462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4301011859</v>
      </c>
      <c r="D374" s="665">
        <v>4680115885608</v>
      </c>
      <c r="E374" s="666"/>
      <c r="F374" s="650">
        <v>0.4</v>
      </c>
      <c r="G374" s="32">
        <v>10</v>
      </c>
      <c r="H374" s="650">
        <v>4</v>
      </c>
      <c r="I374" s="650">
        <v>4.1900000000000004</v>
      </c>
      <c r="J374" s="32">
        <v>132</v>
      </c>
      <c r="K374" s="32" t="s">
        <v>123</v>
      </c>
      <c r="L374" s="32"/>
      <c r="M374" s="33" t="s">
        <v>115</v>
      </c>
      <c r="N374" s="33"/>
      <c r="O374" s="32">
        <v>55</v>
      </c>
      <c r="P374" s="8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4"/>
      <c r="V374" s="34"/>
      <c r="W374" s="35" t="s">
        <v>67</v>
      </c>
      <c r="X374" s="651">
        <v>0</v>
      </c>
      <c r="Y374" s="65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63" t="s">
        <v>618</v>
      </c>
      <c r="AG374" s="64"/>
      <c r="AJ374" s="68"/>
      <c r="AK374" s="68">
        <v>0</v>
      </c>
      <c r="BB374" s="464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92"/>
      <c r="B375" s="658"/>
      <c r="C375" s="658"/>
      <c r="D375" s="658"/>
      <c r="E375" s="658"/>
      <c r="F375" s="658"/>
      <c r="G375" s="658"/>
      <c r="H375" s="658"/>
      <c r="I375" s="658"/>
      <c r="J375" s="658"/>
      <c r="K375" s="658"/>
      <c r="L375" s="658"/>
      <c r="M375" s="658"/>
      <c r="N375" s="658"/>
      <c r="O375" s="693"/>
      <c r="P375" s="659" t="s">
        <v>72</v>
      </c>
      <c r="Q375" s="660"/>
      <c r="R375" s="660"/>
      <c r="S375" s="660"/>
      <c r="T375" s="660"/>
      <c r="U375" s="660"/>
      <c r="V375" s="661"/>
      <c r="W375" s="37" t="s">
        <v>73</v>
      </c>
      <c r="X375" s="653">
        <f>IFERROR(X370/H370,"0")+IFERROR(X371/H371,"0")+IFERROR(X372/H372,"0")+IFERROR(X373/H373,"0")+IFERROR(X374/H374,"0")</f>
        <v>0</v>
      </c>
      <c r="Y375" s="653">
        <f>IFERROR(Y370/H370,"0")+IFERROR(Y371/H371,"0")+IFERROR(Y372/H372,"0")+IFERROR(Y373/H373,"0")+IFERROR(Y374/H374,"0")</f>
        <v>0</v>
      </c>
      <c r="Z375" s="653">
        <f>IFERROR(IF(Z370="",0,Z370),"0")+IFERROR(IF(Z371="",0,Z371),"0")+IFERROR(IF(Z372="",0,Z372),"0")+IFERROR(IF(Z373="",0,Z373),"0")+IFERROR(IF(Z374="",0,Z374),"0")</f>
        <v>0</v>
      </c>
      <c r="AA375" s="654"/>
      <c r="AB375" s="654"/>
      <c r="AC375" s="654"/>
    </row>
    <row r="376" spans="1:68" hidden="1" x14ac:dyDescent="0.2">
      <c r="A376" s="658"/>
      <c r="B376" s="658"/>
      <c r="C376" s="658"/>
      <c r="D376" s="658"/>
      <c r="E376" s="658"/>
      <c r="F376" s="658"/>
      <c r="G376" s="658"/>
      <c r="H376" s="658"/>
      <c r="I376" s="658"/>
      <c r="J376" s="658"/>
      <c r="K376" s="658"/>
      <c r="L376" s="658"/>
      <c r="M376" s="658"/>
      <c r="N376" s="658"/>
      <c r="O376" s="693"/>
      <c r="P376" s="659" t="s">
        <v>72</v>
      </c>
      <c r="Q376" s="660"/>
      <c r="R376" s="660"/>
      <c r="S376" s="660"/>
      <c r="T376" s="660"/>
      <c r="U376" s="660"/>
      <c r="V376" s="661"/>
      <c r="W376" s="37" t="s">
        <v>67</v>
      </c>
      <c r="X376" s="653">
        <f>IFERROR(SUM(X370:X374),"0")</f>
        <v>0</v>
      </c>
      <c r="Y376" s="653">
        <f>IFERROR(SUM(Y370:Y374),"0")</f>
        <v>0</v>
      </c>
      <c r="Z376" s="37"/>
      <c r="AA376" s="654"/>
      <c r="AB376" s="654"/>
      <c r="AC376" s="654"/>
    </row>
    <row r="377" spans="1:68" ht="14.25" hidden="1" customHeight="1" x14ac:dyDescent="0.25">
      <c r="A377" s="657" t="s">
        <v>62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47"/>
      <c r="AB377" s="647"/>
      <c r="AC377" s="647"/>
    </row>
    <row r="378" spans="1:68" ht="27" hidden="1" customHeight="1" x14ac:dyDescent="0.25">
      <c r="A378" s="54" t="s">
        <v>619</v>
      </c>
      <c r="B378" s="54" t="s">
        <v>620</v>
      </c>
      <c r="C378" s="31">
        <v>4301030878</v>
      </c>
      <c r="D378" s="665">
        <v>4607091387193</v>
      </c>
      <c r="E378" s="666"/>
      <c r="F378" s="650">
        <v>0.7</v>
      </c>
      <c r="G378" s="32">
        <v>6</v>
      </c>
      <c r="H378" s="650">
        <v>4.2</v>
      </c>
      <c r="I378" s="650">
        <v>4.45</v>
      </c>
      <c r="J378" s="32">
        <v>132</v>
      </c>
      <c r="K378" s="32" t="s">
        <v>123</v>
      </c>
      <c r="L378" s="32"/>
      <c r="M378" s="33" t="s">
        <v>66</v>
      </c>
      <c r="N378" s="33"/>
      <c r="O378" s="32">
        <v>35</v>
      </c>
      <c r="P378" s="80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4"/>
      <c r="V378" s="34"/>
      <c r="W378" s="35" t="s">
        <v>67</v>
      </c>
      <c r="X378" s="651">
        <v>0</v>
      </c>
      <c r="Y378" s="652">
        <f t="shared" ref="Y378:Y384" si="60"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ref="BM378:BM384" si="61">IFERROR(X378*I378/H378,"0")</f>
        <v>0</v>
      </c>
      <c r="BN378" s="64">
        <f t="shared" ref="BN378:BN384" si="62">IFERROR(Y378*I378/H378,"0")</f>
        <v>0</v>
      </c>
      <c r="BO378" s="64">
        <f t="shared" ref="BO378:BO384" si="63">IFERROR(1/J378*(X378/H378),"0")</f>
        <v>0</v>
      </c>
      <c r="BP378" s="64">
        <f t="shared" ref="BP378:BP384" si="64">IFERROR(1/J378*(Y378/H378),"0")</f>
        <v>0</v>
      </c>
    </row>
    <row r="379" spans="1:68" ht="27" hidden="1" customHeight="1" x14ac:dyDescent="0.25">
      <c r="A379" s="54" t="s">
        <v>622</v>
      </c>
      <c r="B379" s="54" t="s">
        <v>623</v>
      </c>
      <c r="C379" s="31">
        <v>4301031153</v>
      </c>
      <c r="D379" s="665">
        <v>4607091387230</v>
      </c>
      <c r="E379" s="666"/>
      <c r="F379" s="650">
        <v>0.7</v>
      </c>
      <c r="G379" s="32">
        <v>6</v>
      </c>
      <c r="H379" s="650">
        <v>4.2</v>
      </c>
      <c r="I379" s="650">
        <v>4.45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40</v>
      </c>
      <c r="P379" s="67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4"/>
      <c r="V379" s="34"/>
      <c r="W379" s="35" t="s">
        <v>67</v>
      </c>
      <c r="X379" s="651">
        <v>0</v>
      </c>
      <c r="Y379" s="652">
        <f t="shared" si="60"/>
        <v>0</v>
      </c>
      <c r="Z379" s="36" t="str">
        <f>IFERROR(IF(Y379=0,"",ROUNDUP(Y379/H379,0)*0.00902),"")</f>
        <v/>
      </c>
      <c r="AA379" s="56"/>
      <c r="AB379" s="57"/>
      <c r="AC379" s="467" t="s">
        <v>624</v>
      </c>
      <c r="AG379" s="64"/>
      <c r="AJ379" s="68"/>
      <c r="AK379" s="68">
        <v>0</v>
      </c>
      <c r="BB379" s="468" t="s">
        <v>1</v>
      </c>
      <c r="BM379" s="64">
        <f t="shared" si="61"/>
        <v>0</v>
      </c>
      <c r="BN379" s="64">
        <f t="shared" si="62"/>
        <v>0</v>
      </c>
      <c r="BO379" s="64">
        <f t="shared" si="63"/>
        <v>0</v>
      </c>
      <c r="BP379" s="64">
        <f t="shared" si="64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4301031154</v>
      </c>
      <c r="D380" s="665">
        <v>4607091387292</v>
      </c>
      <c r="E380" s="666"/>
      <c r="F380" s="650">
        <v>0.73</v>
      </c>
      <c r="G380" s="32">
        <v>6</v>
      </c>
      <c r="H380" s="650">
        <v>4.38</v>
      </c>
      <c r="I380" s="650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4"/>
      <c r="V380" s="34"/>
      <c r="W380" s="35" t="s">
        <v>67</v>
      </c>
      <c r="X380" s="651">
        <v>0</v>
      </c>
      <c r="Y380" s="652">
        <f t="shared" si="60"/>
        <v>0</v>
      </c>
      <c r="Z380" s="36" t="str">
        <f>IFERROR(IF(Y380=0,"",ROUNDUP(Y380/H380,0)*0.00902),"")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61"/>
        <v>0</v>
      </c>
      <c r="BN380" s="64">
        <f t="shared" si="62"/>
        <v>0</v>
      </c>
      <c r="BO380" s="64">
        <f t="shared" si="63"/>
        <v>0</v>
      </c>
      <c r="BP380" s="64">
        <f t="shared" si="64"/>
        <v>0</v>
      </c>
    </row>
    <row r="381" spans="1:68" ht="27" hidden="1" customHeight="1" x14ac:dyDescent="0.25">
      <c r="A381" s="54" t="s">
        <v>628</v>
      </c>
      <c r="B381" s="54" t="s">
        <v>629</v>
      </c>
      <c r="C381" s="31">
        <v>4301031152</v>
      </c>
      <c r="D381" s="665">
        <v>4607091387285</v>
      </c>
      <c r="E381" s="666"/>
      <c r="F381" s="650">
        <v>0.35</v>
      </c>
      <c r="G381" s="32">
        <v>6</v>
      </c>
      <c r="H381" s="650">
        <v>2.1</v>
      </c>
      <c r="I381" s="650">
        <v>2.23</v>
      </c>
      <c r="J381" s="32">
        <v>234</v>
      </c>
      <c r="K381" s="32" t="s">
        <v>65</v>
      </c>
      <c r="L381" s="32"/>
      <c r="M381" s="33" t="s">
        <v>66</v>
      </c>
      <c r="N381" s="33"/>
      <c r="O381" s="32">
        <v>40</v>
      </c>
      <c r="P381" s="7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4"/>
      <c r="V381" s="34"/>
      <c r="W381" s="35" t="s">
        <v>67</v>
      </c>
      <c r="X381" s="651">
        <v>0</v>
      </c>
      <c r="Y381" s="652">
        <f t="shared" si="60"/>
        <v>0</v>
      </c>
      <c r="Z381" s="36" t="str">
        <f>IFERROR(IF(Y381=0,"",ROUNDUP(Y381/H381,0)*0.00502),"")</f>
        <v/>
      </c>
      <c r="AA381" s="56"/>
      <c r="AB381" s="57"/>
      <c r="AC381" s="471" t="s">
        <v>624</v>
      </c>
      <c r="AG381" s="64"/>
      <c r="AJ381" s="68"/>
      <c r="AK381" s="68">
        <v>0</v>
      </c>
      <c r="BB381" s="472" t="s">
        <v>1</v>
      </c>
      <c r="BM381" s="64">
        <f t="shared" si="61"/>
        <v>0</v>
      </c>
      <c r="BN381" s="64">
        <f t="shared" si="62"/>
        <v>0</v>
      </c>
      <c r="BO381" s="64">
        <f t="shared" si="63"/>
        <v>0</v>
      </c>
      <c r="BP381" s="64">
        <f t="shared" si="64"/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4301031305</v>
      </c>
      <c r="D382" s="665">
        <v>4607091389845</v>
      </c>
      <c r="E382" s="666"/>
      <c r="F382" s="650">
        <v>0.35</v>
      </c>
      <c r="G382" s="32">
        <v>6</v>
      </c>
      <c r="H382" s="650">
        <v>2.1</v>
      </c>
      <c r="I382" s="650">
        <v>2.2000000000000002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4"/>
      <c r="V382" s="34"/>
      <c r="W382" s="35" t="s">
        <v>67</v>
      </c>
      <c r="X382" s="651">
        <v>0</v>
      </c>
      <c r="Y382" s="652">
        <f t="shared" si="60"/>
        <v>0</v>
      </c>
      <c r="Z382" s="36" t="str">
        <f>IFERROR(IF(Y382=0,"",ROUNDUP(Y382/H382,0)*0.00502),"")</f>
        <v/>
      </c>
      <c r="AA382" s="56"/>
      <c r="AB382" s="57"/>
      <c r="AC382" s="473" t="s">
        <v>632</v>
      </c>
      <c r="AG382" s="64"/>
      <c r="AJ382" s="68"/>
      <c r="AK382" s="68">
        <v>0</v>
      </c>
      <c r="BB382" s="474" t="s">
        <v>1</v>
      </c>
      <c r="BM382" s="64">
        <f t="shared" si="61"/>
        <v>0</v>
      </c>
      <c r="BN382" s="64">
        <f t="shared" si="62"/>
        <v>0</v>
      </c>
      <c r="BO382" s="64">
        <f t="shared" si="63"/>
        <v>0</v>
      </c>
      <c r="BP382" s="64">
        <f t="shared" si="64"/>
        <v>0</v>
      </c>
    </row>
    <row r="383" spans="1:68" ht="27" hidden="1" customHeight="1" x14ac:dyDescent="0.25">
      <c r="A383" s="54" t="s">
        <v>633</v>
      </c>
      <c r="B383" s="54" t="s">
        <v>634</v>
      </c>
      <c r="C383" s="31">
        <v>4301031460</v>
      </c>
      <c r="D383" s="665">
        <v>4680115887442</v>
      </c>
      <c r="E383" s="666"/>
      <c r="F383" s="650">
        <v>0.73</v>
      </c>
      <c r="G383" s="32">
        <v>6</v>
      </c>
      <c r="H383" s="650">
        <v>4.38</v>
      </c>
      <c r="I383" s="650">
        <v>4.63</v>
      </c>
      <c r="J383" s="32">
        <v>132</v>
      </c>
      <c r="K383" s="32" t="s">
        <v>123</v>
      </c>
      <c r="L383" s="32"/>
      <c r="M383" s="33" t="s">
        <v>66</v>
      </c>
      <c r="N383" s="33"/>
      <c r="O383" s="32">
        <v>45</v>
      </c>
      <c r="P383" s="10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4"/>
      <c r="V383" s="34"/>
      <c r="W383" s="35" t="s">
        <v>67</v>
      </c>
      <c r="X383" s="651">
        <v>0</v>
      </c>
      <c r="Y383" s="652">
        <f t="shared" si="60"/>
        <v>0</v>
      </c>
      <c r="Z383" s="36" t="str">
        <f>IFERROR(IF(Y383=0,"",ROUNDUP(Y383/H383,0)*0.00902),"")</f>
        <v/>
      </c>
      <c r="AA383" s="56"/>
      <c r="AB383" s="57"/>
      <c r="AC383" s="475" t="s">
        <v>627</v>
      </c>
      <c r="AG383" s="64"/>
      <c r="AJ383" s="68"/>
      <c r="AK383" s="68">
        <v>0</v>
      </c>
      <c r="BB383" s="476" t="s">
        <v>1</v>
      </c>
      <c r="BM383" s="64">
        <f t="shared" si="61"/>
        <v>0</v>
      </c>
      <c r="BN383" s="64">
        <f t="shared" si="62"/>
        <v>0</v>
      </c>
      <c r="BO383" s="64">
        <f t="shared" si="63"/>
        <v>0</v>
      </c>
      <c r="BP383" s="64">
        <f t="shared" si="64"/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4301031066</v>
      </c>
      <c r="D384" s="665">
        <v>4607091383836</v>
      </c>
      <c r="E384" s="666"/>
      <c r="F384" s="650">
        <v>0.3</v>
      </c>
      <c r="G384" s="32">
        <v>6</v>
      </c>
      <c r="H384" s="650">
        <v>1.8</v>
      </c>
      <c r="I384" s="650">
        <v>2.028</v>
      </c>
      <c r="J384" s="32">
        <v>182</v>
      </c>
      <c r="K384" s="32" t="s">
        <v>77</v>
      </c>
      <c r="L384" s="32"/>
      <c r="M384" s="33" t="s">
        <v>66</v>
      </c>
      <c r="N384" s="33"/>
      <c r="O384" s="32">
        <v>40</v>
      </c>
      <c r="P384" s="6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4"/>
      <c r="V384" s="34"/>
      <c r="W384" s="35" t="s">
        <v>67</v>
      </c>
      <c r="X384" s="651">
        <v>24</v>
      </c>
      <c r="Y384" s="652">
        <f t="shared" si="60"/>
        <v>25.2</v>
      </c>
      <c r="Z384" s="36">
        <f>IFERROR(IF(Y384=0,"",ROUNDUP(Y384/H384,0)*0.00651),"")</f>
        <v>9.1139999999999999E-2</v>
      </c>
      <c r="AA384" s="56"/>
      <c r="AB384" s="57"/>
      <c r="AC384" s="477" t="s">
        <v>637</v>
      </c>
      <c r="AG384" s="64"/>
      <c r="AJ384" s="68"/>
      <c r="AK384" s="68">
        <v>0</v>
      </c>
      <c r="BB384" s="478" t="s">
        <v>1</v>
      </c>
      <c r="BM384" s="64">
        <f t="shared" si="61"/>
        <v>27.04</v>
      </c>
      <c r="BN384" s="64">
        <f t="shared" si="62"/>
        <v>28.391999999999999</v>
      </c>
      <c r="BO384" s="64">
        <f t="shared" si="63"/>
        <v>7.3260073260073263E-2</v>
      </c>
      <c r="BP384" s="64">
        <f t="shared" si="64"/>
        <v>7.6923076923076927E-2</v>
      </c>
    </row>
    <row r="385" spans="1:68" x14ac:dyDescent="0.2">
      <c r="A385" s="692"/>
      <c r="B385" s="658"/>
      <c r="C385" s="658"/>
      <c r="D385" s="658"/>
      <c r="E385" s="658"/>
      <c r="F385" s="658"/>
      <c r="G385" s="658"/>
      <c r="H385" s="658"/>
      <c r="I385" s="658"/>
      <c r="J385" s="658"/>
      <c r="K385" s="658"/>
      <c r="L385" s="658"/>
      <c r="M385" s="658"/>
      <c r="N385" s="658"/>
      <c r="O385" s="693"/>
      <c r="P385" s="659" t="s">
        <v>72</v>
      </c>
      <c r="Q385" s="660"/>
      <c r="R385" s="660"/>
      <c r="S385" s="660"/>
      <c r="T385" s="660"/>
      <c r="U385" s="660"/>
      <c r="V385" s="661"/>
      <c r="W385" s="37" t="s">
        <v>73</v>
      </c>
      <c r="X385" s="653">
        <f>IFERROR(X378/H378,"0")+IFERROR(X379/H379,"0")+IFERROR(X380/H380,"0")+IFERROR(X381/H381,"0")+IFERROR(X382/H382,"0")+IFERROR(X383/H383,"0")+IFERROR(X384/H384,"0")</f>
        <v>13.333333333333332</v>
      </c>
      <c r="Y385" s="653">
        <f>IFERROR(Y378/H378,"0")+IFERROR(Y379/H379,"0")+IFERROR(Y380/H380,"0")+IFERROR(Y381/H381,"0")+IFERROR(Y382/H382,"0")+IFERROR(Y383/H383,"0")+IFERROR(Y384/H384,"0")</f>
        <v>14</v>
      </c>
      <c r="Z385" s="653">
        <f>IFERROR(IF(Z378="",0,Z378),"0")+IFERROR(IF(Z379="",0,Z379),"0")+IFERROR(IF(Z380="",0,Z380),"0")+IFERROR(IF(Z381="",0,Z381),"0")+IFERROR(IF(Z382="",0,Z382),"0")+IFERROR(IF(Z383="",0,Z383),"0")+IFERROR(IF(Z384="",0,Z384),"0")</f>
        <v>9.1139999999999999E-2</v>
      </c>
      <c r="AA385" s="654"/>
      <c r="AB385" s="654"/>
      <c r="AC385" s="654"/>
    </row>
    <row r="386" spans="1:68" x14ac:dyDescent="0.2">
      <c r="A386" s="658"/>
      <c r="B386" s="658"/>
      <c r="C386" s="658"/>
      <c r="D386" s="658"/>
      <c r="E386" s="658"/>
      <c r="F386" s="658"/>
      <c r="G386" s="658"/>
      <c r="H386" s="658"/>
      <c r="I386" s="658"/>
      <c r="J386" s="658"/>
      <c r="K386" s="658"/>
      <c r="L386" s="658"/>
      <c r="M386" s="658"/>
      <c r="N386" s="658"/>
      <c r="O386" s="693"/>
      <c r="P386" s="659" t="s">
        <v>72</v>
      </c>
      <c r="Q386" s="660"/>
      <c r="R386" s="660"/>
      <c r="S386" s="660"/>
      <c r="T386" s="660"/>
      <c r="U386" s="660"/>
      <c r="V386" s="661"/>
      <c r="W386" s="37" t="s">
        <v>67</v>
      </c>
      <c r="X386" s="653">
        <f>IFERROR(SUM(X378:X384),"0")</f>
        <v>24</v>
      </c>
      <c r="Y386" s="653">
        <f>IFERROR(SUM(Y378:Y384),"0")</f>
        <v>25.2</v>
      </c>
      <c r="Z386" s="37"/>
      <c r="AA386" s="654"/>
      <c r="AB386" s="654"/>
      <c r="AC386" s="654"/>
    </row>
    <row r="387" spans="1:68" ht="14.25" hidden="1" customHeight="1" x14ac:dyDescent="0.25">
      <c r="A387" s="657" t="s">
        <v>74</v>
      </c>
      <c r="B387" s="658"/>
      <c r="C387" s="658"/>
      <c r="D387" s="658"/>
      <c r="E387" s="658"/>
      <c r="F387" s="658"/>
      <c r="G387" s="658"/>
      <c r="H387" s="658"/>
      <c r="I387" s="658"/>
      <c r="J387" s="658"/>
      <c r="K387" s="658"/>
      <c r="L387" s="658"/>
      <c r="M387" s="658"/>
      <c r="N387" s="658"/>
      <c r="O387" s="658"/>
      <c r="P387" s="658"/>
      <c r="Q387" s="658"/>
      <c r="R387" s="658"/>
      <c r="S387" s="658"/>
      <c r="T387" s="658"/>
      <c r="U387" s="658"/>
      <c r="V387" s="658"/>
      <c r="W387" s="658"/>
      <c r="X387" s="658"/>
      <c r="Y387" s="658"/>
      <c r="Z387" s="658"/>
      <c r="AA387" s="647"/>
      <c r="AB387" s="647"/>
      <c r="AC387" s="647"/>
    </row>
    <row r="388" spans="1:68" ht="27" hidden="1" customHeight="1" x14ac:dyDescent="0.25">
      <c r="A388" s="54" t="s">
        <v>638</v>
      </c>
      <c r="B388" s="54" t="s">
        <v>639</v>
      </c>
      <c r="C388" s="31">
        <v>4301051100</v>
      </c>
      <c r="D388" s="665">
        <v>4607091387766</v>
      </c>
      <c r="E388" s="666"/>
      <c r="F388" s="650">
        <v>1.3</v>
      </c>
      <c r="G388" s="32">
        <v>6</v>
      </c>
      <c r="H388" s="650">
        <v>7.8</v>
      </c>
      <c r="I388" s="650">
        <v>8.2880000000000003</v>
      </c>
      <c r="J388" s="32">
        <v>64</v>
      </c>
      <c r="K388" s="32" t="s">
        <v>114</v>
      </c>
      <c r="L388" s="32"/>
      <c r="M388" s="33" t="s">
        <v>78</v>
      </c>
      <c r="N388" s="33"/>
      <c r="O388" s="32">
        <v>40</v>
      </c>
      <c r="P388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4"/>
      <c r="V388" s="34"/>
      <c r="W388" s="35" t="s">
        <v>67</v>
      </c>
      <c r="X388" s="651">
        <v>0</v>
      </c>
      <c r="Y388" s="652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9" t="s">
        <v>640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641</v>
      </c>
      <c r="B389" s="54" t="s">
        <v>642</v>
      </c>
      <c r="C389" s="31">
        <v>4301051818</v>
      </c>
      <c r="D389" s="665">
        <v>4607091387957</v>
      </c>
      <c r="E389" s="666"/>
      <c r="F389" s="650">
        <v>1.3</v>
      </c>
      <c r="G389" s="32">
        <v>6</v>
      </c>
      <c r="H389" s="650">
        <v>7.8</v>
      </c>
      <c r="I389" s="650">
        <v>8.2940000000000005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40</v>
      </c>
      <c r="P389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4"/>
      <c r="V389" s="34"/>
      <c r="W389" s="35" t="s">
        <v>67</v>
      </c>
      <c r="X389" s="651">
        <v>0</v>
      </c>
      <c r="Y389" s="65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81" t="s">
        <v>643</v>
      </c>
      <c r="AG389" s="64"/>
      <c r="AJ389" s="68"/>
      <c r="AK389" s="68">
        <v>0</v>
      </c>
      <c r="BB389" s="48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644</v>
      </c>
      <c r="B390" s="54" t="s">
        <v>645</v>
      </c>
      <c r="C390" s="31">
        <v>4301051819</v>
      </c>
      <c r="D390" s="665">
        <v>4607091387964</v>
      </c>
      <c r="E390" s="666"/>
      <c r="F390" s="650">
        <v>1.35</v>
      </c>
      <c r="G390" s="32">
        <v>6</v>
      </c>
      <c r="H390" s="650">
        <v>8.1</v>
      </c>
      <c r="I390" s="650">
        <v>8.5760000000000005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40</v>
      </c>
      <c r="P390" s="8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4"/>
      <c r="V390" s="34"/>
      <c r="W390" s="35" t="s">
        <v>67</v>
      </c>
      <c r="X390" s="651">
        <v>0</v>
      </c>
      <c r="Y390" s="65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83" t="s">
        <v>646</v>
      </c>
      <c r="AG390" s="64"/>
      <c r="AJ390" s="68"/>
      <c r="AK390" s="68">
        <v>0</v>
      </c>
      <c r="BB390" s="48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647</v>
      </c>
      <c r="B391" s="54" t="s">
        <v>648</v>
      </c>
      <c r="C391" s="31">
        <v>4301051734</v>
      </c>
      <c r="D391" s="665">
        <v>4680115884588</v>
      </c>
      <c r="E391" s="666"/>
      <c r="F391" s="650">
        <v>0.5</v>
      </c>
      <c r="G391" s="32">
        <v>6</v>
      </c>
      <c r="H391" s="650">
        <v>3</v>
      </c>
      <c r="I391" s="650">
        <v>3.246</v>
      </c>
      <c r="J391" s="32">
        <v>182</v>
      </c>
      <c r="K391" s="32" t="s">
        <v>77</v>
      </c>
      <c r="L391" s="32"/>
      <c r="M391" s="33" t="s">
        <v>78</v>
      </c>
      <c r="N391" s="33"/>
      <c r="O391" s="32">
        <v>40</v>
      </c>
      <c r="P391" s="68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4"/>
      <c r="V391" s="34"/>
      <c r="W391" s="35" t="s">
        <v>67</v>
      </c>
      <c r="X391" s="651">
        <v>0</v>
      </c>
      <c r="Y391" s="652">
        <f>IFERROR(IF(X391="",0,CEILING((X391/$H391),1)*$H391),"")</f>
        <v>0</v>
      </c>
      <c r="Z391" s="36" t="str">
        <f>IFERROR(IF(Y391=0,"",ROUNDUP(Y391/H391,0)*0.00651),"")</f>
        <v/>
      </c>
      <c r="AA391" s="56"/>
      <c r="AB391" s="57"/>
      <c r="AC391" s="485" t="s">
        <v>640</v>
      </c>
      <c r="AG391" s="64"/>
      <c r="AJ391" s="68"/>
      <c r="AK391" s="68">
        <v>0</v>
      </c>
      <c r="BB391" s="48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92"/>
      <c r="B392" s="658"/>
      <c r="C392" s="658"/>
      <c r="D392" s="658"/>
      <c r="E392" s="658"/>
      <c r="F392" s="658"/>
      <c r="G392" s="658"/>
      <c r="H392" s="658"/>
      <c r="I392" s="658"/>
      <c r="J392" s="658"/>
      <c r="K392" s="658"/>
      <c r="L392" s="658"/>
      <c r="M392" s="658"/>
      <c r="N392" s="658"/>
      <c r="O392" s="693"/>
      <c r="P392" s="659" t="s">
        <v>72</v>
      </c>
      <c r="Q392" s="660"/>
      <c r="R392" s="660"/>
      <c r="S392" s="660"/>
      <c r="T392" s="660"/>
      <c r="U392" s="660"/>
      <c r="V392" s="661"/>
      <c r="W392" s="37" t="s">
        <v>73</v>
      </c>
      <c r="X392" s="653">
        <f>IFERROR(X388/H388,"0")+IFERROR(X389/H389,"0")+IFERROR(X390/H390,"0")+IFERROR(X391/H391,"0")</f>
        <v>0</v>
      </c>
      <c r="Y392" s="653">
        <f>IFERROR(Y388/H388,"0")+IFERROR(Y389/H389,"0")+IFERROR(Y390/H390,"0")+IFERROR(Y391/H391,"0")</f>
        <v>0</v>
      </c>
      <c r="Z392" s="653">
        <f>IFERROR(IF(Z388="",0,Z388),"0")+IFERROR(IF(Z389="",0,Z389),"0")+IFERROR(IF(Z390="",0,Z390),"0")+IFERROR(IF(Z391="",0,Z391),"0")</f>
        <v>0</v>
      </c>
      <c r="AA392" s="654"/>
      <c r="AB392" s="654"/>
      <c r="AC392" s="654"/>
    </row>
    <row r="393" spans="1:68" hidden="1" x14ac:dyDescent="0.2">
      <c r="A393" s="658"/>
      <c r="B393" s="658"/>
      <c r="C393" s="658"/>
      <c r="D393" s="658"/>
      <c r="E393" s="658"/>
      <c r="F393" s="658"/>
      <c r="G393" s="658"/>
      <c r="H393" s="658"/>
      <c r="I393" s="658"/>
      <c r="J393" s="658"/>
      <c r="K393" s="658"/>
      <c r="L393" s="658"/>
      <c r="M393" s="658"/>
      <c r="N393" s="658"/>
      <c r="O393" s="693"/>
      <c r="P393" s="659" t="s">
        <v>72</v>
      </c>
      <c r="Q393" s="660"/>
      <c r="R393" s="660"/>
      <c r="S393" s="660"/>
      <c r="T393" s="660"/>
      <c r="U393" s="660"/>
      <c r="V393" s="661"/>
      <c r="W393" s="37" t="s">
        <v>67</v>
      </c>
      <c r="X393" s="653">
        <f>IFERROR(SUM(X388:X391),"0")</f>
        <v>0</v>
      </c>
      <c r="Y393" s="653">
        <f>IFERROR(SUM(Y388:Y391),"0")</f>
        <v>0</v>
      </c>
      <c r="Z393" s="37"/>
      <c r="AA393" s="654"/>
      <c r="AB393" s="654"/>
      <c r="AC393" s="654"/>
    </row>
    <row r="394" spans="1:68" ht="14.25" hidden="1" customHeight="1" x14ac:dyDescent="0.25">
      <c r="A394" s="657" t="s">
        <v>162</v>
      </c>
      <c r="B394" s="658"/>
      <c r="C394" s="658"/>
      <c r="D394" s="658"/>
      <c r="E394" s="658"/>
      <c r="F394" s="658"/>
      <c r="G394" s="658"/>
      <c r="H394" s="658"/>
      <c r="I394" s="658"/>
      <c r="J394" s="658"/>
      <c r="K394" s="658"/>
      <c r="L394" s="658"/>
      <c r="M394" s="658"/>
      <c r="N394" s="658"/>
      <c r="O394" s="658"/>
      <c r="P394" s="658"/>
      <c r="Q394" s="658"/>
      <c r="R394" s="658"/>
      <c r="S394" s="658"/>
      <c r="T394" s="658"/>
      <c r="U394" s="658"/>
      <c r="V394" s="658"/>
      <c r="W394" s="658"/>
      <c r="X394" s="658"/>
      <c r="Y394" s="658"/>
      <c r="Z394" s="658"/>
      <c r="AA394" s="647"/>
      <c r="AB394" s="647"/>
      <c r="AC394" s="647"/>
    </row>
    <row r="395" spans="1:68" ht="27" customHeight="1" x14ac:dyDescent="0.25">
      <c r="A395" s="54" t="s">
        <v>649</v>
      </c>
      <c r="B395" s="54" t="s">
        <v>650</v>
      </c>
      <c r="C395" s="31">
        <v>4301060387</v>
      </c>
      <c r="D395" s="665">
        <v>4607091380880</v>
      </c>
      <c r="E395" s="666"/>
      <c r="F395" s="650">
        <v>1.4</v>
      </c>
      <c r="G395" s="32">
        <v>6</v>
      </c>
      <c r="H395" s="650">
        <v>8.4</v>
      </c>
      <c r="I395" s="650">
        <v>8.8940000000000001</v>
      </c>
      <c r="J395" s="32">
        <v>64</v>
      </c>
      <c r="K395" s="32" t="s">
        <v>114</v>
      </c>
      <c r="L395" s="32"/>
      <c r="M395" s="33" t="s">
        <v>78</v>
      </c>
      <c r="N395" s="33"/>
      <c r="O395" s="32">
        <v>30</v>
      </c>
      <c r="P395" s="8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4"/>
      <c r="V395" s="34"/>
      <c r="W395" s="35" t="s">
        <v>67</v>
      </c>
      <c r="X395" s="651">
        <v>318</v>
      </c>
      <c r="Y395" s="652">
        <f>IFERROR(IF(X395="",0,CEILING((X395/$H395),1)*$H395),"")</f>
        <v>319.2</v>
      </c>
      <c r="Z395" s="36">
        <f>IFERROR(IF(Y395=0,"",ROUNDUP(Y395/H395,0)*0.01898),"")</f>
        <v>0.72123999999999999</v>
      </c>
      <c r="AA395" s="56"/>
      <c r="AB395" s="57"/>
      <c r="AC395" s="487" t="s">
        <v>651</v>
      </c>
      <c r="AG395" s="64"/>
      <c r="AJ395" s="68"/>
      <c r="AK395" s="68">
        <v>0</v>
      </c>
      <c r="BB395" s="488" t="s">
        <v>1</v>
      </c>
      <c r="BM395" s="64">
        <f>IFERROR(X395*I395/H395,"0")</f>
        <v>336.70142857142855</v>
      </c>
      <c r="BN395" s="64">
        <f>IFERROR(Y395*I395/H395,"0")</f>
        <v>337.97199999999998</v>
      </c>
      <c r="BO395" s="64">
        <f>IFERROR(1/J395*(X395/H395),"0")</f>
        <v>0.5915178571428571</v>
      </c>
      <c r="BP395" s="64">
        <f>IFERROR(1/J395*(Y395/H395),"0")</f>
        <v>0.59375</v>
      </c>
    </row>
    <row r="396" spans="1:68" ht="27" customHeight="1" x14ac:dyDescent="0.25">
      <c r="A396" s="54" t="s">
        <v>652</v>
      </c>
      <c r="B396" s="54" t="s">
        <v>653</v>
      </c>
      <c r="C396" s="31">
        <v>4301060406</v>
      </c>
      <c r="D396" s="665">
        <v>4607091384482</v>
      </c>
      <c r="E396" s="666"/>
      <c r="F396" s="650">
        <v>1.3</v>
      </c>
      <c r="G396" s="32">
        <v>6</v>
      </c>
      <c r="H396" s="650">
        <v>7.8</v>
      </c>
      <c r="I396" s="650">
        <v>8.2940000000000005</v>
      </c>
      <c r="J396" s="32">
        <v>64</v>
      </c>
      <c r="K396" s="32" t="s">
        <v>114</v>
      </c>
      <c r="L396" s="32"/>
      <c r="M396" s="33" t="s">
        <v>78</v>
      </c>
      <c r="N396" s="33"/>
      <c r="O396" s="32">
        <v>30</v>
      </c>
      <c r="P396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4"/>
      <c r="V396" s="34"/>
      <c r="W396" s="35" t="s">
        <v>67</v>
      </c>
      <c r="X396" s="651">
        <v>200</v>
      </c>
      <c r="Y396" s="652">
        <f>IFERROR(IF(X396="",0,CEILING((X396/$H396),1)*$H396),"")</f>
        <v>202.79999999999998</v>
      </c>
      <c r="Z396" s="36">
        <f>IFERROR(IF(Y396=0,"",ROUNDUP(Y396/H396,0)*0.01898),"")</f>
        <v>0.49348000000000003</v>
      </c>
      <c r="AA396" s="56"/>
      <c r="AB396" s="57"/>
      <c r="AC396" s="489" t="s">
        <v>654</v>
      </c>
      <c r="AG396" s="64"/>
      <c r="AJ396" s="68"/>
      <c r="AK396" s="68">
        <v>0</v>
      </c>
      <c r="BB396" s="490" t="s">
        <v>1</v>
      </c>
      <c r="BM396" s="64">
        <f>IFERROR(X396*I396/H396,"0")</f>
        <v>212.66666666666669</v>
      </c>
      <c r="BN396" s="64">
        <f>IFERROR(Y396*I396/H396,"0")</f>
        <v>215.64399999999998</v>
      </c>
      <c r="BO396" s="64">
        <f>IFERROR(1/J396*(X396/H396),"0")</f>
        <v>0.40064102564102566</v>
      </c>
      <c r="BP396" s="64">
        <f>IFERROR(1/J396*(Y396/H396),"0")</f>
        <v>0.40625</v>
      </c>
    </row>
    <row r="397" spans="1:68" ht="27" hidden="1" customHeight="1" x14ac:dyDescent="0.25">
      <c r="A397" s="54" t="s">
        <v>655</v>
      </c>
      <c r="B397" s="54" t="s">
        <v>656</v>
      </c>
      <c r="C397" s="31">
        <v>4301060484</v>
      </c>
      <c r="D397" s="665">
        <v>4607091380897</v>
      </c>
      <c r="E397" s="666"/>
      <c r="F397" s="650">
        <v>1.4</v>
      </c>
      <c r="G397" s="32">
        <v>6</v>
      </c>
      <c r="H397" s="650">
        <v>8.4</v>
      </c>
      <c r="I397" s="650">
        <v>8.8940000000000001</v>
      </c>
      <c r="J397" s="32">
        <v>64</v>
      </c>
      <c r="K397" s="32" t="s">
        <v>114</v>
      </c>
      <c r="L397" s="32"/>
      <c r="M397" s="33" t="s">
        <v>84</v>
      </c>
      <c r="N397" s="33"/>
      <c r="O397" s="32">
        <v>30</v>
      </c>
      <c r="P397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4"/>
      <c r="V397" s="34"/>
      <c r="W397" s="35" t="s">
        <v>67</v>
      </c>
      <c r="X397" s="651">
        <v>0</v>
      </c>
      <c r="Y397" s="652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91" t="s">
        <v>657</v>
      </c>
      <c r="AG397" s="64"/>
      <c r="AJ397" s="68"/>
      <c r="AK397" s="68">
        <v>0</v>
      </c>
      <c r="BB397" s="49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92"/>
      <c r="B398" s="658"/>
      <c r="C398" s="658"/>
      <c r="D398" s="658"/>
      <c r="E398" s="658"/>
      <c r="F398" s="658"/>
      <c r="G398" s="658"/>
      <c r="H398" s="658"/>
      <c r="I398" s="658"/>
      <c r="J398" s="658"/>
      <c r="K398" s="658"/>
      <c r="L398" s="658"/>
      <c r="M398" s="658"/>
      <c r="N398" s="658"/>
      <c r="O398" s="693"/>
      <c r="P398" s="659" t="s">
        <v>72</v>
      </c>
      <c r="Q398" s="660"/>
      <c r="R398" s="660"/>
      <c r="S398" s="660"/>
      <c r="T398" s="660"/>
      <c r="U398" s="660"/>
      <c r="V398" s="661"/>
      <c r="W398" s="37" t="s">
        <v>73</v>
      </c>
      <c r="X398" s="653">
        <f>IFERROR(X395/H395,"0")+IFERROR(X396/H396,"0")+IFERROR(X397/H397,"0")</f>
        <v>63.498168498168496</v>
      </c>
      <c r="Y398" s="653">
        <f>IFERROR(Y395/H395,"0")+IFERROR(Y396/H396,"0")+IFERROR(Y397/H397,"0")</f>
        <v>64</v>
      </c>
      <c r="Z398" s="653">
        <f>IFERROR(IF(Z395="",0,Z395),"0")+IFERROR(IF(Z396="",0,Z396),"0")+IFERROR(IF(Z397="",0,Z397),"0")</f>
        <v>1.21472</v>
      </c>
      <c r="AA398" s="654"/>
      <c r="AB398" s="654"/>
      <c r="AC398" s="654"/>
    </row>
    <row r="399" spans="1:68" x14ac:dyDescent="0.2">
      <c r="A399" s="658"/>
      <c r="B399" s="658"/>
      <c r="C399" s="658"/>
      <c r="D399" s="658"/>
      <c r="E399" s="658"/>
      <c r="F399" s="658"/>
      <c r="G399" s="658"/>
      <c r="H399" s="658"/>
      <c r="I399" s="658"/>
      <c r="J399" s="658"/>
      <c r="K399" s="658"/>
      <c r="L399" s="658"/>
      <c r="M399" s="658"/>
      <c r="N399" s="658"/>
      <c r="O399" s="693"/>
      <c r="P399" s="659" t="s">
        <v>72</v>
      </c>
      <c r="Q399" s="660"/>
      <c r="R399" s="660"/>
      <c r="S399" s="660"/>
      <c r="T399" s="660"/>
      <c r="U399" s="660"/>
      <c r="V399" s="661"/>
      <c r="W399" s="37" t="s">
        <v>67</v>
      </c>
      <c r="X399" s="653">
        <f>IFERROR(SUM(X395:X397),"0")</f>
        <v>518</v>
      </c>
      <c r="Y399" s="653">
        <f>IFERROR(SUM(Y395:Y397),"0")</f>
        <v>522</v>
      </c>
      <c r="Z399" s="37"/>
      <c r="AA399" s="654"/>
      <c r="AB399" s="654"/>
      <c r="AC399" s="654"/>
    </row>
    <row r="400" spans="1:68" ht="14.25" hidden="1" customHeight="1" x14ac:dyDescent="0.25">
      <c r="A400" s="657" t="s">
        <v>283</v>
      </c>
      <c r="B400" s="658"/>
      <c r="C400" s="658"/>
      <c r="D400" s="658"/>
      <c r="E400" s="658"/>
      <c r="F400" s="658"/>
      <c r="G400" s="658"/>
      <c r="H400" s="658"/>
      <c r="I400" s="658"/>
      <c r="J400" s="658"/>
      <c r="K400" s="658"/>
      <c r="L400" s="658"/>
      <c r="M400" s="658"/>
      <c r="N400" s="658"/>
      <c r="O400" s="658"/>
      <c r="P400" s="658"/>
      <c r="Q400" s="658"/>
      <c r="R400" s="658"/>
      <c r="S400" s="658"/>
      <c r="T400" s="658"/>
      <c r="U400" s="658"/>
      <c r="V400" s="658"/>
      <c r="W400" s="658"/>
      <c r="X400" s="658"/>
      <c r="Y400" s="658"/>
      <c r="Z400" s="658"/>
      <c r="AA400" s="647"/>
      <c r="AB400" s="647"/>
      <c r="AC400" s="647"/>
    </row>
    <row r="401" spans="1:68" ht="27" hidden="1" customHeight="1" x14ac:dyDescent="0.25">
      <c r="A401" s="54" t="s">
        <v>658</v>
      </c>
      <c r="B401" s="54" t="s">
        <v>659</v>
      </c>
      <c r="C401" s="31">
        <v>4301030235</v>
      </c>
      <c r="D401" s="665">
        <v>4607091388381</v>
      </c>
      <c r="E401" s="666"/>
      <c r="F401" s="650">
        <v>0.38</v>
      </c>
      <c r="G401" s="32">
        <v>8</v>
      </c>
      <c r="H401" s="650">
        <v>3.04</v>
      </c>
      <c r="I401" s="650">
        <v>3.31</v>
      </c>
      <c r="J401" s="32">
        <v>132</v>
      </c>
      <c r="K401" s="32" t="s">
        <v>123</v>
      </c>
      <c r="L401" s="32"/>
      <c r="M401" s="33" t="s">
        <v>257</v>
      </c>
      <c r="N401" s="33"/>
      <c r="O401" s="32">
        <v>180</v>
      </c>
      <c r="P401" s="7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4"/>
      <c r="V401" s="34"/>
      <c r="W401" s="35" t="s">
        <v>67</v>
      </c>
      <c r="X401" s="651">
        <v>0</v>
      </c>
      <c r="Y401" s="652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93" t="s">
        <v>660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661</v>
      </c>
      <c r="B402" s="54" t="s">
        <v>662</v>
      </c>
      <c r="C402" s="31">
        <v>4301030232</v>
      </c>
      <c r="D402" s="665">
        <v>4607091388374</v>
      </c>
      <c r="E402" s="666"/>
      <c r="F402" s="650">
        <v>0.38</v>
      </c>
      <c r="G402" s="32">
        <v>8</v>
      </c>
      <c r="H402" s="650">
        <v>3.04</v>
      </c>
      <c r="I402" s="650">
        <v>3.27</v>
      </c>
      <c r="J402" s="32">
        <v>132</v>
      </c>
      <c r="K402" s="32" t="s">
        <v>123</v>
      </c>
      <c r="L402" s="32"/>
      <c r="M402" s="33" t="s">
        <v>257</v>
      </c>
      <c r="N402" s="33"/>
      <c r="O402" s="32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4"/>
      <c r="V402" s="34"/>
      <c r="W402" s="35" t="s">
        <v>67</v>
      </c>
      <c r="X402" s="651">
        <v>0</v>
      </c>
      <c r="Y402" s="652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95" t="s">
        <v>660</v>
      </c>
      <c r="AG402" s="64"/>
      <c r="AJ402" s="68"/>
      <c r="AK402" s="68">
        <v>0</v>
      </c>
      <c r="BB402" s="49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663</v>
      </c>
      <c r="B403" s="54" t="s">
        <v>664</v>
      </c>
      <c r="C403" s="31">
        <v>4301032015</v>
      </c>
      <c r="D403" s="665">
        <v>4607091383102</v>
      </c>
      <c r="E403" s="666"/>
      <c r="F403" s="650">
        <v>0.17</v>
      </c>
      <c r="G403" s="32">
        <v>15</v>
      </c>
      <c r="H403" s="650">
        <v>2.5499999999999998</v>
      </c>
      <c r="I403" s="650">
        <v>2.9550000000000001</v>
      </c>
      <c r="J403" s="32">
        <v>182</v>
      </c>
      <c r="K403" s="32" t="s">
        <v>77</v>
      </c>
      <c r="L403" s="32"/>
      <c r="M403" s="33" t="s">
        <v>257</v>
      </c>
      <c r="N403" s="33"/>
      <c r="O403" s="32">
        <v>180</v>
      </c>
      <c r="P403" s="7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4"/>
      <c r="V403" s="34"/>
      <c r="W403" s="35" t="s">
        <v>67</v>
      </c>
      <c r="X403" s="651">
        <v>0</v>
      </c>
      <c r="Y403" s="65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97" t="s">
        <v>660</v>
      </c>
      <c r="AG403" s="64"/>
      <c r="AJ403" s="68"/>
      <c r="AK403" s="68">
        <v>0</v>
      </c>
      <c r="BB403" s="49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665</v>
      </c>
      <c r="B404" s="54" t="s">
        <v>666</v>
      </c>
      <c r="C404" s="31">
        <v>4301030233</v>
      </c>
      <c r="D404" s="665">
        <v>4607091388404</v>
      </c>
      <c r="E404" s="666"/>
      <c r="F404" s="650">
        <v>0.17</v>
      </c>
      <c r="G404" s="32">
        <v>15</v>
      </c>
      <c r="H404" s="650">
        <v>2.5499999999999998</v>
      </c>
      <c r="I404" s="650">
        <v>2.88</v>
      </c>
      <c r="J404" s="32">
        <v>182</v>
      </c>
      <c r="K404" s="32" t="s">
        <v>77</v>
      </c>
      <c r="L404" s="32"/>
      <c r="M404" s="33" t="s">
        <v>257</v>
      </c>
      <c r="N404" s="33"/>
      <c r="O404" s="32">
        <v>180</v>
      </c>
      <c r="P404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4"/>
      <c r="V404" s="34"/>
      <c r="W404" s="35" t="s">
        <v>67</v>
      </c>
      <c r="X404" s="651">
        <v>0</v>
      </c>
      <c r="Y404" s="652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99" t="s">
        <v>660</v>
      </c>
      <c r="AG404" s="64"/>
      <c r="AJ404" s="68"/>
      <c r="AK404" s="68">
        <v>0</v>
      </c>
      <c r="BB404" s="50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92"/>
      <c r="B405" s="658"/>
      <c r="C405" s="658"/>
      <c r="D405" s="658"/>
      <c r="E405" s="658"/>
      <c r="F405" s="658"/>
      <c r="G405" s="658"/>
      <c r="H405" s="658"/>
      <c r="I405" s="658"/>
      <c r="J405" s="658"/>
      <c r="K405" s="658"/>
      <c r="L405" s="658"/>
      <c r="M405" s="658"/>
      <c r="N405" s="658"/>
      <c r="O405" s="693"/>
      <c r="P405" s="659" t="s">
        <v>72</v>
      </c>
      <c r="Q405" s="660"/>
      <c r="R405" s="660"/>
      <c r="S405" s="660"/>
      <c r="T405" s="660"/>
      <c r="U405" s="660"/>
      <c r="V405" s="661"/>
      <c r="W405" s="37" t="s">
        <v>73</v>
      </c>
      <c r="X405" s="653">
        <f>IFERROR(X401/H401,"0")+IFERROR(X402/H402,"0")+IFERROR(X403/H403,"0")+IFERROR(X404/H404,"0")</f>
        <v>0</v>
      </c>
      <c r="Y405" s="653">
        <f>IFERROR(Y401/H401,"0")+IFERROR(Y402/H402,"0")+IFERROR(Y403/H403,"0")+IFERROR(Y404/H404,"0")</f>
        <v>0</v>
      </c>
      <c r="Z405" s="653">
        <f>IFERROR(IF(Z401="",0,Z401),"0")+IFERROR(IF(Z402="",0,Z402),"0")+IFERROR(IF(Z403="",0,Z403),"0")+IFERROR(IF(Z404="",0,Z404),"0")</f>
        <v>0</v>
      </c>
      <c r="AA405" s="654"/>
      <c r="AB405" s="654"/>
      <c r="AC405" s="654"/>
    </row>
    <row r="406" spans="1:68" hidden="1" x14ac:dyDescent="0.2">
      <c r="A406" s="658"/>
      <c r="B406" s="658"/>
      <c r="C406" s="658"/>
      <c r="D406" s="658"/>
      <c r="E406" s="658"/>
      <c r="F406" s="658"/>
      <c r="G406" s="658"/>
      <c r="H406" s="658"/>
      <c r="I406" s="658"/>
      <c r="J406" s="658"/>
      <c r="K406" s="658"/>
      <c r="L406" s="658"/>
      <c r="M406" s="658"/>
      <c r="N406" s="658"/>
      <c r="O406" s="693"/>
      <c r="P406" s="659" t="s">
        <v>72</v>
      </c>
      <c r="Q406" s="660"/>
      <c r="R406" s="660"/>
      <c r="S406" s="660"/>
      <c r="T406" s="660"/>
      <c r="U406" s="660"/>
      <c r="V406" s="661"/>
      <c r="W406" s="37" t="s">
        <v>67</v>
      </c>
      <c r="X406" s="653">
        <f>IFERROR(SUM(X401:X404),"0")</f>
        <v>0</v>
      </c>
      <c r="Y406" s="653">
        <f>IFERROR(SUM(Y401:Y404),"0")</f>
        <v>0</v>
      </c>
      <c r="Z406" s="37"/>
      <c r="AA406" s="654"/>
      <c r="AB406" s="654"/>
      <c r="AC406" s="654"/>
    </row>
    <row r="407" spans="1:68" ht="14.25" hidden="1" customHeight="1" x14ac:dyDescent="0.25">
      <c r="A407" s="657" t="s">
        <v>667</v>
      </c>
      <c r="B407" s="658"/>
      <c r="C407" s="658"/>
      <c r="D407" s="658"/>
      <c r="E407" s="658"/>
      <c r="F407" s="658"/>
      <c r="G407" s="658"/>
      <c r="H407" s="658"/>
      <c r="I407" s="658"/>
      <c r="J407" s="658"/>
      <c r="K407" s="658"/>
      <c r="L407" s="658"/>
      <c r="M407" s="658"/>
      <c r="N407" s="658"/>
      <c r="O407" s="658"/>
      <c r="P407" s="658"/>
      <c r="Q407" s="658"/>
      <c r="R407" s="658"/>
      <c r="S407" s="658"/>
      <c r="T407" s="658"/>
      <c r="U407" s="658"/>
      <c r="V407" s="658"/>
      <c r="W407" s="658"/>
      <c r="X407" s="658"/>
      <c r="Y407" s="658"/>
      <c r="Z407" s="658"/>
      <c r="AA407" s="647"/>
      <c r="AB407" s="647"/>
      <c r="AC407" s="647"/>
    </row>
    <row r="408" spans="1:68" ht="16.5" customHeight="1" x14ac:dyDescent="0.25">
      <c r="A408" s="54" t="s">
        <v>668</v>
      </c>
      <c r="B408" s="54" t="s">
        <v>669</v>
      </c>
      <c r="C408" s="31">
        <v>4301180007</v>
      </c>
      <c r="D408" s="665">
        <v>4680115881808</v>
      </c>
      <c r="E408" s="666"/>
      <c r="F408" s="650">
        <v>0.1</v>
      </c>
      <c r="G408" s="32">
        <v>20</v>
      </c>
      <c r="H408" s="650">
        <v>2</v>
      </c>
      <c r="I408" s="650">
        <v>2.2400000000000002</v>
      </c>
      <c r="J408" s="32">
        <v>238</v>
      </c>
      <c r="K408" s="32" t="s">
        <v>77</v>
      </c>
      <c r="L408" s="32"/>
      <c r="M408" s="33" t="s">
        <v>670</v>
      </c>
      <c r="N408" s="33"/>
      <c r="O408" s="32">
        <v>731</v>
      </c>
      <c r="P408" s="9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4"/>
      <c r="V408" s="34"/>
      <c r="W408" s="35" t="s">
        <v>67</v>
      </c>
      <c r="X408" s="651">
        <v>100</v>
      </c>
      <c r="Y408" s="652">
        <f>IFERROR(IF(X408="",0,CEILING((X408/$H408),1)*$H408),"")</f>
        <v>100</v>
      </c>
      <c r="Z408" s="36">
        <f>IFERROR(IF(Y408=0,"",ROUNDUP(Y408/H408,0)*0.00474),"")</f>
        <v>0.23700000000000002</v>
      </c>
      <c r="AA408" s="56"/>
      <c r="AB408" s="57"/>
      <c r="AC408" s="501" t="s">
        <v>671</v>
      </c>
      <c r="AG408" s="64"/>
      <c r="AJ408" s="68"/>
      <c r="AK408" s="68">
        <v>0</v>
      </c>
      <c r="BB408" s="502" t="s">
        <v>1</v>
      </c>
      <c r="BM408" s="64">
        <f>IFERROR(X408*I408/H408,"0")</f>
        <v>112.00000000000001</v>
      </c>
      <c r="BN408" s="64">
        <f>IFERROR(Y408*I408/H408,"0")</f>
        <v>112.00000000000001</v>
      </c>
      <c r="BO408" s="64">
        <f>IFERROR(1/J408*(X408/H408),"0")</f>
        <v>0.21008403361344538</v>
      </c>
      <c r="BP408" s="64">
        <f>IFERROR(1/J408*(Y408/H408),"0")</f>
        <v>0.21008403361344538</v>
      </c>
    </row>
    <row r="409" spans="1:68" ht="27" customHeight="1" x14ac:dyDescent="0.25">
      <c r="A409" s="54" t="s">
        <v>672</v>
      </c>
      <c r="B409" s="54" t="s">
        <v>673</v>
      </c>
      <c r="C409" s="31">
        <v>4301180006</v>
      </c>
      <c r="D409" s="665">
        <v>4680115881822</v>
      </c>
      <c r="E409" s="666"/>
      <c r="F409" s="650">
        <v>0.1</v>
      </c>
      <c r="G409" s="32">
        <v>20</v>
      </c>
      <c r="H409" s="650">
        <v>2</v>
      </c>
      <c r="I409" s="650">
        <v>2.2400000000000002</v>
      </c>
      <c r="J409" s="32">
        <v>238</v>
      </c>
      <c r="K409" s="32" t="s">
        <v>77</v>
      </c>
      <c r="L409" s="32"/>
      <c r="M409" s="33" t="s">
        <v>670</v>
      </c>
      <c r="N409" s="33"/>
      <c r="O409" s="32">
        <v>731</v>
      </c>
      <c r="P409" s="10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4"/>
      <c r="V409" s="34"/>
      <c r="W409" s="35" t="s">
        <v>67</v>
      </c>
      <c r="X409" s="651">
        <v>10</v>
      </c>
      <c r="Y409" s="652">
        <f>IFERROR(IF(X409="",0,CEILING((X409/$H409),1)*$H409),"")</f>
        <v>10</v>
      </c>
      <c r="Z409" s="36">
        <f>IFERROR(IF(Y409=0,"",ROUNDUP(Y409/H409,0)*0.00474),"")</f>
        <v>2.3700000000000002E-2</v>
      </c>
      <c r="AA409" s="56"/>
      <c r="AB409" s="57"/>
      <c r="AC409" s="503" t="s">
        <v>671</v>
      </c>
      <c r="AG409" s="64"/>
      <c r="AJ409" s="68"/>
      <c r="AK409" s="68">
        <v>0</v>
      </c>
      <c r="BB409" s="504" t="s">
        <v>1</v>
      </c>
      <c r="BM409" s="64">
        <f>IFERROR(X409*I409/H409,"0")</f>
        <v>11.200000000000001</v>
      </c>
      <c r="BN409" s="64">
        <f>IFERROR(Y409*I409/H409,"0")</f>
        <v>11.200000000000001</v>
      </c>
      <c r="BO409" s="64">
        <f>IFERROR(1/J409*(X409/H409),"0")</f>
        <v>2.1008403361344536E-2</v>
      </c>
      <c r="BP409" s="64">
        <f>IFERROR(1/J409*(Y409/H409),"0")</f>
        <v>2.1008403361344536E-2</v>
      </c>
    </row>
    <row r="410" spans="1:68" ht="27" customHeight="1" x14ac:dyDescent="0.25">
      <c r="A410" s="54" t="s">
        <v>674</v>
      </c>
      <c r="B410" s="54" t="s">
        <v>675</v>
      </c>
      <c r="C410" s="31">
        <v>4301180001</v>
      </c>
      <c r="D410" s="665">
        <v>4680115880016</v>
      </c>
      <c r="E410" s="666"/>
      <c r="F410" s="650">
        <v>0.1</v>
      </c>
      <c r="G410" s="32">
        <v>20</v>
      </c>
      <c r="H410" s="650">
        <v>2</v>
      </c>
      <c r="I410" s="650">
        <v>2.2400000000000002</v>
      </c>
      <c r="J410" s="32">
        <v>238</v>
      </c>
      <c r="K410" s="32" t="s">
        <v>77</v>
      </c>
      <c r="L410" s="32"/>
      <c r="M410" s="33" t="s">
        <v>670</v>
      </c>
      <c r="N410" s="33"/>
      <c r="O410" s="32">
        <v>731</v>
      </c>
      <c r="P410" s="10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4"/>
      <c r="V410" s="34"/>
      <c r="W410" s="35" t="s">
        <v>67</v>
      </c>
      <c r="X410" s="651">
        <v>40</v>
      </c>
      <c r="Y410" s="652">
        <f>IFERROR(IF(X410="",0,CEILING((X410/$H410),1)*$H410),"")</f>
        <v>40</v>
      </c>
      <c r="Z410" s="36">
        <f>IFERROR(IF(Y410=0,"",ROUNDUP(Y410/H410,0)*0.00474),"")</f>
        <v>9.4800000000000009E-2</v>
      </c>
      <c r="AA410" s="56"/>
      <c r="AB410" s="57"/>
      <c r="AC410" s="505" t="s">
        <v>671</v>
      </c>
      <c r="AG410" s="64"/>
      <c r="AJ410" s="68"/>
      <c r="AK410" s="68">
        <v>0</v>
      </c>
      <c r="BB410" s="506" t="s">
        <v>1</v>
      </c>
      <c r="BM410" s="64">
        <f>IFERROR(X410*I410/H410,"0")</f>
        <v>44.800000000000004</v>
      </c>
      <c r="BN410" s="64">
        <f>IFERROR(Y410*I410/H410,"0")</f>
        <v>44.800000000000004</v>
      </c>
      <c r="BO410" s="64">
        <f>IFERROR(1/J410*(X410/H410),"0")</f>
        <v>8.4033613445378144E-2</v>
      </c>
      <c r="BP410" s="64">
        <f>IFERROR(1/J410*(Y410/H410),"0")</f>
        <v>8.4033613445378144E-2</v>
      </c>
    </row>
    <row r="411" spans="1:68" x14ac:dyDescent="0.2">
      <c r="A411" s="692"/>
      <c r="B411" s="658"/>
      <c r="C411" s="658"/>
      <c r="D411" s="658"/>
      <c r="E411" s="658"/>
      <c r="F411" s="658"/>
      <c r="G411" s="658"/>
      <c r="H411" s="658"/>
      <c r="I411" s="658"/>
      <c r="J411" s="658"/>
      <c r="K411" s="658"/>
      <c r="L411" s="658"/>
      <c r="M411" s="658"/>
      <c r="N411" s="658"/>
      <c r="O411" s="693"/>
      <c r="P411" s="659" t="s">
        <v>72</v>
      </c>
      <c r="Q411" s="660"/>
      <c r="R411" s="660"/>
      <c r="S411" s="660"/>
      <c r="T411" s="660"/>
      <c r="U411" s="660"/>
      <c r="V411" s="661"/>
      <c r="W411" s="37" t="s">
        <v>73</v>
      </c>
      <c r="X411" s="653">
        <f>IFERROR(X408/H408,"0")+IFERROR(X409/H409,"0")+IFERROR(X410/H410,"0")</f>
        <v>75</v>
      </c>
      <c r="Y411" s="653">
        <f>IFERROR(Y408/H408,"0")+IFERROR(Y409/H409,"0")+IFERROR(Y410/H410,"0")</f>
        <v>75</v>
      </c>
      <c r="Z411" s="653">
        <f>IFERROR(IF(Z408="",0,Z408),"0")+IFERROR(IF(Z409="",0,Z409),"0")+IFERROR(IF(Z410="",0,Z410),"0")</f>
        <v>0.35550000000000004</v>
      </c>
      <c r="AA411" s="654"/>
      <c r="AB411" s="654"/>
      <c r="AC411" s="654"/>
    </row>
    <row r="412" spans="1:68" x14ac:dyDescent="0.2">
      <c r="A412" s="658"/>
      <c r="B412" s="658"/>
      <c r="C412" s="658"/>
      <c r="D412" s="658"/>
      <c r="E412" s="658"/>
      <c r="F412" s="658"/>
      <c r="G412" s="658"/>
      <c r="H412" s="658"/>
      <c r="I412" s="658"/>
      <c r="J412" s="658"/>
      <c r="K412" s="658"/>
      <c r="L412" s="658"/>
      <c r="M412" s="658"/>
      <c r="N412" s="658"/>
      <c r="O412" s="693"/>
      <c r="P412" s="659" t="s">
        <v>72</v>
      </c>
      <c r="Q412" s="660"/>
      <c r="R412" s="660"/>
      <c r="S412" s="660"/>
      <c r="T412" s="660"/>
      <c r="U412" s="660"/>
      <c r="V412" s="661"/>
      <c r="W412" s="37" t="s">
        <v>67</v>
      </c>
      <c r="X412" s="653">
        <f>IFERROR(SUM(X408:X410),"0")</f>
        <v>150</v>
      </c>
      <c r="Y412" s="653">
        <f>IFERROR(SUM(Y408:Y410),"0")</f>
        <v>150</v>
      </c>
      <c r="Z412" s="37"/>
      <c r="AA412" s="654"/>
      <c r="AB412" s="654"/>
      <c r="AC412" s="654"/>
    </row>
    <row r="413" spans="1:68" ht="14.25" hidden="1" customHeight="1" x14ac:dyDescent="0.25">
      <c r="A413" s="657" t="s">
        <v>676</v>
      </c>
      <c r="B413" s="658"/>
      <c r="C413" s="658"/>
      <c r="D413" s="658"/>
      <c r="E413" s="658"/>
      <c r="F413" s="658"/>
      <c r="G413" s="658"/>
      <c r="H413" s="658"/>
      <c r="I413" s="658"/>
      <c r="J413" s="658"/>
      <c r="K413" s="658"/>
      <c r="L413" s="658"/>
      <c r="M413" s="658"/>
      <c r="N413" s="658"/>
      <c r="O413" s="658"/>
      <c r="P413" s="658"/>
      <c r="Q413" s="658"/>
      <c r="R413" s="658"/>
      <c r="S413" s="658"/>
      <c r="T413" s="658"/>
      <c r="U413" s="658"/>
      <c r="V413" s="658"/>
      <c r="W413" s="658"/>
      <c r="X413" s="658"/>
      <c r="Y413" s="658"/>
      <c r="Z413" s="658"/>
      <c r="AA413" s="647"/>
      <c r="AB413" s="647"/>
      <c r="AC413" s="647"/>
    </row>
    <row r="414" spans="1:68" ht="27" customHeight="1" x14ac:dyDescent="0.25">
      <c r="A414" s="54" t="s">
        <v>677</v>
      </c>
      <c r="B414" s="54" t="s">
        <v>678</v>
      </c>
      <c r="C414" s="31">
        <v>4301220003</v>
      </c>
      <c r="D414" s="665">
        <v>4680115888678</v>
      </c>
      <c r="E414" s="666"/>
      <c r="F414" s="650">
        <v>0.25</v>
      </c>
      <c r="G414" s="32">
        <v>12</v>
      </c>
      <c r="H414" s="650">
        <v>3</v>
      </c>
      <c r="I414" s="650">
        <v>3.22</v>
      </c>
      <c r="J414" s="32">
        <v>224</v>
      </c>
      <c r="K414" s="32" t="s">
        <v>77</v>
      </c>
      <c r="L414" s="32"/>
      <c r="M414" s="33" t="s">
        <v>670</v>
      </c>
      <c r="N414" s="33"/>
      <c r="O414" s="32">
        <v>1096</v>
      </c>
      <c r="P414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4"/>
      <c r="V414" s="34"/>
      <c r="W414" s="35" t="s">
        <v>67</v>
      </c>
      <c r="X414" s="651">
        <v>50</v>
      </c>
      <c r="Y414" s="652">
        <f>IFERROR(IF(X414="",0,CEILING((X414/$H414),1)*$H414),"")</f>
        <v>51</v>
      </c>
      <c r="Z414" s="36">
        <f>IFERROR(IF(Y414=0,"",ROUNDUP(Y414/H414,0)*0.0045),"")</f>
        <v>7.6499999999999999E-2</v>
      </c>
      <c r="AA414" s="56"/>
      <c r="AB414" s="57"/>
      <c r="AC414" s="507" t="s">
        <v>679</v>
      </c>
      <c r="AG414" s="64"/>
      <c r="AJ414" s="68"/>
      <c r="AK414" s="68">
        <v>0</v>
      </c>
      <c r="BB414" s="508" t="s">
        <v>1</v>
      </c>
      <c r="BM414" s="64">
        <f>IFERROR(X414*I414/H414,"0")</f>
        <v>53.666666666666664</v>
      </c>
      <c r="BN414" s="64">
        <f>IFERROR(Y414*I414/H414,"0")</f>
        <v>54.74</v>
      </c>
      <c r="BO414" s="64">
        <f>IFERROR(1/J414*(X414/H414),"0")</f>
        <v>7.4404761904761904E-2</v>
      </c>
      <c r="BP414" s="64">
        <f>IFERROR(1/J414*(Y414/H414),"0")</f>
        <v>7.5892857142857137E-2</v>
      </c>
    </row>
    <row r="415" spans="1:68" ht="27" customHeight="1" x14ac:dyDescent="0.25">
      <c r="A415" s="54" t="s">
        <v>680</v>
      </c>
      <c r="B415" s="54" t="s">
        <v>681</v>
      </c>
      <c r="C415" s="31">
        <v>4301220001</v>
      </c>
      <c r="D415" s="665">
        <v>4680115888654</v>
      </c>
      <c r="E415" s="666"/>
      <c r="F415" s="650">
        <v>0.32500000000000001</v>
      </c>
      <c r="G415" s="32">
        <v>12</v>
      </c>
      <c r="H415" s="650">
        <v>3.9</v>
      </c>
      <c r="I415" s="650">
        <v>4.17</v>
      </c>
      <c r="J415" s="32">
        <v>144</v>
      </c>
      <c r="K415" s="32" t="s">
        <v>123</v>
      </c>
      <c r="L415" s="32"/>
      <c r="M415" s="33" t="s">
        <v>670</v>
      </c>
      <c r="N415" s="33"/>
      <c r="O415" s="32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4"/>
      <c r="V415" s="34"/>
      <c r="W415" s="35" t="s">
        <v>67</v>
      </c>
      <c r="X415" s="651">
        <v>65</v>
      </c>
      <c r="Y415" s="652">
        <f>IFERROR(IF(X415="",0,CEILING((X415/$H415),1)*$H415),"")</f>
        <v>66.3</v>
      </c>
      <c r="Z415" s="36">
        <f>IFERROR(IF(Y415=0,"",ROUNDUP(Y415/H415,0)*0.006),"")</f>
        <v>0.10200000000000001</v>
      </c>
      <c r="AA415" s="56"/>
      <c r="AB415" s="57"/>
      <c r="AC415" s="509" t="s">
        <v>682</v>
      </c>
      <c r="AG415" s="64"/>
      <c r="AJ415" s="68"/>
      <c r="AK415" s="68">
        <v>0</v>
      </c>
      <c r="BB415" s="510" t="s">
        <v>1</v>
      </c>
      <c r="BM415" s="64">
        <f>IFERROR(X415*I415/H415,"0")</f>
        <v>69.5</v>
      </c>
      <c r="BN415" s="64">
        <f>IFERROR(Y415*I415/H415,"0")</f>
        <v>70.89</v>
      </c>
      <c r="BO415" s="64">
        <f>IFERROR(1/J415*(X415/H415),"0")</f>
        <v>0.11574074074074074</v>
      </c>
      <c r="BP415" s="64">
        <f>IFERROR(1/J415*(Y415/H415),"0")</f>
        <v>0.11805555555555555</v>
      </c>
    </row>
    <row r="416" spans="1:68" ht="27" hidden="1" customHeight="1" x14ac:dyDescent="0.25">
      <c r="A416" s="54" t="s">
        <v>683</v>
      </c>
      <c r="B416" s="54" t="s">
        <v>684</v>
      </c>
      <c r="C416" s="31">
        <v>4301220002</v>
      </c>
      <c r="D416" s="665">
        <v>4680115888753</v>
      </c>
      <c r="E416" s="666"/>
      <c r="F416" s="650">
        <v>0.25</v>
      </c>
      <c r="G416" s="32">
        <v>12</v>
      </c>
      <c r="H416" s="650">
        <v>3</v>
      </c>
      <c r="I416" s="650">
        <v>3.22</v>
      </c>
      <c r="J416" s="32">
        <v>224</v>
      </c>
      <c r="K416" s="32" t="s">
        <v>77</v>
      </c>
      <c r="L416" s="32"/>
      <c r="M416" s="33" t="s">
        <v>670</v>
      </c>
      <c r="N416" s="33"/>
      <c r="O416" s="32">
        <v>1096</v>
      </c>
      <c r="P416" s="79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4"/>
      <c r="V416" s="34"/>
      <c r="W416" s="35" t="s">
        <v>67</v>
      </c>
      <c r="X416" s="651">
        <v>0</v>
      </c>
      <c r="Y416" s="652">
        <f>IFERROR(IF(X416="",0,CEILING((X416/$H416),1)*$H416),"")</f>
        <v>0</v>
      </c>
      <c r="Z416" s="36" t="str">
        <f>IFERROR(IF(Y416=0,"",ROUNDUP(Y416/H416,0)*0.0045),"")</f>
        <v/>
      </c>
      <c r="AA416" s="56"/>
      <c r="AB416" s="57"/>
      <c r="AC416" s="511" t="s">
        <v>679</v>
      </c>
      <c r="AG416" s="64"/>
      <c r="AJ416" s="68"/>
      <c r="AK416" s="68">
        <v>0</v>
      </c>
      <c r="BB416" s="51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92"/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93"/>
      <c r="P417" s="659" t="s">
        <v>72</v>
      </c>
      <c r="Q417" s="660"/>
      <c r="R417" s="660"/>
      <c r="S417" s="660"/>
      <c r="T417" s="660"/>
      <c r="U417" s="660"/>
      <c r="V417" s="661"/>
      <c r="W417" s="37" t="s">
        <v>73</v>
      </c>
      <c r="X417" s="653">
        <f>IFERROR(X414/H414,"0")+IFERROR(X415/H415,"0")+IFERROR(X416/H416,"0")</f>
        <v>33.333333333333336</v>
      </c>
      <c r="Y417" s="653">
        <f>IFERROR(Y414/H414,"0")+IFERROR(Y415/H415,"0")+IFERROR(Y416/H416,"0")</f>
        <v>34</v>
      </c>
      <c r="Z417" s="653">
        <f>IFERROR(IF(Z414="",0,Z414),"0")+IFERROR(IF(Z415="",0,Z415),"0")+IFERROR(IF(Z416="",0,Z416),"0")</f>
        <v>0.17849999999999999</v>
      </c>
      <c r="AA417" s="654"/>
      <c r="AB417" s="654"/>
      <c r="AC417" s="654"/>
    </row>
    <row r="418" spans="1:68" x14ac:dyDescent="0.2">
      <c r="A418" s="658"/>
      <c r="B418" s="658"/>
      <c r="C418" s="658"/>
      <c r="D418" s="658"/>
      <c r="E418" s="658"/>
      <c r="F418" s="658"/>
      <c r="G418" s="658"/>
      <c r="H418" s="658"/>
      <c r="I418" s="658"/>
      <c r="J418" s="658"/>
      <c r="K418" s="658"/>
      <c r="L418" s="658"/>
      <c r="M418" s="658"/>
      <c r="N418" s="658"/>
      <c r="O418" s="693"/>
      <c r="P418" s="659" t="s">
        <v>72</v>
      </c>
      <c r="Q418" s="660"/>
      <c r="R418" s="660"/>
      <c r="S418" s="660"/>
      <c r="T418" s="660"/>
      <c r="U418" s="660"/>
      <c r="V418" s="661"/>
      <c r="W418" s="37" t="s">
        <v>67</v>
      </c>
      <c r="X418" s="653">
        <f>IFERROR(SUM(X414:X416),"0")</f>
        <v>115</v>
      </c>
      <c r="Y418" s="653">
        <f>IFERROR(SUM(Y414:Y416),"0")</f>
        <v>117.3</v>
      </c>
      <c r="Z418" s="37"/>
      <c r="AA418" s="654"/>
      <c r="AB418" s="654"/>
      <c r="AC418" s="654"/>
    </row>
    <row r="419" spans="1:68" ht="16.5" hidden="1" customHeight="1" x14ac:dyDescent="0.25">
      <c r="A419" s="662" t="s">
        <v>685</v>
      </c>
      <c r="B419" s="658"/>
      <c r="C419" s="658"/>
      <c r="D419" s="658"/>
      <c r="E419" s="658"/>
      <c r="F419" s="658"/>
      <c r="G419" s="658"/>
      <c r="H419" s="658"/>
      <c r="I419" s="658"/>
      <c r="J419" s="658"/>
      <c r="K419" s="658"/>
      <c r="L419" s="658"/>
      <c r="M419" s="658"/>
      <c r="N419" s="658"/>
      <c r="O419" s="658"/>
      <c r="P419" s="658"/>
      <c r="Q419" s="658"/>
      <c r="R419" s="658"/>
      <c r="S419" s="658"/>
      <c r="T419" s="658"/>
      <c r="U419" s="658"/>
      <c r="V419" s="658"/>
      <c r="W419" s="658"/>
      <c r="X419" s="658"/>
      <c r="Y419" s="658"/>
      <c r="Z419" s="658"/>
      <c r="AA419" s="646"/>
      <c r="AB419" s="646"/>
      <c r="AC419" s="646"/>
    </row>
    <row r="420" spans="1:68" ht="14.25" hidden="1" customHeight="1" x14ac:dyDescent="0.25">
      <c r="A420" s="657" t="s">
        <v>74</v>
      </c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8"/>
      <c r="P420" s="658"/>
      <c r="Q420" s="658"/>
      <c r="R420" s="658"/>
      <c r="S420" s="658"/>
      <c r="T420" s="658"/>
      <c r="U420" s="658"/>
      <c r="V420" s="658"/>
      <c r="W420" s="658"/>
      <c r="X420" s="658"/>
      <c r="Y420" s="658"/>
      <c r="Z420" s="658"/>
      <c r="AA420" s="647"/>
      <c r="AB420" s="647"/>
      <c r="AC420" s="647"/>
    </row>
    <row r="421" spans="1:68" ht="16.5" hidden="1" customHeight="1" x14ac:dyDescent="0.25">
      <c r="A421" s="54" t="s">
        <v>686</v>
      </c>
      <c r="B421" s="54" t="s">
        <v>687</v>
      </c>
      <c r="C421" s="31">
        <v>4301052235</v>
      </c>
      <c r="D421" s="665">
        <v>4680115889415</v>
      </c>
      <c r="E421" s="666"/>
      <c r="F421" s="650">
        <v>1.3</v>
      </c>
      <c r="G421" s="32">
        <v>6</v>
      </c>
      <c r="H421" s="650">
        <v>7.8</v>
      </c>
      <c r="I421" s="650">
        <v>8.2100000000000009</v>
      </c>
      <c r="J421" s="32">
        <v>64</v>
      </c>
      <c r="K421" s="32" t="s">
        <v>114</v>
      </c>
      <c r="L421" s="32"/>
      <c r="M421" s="33" t="s">
        <v>78</v>
      </c>
      <c r="N421" s="33"/>
      <c r="O421" s="32">
        <v>40</v>
      </c>
      <c r="P421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4"/>
      <c r="V421" s="34"/>
      <c r="W421" s="35" t="s">
        <v>67</v>
      </c>
      <c r="X421" s="651">
        <v>0</v>
      </c>
      <c r="Y421" s="65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13" t="s">
        <v>688</v>
      </c>
      <c r="AG421" s="64"/>
      <c r="AJ421" s="68"/>
      <c r="AK421" s="68">
        <v>0</v>
      </c>
      <c r="BB421" s="514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689</v>
      </c>
      <c r="B422" s="54" t="s">
        <v>690</v>
      </c>
      <c r="C422" s="31">
        <v>4301052236</v>
      </c>
      <c r="D422" s="665">
        <v>4680115889422</v>
      </c>
      <c r="E422" s="666"/>
      <c r="F422" s="650">
        <v>1.3</v>
      </c>
      <c r="G422" s="32">
        <v>6</v>
      </c>
      <c r="H422" s="650">
        <v>7.8</v>
      </c>
      <c r="I422" s="650">
        <v>8.2100000000000009</v>
      </c>
      <c r="J422" s="32">
        <v>64</v>
      </c>
      <c r="K422" s="32" t="s">
        <v>114</v>
      </c>
      <c r="L422" s="32"/>
      <c r="M422" s="33" t="s">
        <v>78</v>
      </c>
      <c r="N422" s="33"/>
      <c r="O422" s="32">
        <v>40</v>
      </c>
      <c r="P422" s="81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4"/>
      <c r="V422" s="34"/>
      <c r="W422" s="35" t="s">
        <v>67</v>
      </c>
      <c r="X422" s="651">
        <v>0</v>
      </c>
      <c r="Y422" s="65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15" t="s">
        <v>691</v>
      </c>
      <c r="AG422" s="64"/>
      <c r="AJ422" s="68"/>
      <c r="AK422" s="68">
        <v>0</v>
      </c>
      <c r="BB422" s="51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692"/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93"/>
      <c r="P423" s="659" t="s">
        <v>72</v>
      </c>
      <c r="Q423" s="660"/>
      <c r="R423" s="660"/>
      <c r="S423" s="660"/>
      <c r="T423" s="660"/>
      <c r="U423" s="660"/>
      <c r="V423" s="661"/>
      <c r="W423" s="37" t="s">
        <v>73</v>
      </c>
      <c r="X423" s="653">
        <f>IFERROR(X421/H421,"0")+IFERROR(X422/H422,"0")</f>
        <v>0</v>
      </c>
      <c r="Y423" s="653">
        <f>IFERROR(Y421/H421,"0")+IFERROR(Y422/H422,"0")</f>
        <v>0</v>
      </c>
      <c r="Z423" s="653">
        <f>IFERROR(IF(Z421="",0,Z421),"0")+IFERROR(IF(Z422="",0,Z422),"0")</f>
        <v>0</v>
      </c>
      <c r="AA423" s="654"/>
      <c r="AB423" s="654"/>
      <c r="AC423" s="654"/>
    </row>
    <row r="424" spans="1:68" hidden="1" x14ac:dyDescent="0.2">
      <c r="A424" s="658"/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93"/>
      <c r="P424" s="659" t="s">
        <v>72</v>
      </c>
      <c r="Q424" s="660"/>
      <c r="R424" s="660"/>
      <c r="S424" s="660"/>
      <c r="T424" s="660"/>
      <c r="U424" s="660"/>
      <c r="V424" s="661"/>
      <c r="W424" s="37" t="s">
        <v>67</v>
      </c>
      <c r="X424" s="653">
        <f>IFERROR(SUM(X421:X422),"0")</f>
        <v>0</v>
      </c>
      <c r="Y424" s="653">
        <f>IFERROR(SUM(Y421:Y422),"0")</f>
        <v>0</v>
      </c>
      <c r="Z424" s="37"/>
      <c r="AA424" s="654"/>
      <c r="AB424" s="654"/>
      <c r="AC424" s="654"/>
    </row>
    <row r="425" spans="1:68" ht="16.5" hidden="1" customHeight="1" x14ac:dyDescent="0.25">
      <c r="A425" s="662" t="s">
        <v>692</v>
      </c>
      <c r="B425" s="658"/>
      <c r="C425" s="658"/>
      <c r="D425" s="658"/>
      <c r="E425" s="658"/>
      <c r="F425" s="658"/>
      <c r="G425" s="658"/>
      <c r="H425" s="658"/>
      <c r="I425" s="658"/>
      <c r="J425" s="658"/>
      <c r="K425" s="658"/>
      <c r="L425" s="658"/>
      <c r="M425" s="658"/>
      <c r="N425" s="658"/>
      <c r="O425" s="658"/>
      <c r="P425" s="658"/>
      <c r="Q425" s="658"/>
      <c r="R425" s="658"/>
      <c r="S425" s="658"/>
      <c r="T425" s="658"/>
      <c r="U425" s="658"/>
      <c r="V425" s="658"/>
      <c r="W425" s="658"/>
      <c r="X425" s="658"/>
      <c r="Y425" s="658"/>
      <c r="Z425" s="658"/>
      <c r="AA425" s="646"/>
      <c r="AB425" s="646"/>
      <c r="AC425" s="646"/>
    </row>
    <row r="426" spans="1:68" ht="14.25" hidden="1" customHeight="1" x14ac:dyDescent="0.25">
      <c r="A426" s="657" t="s">
        <v>74</v>
      </c>
      <c r="B426" s="658"/>
      <c r="C426" s="658"/>
      <c r="D426" s="658"/>
      <c r="E426" s="658"/>
      <c r="F426" s="658"/>
      <c r="G426" s="658"/>
      <c r="H426" s="658"/>
      <c r="I426" s="658"/>
      <c r="J426" s="658"/>
      <c r="K426" s="658"/>
      <c r="L426" s="658"/>
      <c r="M426" s="658"/>
      <c r="N426" s="658"/>
      <c r="O426" s="658"/>
      <c r="P426" s="658"/>
      <c r="Q426" s="658"/>
      <c r="R426" s="658"/>
      <c r="S426" s="658"/>
      <c r="T426" s="658"/>
      <c r="U426" s="658"/>
      <c r="V426" s="658"/>
      <c r="W426" s="658"/>
      <c r="X426" s="658"/>
      <c r="Y426" s="658"/>
      <c r="Z426" s="658"/>
      <c r="AA426" s="647"/>
      <c r="AB426" s="647"/>
      <c r="AC426" s="647"/>
    </row>
    <row r="427" spans="1:68" ht="27" hidden="1" customHeight="1" x14ac:dyDescent="0.25">
      <c r="A427" s="54" t="s">
        <v>693</v>
      </c>
      <c r="B427" s="54" t="s">
        <v>694</v>
      </c>
      <c r="C427" s="31">
        <v>4301051489</v>
      </c>
      <c r="D427" s="665">
        <v>4607091387919</v>
      </c>
      <c r="E427" s="666"/>
      <c r="F427" s="650">
        <v>1.35</v>
      </c>
      <c r="G427" s="32">
        <v>6</v>
      </c>
      <c r="H427" s="650">
        <v>8.1</v>
      </c>
      <c r="I427" s="650">
        <v>8.5939999999999994</v>
      </c>
      <c r="J427" s="32">
        <v>64</v>
      </c>
      <c r="K427" s="32" t="s">
        <v>114</v>
      </c>
      <c r="L427" s="32"/>
      <c r="M427" s="33" t="s">
        <v>84</v>
      </c>
      <c r="N427" s="33"/>
      <c r="O427" s="32">
        <v>45</v>
      </c>
      <c r="P427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4"/>
      <c r="V427" s="34"/>
      <c r="W427" s="35" t="s">
        <v>67</v>
      </c>
      <c r="X427" s="651">
        <v>0</v>
      </c>
      <c r="Y427" s="652">
        <f>IFERROR(IF(X427="",0,CEILING((X427/$H427),1)*$H427),"")</f>
        <v>0</v>
      </c>
      <c r="Z427" s="36" t="str">
        <f>IFERROR(IF(Y427=0,"",ROUNDUP(Y427/H427,0)*0.01898),"")</f>
        <v/>
      </c>
      <c r="AA427" s="56"/>
      <c r="AB427" s="57"/>
      <c r="AC427" s="517" t="s">
        <v>695</v>
      </c>
      <c r="AG427" s="64"/>
      <c r="AJ427" s="68"/>
      <c r="AK427" s="68">
        <v>0</v>
      </c>
      <c r="BB427" s="518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4301051461</v>
      </c>
      <c r="D428" s="665">
        <v>4680115883604</v>
      </c>
      <c r="E428" s="666"/>
      <c r="F428" s="650">
        <v>0.35</v>
      </c>
      <c r="G428" s="32">
        <v>6</v>
      </c>
      <c r="H428" s="650">
        <v>2.1</v>
      </c>
      <c r="I428" s="650">
        <v>2.3519999999999999</v>
      </c>
      <c r="J428" s="32">
        <v>182</v>
      </c>
      <c r="K428" s="32" t="s">
        <v>77</v>
      </c>
      <c r="L428" s="32"/>
      <c r="M428" s="33" t="s">
        <v>78</v>
      </c>
      <c r="N428" s="33"/>
      <c r="O428" s="32">
        <v>45</v>
      </c>
      <c r="P428" s="7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4"/>
      <c r="V428" s="34"/>
      <c r="W428" s="35" t="s">
        <v>67</v>
      </c>
      <c r="X428" s="651">
        <v>7</v>
      </c>
      <c r="Y428" s="652">
        <f>IFERROR(IF(X428="",0,CEILING((X428/$H428),1)*$H428),"")</f>
        <v>8.4</v>
      </c>
      <c r="Z428" s="36">
        <f>IFERROR(IF(Y428=0,"",ROUNDUP(Y428/H428,0)*0.00651),"")</f>
        <v>2.6040000000000001E-2</v>
      </c>
      <c r="AA428" s="56"/>
      <c r="AB428" s="57"/>
      <c r="AC428" s="519" t="s">
        <v>698</v>
      </c>
      <c r="AG428" s="64"/>
      <c r="AJ428" s="68"/>
      <c r="AK428" s="68">
        <v>0</v>
      </c>
      <c r="BB428" s="520" t="s">
        <v>1</v>
      </c>
      <c r="BM428" s="64">
        <f>IFERROR(X428*I428/H428,"0")</f>
        <v>7.839999999999999</v>
      </c>
      <c r="BN428" s="64">
        <f>IFERROR(Y428*I428/H428,"0")</f>
        <v>9.4079999999999995</v>
      </c>
      <c r="BO428" s="64">
        <f>IFERROR(1/J428*(X428/H428),"0")</f>
        <v>1.8315018315018316E-2</v>
      </c>
      <c r="BP428" s="64">
        <f>IFERROR(1/J428*(Y428/H428),"0")</f>
        <v>2.197802197802198E-2</v>
      </c>
    </row>
    <row r="429" spans="1:68" ht="27" customHeight="1" x14ac:dyDescent="0.25">
      <c r="A429" s="54" t="s">
        <v>699</v>
      </c>
      <c r="B429" s="54" t="s">
        <v>700</v>
      </c>
      <c r="C429" s="31">
        <v>4301051864</v>
      </c>
      <c r="D429" s="665">
        <v>4680115883567</v>
      </c>
      <c r="E429" s="666"/>
      <c r="F429" s="650">
        <v>0.35</v>
      </c>
      <c r="G429" s="32">
        <v>6</v>
      </c>
      <c r="H429" s="650">
        <v>2.1</v>
      </c>
      <c r="I429" s="650">
        <v>2.34</v>
      </c>
      <c r="J429" s="32">
        <v>182</v>
      </c>
      <c r="K429" s="32" t="s">
        <v>77</v>
      </c>
      <c r="L429" s="32"/>
      <c r="M429" s="33" t="s">
        <v>84</v>
      </c>
      <c r="N429" s="33"/>
      <c r="O429" s="32">
        <v>40</v>
      </c>
      <c r="P429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4"/>
      <c r="V429" s="34"/>
      <c r="W429" s="35" t="s">
        <v>67</v>
      </c>
      <c r="X429" s="651">
        <v>4</v>
      </c>
      <c r="Y429" s="652">
        <f>IFERROR(IF(X429="",0,CEILING((X429/$H429),1)*$H429),"")</f>
        <v>4.2</v>
      </c>
      <c r="Z429" s="36">
        <f>IFERROR(IF(Y429=0,"",ROUNDUP(Y429/H429,0)*0.00651),"")</f>
        <v>1.302E-2</v>
      </c>
      <c r="AA429" s="56"/>
      <c r="AB429" s="57"/>
      <c r="AC429" s="521" t="s">
        <v>701</v>
      </c>
      <c r="AG429" s="64"/>
      <c r="AJ429" s="68"/>
      <c r="AK429" s="68">
        <v>0</v>
      </c>
      <c r="BB429" s="522" t="s">
        <v>1</v>
      </c>
      <c r="BM429" s="64">
        <f>IFERROR(X429*I429/H429,"0")</f>
        <v>4.4571428571428564</v>
      </c>
      <c r="BN429" s="64">
        <f>IFERROR(Y429*I429/H429,"0")</f>
        <v>4.68</v>
      </c>
      <c r="BO429" s="64">
        <f>IFERROR(1/J429*(X429/H429),"0")</f>
        <v>1.0465724751439037E-2</v>
      </c>
      <c r="BP429" s="64">
        <f>IFERROR(1/J429*(Y429/H429),"0")</f>
        <v>1.098901098901099E-2</v>
      </c>
    </row>
    <row r="430" spans="1:68" x14ac:dyDescent="0.2">
      <c r="A430" s="692"/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93"/>
      <c r="P430" s="659" t="s">
        <v>72</v>
      </c>
      <c r="Q430" s="660"/>
      <c r="R430" s="660"/>
      <c r="S430" s="660"/>
      <c r="T430" s="660"/>
      <c r="U430" s="660"/>
      <c r="V430" s="661"/>
      <c r="W430" s="37" t="s">
        <v>73</v>
      </c>
      <c r="X430" s="653">
        <f>IFERROR(X427/H427,"0")+IFERROR(X428/H428,"0")+IFERROR(X429/H429,"0")</f>
        <v>5.2380952380952372</v>
      </c>
      <c r="Y430" s="653">
        <f>IFERROR(Y427/H427,"0")+IFERROR(Y428/H428,"0")+IFERROR(Y429/H429,"0")</f>
        <v>6</v>
      </c>
      <c r="Z430" s="653">
        <f>IFERROR(IF(Z427="",0,Z427),"0")+IFERROR(IF(Z428="",0,Z428),"0")+IFERROR(IF(Z429="",0,Z429),"0")</f>
        <v>3.9059999999999997E-2</v>
      </c>
      <c r="AA430" s="654"/>
      <c r="AB430" s="654"/>
      <c r="AC430" s="654"/>
    </row>
    <row r="431" spans="1:68" x14ac:dyDescent="0.2">
      <c r="A431" s="658"/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93"/>
      <c r="P431" s="659" t="s">
        <v>72</v>
      </c>
      <c r="Q431" s="660"/>
      <c r="R431" s="660"/>
      <c r="S431" s="660"/>
      <c r="T431" s="660"/>
      <c r="U431" s="660"/>
      <c r="V431" s="661"/>
      <c r="W431" s="37" t="s">
        <v>67</v>
      </c>
      <c r="X431" s="653">
        <f>IFERROR(SUM(X427:X429),"0")</f>
        <v>11</v>
      </c>
      <c r="Y431" s="653">
        <f>IFERROR(SUM(Y427:Y429),"0")</f>
        <v>12.600000000000001</v>
      </c>
      <c r="Z431" s="37"/>
      <c r="AA431" s="654"/>
      <c r="AB431" s="654"/>
      <c r="AC431" s="654"/>
    </row>
    <row r="432" spans="1:68" ht="27.75" hidden="1" customHeight="1" x14ac:dyDescent="0.2">
      <c r="A432" s="655" t="s">
        <v>702</v>
      </c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6"/>
      <c r="P432" s="656"/>
      <c r="Q432" s="656"/>
      <c r="R432" s="656"/>
      <c r="S432" s="656"/>
      <c r="T432" s="656"/>
      <c r="U432" s="656"/>
      <c r="V432" s="656"/>
      <c r="W432" s="656"/>
      <c r="X432" s="656"/>
      <c r="Y432" s="656"/>
      <c r="Z432" s="656"/>
      <c r="AA432" s="48"/>
      <c r="AB432" s="48"/>
      <c r="AC432" s="48"/>
    </row>
    <row r="433" spans="1:68" ht="16.5" hidden="1" customHeight="1" x14ac:dyDescent="0.25">
      <c r="A433" s="662" t="s">
        <v>703</v>
      </c>
      <c r="B433" s="658"/>
      <c r="C433" s="658"/>
      <c r="D433" s="658"/>
      <c r="E433" s="658"/>
      <c r="F433" s="658"/>
      <c r="G433" s="658"/>
      <c r="H433" s="658"/>
      <c r="I433" s="658"/>
      <c r="J433" s="658"/>
      <c r="K433" s="658"/>
      <c r="L433" s="658"/>
      <c r="M433" s="658"/>
      <c r="N433" s="658"/>
      <c r="O433" s="658"/>
      <c r="P433" s="658"/>
      <c r="Q433" s="658"/>
      <c r="R433" s="658"/>
      <c r="S433" s="658"/>
      <c r="T433" s="658"/>
      <c r="U433" s="658"/>
      <c r="V433" s="658"/>
      <c r="W433" s="658"/>
      <c r="X433" s="658"/>
      <c r="Y433" s="658"/>
      <c r="Z433" s="658"/>
      <c r="AA433" s="646"/>
      <c r="AB433" s="646"/>
      <c r="AC433" s="646"/>
    </row>
    <row r="434" spans="1:68" ht="14.25" hidden="1" customHeight="1" x14ac:dyDescent="0.25">
      <c r="A434" s="657" t="s">
        <v>111</v>
      </c>
      <c r="B434" s="658"/>
      <c r="C434" s="658"/>
      <c r="D434" s="658"/>
      <c r="E434" s="658"/>
      <c r="F434" s="658"/>
      <c r="G434" s="658"/>
      <c r="H434" s="658"/>
      <c r="I434" s="658"/>
      <c r="J434" s="658"/>
      <c r="K434" s="658"/>
      <c r="L434" s="658"/>
      <c r="M434" s="658"/>
      <c r="N434" s="658"/>
      <c r="O434" s="658"/>
      <c r="P434" s="658"/>
      <c r="Q434" s="658"/>
      <c r="R434" s="658"/>
      <c r="S434" s="658"/>
      <c r="T434" s="658"/>
      <c r="U434" s="658"/>
      <c r="V434" s="658"/>
      <c r="W434" s="658"/>
      <c r="X434" s="658"/>
      <c r="Y434" s="658"/>
      <c r="Z434" s="658"/>
      <c r="AA434" s="647"/>
      <c r="AB434" s="647"/>
      <c r="AC434" s="647"/>
    </row>
    <row r="435" spans="1:68" ht="27" hidden="1" customHeight="1" x14ac:dyDescent="0.25">
      <c r="A435" s="54" t="s">
        <v>704</v>
      </c>
      <c r="B435" s="54" t="s">
        <v>705</v>
      </c>
      <c r="C435" s="31">
        <v>4301012332</v>
      </c>
      <c r="D435" s="665">
        <v>4680115888401</v>
      </c>
      <c r="E435" s="666"/>
      <c r="F435" s="650">
        <v>2.5</v>
      </c>
      <c r="G435" s="32">
        <v>6</v>
      </c>
      <c r="H435" s="650">
        <v>15</v>
      </c>
      <c r="I435" s="650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10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4"/>
      <c r="V435" s="34"/>
      <c r="W435" s="35" t="s">
        <v>67</v>
      </c>
      <c r="X435" s="651">
        <v>0</v>
      </c>
      <c r="Y435" s="652">
        <f t="shared" ref="Y435:Y442" si="65"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23" t="s">
        <v>706</v>
      </c>
      <c r="AG435" s="64"/>
      <c r="AJ435" s="68"/>
      <c r="AK435" s="68">
        <v>0</v>
      </c>
      <c r="BB435" s="524" t="s">
        <v>1</v>
      </c>
      <c r="BM435" s="64">
        <f t="shared" ref="BM435:BM442" si="66">IFERROR(X435*I435/H435,"0")</f>
        <v>0</v>
      </c>
      <c r="BN435" s="64">
        <f t="shared" ref="BN435:BN442" si="67">IFERROR(Y435*I435/H435,"0")</f>
        <v>0</v>
      </c>
      <c r="BO435" s="64">
        <f t="shared" ref="BO435:BO442" si="68">IFERROR(1/J435*(X435/H435),"0")</f>
        <v>0</v>
      </c>
      <c r="BP435" s="64">
        <f t="shared" ref="BP435:BP442" si="69">IFERROR(1/J435*(Y435/H435),"0")</f>
        <v>0</v>
      </c>
    </row>
    <row r="436" spans="1:68" ht="37.5" customHeight="1" x14ac:dyDescent="0.25">
      <c r="A436" s="54" t="s">
        <v>707</v>
      </c>
      <c r="B436" s="54" t="s">
        <v>708</v>
      </c>
      <c r="C436" s="31">
        <v>4301011869</v>
      </c>
      <c r="D436" s="665">
        <v>4680115884847</v>
      </c>
      <c r="E436" s="666"/>
      <c r="F436" s="650">
        <v>2.5</v>
      </c>
      <c r="G436" s="32">
        <v>6</v>
      </c>
      <c r="H436" s="650">
        <v>15</v>
      </c>
      <c r="I436" s="650">
        <v>15.47</v>
      </c>
      <c r="J436" s="32">
        <v>48</v>
      </c>
      <c r="K436" s="32" t="s">
        <v>114</v>
      </c>
      <c r="L436" s="32"/>
      <c r="M436" s="33" t="s">
        <v>66</v>
      </c>
      <c r="N436" s="33"/>
      <c r="O436" s="32">
        <v>60</v>
      </c>
      <c r="P436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4"/>
      <c r="V436" s="34"/>
      <c r="W436" s="35" t="s">
        <v>67</v>
      </c>
      <c r="X436" s="651">
        <v>367</v>
      </c>
      <c r="Y436" s="652">
        <f t="shared" si="65"/>
        <v>375</v>
      </c>
      <c r="Z436" s="36">
        <f>IFERROR(IF(Y436=0,"",ROUNDUP(Y436/H436,0)*0.02175),"")</f>
        <v>0.54374999999999996</v>
      </c>
      <c r="AA436" s="56"/>
      <c r="AB436" s="57"/>
      <c r="AC436" s="525" t="s">
        <v>709</v>
      </c>
      <c r="AG436" s="64"/>
      <c r="AJ436" s="68"/>
      <c r="AK436" s="68">
        <v>0</v>
      </c>
      <c r="BB436" s="526" t="s">
        <v>1</v>
      </c>
      <c r="BM436" s="64">
        <f t="shared" si="66"/>
        <v>378.49933333333331</v>
      </c>
      <c r="BN436" s="64">
        <f t="shared" si="67"/>
        <v>386.75</v>
      </c>
      <c r="BO436" s="64">
        <f t="shared" si="68"/>
        <v>0.50972222222222219</v>
      </c>
      <c r="BP436" s="64">
        <f t="shared" si="69"/>
        <v>0.52083333333333326</v>
      </c>
    </row>
    <row r="437" spans="1:68" ht="27" customHeight="1" x14ac:dyDescent="0.25">
      <c r="A437" s="54" t="s">
        <v>710</v>
      </c>
      <c r="B437" s="54" t="s">
        <v>711</v>
      </c>
      <c r="C437" s="31">
        <v>4301012083</v>
      </c>
      <c r="D437" s="665">
        <v>4680115884854</v>
      </c>
      <c r="E437" s="666"/>
      <c r="F437" s="650">
        <v>2.5</v>
      </c>
      <c r="G437" s="32">
        <v>6</v>
      </c>
      <c r="H437" s="650">
        <v>15</v>
      </c>
      <c r="I437" s="650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60</v>
      </c>
      <c r="P437" s="7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4"/>
      <c r="V437" s="34"/>
      <c r="W437" s="35" t="s">
        <v>67</v>
      </c>
      <c r="X437" s="651">
        <v>1077</v>
      </c>
      <c r="Y437" s="652">
        <f t="shared" si="65"/>
        <v>1080</v>
      </c>
      <c r="Z437" s="36">
        <f>IFERROR(IF(Y437=0,"",ROUNDUP(Y437/H437,0)*0.02175),"")</f>
        <v>1.5659999999999998</v>
      </c>
      <c r="AA437" s="56"/>
      <c r="AB437" s="57"/>
      <c r="AC437" s="527" t="s">
        <v>712</v>
      </c>
      <c r="AG437" s="64"/>
      <c r="AJ437" s="68"/>
      <c r="AK437" s="68">
        <v>0</v>
      </c>
      <c r="BB437" s="528" t="s">
        <v>1</v>
      </c>
      <c r="BM437" s="64">
        <f t="shared" si="66"/>
        <v>1110.7460000000001</v>
      </c>
      <c r="BN437" s="64">
        <f t="shared" si="67"/>
        <v>1113.8400000000001</v>
      </c>
      <c r="BO437" s="64">
        <f t="shared" si="68"/>
        <v>1.4958333333333331</v>
      </c>
      <c r="BP437" s="64">
        <f t="shared" si="69"/>
        <v>1.5</v>
      </c>
    </row>
    <row r="438" spans="1:68" ht="27" hidden="1" customHeight="1" x14ac:dyDescent="0.25">
      <c r="A438" s="54" t="s">
        <v>713</v>
      </c>
      <c r="B438" s="54" t="s">
        <v>714</v>
      </c>
      <c r="C438" s="31">
        <v>4301011867</v>
      </c>
      <c r="D438" s="665">
        <v>4680115884830</v>
      </c>
      <c r="E438" s="666"/>
      <c r="F438" s="650">
        <v>2.5</v>
      </c>
      <c r="G438" s="32">
        <v>6</v>
      </c>
      <c r="H438" s="650">
        <v>15</v>
      </c>
      <c r="I438" s="650">
        <v>15.47</v>
      </c>
      <c r="J438" s="32">
        <v>48</v>
      </c>
      <c r="K438" s="32" t="s">
        <v>114</v>
      </c>
      <c r="L438" s="32"/>
      <c r="M438" s="33" t="s">
        <v>66</v>
      </c>
      <c r="N438" s="33"/>
      <c r="O438" s="32">
        <v>60</v>
      </c>
      <c r="P438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4"/>
      <c r="V438" s="34"/>
      <c r="W438" s="35" t="s">
        <v>67</v>
      </c>
      <c r="X438" s="651">
        <v>0</v>
      </c>
      <c r="Y438" s="652">
        <f t="shared" si="65"/>
        <v>0</v>
      </c>
      <c r="Z438" s="36" t="str">
        <f>IFERROR(IF(Y438=0,"",ROUNDUP(Y438/H438,0)*0.02175),"")</f>
        <v/>
      </c>
      <c r="AA438" s="56"/>
      <c r="AB438" s="57"/>
      <c r="AC438" s="529" t="s">
        <v>715</v>
      </c>
      <c r="AG438" s="64"/>
      <c r="AJ438" s="68"/>
      <c r="AK438" s="68">
        <v>0</v>
      </c>
      <c r="BB438" s="530" t="s">
        <v>1</v>
      </c>
      <c r="BM438" s="64">
        <f t="shared" si="66"/>
        <v>0</v>
      </c>
      <c r="BN438" s="64">
        <f t="shared" si="67"/>
        <v>0</v>
      </c>
      <c r="BO438" s="64">
        <f t="shared" si="68"/>
        <v>0</v>
      </c>
      <c r="BP438" s="64">
        <f t="shared" si="69"/>
        <v>0</v>
      </c>
    </row>
    <row r="439" spans="1:68" ht="27" hidden="1" customHeight="1" x14ac:dyDescent="0.25">
      <c r="A439" s="54" t="s">
        <v>716</v>
      </c>
      <c r="B439" s="54" t="s">
        <v>717</v>
      </c>
      <c r="C439" s="31">
        <v>4301012356</v>
      </c>
      <c r="D439" s="665">
        <v>4680115889231</v>
      </c>
      <c r="E439" s="666"/>
      <c r="F439" s="650">
        <v>2.5</v>
      </c>
      <c r="G439" s="32">
        <v>6</v>
      </c>
      <c r="H439" s="650">
        <v>15</v>
      </c>
      <c r="I439" s="650">
        <v>15.47</v>
      </c>
      <c r="J439" s="32">
        <v>48</v>
      </c>
      <c r="K439" s="32" t="s">
        <v>114</v>
      </c>
      <c r="L439" s="32"/>
      <c r="M439" s="33" t="s">
        <v>84</v>
      </c>
      <c r="N439" s="33"/>
      <c r="O439" s="32">
        <v>60</v>
      </c>
      <c r="P439" s="9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4"/>
      <c r="V439" s="34"/>
      <c r="W439" s="35" t="s">
        <v>67</v>
      </c>
      <c r="X439" s="651">
        <v>0</v>
      </c>
      <c r="Y439" s="652">
        <f t="shared" si="65"/>
        <v>0</v>
      </c>
      <c r="Z439" s="36" t="str">
        <f>IFERROR(IF(Y439=0,"",ROUNDUP(Y439/H439,0)*0.02175),"")</f>
        <v/>
      </c>
      <c r="AA439" s="56"/>
      <c r="AB439" s="57"/>
      <c r="AC439" s="531" t="s">
        <v>718</v>
      </c>
      <c r="AG439" s="64"/>
      <c r="AJ439" s="68"/>
      <c r="AK439" s="68">
        <v>0</v>
      </c>
      <c r="BB439" s="532" t="s">
        <v>1</v>
      </c>
      <c r="BM439" s="64">
        <f t="shared" si="66"/>
        <v>0</v>
      </c>
      <c r="BN439" s="64">
        <f t="shared" si="67"/>
        <v>0</v>
      </c>
      <c r="BO439" s="64">
        <f t="shared" si="68"/>
        <v>0</v>
      </c>
      <c r="BP439" s="64">
        <f t="shared" si="69"/>
        <v>0</v>
      </c>
    </row>
    <row r="440" spans="1:68" ht="27" hidden="1" customHeight="1" x14ac:dyDescent="0.25">
      <c r="A440" s="54" t="s">
        <v>719</v>
      </c>
      <c r="B440" s="54" t="s">
        <v>720</v>
      </c>
      <c r="C440" s="31">
        <v>4301011433</v>
      </c>
      <c r="D440" s="665">
        <v>4680115882638</v>
      </c>
      <c r="E440" s="666"/>
      <c r="F440" s="650">
        <v>0.4</v>
      </c>
      <c r="G440" s="32">
        <v>10</v>
      </c>
      <c r="H440" s="650">
        <v>4</v>
      </c>
      <c r="I440" s="650">
        <v>4.1900000000000004</v>
      </c>
      <c r="J440" s="32">
        <v>132</v>
      </c>
      <c r="K440" s="32" t="s">
        <v>123</v>
      </c>
      <c r="L440" s="32"/>
      <c r="M440" s="33" t="s">
        <v>115</v>
      </c>
      <c r="N440" s="33"/>
      <c r="O440" s="32">
        <v>90</v>
      </c>
      <c r="P440" s="8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4"/>
      <c r="V440" s="34"/>
      <c r="W440" s="35" t="s">
        <v>67</v>
      </c>
      <c r="X440" s="651">
        <v>0</v>
      </c>
      <c r="Y440" s="652">
        <f t="shared" si="65"/>
        <v>0</v>
      </c>
      <c r="Z440" s="36" t="str">
        <f>IFERROR(IF(Y440=0,"",ROUNDUP(Y440/H440,0)*0.00902),"")</f>
        <v/>
      </c>
      <c r="AA440" s="56"/>
      <c r="AB440" s="57"/>
      <c r="AC440" s="533" t="s">
        <v>721</v>
      </c>
      <c r="AG440" s="64"/>
      <c r="AJ440" s="68"/>
      <c r="AK440" s="68">
        <v>0</v>
      </c>
      <c r="BB440" s="534" t="s">
        <v>1</v>
      </c>
      <c r="BM440" s="64">
        <f t="shared" si="66"/>
        <v>0</v>
      </c>
      <c r="BN440" s="64">
        <f t="shared" si="67"/>
        <v>0</v>
      </c>
      <c r="BO440" s="64">
        <f t="shared" si="68"/>
        <v>0</v>
      </c>
      <c r="BP440" s="64">
        <f t="shared" si="69"/>
        <v>0</v>
      </c>
    </row>
    <row r="441" spans="1:68" ht="27" hidden="1" customHeight="1" x14ac:dyDescent="0.25">
      <c r="A441" s="54" t="s">
        <v>722</v>
      </c>
      <c r="B441" s="54" t="s">
        <v>723</v>
      </c>
      <c r="C441" s="31">
        <v>4301011952</v>
      </c>
      <c r="D441" s="665">
        <v>4680115884922</v>
      </c>
      <c r="E441" s="666"/>
      <c r="F441" s="650">
        <v>0.5</v>
      </c>
      <c r="G441" s="32">
        <v>10</v>
      </c>
      <c r="H441" s="650">
        <v>5</v>
      </c>
      <c r="I441" s="650">
        <v>5.19</v>
      </c>
      <c r="J441" s="32">
        <v>132</v>
      </c>
      <c r="K441" s="32" t="s">
        <v>123</v>
      </c>
      <c r="L441" s="32"/>
      <c r="M441" s="33" t="s">
        <v>66</v>
      </c>
      <c r="N441" s="33"/>
      <c r="O441" s="32">
        <v>60</v>
      </c>
      <c r="P441" s="8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4"/>
      <c r="V441" s="34"/>
      <c r="W441" s="35" t="s">
        <v>67</v>
      </c>
      <c r="X441" s="651">
        <v>0</v>
      </c>
      <c r="Y441" s="652">
        <f t="shared" si="65"/>
        <v>0</v>
      </c>
      <c r="Z441" s="36" t="str">
        <f>IFERROR(IF(Y441=0,"",ROUNDUP(Y441/H441,0)*0.00902),"")</f>
        <v/>
      </c>
      <c r="AA441" s="56"/>
      <c r="AB441" s="57"/>
      <c r="AC441" s="535" t="s">
        <v>724</v>
      </c>
      <c r="AG441" s="64"/>
      <c r="AJ441" s="68"/>
      <c r="AK441" s="68">
        <v>0</v>
      </c>
      <c r="BB441" s="536" t="s">
        <v>1</v>
      </c>
      <c r="BM441" s="64">
        <f t="shared" si="66"/>
        <v>0</v>
      </c>
      <c r="BN441" s="64">
        <f t="shared" si="67"/>
        <v>0</v>
      </c>
      <c r="BO441" s="64">
        <f t="shared" si="68"/>
        <v>0</v>
      </c>
      <c r="BP441" s="64">
        <f t="shared" si="69"/>
        <v>0</v>
      </c>
    </row>
    <row r="442" spans="1:68" ht="37.5" hidden="1" customHeight="1" x14ac:dyDescent="0.25">
      <c r="A442" s="54" t="s">
        <v>725</v>
      </c>
      <c r="B442" s="54" t="s">
        <v>726</v>
      </c>
      <c r="C442" s="31">
        <v>4301011868</v>
      </c>
      <c r="D442" s="665">
        <v>4680115884861</v>
      </c>
      <c r="E442" s="666"/>
      <c r="F442" s="650">
        <v>0.5</v>
      </c>
      <c r="G442" s="32">
        <v>10</v>
      </c>
      <c r="H442" s="650">
        <v>5</v>
      </c>
      <c r="I442" s="650">
        <v>5.19</v>
      </c>
      <c r="J442" s="32">
        <v>132</v>
      </c>
      <c r="K442" s="32" t="s">
        <v>123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4"/>
      <c r="V442" s="34"/>
      <c r="W442" s="35" t="s">
        <v>67</v>
      </c>
      <c r="X442" s="651">
        <v>0</v>
      </c>
      <c r="Y442" s="652">
        <f t="shared" si="65"/>
        <v>0</v>
      </c>
      <c r="Z442" s="36" t="str">
        <f>IFERROR(IF(Y442=0,"",ROUNDUP(Y442/H442,0)*0.00902),"")</f>
        <v/>
      </c>
      <c r="AA442" s="56"/>
      <c r="AB442" s="57"/>
      <c r="AC442" s="537" t="s">
        <v>727</v>
      </c>
      <c r="AG442" s="64"/>
      <c r="AJ442" s="68"/>
      <c r="AK442" s="68">
        <v>0</v>
      </c>
      <c r="BB442" s="538" t="s">
        <v>1</v>
      </c>
      <c r="BM442" s="64">
        <f t="shared" si="66"/>
        <v>0</v>
      </c>
      <c r="BN442" s="64">
        <f t="shared" si="67"/>
        <v>0</v>
      </c>
      <c r="BO442" s="64">
        <f t="shared" si="68"/>
        <v>0</v>
      </c>
      <c r="BP442" s="64">
        <f t="shared" si="69"/>
        <v>0</v>
      </c>
    </row>
    <row r="443" spans="1:68" x14ac:dyDescent="0.2">
      <c r="A443" s="692"/>
      <c r="B443" s="658"/>
      <c r="C443" s="658"/>
      <c r="D443" s="658"/>
      <c r="E443" s="658"/>
      <c r="F443" s="658"/>
      <c r="G443" s="658"/>
      <c r="H443" s="658"/>
      <c r="I443" s="658"/>
      <c r="J443" s="658"/>
      <c r="K443" s="658"/>
      <c r="L443" s="658"/>
      <c r="M443" s="658"/>
      <c r="N443" s="658"/>
      <c r="O443" s="693"/>
      <c r="P443" s="659" t="s">
        <v>72</v>
      </c>
      <c r="Q443" s="660"/>
      <c r="R443" s="660"/>
      <c r="S443" s="660"/>
      <c r="T443" s="660"/>
      <c r="U443" s="660"/>
      <c r="V443" s="661"/>
      <c r="W443" s="37" t="s">
        <v>73</v>
      </c>
      <c r="X443" s="653">
        <f>IFERROR(X435/H435,"0")+IFERROR(X436/H436,"0")+IFERROR(X437/H437,"0")+IFERROR(X438/H438,"0")+IFERROR(X439/H439,"0")+IFERROR(X440/H440,"0")+IFERROR(X441/H441,"0")+IFERROR(X442/H442,"0")</f>
        <v>96.266666666666666</v>
      </c>
      <c r="Y443" s="653">
        <f>IFERROR(Y435/H435,"0")+IFERROR(Y436/H436,"0")+IFERROR(Y437/H437,"0")+IFERROR(Y438/H438,"0")+IFERROR(Y439/H439,"0")+IFERROR(Y440/H440,"0")+IFERROR(Y441/H441,"0")+IFERROR(Y442/H442,"0")</f>
        <v>97</v>
      </c>
      <c r="Z443" s="65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2.10975</v>
      </c>
      <c r="AA443" s="654"/>
      <c r="AB443" s="654"/>
      <c r="AC443" s="654"/>
    </row>
    <row r="444" spans="1:68" x14ac:dyDescent="0.2">
      <c r="A444" s="658"/>
      <c r="B444" s="658"/>
      <c r="C444" s="658"/>
      <c r="D444" s="658"/>
      <c r="E444" s="658"/>
      <c r="F444" s="658"/>
      <c r="G444" s="658"/>
      <c r="H444" s="658"/>
      <c r="I444" s="658"/>
      <c r="J444" s="658"/>
      <c r="K444" s="658"/>
      <c r="L444" s="658"/>
      <c r="M444" s="658"/>
      <c r="N444" s="658"/>
      <c r="O444" s="693"/>
      <c r="P444" s="659" t="s">
        <v>72</v>
      </c>
      <c r="Q444" s="660"/>
      <c r="R444" s="660"/>
      <c r="S444" s="660"/>
      <c r="T444" s="660"/>
      <c r="U444" s="660"/>
      <c r="V444" s="661"/>
      <c r="W444" s="37" t="s">
        <v>67</v>
      </c>
      <c r="X444" s="653">
        <f>IFERROR(SUM(X435:X442),"0")</f>
        <v>1444</v>
      </c>
      <c r="Y444" s="653">
        <f>IFERROR(SUM(Y435:Y442),"0")</f>
        <v>1455</v>
      </c>
      <c r="Z444" s="37"/>
      <c r="AA444" s="654"/>
      <c r="AB444" s="654"/>
      <c r="AC444" s="654"/>
    </row>
    <row r="445" spans="1:68" ht="14.25" hidden="1" customHeight="1" x14ac:dyDescent="0.25">
      <c r="A445" s="657" t="s">
        <v>144</v>
      </c>
      <c r="B445" s="658"/>
      <c r="C445" s="658"/>
      <c r="D445" s="658"/>
      <c r="E445" s="658"/>
      <c r="F445" s="658"/>
      <c r="G445" s="658"/>
      <c r="H445" s="658"/>
      <c r="I445" s="658"/>
      <c r="J445" s="658"/>
      <c r="K445" s="658"/>
      <c r="L445" s="658"/>
      <c r="M445" s="658"/>
      <c r="N445" s="658"/>
      <c r="O445" s="658"/>
      <c r="P445" s="658"/>
      <c r="Q445" s="658"/>
      <c r="R445" s="658"/>
      <c r="S445" s="658"/>
      <c r="T445" s="658"/>
      <c r="U445" s="658"/>
      <c r="V445" s="658"/>
      <c r="W445" s="658"/>
      <c r="X445" s="658"/>
      <c r="Y445" s="658"/>
      <c r="Z445" s="658"/>
      <c r="AA445" s="647"/>
      <c r="AB445" s="647"/>
      <c r="AC445" s="647"/>
    </row>
    <row r="446" spans="1:68" ht="27" customHeight="1" x14ac:dyDescent="0.25">
      <c r="A446" s="54" t="s">
        <v>728</v>
      </c>
      <c r="B446" s="54" t="s">
        <v>729</v>
      </c>
      <c r="C446" s="31">
        <v>4301020178</v>
      </c>
      <c r="D446" s="665">
        <v>4607091383980</v>
      </c>
      <c r="E446" s="666"/>
      <c r="F446" s="650">
        <v>2.5</v>
      </c>
      <c r="G446" s="32">
        <v>6</v>
      </c>
      <c r="H446" s="650">
        <v>15</v>
      </c>
      <c r="I446" s="650">
        <v>15.47</v>
      </c>
      <c r="J446" s="32">
        <v>48</v>
      </c>
      <c r="K446" s="32" t="s">
        <v>114</v>
      </c>
      <c r="L446" s="32"/>
      <c r="M446" s="33" t="s">
        <v>115</v>
      </c>
      <c r="N446" s="33"/>
      <c r="O446" s="32">
        <v>50</v>
      </c>
      <c r="P446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4"/>
      <c r="V446" s="34"/>
      <c r="W446" s="35" t="s">
        <v>67</v>
      </c>
      <c r="X446" s="651">
        <v>170</v>
      </c>
      <c r="Y446" s="652">
        <f>IFERROR(IF(X446="",0,CEILING((X446/$H446),1)*$H446),"")</f>
        <v>180</v>
      </c>
      <c r="Z446" s="36">
        <f>IFERROR(IF(Y446=0,"",ROUNDUP(Y446/H446,0)*0.02175),"")</f>
        <v>0.26100000000000001</v>
      </c>
      <c r="AA446" s="56"/>
      <c r="AB446" s="57"/>
      <c r="AC446" s="539" t="s">
        <v>730</v>
      </c>
      <c r="AG446" s="64"/>
      <c r="AJ446" s="68"/>
      <c r="AK446" s="68">
        <v>0</v>
      </c>
      <c r="BB446" s="540" t="s">
        <v>1</v>
      </c>
      <c r="BM446" s="64">
        <f>IFERROR(X446*I446/H446,"0")</f>
        <v>175.32666666666668</v>
      </c>
      <c r="BN446" s="64">
        <f>IFERROR(Y446*I446/H446,"0")</f>
        <v>185.64</v>
      </c>
      <c r="BO446" s="64">
        <f>IFERROR(1/J446*(X446/H446),"0")</f>
        <v>0.2361111111111111</v>
      </c>
      <c r="BP446" s="64">
        <f>IFERROR(1/J446*(Y446/H446),"0")</f>
        <v>0.25</v>
      </c>
    </row>
    <row r="447" spans="1:68" ht="27" hidden="1" customHeight="1" x14ac:dyDescent="0.25">
      <c r="A447" s="54" t="s">
        <v>731</v>
      </c>
      <c r="B447" s="54" t="s">
        <v>732</v>
      </c>
      <c r="C447" s="31">
        <v>4301020355</v>
      </c>
      <c r="D447" s="665">
        <v>4680115888425</v>
      </c>
      <c r="E447" s="666"/>
      <c r="F447" s="650">
        <v>2.5</v>
      </c>
      <c r="G447" s="32">
        <v>6</v>
      </c>
      <c r="H447" s="650">
        <v>15</v>
      </c>
      <c r="I447" s="650">
        <v>15.47</v>
      </c>
      <c r="J447" s="32">
        <v>48</v>
      </c>
      <c r="K447" s="32" t="s">
        <v>114</v>
      </c>
      <c r="L447" s="32"/>
      <c r="M447" s="33" t="s">
        <v>115</v>
      </c>
      <c r="N447" s="33"/>
      <c r="O447" s="32">
        <v>50</v>
      </c>
      <c r="P447" s="102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4"/>
      <c r="V447" s="34"/>
      <c r="W447" s="35" t="s">
        <v>67</v>
      </c>
      <c r="X447" s="651">
        <v>0</v>
      </c>
      <c r="Y447" s="652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41" t="s">
        <v>733</v>
      </c>
      <c r="AG447" s="64"/>
      <c r="AJ447" s="68"/>
      <c r="AK447" s="68">
        <v>0</v>
      </c>
      <c r="BB447" s="54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734</v>
      </c>
      <c r="B448" s="54" t="s">
        <v>735</v>
      </c>
      <c r="C448" s="31">
        <v>4301020179</v>
      </c>
      <c r="D448" s="665">
        <v>4607091384178</v>
      </c>
      <c r="E448" s="666"/>
      <c r="F448" s="650">
        <v>0.4</v>
      </c>
      <c r="G448" s="32">
        <v>10</v>
      </c>
      <c r="H448" s="650">
        <v>4</v>
      </c>
      <c r="I448" s="650">
        <v>4.1900000000000004</v>
      </c>
      <c r="J448" s="32">
        <v>132</v>
      </c>
      <c r="K448" s="32" t="s">
        <v>123</v>
      </c>
      <c r="L448" s="32"/>
      <c r="M448" s="33" t="s">
        <v>115</v>
      </c>
      <c r="N448" s="33"/>
      <c r="O448" s="32">
        <v>50</v>
      </c>
      <c r="P448" s="8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4"/>
      <c r="V448" s="34"/>
      <c r="W448" s="35" t="s">
        <v>67</v>
      </c>
      <c r="X448" s="651">
        <v>0</v>
      </c>
      <c r="Y448" s="652">
        <f>IFERROR(IF(X448="",0,CEILING((X448/$H448),1)*$H448),"")</f>
        <v>0</v>
      </c>
      <c r="Z448" s="36" t="str">
        <f>IFERROR(IF(Y448=0,"",ROUNDUP(Y448/H448,0)*0.00902),"")</f>
        <v/>
      </c>
      <c r="AA448" s="56"/>
      <c r="AB448" s="57"/>
      <c r="AC448" s="543" t="s">
        <v>736</v>
      </c>
      <c r="AG448" s="64"/>
      <c r="AJ448" s="68"/>
      <c r="AK448" s="68">
        <v>0</v>
      </c>
      <c r="BB448" s="544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92"/>
      <c r="B449" s="658"/>
      <c r="C449" s="658"/>
      <c r="D449" s="658"/>
      <c r="E449" s="658"/>
      <c r="F449" s="658"/>
      <c r="G449" s="658"/>
      <c r="H449" s="658"/>
      <c r="I449" s="658"/>
      <c r="J449" s="658"/>
      <c r="K449" s="658"/>
      <c r="L449" s="658"/>
      <c r="M449" s="658"/>
      <c r="N449" s="658"/>
      <c r="O449" s="693"/>
      <c r="P449" s="659" t="s">
        <v>72</v>
      </c>
      <c r="Q449" s="660"/>
      <c r="R449" s="660"/>
      <c r="S449" s="660"/>
      <c r="T449" s="660"/>
      <c r="U449" s="660"/>
      <c r="V449" s="661"/>
      <c r="W449" s="37" t="s">
        <v>73</v>
      </c>
      <c r="X449" s="653">
        <f>IFERROR(X446/H446,"0")+IFERROR(X447/H447,"0")+IFERROR(X448/H448,"0")</f>
        <v>11.333333333333334</v>
      </c>
      <c r="Y449" s="653">
        <f>IFERROR(Y446/H446,"0")+IFERROR(Y447/H447,"0")+IFERROR(Y448/H448,"0")</f>
        <v>12</v>
      </c>
      <c r="Z449" s="653">
        <f>IFERROR(IF(Z446="",0,Z446),"0")+IFERROR(IF(Z447="",0,Z447),"0")+IFERROR(IF(Z448="",0,Z448),"0")</f>
        <v>0.26100000000000001</v>
      </c>
      <c r="AA449" s="654"/>
      <c r="AB449" s="654"/>
      <c r="AC449" s="654"/>
    </row>
    <row r="450" spans="1:68" x14ac:dyDescent="0.2">
      <c r="A450" s="658"/>
      <c r="B450" s="658"/>
      <c r="C450" s="658"/>
      <c r="D450" s="658"/>
      <c r="E450" s="658"/>
      <c r="F450" s="658"/>
      <c r="G450" s="658"/>
      <c r="H450" s="658"/>
      <c r="I450" s="658"/>
      <c r="J450" s="658"/>
      <c r="K450" s="658"/>
      <c r="L450" s="658"/>
      <c r="M450" s="658"/>
      <c r="N450" s="658"/>
      <c r="O450" s="693"/>
      <c r="P450" s="659" t="s">
        <v>72</v>
      </c>
      <c r="Q450" s="660"/>
      <c r="R450" s="660"/>
      <c r="S450" s="660"/>
      <c r="T450" s="660"/>
      <c r="U450" s="660"/>
      <c r="V450" s="661"/>
      <c r="W450" s="37" t="s">
        <v>67</v>
      </c>
      <c r="X450" s="653">
        <f>IFERROR(SUM(X446:X448),"0")</f>
        <v>170</v>
      </c>
      <c r="Y450" s="653">
        <f>IFERROR(SUM(Y446:Y448),"0")</f>
        <v>180</v>
      </c>
      <c r="Z450" s="37"/>
      <c r="AA450" s="654"/>
      <c r="AB450" s="654"/>
      <c r="AC450" s="654"/>
    </row>
    <row r="451" spans="1:68" ht="14.25" hidden="1" customHeight="1" x14ac:dyDescent="0.25">
      <c r="A451" s="657" t="s">
        <v>74</v>
      </c>
      <c r="B451" s="658"/>
      <c r="C451" s="658"/>
      <c r="D451" s="658"/>
      <c r="E451" s="658"/>
      <c r="F451" s="658"/>
      <c r="G451" s="658"/>
      <c r="H451" s="658"/>
      <c r="I451" s="658"/>
      <c r="J451" s="658"/>
      <c r="K451" s="658"/>
      <c r="L451" s="658"/>
      <c r="M451" s="658"/>
      <c r="N451" s="658"/>
      <c r="O451" s="658"/>
      <c r="P451" s="658"/>
      <c r="Q451" s="658"/>
      <c r="R451" s="658"/>
      <c r="S451" s="658"/>
      <c r="T451" s="658"/>
      <c r="U451" s="658"/>
      <c r="V451" s="658"/>
      <c r="W451" s="658"/>
      <c r="X451" s="658"/>
      <c r="Y451" s="658"/>
      <c r="Z451" s="658"/>
      <c r="AA451" s="647"/>
      <c r="AB451" s="647"/>
      <c r="AC451" s="647"/>
    </row>
    <row r="452" spans="1:68" ht="27" hidden="1" customHeight="1" x14ac:dyDescent="0.25">
      <c r="A452" s="54" t="s">
        <v>737</v>
      </c>
      <c r="B452" s="54" t="s">
        <v>738</v>
      </c>
      <c r="C452" s="31">
        <v>4301051903</v>
      </c>
      <c r="D452" s="665">
        <v>4607091383928</v>
      </c>
      <c r="E452" s="666"/>
      <c r="F452" s="650">
        <v>1.5</v>
      </c>
      <c r="G452" s="32">
        <v>6</v>
      </c>
      <c r="H452" s="650">
        <v>9</v>
      </c>
      <c r="I452" s="650">
        <v>9.5</v>
      </c>
      <c r="J452" s="32">
        <v>64</v>
      </c>
      <c r="K452" s="32" t="s">
        <v>114</v>
      </c>
      <c r="L452" s="32"/>
      <c r="M452" s="33" t="s">
        <v>78</v>
      </c>
      <c r="N452" s="33"/>
      <c r="O452" s="32">
        <v>40</v>
      </c>
      <c r="P452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4"/>
      <c r="V452" s="34"/>
      <c r="W452" s="35" t="s">
        <v>67</v>
      </c>
      <c r="X452" s="651">
        <v>0</v>
      </c>
      <c r="Y452" s="652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45" t="s">
        <v>739</v>
      </c>
      <c r="AG452" s="64"/>
      <c r="AJ452" s="68"/>
      <c r="AK452" s="68">
        <v>0</v>
      </c>
      <c r="BB452" s="54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740</v>
      </c>
      <c r="B453" s="54" t="s">
        <v>741</v>
      </c>
      <c r="C453" s="31">
        <v>4301051897</v>
      </c>
      <c r="D453" s="665">
        <v>4607091384260</v>
      </c>
      <c r="E453" s="666"/>
      <c r="F453" s="650">
        <v>1.5</v>
      </c>
      <c r="G453" s="32">
        <v>6</v>
      </c>
      <c r="H453" s="650">
        <v>9</v>
      </c>
      <c r="I453" s="65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4"/>
      <c r="V453" s="34"/>
      <c r="W453" s="35" t="s">
        <v>67</v>
      </c>
      <c r="X453" s="651">
        <v>10</v>
      </c>
      <c r="Y453" s="652">
        <f>IFERROR(IF(X453="",0,CEILING((X453/$H453),1)*$H453),"")</f>
        <v>18</v>
      </c>
      <c r="Z453" s="36">
        <f>IFERROR(IF(Y453=0,"",ROUNDUP(Y453/H453,0)*0.01898),"")</f>
        <v>3.7960000000000001E-2</v>
      </c>
      <c r="AA453" s="56"/>
      <c r="AB453" s="57"/>
      <c r="AC453" s="547" t="s">
        <v>742</v>
      </c>
      <c r="AG453" s="64"/>
      <c r="AJ453" s="68"/>
      <c r="AK453" s="68">
        <v>0</v>
      </c>
      <c r="BB453" s="548" t="s">
        <v>1</v>
      </c>
      <c r="BM453" s="64">
        <f>IFERROR(X453*I453/H453,"0")</f>
        <v>10.548888888888889</v>
      </c>
      <c r="BN453" s="64">
        <f>IFERROR(Y453*I453/H453,"0")</f>
        <v>18.988</v>
      </c>
      <c r="BO453" s="64">
        <f>IFERROR(1/J453*(X453/H453),"0")</f>
        <v>1.7361111111111112E-2</v>
      </c>
      <c r="BP453" s="64">
        <f>IFERROR(1/J453*(Y453/H453),"0")</f>
        <v>3.125E-2</v>
      </c>
    </row>
    <row r="454" spans="1:68" ht="27" hidden="1" customHeight="1" x14ac:dyDescent="0.25">
      <c r="A454" s="54" t="s">
        <v>743</v>
      </c>
      <c r="B454" s="54" t="s">
        <v>744</v>
      </c>
      <c r="C454" s="31">
        <v>4301052220</v>
      </c>
      <c r="D454" s="665">
        <v>4680115889538</v>
      </c>
      <c r="E454" s="666"/>
      <c r="F454" s="650">
        <v>0.8</v>
      </c>
      <c r="G454" s="32">
        <v>6</v>
      </c>
      <c r="H454" s="650">
        <v>4.8</v>
      </c>
      <c r="I454" s="650">
        <v>5.2160000000000002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45</v>
      </c>
      <c r="P454" s="68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4"/>
      <c r="V454" s="34"/>
      <c r="W454" s="35" t="s">
        <v>67</v>
      </c>
      <c r="X454" s="651">
        <v>0</v>
      </c>
      <c r="Y454" s="652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9" t="s">
        <v>745</v>
      </c>
      <c r="AG454" s="64"/>
      <c r="AJ454" s="68"/>
      <c r="AK454" s="68">
        <v>0</v>
      </c>
      <c r="BB454" s="55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92"/>
      <c r="B455" s="658"/>
      <c r="C455" s="658"/>
      <c r="D455" s="658"/>
      <c r="E455" s="658"/>
      <c r="F455" s="658"/>
      <c r="G455" s="658"/>
      <c r="H455" s="658"/>
      <c r="I455" s="658"/>
      <c r="J455" s="658"/>
      <c r="K455" s="658"/>
      <c r="L455" s="658"/>
      <c r="M455" s="658"/>
      <c r="N455" s="658"/>
      <c r="O455" s="693"/>
      <c r="P455" s="659" t="s">
        <v>72</v>
      </c>
      <c r="Q455" s="660"/>
      <c r="R455" s="660"/>
      <c r="S455" s="660"/>
      <c r="T455" s="660"/>
      <c r="U455" s="660"/>
      <c r="V455" s="661"/>
      <c r="W455" s="37" t="s">
        <v>73</v>
      </c>
      <c r="X455" s="653">
        <f>IFERROR(X452/H452,"0")+IFERROR(X453/H453,"0")+IFERROR(X454/H454,"0")</f>
        <v>1.1111111111111112</v>
      </c>
      <c r="Y455" s="653">
        <f>IFERROR(Y452/H452,"0")+IFERROR(Y453/H453,"0")+IFERROR(Y454/H454,"0")</f>
        <v>2</v>
      </c>
      <c r="Z455" s="653">
        <f>IFERROR(IF(Z452="",0,Z452),"0")+IFERROR(IF(Z453="",0,Z453),"0")+IFERROR(IF(Z454="",0,Z454),"0")</f>
        <v>3.7960000000000001E-2</v>
      </c>
      <c r="AA455" s="654"/>
      <c r="AB455" s="654"/>
      <c r="AC455" s="654"/>
    </row>
    <row r="456" spans="1:68" x14ac:dyDescent="0.2">
      <c r="A456" s="658"/>
      <c r="B456" s="658"/>
      <c r="C456" s="658"/>
      <c r="D456" s="658"/>
      <c r="E456" s="658"/>
      <c r="F456" s="658"/>
      <c r="G456" s="658"/>
      <c r="H456" s="658"/>
      <c r="I456" s="658"/>
      <c r="J456" s="658"/>
      <c r="K456" s="658"/>
      <c r="L456" s="658"/>
      <c r="M456" s="658"/>
      <c r="N456" s="658"/>
      <c r="O456" s="693"/>
      <c r="P456" s="659" t="s">
        <v>72</v>
      </c>
      <c r="Q456" s="660"/>
      <c r="R456" s="660"/>
      <c r="S456" s="660"/>
      <c r="T456" s="660"/>
      <c r="U456" s="660"/>
      <c r="V456" s="661"/>
      <c r="W456" s="37" t="s">
        <v>67</v>
      </c>
      <c r="X456" s="653">
        <f>IFERROR(SUM(X452:X454),"0")</f>
        <v>10</v>
      </c>
      <c r="Y456" s="653">
        <f>IFERROR(SUM(Y452:Y454),"0")</f>
        <v>18</v>
      </c>
      <c r="Z456" s="37"/>
      <c r="AA456" s="654"/>
      <c r="AB456" s="654"/>
      <c r="AC456" s="654"/>
    </row>
    <row r="457" spans="1:68" ht="14.25" hidden="1" customHeight="1" x14ac:dyDescent="0.25">
      <c r="A457" s="657" t="s">
        <v>162</v>
      </c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8"/>
      <c r="P457" s="658"/>
      <c r="Q457" s="658"/>
      <c r="R457" s="658"/>
      <c r="S457" s="658"/>
      <c r="T457" s="658"/>
      <c r="U457" s="658"/>
      <c r="V457" s="658"/>
      <c r="W457" s="658"/>
      <c r="X457" s="658"/>
      <c r="Y457" s="658"/>
      <c r="Z457" s="658"/>
      <c r="AA457" s="647"/>
      <c r="AB457" s="647"/>
      <c r="AC457" s="647"/>
    </row>
    <row r="458" spans="1:68" ht="27" hidden="1" customHeight="1" x14ac:dyDescent="0.25">
      <c r="A458" s="54" t="s">
        <v>746</v>
      </c>
      <c r="B458" s="54" t="s">
        <v>747</v>
      </c>
      <c r="C458" s="31">
        <v>4301060537</v>
      </c>
      <c r="D458" s="665">
        <v>4680115889545</v>
      </c>
      <c r="E458" s="666"/>
      <c r="F458" s="650">
        <v>0.7</v>
      </c>
      <c r="G458" s="32">
        <v>6</v>
      </c>
      <c r="H458" s="650">
        <v>4.2</v>
      </c>
      <c r="I458" s="650">
        <v>4.6159999999999997</v>
      </c>
      <c r="J458" s="32">
        <v>104</v>
      </c>
      <c r="K458" s="32" t="s">
        <v>114</v>
      </c>
      <c r="L458" s="32"/>
      <c r="M458" s="33" t="s">
        <v>78</v>
      </c>
      <c r="N458" s="33"/>
      <c r="O458" s="32">
        <v>30</v>
      </c>
      <c r="P458" s="73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4"/>
      <c r="V458" s="34"/>
      <c r="W458" s="35" t="s">
        <v>67</v>
      </c>
      <c r="X458" s="651">
        <v>0</v>
      </c>
      <c r="Y458" s="652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51" t="s">
        <v>748</v>
      </c>
      <c r="AG458" s="64"/>
      <c r="AJ458" s="68"/>
      <c r="AK458" s="68">
        <v>0</v>
      </c>
      <c r="BB458" s="55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16.5" customHeight="1" x14ac:dyDescent="0.25">
      <c r="A459" s="54" t="s">
        <v>749</v>
      </c>
      <c r="B459" s="54" t="s">
        <v>750</v>
      </c>
      <c r="C459" s="31">
        <v>4301060524</v>
      </c>
      <c r="D459" s="665">
        <v>4607091384673</v>
      </c>
      <c r="E459" s="666"/>
      <c r="F459" s="650">
        <v>1.5</v>
      </c>
      <c r="G459" s="32">
        <v>6</v>
      </c>
      <c r="H459" s="650">
        <v>9</v>
      </c>
      <c r="I459" s="650">
        <v>9.4939999999999998</v>
      </c>
      <c r="J459" s="32">
        <v>64</v>
      </c>
      <c r="K459" s="32" t="s">
        <v>114</v>
      </c>
      <c r="L459" s="32"/>
      <c r="M459" s="33" t="s">
        <v>78</v>
      </c>
      <c r="N459" s="33"/>
      <c r="O459" s="32">
        <v>40</v>
      </c>
      <c r="P459" s="8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4"/>
      <c r="V459" s="34"/>
      <c r="W459" s="35" t="s">
        <v>67</v>
      </c>
      <c r="X459" s="651">
        <v>50</v>
      </c>
      <c r="Y459" s="652">
        <f>IFERROR(IF(X459="",0,CEILING((X459/$H459),1)*$H459),"")</f>
        <v>54</v>
      </c>
      <c r="Z459" s="36">
        <f>IFERROR(IF(Y459=0,"",ROUNDUP(Y459/H459,0)*0.01898),"")</f>
        <v>0.11388000000000001</v>
      </c>
      <c r="AA459" s="56"/>
      <c r="AB459" s="57"/>
      <c r="AC459" s="553" t="s">
        <v>751</v>
      </c>
      <c r="AG459" s="64"/>
      <c r="AJ459" s="68"/>
      <c r="AK459" s="68">
        <v>0</v>
      </c>
      <c r="BB459" s="554" t="s">
        <v>1</v>
      </c>
      <c r="BM459" s="64">
        <f>IFERROR(X459*I459/H459,"0")</f>
        <v>52.74444444444444</v>
      </c>
      <c r="BN459" s="64">
        <f>IFERROR(Y459*I459/H459,"0")</f>
        <v>56.963999999999992</v>
      </c>
      <c r="BO459" s="64">
        <f>IFERROR(1/J459*(X459/H459),"0")</f>
        <v>8.6805555555555552E-2</v>
      </c>
      <c r="BP459" s="64">
        <f>IFERROR(1/J459*(Y459/H459),"0")</f>
        <v>9.375E-2</v>
      </c>
    </row>
    <row r="460" spans="1:68" x14ac:dyDescent="0.2">
      <c r="A460" s="692"/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93"/>
      <c r="P460" s="659" t="s">
        <v>72</v>
      </c>
      <c r="Q460" s="660"/>
      <c r="R460" s="660"/>
      <c r="S460" s="660"/>
      <c r="T460" s="660"/>
      <c r="U460" s="660"/>
      <c r="V460" s="661"/>
      <c r="W460" s="37" t="s">
        <v>73</v>
      </c>
      <c r="X460" s="653">
        <f>IFERROR(X458/H458,"0")+IFERROR(X459/H459,"0")</f>
        <v>5.5555555555555554</v>
      </c>
      <c r="Y460" s="653">
        <f>IFERROR(Y458/H458,"0")+IFERROR(Y459/H459,"0")</f>
        <v>6</v>
      </c>
      <c r="Z460" s="653">
        <f>IFERROR(IF(Z458="",0,Z458),"0")+IFERROR(IF(Z459="",0,Z459),"0")</f>
        <v>0.11388000000000001</v>
      </c>
      <c r="AA460" s="654"/>
      <c r="AB460" s="654"/>
      <c r="AC460" s="654"/>
    </row>
    <row r="461" spans="1:68" x14ac:dyDescent="0.2">
      <c r="A461" s="658"/>
      <c r="B461" s="658"/>
      <c r="C461" s="658"/>
      <c r="D461" s="658"/>
      <c r="E461" s="658"/>
      <c r="F461" s="658"/>
      <c r="G461" s="658"/>
      <c r="H461" s="658"/>
      <c r="I461" s="658"/>
      <c r="J461" s="658"/>
      <c r="K461" s="658"/>
      <c r="L461" s="658"/>
      <c r="M461" s="658"/>
      <c r="N461" s="658"/>
      <c r="O461" s="693"/>
      <c r="P461" s="659" t="s">
        <v>72</v>
      </c>
      <c r="Q461" s="660"/>
      <c r="R461" s="660"/>
      <c r="S461" s="660"/>
      <c r="T461" s="660"/>
      <c r="U461" s="660"/>
      <c r="V461" s="661"/>
      <c r="W461" s="37" t="s">
        <v>67</v>
      </c>
      <c r="X461" s="653">
        <f>IFERROR(SUM(X458:X459),"0")</f>
        <v>50</v>
      </c>
      <c r="Y461" s="653">
        <f>IFERROR(SUM(Y458:Y459),"0")</f>
        <v>54</v>
      </c>
      <c r="Z461" s="37"/>
      <c r="AA461" s="654"/>
      <c r="AB461" s="654"/>
      <c r="AC461" s="654"/>
    </row>
    <row r="462" spans="1:68" ht="16.5" hidden="1" customHeight="1" x14ac:dyDescent="0.25">
      <c r="A462" s="662" t="s">
        <v>752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46"/>
      <c r="AB462" s="646"/>
      <c r="AC462" s="646"/>
    </row>
    <row r="463" spans="1:68" ht="14.25" hidden="1" customHeight="1" x14ac:dyDescent="0.25">
      <c r="A463" s="657" t="s">
        <v>111</v>
      </c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8"/>
      <c r="P463" s="658"/>
      <c r="Q463" s="658"/>
      <c r="R463" s="658"/>
      <c r="S463" s="658"/>
      <c r="T463" s="658"/>
      <c r="U463" s="658"/>
      <c r="V463" s="658"/>
      <c r="W463" s="658"/>
      <c r="X463" s="658"/>
      <c r="Y463" s="658"/>
      <c r="Z463" s="658"/>
      <c r="AA463" s="647"/>
      <c r="AB463" s="647"/>
      <c r="AC463" s="647"/>
    </row>
    <row r="464" spans="1:68" ht="27" hidden="1" customHeight="1" x14ac:dyDescent="0.25">
      <c r="A464" s="54" t="s">
        <v>753</v>
      </c>
      <c r="B464" s="54" t="s">
        <v>754</v>
      </c>
      <c r="C464" s="31">
        <v>4301011875</v>
      </c>
      <c r="D464" s="665">
        <v>4680115884885</v>
      </c>
      <c r="E464" s="666"/>
      <c r="F464" s="650">
        <v>0.8</v>
      </c>
      <c r="G464" s="32">
        <v>15</v>
      </c>
      <c r="H464" s="650">
        <v>12</v>
      </c>
      <c r="I464" s="650">
        <v>12.41</v>
      </c>
      <c r="J464" s="32">
        <v>64</v>
      </c>
      <c r="K464" s="32" t="s">
        <v>114</v>
      </c>
      <c r="L464" s="32"/>
      <c r="M464" s="33" t="s">
        <v>66</v>
      </c>
      <c r="N464" s="33"/>
      <c r="O464" s="32">
        <v>60</v>
      </c>
      <c r="P464" s="75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4"/>
      <c r="V464" s="34"/>
      <c r="W464" s="35" t="s">
        <v>67</v>
      </c>
      <c r="X464" s="651">
        <v>0</v>
      </c>
      <c r="Y464" s="652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55" t="s">
        <v>755</v>
      </c>
      <c r="AG464" s="64"/>
      <c r="AJ464" s="68"/>
      <c r="AK464" s="68">
        <v>0</v>
      </c>
      <c r="BB464" s="55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37.5" hidden="1" customHeight="1" x14ac:dyDescent="0.25">
      <c r="A465" s="54" t="s">
        <v>756</v>
      </c>
      <c r="B465" s="54" t="s">
        <v>757</v>
      </c>
      <c r="C465" s="31">
        <v>4301011871</v>
      </c>
      <c r="D465" s="665">
        <v>4680115884908</v>
      </c>
      <c r="E465" s="666"/>
      <c r="F465" s="650">
        <v>0.4</v>
      </c>
      <c r="G465" s="32">
        <v>10</v>
      </c>
      <c r="H465" s="650">
        <v>4</v>
      </c>
      <c r="I465" s="650">
        <v>4.1900000000000004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60</v>
      </c>
      <c r="P465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4"/>
      <c r="V465" s="34"/>
      <c r="W465" s="35" t="s">
        <v>67</v>
      </c>
      <c r="X465" s="651">
        <v>0</v>
      </c>
      <c r="Y465" s="652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7" t="s">
        <v>755</v>
      </c>
      <c r="AG465" s="64"/>
      <c r="AJ465" s="68"/>
      <c r="AK465" s="68">
        <v>0</v>
      </c>
      <c r="BB465" s="55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92"/>
      <c r="B466" s="658"/>
      <c r="C466" s="658"/>
      <c r="D466" s="658"/>
      <c r="E466" s="658"/>
      <c r="F466" s="658"/>
      <c r="G466" s="658"/>
      <c r="H466" s="658"/>
      <c r="I466" s="658"/>
      <c r="J466" s="658"/>
      <c r="K466" s="658"/>
      <c r="L466" s="658"/>
      <c r="M466" s="658"/>
      <c r="N466" s="658"/>
      <c r="O466" s="693"/>
      <c r="P466" s="659" t="s">
        <v>72</v>
      </c>
      <c r="Q466" s="660"/>
      <c r="R466" s="660"/>
      <c r="S466" s="660"/>
      <c r="T466" s="660"/>
      <c r="U466" s="660"/>
      <c r="V466" s="661"/>
      <c r="W466" s="37" t="s">
        <v>73</v>
      </c>
      <c r="X466" s="653">
        <f>IFERROR(X464/H464,"0")+IFERROR(X465/H465,"0")</f>
        <v>0</v>
      </c>
      <c r="Y466" s="653">
        <f>IFERROR(Y464/H464,"0")+IFERROR(Y465/H465,"0")</f>
        <v>0</v>
      </c>
      <c r="Z466" s="653">
        <f>IFERROR(IF(Z464="",0,Z464),"0")+IFERROR(IF(Z465="",0,Z465),"0")</f>
        <v>0</v>
      </c>
      <c r="AA466" s="654"/>
      <c r="AB466" s="654"/>
      <c r="AC466" s="654"/>
    </row>
    <row r="467" spans="1:68" hidden="1" x14ac:dyDescent="0.2">
      <c r="A467" s="658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93"/>
      <c r="P467" s="659" t="s">
        <v>72</v>
      </c>
      <c r="Q467" s="660"/>
      <c r="R467" s="660"/>
      <c r="S467" s="660"/>
      <c r="T467" s="660"/>
      <c r="U467" s="660"/>
      <c r="V467" s="661"/>
      <c r="W467" s="37" t="s">
        <v>67</v>
      </c>
      <c r="X467" s="653">
        <f>IFERROR(SUM(X464:X465),"0")</f>
        <v>0</v>
      </c>
      <c r="Y467" s="653">
        <f>IFERROR(SUM(Y464:Y465),"0")</f>
        <v>0</v>
      </c>
      <c r="Z467" s="37"/>
      <c r="AA467" s="654"/>
      <c r="AB467" s="654"/>
      <c r="AC467" s="654"/>
    </row>
    <row r="468" spans="1:68" ht="14.25" hidden="1" customHeight="1" x14ac:dyDescent="0.25">
      <c r="A468" s="657" t="s">
        <v>62</v>
      </c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8"/>
      <c r="P468" s="658"/>
      <c r="Q468" s="658"/>
      <c r="R468" s="658"/>
      <c r="S468" s="658"/>
      <c r="T468" s="658"/>
      <c r="U468" s="658"/>
      <c r="V468" s="658"/>
      <c r="W468" s="658"/>
      <c r="X468" s="658"/>
      <c r="Y468" s="658"/>
      <c r="Z468" s="658"/>
      <c r="AA468" s="647"/>
      <c r="AB468" s="647"/>
      <c r="AC468" s="647"/>
    </row>
    <row r="469" spans="1:68" ht="27" hidden="1" customHeight="1" x14ac:dyDescent="0.25">
      <c r="A469" s="54" t="s">
        <v>758</v>
      </c>
      <c r="B469" s="54" t="s">
        <v>759</v>
      </c>
      <c r="C469" s="31">
        <v>4301031457</v>
      </c>
      <c r="D469" s="665">
        <v>4607091384802</v>
      </c>
      <c r="E469" s="666"/>
      <c r="F469" s="650">
        <v>0.7</v>
      </c>
      <c r="G469" s="32">
        <v>6</v>
      </c>
      <c r="H469" s="650">
        <v>4.2</v>
      </c>
      <c r="I469" s="650">
        <v>4.45</v>
      </c>
      <c r="J469" s="32">
        <v>132</v>
      </c>
      <c r="K469" s="32" t="s">
        <v>123</v>
      </c>
      <c r="L469" s="32"/>
      <c r="M469" s="33" t="s">
        <v>66</v>
      </c>
      <c r="N469" s="33"/>
      <c r="O469" s="32">
        <v>50</v>
      </c>
      <c r="P469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4"/>
      <c r="V469" s="34"/>
      <c r="W469" s="35" t="s">
        <v>67</v>
      </c>
      <c r="X469" s="651">
        <v>0</v>
      </c>
      <c r="Y469" s="652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59" t="s">
        <v>760</v>
      </c>
      <c r="AG469" s="64"/>
      <c r="AJ469" s="68"/>
      <c r="AK469" s="68">
        <v>0</v>
      </c>
      <c r="BB469" s="56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92"/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93"/>
      <c r="P470" s="659" t="s">
        <v>72</v>
      </c>
      <c r="Q470" s="660"/>
      <c r="R470" s="660"/>
      <c r="S470" s="660"/>
      <c r="T470" s="660"/>
      <c r="U470" s="660"/>
      <c r="V470" s="661"/>
      <c r="W470" s="37" t="s">
        <v>73</v>
      </c>
      <c r="X470" s="653">
        <f>IFERROR(X469/H469,"0")</f>
        <v>0</v>
      </c>
      <c r="Y470" s="653">
        <f>IFERROR(Y469/H469,"0")</f>
        <v>0</v>
      </c>
      <c r="Z470" s="653">
        <f>IFERROR(IF(Z469="",0,Z469),"0")</f>
        <v>0</v>
      </c>
      <c r="AA470" s="654"/>
      <c r="AB470" s="654"/>
      <c r="AC470" s="654"/>
    </row>
    <row r="471" spans="1:68" hidden="1" x14ac:dyDescent="0.2">
      <c r="A471" s="658"/>
      <c r="B471" s="658"/>
      <c r="C471" s="658"/>
      <c r="D471" s="658"/>
      <c r="E471" s="658"/>
      <c r="F471" s="658"/>
      <c r="G471" s="658"/>
      <c r="H471" s="658"/>
      <c r="I471" s="658"/>
      <c r="J471" s="658"/>
      <c r="K471" s="658"/>
      <c r="L471" s="658"/>
      <c r="M471" s="658"/>
      <c r="N471" s="658"/>
      <c r="O471" s="693"/>
      <c r="P471" s="659" t="s">
        <v>72</v>
      </c>
      <c r="Q471" s="660"/>
      <c r="R471" s="660"/>
      <c r="S471" s="660"/>
      <c r="T471" s="660"/>
      <c r="U471" s="660"/>
      <c r="V471" s="661"/>
      <c r="W471" s="37" t="s">
        <v>67</v>
      </c>
      <c r="X471" s="653">
        <f>IFERROR(SUM(X469:X469),"0")</f>
        <v>0</v>
      </c>
      <c r="Y471" s="653">
        <f>IFERROR(SUM(Y469:Y469),"0")</f>
        <v>0</v>
      </c>
      <c r="Z471" s="37"/>
      <c r="AA471" s="654"/>
      <c r="AB471" s="654"/>
      <c r="AC471" s="654"/>
    </row>
    <row r="472" spans="1:68" ht="14.25" hidden="1" customHeight="1" x14ac:dyDescent="0.25">
      <c r="A472" s="657" t="s">
        <v>74</v>
      </c>
      <c r="B472" s="658"/>
      <c r="C472" s="658"/>
      <c r="D472" s="658"/>
      <c r="E472" s="658"/>
      <c r="F472" s="658"/>
      <c r="G472" s="658"/>
      <c r="H472" s="658"/>
      <c r="I472" s="658"/>
      <c r="J472" s="658"/>
      <c r="K472" s="658"/>
      <c r="L472" s="658"/>
      <c r="M472" s="658"/>
      <c r="N472" s="658"/>
      <c r="O472" s="658"/>
      <c r="P472" s="658"/>
      <c r="Q472" s="658"/>
      <c r="R472" s="658"/>
      <c r="S472" s="658"/>
      <c r="T472" s="658"/>
      <c r="U472" s="658"/>
      <c r="V472" s="658"/>
      <c r="W472" s="658"/>
      <c r="X472" s="658"/>
      <c r="Y472" s="658"/>
      <c r="Z472" s="658"/>
      <c r="AA472" s="647"/>
      <c r="AB472" s="647"/>
      <c r="AC472" s="647"/>
    </row>
    <row r="473" spans="1:68" ht="27" hidden="1" customHeight="1" x14ac:dyDescent="0.25">
      <c r="A473" s="54" t="s">
        <v>761</v>
      </c>
      <c r="B473" s="54" t="s">
        <v>762</v>
      </c>
      <c r="C473" s="31">
        <v>4301051899</v>
      </c>
      <c r="D473" s="665">
        <v>4607091384246</v>
      </c>
      <c r="E473" s="666"/>
      <c r="F473" s="650">
        <v>1.5</v>
      </c>
      <c r="G473" s="32">
        <v>6</v>
      </c>
      <c r="H473" s="650">
        <v>9</v>
      </c>
      <c r="I473" s="650">
        <v>9.4939999999999998</v>
      </c>
      <c r="J473" s="32">
        <v>64</v>
      </c>
      <c r="K473" s="32" t="s">
        <v>114</v>
      </c>
      <c r="L473" s="32"/>
      <c r="M473" s="33" t="s">
        <v>78</v>
      </c>
      <c r="N473" s="33"/>
      <c r="O473" s="32">
        <v>40</v>
      </c>
      <c r="P47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4"/>
      <c r="V473" s="34"/>
      <c r="W473" s="35" t="s">
        <v>67</v>
      </c>
      <c r="X473" s="651">
        <v>0</v>
      </c>
      <c r="Y473" s="6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61" t="s">
        <v>763</v>
      </c>
      <c r="AG473" s="64"/>
      <c r="AJ473" s="68"/>
      <c r="AK473" s="68">
        <v>0</v>
      </c>
      <c r="BB473" s="56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764</v>
      </c>
      <c r="B474" s="54" t="s">
        <v>765</v>
      </c>
      <c r="C474" s="31">
        <v>4301051660</v>
      </c>
      <c r="D474" s="665">
        <v>4607091384253</v>
      </c>
      <c r="E474" s="666"/>
      <c r="F474" s="650">
        <v>0.4</v>
      </c>
      <c r="G474" s="32">
        <v>6</v>
      </c>
      <c r="H474" s="650">
        <v>2.4</v>
      </c>
      <c r="I474" s="650">
        <v>2.6640000000000001</v>
      </c>
      <c r="J474" s="32">
        <v>182</v>
      </c>
      <c r="K474" s="32" t="s">
        <v>77</v>
      </c>
      <c r="L474" s="32"/>
      <c r="M474" s="33" t="s">
        <v>78</v>
      </c>
      <c r="N474" s="33"/>
      <c r="O474" s="32">
        <v>40</v>
      </c>
      <c r="P474" s="7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4"/>
      <c r="V474" s="34"/>
      <c r="W474" s="35" t="s">
        <v>67</v>
      </c>
      <c r="X474" s="651">
        <v>4</v>
      </c>
      <c r="Y474" s="652">
        <f>IFERROR(IF(X474="",0,CEILING((X474/$H474),1)*$H474),"")</f>
        <v>4.8</v>
      </c>
      <c r="Z474" s="36">
        <f>IFERROR(IF(Y474=0,"",ROUNDUP(Y474/H474,0)*0.00651),"")</f>
        <v>1.302E-2</v>
      </c>
      <c r="AA474" s="56"/>
      <c r="AB474" s="57"/>
      <c r="AC474" s="563" t="s">
        <v>763</v>
      </c>
      <c r="AG474" s="64"/>
      <c r="AJ474" s="68"/>
      <c r="AK474" s="68">
        <v>0</v>
      </c>
      <c r="BB474" s="564" t="s">
        <v>1</v>
      </c>
      <c r="BM474" s="64">
        <f>IFERROR(X474*I474/H474,"0")</f>
        <v>4.4400000000000004</v>
      </c>
      <c r="BN474" s="64">
        <f>IFERROR(Y474*I474/H474,"0")</f>
        <v>5.3280000000000003</v>
      </c>
      <c r="BO474" s="64">
        <f>IFERROR(1/J474*(X474/H474),"0")</f>
        <v>9.1575091575091579E-3</v>
      </c>
      <c r="BP474" s="64">
        <f>IFERROR(1/J474*(Y474/H474),"0")</f>
        <v>1.098901098901099E-2</v>
      </c>
    </row>
    <row r="475" spans="1:68" ht="27" hidden="1" customHeight="1" x14ac:dyDescent="0.25">
      <c r="A475" s="54" t="s">
        <v>764</v>
      </c>
      <c r="B475" s="54" t="s">
        <v>766</v>
      </c>
      <c r="C475" s="31">
        <v>4301052069</v>
      </c>
      <c r="D475" s="665">
        <v>4607091384253</v>
      </c>
      <c r="E475" s="666"/>
      <c r="F475" s="650">
        <v>0.4</v>
      </c>
      <c r="G475" s="32">
        <v>6</v>
      </c>
      <c r="H475" s="650">
        <v>2.4</v>
      </c>
      <c r="I475" s="650">
        <v>2.6640000000000001</v>
      </c>
      <c r="J475" s="32">
        <v>182</v>
      </c>
      <c r="K475" s="32" t="s">
        <v>77</v>
      </c>
      <c r="L475" s="32"/>
      <c r="M475" s="33" t="s">
        <v>78</v>
      </c>
      <c r="N475" s="33"/>
      <c r="O475" s="32">
        <v>40</v>
      </c>
      <c r="P47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4"/>
      <c r="V475" s="34"/>
      <c r="W475" s="35" t="s">
        <v>67</v>
      </c>
      <c r="X475" s="651">
        <v>0</v>
      </c>
      <c r="Y475" s="652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65" t="s">
        <v>767</v>
      </c>
      <c r="AG475" s="64"/>
      <c r="AJ475" s="68"/>
      <c r="AK475" s="68">
        <v>0</v>
      </c>
      <c r="BB475" s="566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92"/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93"/>
      <c r="P476" s="659" t="s">
        <v>72</v>
      </c>
      <c r="Q476" s="660"/>
      <c r="R476" s="660"/>
      <c r="S476" s="660"/>
      <c r="T476" s="660"/>
      <c r="U476" s="660"/>
      <c r="V476" s="661"/>
      <c r="W476" s="37" t="s">
        <v>73</v>
      </c>
      <c r="X476" s="653">
        <f>IFERROR(X473/H473,"0")+IFERROR(X474/H474,"0")+IFERROR(X475/H475,"0")</f>
        <v>1.6666666666666667</v>
      </c>
      <c r="Y476" s="653">
        <f>IFERROR(Y473/H473,"0")+IFERROR(Y474/H474,"0")+IFERROR(Y475/H475,"0")</f>
        <v>2</v>
      </c>
      <c r="Z476" s="653">
        <f>IFERROR(IF(Z473="",0,Z473),"0")+IFERROR(IF(Z474="",0,Z474),"0")+IFERROR(IF(Z475="",0,Z475),"0")</f>
        <v>1.302E-2</v>
      </c>
      <c r="AA476" s="654"/>
      <c r="AB476" s="654"/>
      <c r="AC476" s="654"/>
    </row>
    <row r="477" spans="1:68" x14ac:dyDescent="0.2">
      <c r="A477" s="658"/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93"/>
      <c r="P477" s="659" t="s">
        <v>72</v>
      </c>
      <c r="Q477" s="660"/>
      <c r="R477" s="660"/>
      <c r="S477" s="660"/>
      <c r="T477" s="660"/>
      <c r="U477" s="660"/>
      <c r="V477" s="661"/>
      <c r="W477" s="37" t="s">
        <v>67</v>
      </c>
      <c r="X477" s="653">
        <f>IFERROR(SUM(X473:X475),"0")</f>
        <v>4</v>
      </c>
      <c r="Y477" s="653">
        <f>IFERROR(SUM(Y473:Y475),"0")</f>
        <v>4.8</v>
      </c>
      <c r="Z477" s="37"/>
      <c r="AA477" s="654"/>
      <c r="AB477" s="654"/>
      <c r="AC477" s="654"/>
    </row>
    <row r="478" spans="1:68" ht="27.75" hidden="1" customHeight="1" x14ac:dyDescent="0.2">
      <c r="A478" s="655" t="s">
        <v>768</v>
      </c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6"/>
      <c r="P478" s="656"/>
      <c r="Q478" s="656"/>
      <c r="R478" s="656"/>
      <c r="S478" s="656"/>
      <c r="T478" s="656"/>
      <c r="U478" s="656"/>
      <c r="V478" s="656"/>
      <c r="W478" s="656"/>
      <c r="X478" s="656"/>
      <c r="Y478" s="656"/>
      <c r="Z478" s="656"/>
      <c r="AA478" s="48"/>
      <c r="AB478" s="48"/>
      <c r="AC478" s="48"/>
    </row>
    <row r="479" spans="1:68" ht="16.5" hidden="1" customHeight="1" x14ac:dyDescent="0.25">
      <c r="A479" s="662" t="s">
        <v>769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46"/>
      <c r="AB479" s="646"/>
      <c r="AC479" s="646"/>
    </row>
    <row r="480" spans="1:68" ht="14.25" hidden="1" customHeight="1" x14ac:dyDescent="0.25">
      <c r="A480" s="657" t="s">
        <v>62</v>
      </c>
      <c r="B480" s="658"/>
      <c r="C480" s="658"/>
      <c r="D480" s="658"/>
      <c r="E480" s="658"/>
      <c r="F480" s="658"/>
      <c r="G480" s="658"/>
      <c r="H480" s="658"/>
      <c r="I480" s="658"/>
      <c r="J480" s="658"/>
      <c r="K480" s="658"/>
      <c r="L480" s="658"/>
      <c r="M480" s="658"/>
      <c r="N480" s="658"/>
      <c r="O480" s="658"/>
      <c r="P480" s="658"/>
      <c r="Q480" s="658"/>
      <c r="R480" s="658"/>
      <c r="S480" s="658"/>
      <c r="T480" s="658"/>
      <c r="U480" s="658"/>
      <c r="V480" s="658"/>
      <c r="W480" s="658"/>
      <c r="X480" s="658"/>
      <c r="Y480" s="658"/>
      <c r="Z480" s="658"/>
      <c r="AA480" s="647"/>
      <c r="AB480" s="647"/>
      <c r="AC480" s="647"/>
    </row>
    <row r="481" spans="1:68" ht="27" customHeight="1" x14ac:dyDescent="0.25">
      <c r="A481" s="54" t="s">
        <v>770</v>
      </c>
      <c r="B481" s="54" t="s">
        <v>771</v>
      </c>
      <c r="C481" s="31">
        <v>4301031405</v>
      </c>
      <c r="D481" s="665">
        <v>4680115886100</v>
      </c>
      <c r="E481" s="666"/>
      <c r="F481" s="650">
        <v>0.9</v>
      </c>
      <c r="G481" s="32">
        <v>6</v>
      </c>
      <c r="H481" s="650">
        <v>5.4</v>
      </c>
      <c r="I481" s="650">
        <v>5.59</v>
      </c>
      <c r="J481" s="32">
        <v>132</v>
      </c>
      <c r="K481" s="32" t="s">
        <v>123</v>
      </c>
      <c r="L481" s="32"/>
      <c r="M481" s="33" t="s">
        <v>66</v>
      </c>
      <c r="N481" s="33"/>
      <c r="O481" s="32">
        <v>50</v>
      </c>
      <c r="P481" s="7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4"/>
      <c r="V481" s="34"/>
      <c r="W481" s="35" t="s">
        <v>67</v>
      </c>
      <c r="X481" s="651">
        <v>20</v>
      </c>
      <c r="Y481" s="652">
        <f t="shared" ref="Y481:Y486" si="70">IFERROR(IF(X481="",0,CEILING((X481/$H481),1)*$H481),"")</f>
        <v>21.6</v>
      </c>
      <c r="Z481" s="36">
        <f>IFERROR(IF(Y481=0,"",ROUNDUP(Y481/H481,0)*0.00902),"")</f>
        <v>3.6080000000000001E-2</v>
      </c>
      <c r="AA481" s="56"/>
      <c r="AB481" s="57"/>
      <c r="AC481" s="567" t="s">
        <v>772</v>
      </c>
      <c r="AG481" s="64"/>
      <c r="AJ481" s="68"/>
      <c r="AK481" s="68">
        <v>0</v>
      </c>
      <c r="BB481" s="568" t="s">
        <v>1</v>
      </c>
      <c r="BM481" s="64">
        <f t="shared" ref="BM481:BM486" si="71">IFERROR(X481*I481/H481,"0")</f>
        <v>20.703703703703702</v>
      </c>
      <c r="BN481" s="64">
        <f t="shared" ref="BN481:BN486" si="72">IFERROR(Y481*I481/H481,"0")</f>
        <v>22.36</v>
      </c>
      <c r="BO481" s="64">
        <f t="shared" ref="BO481:BO486" si="73">IFERROR(1/J481*(X481/H481),"0")</f>
        <v>2.8058361391694722E-2</v>
      </c>
      <c r="BP481" s="64">
        <f t="shared" ref="BP481:BP486" si="74">IFERROR(1/J481*(Y481/H481),"0")</f>
        <v>3.0303030303030304E-2</v>
      </c>
    </row>
    <row r="482" spans="1:68" ht="27" hidden="1" customHeight="1" x14ac:dyDescent="0.25">
      <c r="A482" s="54" t="s">
        <v>773</v>
      </c>
      <c r="B482" s="54" t="s">
        <v>774</v>
      </c>
      <c r="C482" s="31">
        <v>4301031402</v>
      </c>
      <c r="D482" s="665">
        <v>4680115886124</v>
      </c>
      <c r="E482" s="666"/>
      <c r="F482" s="650">
        <v>0.9</v>
      </c>
      <c r="G482" s="32">
        <v>6</v>
      </c>
      <c r="H482" s="650">
        <v>5.4</v>
      </c>
      <c r="I482" s="650">
        <v>5.59</v>
      </c>
      <c r="J482" s="32">
        <v>132</v>
      </c>
      <c r="K482" s="32" t="s">
        <v>123</v>
      </c>
      <c r="L482" s="32"/>
      <c r="M482" s="33" t="s">
        <v>66</v>
      </c>
      <c r="N482" s="33"/>
      <c r="O482" s="32">
        <v>50</v>
      </c>
      <c r="P482" s="77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4"/>
      <c r="V482" s="34"/>
      <c r="W482" s="35" t="s">
        <v>67</v>
      </c>
      <c r="X482" s="651">
        <v>0</v>
      </c>
      <c r="Y482" s="652">
        <f t="shared" si="70"/>
        <v>0</v>
      </c>
      <c r="Z482" s="36" t="str">
        <f>IFERROR(IF(Y482=0,"",ROUNDUP(Y482/H482,0)*0.00902),"")</f>
        <v/>
      </c>
      <c r="AA482" s="56"/>
      <c r="AB482" s="57"/>
      <c r="AC482" s="569" t="s">
        <v>775</v>
      </c>
      <c r="AG482" s="64"/>
      <c r="AJ482" s="68"/>
      <c r="AK482" s="68">
        <v>0</v>
      </c>
      <c r="BB482" s="570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27" hidden="1" customHeight="1" x14ac:dyDescent="0.25">
      <c r="A483" s="54" t="s">
        <v>776</v>
      </c>
      <c r="B483" s="54" t="s">
        <v>777</v>
      </c>
      <c r="C483" s="31">
        <v>4301031362</v>
      </c>
      <c r="D483" s="665">
        <v>4607091384338</v>
      </c>
      <c r="E483" s="666"/>
      <c r="F483" s="650">
        <v>0.35</v>
      </c>
      <c r="G483" s="32">
        <v>6</v>
      </c>
      <c r="H483" s="650">
        <v>2.1</v>
      </c>
      <c r="I483" s="650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4"/>
      <c r="V483" s="34"/>
      <c r="W483" s="35" t="s">
        <v>67</v>
      </c>
      <c r="X483" s="651">
        <v>0</v>
      </c>
      <c r="Y483" s="652">
        <f t="shared" si="70"/>
        <v>0</v>
      </c>
      <c r="Z483" s="36" t="str">
        <f>IFERROR(IF(Y483=0,"",ROUNDUP(Y483/H483,0)*0.00502),"")</f>
        <v/>
      </c>
      <c r="AA483" s="56"/>
      <c r="AB483" s="57"/>
      <c r="AC483" s="571" t="s">
        <v>772</v>
      </c>
      <c r="AG483" s="64"/>
      <c r="AJ483" s="68"/>
      <c r="AK483" s="68">
        <v>0</v>
      </c>
      <c r="BB483" s="572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778</v>
      </c>
      <c r="B484" s="54" t="s">
        <v>779</v>
      </c>
      <c r="C484" s="31">
        <v>4301031364</v>
      </c>
      <c r="D484" s="665">
        <v>4680115883161</v>
      </c>
      <c r="E484" s="666"/>
      <c r="F484" s="650">
        <v>0.28000000000000003</v>
      </c>
      <c r="G484" s="32">
        <v>6</v>
      </c>
      <c r="H484" s="650">
        <v>1.68</v>
      </c>
      <c r="I484" s="650">
        <v>1.81</v>
      </c>
      <c r="J484" s="32">
        <v>234</v>
      </c>
      <c r="K484" s="32" t="s">
        <v>65</v>
      </c>
      <c r="L484" s="32"/>
      <c r="M484" s="33" t="s">
        <v>66</v>
      </c>
      <c r="N484" s="33"/>
      <c r="O484" s="32">
        <v>50</v>
      </c>
      <c r="P484" s="10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4"/>
      <c r="V484" s="34"/>
      <c r="W484" s="35" t="s">
        <v>67</v>
      </c>
      <c r="X484" s="651">
        <v>0</v>
      </c>
      <c r="Y484" s="652">
        <f t="shared" si="70"/>
        <v>0</v>
      </c>
      <c r="Z484" s="36" t="str">
        <f>IFERROR(IF(Y484=0,"",ROUNDUP(Y484/H484,0)*0.00502),"")</f>
        <v/>
      </c>
      <c r="AA484" s="56"/>
      <c r="AB484" s="57"/>
      <c r="AC484" s="573" t="s">
        <v>780</v>
      </c>
      <c r="AG484" s="64"/>
      <c r="AJ484" s="68"/>
      <c r="AK484" s="68">
        <v>0</v>
      </c>
      <c r="BB484" s="574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27" hidden="1" customHeight="1" x14ac:dyDescent="0.25">
      <c r="A485" s="54" t="s">
        <v>781</v>
      </c>
      <c r="B485" s="54" t="s">
        <v>782</v>
      </c>
      <c r="C485" s="31">
        <v>4301031358</v>
      </c>
      <c r="D485" s="665">
        <v>4607091389531</v>
      </c>
      <c r="E485" s="666"/>
      <c r="F485" s="650">
        <v>0.35</v>
      </c>
      <c r="G485" s="32">
        <v>6</v>
      </c>
      <c r="H485" s="650">
        <v>2.1</v>
      </c>
      <c r="I485" s="650">
        <v>2.23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4"/>
      <c r="V485" s="34"/>
      <c r="W485" s="35" t="s">
        <v>67</v>
      </c>
      <c r="X485" s="651">
        <v>0</v>
      </c>
      <c r="Y485" s="652">
        <f t="shared" si="70"/>
        <v>0</v>
      </c>
      <c r="Z485" s="36" t="str">
        <f>IFERROR(IF(Y485=0,"",ROUNDUP(Y485/H485,0)*0.00502),"")</f>
        <v/>
      </c>
      <c r="AA485" s="56"/>
      <c r="AB485" s="57"/>
      <c r="AC485" s="575" t="s">
        <v>783</v>
      </c>
      <c r="AG485" s="64"/>
      <c r="AJ485" s="68"/>
      <c r="AK485" s="68">
        <v>0</v>
      </c>
      <c r="BB485" s="576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37.5" hidden="1" customHeight="1" x14ac:dyDescent="0.25">
      <c r="A486" s="54" t="s">
        <v>784</v>
      </c>
      <c r="B486" s="54" t="s">
        <v>785</v>
      </c>
      <c r="C486" s="31">
        <v>4301031360</v>
      </c>
      <c r="D486" s="665">
        <v>4607091384345</v>
      </c>
      <c r="E486" s="666"/>
      <c r="F486" s="650">
        <v>0.35</v>
      </c>
      <c r="G486" s="32">
        <v>6</v>
      </c>
      <c r="H486" s="650">
        <v>2.1</v>
      </c>
      <c r="I486" s="650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4"/>
      <c r="V486" s="34"/>
      <c r="W486" s="35" t="s">
        <v>67</v>
      </c>
      <c r="X486" s="651">
        <v>0</v>
      </c>
      <c r="Y486" s="652">
        <f t="shared" si="70"/>
        <v>0</v>
      </c>
      <c r="Z486" s="36" t="str">
        <f>IFERROR(IF(Y486=0,"",ROUNDUP(Y486/H486,0)*0.00502),"")</f>
        <v/>
      </c>
      <c r="AA486" s="56"/>
      <c r="AB486" s="57"/>
      <c r="AC486" s="577" t="s">
        <v>780</v>
      </c>
      <c r="AG486" s="64"/>
      <c r="AJ486" s="68"/>
      <c r="AK486" s="68">
        <v>0</v>
      </c>
      <c r="BB486" s="578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x14ac:dyDescent="0.2">
      <c r="A487" s="692"/>
      <c r="B487" s="658"/>
      <c r="C487" s="658"/>
      <c r="D487" s="658"/>
      <c r="E487" s="658"/>
      <c r="F487" s="658"/>
      <c r="G487" s="658"/>
      <c r="H487" s="658"/>
      <c r="I487" s="658"/>
      <c r="J487" s="658"/>
      <c r="K487" s="658"/>
      <c r="L487" s="658"/>
      <c r="M487" s="658"/>
      <c r="N487" s="658"/>
      <c r="O487" s="693"/>
      <c r="P487" s="659" t="s">
        <v>72</v>
      </c>
      <c r="Q487" s="660"/>
      <c r="R487" s="660"/>
      <c r="S487" s="660"/>
      <c r="T487" s="660"/>
      <c r="U487" s="660"/>
      <c r="V487" s="661"/>
      <c r="W487" s="37" t="s">
        <v>73</v>
      </c>
      <c r="X487" s="653">
        <f>IFERROR(X481/H481,"0")+IFERROR(X482/H482,"0")+IFERROR(X483/H483,"0")+IFERROR(X484/H484,"0")+IFERROR(X485/H485,"0")+IFERROR(X486/H486,"0")</f>
        <v>3.7037037037037033</v>
      </c>
      <c r="Y487" s="653">
        <f>IFERROR(Y481/H481,"0")+IFERROR(Y482/H482,"0")+IFERROR(Y483/H483,"0")+IFERROR(Y484/H484,"0")+IFERROR(Y485/H485,"0")+IFERROR(Y486/H486,"0")</f>
        <v>4</v>
      </c>
      <c r="Z487" s="653">
        <f>IFERROR(IF(Z481="",0,Z481),"0")+IFERROR(IF(Z482="",0,Z482),"0")+IFERROR(IF(Z483="",0,Z483),"0")+IFERROR(IF(Z484="",0,Z484),"0")+IFERROR(IF(Z485="",0,Z485),"0")+IFERROR(IF(Z486="",0,Z486),"0")</f>
        <v>3.6080000000000001E-2</v>
      </c>
      <c r="AA487" s="654"/>
      <c r="AB487" s="654"/>
      <c r="AC487" s="654"/>
    </row>
    <row r="488" spans="1:68" x14ac:dyDescent="0.2">
      <c r="A488" s="658"/>
      <c r="B488" s="658"/>
      <c r="C488" s="658"/>
      <c r="D488" s="658"/>
      <c r="E488" s="658"/>
      <c r="F488" s="658"/>
      <c r="G488" s="658"/>
      <c r="H488" s="658"/>
      <c r="I488" s="658"/>
      <c r="J488" s="658"/>
      <c r="K488" s="658"/>
      <c r="L488" s="658"/>
      <c r="M488" s="658"/>
      <c r="N488" s="658"/>
      <c r="O488" s="693"/>
      <c r="P488" s="659" t="s">
        <v>72</v>
      </c>
      <c r="Q488" s="660"/>
      <c r="R488" s="660"/>
      <c r="S488" s="660"/>
      <c r="T488" s="660"/>
      <c r="U488" s="660"/>
      <c r="V488" s="661"/>
      <c r="W488" s="37" t="s">
        <v>67</v>
      </c>
      <c r="X488" s="653">
        <f>IFERROR(SUM(X481:X486),"0")</f>
        <v>20</v>
      </c>
      <c r="Y488" s="653">
        <f>IFERROR(SUM(Y481:Y486),"0")</f>
        <v>21.6</v>
      </c>
      <c r="Z488" s="37"/>
      <c r="AA488" s="654"/>
      <c r="AB488" s="654"/>
      <c r="AC488" s="654"/>
    </row>
    <row r="489" spans="1:68" ht="14.25" hidden="1" customHeight="1" x14ac:dyDescent="0.25">
      <c r="A489" s="657" t="s">
        <v>74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47"/>
      <c r="AB489" s="647"/>
      <c r="AC489" s="647"/>
    </row>
    <row r="490" spans="1:68" ht="27" hidden="1" customHeight="1" x14ac:dyDescent="0.25">
      <c r="A490" s="54" t="s">
        <v>786</v>
      </c>
      <c r="B490" s="54" t="s">
        <v>787</v>
      </c>
      <c r="C490" s="31">
        <v>4301051284</v>
      </c>
      <c r="D490" s="665">
        <v>4607091384352</v>
      </c>
      <c r="E490" s="666"/>
      <c r="F490" s="650">
        <v>0.6</v>
      </c>
      <c r="G490" s="32">
        <v>4</v>
      </c>
      <c r="H490" s="650">
        <v>2.4</v>
      </c>
      <c r="I490" s="650">
        <v>2.6259999999999999</v>
      </c>
      <c r="J490" s="32">
        <v>132</v>
      </c>
      <c r="K490" s="32" t="s">
        <v>123</v>
      </c>
      <c r="L490" s="32"/>
      <c r="M490" s="33" t="s">
        <v>78</v>
      </c>
      <c r="N490" s="33"/>
      <c r="O490" s="32">
        <v>45</v>
      </c>
      <c r="P490" s="9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4"/>
      <c r="V490" s="34"/>
      <c r="W490" s="35" t="s">
        <v>67</v>
      </c>
      <c r="X490" s="651">
        <v>0</v>
      </c>
      <c r="Y490" s="652">
        <f>IFERROR(IF(X490="",0,CEILING((X490/$H490),1)*$H490),"")</f>
        <v>0</v>
      </c>
      <c r="Z490" s="36" t="str">
        <f>IFERROR(IF(Y490=0,"",ROUNDUP(Y490/H490,0)*0.00902),"")</f>
        <v/>
      </c>
      <c r="AA490" s="56"/>
      <c r="AB490" s="57"/>
      <c r="AC490" s="579" t="s">
        <v>788</v>
      </c>
      <c r="AG490" s="64"/>
      <c r="AJ490" s="68"/>
      <c r="AK490" s="68">
        <v>0</v>
      </c>
      <c r="BB490" s="58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789</v>
      </c>
      <c r="B491" s="54" t="s">
        <v>790</v>
      </c>
      <c r="C491" s="31">
        <v>4301051431</v>
      </c>
      <c r="D491" s="665">
        <v>4607091389654</v>
      </c>
      <c r="E491" s="666"/>
      <c r="F491" s="650">
        <v>0.33</v>
      </c>
      <c r="G491" s="32">
        <v>6</v>
      </c>
      <c r="H491" s="650">
        <v>1.98</v>
      </c>
      <c r="I491" s="650">
        <v>2.238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45</v>
      </c>
      <c r="P491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4"/>
      <c r="V491" s="34"/>
      <c r="W491" s="35" t="s">
        <v>67</v>
      </c>
      <c r="X491" s="651">
        <v>0</v>
      </c>
      <c r="Y491" s="65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81" t="s">
        <v>791</v>
      </c>
      <c r="AG491" s="64"/>
      <c r="AJ491" s="68"/>
      <c r="AK491" s="68">
        <v>0</v>
      </c>
      <c r="BB491" s="58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92"/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93"/>
      <c r="P492" s="659" t="s">
        <v>72</v>
      </c>
      <c r="Q492" s="660"/>
      <c r="R492" s="660"/>
      <c r="S492" s="660"/>
      <c r="T492" s="660"/>
      <c r="U492" s="660"/>
      <c r="V492" s="661"/>
      <c r="W492" s="37" t="s">
        <v>73</v>
      </c>
      <c r="X492" s="653">
        <f>IFERROR(X490/H490,"0")+IFERROR(X491/H491,"0")</f>
        <v>0</v>
      </c>
      <c r="Y492" s="653">
        <f>IFERROR(Y490/H490,"0")+IFERROR(Y491/H491,"0")</f>
        <v>0</v>
      </c>
      <c r="Z492" s="653">
        <f>IFERROR(IF(Z490="",0,Z490),"0")+IFERROR(IF(Z491="",0,Z491),"0")</f>
        <v>0</v>
      </c>
      <c r="AA492" s="654"/>
      <c r="AB492" s="654"/>
      <c r="AC492" s="654"/>
    </row>
    <row r="493" spans="1:68" hidden="1" x14ac:dyDescent="0.2">
      <c r="A493" s="658"/>
      <c r="B493" s="658"/>
      <c r="C493" s="658"/>
      <c r="D493" s="658"/>
      <c r="E493" s="658"/>
      <c r="F493" s="658"/>
      <c r="G493" s="658"/>
      <c r="H493" s="658"/>
      <c r="I493" s="658"/>
      <c r="J493" s="658"/>
      <c r="K493" s="658"/>
      <c r="L493" s="658"/>
      <c r="M493" s="658"/>
      <c r="N493" s="658"/>
      <c r="O493" s="693"/>
      <c r="P493" s="659" t="s">
        <v>72</v>
      </c>
      <c r="Q493" s="660"/>
      <c r="R493" s="660"/>
      <c r="S493" s="660"/>
      <c r="T493" s="660"/>
      <c r="U493" s="660"/>
      <c r="V493" s="661"/>
      <c r="W493" s="37" t="s">
        <v>67</v>
      </c>
      <c r="X493" s="653">
        <f>IFERROR(SUM(X490:X491),"0")</f>
        <v>0</v>
      </c>
      <c r="Y493" s="653">
        <f>IFERROR(SUM(Y490:Y491),"0")</f>
        <v>0</v>
      </c>
      <c r="Z493" s="37"/>
      <c r="AA493" s="654"/>
      <c r="AB493" s="654"/>
      <c r="AC493" s="654"/>
    </row>
    <row r="494" spans="1:68" ht="16.5" hidden="1" customHeight="1" x14ac:dyDescent="0.25">
      <c r="A494" s="662" t="s">
        <v>792</v>
      </c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8"/>
      <c r="P494" s="658"/>
      <c r="Q494" s="658"/>
      <c r="R494" s="658"/>
      <c r="S494" s="658"/>
      <c r="T494" s="658"/>
      <c r="U494" s="658"/>
      <c r="V494" s="658"/>
      <c r="W494" s="658"/>
      <c r="X494" s="658"/>
      <c r="Y494" s="658"/>
      <c r="Z494" s="658"/>
      <c r="AA494" s="646"/>
      <c r="AB494" s="646"/>
      <c r="AC494" s="646"/>
    </row>
    <row r="495" spans="1:68" ht="14.25" hidden="1" customHeight="1" x14ac:dyDescent="0.25">
      <c r="A495" s="657" t="s">
        <v>144</v>
      </c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8"/>
      <c r="P495" s="658"/>
      <c r="Q495" s="658"/>
      <c r="R495" s="658"/>
      <c r="S495" s="658"/>
      <c r="T495" s="658"/>
      <c r="U495" s="658"/>
      <c r="V495" s="658"/>
      <c r="W495" s="658"/>
      <c r="X495" s="658"/>
      <c r="Y495" s="658"/>
      <c r="Z495" s="658"/>
      <c r="AA495" s="647"/>
      <c r="AB495" s="647"/>
      <c r="AC495" s="647"/>
    </row>
    <row r="496" spans="1:68" ht="27" hidden="1" customHeight="1" x14ac:dyDescent="0.25">
      <c r="A496" s="54" t="s">
        <v>793</v>
      </c>
      <c r="B496" s="54" t="s">
        <v>794</v>
      </c>
      <c r="C496" s="31">
        <v>4301020416</v>
      </c>
      <c r="D496" s="665">
        <v>4680115885240</v>
      </c>
      <c r="E496" s="666"/>
      <c r="F496" s="650">
        <v>0.35</v>
      </c>
      <c r="G496" s="32">
        <v>6</v>
      </c>
      <c r="H496" s="650">
        <v>2.1</v>
      </c>
      <c r="I496" s="650">
        <v>2.31</v>
      </c>
      <c r="J496" s="32">
        <v>182</v>
      </c>
      <c r="K496" s="32" t="s">
        <v>77</v>
      </c>
      <c r="L496" s="32"/>
      <c r="M496" s="33" t="s">
        <v>66</v>
      </c>
      <c r="N496" s="33"/>
      <c r="O496" s="32">
        <v>40</v>
      </c>
      <c r="P496" s="83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4"/>
      <c r="V496" s="34"/>
      <c r="W496" s="35" t="s">
        <v>67</v>
      </c>
      <c r="X496" s="651">
        <v>0</v>
      </c>
      <c r="Y496" s="652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83" t="s">
        <v>795</v>
      </c>
      <c r="AG496" s="64"/>
      <c r="AJ496" s="68"/>
      <c r="AK496" s="68">
        <v>0</v>
      </c>
      <c r="BB496" s="584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92"/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93"/>
      <c r="P497" s="659" t="s">
        <v>72</v>
      </c>
      <c r="Q497" s="660"/>
      <c r="R497" s="660"/>
      <c r="S497" s="660"/>
      <c r="T497" s="660"/>
      <c r="U497" s="660"/>
      <c r="V497" s="661"/>
      <c r="W497" s="37" t="s">
        <v>73</v>
      </c>
      <c r="X497" s="653">
        <f>IFERROR(X496/H496,"0")</f>
        <v>0</v>
      </c>
      <c r="Y497" s="653">
        <f>IFERROR(Y496/H496,"0")</f>
        <v>0</v>
      </c>
      <c r="Z497" s="653">
        <f>IFERROR(IF(Z496="",0,Z496),"0")</f>
        <v>0</v>
      </c>
      <c r="AA497" s="654"/>
      <c r="AB497" s="654"/>
      <c r="AC497" s="654"/>
    </row>
    <row r="498" spans="1:68" hidden="1" x14ac:dyDescent="0.2">
      <c r="A498" s="658"/>
      <c r="B498" s="658"/>
      <c r="C498" s="658"/>
      <c r="D498" s="658"/>
      <c r="E498" s="658"/>
      <c r="F498" s="658"/>
      <c r="G498" s="658"/>
      <c r="H498" s="658"/>
      <c r="I498" s="658"/>
      <c r="J498" s="658"/>
      <c r="K498" s="658"/>
      <c r="L498" s="658"/>
      <c r="M498" s="658"/>
      <c r="N498" s="658"/>
      <c r="O498" s="693"/>
      <c r="P498" s="659" t="s">
        <v>72</v>
      </c>
      <c r="Q498" s="660"/>
      <c r="R498" s="660"/>
      <c r="S498" s="660"/>
      <c r="T498" s="660"/>
      <c r="U498" s="660"/>
      <c r="V498" s="661"/>
      <c r="W498" s="37" t="s">
        <v>67</v>
      </c>
      <c r="X498" s="653">
        <f>IFERROR(SUM(X496:X496),"0")</f>
        <v>0</v>
      </c>
      <c r="Y498" s="653">
        <f>IFERROR(SUM(Y496:Y496),"0")</f>
        <v>0</v>
      </c>
      <c r="Z498" s="37"/>
      <c r="AA498" s="654"/>
      <c r="AB498" s="654"/>
      <c r="AC498" s="654"/>
    </row>
    <row r="499" spans="1:68" ht="14.25" hidden="1" customHeight="1" x14ac:dyDescent="0.25">
      <c r="A499" s="657" t="s">
        <v>62</v>
      </c>
      <c r="B499" s="658"/>
      <c r="C499" s="658"/>
      <c r="D499" s="658"/>
      <c r="E499" s="658"/>
      <c r="F499" s="658"/>
      <c r="G499" s="658"/>
      <c r="H499" s="658"/>
      <c r="I499" s="658"/>
      <c r="J499" s="658"/>
      <c r="K499" s="658"/>
      <c r="L499" s="658"/>
      <c r="M499" s="658"/>
      <c r="N499" s="658"/>
      <c r="O499" s="658"/>
      <c r="P499" s="658"/>
      <c r="Q499" s="658"/>
      <c r="R499" s="658"/>
      <c r="S499" s="658"/>
      <c r="T499" s="658"/>
      <c r="U499" s="658"/>
      <c r="V499" s="658"/>
      <c r="W499" s="658"/>
      <c r="X499" s="658"/>
      <c r="Y499" s="658"/>
      <c r="Z499" s="658"/>
      <c r="AA499" s="647"/>
      <c r="AB499" s="647"/>
      <c r="AC499" s="647"/>
    </row>
    <row r="500" spans="1:68" ht="27" hidden="1" customHeight="1" x14ac:dyDescent="0.25">
      <c r="A500" s="54" t="s">
        <v>796</v>
      </c>
      <c r="B500" s="54" t="s">
        <v>797</v>
      </c>
      <c r="C500" s="31">
        <v>4301031407</v>
      </c>
      <c r="D500" s="665">
        <v>4680115886094</v>
      </c>
      <c r="E500" s="666"/>
      <c r="F500" s="650">
        <v>0.9</v>
      </c>
      <c r="G500" s="32">
        <v>6</v>
      </c>
      <c r="H500" s="650">
        <v>5.4</v>
      </c>
      <c r="I500" s="650">
        <v>5.59</v>
      </c>
      <c r="J500" s="32">
        <v>132</v>
      </c>
      <c r="K500" s="32" t="s">
        <v>123</v>
      </c>
      <c r="L500" s="32"/>
      <c r="M500" s="33" t="s">
        <v>66</v>
      </c>
      <c r="N500" s="33"/>
      <c r="O500" s="32">
        <v>50</v>
      </c>
      <c r="P500" s="8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4"/>
      <c r="V500" s="34"/>
      <c r="W500" s="35" t="s">
        <v>67</v>
      </c>
      <c r="X500" s="651">
        <v>0</v>
      </c>
      <c r="Y500" s="652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85" t="s">
        <v>798</v>
      </c>
      <c r="AG500" s="64"/>
      <c r="AJ500" s="68"/>
      <c r="AK500" s="68">
        <v>0</v>
      </c>
      <c r="BB500" s="58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799</v>
      </c>
      <c r="B501" s="54" t="s">
        <v>800</v>
      </c>
      <c r="C501" s="31">
        <v>4301031373</v>
      </c>
      <c r="D501" s="665">
        <v>4680115880771</v>
      </c>
      <c r="E501" s="666"/>
      <c r="F501" s="650">
        <v>0.28000000000000003</v>
      </c>
      <c r="G501" s="32">
        <v>6</v>
      </c>
      <c r="H501" s="650">
        <v>1.68</v>
      </c>
      <c r="I501" s="650">
        <v>1.81</v>
      </c>
      <c r="J501" s="32">
        <v>234</v>
      </c>
      <c r="K501" s="32" t="s">
        <v>65</v>
      </c>
      <c r="L501" s="32"/>
      <c r="M501" s="33" t="s">
        <v>66</v>
      </c>
      <c r="N501" s="33"/>
      <c r="O501" s="32">
        <v>50</v>
      </c>
      <c r="P501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4"/>
      <c r="V501" s="34"/>
      <c r="W501" s="35" t="s">
        <v>67</v>
      </c>
      <c r="X501" s="651">
        <v>0</v>
      </c>
      <c r="Y501" s="652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87" t="s">
        <v>801</v>
      </c>
      <c r="AG501" s="64"/>
      <c r="AJ501" s="68"/>
      <c r="AK501" s="68">
        <v>0</v>
      </c>
      <c r="BB501" s="58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802</v>
      </c>
      <c r="B502" s="54" t="s">
        <v>803</v>
      </c>
      <c r="C502" s="31">
        <v>4301031359</v>
      </c>
      <c r="D502" s="665">
        <v>4607091389500</v>
      </c>
      <c r="E502" s="666"/>
      <c r="F502" s="650">
        <v>0.35</v>
      </c>
      <c r="G502" s="32">
        <v>6</v>
      </c>
      <c r="H502" s="650">
        <v>2.1</v>
      </c>
      <c r="I502" s="650">
        <v>2.23</v>
      </c>
      <c r="J502" s="32">
        <v>234</v>
      </c>
      <c r="K502" s="32" t="s">
        <v>65</v>
      </c>
      <c r="L502" s="32"/>
      <c r="M502" s="33" t="s">
        <v>66</v>
      </c>
      <c r="N502" s="33"/>
      <c r="O502" s="32">
        <v>50</v>
      </c>
      <c r="P502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4"/>
      <c r="V502" s="34"/>
      <c r="W502" s="35" t="s">
        <v>67</v>
      </c>
      <c r="X502" s="651">
        <v>0</v>
      </c>
      <c r="Y502" s="652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89" t="s">
        <v>801</v>
      </c>
      <c r="AG502" s="64"/>
      <c r="AJ502" s="68"/>
      <c r="AK502" s="68">
        <v>0</v>
      </c>
      <c r="BB502" s="59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92"/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93"/>
      <c r="P503" s="659" t="s">
        <v>72</v>
      </c>
      <c r="Q503" s="660"/>
      <c r="R503" s="660"/>
      <c r="S503" s="660"/>
      <c r="T503" s="660"/>
      <c r="U503" s="660"/>
      <c r="V503" s="661"/>
      <c r="W503" s="37" t="s">
        <v>73</v>
      </c>
      <c r="X503" s="653">
        <f>IFERROR(X500/H500,"0")+IFERROR(X501/H501,"0")+IFERROR(X502/H502,"0")</f>
        <v>0</v>
      </c>
      <c r="Y503" s="653">
        <f>IFERROR(Y500/H500,"0")+IFERROR(Y501/H501,"0")+IFERROR(Y502/H502,"0")</f>
        <v>0</v>
      </c>
      <c r="Z503" s="653">
        <f>IFERROR(IF(Z500="",0,Z500),"0")+IFERROR(IF(Z501="",0,Z501),"0")+IFERROR(IF(Z502="",0,Z502),"0")</f>
        <v>0</v>
      </c>
      <c r="AA503" s="654"/>
      <c r="AB503" s="654"/>
      <c r="AC503" s="654"/>
    </row>
    <row r="504" spans="1:68" hidden="1" x14ac:dyDescent="0.2">
      <c r="A504" s="658"/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93"/>
      <c r="P504" s="659" t="s">
        <v>72</v>
      </c>
      <c r="Q504" s="660"/>
      <c r="R504" s="660"/>
      <c r="S504" s="660"/>
      <c r="T504" s="660"/>
      <c r="U504" s="660"/>
      <c r="V504" s="661"/>
      <c r="W504" s="37" t="s">
        <v>67</v>
      </c>
      <c r="X504" s="653">
        <f>IFERROR(SUM(X500:X502),"0")</f>
        <v>0</v>
      </c>
      <c r="Y504" s="653">
        <f>IFERROR(SUM(Y500:Y502),"0")</f>
        <v>0</v>
      </c>
      <c r="Z504" s="37"/>
      <c r="AA504" s="654"/>
      <c r="AB504" s="654"/>
      <c r="AC504" s="654"/>
    </row>
    <row r="505" spans="1:68" ht="27.75" hidden="1" customHeight="1" x14ac:dyDescent="0.2">
      <c r="A505" s="655" t="s">
        <v>804</v>
      </c>
      <c r="B505" s="656"/>
      <c r="C505" s="656"/>
      <c r="D505" s="656"/>
      <c r="E505" s="656"/>
      <c r="F505" s="656"/>
      <c r="G505" s="656"/>
      <c r="H505" s="656"/>
      <c r="I505" s="656"/>
      <c r="J505" s="656"/>
      <c r="K505" s="656"/>
      <c r="L505" s="656"/>
      <c r="M505" s="656"/>
      <c r="N505" s="656"/>
      <c r="O505" s="656"/>
      <c r="P505" s="656"/>
      <c r="Q505" s="656"/>
      <c r="R505" s="656"/>
      <c r="S505" s="656"/>
      <c r="T505" s="656"/>
      <c r="U505" s="656"/>
      <c r="V505" s="656"/>
      <c r="W505" s="656"/>
      <c r="X505" s="656"/>
      <c r="Y505" s="656"/>
      <c r="Z505" s="656"/>
      <c r="AA505" s="48"/>
      <c r="AB505" s="48"/>
      <c r="AC505" s="48"/>
    </row>
    <row r="506" spans="1:68" ht="16.5" hidden="1" customHeight="1" x14ac:dyDescent="0.25">
      <c r="A506" s="662" t="s">
        <v>804</v>
      </c>
      <c r="B506" s="658"/>
      <c r="C506" s="658"/>
      <c r="D506" s="658"/>
      <c r="E506" s="658"/>
      <c r="F506" s="658"/>
      <c r="G506" s="658"/>
      <c r="H506" s="658"/>
      <c r="I506" s="658"/>
      <c r="J506" s="658"/>
      <c r="K506" s="658"/>
      <c r="L506" s="658"/>
      <c r="M506" s="658"/>
      <c r="N506" s="658"/>
      <c r="O506" s="658"/>
      <c r="P506" s="658"/>
      <c r="Q506" s="658"/>
      <c r="R506" s="658"/>
      <c r="S506" s="658"/>
      <c r="T506" s="658"/>
      <c r="U506" s="658"/>
      <c r="V506" s="658"/>
      <c r="W506" s="658"/>
      <c r="X506" s="658"/>
      <c r="Y506" s="658"/>
      <c r="Z506" s="658"/>
      <c r="AA506" s="646"/>
      <c r="AB506" s="646"/>
      <c r="AC506" s="646"/>
    </row>
    <row r="507" spans="1:68" ht="14.25" hidden="1" customHeight="1" x14ac:dyDescent="0.25">
      <c r="A507" s="657" t="s">
        <v>111</v>
      </c>
      <c r="B507" s="658"/>
      <c r="C507" s="658"/>
      <c r="D507" s="658"/>
      <c r="E507" s="658"/>
      <c r="F507" s="658"/>
      <c r="G507" s="658"/>
      <c r="H507" s="658"/>
      <c r="I507" s="658"/>
      <c r="J507" s="658"/>
      <c r="K507" s="658"/>
      <c r="L507" s="658"/>
      <c r="M507" s="658"/>
      <c r="N507" s="658"/>
      <c r="O507" s="658"/>
      <c r="P507" s="658"/>
      <c r="Q507" s="658"/>
      <c r="R507" s="658"/>
      <c r="S507" s="658"/>
      <c r="T507" s="658"/>
      <c r="U507" s="658"/>
      <c r="V507" s="658"/>
      <c r="W507" s="658"/>
      <c r="X507" s="658"/>
      <c r="Y507" s="658"/>
      <c r="Z507" s="658"/>
      <c r="AA507" s="647"/>
      <c r="AB507" s="647"/>
      <c r="AC507" s="647"/>
    </row>
    <row r="508" spans="1:68" ht="27" customHeight="1" x14ac:dyDescent="0.25">
      <c r="A508" s="54" t="s">
        <v>805</v>
      </c>
      <c r="B508" s="54" t="s">
        <v>806</v>
      </c>
      <c r="C508" s="31">
        <v>4301011769</v>
      </c>
      <c r="D508" s="665">
        <v>4607091389067</v>
      </c>
      <c r="E508" s="666"/>
      <c r="F508" s="650">
        <v>0.88</v>
      </c>
      <c r="G508" s="32">
        <v>6</v>
      </c>
      <c r="H508" s="650">
        <v>5.28</v>
      </c>
      <c r="I508" s="650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4"/>
      <c r="V508" s="34"/>
      <c r="W508" s="35" t="s">
        <v>67</v>
      </c>
      <c r="X508" s="651">
        <v>33</v>
      </c>
      <c r="Y508" s="652">
        <f t="shared" ref="Y508:Y516" si="75">IFERROR(IF(X508="",0,CEILING((X508/$H508),1)*$H508),"")</f>
        <v>36.96</v>
      </c>
      <c r="Z508" s="36">
        <f t="shared" ref="Z508:Z513" si="76">IFERROR(IF(Y508=0,"",ROUNDUP(Y508/H508,0)*0.01196),"")</f>
        <v>8.3720000000000003E-2</v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ref="BM508:BM516" si="77">IFERROR(X508*I508/H508,"0")</f>
        <v>35.1875</v>
      </c>
      <c r="BN508" s="64">
        <f t="shared" ref="BN508:BN516" si="78">IFERROR(Y508*I508/H508,"0")</f>
        <v>39.409999999999997</v>
      </c>
      <c r="BO508" s="64">
        <f t="shared" ref="BO508:BO516" si="79">IFERROR(1/J508*(X508/H508),"0")</f>
        <v>6.0096153846153848E-2</v>
      </c>
      <c r="BP508" s="64">
        <f t="shared" ref="BP508:BP516" si="80">IFERROR(1/J508*(Y508/H508),"0")</f>
        <v>6.7307692307692318E-2</v>
      </c>
    </row>
    <row r="509" spans="1:68" ht="16.5" hidden="1" customHeight="1" x14ac:dyDescent="0.25">
      <c r="A509" s="54" t="s">
        <v>807</v>
      </c>
      <c r="B509" s="54" t="s">
        <v>808</v>
      </c>
      <c r="C509" s="31">
        <v>4301012380</v>
      </c>
      <c r="D509" s="665">
        <v>4680115889576</v>
      </c>
      <c r="E509" s="666"/>
      <c r="F509" s="650">
        <v>0.88</v>
      </c>
      <c r="G509" s="32">
        <v>6</v>
      </c>
      <c r="H509" s="650">
        <v>5.28</v>
      </c>
      <c r="I509" s="650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8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4"/>
      <c r="V509" s="34"/>
      <c r="W509" s="35" t="s">
        <v>67</v>
      </c>
      <c r="X509" s="651">
        <v>0</v>
      </c>
      <c r="Y509" s="652">
        <f t="shared" si="75"/>
        <v>0</v>
      </c>
      <c r="Z509" s="36" t="str">
        <f t="shared" si="76"/>
        <v/>
      </c>
      <c r="AA509" s="56"/>
      <c r="AB509" s="57"/>
      <c r="AC509" s="593" t="s">
        <v>809</v>
      </c>
      <c r="AG509" s="64"/>
      <c r="AJ509" s="68"/>
      <c r="AK509" s="68">
        <v>0</v>
      </c>
      <c r="BB509" s="594" t="s">
        <v>1</v>
      </c>
      <c r="BM509" s="64">
        <f t="shared" si="77"/>
        <v>0</v>
      </c>
      <c r="BN509" s="64">
        <f t="shared" si="78"/>
        <v>0</v>
      </c>
      <c r="BO509" s="64">
        <f t="shared" si="79"/>
        <v>0</v>
      </c>
      <c r="BP509" s="64">
        <f t="shared" si="80"/>
        <v>0</v>
      </c>
    </row>
    <row r="510" spans="1:68" ht="27" customHeight="1" x14ac:dyDescent="0.25">
      <c r="A510" s="54" t="s">
        <v>810</v>
      </c>
      <c r="B510" s="54" t="s">
        <v>811</v>
      </c>
      <c r="C510" s="31">
        <v>4301011961</v>
      </c>
      <c r="D510" s="665">
        <v>4680115885271</v>
      </c>
      <c r="E510" s="666"/>
      <c r="F510" s="650">
        <v>0.88</v>
      </c>
      <c r="G510" s="32">
        <v>6</v>
      </c>
      <c r="H510" s="650">
        <v>5.28</v>
      </c>
      <c r="I510" s="650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4"/>
      <c r="V510" s="34"/>
      <c r="W510" s="35" t="s">
        <v>67</v>
      </c>
      <c r="X510" s="651">
        <v>51</v>
      </c>
      <c r="Y510" s="652">
        <f t="shared" si="75"/>
        <v>52.800000000000004</v>
      </c>
      <c r="Z510" s="36">
        <f t="shared" si="76"/>
        <v>0.1196</v>
      </c>
      <c r="AA510" s="56"/>
      <c r="AB510" s="57"/>
      <c r="AC510" s="595" t="s">
        <v>812</v>
      </c>
      <c r="AG510" s="64"/>
      <c r="AJ510" s="68"/>
      <c r="AK510" s="68">
        <v>0</v>
      </c>
      <c r="BB510" s="596" t="s">
        <v>1</v>
      </c>
      <c r="BM510" s="64">
        <f t="shared" si="77"/>
        <v>54.380681818181813</v>
      </c>
      <c r="BN510" s="64">
        <f t="shared" si="78"/>
        <v>56.3</v>
      </c>
      <c r="BO510" s="64">
        <f t="shared" si="79"/>
        <v>9.2875874125874128E-2</v>
      </c>
      <c r="BP510" s="64">
        <f t="shared" si="80"/>
        <v>9.6153846153846159E-2</v>
      </c>
    </row>
    <row r="511" spans="1:68" ht="27" customHeight="1" x14ac:dyDescent="0.25">
      <c r="A511" s="54" t="s">
        <v>813</v>
      </c>
      <c r="B511" s="54" t="s">
        <v>814</v>
      </c>
      <c r="C511" s="31">
        <v>4301011369</v>
      </c>
      <c r="D511" s="665">
        <v>4680115885226</v>
      </c>
      <c r="E511" s="666"/>
      <c r="F511" s="650">
        <v>0.88</v>
      </c>
      <c r="G511" s="32">
        <v>6</v>
      </c>
      <c r="H511" s="650">
        <v>5.28</v>
      </c>
      <c r="I511" s="650">
        <v>5.63</v>
      </c>
      <c r="J511" s="32">
        <v>104</v>
      </c>
      <c r="K511" s="32" t="s">
        <v>114</v>
      </c>
      <c r="L511" s="32"/>
      <c r="M511" s="33" t="s">
        <v>115</v>
      </c>
      <c r="N511" s="33"/>
      <c r="O511" s="32">
        <v>60</v>
      </c>
      <c r="P51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4"/>
      <c r="V511" s="34"/>
      <c r="W511" s="35" t="s">
        <v>67</v>
      </c>
      <c r="X511" s="651">
        <v>311</v>
      </c>
      <c r="Y511" s="652">
        <f t="shared" si="75"/>
        <v>311.52000000000004</v>
      </c>
      <c r="Z511" s="36">
        <f t="shared" si="76"/>
        <v>0.70564000000000004</v>
      </c>
      <c r="AA511" s="56"/>
      <c r="AB511" s="57"/>
      <c r="AC511" s="597" t="s">
        <v>815</v>
      </c>
      <c r="AG511" s="64"/>
      <c r="AJ511" s="68"/>
      <c r="AK511" s="68">
        <v>0</v>
      </c>
      <c r="BB511" s="598" t="s">
        <v>1</v>
      </c>
      <c r="BM511" s="64">
        <f t="shared" si="77"/>
        <v>331.61553030303031</v>
      </c>
      <c r="BN511" s="64">
        <f t="shared" si="78"/>
        <v>332.17</v>
      </c>
      <c r="BO511" s="64">
        <f t="shared" si="79"/>
        <v>0.56636072261072257</v>
      </c>
      <c r="BP511" s="64">
        <f t="shared" si="80"/>
        <v>0.5673076923076924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4301011797</v>
      </c>
      <c r="D512" s="665">
        <v>4680115884502</v>
      </c>
      <c r="E512" s="666"/>
      <c r="F512" s="650">
        <v>0.88</v>
      </c>
      <c r="G512" s="32">
        <v>6</v>
      </c>
      <c r="H512" s="650">
        <v>5.28</v>
      </c>
      <c r="I512" s="650">
        <v>5.63</v>
      </c>
      <c r="J512" s="32">
        <v>104</v>
      </c>
      <c r="K512" s="32" t="s">
        <v>114</v>
      </c>
      <c r="L512" s="32"/>
      <c r="M512" s="33" t="s">
        <v>78</v>
      </c>
      <c r="N512" s="33"/>
      <c r="O512" s="32">
        <v>60</v>
      </c>
      <c r="P512" s="8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4"/>
      <c r="V512" s="34"/>
      <c r="W512" s="35" t="s">
        <v>67</v>
      </c>
      <c r="X512" s="651">
        <v>0</v>
      </c>
      <c r="Y512" s="652">
        <f t="shared" si="75"/>
        <v>0</v>
      </c>
      <c r="Z512" s="36" t="str">
        <f t="shared" si="76"/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customHeight="1" x14ac:dyDescent="0.25">
      <c r="A513" s="54" t="s">
        <v>819</v>
      </c>
      <c r="B513" s="54" t="s">
        <v>820</v>
      </c>
      <c r="C513" s="31">
        <v>4301011771</v>
      </c>
      <c r="D513" s="665">
        <v>4607091389104</v>
      </c>
      <c r="E513" s="666"/>
      <c r="F513" s="650">
        <v>0.88</v>
      </c>
      <c r="G513" s="32">
        <v>6</v>
      </c>
      <c r="H513" s="650">
        <v>5.28</v>
      </c>
      <c r="I513" s="650">
        <v>5.63</v>
      </c>
      <c r="J513" s="32">
        <v>104</v>
      </c>
      <c r="K513" s="32" t="s">
        <v>114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4"/>
      <c r="V513" s="34"/>
      <c r="W513" s="35" t="s">
        <v>67</v>
      </c>
      <c r="X513" s="651">
        <v>254</v>
      </c>
      <c r="Y513" s="652">
        <f t="shared" si="75"/>
        <v>258.72000000000003</v>
      </c>
      <c r="Z513" s="36">
        <f t="shared" si="76"/>
        <v>0.58604000000000001</v>
      </c>
      <c r="AA513" s="56"/>
      <c r="AB513" s="57"/>
      <c r="AC513" s="601" t="s">
        <v>821</v>
      </c>
      <c r="AG513" s="64"/>
      <c r="AJ513" s="68"/>
      <c r="AK513" s="68">
        <v>0</v>
      </c>
      <c r="BB513" s="602" t="s">
        <v>1</v>
      </c>
      <c r="BM513" s="64">
        <f t="shared" si="77"/>
        <v>270.83712121212119</v>
      </c>
      <c r="BN513" s="64">
        <f t="shared" si="78"/>
        <v>275.87</v>
      </c>
      <c r="BO513" s="64">
        <f t="shared" si="79"/>
        <v>0.46255827505827507</v>
      </c>
      <c r="BP513" s="64">
        <f t="shared" si="80"/>
        <v>0.4711538461538462</v>
      </c>
    </row>
    <row r="514" spans="1:68" ht="27" hidden="1" customHeight="1" x14ac:dyDescent="0.25">
      <c r="A514" s="54" t="s">
        <v>822</v>
      </c>
      <c r="B514" s="54" t="s">
        <v>823</v>
      </c>
      <c r="C514" s="31">
        <v>4301012125</v>
      </c>
      <c r="D514" s="665">
        <v>4680115886391</v>
      </c>
      <c r="E514" s="666"/>
      <c r="F514" s="650">
        <v>0.4</v>
      </c>
      <c r="G514" s="32">
        <v>6</v>
      </c>
      <c r="H514" s="650">
        <v>2.4</v>
      </c>
      <c r="I514" s="650">
        <v>2.58</v>
      </c>
      <c r="J514" s="32">
        <v>182</v>
      </c>
      <c r="K514" s="32" t="s">
        <v>77</v>
      </c>
      <c r="L514" s="32"/>
      <c r="M514" s="33" t="s">
        <v>78</v>
      </c>
      <c r="N514" s="33"/>
      <c r="O514" s="32">
        <v>60</v>
      </c>
      <c r="P51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4"/>
      <c r="V514" s="34"/>
      <c r="W514" s="35" t="s">
        <v>67</v>
      </c>
      <c r="X514" s="651">
        <v>0</v>
      </c>
      <c r="Y514" s="652">
        <f t="shared" si="75"/>
        <v>0</v>
      </c>
      <c r="Z514" s="36" t="str">
        <f>IFERROR(IF(Y514=0,"",ROUNDUP(Y514/H514,0)*0.00651),"")</f>
        <v/>
      </c>
      <c r="AA514" s="56"/>
      <c r="AB514" s="57"/>
      <c r="AC514" s="603" t="s">
        <v>116</v>
      </c>
      <c r="AG514" s="64"/>
      <c r="AJ514" s="68"/>
      <c r="AK514" s="68">
        <v>0</v>
      </c>
      <c r="BB514" s="604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824</v>
      </c>
      <c r="B515" s="54" t="s">
        <v>825</v>
      </c>
      <c r="C515" s="31">
        <v>4301012048</v>
      </c>
      <c r="D515" s="665">
        <v>4680115880603</v>
      </c>
      <c r="E515" s="666"/>
      <c r="F515" s="650">
        <v>0.6</v>
      </c>
      <c r="G515" s="32">
        <v>8</v>
      </c>
      <c r="H515" s="650">
        <v>4.8</v>
      </c>
      <c r="I515" s="650">
        <v>6.91</v>
      </c>
      <c r="J515" s="32">
        <v>132</v>
      </c>
      <c r="K515" s="32" t="s">
        <v>123</v>
      </c>
      <c r="L515" s="32"/>
      <c r="M515" s="33" t="s">
        <v>78</v>
      </c>
      <c r="N515" s="33"/>
      <c r="O515" s="32">
        <v>60</v>
      </c>
      <c r="P515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4"/>
      <c r="V515" s="34"/>
      <c r="W515" s="35" t="s">
        <v>67</v>
      </c>
      <c r="X515" s="651">
        <v>0</v>
      </c>
      <c r="Y515" s="652">
        <f t="shared" si="75"/>
        <v>0</v>
      </c>
      <c r="Z515" s="36" t="str">
        <f>IFERROR(IF(Y515=0,"",ROUNDUP(Y515/H515,0)*0.00902),"")</f>
        <v/>
      </c>
      <c r="AA515" s="56"/>
      <c r="AB515" s="57"/>
      <c r="AC515" s="605" t="s">
        <v>116</v>
      </c>
      <c r="AG515" s="64"/>
      <c r="AJ515" s="68"/>
      <c r="AK515" s="68">
        <v>0</v>
      </c>
      <c r="BB515" s="606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t="27" hidden="1" customHeight="1" x14ac:dyDescent="0.25">
      <c r="A516" s="54" t="s">
        <v>826</v>
      </c>
      <c r="B516" s="54" t="s">
        <v>827</v>
      </c>
      <c r="C516" s="31">
        <v>4301012034</v>
      </c>
      <c r="D516" s="665">
        <v>4607091389982</v>
      </c>
      <c r="E516" s="666"/>
      <c r="F516" s="650">
        <v>0.6</v>
      </c>
      <c r="G516" s="32">
        <v>8</v>
      </c>
      <c r="H516" s="650">
        <v>4.8</v>
      </c>
      <c r="I516" s="65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60</v>
      </c>
      <c r="P516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4"/>
      <c r="V516" s="34"/>
      <c r="W516" s="35" t="s">
        <v>67</v>
      </c>
      <c r="X516" s="651">
        <v>0</v>
      </c>
      <c r="Y516" s="652">
        <f t="shared" si="75"/>
        <v>0</v>
      </c>
      <c r="Z516" s="36" t="str">
        <f>IFERROR(IF(Y516=0,"",ROUNDUP(Y516/H516,0)*0.00902),"")</f>
        <v/>
      </c>
      <c r="AA516" s="56"/>
      <c r="AB516" s="57"/>
      <c r="AC516" s="607" t="s">
        <v>821</v>
      </c>
      <c r="AG516" s="64"/>
      <c r="AJ516" s="68"/>
      <c r="AK516" s="68">
        <v>0</v>
      </c>
      <c r="BB516" s="608" t="s">
        <v>1</v>
      </c>
      <c r="BM516" s="64">
        <f t="shared" si="77"/>
        <v>0</v>
      </c>
      <c r="BN516" s="64">
        <f t="shared" si="78"/>
        <v>0</v>
      </c>
      <c r="BO516" s="64">
        <f t="shared" si="79"/>
        <v>0</v>
      </c>
      <c r="BP516" s="64">
        <f t="shared" si="80"/>
        <v>0</v>
      </c>
    </row>
    <row r="517" spans="1:68" x14ac:dyDescent="0.2">
      <c r="A517" s="692"/>
      <c r="B517" s="658"/>
      <c r="C517" s="658"/>
      <c r="D517" s="658"/>
      <c r="E517" s="658"/>
      <c r="F517" s="658"/>
      <c r="G517" s="658"/>
      <c r="H517" s="658"/>
      <c r="I517" s="658"/>
      <c r="J517" s="658"/>
      <c r="K517" s="658"/>
      <c r="L517" s="658"/>
      <c r="M517" s="658"/>
      <c r="N517" s="658"/>
      <c r="O517" s="693"/>
      <c r="P517" s="659" t="s">
        <v>72</v>
      </c>
      <c r="Q517" s="660"/>
      <c r="R517" s="660"/>
      <c r="S517" s="660"/>
      <c r="T517" s="660"/>
      <c r="U517" s="660"/>
      <c r="V517" s="661"/>
      <c r="W517" s="37" t="s">
        <v>73</v>
      </c>
      <c r="X517" s="653">
        <f>IFERROR(X508/H508,"0")+IFERROR(X509/H509,"0")+IFERROR(X510/H510,"0")+IFERROR(X511/H511,"0")+IFERROR(X512/H512,"0")+IFERROR(X513/H513,"0")+IFERROR(X514/H514,"0")+IFERROR(X515/H515,"0")+IFERROR(X516/H516,"0")</f>
        <v>122.91666666666666</v>
      </c>
      <c r="Y517" s="653">
        <f>IFERROR(Y508/H508,"0")+IFERROR(Y509/H509,"0")+IFERROR(Y510/H510,"0")+IFERROR(Y511/H511,"0")+IFERROR(Y512/H512,"0")+IFERROR(Y513/H513,"0")+IFERROR(Y514/H514,"0")+IFERROR(Y515/H515,"0")+IFERROR(Y516/H516,"0")</f>
        <v>125</v>
      </c>
      <c r="Z517" s="65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1.4950000000000001</v>
      </c>
      <c r="AA517" s="654"/>
      <c r="AB517" s="654"/>
      <c r="AC517" s="654"/>
    </row>
    <row r="518" spans="1:68" x14ac:dyDescent="0.2">
      <c r="A518" s="658"/>
      <c r="B518" s="658"/>
      <c r="C518" s="658"/>
      <c r="D518" s="658"/>
      <c r="E518" s="658"/>
      <c r="F518" s="658"/>
      <c r="G518" s="658"/>
      <c r="H518" s="658"/>
      <c r="I518" s="658"/>
      <c r="J518" s="658"/>
      <c r="K518" s="658"/>
      <c r="L518" s="658"/>
      <c r="M518" s="658"/>
      <c r="N518" s="658"/>
      <c r="O518" s="693"/>
      <c r="P518" s="659" t="s">
        <v>72</v>
      </c>
      <c r="Q518" s="660"/>
      <c r="R518" s="660"/>
      <c r="S518" s="660"/>
      <c r="T518" s="660"/>
      <c r="U518" s="660"/>
      <c r="V518" s="661"/>
      <c r="W518" s="37" t="s">
        <v>67</v>
      </c>
      <c r="X518" s="653">
        <f>IFERROR(SUM(X508:X516),"0")</f>
        <v>649</v>
      </c>
      <c r="Y518" s="653">
        <f>IFERROR(SUM(Y508:Y516),"0")</f>
        <v>660</v>
      </c>
      <c r="Z518" s="37"/>
      <c r="AA518" s="654"/>
      <c r="AB518" s="654"/>
      <c r="AC518" s="654"/>
    </row>
    <row r="519" spans="1:68" ht="14.25" hidden="1" customHeight="1" x14ac:dyDescent="0.25">
      <c r="A519" s="657" t="s">
        <v>144</v>
      </c>
      <c r="B519" s="658"/>
      <c r="C519" s="658"/>
      <c r="D519" s="658"/>
      <c r="E519" s="658"/>
      <c r="F519" s="658"/>
      <c r="G519" s="658"/>
      <c r="H519" s="658"/>
      <c r="I519" s="658"/>
      <c r="J519" s="658"/>
      <c r="K519" s="658"/>
      <c r="L519" s="658"/>
      <c r="M519" s="658"/>
      <c r="N519" s="658"/>
      <c r="O519" s="658"/>
      <c r="P519" s="658"/>
      <c r="Q519" s="658"/>
      <c r="R519" s="658"/>
      <c r="S519" s="658"/>
      <c r="T519" s="658"/>
      <c r="U519" s="658"/>
      <c r="V519" s="658"/>
      <c r="W519" s="658"/>
      <c r="X519" s="658"/>
      <c r="Y519" s="658"/>
      <c r="Z519" s="658"/>
      <c r="AA519" s="647"/>
      <c r="AB519" s="647"/>
      <c r="AC519" s="647"/>
    </row>
    <row r="520" spans="1:68" ht="16.5" customHeight="1" x14ac:dyDescent="0.25">
      <c r="A520" s="54" t="s">
        <v>828</v>
      </c>
      <c r="B520" s="54" t="s">
        <v>829</v>
      </c>
      <c r="C520" s="31">
        <v>4301020334</v>
      </c>
      <c r="D520" s="665">
        <v>4607091388930</v>
      </c>
      <c r="E520" s="666"/>
      <c r="F520" s="650">
        <v>0.88</v>
      </c>
      <c r="G520" s="32">
        <v>6</v>
      </c>
      <c r="H520" s="650">
        <v>5.28</v>
      </c>
      <c r="I520" s="650">
        <v>5.63</v>
      </c>
      <c r="J520" s="32">
        <v>104</v>
      </c>
      <c r="K520" s="32" t="s">
        <v>114</v>
      </c>
      <c r="L520" s="32"/>
      <c r="M520" s="33" t="s">
        <v>78</v>
      </c>
      <c r="N520" s="33"/>
      <c r="O520" s="32">
        <v>70</v>
      </c>
      <c r="P520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4"/>
      <c r="V520" s="34"/>
      <c r="W520" s="35" t="s">
        <v>67</v>
      </c>
      <c r="X520" s="651">
        <v>467</v>
      </c>
      <c r="Y520" s="652">
        <f>IFERROR(IF(X520="",0,CEILING((X520/$H520),1)*$H520),"")</f>
        <v>469.92</v>
      </c>
      <c r="Z520" s="36">
        <f>IFERROR(IF(Y520=0,"",ROUNDUP(Y520/H520,0)*0.01196),"")</f>
        <v>1.0644400000000001</v>
      </c>
      <c r="AA520" s="56"/>
      <c r="AB520" s="57"/>
      <c r="AC520" s="609" t="s">
        <v>830</v>
      </c>
      <c r="AG520" s="64"/>
      <c r="AJ520" s="68"/>
      <c r="AK520" s="68">
        <v>0</v>
      </c>
      <c r="BB520" s="610" t="s">
        <v>1</v>
      </c>
      <c r="BM520" s="64">
        <f>IFERROR(X520*I520/H520,"0")</f>
        <v>497.95643939393938</v>
      </c>
      <c r="BN520" s="64">
        <f>IFERROR(Y520*I520/H520,"0")</f>
        <v>501.07</v>
      </c>
      <c r="BO520" s="64">
        <f>IFERROR(1/J520*(X520/H520),"0")</f>
        <v>0.85045163170163163</v>
      </c>
      <c r="BP520" s="64">
        <f>IFERROR(1/J520*(Y520/H520),"0")</f>
        <v>0.85576923076923084</v>
      </c>
    </row>
    <row r="521" spans="1:68" ht="16.5" hidden="1" customHeight="1" x14ac:dyDescent="0.25">
      <c r="A521" s="54" t="s">
        <v>831</v>
      </c>
      <c r="B521" s="54" t="s">
        <v>832</v>
      </c>
      <c r="C521" s="31">
        <v>4301020374</v>
      </c>
      <c r="D521" s="665">
        <v>4680115886407</v>
      </c>
      <c r="E521" s="666"/>
      <c r="F521" s="650">
        <v>0.4</v>
      </c>
      <c r="G521" s="32">
        <v>6</v>
      </c>
      <c r="H521" s="650">
        <v>2.4</v>
      </c>
      <c r="I521" s="650">
        <v>2.58</v>
      </c>
      <c r="J521" s="32">
        <v>182</v>
      </c>
      <c r="K521" s="32" t="s">
        <v>77</v>
      </c>
      <c r="L521" s="32"/>
      <c r="M521" s="33" t="s">
        <v>115</v>
      </c>
      <c r="N521" s="33"/>
      <c r="O521" s="32">
        <v>70</v>
      </c>
      <c r="P521" s="72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4"/>
      <c r="V521" s="34"/>
      <c r="W521" s="35" t="s">
        <v>67</v>
      </c>
      <c r="X521" s="651">
        <v>0</v>
      </c>
      <c r="Y521" s="652">
        <f>IFERROR(IF(X521="",0,CEILING((X521/$H521),1)*$H521),"")</f>
        <v>0</v>
      </c>
      <c r="Z521" s="36" t="str">
        <f>IFERROR(IF(Y521=0,"",ROUNDUP(Y521/H521,0)*0.00651),"")</f>
        <v/>
      </c>
      <c r="AA521" s="56"/>
      <c r="AB521" s="57"/>
      <c r="AC521" s="611" t="s">
        <v>830</v>
      </c>
      <c r="AG521" s="64"/>
      <c r="AJ521" s="68"/>
      <c r="AK521" s="68">
        <v>0</v>
      </c>
      <c r="BB521" s="61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833</v>
      </c>
      <c r="B522" s="54" t="s">
        <v>834</v>
      </c>
      <c r="C522" s="31">
        <v>4301020385</v>
      </c>
      <c r="D522" s="665">
        <v>4680115880054</v>
      </c>
      <c r="E522" s="666"/>
      <c r="F522" s="650">
        <v>0.6</v>
      </c>
      <c r="G522" s="32">
        <v>8</v>
      </c>
      <c r="H522" s="650">
        <v>4.8</v>
      </c>
      <c r="I522" s="650">
        <v>6.91</v>
      </c>
      <c r="J522" s="32">
        <v>132</v>
      </c>
      <c r="K522" s="32" t="s">
        <v>123</v>
      </c>
      <c r="L522" s="32"/>
      <c r="M522" s="33" t="s">
        <v>115</v>
      </c>
      <c r="N522" s="33"/>
      <c r="O522" s="32">
        <v>70</v>
      </c>
      <c r="P522" s="7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4"/>
      <c r="V522" s="34"/>
      <c r="W522" s="35" t="s">
        <v>67</v>
      </c>
      <c r="X522" s="651">
        <v>0</v>
      </c>
      <c r="Y522" s="652">
        <f>IFERROR(IF(X522="",0,CEILING((X522/$H522),1)*$H522),"")</f>
        <v>0</v>
      </c>
      <c r="Z522" s="36" t="str">
        <f>IFERROR(IF(Y522=0,"",ROUNDUP(Y522/H522,0)*0.00902),"")</f>
        <v/>
      </c>
      <c r="AA522" s="56"/>
      <c r="AB522" s="57"/>
      <c r="AC522" s="613" t="s">
        <v>830</v>
      </c>
      <c r="AG522" s="64"/>
      <c r="AJ522" s="68"/>
      <c r="AK522" s="68">
        <v>0</v>
      </c>
      <c r="BB522" s="61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92"/>
      <c r="B523" s="658"/>
      <c r="C523" s="658"/>
      <c r="D523" s="658"/>
      <c r="E523" s="658"/>
      <c r="F523" s="658"/>
      <c r="G523" s="658"/>
      <c r="H523" s="658"/>
      <c r="I523" s="658"/>
      <c r="J523" s="658"/>
      <c r="K523" s="658"/>
      <c r="L523" s="658"/>
      <c r="M523" s="658"/>
      <c r="N523" s="658"/>
      <c r="O523" s="693"/>
      <c r="P523" s="659" t="s">
        <v>72</v>
      </c>
      <c r="Q523" s="660"/>
      <c r="R523" s="660"/>
      <c r="S523" s="660"/>
      <c r="T523" s="660"/>
      <c r="U523" s="660"/>
      <c r="V523" s="661"/>
      <c r="W523" s="37" t="s">
        <v>73</v>
      </c>
      <c r="X523" s="653">
        <f>IFERROR(X520/H520,"0")+IFERROR(X521/H521,"0")+IFERROR(X522/H522,"0")</f>
        <v>88.446969696969688</v>
      </c>
      <c r="Y523" s="653">
        <f>IFERROR(Y520/H520,"0")+IFERROR(Y521/H521,"0")+IFERROR(Y522/H522,"0")</f>
        <v>89</v>
      </c>
      <c r="Z523" s="653">
        <f>IFERROR(IF(Z520="",0,Z520),"0")+IFERROR(IF(Z521="",0,Z521),"0")+IFERROR(IF(Z522="",0,Z522),"0")</f>
        <v>1.0644400000000001</v>
      </c>
      <c r="AA523" s="654"/>
      <c r="AB523" s="654"/>
      <c r="AC523" s="654"/>
    </row>
    <row r="524" spans="1:68" x14ac:dyDescent="0.2">
      <c r="A524" s="658"/>
      <c r="B524" s="658"/>
      <c r="C524" s="658"/>
      <c r="D524" s="658"/>
      <c r="E524" s="658"/>
      <c r="F524" s="658"/>
      <c r="G524" s="658"/>
      <c r="H524" s="658"/>
      <c r="I524" s="658"/>
      <c r="J524" s="658"/>
      <c r="K524" s="658"/>
      <c r="L524" s="658"/>
      <c r="M524" s="658"/>
      <c r="N524" s="658"/>
      <c r="O524" s="693"/>
      <c r="P524" s="659" t="s">
        <v>72</v>
      </c>
      <c r="Q524" s="660"/>
      <c r="R524" s="660"/>
      <c r="S524" s="660"/>
      <c r="T524" s="660"/>
      <c r="U524" s="660"/>
      <c r="V524" s="661"/>
      <c r="W524" s="37" t="s">
        <v>67</v>
      </c>
      <c r="X524" s="653">
        <f>IFERROR(SUM(X520:X522),"0")</f>
        <v>467</v>
      </c>
      <c r="Y524" s="653">
        <f>IFERROR(SUM(Y520:Y522),"0")</f>
        <v>469.92</v>
      </c>
      <c r="Z524" s="37"/>
      <c r="AA524" s="654"/>
      <c r="AB524" s="654"/>
      <c r="AC524" s="654"/>
    </row>
    <row r="525" spans="1:68" ht="14.25" hidden="1" customHeight="1" x14ac:dyDescent="0.25">
      <c r="A525" s="657" t="s">
        <v>62</v>
      </c>
      <c r="B525" s="658"/>
      <c r="C525" s="658"/>
      <c r="D525" s="658"/>
      <c r="E525" s="658"/>
      <c r="F525" s="658"/>
      <c r="G525" s="658"/>
      <c r="H525" s="658"/>
      <c r="I525" s="658"/>
      <c r="J525" s="658"/>
      <c r="K525" s="658"/>
      <c r="L525" s="658"/>
      <c r="M525" s="658"/>
      <c r="N525" s="658"/>
      <c r="O525" s="658"/>
      <c r="P525" s="658"/>
      <c r="Q525" s="658"/>
      <c r="R525" s="658"/>
      <c r="S525" s="658"/>
      <c r="T525" s="658"/>
      <c r="U525" s="658"/>
      <c r="V525" s="658"/>
      <c r="W525" s="658"/>
      <c r="X525" s="658"/>
      <c r="Y525" s="658"/>
      <c r="Z525" s="658"/>
      <c r="AA525" s="647"/>
      <c r="AB525" s="647"/>
      <c r="AC525" s="647"/>
    </row>
    <row r="526" spans="1:68" ht="27" customHeight="1" x14ac:dyDescent="0.25">
      <c r="A526" s="54" t="s">
        <v>835</v>
      </c>
      <c r="B526" s="54" t="s">
        <v>836</v>
      </c>
      <c r="C526" s="31">
        <v>4301031349</v>
      </c>
      <c r="D526" s="665">
        <v>4680115883116</v>
      </c>
      <c r="E526" s="666"/>
      <c r="F526" s="650">
        <v>0.88</v>
      </c>
      <c r="G526" s="32">
        <v>6</v>
      </c>
      <c r="H526" s="650">
        <v>5.28</v>
      </c>
      <c r="I526" s="650">
        <v>5.63</v>
      </c>
      <c r="J526" s="32">
        <v>104</v>
      </c>
      <c r="K526" s="32" t="s">
        <v>114</v>
      </c>
      <c r="L526" s="32"/>
      <c r="M526" s="33" t="s">
        <v>115</v>
      </c>
      <c r="N526" s="33"/>
      <c r="O526" s="32">
        <v>70</v>
      </c>
      <c r="P52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4"/>
      <c r="V526" s="34"/>
      <c r="W526" s="35" t="s">
        <v>67</v>
      </c>
      <c r="X526" s="651">
        <v>138</v>
      </c>
      <c r="Y526" s="652">
        <f t="shared" ref="Y526:Y532" si="81">IFERROR(IF(X526="",0,CEILING((X526/$H526),1)*$H526),"")</f>
        <v>142.56</v>
      </c>
      <c r="Z526" s="36">
        <f>IFERROR(IF(Y526=0,"",ROUNDUP(Y526/H526,0)*0.01196),"")</f>
        <v>0.32291999999999998</v>
      </c>
      <c r="AA526" s="56"/>
      <c r="AB526" s="57"/>
      <c r="AC526" s="615" t="s">
        <v>837</v>
      </c>
      <c r="AG526" s="64"/>
      <c r="AJ526" s="68"/>
      <c r="AK526" s="68">
        <v>0</v>
      </c>
      <c r="BB526" s="616" t="s">
        <v>1</v>
      </c>
      <c r="BM526" s="64">
        <f t="shared" ref="BM526:BM532" si="82">IFERROR(X526*I526/H526,"0")</f>
        <v>147.14772727272725</v>
      </c>
      <c r="BN526" s="64">
        <f t="shared" ref="BN526:BN532" si="83">IFERROR(Y526*I526/H526,"0")</f>
        <v>152.01</v>
      </c>
      <c r="BO526" s="64">
        <f t="shared" ref="BO526:BO532" si="84">IFERROR(1/J526*(X526/H526),"0")</f>
        <v>0.2513111888111888</v>
      </c>
      <c r="BP526" s="64">
        <f t="shared" ref="BP526:BP532" si="85">IFERROR(1/J526*(Y526/H526),"0")</f>
        <v>0.25961538461538464</v>
      </c>
    </row>
    <row r="527" spans="1:68" ht="27" customHeight="1" x14ac:dyDescent="0.25">
      <c r="A527" s="54" t="s">
        <v>838</v>
      </c>
      <c r="B527" s="54" t="s">
        <v>839</v>
      </c>
      <c r="C527" s="31">
        <v>4301031350</v>
      </c>
      <c r="D527" s="665">
        <v>4680115883093</v>
      </c>
      <c r="E527" s="666"/>
      <c r="F527" s="650">
        <v>0.88</v>
      </c>
      <c r="G527" s="32">
        <v>6</v>
      </c>
      <c r="H527" s="650">
        <v>5.28</v>
      </c>
      <c r="I527" s="650">
        <v>5.63</v>
      </c>
      <c r="J527" s="32">
        <v>104</v>
      </c>
      <c r="K527" s="32" t="s">
        <v>114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4"/>
      <c r="V527" s="34"/>
      <c r="W527" s="35" t="s">
        <v>67</v>
      </c>
      <c r="X527" s="651">
        <v>100</v>
      </c>
      <c r="Y527" s="652">
        <f t="shared" si="81"/>
        <v>100.32000000000001</v>
      </c>
      <c r="Z527" s="36">
        <f>IFERROR(IF(Y527=0,"",ROUNDUP(Y527/H527,0)*0.01196),"")</f>
        <v>0.22724</v>
      </c>
      <c r="AA527" s="56"/>
      <c r="AB527" s="57"/>
      <c r="AC527" s="617" t="s">
        <v>840</v>
      </c>
      <c r="AG527" s="64"/>
      <c r="AJ527" s="68"/>
      <c r="AK527" s="68">
        <v>0</v>
      </c>
      <c r="BB527" s="618" t="s">
        <v>1</v>
      </c>
      <c r="BM527" s="64">
        <f t="shared" si="82"/>
        <v>106.62878787878788</v>
      </c>
      <c r="BN527" s="64">
        <f t="shared" si="83"/>
        <v>106.97</v>
      </c>
      <c r="BO527" s="64">
        <f t="shared" si="84"/>
        <v>0.18210955710955709</v>
      </c>
      <c r="BP527" s="64">
        <f t="shared" si="85"/>
        <v>0.18269230769230771</v>
      </c>
    </row>
    <row r="528" spans="1:68" ht="27" customHeight="1" x14ac:dyDescent="0.25">
      <c r="A528" s="54" t="s">
        <v>841</v>
      </c>
      <c r="B528" s="54" t="s">
        <v>842</v>
      </c>
      <c r="C528" s="31">
        <v>4301031353</v>
      </c>
      <c r="D528" s="665">
        <v>4680115883109</v>
      </c>
      <c r="E528" s="666"/>
      <c r="F528" s="650">
        <v>0.88</v>
      </c>
      <c r="G528" s="32">
        <v>6</v>
      </c>
      <c r="H528" s="650">
        <v>5.28</v>
      </c>
      <c r="I528" s="650">
        <v>5.63</v>
      </c>
      <c r="J528" s="32">
        <v>104</v>
      </c>
      <c r="K528" s="32" t="s">
        <v>114</v>
      </c>
      <c r="L528" s="32"/>
      <c r="M528" s="33" t="s">
        <v>66</v>
      </c>
      <c r="N528" s="33"/>
      <c r="O528" s="32">
        <v>70</v>
      </c>
      <c r="P528" s="10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4"/>
      <c r="V528" s="34"/>
      <c r="W528" s="35" t="s">
        <v>67</v>
      </c>
      <c r="X528" s="651">
        <v>200</v>
      </c>
      <c r="Y528" s="652">
        <f t="shared" si="81"/>
        <v>200.64000000000001</v>
      </c>
      <c r="Z528" s="36">
        <f>IFERROR(IF(Y528=0,"",ROUNDUP(Y528/H528,0)*0.01196),"")</f>
        <v>0.45448</v>
      </c>
      <c r="AA528" s="56"/>
      <c r="AB528" s="57"/>
      <c r="AC528" s="619" t="s">
        <v>843</v>
      </c>
      <c r="AG528" s="64"/>
      <c r="AJ528" s="68"/>
      <c r="AK528" s="68">
        <v>0</v>
      </c>
      <c r="BB528" s="620" t="s">
        <v>1</v>
      </c>
      <c r="BM528" s="64">
        <f t="shared" si="82"/>
        <v>213.25757575757575</v>
      </c>
      <c r="BN528" s="64">
        <f t="shared" si="83"/>
        <v>213.94</v>
      </c>
      <c r="BO528" s="64">
        <f t="shared" si="84"/>
        <v>0.36421911421911418</v>
      </c>
      <c r="BP528" s="64">
        <f t="shared" si="85"/>
        <v>0.36538461538461542</v>
      </c>
    </row>
    <row r="529" spans="1:68" ht="27" hidden="1" customHeight="1" x14ac:dyDescent="0.25">
      <c r="A529" s="54" t="s">
        <v>844</v>
      </c>
      <c r="B529" s="54" t="s">
        <v>845</v>
      </c>
      <c r="C529" s="31">
        <v>4301031419</v>
      </c>
      <c r="D529" s="665">
        <v>4680115882072</v>
      </c>
      <c r="E529" s="666"/>
      <c r="F529" s="650">
        <v>0.6</v>
      </c>
      <c r="G529" s="32">
        <v>8</v>
      </c>
      <c r="H529" s="650">
        <v>4.8</v>
      </c>
      <c r="I529" s="650">
        <v>6.91</v>
      </c>
      <c r="J529" s="32">
        <v>132</v>
      </c>
      <c r="K529" s="32" t="s">
        <v>123</v>
      </c>
      <c r="L529" s="32"/>
      <c r="M529" s="33" t="s">
        <v>115</v>
      </c>
      <c r="N529" s="33"/>
      <c r="O529" s="32">
        <v>70</v>
      </c>
      <c r="P529" s="8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4"/>
      <c r="V529" s="34"/>
      <c r="W529" s="35" t="s">
        <v>67</v>
      </c>
      <c r="X529" s="651">
        <v>0</v>
      </c>
      <c r="Y529" s="652">
        <f t="shared" si="81"/>
        <v>0</v>
      </c>
      <c r="Z529" s="36" t="str">
        <f>IFERROR(IF(Y529=0,"",ROUNDUP(Y529/H529,0)*0.00902),"")</f>
        <v/>
      </c>
      <c r="AA529" s="56"/>
      <c r="AB529" s="57"/>
      <c r="AC529" s="621" t="s">
        <v>837</v>
      </c>
      <c r="AG529" s="64"/>
      <c r="AJ529" s="68"/>
      <c r="AK529" s="68">
        <v>0</v>
      </c>
      <c r="BB529" s="622" t="s">
        <v>1</v>
      </c>
      <c r="BM529" s="64">
        <f t="shared" si="82"/>
        <v>0</v>
      </c>
      <c r="BN529" s="64">
        <f t="shared" si="83"/>
        <v>0</v>
      </c>
      <c r="BO529" s="64">
        <f t="shared" si="84"/>
        <v>0</v>
      </c>
      <c r="BP529" s="64">
        <f t="shared" si="85"/>
        <v>0</v>
      </c>
    </row>
    <row r="530" spans="1:68" ht="27" hidden="1" customHeight="1" x14ac:dyDescent="0.25">
      <c r="A530" s="54" t="s">
        <v>846</v>
      </c>
      <c r="B530" s="54" t="s">
        <v>847</v>
      </c>
      <c r="C530" s="31">
        <v>4301031352</v>
      </c>
      <c r="D530" s="665">
        <v>4680115882102</v>
      </c>
      <c r="E530" s="666"/>
      <c r="F530" s="650">
        <v>0.6</v>
      </c>
      <c r="G530" s="32">
        <v>6</v>
      </c>
      <c r="H530" s="650">
        <v>3.6</v>
      </c>
      <c r="I530" s="650">
        <v>3.79</v>
      </c>
      <c r="J530" s="32">
        <v>132</v>
      </c>
      <c r="K530" s="32" t="s">
        <v>123</v>
      </c>
      <c r="L530" s="32"/>
      <c r="M530" s="33" t="s">
        <v>66</v>
      </c>
      <c r="N530" s="33"/>
      <c r="O530" s="32">
        <v>70</v>
      </c>
      <c r="P530" s="89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4"/>
      <c r="V530" s="34"/>
      <c r="W530" s="35" t="s">
        <v>67</v>
      </c>
      <c r="X530" s="651">
        <v>0</v>
      </c>
      <c r="Y530" s="652">
        <f t="shared" si="81"/>
        <v>0</v>
      </c>
      <c r="Z530" s="36" t="str">
        <f>IFERROR(IF(Y530=0,"",ROUNDUP(Y530/H530,0)*0.00902),"")</f>
        <v/>
      </c>
      <c r="AA530" s="56"/>
      <c r="AB530" s="57"/>
      <c r="AC530" s="623" t="s">
        <v>840</v>
      </c>
      <c r="AG530" s="64"/>
      <c r="AJ530" s="68"/>
      <c r="AK530" s="68">
        <v>0</v>
      </c>
      <c r="BB530" s="624" t="s">
        <v>1</v>
      </c>
      <c r="BM530" s="64">
        <f t="shared" si="82"/>
        <v>0</v>
      </c>
      <c r="BN530" s="64">
        <f t="shared" si="83"/>
        <v>0</v>
      </c>
      <c r="BO530" s="64">
        <f t="shared" si="84"/>
        <v>0</v>
      </c>
      <c r="BP530" s="64">
        <f t="shared" si="85"/>
        <v>0</v>
      </c>
    </row>
    <row r="531" spans="1:68" ht="27" hidden="1" customHeight="1" x14ac:dyDescent="0.25">
      <c r="A531" s="54" t="s">
        <v>846</v>
      </c>
      <c r="B531" s="54" t="s">
        <v>848</v>
      </c>
      <c r="C531" s="31">
        <v>4301031418</v>
      </c>
      <c r="D531" s="665">
        <v>4680115882102</v>
      </c>
      <c r="E531" s="666"/>
      <c r="F531" s="650">
        <v>0.6</v>
      </c>
      <c r="G531" s="32">
        <v>8</v>
      </c>
      <c r="H531" s="650">
        <v>4.8</v>
      </c>
      <c r="I531" s="650">
        <v>6.67</v>
      </c>
      <c r="J531" s="32">
        <v>132</v>
      </c>
      <c r="K531" s="32" t="s">
        <v>123</v>
      </c>
      <c r="L531" s="32"/>
      <c r="M531" s="33" t="s">
        <v>66</v>
      </c>
      <c r="N531" s="33"/>
      <c r="O531" s="32">
        <v>70</v>
      </c>
      <c r="P531" s="6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4"/>
      <c r="V531" s="34"/>
      <c r="W531" s="35" t="s">
        <v>67</v>
      </c>
      <c r="X531" s="651">
        <v>0</v>
      </c>
      <c r="Y531" s="652">
        <f t="shared" si="81"/>
        <v>0</v>
      </c>
      <c r="Z531" s="36" t="str">
        <f>IFERROR(IF(Y531=0,"",ROUNDUP(Y531/H531,0)*0.00902),"")</f>
        <v/>
      </c>
      <c r="AA531" s="56"/>
      <c r="AB531" s="57"/>
      <c r="AC531" s="625" t="s">
        <v>840</v>
      </c>
      <c r="AG531" s="64"/>
      <c r="AJ531" s="68"/>
      <c r="AK531" s="68">
        <v>0</v>
      </c>
      <c r="BB531" s="626" t="s">
        <v>1</v>
      </c>
      <c r="BM531" s="64">
        <f t="shared" si="82"/>
        <v>0</v>
      </c>
      <c r="BN531" s="64">
        <f t="shared" si="83"/>
        <v>0</v>
      </c>
      <c r="BO531" s="64">
        <f t="shared" si="84"/>
        <v>0</v>
      </c>
      <c r="BP531" s="64">
        <f t="shared" si="85"/>
        <v>0</v>
      </c>
    </row>
    <row r="532" spans="1:68" ht="27" hidden="1" customHeight="1" x14ac:dyDescent="0.25">
      <c r="A532" s="54" t="s">
        <v>849</v>
      </c>
      <c r="B532" s="54" t="s">
        <v>850</v>
      </c>
      <c r="C532" s="31">
        <v>4301031417</v>
      </c>
      <c r="D532" s="665">
        <v>4680115882096</v>
      </c>
      <c r="E532" s="666"/>
      <c r="F532" s="650">
        <v>0.6</v>
      </c>
      <c r="G532" s="32">
        <v>8</v>
      </c>
      <c r="H532" s="650">
        <v>4.8</v>
      </c>
      <c r="I532" s="650">
        <v>6.67</v>
      </c>
      <c r="J532" s="32">
        <v>132</v>
      </c>
      <c r="K532" s="32" t="s">
        <v>123</v>
      </c>
      <c r="L532" s="32"/>
      <c r="M532" s="33" t="s">
        <v>66</v>
      </c>
      <c r="N532" s="33"/>
      <c r="O532" s="32">
        <v>70</v>
      </c>
      <c r="P532" s="8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4"/>
      <c r="V532" s="34"/>
      <c r="W532" s="35" t="s">
        <v>67</v>
      </c>
      <c r="X532" s="651">
        <v>0</v>
      </c>
      <c r="Y532" s="652">
        <f t="shared" si="81"/>
        <v>0</v>
      </c>
      <c r="Z532" s="36" t="str">
        <f>IFERROR(IF(Y532=0,"",ROUNDUP(Y532/H532,0)*0.00902),"")</f>
        <v/>
      </c>
      <c r="AA532" s="56"/>
      <c r="AB532" s="57"/>
      <c r="AC532" s="627" t="s">
        <v>843</v>
      </c>
      <c r="AG532" s="64"/>
      <c r="AJ532" s="68"/>
      <c r="AK532" s="68">
        <v>0</v>
      </c>
      <c r="BB532" s="628" t="s">
        <v>1</v>
      </c>
      <c r="BM532" s="64">
        <f t="shared" si="82"/>
        <v>0</v>
      </c>
      <c r="BN532" s="64">
        <f t="shared" si="83"/>
        <v>0</v>
      </c>
      <c r="BO532" s="64">
        <f t="shared" si="84"/>
        <v>0</v>
      </c>
      <c r="BP532" s="64">
        <f t="shared" si="85"/>
        <v>0</v>
      </c>
    </row>
    <row r="533" spans="1:68" x14ac:dyDescent="0.2">
      <c r="A533" s="692"/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93"/>
      <c r="P533" s="659" t="s">
        <v>72</v>
      </c>
      <c r="Q533" s="660"/>
      <c r="R533" s="660"/>
      <c r="S533" s="660"/>
      <c r="T533" s="660"/>
      <c r="U533" s="660"/>
      <c r="V533" s="661"/>
      <c r="W533" s="37" t="s">
        <v>73</v>
      </c>
      <c r="X533" s="653">
        <f>IFERROR(X526/H526,"0")+IFERROR(X527/H527,"0")+IFERROR(X528/H528,"0")+IFERROR(X529/H529,"0")+IFERROR(X530/H530,"0")+IFERROR(X531/H531,"0")+IFERROR(X532/H532,"0")</f>
        <v>82.954545454545453</v>
      </c>
      <c r="Y533" s="653">
        <f>IFERROR(Y526/H526,"0")+IFERROR(Y527/H527,"0")+IFERROR(Y528/H528,"0")+IFERROR(Y529/H529,"0")+IFERROR(Y530/H530,"0")+IFERROR(Y531/H531,"0")+IFERROR(Y532/H532,"0")</f>
        <v>84</v>
      </c>
      <c r="Z533" s="653">
        <f>IFERROR(IF(Z526="",0,Z526),"0")+IFERROR(IF(Z527="",0,Z527),"0")+IFERROR(IF(Z528="",0,Z528),"0")+IFERROR(IF(Z529="",0,Z529),"0")+IFERROR(IF(Z530="",0,Z530),"0")+IFERROR(IF(Z531="",0,Z531),"0")+IFERROR(IF(Z532="",0,Z532),"0")</f>
        <v>1.00464</v>
      </c>
      <c r="AA533" s="654"/>
      <c r="AB533" s="654"/>
      <c r="AC533" s="654"/>
    </row>
    <row r="534" spans="1:68" x14ac:dyDescent="0.2">
      <c r="A534" s="658"/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93"/>
      <c r="P534" s="659" t="s">
        <v>72</v>
      </c>
      <c r="Q534" s="660"/>
      <c r="R534" s="660"/>
      <c r="S534" s="660"/>
      <c r="T534" s="660"/>
      <c r="U534" s="660"/>
      <c r="V534" s="661"/>
      <c r="W534" s="37" t="s">
        <v>67</v>
      </c>
      <c r="X534" s="653">
        <f>IFERROR(SUM(X526:X532),"0")</f>
        <v>438</v>
      </c>
      <c r="Y534" s="653">
        <f>IFERROR(SUM(Y526:Y532),"0")</f>
        <v>443.52</v>
      </c>
      <c r="Z534" s="37"/>
      <c r="AA534" s="654"/>
      <c r="AB534" s="654"/>
      <c r="AC534" s="654"/>
    </row>
    <row r="535" spans="1:68" ht="27.75" hidden="1" customHeight="1" x14ac:dyDescent="0.2">
      <c r="A535" s="655" t="s">
        <v>851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48"/>
      <c r="AB535" s="48"/>
      <c r="AC535" s="48"/>
    </row>
    <row r="536" spans="1:68" ht="16.5" hidden="1" customHeight="1" x14ac:dyDescent="0.25">
      <c r="A536" s="662" t="s">
        <v>851</v>
      </c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8"/>
      <c r="P536" s="658"/>
      <c r="Q536" s="658"/>
      <c r="R536" s="658"/>
      <c r="S536" s="658"/>
      <c r="T536" s="658"/>
      <c r="U536" s="658"/>
      <c r="V536" s="658"/>
      <c r="W536" s="658"/>
      <c r="X536" s="658"/>
      <c r="Y536" s="658"/>
      <c r="Z536" s="658"/>
      <c r="AA536" s="646"/>
      <c r="AB536" s="646"/>
      <c r="AC536" s="646"/>
    </row>
    <row r="537" spans="1:68" ht="14.25" hidden="1" customHeight="1" x14ac:dyDescent="0.25">
      <c r="A537" s="657" t="s">
        <v>111</v>
      </c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8"/>
      <c r="P537" s="658"/>
      <c r="Q537" s="658"/>
      <c r="R537" s="658"/>
      <c r="S537" s="658"/>
      <c r="T537" s="658"/>
      <c r="U537" s="658"/>
      <c r="V537" s="658"/>
      <c r="W537" s="658"/>
      <c r="X537" s="658"/>
      <c r="Y537" s="658"/>
      <c r="Z537" s="658"/>
      <c r="AA537" s="647"/>
      <c r="AB537" s="647"/>
      <c r="AC537" s="647"/>
    </row>
    <row r="538" spans="1:68" ht="27" hidden="1" customHeight="1" x14ac:dyDescent="0.25">
      <c r="A538" s="54" t="s">
        <v>852</v>
      </c>
      <c r="B538" s="54" t="s">
        <v>853</v>
      </c>
      <c r="C538" s="31">
        <v>4301011584</v>
      </c>
      <c r="D538" s="665">
        <v>4640242180564</v>
      </c>
      <c r="E538" s="666"/>
      <c r="F538" s="650">
        <v>1.5</v>
      </c>
      <c r="G538" s="32">
        <v>8</v>
      </c>
      <c r="H538" s="650">
        <v>12</v>
      </c>
      <c r="I538" s="650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4"/>
      <c r="V538" s="34"/>
      <c r="W538" s="35" t="s">
        <v>67</v>
      </c>
      <c r="X538" s="651">
        <v>0</v>
      </c>
      <c r="Y538" s="652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9" t="s">
        <v>854</v>
      </c>
      <c r="AG538" s="64"/>
      <c r="AJ538" s="68"/>
      <c r="AK538" s="68">
        <v>0</v>
      </c>
      <c r="BB538" s="630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92"/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93"/>
      <c r="P539" s="659" t="s">
        <v>72</v>
      </c>
      <c r="Q539" s="660"/>
      <c r="R539" s="660"/>
      <c r="S539" s="660"/>
      <c r="T539" s="660"/>
      <c r="U539" s="660"/>
      <c r="V539" s="661"/>
      <c r="W539" s="37" t="s">
        <v>73</v>
      </c>
      <c r="X539" s="653">
        <f>IFERROR(X538/H538,"0")</f>
        <v>0</v>
      </c>
      <c r="Y539" s="653">
        <f>IFERROR(Y538/H538,"0")</f>
        <v>0</v>
      </c>
      <c r="Z539" s="653">
        <f>IFERROR(IF(Z538="",0,Z538),"0")</f>
        <v>0</v>
      </c>
      <c r="AA539" s="654"/>
      <c r="AB539" s="654"/>
      <c r="AC539" s="654"/>
    </row>
    <row r="540" spans="1:68" hidden="1" x14ac:dyDescent="0.2">
      <c r="A540" s="658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93"/>
      <c r="P540" s="659" t="s">
        <v>72</v>
      </c>
      <c r="Q540" s="660"/>
      <c r="R540" s="660"/>
      <c r="S540" s="660"/>
      <c r="T540" s="660"/>
      <c r="U540" s="660"/>
      <c r="V540" s="661"/>
      <c r="W540" s="37" t="s">
        <v>67</v>
      </c>
      <c r="X540" s="653">
        <f>IFERROR(SUM(X538:X538),"0")</f>
        <v>0</v>
      </c>
      <c r="Y540" s="653">
        <f>IFERROR(SUM(Y538:Y538),"0")</f>
        <v>0</v>
      </c>
      <c r="Z540" s="37"/>
      <c r="AA540" s="654"/>
      <c r="AB540" s="654"/>
      <c r="AC540" s="654"/>
    </row>
    <row r="541" spans="1:68" ht="14.25" hidden="1" customHeight="1" x14ac:dyDescent="0.25">
      <c r="A541" s="657" t="s">
        <v>144</v>
      </c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8"/>
      <c r="P541" s="658"/>
      <c r="Q541" s="658"/>
      <c r="R541" s="658"/>
      <c r="S541" s="658"/>
      <c r="T541" s="658"/>
      <c r="U541" s="658"/>
      <c r="V541" s="658"/>
      <c r="W541" s="658"/>
      <c r="X541" s="658"/>
      <c r="Y541" s="658"/>
      <c r="Z541" s="658"/>
      <c r="AA541" s="647"/>
      <c r="AB541" s="647"/>
      <c r="AC541" s="647"/>
    </row>
    <row r="542" spans="1:68" ht="27" hidden="1" customHeight="1" x14ac:dyDescent="0.25">
      <c r="A542" s="54" t="s">
        <v>855</v>
      </c>
      <c r="B542" s="54" t="s">
        <v>856</v>
      </c>
      <c r="C542" s="31">
        <v>4301020400</v>
      </c>
      <c r="D542" s="665">
        <v>4640242180519</v>
      </c>
      <c r="E542" s="666"/>
      <c r="F542" s="650">
        <v>1.5</v>
      </c>
      <c r="G542" s="32">
        <v>8</v>
      </c>
      <c r="H542" s="650">
        <v>12</v>
      </c>
      <c r="I542" s="650">
        <v>12.41</v>
      </c>
      <c r="J542" s="32">
        <v>64</v>
      </c>
      <c r="K542" s="32" t="s">
        <v>114</v>
      </c>
      <c r="L542" s="32"/>
      <c r="M542" s="33" t="s">
        <v>115</v>
      </c>
      <c r="N542" s="33"/>
      <c r="O542" s="32">
        <v>50</v>
      </c>
      <c r="P542" s="75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4"/>
      <c r="V542" s="34"/>
      <c r="W542" s="35" t="s">
        <v>67</v>
      </c>
      <c r="X542" s="651">
        <v>0</v>
      </c>
      <c r="Y542" s="652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31" t="s">
        <v>857</v>
      </c>
      <c r="AG542" s="64"/>
      <c r="AJ542" s="68"/>
      <c r="AK542" s="68">
        <v>0</v>
      </c>
      <c r="BB542" s="632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92"/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93"/>
      <c r="P543" s="659" t="s">
        <v>72</v>
      </c>
      <c r="Q543" s="660"/>
      <c r="R543" s="660"/>
      <c r="S543" s="660"/>
      <c r="T543" s="660"/>
      <c r="U543" s="660"/>
      <c r="V543" s="661"/>
      <c r="W543" s="37" t="s">
        <v>73</v>
      </c>
      <c r="X543" s="653">
        <f>IFERROR(X542/H542,"0")</f>
        <v>0</v>
      </c>
      <c r="Y543" s="653">
        <f>IFERROR(Y542/H542,"0")</f>
        <v>0</v>
      </c>
      <c r="Z543" s="653">
        <f>IFERROR(IF(Z542="",0,Z542),"0")</f>
        <v>0</v>
      </c>
      <c r="AA543" s="654"/>
      <c r="AB543" s="654"/>
      <c r="AC543" s="654"/>
    </row>
    <row r="544" spans="1:68" hidden="1" x14ac:dyDescent="0.2">
      <c r="A544" s="658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93"/>
      <c r="P544" s="659" t="s">
        <v>72</v>
      </c>
      <c r="Q544" s="660"/>
      <c r="R544" s="660"/>
      <c r="S544" s="660"/>
      <c r="T544" s="660"/>
      <c r="U544" s="660"/>
      <c r="V544" s="661"/>
      <c r="W544" s="37" t="s">
        <v>67</v>
      </c>
      <c r="X544" s="653">
        <f>IFERROR(SUM(X542:X542),"0")</f>
        <v>0</v>
      </c>
      <c r="Y544" s="653">
        <f>IFERROR(SUM(Y542:Y542),"0")</f>
        <v>0</v>
      </c>
      <c r="Z544" s="37"/>
      <c r="AA544" s="654"/>
      <c r="AB544" s="654"/>
      <c r="AC544" s="654"/>
    </row>
    <row r="545" spans="1:68" ht="14.25" hidden="1" customHeight="1" x14ac:dyDescent="0.25">
      <c r="A545" s="657" t="s">
        <v>62</v>
      </c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8"/>
      <c r="P545" s="658"/>
      <c r="Q545" s="658"/>
      <c r="R545" s="658"/>
      <c r="S545" s="658"/>
      <c r="T545" s="658"/>
      <c r="U545" s="658"/>
      <c r="V545" s="658"/>
      <c r="W545" s="658"/>
      <c r="X545" s="658"/>
      <c r="Y545" s="658"/>
      <c r="Z545" s="658"/>
      <c r="AA545" s="647"/>
      <c r="AB545" s="647"/>
      <c r="AC545" s="647"/>
    </row>
    <row r="546" spans="1:68" ht="27" hidden="1" customHeight="1" x14ac:dyDescent="0.25">
      <c r="A546" s="54" t="s">
        <v>858</v>
      </c>
      <c r="B546" s="54" t="s">
        <v>859</v>
      </c>
      <c r="C546" s="31">
        <v>4301031500</v>
      </c>
      <c r="D546" s="665">
        <v>4640242180595</v>
      </c>
      <c r="E546" s="666"/>
      <c r="F546" s="650">
        <v>0.7</v>
      </c>
      <c r="G546" s="32">
        <v>6</v>
      </c>
      <c r="H546" s="650">
        <v>4.2</v>
      </c>
      <c r="I546" s="650">
        <v>4.45</v>
      </c>
      <c r="J546" s="32">
        <v>132</v>
      </c>
      <c r="K546" s="32" t="s">
        <v>123</v>
      </c>
      <c r="L546" s="32"/>
      <c r="M546" s="33" t="s">
        <v>66</v>
      </c>
      <c r="N546" s="33"/>
      <c r="O546" s="32">
        <v>40</v>
      </c>
      <c r="P546" s="7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4"/>
      <c r="V546" s="34"/>
      <c r="W546" s="35" t="s">
        <v>67</v>
      </c>
      <c r="X546" s="651">
        <v>0</v>
      </c>
      <c r="Y546" s="652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33" t="s">
        <v>860</v>
      </c>
      <c r="AG546" s="64"/>
      <c r="AJ546" s="68"/>
      <c r="AK546" s="68">
        <v>0</v>
      </c>
      <c r="BB546" s="63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92"/>
      <c r="B547" s="658"/>
      <c r="C547" s="658"/>
      <c r="D547" s="658"/>
      <c r="E547" s="658"/>
      <c r="F547" s="658"/>
      <c r="G547" s="658"/>
      <c r="H547" s="658"/>
      <c r="I547" s="658"/>
      <c r="J547" s="658"/>
      <c r="K547" s="658"/>
      <c r="L547" s="658"/>
      <c r="M547" s="658"/>
      <c r="N547" s="658"/>
      <c r="O547" s="693"/>
      <c r="P547" s="659" t="s">
        <v>72</v>
      </c>
      <c r="Q547" s="660"/>
      <c r="R547" s="660"/>
      <c r="S547" s="660"/>
      <c r="T547" s="660"/>
      <c r="U547" s="660"/>
      <c r="V547" s="661"/>
      <c r="W547" s="37" t="s">
        <v>73</v>
      </c>
      <c r="X547" s="653">
        <f>IFERROR(X546/H546,"0")</f>
        <v>0</v>
      </c>
      <c r="Y547" s="653">
        <f>IFERROR(Y546/H546,"0")</f>
        <v>0</v>
      </c>
      <c r="Z547" s="653">
        <f>IFERROR(IF(Z546="",0,Z546),"0")</f>
        <v>0</v>
      </c>
      <c r="AA547" s="654"/>
      <c r="AB547" s="654"/>
      <c r="AC547" s="654"/>
    </row>
    <row r="548" spans="1:68" hidden="1" x14ac:dyDescent="0.2">
      <c r="A548" s="658"/>
      <c r="B548" s="658"/>
      <c r="C548" s="658"/>
      <c r="D548" s="658"/>
      <c r="E548" s="658"/>
      <c r="F548" s="658"/>
      <c r="G548" s="658"/>
      <c r="H548" s="658"/>
      <c r="I548" s="658"/>
      <c r="J548" s="658"/>
      <c r="K548" s="658"/>
      <c r="L548" s="658"/>
      <c r="M548" s="658"/>
      <c r="N548" s="658"/>
      <c r="O548" s="693"/>
      <c r="P548" s="659" t="s">
        <v>72</v>
      </c>
      <c r="Q548" s="660"/>
      <c r="R548" s="660"/>
      <c r="S548" s="660"/>
      <c r="T548" s="660"/>
      <c r="U548" s="660"/>
      <c r="V548" s="661"/>
      <c r="W548" s="37" t="s">
        <v>67</v>
      </c>
      <c r="X548" s="653">
        <f>IFERROR(SUM(X546:X546),"0")</f>
        <v>0</v>
      </c>
      <c r="Y548" s="653">
        <f>IFERROR(SUM(Y546:Y546),"0")</f>
        <v>0</v>
      </c>
      <c r="Z548" s="37"/>
      <c r="AA548" s="654"/>
      <c r="AB548" s="654"/>
      <c r="AC548" s="654"/>
    </row>
    <row r="549" spans="1:68" ht="14.25" hidden="1" customHeight="1" x14ac:dyDescent="0.25">
      <c r="A549" s="657" t="s">
        <v>74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47"/>
      <c r="AB549" s="647"/>
      <c r="AC549" s="647"/>
    </row>
    <row r="550" spans="1:68" ht="27" customHeight="1" x14ac:dyDescent="0.25">
      <c r="A550" s="54" t="s">
        <v>861</v>
      </c>
      <c r="B550" s="54" t="s">
        <v>862</v>
      </c>
      <c r="C550" s="31">
        <v>4301052043</v>
      </c>
      <c r="D550" s="665">
        <v>4640242180533</v>
      </c>
      <c r="E550" s="666"/>
      <c r="F550" s="650">
        <v>1.5</v>
      </c>
      <c r="G550" s="32">
        <v>6</v>
      </c>
      <c r="H550" s="650">
        <v>9</v>
      </c>
      <c r="I550" s="650">
        <v>9.4939999999999998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45</v>
      </c>
      <c r="P550" s="73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4"/>
      <c r="V550" s="34"/>
      <c r="W550" s="35" t="s">
        <v>67</v>
      </c>
      <c r="X550" s="651">
        <v>30</v>
      </c>
      <c r="Y550" s="652">
        <f>IFERROR(IF(X550="",0,CEILING((X550/$H550),1)*$H550),"")</f>
        <v>36</v>
      </c>
      <c r="Z550" s="36">
        <f>IFERROR(IF(Y550=0,"",ROUNDUP(Y550/H550,0)*0.01898),"")</f>
        <v>7.5920000000000001E-2</v>
      </c>
      <c r="AA550" s="56"/>
      <c r="AB550" s="57"/>
      <c r="AC550" s="635" t="s">
        <v>863</v>
      </c>
      <c r="AG550" s="64"/>
      <c r="AJ550" s="68"/>
      <c r="AK550" s="68">
        <v>0</v>
      </c>
      <c r="BB550" s="636" t="s">
        <v>1</v>
      </c>
      <c r="BM550" s="64">
        <f>IFERROR(X550*I550/H550,"0")</f>
        <v>31.646666666666665</v>
      </c>
      <c r="BN550" s="64">
        <f>IFERROR(Y550*I550/H550,"0")</f>
        <v>37.975999999999999</v>
      </c>
      <c r="BO550" s="64">
        <f>IFERROR(1/J550*(X550/H550),"0")</f>
        <v>5.2083333333333336E-2</v>
      </c>
      <c r="BP550" s="64">
        <f>IFERROR(1/J550*(Y550/H550),"0")</f>
        <v>6.25E-2</v>
      </c>
    </row>
    <row r="551" spans="1:68" x14ac:dyDescent="0.2">
      <c r="A551" s="692"/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93"/>
      <c r="P551" s="659" t="s">
        <v>72</v>
      </c>
      <c r="Q551" s="660"/>
      <c r="R551" s="660"/>
      <c r="S551" s="660"/>
      <c r="T551" s="660"/>
      <c r="U551" s="660"/>
      <c r="V551" s="661"/>
      <c r="W551" s="37" t="s">
        <v>73</v>
      </c>
      <c r="X551" s="653">
        <f>IFERROR(X550/H550,"0")</f>
        <v>3.3333333333333335</v>
      </c>
      <c r="Y551" s="653">
        <f>IFERROR(Y550/H550,"0")</f>
        <v>4</v>
      </c>
      <c r="Z551" s="653">
        <f>IFERROR(IF(Z550="",0,Z550),"0")</f>
        <v>7.5920000000000001E-2</v>
      </c>
      <c r="AA551" s="654"/>
      <c r="AB551" s="654"/>
      <c r="AC551" s="654"/>
    </row>
    <row r="552" spans="1:68" x14ac:dyDescent="0.2">
      <c r="A552" s="658"/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93"/>
      <c r="P552" s="659" t="s">
        <v>72</v>
      </c>
      <c r="Q552" s="660"/>
      <c r="R552" s="660"/>
      <c r="S552" s="660"/>
      <c r="T552" s="660"/>
      <c r="U552" s="660"/>
      <c r="V552" s="661"/>
      <c r="W552" s="37" t="s">
        <v>67</v>
      </c>
      <c r="X552" s="653">
        <f>IFERROR(SUM(X550:X550),"0")</f>
        <v>30</v>
      </c>
      <c r="Y552" s="653">
        <f>IFERROR(SUM(Y550:Y550),"0")</f>
        <v>36</v>
      </c>
      <c r="Z552" s="37"/>
      <c r="AA552" s="654"/>
      <c r="AB552" s="654"/>
      <c r="AC552" s="654"/>
    </row>
    <row r="553" spans="1:68" ht="14.25" hidden="1" customHeight="1" x14ac:dyDescent="0.25">
      <c r="A553" s="657" t="s">
        <v>162</v>
      </c>
      <c r="B553" s="658"/>
      <c r="C553" s="658"/>
      <c r="D553" s="658"/>
      <c r="E553" s="658"/>
      <c r="F553" s="658"/>
      <c r="G553" s="658"/>
      <c r="H553" s="658"/>
      <c r="I553" s="658"/>
      <c r="J553" s="658"/>
      <c r="K553" s="658"/>
      <c r="L553" s="658"/>
      <c r="M553" s="658"/>
      <c r="N553" s="658"/>
      <c r="O553" s="658"/>
      <c r="P553" s="658"/>
      <c r="Q553" s="658"/>
      <c r="R553" s="658"/>
      <c r="S553" s="658"/>
      <c r="T553" s="658"/>
      <c r="U553" s="658"/>
      <c r="V553" s="658"/>
      <c r="W553" s="658"/>
      <c r="X553" s="658"/>
      <c r="Y553" s="658"/>
      <c r="Z553" s="658"/>
      <c r="AA553" s="647"/>
      <c r="AB553" s="647"/>
      <c r="AC553" s="647"/>
    </row>
    <row r="554" spans="1:68" ht="27" hidden="1" customHeight="1" x14ac:dyDescent="0.25">
      <c r="A554" s="54" t="s">
        <v>864</v>
      </c>
      <c r="B554" s="54" t="s">
        <v>865</v>
      </c>
      <c r="C554" s="31">
        <v>4301060535</v>
      </c>
      <c r="D554" s="665">
        <v>4640242180120</v>
      </c>
      <c r="E554" s="666"/>
      <c r="F554" s="650">
        <v>1.5</v>
      </c>
      <c r="G554" s="32">
        <v>6</v>
      </c>
      <c r="H554" s="650">
        <v>9</v>
      </c>
      <c r="I554" s="650">
        <v>9.41</v>
      </c>
      <c r="J554" s="32">
        <v>64</v>
      </c>
      <c r="K554" s="32" t="s">
        <v>114</v>
      </c>
      <c r="L554" s="32"/>
      <c r="M554" s="33" t="s">
        <v>78</v>
      </c>
      <c r="N554" s="33"/>
      <c r="O554" s="32">
        <v>40</v>
      </c>
      <c r="P554" s="9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4"/>
      <c r="V554" s="34"/>
      <c r="W554" s="35" t="s">
        <v>67</v>
      </c>
      <c r="X554" s="651">
        <v>0</v>
      </c>
      <c r="Y554" s="65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37" t="s">
        <v>866</v>
      </c>
      <c r="AG554" s="64"/>
      <c r="AJ554" s="68"/>
      <c r="AK554" s="68">
        <v>0</v>
      </c>
      <c r="BB554" s="638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867</v>
      </c>
      <c r="B555" s="54" t="s">
        <v>868</v>
      </c>
      <c r="C555" s="31">
        <v>4301060536</v>
      </c>
      <c r="D555" s="665">
        <v>4640242180137</v>
      </c>
      <c r="E555" s="666"/>
      <c r="F555" s="650">
        <v>1.5</v>
      </c>
      <c r="G555" s="32">
        <v>6</v>
      </c>
      <c r="H555" s="650">
        <v>9</v>
      </c>
      <c r="I555" s="650">
        <v>9.41</v>
      </c>
      <c r="J555" s="32">
        <v>64</v>
      </c>
      <c r="K555" s="32" t="s">
        <v>114</v>
      </c>
      <c r="L555" s="32"/>
      <c r="M555" s="33" t="s">
        <v>78</v>
      </c>
      <c r="N555" s="33"/>
      <c r="O555" s="32">
        <v>40</v>
      </c>
      <c r="P555" s="9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4"/>
      <c r="V555" s="34"/>
      <c r="W555" s="35" t="s">
        <v>67</v>
      </c>
      <c r="X555" s="651">
        <v>0</v>
      </c>
      <c r="Y555" s="65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9" t="s">
        <v>869</v>
      </c>
      <c r="AG555" s="64"/>
      <c r="AJ555" s="68"/>
      <c r="AK555" s="68">
        <v>0</v>
      </c>
      <c r="BB555" s="64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92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693"/>
      <c r="P556" s="659" t="s">
        <v>72</v>
      </c>
      <c r="Q556" s="660"/>
      <c r="R556" s="660"/>
      <c r="S556" s="660"/>
      <c r="T556" s="660"/>
      <c r="U556" s="660"/>
      <c r="V556" s="661"/>
      <c r="W556" s="37" t="s">
        <v>73</v>
      </c>
      <c r="X556" s="653">
        <f>IFERROR(X554/H554,"0")+IFERROR(X555/H555,"0")</f>
        <v>0</v>
      </c>
      <c r="Y556" s="653">
        <f>IFERROR(Y554/H554,"0")+IFERROR(Y555/H555,"0")</f>
        <v>0</v>
      </c>
      <c r="Z556" s="653">
        <f>IFERROR(IF(Z554="",0,Z554),"0")+IFERROR(IF(Z555="",0,Z555),"0")</f>
        <v>0</v>
      </c>
      <c r="AA556" s="654"/>
      <c r="AB556" s="654"/>
      <c r="AC556" s="654"/>
    </row>
    <row r="557" spans="1:68" hidden="1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693"/>
      <c r="P557" s="659" t="s">
        <v>72</v>
      </c>
      <c r="Q557" s="660"/>
      <c r="R557" s="660"/>
      <c r="S557" s="660"/>
      <c r="T557" s="660"/>
      <c r="U557" s="660"/>
      <c r="V557" s="661"/>
      <c r="W557" s="37" t="s">
        <v>67</v>
      </c>
      <c r="X557" s="653">
        <f>IFERROR(SUM(X554:X555),"0")</f>
        <v>0</v>
      </c>
      <c r="Y557" s="653">
        <f>IFERROR(SUM(Y554:Y555),"0")</f>
        <v>0</v>
      </c>
      <c r="Z557" s="37"/>
      <c r="AA557" s="654"/>
      <c r="AB557" s="654"/>
      <c r="AC557" s="654"/>
    </row>
    <row r="558" spans="1:68" ht="16.5" hidden="1" customHeight="1" x14ac:dyDescent="0.25">
      <c r="A558" s="662" t="s">
        <v>870</v>
      </c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658"/>
      <c r="P558" s="658"/>
      <c r="Q558" s="658"/>
      <c r="R558" s="658"/>
      <c r="S558" s="658"/>
      <c r="T558" s="658"/>
      <c r="U558" s="658"/>
      <c r="V558" s="658"/>
      <c r="W558" s="658"/>
      <c r="X558" s="658"/>
      <c r="Y558" s="658"/>
      <c r="Z558" s="658"/>
      <c r="AA558" s="646"/>
      <c r="AB558" s="646"/>
      <c r="AC558" s="646"/>
    </row>
    <row r="559" spans="1:68" ht="14.25" hidden="1" customHeight="1" x14ac:dyDescent="0.25">
      <c r="A559" s="657" t="s">
        <v>144</v>
      </c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658"/>
      <c r="P559" s="658"/>
      <c r="Q559" s="658"/>
      <c r="R559" s="658"/>
      <c r="S559" s="658"/>
      <c r="T559" s="658"/>
      <c r="U559" s="658"/>
      <c r="V559" s="658"/>
      <c r="W559" s="658"/>
      <c r="X559" s="658"/>
      <c r="Y559" s="658"/>
      <c r="Z559" s="658"/>
      <c r="AA559" s="647"/>
      <c r="AB559" s="647"/>
      <c r="AC559" s="647"/>
    </row>
    <row r="560" spans="1:68" ht="27" hidden="1" customHeight="1" x14ac:dyDescent="0.25">
      <c r="A560" s="54" t="s">
        <v>871</v>
      </c>
      <c r="B560" s="54" t="s">
        <v>872</v>
      </c>
      <c r="C560" s="31">
        <v>4301020428</v>
      </c>
      <c r="D560" s="665">
        <v>4640242180090</v>
      </c>
      <c r="E560" s="666"/>
      <c r="F560" s="650">
        <v>1.5</v>
      </c>
      <c r="G560" s="32">
        <v>8</v>
      </c>
      <c r="H560" s="650">
        <v>12</v>
      </c>
      <c r="I560" s="650">
        <v>12.41</v>
      </c>
      <c r="J560" s="32">
        <v>64</v>
      </c>
      <c r="K560" s="32" t="s">
        <v>114</v>
      </c>
      <c r="L560" s="32"/>
      <c r="M560" s="33" t="s">
        <v>115</v>
      </c>
      <c r="N560" s="33"/>
      <c r="O560" s="32">
        <v>50</v>
      </c>
      <c r="P560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4"/>
      <c r="V560" s="34"/>
      <c r="W560" s="35" t="s">
        <v>67</v>
      </c>
      <c r="X560" s="651">
        <v>0</v>
      </c>
      <c r="Y560" s="652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41" t="s">
        <v>873</v>
      </c>
      <c r="AG560" s="64"/>
      <c r="AJ560" s="68"/>
      <c r="AK560" s="68">
        <v>0</v>
      </c>
      <c r="BB560" s="642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32" hidden="1" x14ac:dyDescent="0.2">
      <c r="A561" s="692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693"/>
      <c r="P561" s="659" t="s">
        <v>72</v>
      </c>
      <c r="Q561" s="660"/>
      <c r="R561" s="660"/>
      <c r="S561" s="660"/>
      <c r="T561" s="660"/>
      <c r="U561" s="660"/>
      <c r="V561" s="661"/>
      <c r="W561" s="37" t="s">
        <v>73</v>
      </c>
      <c r="X561" s="653">
        <f>IFERROR(X560/H560,"0")</f>
        <v>0</v>
      </c>
      <c r="Y561" s="653">
        <f>IFERROR(Y560/H560,"0")</f>
        <v>0</v>
      </c>
      <c r="Z561" s="653">
        <f>IFERROR(IF(Z560="",0,Z560),"0")</f>
        <v>0</v>
      </c>
      <c r="AA561" s="654"/>
      <c r="AB561" s="654"/>
      <c r="AC561" s="654"/>
    </row>
    <row r="562" spans="1:32" hidden="1" x14ac:dyDescent="0.2">
      <c r="A562" s="658"/>
      <c r="B562" s="658"/>
      <c r="C562" s="658"/>
      <c r="D562" s="658"/>
      <c r="E562" s="658"/>
      <c r="F562" s="658"/>
      <c r="G562" s="658"/>
      <c r="H562" s="658"/>
      <c r="I562" s="658"/>
      <c r="J562" s="658"/>
      <c r="K562" s="658"/>
      <c r="L562" s="658"/>
      <c r="M562" s="658"/>
      <c r="N562" s="658"/>
      <c r="O562" s="693"/>
      <c r="P562" s="659" t="s">
        <v>72</v>
      </c>
      <c r="Q562" s="660"/>
      <c r="R562" s="660"/>
      <c r="S562" s="660"/>
      <c r="T562" s="660"/>
      <c r="U562" s="660"/>
      <c r="V562" s="661"/>
      <c r="W562" s="37" t="s">
        <v>67</v>
      </c>
      <c r="X562" s="653">
        <f>IFERROR(SUM(X560:X560),"0")</f>
        <v>0</v>
      </c>
      <c r="Y562" s="653">
        <f>IFERROR(SUM(Y560:Y560),"0")</f>
        <v>0</v>
      </c>
      <c r="Z562" s="37"/>
      <c r="AA562" s="654"/>
      <c r="AB562" s="654"/>
      <c r="AC562" s="654"/>
    </row>
    <row r="563" spans="1:32" ht="15" customHeight="1" x14ac:dyDescent="0.2">
      <c r="A563" s="818"/>
      <c r="B563" s="658"/>
      <c r="C563" s="658"/>
      <c r="D563" s="658"/>
      <c r="E563" s="658"/>
      <c r="F563" s="658"/>
      <c r="G563" s="658"/>
      <c r="H563" s="658"/>
      <c r="I563" s="658"/>
      <c r="J563" s="658"/>
      <c r="K563" s="658"/>
      <c r="L563" s="658"/>
      <c r="M563" s="658"/>
      <c r="N563" s="658"/>
      <c r="O563" s="819"/>
      <c r="P563" s="710" t="s">
        <v>874</v>
      </c>
      <c r="Q563" s="711"/>
      <c r="R563" s="711"/>
      <c r="S563" s="711"/>
      <c r="T563" s="711"/>
      <c r="U563" s="711"/>
      <c r="V563" s="712"/>
      <c r="W563" s="37" t="s">
        <v>67</v>
      </c>
      <c r="X563" s="65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6995</v>
      </c>
      <c r="Y563" s="65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7135.9200000000019</v>
      </c>
      <c r="Z563" s="37"/>
      <c r="AA563" s="654"/>
      <c r="AB563" s="654"/>
      <c r="AC563" s="654"/>
    </row>
    <row r="564" spans="1:32" x14ac:dyDescent="0.2">
      <c r="A564" s="658"/>
      <c r="B564" s="658"/>
      <c r="C564" s="658"/>
      <c r="D564" s="658"/>
      <c r="E564" s="658"/>
      <c r="F564" s="658"/>
      <c r="G564" s="658"/>
      <c r="H564" s="658"/>
      <c r="I564" s="658"/>
      <c r="J564" s="658"/>
      <c r="K564" s="658"/>
      <c r="L564" s="658"/>
      <c r="M564" s="658"/>
      <c r="N564" s="658"/>
      <c r="O564" s="819"/>
      <c r="P564" s="710" t="s">
        <v>875</v>
      </c>
      <c r="Q564" s="711"/>
      <c r="R564" s="711"/>
      <c r="S564" s="711"/>
      <c r="T564" s="711"/>
      <c r="U564" s="711"/>
      <c r="V564" s="712"/>
      <c r="W564" s="37" t="s">
        <v>67</v>
      </c>
      <c r="X564" s="653">
        <f>IFERROR(SUM(BM22:BM560),"0")</f>
        <v>7400.7578301032718</v>
      </c>
      <c r="Y564" s="653">
        <f>IFERROR(SUM(BN22:BN560),"0")</f>
        <v>7549.9079999999976</v>
      </c>
      <c r="Z564" s="37"/>
      <c r="AA564" s="654"/>
      <c r="AB564" s="654"/>
      <c r="AC564" s="654"/>
    </row>
    <row r="565" spans="1:32" x14ac:dyDescent="0.2">
      <c r="A565" s="658"/>
      <c r="B565" s="658"/>
      <c r="C565" s="658"/>
      <c r="D565" s="658"/>
      <c r="E565" s="658"/>
      <c r="F565" s="658"/>
      <c r="G565" s="658"/>
      <c r="H565" s="658"/>
      <c r="I565" s="658"/>
      <c r="J565" s="658"/>
      <c r="K565" s="658"/>
      <c r="L565" s="658"/>
      <c r="M565" s="658"/>
      <c r="N565" s="658"/>
      <c r="O565" s="819"/>
      <c r="P565" s="710" t="s">
        <v>876</v>
      </c>
      <c r="Q565" s="711"/>
      <c r="R565" s="711"/>
      <c r="S565" s="711"/>
      <c r="T565" s="711"/>
      <c r="U565" s="711"/>
      <c r="V565" s="712"/>
      <c r="W565" s="37" t="s">
        <v>877</v>
      </c>
      <c r="X565" s="38">
        <f>ROUNDUP(SUM(BO22:BO560),0)</f>
        <v>13</v>
      </c>
      <c r="Y565" s="38">
        <f>ROUNDUP(SUM(BP22:BP560),0)</f>
        <v>13</v>
      </c>
      <c r="Z565" s="37"/>
      <c r="AA565" s="654"/>
      <c r="AB565" s="654"/>
      <c r="AC565" s="654"/>
    </row>
    <row r="566" spans="1:32" x14ac:dyDescent="0.2">
      <c r="A566" s="658"/>
      <c r="B566" s="658"/>
      <c r="C566" s="658"/>
      <c r="D566" s="658"/>
      <c r="E566" s="658"/>
      <c r="F566" s="658"/>
      <c r="G566" s="658"/>
      <c r="H566" s="658"/>
      <c r="I566" s="658"/>
      <c r="J566" s="658"/>
      <c r="K566" s="658"/>
      <c r="L566" s="658"/>
      <c r="M566" s="658"/>
      <c r="N566" s="658"/>
      <c r="O566" s="819"/>
      <c r="P566" s="710" t="s">
        <v>878</v>
      </c>
      <c r="Q566" s="711"/>
      <c r="R566" s="711"/>
      <c r="S566" s="711"/>
      <c r="T566" s="711"/>
      <c r="U566" s="711"/>
      <c r="V566" s="712"/>
      <c r="W566" s="37" t="s">
        <v>67</v>
      </c>
      <c r="X566" s="653">
        <f>GrossWeightTotal+PalletQtyTotal*25</f>
        <v>7725.7578301032718</v>
      </c>
      <c r="Y566" s="653">
        <f>GrossWeightTotalR+PalletQtyTotalR*25</f>
        <v>7874.9079999999976</v>
      </c>
      <c r="Z566" s="37"/>
      <c r="AA566" s="654"/>
      <c r="AB566" s="654"/>
      <c r="AC566" s="654"/>
    </row>
    <row r="567" spans="1:32" x14ac:dyDescent="0.2">
      <c r="A567" s="658"/>
      <c r="B567" s="658"/>
      <c r="C567" s="658"/>
      <c r="D567" s="658"/>
      <c r="E567" s="658"/>
      <c r="F567" s="658"/>
      <c r="G567" s="658"/>
      <c r="H567" s="658"/>
      <c r="I567" s="658"/>
      <c r="J567" s="658"/>
      <c r="K567" s="658"/>
      <c r="L567" s="658"/>
      <c r="M567" s="658"/>
      <c r="N567" s="658"/>
      <c r="O567" s="819"/>
      <c r="P567" s="710" t="s">
        <v>879</v>
      </c>
      <c r="Q567" s="711"/>
      <c r="R567" s="711"/>
      <c r="S567" s="711"/>
      <c r="T567" s="711"/>
      <c r="U567" s="711"/>
      <c r="V567" s="712"/>
      <c r="W567" s="37" t="s">
        <v>877</v>
      </c>
      <c r="X567" s="65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1338.0610155702111</v>
      </c>
      <c r="Y567" s="65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1367</v>
      </c>
      <c r="Z567" s="37"/>
      <c r="AA567" s="654"/>
      <c r="AB567" s="654"/>
      <c r="AC567" s="654"/>
    </row>
    <row r="568" spans="1:32" ht="14.25" hidden="1" customHeight="1" x14ac:dyDescent="0.2">
      <c r="A568" s="658"/>
      <c r="B568" s="658"/>
      <c r="C568" s="658"/>
      <c r="D568" s="658"/>
      <c r="E568" s="658"/>
      <c r="F568" s="658"/>
      <c r="G568" s="658"/>
      <c r="H568" s="658"/>
      <c r="I568" s="658"/>
      <c r="J568" s="658"/>
      <c r="K568" s="658"/>
      <c r="L568" s="658"/>
      <c r="M568" s="658"/>
      <c r="N568" s="658"/>
      <c r="O568" s="819"/>
      <c r="P568" s="710" t="s">
        <v>880</v>
      </c>
      <c r="Q568" s="711"/>
      <c r="R568" s="711"/>
      <c r="S568" s="711"/>
      <c r="T568" s="711"/>
      <c r="U568" s="711"/>
      <c r="V568" s="712"/>
      <c r="W568" s="39" t="s">
        <v>881</v>
      </c>
      <c r="X568" s="37"/>
      <c r="Y568" s="37"/>
      <c r="Z568" s="37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15.270339999999997</v>
      </c>
      <c r="AA568" s="654"/>
      <c r="AB568" s="654"/>
      <c r="AC568" s="654"/>
    </row>
    <row r="569" spans="1:32" ht="13.5" customHeight="1" thickBot="1" x14ac:dyDescent="0.25"/>
    <row r="570" spans="1:32" ht="27" customHeight="1" thickTop="1" thickBot="1" x14ac:dyDescent="0.25">
      <c r="A570" s="40" t="s">
        <v>882</v>
      </c>
      <c r="B570" s="648" t="s">
        <v>61</v>
      </c>
      <c r="C570" s="648" t="s">
        <v>92</v>
      </c>
      <c r="D570" s="682" t="s">
        <v>109</v>
      </c>
      <c r="E570" s="742"/>
      <c r="F570" s="742"/>
      <c r="G570" s="742"/>
      <c r="H570" s="742"/>
      <c r="I570" s="742"/>
      <c r="J570" s="743"/>
      <c r="K570" s="682" t="s">
        <v>359</v>
      </c>
      <c r="L570" s="742"/>
      <c r="M570" s="742"/>
      <c r="N570" s="742"/>
      <c r="O570" s="742"/>
      <c r="P570" s="742"/>
      <c r="Q570" s="742"/>
      <c r="R570" s="742"/>
      <c r="S570" s="742"/>
      <c r="T570" s="742"/>
      <c r="U570" s="742"/>
      <c r="V570" s="743"/>
      <c r="W570" s="682" t="s">
        <v>702</v>
      </c>
      <c r="X570" s="743"/>
      <c r="Y570" s="682" t="s">
        <v>768</v>
      </c>
      <c r="Z570" s="743"/>
      <c r="AA570" s="648" t="s">
        <v>804</v>
      </c>
      <c r="AB570" s="682" t="s">
        <v>851</v>
      </c>
      <c r="AC570" s="743"/>
      <c r="AF570" s="649"/>
    </row>
    <row r="571" spans="1:32" ht="14.25" customHeight="1" thickTop="1" x14ac:dyDescent="0.2">
      <c r="A571" s="909" t="s">
        <v>883</v>
      </c>
      <c r="B571" s="682" t="s">
        <v>61</v>
      </c>
      <c r="C571" s="682" t="s">
        <v>93</v>
      </c>
      <c r="D571" s="682" t="s">
        <v>110</v>
      </c>
      <c r="E571" s="682" t="s">
        <v>126</v>
      </c>
      <c r="F571" s="682" t="s">
        <v>171</v>
      </c>
      <c r="G571" s="682" t="s">
        <v>201</v>
      </c>
      <c r="H571" s="682" t="s">
        <v>254</v>
      </c>
      <c r="I571" s="682" t="s">
        <v>267</v>
      </c>
      <c r="J571" s="682" t="s">
        <v>109</v>
      </c>
      <c r="K571" s="682" t="s">
        <v>360</v>
      </c>
      <c r="L571" s="682" t="s">
        <v>381</v>
      </c>
      <c r="M571" s="682" t="s">
        <v>448</v>
      </c>
      <c r="N571" s="649"/>
      <c r="O571" s="682" t="s">
        <v>516</v>
      </c>
      <c r="P571" s="682" t="s">
        <v>549</v>
      </c>
      <c r="Q571" s="682" t="s">
        <v>565</v>
      </c>
      <c r="R571" s="682" t="s">
        <v>574</v>
      </c>
      <c r="S571" s="682" t="s">
        <v>595</v>
      </c>
      <c r="T571" s="682" t="s">
        <v>604</v>
      </c>
      <c r="U571" s="682" t="s">
        <v>685</v>
      </c>
      <c r="V571" s="682" t="s">
        <v>692</v>
      </c>
      <c r="W571" s="682" t="s">
        <v>703</v>
      </c>
      <c r="X571" s="682" t="s">
        <v>752</v>
      </c>
      <c r="Y571" s="682" t="s">
        <v>769</v>
      </c>
      <c r="Z571" s="682" t="s">
        <v>792</v>
      </c>
      <c r="AA571" s="682" t="s">
        <v>804</v>
      </c>
      <c r="AB571" s="682" t="s">
        <v>851</v>
      </c>
      <c r="AC571" s="682" t="s">
        <v>870</v>
      </c>
      <c r="AF571" s="649"/>
    </row>
    <row r="572" spans="1:32" ht="13.5" customHeight="1" thickBot="1" x14ac:dyDescent="0.25">
      <c r="A572" s="910"/>
      <c r="B572" s="683"/>
      <c r="C572" s="683"/>
      <c r="D572" s="683"/>
      <c r="E572" s="683"/>
      <c r="F572" s="683"/>
      <c r="G572" s="683"/>
      <c r="H572" s="683"/>
      <c r="I572" s="683"/>
      <c r="J572" s="683"/>
      <c r="K572" s="683"/>
      <c r="L572" s="683"/>
      <c r="M572" s="683"/>
      <c r="N572" s="649"/>
      <c r="O572" s="683"/>
      <c r="P572" s="683"/>
      <c r="Q572" s="683"/>
      <c r="R572" s="683"/>
      <c r="S572" s="683"/>
      <c r="T572" s="683"/>
      <c r="U572" s="683"/>
      <c r="V572" s="683"/>
      <c r="W572" s="683"/>
      <c r="X572" s="683"/>
      <c r="Y572" s="683"/>
      <c r="Z572" s="683"/>
      <c r="AA572" s="683"/>
      <c r="AB572" s="683"/>
      <c r="AC572" s="683"/>
      <c r="AF572" s="649"/>
    </row>
    <row r="573" spans="1:32" ht="18" customHeight="1" thickTop="1" thickBot="1" x14ac:dyDescent="0.25">
      <c r="A573" s="40" t="s">
        <v>884</v>
      </c>
      <c r="B573" s="46">
        <f>IFERROR(Y22*1,"0")+IFERROR(Y23*1,"0")+IFERROR(Y27*1,"0")+IFERROR(Y28*1,"0")+IFERROR(Y29*1,"0")+IFERROR(Y30*1,"0")+IFERROR(Y31*1,"0")</f>
        <v>0</v>
      </c>
      <c r="C573" s="46">
        <f>IFERROR(Y37*1,"0")+IFERROR(Y38*1,"0")+IFERROR(Y39*1,"0")+IFERROR(Y40*1,"0")+IFERROR(Y41*1,"0")</f>
        <v>0</v>
      </c>
      <c r="D573" s="46">
        <f>IFERROR(Y47*1,"0")+IFERROR(Y48*1,"0")+IFERROR(Y49*1,"0")+IFERROR(Y50*1,"0")</f>
        <v>24</v>
      </c>
      <c r="E573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46">
        <f>IFERROR(Y85*1,"0")+IFERROR(Y86*1,"0")+IFERROR(Y87*1,"0")+IFERROR(Y88*1,"0")+IFERROR(Y89*1,"0")+IFERROR(Y93*1,"0")+IFERROR(Y94*1,"0")+IFERROR(Y95*1,"0")+IFERROR(Y96*1,"0")+IFERROR(Y97*1,"0")+IFERROR(Y98*1,"0")+IFERROR(Y99*1,"0")</f>
        <v>672.3</v>
      </c>
      <c r="G573" s="46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485.09999999999997</v>
      </c>
      <c r="H573" s="46">
        <f>IFERROR(Y140*1,"0")+IFERROR(Y141*1,"0")+IFERROR(Y145*1,"0")+IFERROR(Y146*1,"0")+IFERROR(Y150*1,"0")+IFERROR(Y151*1,"0")</f>
        <v>0</v>
      </c>
      <c r="I573" s="46">
        <f>IFERROR(Y156*1,"0")+IFERROR(Y157*1,"0")+IFERROR(Y158*1,"0")+IFERROR(Y159*1,"0")+IFERROR(Y160*1,"0")+IFERROR(Y161*1,"0")+IFERROR(Y162*1,"0")+IFERROR(Y166*1,"0")</f>
        <v>0</v>
      </c>
      <c r="J573" s="46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675.36</v>
      </c>
      <c r="K573" s="46">
        <f>IFERROR(Y215*1,"0")+IFERROR(Y216*1,"0")+IFERROR(Y217*1,"0")+IFERROR(Y218*1,"0")+IFERROR(Y219*1,"0")+IFERROR(Y220*1,"0")+IFERROR(Y221*1,"0")</f>
        <v>0</v>
      </c>
      <c r="L573" s="46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215.82</v>
      </c>
      <c r="M573" s="46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765.6</v>
      </c>
      <c r="N573" s="649"/>
      <c r="O573" s="46">
        <f>IFERROR(Y308*1,"0")+IFERROR(Y309*1,"0")+IFERROR(Y310*1,"0")+IFERROR(Y311*1,"0")+IFERROR(Y312*1,"0")+IFERROR(Y313*1,"0")+IFERROR(Y314*1,"0")+IFERROR(Y318*1,"0")+IFERROR(Y322*1,"0")+IFERROR(Y326*1,"0")+IFERROR(Y327*1,"0")+IFERROR(Y328*1,"0")</f>
        <v>3.6</v>
      </c>
      <c r="P573" s="46">
        <f>IFERROR(Y333*1,"0")+IFERROR(Y334*1,"0")+IFERROR(Y335*1,"0")+IFERROR(Y336*1,"0")+IFERROR(Y337*1,"0")</f>
        <v>0</v>
      </c>
      <c r="Q573" s="46">
        <f>IFERROR(Y342*1,"0")+IFERROR(Y343*1,"0")+IFERROR(Y344*1,"0")</f>
        <v>38.4</v>
      </c>
      <c r="R573" s="46">
        <f>IFERROR(Y349*1,"0")+IFERROR(Y350*1,"0")+IFERROR(Y351*1,"0")+IFERROR(Y352*1,"0")+IFERROR(Y353*1,"0")+IFERROR(Y357*1,"0")+IFERROR(Y358*1,"0")</f>
        <v>0</v>
      </c>
      <c r="S573" s="46">
        <f>IFERROR(Y363*1,"0")+IFERROR(Y364*1,"0")+IFERROR(Y365*1,"0")</f>
        <v>85.8</v>
      </c>
      <c r="T573" s="46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814.49999999999989</v>
      </c>
      <c r="U573" s="46">
        <f>IFERROR(Y421*1,"0")+IFERROR(Y422*1,"0")</f>
        <v>0</v>
      </c>
      <c r="V573" s="46">
        <f>IFERROR(Y427*1,"0")+IFERROR(Y428*1,"0")+IFERROR(Y429*1,"0")</f>
        <v>12.600000000000001</v>
      </c>
      <c r="W573" s="46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1707</v>
      </c>
      <c r="X573" s="46">
        <f>IFERROR(Y464*1,"0")+IFERROR(Y465*1,"0")+IFERROR(Y469*1,"0")+IFERROR(Y473*1,"0")+IFERROR(Y474*1,"0")+IFERROR(Y475*1,"0")</f>
        <v>4.8</v>
      </c>
      <c r="Y573" s="46">
        <f>IFERROR(Y481*1,"0")+IFERROR(Y482*1,"0")+IFERROR(Y483*1,"0")+IFERROR(Y484*1,"0")+IFERROR(Y485*1,"0")+IFERROR(Y486*1,"0")+IFERROR(Y490*1,"0")+IFERROR(Y491*1,"0")</f>
        <v>21.6</v>
      </c>
      <c r="Z573" s="46">
        <f>IFERROR(Y496*1,"0")+IFERROR(Y500*1,"0")+IFERROR(Y501*1,"0")+IFERROR(Y502*1,"0")</f>
        <v>0</v>
      </c>
      <c r="AA573" s="46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1573.44</v>
      </c>
      <c r="AB573" s="46">
        <f>IFERROR(Y538*1,"0")+IFERROR(Y542*1,"0")+IFERROR(Y546*1,"0")+IFERROR(Y550*1,"0")+IFERROR(Y554*1,"0")+IFERROR(Y555*1,"0")</f>
        <v>36</v>
      </c>
      <c r="AC573" s="46">
        <f>IFERROR(Y560*1,"0")</f>
        <v>0</v>
      </c>
      <c r="AF573" s="649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 338,06"/>
        <filter val="1 444,00"/>
        <filter val="1,00"/>
        <filter val="1,11"/>
        <filter val="1,59"/>
        <filter val="1,67"/>
        <filter val="10,00"/>
        <filter val="10,38"/>
        <filter val="100,00"/>
        <filter val="11,00"/>
        <filter val="11,33"/>
        <filter val="115,00"/>
        <filter val="122,92"/>
        <filter val="13"/>
        <filter val="13,33"/>
        <filter val="138,00"/>
        <filter val="146,81"/>
        <filter val="15,00"/>
        <filter val="150,00"/>
        <filter val="16,00"/>
        <filter val="170,00"/>
        <filter val="18,00"/>
        <filter val="18,33"/>
        <filter val="2,00"/>
        <filter val="2,08"/>
        <filter val="20,00"/>
        <filter val="200,00"/>
        <filter val="21,00"/>
        <filter val="210,00"/>
        <filter val="24,00"/>
        <filter val="242,86"/>
        <filter val="254,00"/>
        <filter val="283,00"/>
        <filter val="3,33"/>
        <filter val="3,70"/>
        <filter val="30,00"/>
        <filter val="31,00"/>
        <filter val="311,00"/>
        <filter val="318,00"/>
        <filter val="32,00"/>
        <filter val="33,00"/>
        <filter val="33,33"/>
        <filter val="36,00"/>
        <filter val="367,00"/>
        <filter val="4,00"/>
        <filter val="40,00"/>
        <filter val="402,00"/>
        <filter val="42,00"/>
        <filter val="438,00"/>
        <filter val="44,00"/>
        <filter val="467,00"/>
        <filter val="476,00"/>
        <filter val="5,00"/>
        <filter val="5,24"/>
        <filter val="5,25"/>
        <filter val="5,56"/>
        <filter val="50,00"/>
        <filter val="51,00"/>
        <filter val="518,00"/>
        <filter val="56,00"/>
        <filter val="58,77"/>
        <filter val="6 995,00"/>
        <filter val="60,00"/>
        <filter val="63,50"/>
        <filter val="634,00"/>
        <filter val="64,63"/>
        <filter val="649,00"/>
        <filter val="65,00"/>
        <filter val="665,00"/>
        <filter val="668,00"/>
        <filter val="7 400,76"/>
        <filter val="7 725,76"/>
        <filter val="7,00"/>
        <filter val="73,81"/>
        <filter val="75,00"/>
        <filter val="77,00"/>
        <filter val="80,00"/>
        <filter val="81,00"/>
        <filter val="82,95"/>
        <filter val="88,45"/>
        <filter val="89,75"/>
        <filter val="9,00"/>
        <filter val="96,27"/>
      </filters>
    </filterColumn>
    <filterColumn colId="29" showButton="0"/>
    <filterColumn colId="30" showButton="0"/>
  </autoFilter>
  <mergeCells count="1011">
    <mergeCell ref="D515:E515"/>
    <mergeCell ref="A479:Z479"/>
    <mergeCell ref="D344:E344"/>
    <mergeCell ref="D173:E173"/>
    <mergeCell ref="D17:E18"/>
    <mergeCell ref="D542:E542"/>
    <mergeCell ref="P71:T71"/>
    <mergeCell ref="A449:O450"/>
    <mergeCell ref="P313:T313"/>
    <mergeCell ref="P373:T373"/>
    <mergeCell ref="D123:E123"/>
    <mergeCell ref="A163:O164"/>
    <mergeCell ref="D250:E250"/>
    <mergeCell ref="D50:E50"/>
    <mergeCell ref="P58:T58"/>
    <mergeCell ref="D110:E110"/>
    <mergeCell ref="X17:X18"/>
    <mergeCell ref="P365:T365"/>
    <mergeCell ref="A103:Z103"/>
    <mergeCell ref="D239:E239"/>
    <mergeCell ref="D266:E266"/>
    <mergeCell ref="D95:E95"/>
    <mergeCell ref="P74:V74"/>
    <mergeCell ref="P447:T447"/>
    <mergeCell ref="P410:T410"/>
    <mergeCell ref="Y17:Y18"/>
    <mergeCell ref="D57:E57"/>
    <mergeCell ref="P210:V210"/>
    <mergeCell ref="A35:Z35"/>
    <mergeCell ref="P510:T510"/>
    <mergeCell ref="P471:V471"/>
    <mergeCell ref="K571:K572"/>
    <mergeCell ref="P124:T124"/>
    <mergeCell ref="U17:V17"/>
    <mergeCell ref="A8:C8"/>
    <mergeCell ref="D293:E293"/>
    <mergeCell ref="P163:V163"/>
    <mergeCell ref="R571:R572"/>
    <mergeCell ref="D97:E97"/>
    <mergeCell ref="P151:T151"/>
    <mergeCell ref="D395:E395"/>
    <mergeCell ref="A268:O269"/>
    <mergeCell ref="A426:Z426"/>
    <mergeCell ref="A10:C10"/>
    <mergeCell ref="P126:T126"/>
    <mergeCell ref="A413:Z413"/>
    <mergeCell ref="P218:T218"/>
    <mergeCell ref="P69:V69"/>
    <mergeCell ref="A21:Z21"/>
    <mergeCell ref="D184:E184"/>
    <mergeCell ref="A499:Z499"/>
    <mergeCell ref="D192:E192"/>
    <mergeCell ref="A366:O367"/>
    <mergeCell ref="A181:Z181"/>
    <mergeCell ref="P292:T292"/>
    <mergeCell ref="A487:O488"/>
    <mergeCell ref="P528:T528"/>
    <mergeCell ref="P81:V81"/>
    <mergeCell ref="A204:Z204"/>
    <mergeCell ref="P450:V450"/>
    <mergeCell ref="L571:L572"/>
    <mergeCell ref="P294:T294"/>
    <mergeCell ref="P443:V443"/>
    <mergeCell ref="P544:V544"/>
    <mergeCell ref="D483:E483"/>
    <mergeCell ref="A42:O43"/>
    <mergeCell ref="D271:E271"/>
    <mergeCell ref="V12:W12"/>
    <mergeCell ref="D191:E191"/>
    <mergeCell ref="D458:E458"/>
    <mergeCell ref="A506:Z506"/>
    <mergeCell ref="A362:Z362"/>
    <mergeCell ref="D237:E237"/>
    <mergeCell ref="P43:V43"/>
    <mergeCell ref="P285:V285"/>
    <mergeCell ref="P85:T85"/>
    <mergeCell ref="P383:T383"/>
    <mergeCell ref="D522:E522"/>
    <mergeCell ref="A202:O203"/>
    <mergeCell ref="A142:O143"/>
    <mergeCell ref="A329:O330"/>
    <mergeCell ref="D291:E291"/>
    <mergeCell ref="P60:T60"/>
    <mergeCell ref="A539:O540"/>
    <mergeCell ref="P409:T409"/>
    <mergeCell ref="D314:E314"/>
    <mergeCell ref="A152:O153"/>
    <mergeCell ref="D159:E159"/>
    <mergeCell ref="P121:V121"/>
    <mergeCell ref="D80:E80"/>
    <mergeCell ref="P188:T188"/>
    <mergeCell ref="P42:V42"/>
    <mergeCell ref="A505:Z505"/>
    <mergeCell ref="A169:Z169"/>
    <mergeCell ref="A225:Z225"/>
    <mergeCell ref="A549:Z549"/>
    <mergeCell ref="P524:V524"/>
    <mergeCell ref="D105:E105"/>
    <mergeCell ref="W570:X570"/>
    <mergeCell ref="A536:Z536"/>
    <mergeCell ref="P132:V132"/>
    <mergeCell ref="P72:T72"/>
    <mergeCell ref="D49:E49"/>
    <mergeCell ref="Q5:R5"/>
    <mergeCell ref="N17:N18"/>
    <mergeCell ref="P370:T370"/>
    <mergeCell ref="D242:E242"/>
    <mergeCell ref="P199:T199"/>
    <mergeCell ref="F17:F18"/>
    <mergeCell ref="P297:T297"/>
    <mergeCell ref="P435:T435"/>
    <mergeCell ref="D278:E278"/>
    <mergeCell ref="P291:T291"/>
    <mergeCell ref="D107:E107"/>
    <mergeCell ref="P484:T484"/>
    <mergeCell ref="P288:T288"/>
    <mergeCell ref="A478:Z478"/>
    <mergeCell ref="D234:E234"/>
    <mergeCell ref="P65:T65"/>
    <mergeCell ref="A24:O25"/>
    <mergeCell ref="P305:V305"/>
    <mergeCell ref="D342:E342"/>
    <mergeCell ref="D171:E171"/>
    <mergeCell ref="D336:E336"/>
    <mergeCell ref="P293:T293"/>
    <mergeCell ref="Q6:R6"/>
    <mergeCell ref="A385:O386"/>
    <mergeCell ref="AD17:AF18"/>
    <mergeCell ref="P167:V167"/>
    <mergeCell ref="P142:V142"/>
    <mergeCell ref="V6:W9"/>
    <mergeCell ref="F5:G5"/>
    <mergeCell ref="P411:V411"/>
    <mergeCell ref="P467:V467"/>
    <mergeCell ref="A463:Z463"/>
    <mergeCell ref="P67:T67"/>
    <mergeCell ref="P509:T509"/>
    <mergeCell ref="P186:T186"/>
    <mergeCell ref="J571:J572"/>
    <mergeCell ref="A394:Z394"/>
    <mergeCell ref="D221:E221"/>
    <mergeCell ref="V11:W11"/>
    <mergeCell ref="A497:O498"/>
    <mergeCell ref="P57:T57"/>
    <mergeCell ref="D475:E475"/>
    <mergeCell ref="P486:T486"/>
    <mergeCell ref="P406:V406"/>
    <mergeCell ref="P342:T342"/>
    <mergeCell ref="P146:T146"/>
    <mergeCell ref="A136:O137"/>
    <mergeCell ref="D279:E279"/>
    <mergeCell ref="D521:E521"/>
    <mergeCell ref="A254:Z254"/>
    <mergeCell ref="P357:T357"/>
    <mergeCell ref="D29:E29"/>
    <mergeCell ref="D23:E23"/>
    <mergeCell ref="P515:T515"/>
    <mergeCell ref="P344:T344"/>
    <mergeCell ref="D216:E216"/>
    <mergeCell ref="P2:W3"/>
    <mergeCell ref="D560:E560"/>
    <mergeCell ref="P498:V498"/>
    <mergeCell ref="P298:T298"/>
    <mergeCell ref="D437:E437"/>
    <mergeCell ref="D241:E241"/>
    <mergeCell ref="D508:E508"/>
    <mergeCell ref="P127:T127"/>
    <mergeCell ref="A244:O245"/>
    <mergeCell ref="A170:Z170"/>
    <mergeCell ref="D333:E333"/>
    <mergeCell ref="D526:E526"/>
    <mergeCell ref="M571:M572"/>
    <mergeCell ref="D404:E404"/>
    <mergeCell ref="D10:E10"/>
    <mergeCell ref="P64:T64"/>
    <mergeCell ref="P135:T135"/>
    <mergeCell ref="P191:T191"/>
    <mergeCell ref="F10:G10"/>
    <mergeCell ref="D243:E243"/>
    <mergeCell ref="P349:T349"/>
    <mergeCell ref="D99:E99"/>
    <mergeCell ref="D397:E397"/>
    <mergeCell ref="P376:V376"/>
    <mergeCell ref="D528:E528"/>
    <mergeCell ref="P128:T128"/>
    <mergeCell ref="D310:E310"/>
    <mergeCell ref="P364:T364"/>
    <mergeCell ref="P300:V300"/>
    <mergeCell ref="A20:Z20"/>
    <mergeCell ref="P493:V493"/>
    <mergeCell ref="D452:E452"/>
    <mergeCell ref="W571:W572"/>
    <mergeCell ref="P415:T415"/>
    <mergeCell ref="M17:M18"/>
    <mergeCell ref="O17:O18"/>
    <mergeCell ref="P336:T336"/>
    <mergeCell ref="P131:V131"/>
    <mergeCell ref="P258:V258"/>
    <mergeCell ref="P556:V556"/>
    <mergeCell ref="P423:V423"/>
    <mergeCell ref="P223:V223"/>
    <mergeCell ref="P174:V174"/>
    <mergeCell ref="P52:V52"/>
    <mergeCell ref="A547:O548"/>
    <mergeCell ref="D531:E531"/>
    <mergeCell ref="P456:V456"/>
    <mergeCell ref="D177:E177"/>
    <mergeCell ref="D226:E226"/>
    <mergeCell ref="P523:V523"/>
    <mergeCell ref="P183:T183"/>
    <mergeCell ref="P431:V431"/>
    <mergeCell ref="D550:E550"/>
    <mergeCell ref="P123:T123"/>
    <mergeCell ref="P421:T421"/>
    <mergeCell ref="A411:O412"/>
    <mergeCell ref="A348:Z348"/>
    <mergeCell ref="P110:T110"/>
    <mergeCell ref="A541:Z541"/>
    <mergeCell ref="P408:T408"/>
    <mergeCell ref="D218:E218"/>
    <mergeCell ref="P137:V137"/>
    <mergeCell ref="A258:O259"/>
    <mergeCell ref="P197:V197"/>
    <mergeCell ref="B571:B572"/>
    <mergeCell ref="D389:E389"/>
    <mergeCell ref="D318:E318"/>
    <mergeCell ref="D571:D572"/>
    <mergeCell ref="P201:T201"/>
    <mergeCell ref="P560:T560"/>
    <mergeCell ref="P247:T247"/>
    <mergeCell ref="P241:T241"/>
    <mergeCell ref="P41:T41"/>
    <mergeCell ref="P483:T483"/>
    <mergeCell ref="D22:E22"/>
    <mergeCell ref="D447:E447"/>
    <mergeCell ref="P295:T295"/>
    <mergeCell ref="P178:T178"/>
    <mergeCell ref="P276:T276"/>
    <mergeCell ref="P105:T105"/>
    <mergeCell ref="D257:E257"/>
    <mergeCell ref="D86:E86"/>
    <mergeCell ref="D384:E384"/>
    <mergeCell ref="A457:Z457"/>
    <mergeCell ref="D151:E151"/>
    <mergeCell ref="P49:T49"/>
    <mergeCell ref="P284:V284"/>
    <mergeCell ref="P278:T278"/>
    <mergeCell ref="D150:E150"/>
    <mergeCell ref="P107:T107"/>
    <mergeCell ref="P465:T465"/>
    <mergeCell ref="D215:E215"/>
    <mergeCell ref="D513:E513"/>
    <mergeCell ref="A246:Z246"/>
    <mergeCell ref="P492:V492"/>
    <mergeCell ref="A317:Z317"/>
    <mergeCell ref="P470:V470"/>
    <mergeCell ref="Y570:Z570"/>
    <mergeCell ref="D200:E200"/>
    <mergeCell ref="P555:T555"/>
    <mergeCell ref="A51:O52"/>
    <mergeCell ref="D436:E436"/>
    <mergeCell ref="P490:T490"/>
    <mergeCell ref="A476:O477"/>
    <mergeCell ref="D292:E292"/>
    <mergeCell ref="P48:T48"/>
    <mergeCell ref="P262:V262"/>
    <mergeCell ref="A9:C9"/>
    <mergeCell ref="P125:T125"/>
    <mergeCell ref="D373:E373"/>
    <mergeCell ref="D58:E58"/>
    <mergeCell ref="D500:E500"/>
    <mergeCell ref="D294:E294"/>
    <mergeCell ref="P273:V273"/>
    <mergeCell ref="P568:V568"/>
    <mergeCell ref="D231:E231"/>
    <mergeCell ref="D529:E529"/>
    <mergeCell ref="D358:E358"/>
    <mergeCell ref="D408:E408"/>
    <mergeCell ref="P32:V32"/>
    <mergeCell ref="A155:Z155"/>
    <mergeCell ref="P268:V268"/>
    <mergeCell ref="Q13:R13"/>
    <mergeCell ref="P339:V339"/>
    <mergeCell ref="D247:E247"/>
    <mergeCell ref="A347:Z347"/>
    <mergeCell ref="A176:Z176"/>
    <mergeCell ref="P526:T526"/>
    <mergeCell ref="D276:E276"/>
    <mergeCell ref="P200:T200"/>
    <mergeCell ref="P134:T134"/>
    <mergeCell ref="P243:T243"/>
    <mergeCell ref="P436:T436"/>
    <mergeCell ref="A425:Z425"/>
    <mergeCell ref="P316:V316"/>
    <mergeCell ref="D96:E96"/>
    <mergeCell ref="A319:O320"/>
    <mergeCell ref="P189:T189"/>
    <mergeCell ref="D135:E135"/>
    <mergeCell ref="P424:V424"/>
    <mergeCell ref="A417:O418"/>
    <mergeCell ref="P287:T287"/>
    <mergeCell ref="P414:T414"/>
    <mergeCell ref="P281:T281"/>
    <mergeCell ref="P352:T352"/>
    <mergeCell ref="P203:V203"/>
    <mergeCell ref="A323:O324"/>
    <mergeCell ref="P363:T363"/>
    <mergeCell ref="H5:M5"/>
    <mergeCell ref="P329:V329"/>
    <mergeCell ref="A154:Z154"/>
    <mergeCell ref="P98:T98"/>
    <mergeCell ref="A214:Z214"/>
    <mergeCell ref="D439:E439"/>
    <mergeCell ref="P565:V565"/>
    <mergeCell ref="D510:E510"/>
    <mergeCell ref="P396:T396"/>
    <mergeCell ref="A341:Z341"/>
    <mergeCell ref="D146:E146"/>
    <mergeCell ref="A306:Z306"/>
    <mergeCell ref="D6:M6"/>
    <mergeCell ref="P162:T162"/>
    <mergeCell ref="D441:E441"/>
    <mergeCell ref="V571:V572"/>
    <mergeCell ref="D512:E512"/>
    <mergeCell ref="X571:X572"/>
    <mergeCell ref="P106:T106"/>
    <mergeCell ref="P177:T177"/>
    <mergeCell ref="P475:T475"/>
    <mergeCell ref="D481:E481"/>
    <mergeCell ref="P539:V539"/>
    <mergeCell ref="P335:T335"/>
    <mergeCell ref="D256:E256"/>
    <mergeCell ref="P226:T226"/>
    <mergeCell ref="D383:E383"/>
    <mergeCell ref="P120:V120"/>
    <mergeCell ref="P93:T93"/>
    <mergeCell ref="D85:E85"/>
    <mergeCell ref="D370:E370"/>
    <mergeCell ref="A100:O101"/>
    <mergeCell ref="P38:T38"/>
    <mergeCell ref="P193:T193"/>
    <mergeCell ref="D65:E65"/>
    <mergeCell ref="P22:T22"/>
    <mergeCell ref="P314:T314"/>
    <mergeCell ref="D428:E428"/>
    <mergeCell ref="P40:T40"/>
    <mergeCell ref="A571:A572"/>
    <mergeCell ref="C571:C572"/>
    <mergeCell ref="D415:E415"/>
    <mergeCell ref="A455:O456"/>
    <mergeCell ref="P257:T257"/>
    <mergeCell ref="P80:T80"/>
    <mergeCell ref="D194:E194"/>
    <mergeCell ref="A54:Z54"/>
    <mergeCell ref="P100:V100"/>
    <mergeCell ref="A212:Z212"/>
    <mergeCell ref="P563:V563"/>
    <mergeCell ref="D446:E446"/>
    <mergeCell ref="A519:Z519"/>
    <mergeCell ref="A551:O552"/>
    <mergeCell ref="P405:V405"/>
    <mergeCell ref="P476:V476"/>
    <mergeCell ref="D459:E459"/>
    <mergeCell ref="D288:E288"/>
    <mergeCell ref="P148:V148"/>
    <mergeCell ref="P59:T59"/>
    <mergeCell ref="P130:T130"/>
    <mergeCell ref="P190:T190"/>
    <mergeCell ref="A507:Z507"/>
    <mergeCell ref="P282:T282"/>
    <mergeCell ref="P111:T111"/>
    <mergeCell ref="AA17:AA18"/>
    <mergeCell ref="P552:V552"/>
    <mergeCell ref="A377:Z377"/>
    <mergeCell ref="A433:Z433"/>
    <mergeCell ref="P485:T485"/>
    <mergeCell ref="AC17:AC18"/>
    <mergeCell ref="A122:Z122"/>
    <mergeCell ref="P101:V101"/>
    <mergeCell ref="P279:T279"/>
    <mergeCell ref="A420:Z420"/>
    <mergeCell ref="A224:Z224"/>
    <mergeCell ref="P108:T108"/>
    <mergeCell ref="D89:E89"/>
    <mergeCell ref="P147:V147"/>
    <mergeCell ref="P251:T251"/>
    <mergeCell ref="P512:T512"/>
    <mergeCell ref="P343:T343"/>
    <mergeCell ref="A533:O534"/>
    <mergeCell ref="P530:T530"/>
    <mergeCell ref="A460:O461"/>
    <mergeCell ref="P430:V430"/>
    <mergeCell ref="P318:T318"/>
    <mergeCell ref="P256:T256"/>
    <mergeCell ref="D128:E128"/>
    <mergeCell ref="D199:E199"/>
    <mergeCell ref="Z17:Z18"/>
    <mergeCell ref="AB17:AB18"/>
    <mergeCell ref="G17:G18"/>
    <mergeCell ref="P333:T333"/>
    <mergeCell ref="A81:O82"/>
    <mergeCell ref="P497:V497"/>
    <mergeCell ref="A112:O113"/>
    <mergeCell ref="Y571:Y572"/>
    <mergeCell ref="P232:T232"/>
    <mergeCell ref="P152:V152"/>
    <mergeCell ref="P159:T159"/>
    <mergeCell ref="A275:Z275"/>
    <mergeCell ref="D140:E140"/>
    <mergeCell ref="D438:E438"/>
    <mergeCell ref="P395:T395"/>
    <mergeCell ref="D509:E509"/>
    <mergeCell ref="A340:Z340"/>
    <mergeCell ref="D267:E267"/>
    <mergeCell ref="P96:T96"/>
    <mergeCell ref="H17:H18"/>
    <mergeCell ref="P261:T261"/>
    <mergeCell ref="P532:T532"/>
    <mergeCell ref="P161:T161"/>
    <mergeCell ref="P388:T388"/>
    <mergeCell ref="P217:T217"/>
    <mergeCell ref="P459:T459"/>
    <mergeCell ref="D465:E465"/>
    <mergeCell ref="D440:E440"/>
    <mergeCell ref="D296:E296"/>
    <mergeCell ref="D427:E427"/>
    <mergeCell ref="P27:T27"/>
    <mergeCell ref="A284:O285"/>
    <mergeCell ref="A222:O223"/>
    <mergeCell ref="P390:T390"/>
    <mergeCell ref="D298:E298"/>
    <mergeCell ref="P327:T327"/>
    <mergeCell ref="P252:V252"/>
    <mergeCell ref="P500:T500"/>
    <mergeCell ref="P156:T156"/>
    <mergeCell ref="J9:M9"/>
    <mergeCell ref="P141:T141"/>
    <mergeCell ref="D56:E56"/>
    <mergeCell ref="D193:E193"/>
    <mergeCell ref="D127:E127"/>
    <mergeCell ref="D491:E491"/>
    <mergeCell ref="P448:T448"/>
    <mergeCell ref="P233:T233"/>
    <mergeCell ref="P37:T37"/>
    <mergeCell ref="P562:V562"/>
    <mergeCell ref="P518:V518"/>
    <mergeCell ref="A273:O274"/>
    <mergeCell ref="P248:T248"/>
    <mergeCell ref="D64:E64"/>
    <mergeCell ref="P441:T441"/>
    <mergeCell ref="P235:T235"/>
    <mergeCell ref="D349:E349"/>
    <mergeCell ref="P455:V455"/>
    <mergeCell ref="A451:Z451"/>
    <mergeCell ref="A445:Z445"/>
    <mergeCell ref="A131:O132"/>
    <mergeCell ref="A432:Z432"/>
    <mergeCell ref="P392:V392"/>
    <mergeCell ref="P386:V386"/>
    <mergeCell ref="D374:E374"/>
    <mergeCell ref="P366:V366"/>
    <mergeCell ref="A489:Z489"/>
    <mergeCell ref="D39:E39"/>
    <mergeCell ref="H10:M10"/>
    <mergeCell ref="P554:T554"/>
    <mergeCell ref="D364:E364"/>
    <mergeCell ref="A299:O300"/>
    <mergeCell ref="P571:P572"/>
    <mergeCell ref="D555:E555"/>
    <mergeCell ref="A559:Z559"/>
    <mergeCell ref="P534:V534"/>
    <mergeCell ref="P338:V338"/>
    <mergeCell ref="P227:V227"/>
    <mergeCell ref="A92:Z92"/>
    <mergeCell ref="AB570:AC570"/>
    <mergeCell ref="A138:Z138"/>
    <mergeCell ref="P202:V202"/>
    <mergeCell ref="P444:V444"/>
    <mergeCell ref="P380:T380"/>
    <mergeCell ref="A325:Z325"/>
    <mergeCell ref="A13:M13"/>
    <mergeCell ref="D87:E87"/>
    <mergeCell ref="P244:V244"/>
    <mergeCell ref="P315:V315"/>
    <mergeCell ref="P115:T115"/>
    <mergeCell ref="A15:M15"/>
    <mergeCell ref="P238:T238"/>
    <mergeCell ref="A61:O62"/>
    <mergeCell ref="D490:E490"/>
    <mergeCell ref="D48:E48"/>
    <mergeCell ref="A359:O360"/>
    <mergeCell ref="A419:Z419"/>
    <mergeCell ref="A517:O518"/>
    <mergeCell ref="A133:Z133"/>
    <mergeCell ref="P77:T77"/>
    <mergeCell ref="D125:E125"/>
    <mergeCell ref="A264:Z264"/>
    <mergeCell ref="P446:T446"/>
    <mergeCell ref="A369:Z369"/>
    <mergeCell ref="O571:O572"/>
    <mergeCell ref="D371:E371"/>
    <mergeCell ref="Q571:Q572"/>
    <mergeCell ref="A252:O253"/>
    <mergeCell ref="D485:E485"/>
    <mergeCell ref="D570:J570"/>
    <mergeCell ref="P320:V320"/>
    <mergeCell ref="P216:T216"/>
    <mergeCell ref="P385:V385"/>
    <mergeCell ref="A139:Z139"/>
    <mergeCell ref="P514:T514"/>
    <mergeCell ref="D422:E422"/>
    <mergeCell ref="P360:V360"/>
    <mergeCell ref="D130:E130"/>
    <mergeCell ref="P87:T87"/>
    <mergeCell ref="D372:E372"/>
    <mergeCell ref="P449:V449"/>
    <mergeCell ref="D335:E335"/>
    <mergeCell ref="A375:O376"/>
    <mergeCell ref="D201:E201"/>
    <mergeCell ref="P516:T516"/>
    <mergeCell ref="D188:E188"/>
    <mergeCell ref="P491:T491"/>
    <mergeCell ref="P322:T322"/>
    <mergeCell ref="P89:T89"/>
    <mergeCell ref="P309:T309"/>
    <mergeCell ref="A206:O207"/>
    <mergeCell ref="D295:E295"/>
    <mergeCell ref="D178:E178"/>
    <mergeCell ref="D172:E172"/>
    <mergeCell ref="P88:T88"/>
    <mergeCell ref="P461:V461"/>
    <mergeCell ref="T5:U5"/>
    <mergeCell ref="D119:E119"/>
    <mergeCell ref="D190:E190"/>
    <mergeCell ref="P496:T496"/>
    <mergeCell ref="P374:T374"/>
    <mergeCell ref="V5:W5"/>
    <mergeCell ref="D40:E40"/>
    <mergeCell ref="A466:O467"/>
    <mergeCell ref="D282:E282"/>
    <mergeCell ref="D233:E233"/>
    <mergeCell ref="D409:E409"/>
    <mergeCell ref="D111:E111"/>
    <mergeCell ref="D469:E469"/>
    <mergeCell ref="Q8:R8"/>
    <mergeCell ref="P311:T311"/>
    <mergeCell ref="D183:E183"/>
    <mergeCell ref="P140:T140"/>
    <mergeCell ref="P438:T438"/>
    <mergeCell ref="P267:T267"/>
    <mergeCell ref="D248:E248"/>
    <mergeCell ref="D219:E219"/>
    <mergeCell ref="D104:E104"/>
    <mergeCell ref="T6:U9"/>
    <mergeCell ref="P319:V319"/>
    <mergeCell ref="Q10:R10"/>
    <mergeCell ref="D185:E185"/>
    <mergeCell ref="D41:E41"/>
    <mergeCell ref="P296:T296"/>
    <mergeCell ref="A315:O316"/>
    <mergeCell ref="D277:E277"/>
    <mergeCell ref="P25:V25"/>
    <mergeCell ref="A208:Z208"/>
    <mergeCell ref="A558:Z558"/>
    <mergeCell ref="D328:E328"/>
    <mergeCell ref="D157:E157"/>
    <mergeCell ref="A545:Z545"/>
    <mergeCell ref="P136:V136"/>
    <mergeCell ref="P263:V263"/>
    <mergeCell ref="P501:T501"/>
    <mergeCell ref="D251:E251"/>
    <mergeCell ref="A495:Z495"/>
    <mergeCell ref="P355:V355"/>
    <mergeCell ref="P228:V228"/>
    <mergeCell ref="A53:Z53"/>
    <mergeCell ref="A12:M12"/>
    <mergeCell ref="D343:E343"/>
    <mergeCell ref="P397:T397"/>
    <mergeCell ref="A19:Z19"/>
    <mergeCell ref="P372:T372"/>
    <mergeCell ref="P310:T310"/>
    <mergeCell ref="D182:E182"/>
    <mergeCell ref="A14:M14"/>
    <mergeCell ref="D280:E280"/>
    <mergeCell ref="D109:E109"/>
    <mergeCell ref="A480:Z480"/>
    <mergeCell ref="D538:E538"/>
    <mergeCell ref="D59:E59"/>
    <mergeCell ref="A63:Z63"/>
    <mergeCell ref="P511:T511"/>
    <mergeCell ref="A198:Z198"/>
    <mergeCell ref="P440:T440"/>
    <mergeCell ref="D283:E283"/>
    <mergeCell ref="P540:V540"/>
    <mergeCell ref="D554:E554"/>
    <mergeCell ref="A563:O568"/>
    <mergeCell ref="D350:E350"/>
    <mergeCell ref="D27:E27"/>
    <mergeCell ref="A338:O339"/>
    <mergeCell ref="D396:E396"/>
    <mergeCell ref="P15:T16"/>
    <mergeCell ref="A430:O431"/>
    <mergeCell ref="D116:E116"/>
    <mergeCell ref="D414:E414"/>
    <mergeCell ref="A561:O562"/>
    <mergeCell ref="D352:E352"/>
    <mergeCell ref="P219:T219"/>
    <mergeCell ref="P23:T23"/>
    <mergeCell ref="D162:E162"/>
    <mergeCell ref="P272:T272"/>
    <mergeCell ref="D327:E327"/>
    <mergeCell ref="D156:E156"/>
    <mergeCell ref="A196:O197"/>
    <mergeCell ref="D454:E454"/>
    <mergeCell ref="P308:T308"/>
    <mergeCell ref="P185:T185"/>
    <mergeCell ref="D416:E416"/>
    <mergeCell ref="P427:T427"/>
    <mergeCell ref="D106:E106"/>
    <mergeCell ref="P283:T283"/>
    <mergeCell ref="D93:E93"/>
    <mergeCell ref="P277:T277"/>
    <mergeCell ref="D391:E391"/>
    <mergeCell ref="D220:E220"/>
    <mergeCell ref="I17:I18"/>
    <mergeCell ref="D141:E141"/>
    <mergeCell ref="A553:Z553"/>
    <mergeCell ref="A5:C5"/>
    <mergeCell ref="P418:V418"/>
    <mergeCell ref="P412:V412"/>
    <mergeCell ref="A535:Z535"/>
    <mergeCell ref="P51:V51"/>
    <mergeCell ref="A472:Z472"/>
    <mergeCell ref="D337:E337"/>
    <mergeCell ref="D166:E166"/>
    <mergeCell ref="D464:E464"/>
    <mergeCell ref="A537:Z537"/>
    <mergeCell ref="D402:E402"/>
    <mergeCell ref="P195:T195"/>
    <mergeCell ref="A17:A18"/>
    <mergeCell ref="K17:K18"/>
    <mergeCell ref="P371:T371"/>
    <mergeCell ref="C17:C18"/>
    <mergeCell ref="D37:E37"/>
    <mergeCell ref="P529:T529"/>
    <mergeCell ref="D401:E401"/>
    <mergeCell ref="P358:T358"/>
    <mergeCell ref="D230:E230"/>
    <mergeCell ref="D47:E47"/>
    <mergeCell ref="P66:T66"/>
    <mergeCell ref="D9:E9"/>
    <mergeCell ref="D118:E118"/>
    <mergeCell ref="A354:O355"/>
    <mergeCell ref="F9:G9"/>
    <mergeCell ref="P351:T351"/>
    <mergeCell ref="P422:T422"/>
    <mergeCell ref="P289:T289"/>
    <mergeCell ref="D403:E403"/>
    <mergeCell ref="D232:E232"/>
    <mergeCell ref="Q9:R9"/>
    <mergeCell ref="P312:T312"/>
    <mergeCell ref="A331:Z331"/>
    <mergeCell ref="D255:E255"/>
    <mergeCell ref="A556:O557"/>
    <mergeCell ref="E571:E572"/>
    <mergeCell ref="P78:T78"/>
    <mergeCell ref="Q11:R11"/>
    <mergeCell ref="D322:E322"/>
    <mergeCell ref="G571:G572"/>
    <mergeCell ref="P205:T205"/>
    <mergeCell ref="I571:I572"/>
    <mergeCell ref="D453:E453"/>
    <mergeCell ref="D309:E309"/>
    <mergeCell ref="A6:C6"/>
    <mergeCell ref="P118:T118"/>
    <mergeCell ref="P416:T416"/>
    <mergeCell ref="D88:E88"/>
    <mergeCell ref="A332:Z332"/>
    <mergeCell ref="P403:T403"/>
    <mergeCell ref="P378:T378"/>
    <mergeCell ref="P117:T117"/>
    <mergeCell ref="D311:E311"/>
    <mergeCell ref="D115:E115"/>
    <mergeCell ref="P55:T55"/>
    <mergeCell ref="P182:T182"/>
    <mergeCell ref="P417:V417"/>
    <mergeCell ref="P280:T280"/>
    <mergeCell ref="A470:O471"/>
    <mergeCell ref="D261:E261"/>
    <mergeCell ref="Q12:R12"/>
    <mergeCell ref="D388:E388"/>
    <mergeCell ref="P547:V547"/>
    <mergeCell ref="D235:E235"/>
    <mergeCell ref="D421:E421"/>
    <mergeCell ref="P442:T442"/>
    <mergeCell ref="D448:E448"/>
    <mergeCell ref="P196:V196"/>
    <mergeCell ref="A68:O69"/>
    <mergeCell ref="D546:E546"/>
    <mergeCell ref="P119:T119"/>
    <mergeCell ref="P354:V354"/>
    <mergeCell ref="P62:V62"/>
    <mergeCell ref="P469:T469"/>
    <mergeCell ref="D390:E390"/>
    <mergeCell ref="D161:E161"/>
    <mergeCell ref="D530:E530"/>
    <mergeCell ref="A210:O211"/>
    <mergeCell ref="P239:T239"/>
    <mergeCell ref="P323:V323"/>
    <mergeCell ref="P129:T129"/>
    <mergeCell ref="P194:T194"/>
    <mergeCell ref="P250:T250"/>
    <mergeCell ref="P460:V460"/>
    <mergeCell ref="P398:V398"/>
    <mergeCell ref="P231:T231"/>
    <mergeCell ref="P302:T302"/>
    <mergeCell ref="A83:Z83"/>
    <mergeCell ref="D410:E410"/>
    <mergeCell ref="P513:T513"/>
    <mergeCell ref="A356:Z356"/>
    <mergeCell ref="P538:T538"/>
    <mergeCell ref="A90:O91"/>
    <mergeCell ref="D435:E435"/>
    <mergeCell ref="D31:E31"/>
    <mergeCell ref="A167:O168"/>
    <mergeCell ref="D158:E158"/>
    <mergeCell ref="F571:F572"/>
    <mergeCell ref="H571:H572"/>
    <mergeCell ref="A494:Z494"/>
    <mergeCell ref="D77:E77"/>
    <mergeCell ref="P187:T187"/>
    <mergeCell ref="D108:E108"/>
    <mergeCell ref="P429:T429"/>
    <mergeCell ref="A304:O305"/>
    <mergeCell ref="P546:T546"/>
    <mergeCell ref="P350:T350"/>
    <mergeCell ref="D160:E160"/>
    <mergeCell ref="P481:T481"/>
    <mergeCell ref="D38:E38"/>
    <mergeCell ref="P353:T353"/>
    <mergeCell ref="P253:V253"/>
    <mergeCell ref="P82:V82"/>
    <mergeCell ref="D532:E532"/>
    <mergeCell ref="A265:Z265"/>
    <mergeCell ref="P303:T303"/>
    <mergeCell ref="A262:O263"/>
    <mergeCell ref="P367:V367"/>
    <mergeCell ref="A44:Z44"/>
    <mergeCell ref="P75:V75"/>
    <mergeCell ref="P304:V304"/>
    <mergeCell ref="P567:V567"/>
    <mergeCell ref="P175:V175"/>
    <mergeCell ref="P240:T240"/>
    <mergeCell ref="P482:T482"/>
    <mergeCell ref="D72:E72"/>
    <mergeCell ref="AA571:AA572"/>
    <mergeCell ref="D516:E516"/>
    <mergeCell ref="A423:O424"/>
    <mergeCell ref="AC571:AC572"/>
    <mergeCell ref="P551:V551"/>
    <mergeCell ref="P116:T116"/>
    <mergeCell ref="P474:T474"/>
    <mergeCell ref="A26:Z26"/>
    <mergeCell ref="A398:O399"/>
    <mergeCell ref="A468:Z468"/>
    <mergeCell ref="P401:T401"/>
    <mergeCell ref="D382:E382"/>
    <mergeCell ref="A227:O228"/>
    <mergeCell ref="P230:T230"/>
    <mergeCell ref="P97:T97"/>
    <mergeCell ref="D1:F1"/>
    <mergeCell ref="P488:V488"/>
    <mergeCell ref="P47:T47"/>
    <mergeCell ref="A307:Z307"/>
    <mergeCell ref="J17:J18"/>
    <mergeCell ref="P61:V61"/>
    <mergeCell ref="L17:L18"/>
    <mergeCell ref="P359:V359"/>
    <mergeCell ref="D240:E240"/>
    <mergeCell ref="D511:E511"/>
    <mergeCell ref="P255:T255"/>
    <mergeCell ref="P346:V346"/>
    <mergeCell ref="A165:Z165"/>
    <mergeCell ref="D334:E334"/>
    <mergeCell ref="A407:Z407"/>
    <mergeCell ref="P557:V557"/>
    <mergeCell ref="P192:T192"/>
    <mergeCell ref="D514:E514"/>
    <mergeCell ref="D381:E381"/>
    <mergeCell ref="A492:O493"/>
    <mergeCell ref="D308:E308"/>
    <mergeCell ref="P39:T39"/>
    <mergeCell ref="A46:Z46"/>
    <mergeCell ref="P508:T508"/>
    <mergeCell ref="D380:E380"/>
    <mergeCell ref="P337:T337"/>
    <mergeCell ref="P464:T464"/>
    <mergeCell ref="D209:E209"/>
    <mergeCell ref="P402:T402"/>
    <mergeCell ref="P166:T166"/>
    <mergeCell ref="P112:V112"/>
    <mergeCell ref="P428:T428"/>
    <mergeCell ref="A102:Z102"/>
    <mergeCell ref="P79:T79"/>
    <mergeCell ref="D473:E473"/>
    <mergeCell ref="D60:E60"/>
    <mergeCell ref="P73:T73"/>
    <mergeCell ref="P437:T437"/>
    <mergeCell ref="D187:E187"/>
    <mergeCell ref="P50:T50"/>
    <mergeCell ref="A301:Z301"/>
    <mergeCell ref="D186:E186"/>
    <mergeCell ref="P109:T109"/>
    <mergeCell ref="D217:E217"/>
    <mergeCell ref="D484:E484"/>
    <mergeCell ref="A114:Z114"/>
    <mergeCell ref="P68:V68"/>
    <mergeCell ref="P439:T439"/>
    <mergeCell ref="D249:E249"/>
    <mergeCell ref="H1:Q1"/>
    <mergeCell ref="P274:V274"/>
    <mergeCell ref="P345:V345"/>
    <mergeCell ref="K570:V570"/>
    <mergeCell ref="A286:Z286"/>
    <mergeCell ref="P222:V222"/>
    <mergeCell ref="D520:E520"/>
    <mergeCell ref="D501:E501"/>
    <mergeCell ref="D28:E28"/>
    <mergeCell ref="D326:E326"/>
    <mergeCell ref="D313:E313"/>
    <mergeCell ref="A76:Z76"/>
    <mergeCell ref="P184:T184"/>
    <mergeCell ref="A174:O175"/>
    <mergeCell ref="D236:E236"/>
    <mergeCell ref="A179:O180"/>
    <mergeCell ref="P171:T171"/>
    <mergeCell ref="A543:O544"/>
    <mergeCell ref="A361:Z361"/>
    <mergeCell ref="P242:T242"/>
    <mergeCell ref="D353:E353"/>
    <mergeCell ref="D117:E117"/>
    <mergeCell ref="D55:E55"/>
    <mergeCell ref="D30:E30"/>
    <mergeCell ref="D67:E67"/>
    <mergeCell ref="D5:E5"/>
    <mergeCell ref="P382:T382"/>
    <mergeCell ref="D303:E303"/>
    <mergeCell ref="D496:E496"/>
    <mergeCell ref="P453:T453"/>
    <mergeCell ref="A32:O33"/>
    <mergeCell ref="D290:E290"/>
    <mergeCell ref="D7:M7"/>
    <mergeCell ref="D365:E365"/>
    <mergeCell ref="P91:V91"/>
    <mergeCell ref="A405:O406"/>
    <mergeCell ref="P236:T236"/>
    <mergeCell ref="D79:E79"/>
    <mergeCell ref="P334:T334"/>
    <mergeCell ref="P521:T521"/>
    <mergeCell ref="D442:E442"/>
    <mergeCell ref="S571:S572"/>
    <mergeCell ref="D502:E502"/>
    <mergeCell ref="D302:E302"/>
    <mergeCell ref="U571:U572"/>
    <mergeCell ref="D429:E429"/>
    <mergeCell ref="P173:T173"/>
    <mergeCell ref="P29:T29"/>
    <mergeCell ref="P271:T271"/>
    <mergeCell ref="P94:T94"/>
    <mergeCell ref="P458:T458"/>
    <mergeCell ref="D379:E379"/>
    <mergeCell ref="D8:M8"/>
    <mergeCell ref="P550:T550"/>
    <mergeCell ref="P237:T237"/>
    <mergeCell ref="P31:T31"/>
    <mergeCell ref="P473:T473"/>
    <mergeCell ref="A462:Z462"/>
    <mergeCell ref="P158:T158"/>
    <mergeCell ref="P522:T522"/>
    <mergeCell ref="P180:V180"/>
    <mergeCell ref="A70:Z70"/>
    <mergeCell ref="P487:V487"/>
    <mergeCell ref="P266:T266"/>
    <mergeCell ref="P564:V564"/>
    <mergeCell ref="D474:E474"/>
    <mergeCell ref="P393:V393"/>
    <mergeCell ref="P145:T145"/>
    <mergeCell ref="P113:V113"/>
    <mergeCell ref="D126:E126"/>
    <mergeCell ref="D66:E66"/>
    <mergeCell ref="P381:T381"/>
    <mergeCell ref="D351:E351"/>
    <mergeCell ref="A84:Z84"/>
    <mergeCell ref="P330:V330"/>
    <mergeCell ref="D289:E289"/>
    <mergeCell ref="D482:E482"/>
    <mergeCell ref="P160:T160"/>
    <mergeCell ref="A149:Z149"/>
    <mergeCell ref="P566:V566"/>
    <mergeCell ref="P517:V517"/>
    <mergeCell ref="P209:T209"/>
    <mergeCell ref="A434:Z434"/>
    <mergeCell ref="P90:V90"/>
    <mergeCell ref="P503:V503"/>
    <mergeCell ref="A213:Z213"/>
    <mergeCell ref="P234:T234"/>
    <mergeCell ref="A321:Z321"/>
    <mergeCell ref="A144:Z144"/>
    <mergeCell ref="P561:V561"/>
    <mergeCell ref="A120:O121"/>
    <mergeCell ref="D378:E378"/>
    <mergeCell ref="D129:E129"/>
    <mergeCell ref="P548:V548"/>
    <mergeCell ref="P95:T95"/>
    <mergeCell ref="P527:T527"/>
    <mergeCell ref="R1:T1"/>
    <mergeCell ref="P150:T150"/>
    <mergeCell ref="D71:E71"/>
    <mergeCell ref="P221:T221"/>
    <mergeCell ref="P326:T326"/>
    <mergeCell ref="A345:O346"/>
    <mergeCell ref="P215:T215"/>
    <mergeCell ref="A74:O75"/>
    <mergeCell ref="P28:T28"/>
    <mergeCell ref="A443:O444"/>
    <mergeCell ref="A503:O504"/>
    <mergeCell ref="D98:E98"/>
    <mergeCell ref="D73:E73"/>
    <mergeCell ref="P30:T30"/>
    <mergeCell ref="P375:V375"/>
    <mergeCell ref="P179:V179"/>
    <mergeCell ref="A147:O148"/>
    <mergeCell ref="P290:T290"/>
    <mergeCell ref="P452:T452"/>
    <mergeCell ref="P206:V206"/>
    <mergeCell ref="P504:V504"/>
    <mergeCell ref="P168:V168"/>
    <mergeCell ref="P104:T104"/>
    <mergeCell ref="P466:V466"/>
    <mergeCell ref="B17:B18"/>
    <mergeCell ref="A392:O393"/>
    <mergeCell ref="P143:V143"/>
    <mergeCell ref="A260:Z260"/>
    <mergeCell ref="P477:V477"/>
    <mergeCell ref="P404:T404"/>
    <mergeCell ref="P207:V207"/>
    <mergeCell ref="D124:E124"/>
    <mergeCell ref="Z571:Z572"/>
    <mergeCell ref="P211:V211"/>
    <mergeCell ref="A36:Z36"/>
    <mergeCell ref="AB571:AB572"/>
    <mergeCell ref="P389:T389"/>
    <mergeCell ref="T571:T572"/>
    <mergeCell ref="P454:T454"/>
    <mergeCell ref="D297:E297"/>
    <mergeCell ref="P259:V259"/>
    <mergeCell ref="P324:V324"/>
    <mergeCell ref="P153:V153"/>
    <mergeCell ref="P391:T391"/>
    <mergeCell ref="D312:E312"/>
    <mergeCell ref="P220:T220"/>
    <mergeCell ref="D238:E238"/>
    <mergeCell ref="D486:E486"/>
    <mergeCell ref="P86:T86"/>
    <mergeCell ref="P328:T328"/>
    <mergeCell ref="P384:T384"/>
    <mergeCell ref="P157:T157"/>
    <mergeCell ref="D205:E205"/>
    <mergeCell ref="A523:O524"/>
    <mergeCell ref="D134:E134"/>
    <mergeCell ref="D78:E78"/>
    <mergeCell ref="P249:T249"/>
    <mergeCell ref="P520:T520"/>
    <mergeCell ref="D363:E363"/>
    <mergeCell ref="D357:E357"/>
    <mergeCell ref="P172:T172"/>
    <mergeCell ref="P531:T531"/>
    <mergeCell ref="A525:Z525"/>
    <mergeCell ref="P533:V533"/>
    <mergeCell ref="A34:Z34"/>
    <mergeCell ref="A270:Z270"/>
    <mergeCell ref="P245:V245"/>
    <mergeCell ref="P543:V543"/>
    <mergeCell ref="A368:Z368"/>
    <mergeCell ref="H9:I9"/>
    <mergeCell ref="P24:V24"/>
    <mergeCell ref="D281:E281"/>
    <mergeCell ref="P56:T56"/>
    <mergeCell ref="D195:E195"/>
    <mergeCell ref="P379:T379"/>
    <mergeCell ref="V10:W10"/>
    <mergeCell ref="P299:V299"/>
    <mergeCell ref="D189:E189"/>
    <mergeCell ref="P99:T99"/>
    <mergeCell ref="D287:E287"/>
    <mergeCell ref="W17:W18"/>
    <mergeCell ref="P502:T502"/>
    <mergeCell ref="D94:E94"/>
    <mergeCell ref="A400:Z400"/>
    <mergeCell ref="A229:Z229"/>
    <mergeCell ref="P17:T18"/>
    <mergeCell ref="P33:V33"/>
    <mergeCell ref="D527:E527"/>
    <mergeCell ref="P164:V164"/>
    <mergeCell ref="P542:T542"/>
    <mergeCell ref="A387:Z387"/>
    <mergeCell ref="P269:V269"/>
    <mergeCell ref="A45:Z45"/>
    <mergeCell ref="P399:V399"/>
    <mergeCell ref="D145:E145"/>
    <mergeCell ref="D272:E27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52"/>
    </row>
    <row r="3" spans="2:8" x14ac:dyDescent="0.2">
      <c r="B3" s="47" t="s">
        <v>886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887</v>
      </c>
      <c r="C6" s="47" t="s">
        <v>888</v>
      </c>
      <c r="D6" s="47" t="s">
        <v>889</v>
      </c>
      <c r="E6" s="47"/>
    </row>
    <row r="7" spans="2:8" x14ac:dyDescent="0.2">
      <c r="B7" s="47" t="s">
        <v>890</v>
      </c>
      <c r="C7" s="47" t="s">
        <v>891</v>
      </c>
      <c r="D7" s="47" t="s">
        <v>892</v>
      </c>
      <c r="E7" s="47"/>
    </row>
    <row r="8" spans="2:8" x14ac:dyDescent="0.2">
      <c r="B8" s="47" t="s">
        <v>893</v>
      </c>
      <c r="C8" s="47" t="s">
        <v>894</v>
      </c>
      <c r="D8" s="47" t="s">
        <v>895</v>
      </c>
      <c r="E8" s="47"/>
    </row>
    <row r="9" spans="2:8" x14ac:dyDescent="0.2">
      <c r="B9" s="47" t="s">
        <v>896</v>
      </c>
      <c r="C9" s="47" t="s">
        <v>897</v>
      </c>
      <c r="D9" s="47" t="s">
        <v>898</v>
      </c>
      <c r="E9" s="47"/>
    </row>
    <row r="10" spans="2:8" x14ac:dyDescent="0.2">
      <c r="B10" s="47" t="s">
        <v>899</v>
      </c>
      <c r="C10" s="47" t="s">
        <v>900</v>
      </c>
      <c r="D10" s="47" t="s">
        <v>901</v>
      </c>
      <c r="E10" s="47"/>
    </row>
    <row r="11" spans="2:8" x14ac:dyDescent="0.2">
      <c r="B11" s="47" t="s">
        <v>902</v>
      </c>
      <c r="C11" s="47" t="s">
        <v>903</v>
      </c>
      <c r="D11" s="47" t="s">
        <v>904</v>
      </c>
      <c r="E11" s="47"/>
    </row>
    <row r="12" spans="2:8" x14ac:dyDescent="0.2">
      <c r="B12" s="47" t="s">
        <v>905</v>
      </c>
      <c r="C12" s="47" t="s">
        <v>906</v>
      </c>
      <c r="D12" s="47" t="s">
        <v>907</v>
      </c>
      <c r="E12" s="47"/>
    </row>
    <row r="14" spans="2:8" x14ac:dyDescent="0.2">
      <c r="B14" s="47" t="s">
        <v>908</v>
      </c>
      <c r="C14" s="47" t="s">
        <v>888</v>
      </c>
      <c r="D14" s="47"/>
      <c r="E14" s="47"/>
    </row>
    <row r="16" spans="2:8" x14ac:dyDescent="0.2">
      <c r="B16" s="47" t="s">
        <v>909</v>
      </c>
      <c r="C16" s="47" t="s">
        <v>891</v>
      </c>
      <c r="D16" s="47"/>
      <c r="E16" s="47"/>
    </row>
    <row r="18" spans="2:5" x14ac:dyDescent="0.2">
      <c r="B18" s="47" t="s">
        <v>910</v>
      </c>
      <c r="C18" s="47" t="s">
        <v>894</v>
      </c>
      <c r="D18" s="47"/>
      <c r="E18" s="47"/>
    </row>
    <row r="20" spans="2:5" x14ac:dyDescent="0.2">
      <c r="B20" s="47" t="s">
        <v>911</v>
      </c>
      <c r="C20" s="47" t="s">
        <v>897</v>
      </c>
      <c r="D20" s="47"/>
      <c r="E20" s="47"/>
    </row>
    <row r="22" spans="2:5" x14ac:dyDescent="0.2">
      <c r="B22" s="47" t="s">
        <v>912</v>
      </c>
      <c r="C22" s="47" t="s">
        <v>900</v>
      </c>
      <c r="D22" s="47"/>
      <c r="E22" s="47"/>
    </row>
    <row r="24" spans="2:5" x14ac:dyDescent="0.2">
      <c r="B24" s="47" t="s">
        <v>913</v>
      </c>
      <c r="C24" s="47" t="s">
        <v>903</v>
      </c>
      <c r="D24" s="47"/>
      <c r="E24" s="47"/>
    </row>
    <row r="26" spans="2:5" x14ac:dyDescent="0.2">
      <c r="B26" s="47" t="s">
        <v>914</v>
      </c>
      <c r="C26" s="47" t="s">
        <v>906</v>
      </c>
      <c r="D26" s="47"/>
      <c r="E26" s="47"/>
    </row>
    <row r="28" spans="2:5" x14ac:dyDescent="0.2">
      <c r="B28" s="47" t="s">
        <v>915</v>
      </c>
      <c r="C28" s="47"/>
      <c r="D28" s="47"/>
      <c r="E28" s="47"/>
    </row>
    <row r="29" spans="2:5" x14ac:dyDescent="0.2">
      <c r="B29" s="47" t="s">
        <v>916</v>
      </c>
      <c r="C29" s="47"/>
      <c r="D29" s="47"/>
      <c r="E29" s="47"/>
    </row>
    <row r="30" spans="2:5" x14ac:dyDescent="0.2">
      <c r="B30" s="47" t="s">
        <v>917</v>
      </c>
      <c r="C30" s="47"/>
      <c r="D30" s="47"/>
      <c r="E30" s="47"/>
    </row>
    <row r="31" spans="2:5" x14ac:dyDescent="0.2">
      <c r="B31" s="47" t="s">
        <v>918</v>
      </c>
      <c r="C31" s="47"/>
      <c r="D31" s="47"/>
      <c r="E31" s="47"/>
    </row>
    <row r="32" spans="2:5" x14ac:dyDescent="0.2">
      <c r="B32" s="47" t="s">
        <v>919</v>
      </c>
      <c r="C32" s="47"/>
      <c r="D32" s="47"/>
      <c r="E32" s="47"/>
    </row>
    <row r="33" spans="2:5" x14ac:dyDescent="0.2">
      <c r="B33" s="47" t="s">
        <v>920</v>
      </c>
      <c r="C33" s="47"/>
      <c r="D33" s="47"/>
      <c r="E33" s="47"/>
    </row>
    <row r="34" spans="2:5" x14ac:dyDescent="0.2">
      <c r="B34" s="47" t="s">
        <v>921</v>
      </c>
      <c r="C34" s="47"/>
      <c r="D34" s="47"/>
      <c r="E34" s="47"/>
    </row>
    <row r="35" spans="2:5" x14ac:dyDescent="0.2">
      <c r="B35" s="47" t="s">
        <v>922</v>
      </c>
      <c r="C35" s="47"/>
      <c r="D35" s="47"/>
      <c r="E35" s="47"/>
    </row>
    <row r="36" spans="2:5" x14ac:dyDescent="0.2">
      <c r="B36" s="47" t="s">
        <v>923</v>
      </c>
      <c r="C36" s="47"/>
      <c r="D36" s="47"/>
      <c r="E36" s="47"/>
    </row>
    <row r="37" spans="2:5" x14ac:dyDescent="0.2">
      <c r="B37" s="47" t="s">
        <v>924</v>
      </c>
      <c r="C37" s="47"/>
      <c r="D37" s="47"/>
      <c r="E37" s="47"/>
    </row>
    <row r="38" spans="2:5" x14ac:dyDescent="0.2">
      <c r="B38" s="47" t="s">
        <v>925</v>
      </c>
      <c r="C38" s="47"/>
      <c r="D38" s="47"/>
      <c r="E38" s="47"/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