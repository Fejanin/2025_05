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6F7429F-F839-4484-BF63-F6F255C622B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P263" i="2"/>
  <c r="X261" i="2"/>
  <c r="X260" i="2"/>
  <c r="BO259" i="2"/>
  <c r="BM259" i="2"/>
  <c r="Z259" i="2"/>
  <c r="Z260" i="2" s="1"/>
  <c r="Y259" i="2"/>
  <c r="Y260" i="2" s="1"/>
  <c r="P259" i="2"/>
  <c r="X257" i="2"/>
  <c r="X256" i="2"/>
  <c r="BO255" i="2"/>
  <c r="BN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Y246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P228" i="2" s="1"/>
  <c r="P228" i="2"/>
  <c r="X224" i="2"/>
  <c r="X223" i="2"/>
  <c r="BO222" i="2"/>
  <c r="BM222" i="2"/>
  <c r="Z222" i="2"/>
  <c r="Z223" i="2" s="1"/>
  <c r="Y222" i="2"/>
  <c r="Y223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P212" i="2"/>
  <c r="BO211" i="2"/>
  <c r="BM211" i="2"/>
  <c r="Z211" i="2"/>
  <c r="Y211" i="2"/>
  <c r="BN211" i="2" s="1"/>
  <c r="P211" i="2"/>
  <c r="X208" i="2"/>
  <c r="X207" i="2"/>
  <c r="BO206" i="2"/>
  <c r="BM206" i="2"/>
  <c r="Z206" i="2"/>
  <c r="Y206" i="2"/>
  <c r="P206" i="2"/>
  <c r="BO205" i="2"/>
  <c r="BN205" i="2"/>
  <c r="BM205" i="2"/>
  <c r="Z205" i="2"/>
  <c r="Y205" i="2"/>
  <c r="BP205" i="2" s="1"/>
  <c r="P205" i="2"/>
  <c r="BO204" i="2"/>
  <c r="BN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N191" i="2" s="1"/>
  <c r="P191" i="2"/>
  <c r="X187" i="2"/>
  <c r="X186" i="2"/>
  <c r="BO185" i="2"/>
  <c r="BM185" i="2"/>
  <c r="Z185" i="2"/>
  <c r="Z186" i="2" s="1"/>
  <c r="Y185" i="2"/>
  <c r="BP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BP168" i="2" s="1"/>
  <c r="P168" i="2"/>
  <c r="X165" i="2"/>
  <c r="X164" i="2"/>
  <c r="BO163" i="2"/>
  <c r="BM163" i="2"/>
  <c r="Z163" i="2"/>
  <c r="Z164" i="2" s="1"/>
  <c r="Y163" i="2"/>
  <c r="Y165" i="2" s="1"/>
  <c r="P163" i="2"/>
  <c r="X160" i="2"/>
  <c r="X159" i="2"/>
  <c r="BO158" i="2"/>
  <c r="BM158" i="2"/>
  <c r="Z158" i="2"/>
  <c r="Y158" i="2"/>
  <c r="BN158" i="2" s="1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N152" i="2" s="1"/>
  <c r="P152" i="2"/>
  <c r="BO151" i="2"/>
  <c r="BM151" i="2"/>
  <c r="Z151" i="2"/>
  <c r="Y151" i="2"/>
  <c r="BN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N145" i="2" s="1"/>
  <c r="P145" i="2"/>
  <c r="X142" i="2"/>
  <c r="X141" i="2"/>
  <c r="BO140" i="2"/>
  <c r="BM140" i="2"/>
  <c r="Z140" i="2"/>
  <c r="Y140" i="2"/>
  <c r="BN140" i="2" s="1"/>
  <c r="P140" i="2"/>
  <c r="BO139" i="2"/>
  <c r="BN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BP126" i="2" s="1"/>
  <c r="P126" i="2"/>
  <c r="X124" i="2"/>
  <c r="X123" i="2"/>
  <c r="BP122" i="2"/>
  <c r="BO122" i="2"/>
  <c r="BN122" i="2"/>
  <c r="BM122" i="2"/>
  <c r="Z122" i="2"/>
  <c r="Z123" i="2" s="1"/>
  <c r="Y122" i="2"/>
  <c r="Y123" i="2" s="1"/>
  <c r="P122" i="2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BP65" i="2" s="1"/>
  <c r="P65" i="2"/>
  <c r="X63" i="2"/>
  <c r="Z62" i="2"/>
  <c r="X62" i="2"/>
  <c r="BO61" i="2"/>
  <c r="BM61" i="2"/>
  <c r="Z61" i="2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N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Z36" i="2" s="1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P111" i="2" l="1"/>
  <c r="Y235" i="2"/>
  <c r="BN25" i="2"/>
  <c r="BN29" i="2"/>
  <c r="Y37" i="2"/>
  <c r="BN61" i="2"/>
  <c r="BN112" i="2"/>
  <c r="BN117" i="2"/>
  <c r="BN126" i="2"/>
  <c r="BN217" i="2"/>
  <c r="BN234" i="2"/>
  <c r="BN35" i="2"/>
  <c r="Y182" i="2"/>
  <c r="Y218" i="2"/>
  <c r="BN23" i="2"/>
  <c r="Y79" i="2"/>
  <c r="Y261" i="2"/>
  <c r="BN275" i="2"/>
  <c r="BN272" i="2"/>
  <c r="BN269" i="2"/>
  <c r="Z279" i="2"/>
  <c r="BN265" i="2"/>
  <c r="BP234" i="2"/>
  <c r="Z213" i="2"/>
  <c r="BP211" i="2"/>
  <c r="Y213" i="2"/>
  <c r="Y208" i="2"/>
  <c r="BN200" i="2"/>
  <c r="Y201" i="2"/>
  <c r="BP200" i="2"/>
  <c r="BN194" i="2"/>
  <c r="Y181" i="2"/>
  <c r="Z181" i="2"/>
  <c r="Y169" i="2"/>
  <c r="Y170" i="2"/>
  <c r="BN168" i="2"/>
  <c r="Z159" i="2"/>
  <c r="BN146" i="2"/>
  <c r="Z141" i="2"/>
  <c r="BP131" i="2"/>
  <c r="BN116" i="2"/>
  <c r="Z119" i="2"/>
  <c r="BN113" i="2"/>
  <c r="Z106" i="2"/>
  <c r="BN96" i="2"/>
  <c r="BP95" i="2"/>
  <c r="Y80" i="2"/>
  <c r="BP70" i="2"/>
  <c r="Y74" i="2"/>
  <c r="BN66" i="2"/>
  <c r="BN56" i="2"/>
  <c r="BN55" i="2"/>
  <c r="Y58" i="2"/>
  <c r="Z57" i="2"/>
  <c r="Y50" i="2"/>
  <c r="Z49" i="2"/>
  <c r="Z43" i="2"/>
  <c r="Y30" i="2"/>
  <c r="Z30" i="2"/>
  <c r="BP24" i="2"/>
  <c r="BP28" i="2"/>
  <c r="X285" i="2"/>
  <c r="Y68" i="2"/>
  <c r="Z100" i="2"/>
  <c r="BP94" i="2"/>
  <c r="Y101" i="2"/>
  <c r="BP105" i="2"/>
  <c r="BP118" i="2"/>
  <c r="Y128" i="2"/>
  <c r="BP140" i="2"/>
  <c r="Y195" i="2"/>
  <c r="Y196" i="2"/>
  <c r="Z207" i="2"/>
  <c r="BP248" i="2"/>
  <c r="X282" i="2"/>
  <c r="X281" i="2"/>
  <c r="Z67" i="2"/>
  <c r="BP88" i="2"/>
  <c r="Y136" i="2"/>
  <c r="Y148" i="2"/>
  <c r="Y154" i="2"/>
  <c r="BP191" i="2"/>
  <c r="BP212" i="2"/>
  <c r="Y224" i="2"/>
  <c r="Y267" i="2"/>
  <c r="Z266" i="2"/>
  <c r="BP277" i="2"/>
  <c r="BP22" i="2"/>
  <c r="Y107" i="2"/>
  <c r="BP134" i="2"/>
  <c r="Y142" i="2"/>
  <c r="BP276" i="2"/>
  <c r="Y31" i="2"/>
  <c r="X283" i="2"/>
  <c r="BN34" i="2"/>
  <c r="Y44" i="2"/>
  <c r="BP61" i="2"/>
  <c r="Y67" i="2"/>
  <c r="Z73" i="2"/>
  <c r="Z79" i="2"/>
  <c r="Z90" i="2"/>
  <c r="BN89" i="2"/>
  <c r="BP99" i="2"/>
  <c r="Y119" i="2"/>
  <c r="Y124" i="2"/>
  <c r="Y127" i="2"/>
  <c r="Z135" i="2"/>
  <c r="Z147" i="2"/>
  <c r="BP145" i="2"/>
  <c r="Z153" i="2"/>
  <c r="Y160" i="2"/>
  <c r="Z195" i="2"/>
  <c r="Y214" i="2"/>
  <c r="BP217" i="2"/>
  <c r="Y240" i="2"/>
  <c r="BN248" i="2"/>
  <c r="Y249" i="2"/>
  <c r="Z256" i="2"/>
  <c r="Y257" i="2"/>
  <c r="BP264" i="2"/>
  <c r="F9" i="2"/>
  <c r="BN71" i="2"/>
  <c r="BN97" i="2"/>
  <c r="BN157" i="2"/>
  <c r="BN270" i="2"/>
  <c r="J9" i="2"/>
  <c r="BN26" i="2"/>
  <c r="BP41" i="2"/>
  <c r="BN53" i="2"/>
  <c r="BN77" i="2"/>
  <c r="Y106" i="2"/>
  <c r="BN114" i="2"/>
  <c r="BP151" i="2"/>
  <c r="BN163" i="2"/>
  <c r="BN179" i="2"/>
  <c r="BN206" i="2"/>
  <c r="Y256" i="2"/>
  <c r="H9" i="2"/>
  <c r="BP34" i="2"/>
  <c r="BN47" i="2"/>
  <c r="Y100" i="2"/>
  <c r="Y120" i="2"/>
  <c r="BN132" i="2"/>
  <c r="Y135" i="2"/>
  <c r="A10" i="2"/>
  <c r="BP47" i="2"/>
  <c r="Y62" i="2"/>
  <c r="BP71" i="2"/>
  <c r="BN83" i="2"/>
  <c r="BP97" i="2"/>
  <c r="BP132" i="2"/>
  <c r="BP157" i="2"/>
  <c r="BN185" i="2"/>
  <c r="BN212" i="2"/>
  <c r="BN228" i="2"/>
  <c r="BN244" i="2"/>
  <c r="BN278" i="2"/>
  <c r="BP163" i="2"/>
  <c r="BP179" i="2"/>
  <c r="BN192" i="2"/>
  <c r="BP206" i="2"/>
  <c r="BN263" i="2"/>
  <c r="Y266" i="2"/>
  <c r="BN273" i="2"/>
  <c r="BP53" i="2"/>
  <c r="BP83" i="2"/>
  <c r="BP244" i="2"/>
  <c r="Y164" i="2"/>
  <c r="Y207" i="2"/>
  <c r="BP263" i="2"/>
  <c r="Y84" i="2"/>
  <c r="Y229" i="2"/>
  <c r="Y245" i="2"/>
  <c r="Y279" i="2"/>
  <c r="BN271" i="2"/>
  <c r="BP26" i="2"/>
  <c r="BN42" i="2"/>
  <c r="Y186" i="2"/>
  <c r="Y141" i="2"/>
  <c r="BN180" i="2"/>
  <c r="BN222" i="2"/>
  <c r="BP77" i="2"/>
  <c r="BN72" i="2"/>
  <c r="BN98" i="2"/>
  <c r="BN133" i="2"/>
  <c r="BN173" i="2"/>
  <c r="BN27" i="2"/>
  <c r="Y57" i="2"/>
  <c r="BN104" i="2"/>
  <c r="BN115" i="2"/>
  <c r="BN138" i="2"/>
  <c r="BP152" i="2"/>
  <c r="BN238" i="2"/>
  <c r="BN254" i="2"/>
  <c r="BN22" i="2"/>
  <c r="Y36" i="2"/>
  <c r="BP48" i="2"/>
  <c r="BN110" i="2"/>
  <c r="Y147" i="2"/>
  <c r="BP158" i="2"/>
  <c r="BP173" i="2"/>
  <c r="Y187" i="2"/>
  <c r="Y230" i="2"/>
  <c r="BN259" i="2"/>
  <c r="Y280" i="2"/>
  <c r="Y90" i="2"/>
  <c r="BN54" i="2"/>
  <c r="BN78" i="2"/>
  <c r="Y43" i="2"/>
  <c r="BN65" i="2"/>
  <c r="Y91" i="2"/>
  <c r="Y153" i="2"/>
  <c r="BN193" i="2"/>
  <c r="BP222" i="2"/>
  <c r="BP238" i="2"/>
  <c r="BN274" i="2"/>
  <c r="Y49" i="2"/>
  <c r="Y159" i="2"/>
  <c r="Y174" i="2"/>
  <c r="BP259" i="2"/>
  <c r="Y73" i="2"/>
  <c r="Z286" i="2" l="1"/>
  <c r="X284" i="2"/>
  <c r="Y283" i="2"/>
  <c r="Y285" i="2"/>
  <c r="Y281" i="2"/>
  <c r="Y282" i="2"/>
  <c r="Y284" i="2" l="1"/>
  <c r="B294" i="2" l="1"/>
  <c r="C294" i="2"/>
  <c r="A294" i="2"/>
</calcChain>
</file>

<file path=xl/sharedStrings.xml><?xml version="1.0" encoding="utf-8"?>
<sst xmlns="http://schemas.openxmlformats.org/spreadsheetml/2006/main" count="1748" uniqueCount="406">
  <si>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</si>
  <si>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</si>
  <si>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</si>
  <si>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</si>
  <si>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</si>
  <si>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</si>
  <si>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</si>
  <si>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</si>
  <si>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</si>
  <si>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</si>
  <si>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</si>
  <si>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</si>
  <si>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</si>
  <si>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</si>
  <si>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</si>
  <si>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</si>
  <si>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</si>
  <si>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</si>
  <si>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</si>
  <si>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</si>
  <si>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</si>
  <si>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</si>
  <si>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</si>
  <si>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</si>
  <si>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</si>
  <si>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</si>
  <si>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</si>
  <si>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</si>
  <si>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</si>
  <si>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</si>
  <si>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</si>
  <si>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</si>
  <si>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</si>
  <si>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</si>
  <si>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</si>
  <si>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</si>
  <si>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</si>
  <si>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</si>
  <si>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</si>
  <si>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</si>
  <si>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</si>
  <si>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</si>
  <si>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</si>
  <si>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</si>
  <si>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</si>
  <si>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</si>
  <si>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</si>
  <si>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</si>
  <si>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</si>
  <si>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</si>
  <si>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</si>
  <si>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</si>
  <si>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</si>
  <si>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</si>
  <si>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</si>
  <si>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</si>
  <si>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</si>
  <si>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</si>
  <si>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</si>
  <si>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</si>
  <si>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</si>
  <si>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</si>
  <si>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</si>
  <si>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</si>
  <si>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</si>
  <si>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</si>
  <si>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</si>
  <si>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</si>
  <si>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</si>
  <si>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</si>
  <si>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</si>
  <si>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29.08.2026</t>
  </si>
  <si>
    <t>27.08.2026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</si>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</sst>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4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5" t="s">
        <v>26</v>
      </c>
      <c r="E1" s="465"/>
      <c r="F1" s="465"/>
      <c r="G1" s="14" t="s">
        <v>70</v>
      </c>
      <c r="H1" s="465" t="s">
        <v>47</v>
      </c>
      <c r="I1" s="465"/>
      <c r="J1" s="465"/>
      <c r="K1" s="465"/>
      <c r="L1" s="465"/>
      <c r="M1" s="465"/>
      <c r="N1" s="465"/>
      <c r="O1" s="465"/>
      <c r="P1" s="465"/>
      <c r="Q1" s="465"/>
      <c r="R1" s="466" t="s">
        <v>71</v>
      </c>
      <c r="S1" s="467"/>
      <c r="T1" s="4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8"/>
      <c r="R2" s="468"/>
      <c r="S2" s="468"/>
      <c r="T2" s="468"/>
      <c r="U2" s="468"/>
      <c r="V2" s="468"/>
      <c r="W2" s="4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8"/>
      <c r="Q3" s="468"/>
      <c r="R3" s="468"/>
      <c r="S3" s="468"/>
      <c r="T3" s="468"/>
      <c r="U3" s="468"/>
      <c r="V3" s="468"/>
      <c r="W3" s="4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7" t="s">
        <v>8</v>
      </c>
      <c r="B5" s="447"/>
      <c r="C5" s="447"/>
      <c r="D5" s="469"/>
      <c r="E5" s="469"/>
      <c r="F5" s="470" t="s">
        <v>14</v>
      </c>
      <c r="G5" s="470"/>
      <c r="H5" s="469"/>
      <c r="I5" s="469"/>
      <c r="J5" s="469"/>
      <c r="K5" s="469"/>
      <c r="L5" s="469"/>
      <c r="M5" s="469"/>
      <c r="N5" s="75"/>
      <c r="P5" s="27" t="s">
        <v>4</v>
      </c>
      <c r="Q5" s="471">
        <v>46270</v>
      </c>
      <c r="R5" s="471"/>
      <c r="T5" s="472" t="s">
        <v>3</v>
      </c>
      <c r="U5" s="473"/>
      <c r="V5" s="474" t="s">
        <v>392</v>
      </c>
      <c r="W5" s="475"/>
      <c r="AB5" s="59"/>
      <c r="AC5" s="59"/>
      <c r="AD5" s="59"/>
      <c r="AE5" s="59"/>
    </row>
    <row r="6" spans="1:32" s="17" customFormat="1" ht="24" customHeight="1" x14ac:dyDescent="0.2">
      <c r="A6" s="447" t="s">
        <v>1</v>
      </c>
      <c r="B6" s="447"/>
      <c r="C6" s="447"/>
      <c r="D6" s="448" t="s">
        <v>79</v>
      </c>
      <c r="E6" s="448"/>
      <c r="F6" s="448"/>
      <c r="G6" s="448"/>
      <c r="H6" s="448"/>
      <c r="I6" s="448"/>
      <c r="J6" s="448"/>
      <c r="K6" s="448"/>
      <c r="L6" s="448"/>
      <c r="M6" s="448"/>
      <c r="N6" s="76"/>
      <c r="P6" s="27" t="s">
        <v>27</v>
      </c>
      <c r="Q6" s="449" t="str">
        <f>IF(Q5=0," ",CHOOSE(WEEKDAY(Q5,2),"Понедельник","Вторник","Среда","Четверг","Пятница","Суббота","Воскресенье"))</f>
        <v>Суббота</v>
      </c>
      <c r="R6" s="449"/>
      <c r="T6" s="450" t="s">
        <v>5</v>
      </c>
      <c r="U6" s="451"/>
      <c r="V6" s="452" t="s">
        <v>73</v>
      </c>
      <c r="W6" s="4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8" t="str">
        <f>IFERROR(VLOOKUP(DeliveryAddress,Table,3,0),1)</f>
        <v>1</v>
      </c>
      <c r="E7" s="459"/>
      <c r="F7" s="459"/>
      <c r="G7" s="459"/>
      <c r="H7" s="459"/>
      <c r="I7" s="459"/>
      <c r="J7" s="459"/>
      <c r="K7" s="459"/>
      <c r="L7" s="459"/>
      <c r="M7" s="460"/>
      <c r="N7" s="77"/>
      <c r="P7" s="29"/>
      <c r="Q7" s="48"/>
      <c r="R7" s="48"/>
      <c r="T7" s="450"/>
      <c r="U7" s="451"/>
      <c r="V7" s="454"/>
      <c r="W7" s="455"/>
      <c r="AB7" s="59"/>
      <c r="AC7" s="59"/>
      <c r="AD7" s="59"/>
      <c r="AE7" s="59"/>
    </row>
    <row r="8" spans="1:32" s="17" customFormat="1" ht="25.5" customHeight="1" x14ac:dyDescent="0.2">
      <c r="A8" s="461" t="s">
        <v>58</v>
      </c>
      <c r="B8" s="461"/>
      <c r="C8" s="461"/>
      <c r="D8" s="462" t="s">
        <v>80</v>
      </c>
      <c r="E8" s="462"/>
      <c r="F8" s="462"/>
      <c r="G8" s="462"/>
      <c r="H8" s="462"/>
      <c r="I8" s="462"/>
      <c r="J8" s="462"/>
      <c r="K8" s="462"/>
      <c r="L8" s="462"/>
      <c r="M8" s="462"/>
      <c r="N8" s="78"/>
      <c r="P8" s="27" t="s">
        <v>11</v>
      </c>
      <c r="Q8" s="445">
        <v>0.375</v>
      </c>
      <c r="R8" s="445"/>
      <c r="T8" s="450"/>
      <c r="U8" s="451"/>
      <c r="V8" s="454"/>
      <c r="W8" s="455"/>
      <c r="AB8" s="59"/>
      <c r="AC8" s="59"/>
      <c r="AD8" s="59"/>
      <c r="AE8" s="59"/>
    </row>
    <row r="9" spans="1:32" s="17" customFormat="1" ht="39.950000000000003" customHeight="1" x14ac:dyDescent="0.2">
      <c r="A9" s="4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7"/>
      <c r="C9" s="437"/>
      <c r="D9" s="438" t="s">
        <v>46</v>
      </c>
      <c r="E9" s="439"/>
      <c r="F9" s="4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7"/>
      <c r="H9" s="463" t="str">
        <f>IF(AND($A$9="Тип доверенности/получателя при получении в адресе перегруза:",$D$9="Разовая доверенность"),"Введите ФИО","")</f>
        <v/>
      </c>
      <c r="I9" s="463"/>
      <c r="J9" s="4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3"/>
      <c r="L9" s="463"/>
      <c r="M9" s="463"/>
      <c r="N9" s="73"/>
      <c r="P9" s="31" t="s">
        <v>15</v>
      </c>
      <c r="Q9" s="464"/>
      <c r="R9" s="464"/>
      <c r="T9" s="450"/>
      <c r="U9" s="451"/>
      <c r="V9" s="456"/>
      <c r="W9" s="4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7"/>
      <c r="C10" s="437"/>
      <c r="D10" s="438"/>
      <c r="E10" s="439"/>
      <c r="F10" s="4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7"/>
      <c r="H10" s="440" t="str">
        <f>IFERROR(VLOOKUP($D$10,Proxy,2,FALSE),"")</f>
        <v/>
      </c>
      <c r="I10" s="440"/>
      <c r="J10" s="440"/>
      <c r="K10" s="440"/>
      <c r="L10" s="440"/>
      <c r="M10" s="440"/>
      <c r="N10" s="74"/>
      <c r="P10" s="31" t="s">
        <v>32</v>
      </c>
      <c r="Q10" s="441"/>
      <c r="R10" s="441"/>
      <c r="U10" s="29" t="s">
        <v>12</v>
      </c>
      <c r="V10" s="442" t="s">
        <v>74</v>
      </c>
      <c r="W10" s="44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4"/>
      <c r="R11" s="444"/>
      <c r="U11" s="29" t="s">
        <v>28</v>
      </c>
      <c r="V11" s="423" t="s">
        <v>55</v>
      </c>
      <c r="W11" s="4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2" t="s">
        <v>75</v>
      </c>
      <c r="B12" s="422"/>
      <c r="C12" s="422"/>
      <c r="D12" s="422"/>
      <c r="E12" s="422"/>
      <c r="F12" s="422"/>
      <c r="G12" s="422"/>
      <c r="H12" s="422"/>
      <c r="I12" s="422"/>
      <c r="J12" s="422"/>
      <c r="K12" s="422"/>
      <c r="L12" s="422"/>
      <c r="M12" s="422"/>
      <c r="N12" s="79"/>
      <c r="P12" s="27" t="s">
        <v>30</v>
      </c>
      <c r="Q12" s="445"/>
      <c r="R12" s="445"/>
      <c r="S12" s="28"/>
      <c r="T12"/>
      <c r="U12" s="29" t="s">
        <v>46</v>
      </c>
      <c r="V12" s="446"/>
      <c r="W12" s="446"/>
      <c r="X12"/>
      <c r="AB12" s="59"/>
      <c r="AC12" s="59"/>
      <c r="AD12" s="59"/>
      <c r="AE12" s="59"/>
    </row>
    <row r="13" spans="1:32" s="17" customFormat="1" ht="23.25" customHeight="1" x14ac:dyDescent="0.2">
      <c r="A13" s="422" t="s">
        <v>76</v>
      </c>
      <c r="B13" s="422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79"/>
      <c r="O13" s="31"/>
      <c r="P13" s="31" t="s">
        <v>31</v>
      </c>
      <c r="Q13" s="423"/>
      <c r="R13" s="4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2" t="s">
        <v>77</v>
      </c>
      <c r="B14" s="422"/>
      <c r="C14" s="422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4" t="s">
        <v>78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80"/>
      <c r="O15"/>
      <c r="P15" s="425" t="s">
        <v>61</v>
      </c>
      <c r="Q15" s="425"/>
      <c r="R15" s="425"/>
      <c r="S15" s="425"/>
      <c r="T15" s="4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6"/>
      <c r="Q16" s="426"/>
      <c r="R16" s="426"/>
      <c r="S16" s="426"/>
      <c r="T16" s="4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8" t="s">
        <v>59</v>
      </c>
      <c r="B17" s="408" t="s">
        <v>49</v>
      </c>
      <c r="C17" s="429" t="s">
        <v>48</v>
      </c>
      <c r="D17" s="431" t="s">
        <v>50</v>
      </c>
      <c r="E17" s="432"/>
      <c r="F17" s="408" t="s">
        <v>21</v>
      </c>
      <c r="G17" s="408" t="s">
        <v>24</v>
      </c>
      <c r="H17" s="408" t="s">
        <v>22</v>
      </c>
      <c r="I17" s="408" t="s">
        <v>23</v>
      </c>
      <c r="J17" s="408" t="s">
        <v>16</v>
      </c>
      <c r="K17" s="408" t="s">
        <v>69</v>
      </c>
      <c r="L17" s="408" t="s">
        <v>67</v>
      </c>
      <c r="M17" s="408" t="s">
        <v>2</v>
      </c>
      <c r="N17" s="408" t="s">
        <v>66</v>
      </c>
      <c r="O17" s="408" t="s">
        <v>25</v>
      </c>
      <c r="P17" s="431" t="s">
        <v>17</v>
      </c>
      <c r="Q17" s="435"/>
      <c r="R17" s="435"/>
      <c r="S17" s="435"/>
      <c r="T17" s="432"/>
      <c r="U17" s="427" t="s">
        <v>56</v>
      </c>
      <c r="V17" s="428"/>
      <c r="W17" s="408" t="s">
        <v>6</v>
      </c>
      <c r="X17" s="408" t="s">
        <v>41</v>
      </c>
      <c r="Y17" s="410" t="s">
        <v>54</v>
      </c>
      <c r="Z17" s="412" t="s">
        <v>18</v>
      </c>
      <c r="AA17" s="414" t="s">
        <v>60</v>
      </c>
      <c r="AB17" s="414" t="s">
        <v>19</v>
      </c>
      <c r="AC17" s="414" t="s">
        <v>68</v>
      </c>
      <c r="AD17" s="416" t="s">
        <v>57</v>
      </c>
      <c r="AE17" s="417"/>
      <c r="AF17" s="418"/>
      <c r="AG17" s="85"/>
      <c r="BD17" s="84" t="s">
        <v>64</v>
      </c>
    </row>
    <row r="18" spans="1:68" ht="14.25" customHeight="1" x14ac:dyDescent="0.2">
      <c r="A18" s="409"/>
      <c r="B18" s="409"/>
      <c r="C18" s="430"/>
      <c r="D18" s="433"/>
      <c r="E18" s="434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33"/>
      <c r="Q18" s="436"/>
      <c r="R18" s="436"/>
      <c r="S18" s="436"/>
      <c r="T18" s="434"/>
      <c r="U18" s="86" t="s">
        <v>44</v>
      </c>
      <c r="V18" s="86" t="s">
        <v>43</v>
      </c>
      <c r="W18" s="409"/>
      <c r="X18" s="409"/>
      <c r="Y18" s="411"/>
      <c r="Z18" s="413"/>
      <c r="AA18" s="415"/>
      <c r="AB18" s="415"/>
      <c r="AC18" s="415"/>
      <c r="AD18" s="419"/>
      <c r="AE18" s="420"/>
      <c r="AF18" s="421"/>
      <c r="AG18" s="85"/>
      <c r="BD18" s="84"/>
    </row>
    <row r="19" spans="1:68" ht="27.75" hidden="1" customHeight="1" x14ac:dyDescent="0.2">
      <c r="A19" s="320" t="s">
        <v>81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hidden="1" customHeight="1" x14ac:dyDescent="0.25">
      <c r="A20" s="321" t="s">
        <v>81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hidden="1" customHeight="1" x14ac:dyDescent="0.25">
      <c r="A21" s="316" t="s">
        <v>82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8">
        <v>4620207491508</v>
      </c>
      <c r="E22" s="29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0"/>
      <c r="R22" s="300"/>
      <c r="S22" s="300"/>
      <c r="T22" s="30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8">
        <v>4620207491256</v>
      </c>
      <c r="E23" s="29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0"/>
      <c r="R23" s="300"/>
      <c r="S23" s="300"/>
      <c r="T23" s="301"/>
      <c r="U23" s="39" t="s">
        <v>46</v>
      </c>
      <c r="V23" s="39" t="s">
        <v>46</v>
      </c>
      <c r="W23" s="40" t="s">
        <v>39</v>
      </c>
      <c r="X23" s="58">
        <v>48</v>
      </c>
      <c r="Y23" s="55">
        <f t="shared" si="0"/>
        <v>48</v>
      </c>
      <c r="Z23" s="41">
        <f t="shared" si="1"/>
        <v>0.74399999999999999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318.24</v>
      </c>
      <c r="BN23" s="81">
        <f t="shared" si="3"/>
        <v>318.24</v>
      </c>
      <c r="BO23" s="81">
        <f t="shared" si="4"/>
        <v>0.5714285714285714</v>
      </c>
      <c r="BP23" s="81">
        <f t="shared" si="5"/>
        <v>0.5714285714285714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8">
        <v>4620207491713</v>
      </c>
      <c r="E24" s="29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0"/>
      <c r="R24" s="300"/>
      <c r="S24" s="300"/>
      <c r="T24" s="30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8">
        <v>4620207491720</v>
      </c>
      <c r="E25" s="29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0"/>
      <c r="R25" s="300"/>
      <c r="S25" s="300"/>
      <c r="T25" s="30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8">
        <v>4607111035912</v>
      </c>
      <c r="E26" s="29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0"/>
      <c r="R26" s="300"/>
      <c r="S26" s="300"/>
      <c r="T26" s="30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8">
        <v>4607111035929</v>
      </c>
      <c r="E27" s="29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0"/>
      <c r="R27" s="300"/>
      <c r="S27" s="300"/>
      <c r="T27" s="301"/>
      <c r="U27" s="39" t="s">
        <v>46</v>
      </c>
      <c r="V27" s="39" t="s">
        <v>46</v>
      </c>
      <c r="W27" s="40" t="s">
        <v>39</v>
      </c>
      <c r="X27" s="58">
        <v>72</v>
      </c>
      <c r="Y27" s="55">
        <f t="shared" si="0"/>
        <v>72</v>
      </c>
      <c r="Z27" s="41">
        <f t="shared" si="1"/>
        <v>1.1160000000000001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537.84</v>
      </c>
      <c r="BN27" s="81">
        <f t="shared" si="3"/>
        <v>537.84</v>
      </c>
      <c r="BO27" s="81">
        <f t="shared" si="4"/>
        <v>0.8571428571428571</v>
      </c>
      <c r="BP27" s="81">
        <f t="shared" si="5"/>
        <v>0.8571428571428571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8">
        <v>4607111035882</v>
      </c>
      <c r="E28" s="29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0"/>
      <c r="R28" s="300"/>
      <c r="S28" s="300"/>
      <c r="T28" s="30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8">
        <v>4607111035905</v>
      </c>
      <c r="E29" s="29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0"/>
      <c r="R29" s="300"/>
      <c r="S29" s="300"/>
      <c r="T29" s="30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308"/>
      <c r="P30" s="305" t="s">
        <v>40</v>
      </c>
      <c r="Q30" s="306"/>
      <c r="R30" s="306"/>
      <c r="S30" s="306"/>
      <c r="T30" s="306"/>
      <c r="U30" s="306"/>
      <c r="V30" s="307"/>
      <c r="W30" s="42" t="s">
        <v>39</v>
      </c>
      <c r="X30" s="43">
        <f>IFERROR(SUM(X22:X29),"0")</f>
        <v>120</v>
      </c>
      <c r="Y30" s="43">
        <f>IFERROR(SUM(Y22:Y29),"0")</f>
        <v>120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1.86</v>
      </c>
      <c r="AA30" s="67"/>
      <c r="AB30" s="67"/>
      <c r="AC30" s="67"/>
    </row>
    <row r="31" spans="1:68" x14ac:dyDescent="0.2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308"/>
      <c r="P31" s="305" t="s">
        <v>40</v>
      </c>
      <c r="Q31" s="306"/>
      <c r="R31" s="306"/>
      <c r="S31" s="306"/>
      <c r="T31" s="306"/>
      <c r="U31" s="306"/>
      <c r="V31" s="307"/>
      <c r="W31" s="42" t="s">
        <v>0</v>
      </c>
      <c r="X31" s="43">
        <f>IFERROR(SUMPRODUCT(X22:X29*H22:H29),"0")</f>
        <v>825.6</v>
      </c>
      <c r="Y31" s="43">
        <f>IFERROR(SUMPRODUCT(Y22:Y29*H22:H29),"0")</f>
        <v>825.6</v>
      </c>
      <c r="Z31" s="42"/>
      <c r="AA31" s="67"/>
      <c r="AB31" s="67"/>
      <c r="AC31" s="67"/>
    </row>
    <row r="32" spans="1:68" ht="16.5" hidden="1" customHeight="1" x14ac:dyDescent="0.25">
      <c r="A32" s="321" t="s">
        <v>106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hidden="1" customHeight="1" x14ac:dyDescent="0.25">
      <c r="A33" s="316" t="s">
        <v>82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8">
        <v>4607111039019</v>
      </c>
      <c r="E34" s="29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0"/>
      <c r="R34" s="300"/>
      <c r="S34" s="300"/>
      <c r="T34" s="30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8">
        <v>4607111038708</v>
      </c>
      <c r="E35" s="29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0"/>
      <c r="R35" s="300"/>
      <c r="S35" s="300"/>
      <c r="T35" s="301"/>
      <c r="U35" s="39" t="s">
        <v>46</v>
      </c>
      <c r="V35" s="39" t="s">
        <v>46</v>
      </c>
      <c r="W35" s="40" t="s">
        <v>39</v>
      </c>
      <c r="X35" s="58">
        <v>48</v>
      </c>
      <c r="Y35" s="55">
        <f>IFERROR(IF(X35="","",X35),"")</f>
        <v>48</v>
      </c>
      <c r="Z35" s="41">
        <f>IFERROR(IF(X35="","",X35*0.0155),"")</f>
        <v>0.74399999999999999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320.15999999999997</v>
      </c>
      <c r="BN35" s="81">
        <f>IFERROR(Y35*I35,"0")</f>
        <v>320.15999999999997</v>
      </c>
      <c r="BO35" s="81">
        <f>IFERROR(X35/J35,"0")</f>
        <v>0.5714285714285714</v>
      </c>
      <c r="BP35" s="81">
        <f>IFERROR(Y35/J35,"0")</f>
        <v>0.5714285714285714</v>
      </c>
    </row>
    <row r="36" spans="1:68" x14ac:dyDescent="0.2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308"/>
      <c r="P36" s="305" t="s">
        <v>40</v>
      </c>
      <c r="Q36" s="306"/>
      <c r="R36" s="306"/>
      <c r="S36" s="306"/>
      <c r="T36" s="306"/>
      <c r="U36" s="306"/>
      <c r="V36" s="307"/>
      <c r="W36" s="42" t="s">
        <v>39</v>
      </c>
      <c r="X36" s="43">
        <f>IFERROR(SUM(X34:X35),"0")</f>
        <v>48</v>
      </c>
      <c r="Y36" s="43">
        <f>IFERROR(SUM(Y34:Y35),"0")</f>
        <v>48</v>
      </c>
      <c r="Z36" s="43">
        <f>IFERROR(IF(Z34="",0,Z34),"0")+IFERROR(IF(Z35="",0,Z35),"0")</f>
        <v>0.74399999999999999</v>
      </c>
      <c r="AA36" s="67"/>
      <c r="AB36" s="67"/>
      <c r="AC36" s="67"/>
    </row>
    <row r="37" spans="1:68" x14ac:dyDescent="0.2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308"/>
      <c r="P37" s="305" t="s">
        <v>40</v>
      </c>
      <c r="Q37" s="306"/>
      <c r="R37" s="306"/>
      <c r="S37" s="306"/>
      <c r="T37" s="306"/>
      <c r="U37" s="306"/>
      <c r="V37" s="307"/>
      <c r="W37" s="42" t="s">
        <v>0</v>
      </c>
      <c r="X37" s="43">
        <f>IFERROR(SUMPRODUCT(X34:X35*H34:H35),"0")</f>
        <v>307.20000000000005</v>
      </c>
      <c r="Y37" s="43">
        <f>IFERROR(SUMPRODUCT(Y34:Y35*H34:H35),"0")</f>
        <v>307.20000000000005</v>
      </c>
      <c r="Z37" s="42"/>
      <c r="AA37" s="67"/>
      <c r="AB37" s="67"/>
      <c r="AC37" s="67"/>
    </row>
    <row r="38" spans="1:68" ht="27.75" hidden="1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hidden="1" customHeight="1" x14ac:dyDescent="0.25">
      <c r="A39" s="321" t="s">
        <v>112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hidden="1" customHeight="1" x14ac:dyDescent="0.25">
      <c r="A40" s="316" t="s">
        <v>113</v>
      </c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8">
        <v>4607111036537</v>
      </c>
      <c r="E41" s="29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0"/>
      <c r="R41" s="300"/>
      <c r="S41" s="300"/>
      <c r="T41" s="301"/>
      <c r="U41" s="39" t="s">
        <v>46</v>
      </c>
      <c r="V41" s="39" t="s">
        <v>46</v>
      </c>
      <c r="W41" s="40" t="s">
        <v>39</v>
      </c>
      <c r="X41" s="58">
        <v>154</v>
      </c>
      <c r="Y41" s="55">
        <f>IFERROR(IF(X41="","",X41),"")</f>
        <v>154</v>
      </c>
      <c r="Z41" s="41">
        <f>IFERROR(IF(X41="","",X41*0.00941),"")</f>
        <v>1.4491400000000001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295.9572</v>
      </c>
      <c r="BN41" s="81">
        <f>IFERROR(Y41*I41,"0")</f>
        <v>295.9572</v>
      </c>
      <c r="BO41" s="81">
        <f>IFERROR(X41/J41,"0")</f>
        <v>1.1000000000000001</v>
      </c>
      <c r="BP41" s="81">
        <f>IFERROR(Y41/J41,"0")</f>
        <v>1.1000000000000001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298">
        <v>4607111036605</v>
      </c>
      <c r="E42" s="29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0"/>
      <c r="R42" s="300"/>
      <c r="S42" s="300"/>
      <c r="T42" s="30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308"/>
      <c r="P43" s="305" t="s">
        <v>40</v>
      </c>
      <c r="Q43" s="306"/>
      <c r="R43" s="306"/>
      <c r="S43" s="306"/>
      <c r="T43" s="306"/>
      <c r="U43" s="306"/>
      <c r="V43" s="307"/>
      <c r="W43" s="42" t="s">
        <v>39</v>
      </c>
      <c r="X43" s="43">
        <f>IFERROR(SUM(X41:X42),"0")</f>
        <v>154</v>
      </c>
      <c r="Y43" s="43">
        <f>IFERROR(SUM(Y41:Y42),"0")</f>
        <v>154</v>
      </c>
      <c r="Z43" s="43">
        <f>IFERROR(IF(Z41="",0,Z41),"0")+IFERROR(IF(Z42="",0,Z42),"0")</f>
        <v>1.4491400000000001</v>
      </c>
      <c r="AA43" s="67"/>
      <c r="AB43" s="67"/>
      <c r="AC43" s="67"/>
    </row>
    <row r="44" spans="1:68" x14ac:dyDescent="0.2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308"/>
      <c r="P44" s="305" t="s">
        <v>40</v>
      </c>
      <c r="Q44" s="306"/>
      <c r="R44" s="306"/>
      <c r="S44" s="306"/>
      <c r="T44" s="306"/>
      <c r="U44" s="306"/>
      <c r="V44" s="307"/>
      <c r="W44" s="42" t="s">
        <v>0</v>
      </c>
      <c r="X44" s="43">
        <f>IFERROR(SUMPRODUCT(X41:X42*H41:H42),"0")</f>
        <v>231</v>
      </c>
      <c r="Y44" s="43">
        <f>IFERROR(SUMPRODUCT(Y41:Y42*H41:H42),"0")</f>
        <v>231</v>
      </c>
      <c r="Z44" s="42"/>
      <c r="AA44" s="67"/>
      <c r="AB44" s="67"/>
      <c r="AC44" s="67"/>
    </row>
    <row r="45" spans="1:68" ht="16.5" hidden="1" customHeight="1" x14ac:dyDescent="0.25">
      <c r="A45" s="321" t="s">
        <v>123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hidden="1" customHeight="1" x14ac:dyDescent="0.25">
      <c r="A46" s="316" t="s">
        <v>82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8">
        <v>4620207490075</v>
      </c>
      <c r="E47" s="29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0"/>
      <c r="R47" s="300"/>
      <c r="S47" s="300"/>
      <c r="T47" s="30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8">
        <v>4620207490174</v>
      </c>
      <c r="E48" s="29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0"/>
      <c r="R48" s="300"/>
      <c r="S48" s="300"/>
      <c r="T48" s="301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308"/>
      <c r="P49" s="305" t="s">
        <v>40</v>
      </c>
      <c r="Q49" s="306"/>
      <c r="R49" s="306"/>
      <c r="S49" s="306"/>
      <c r="T49" s="306"/>
      <c r="U49" s="306"/>
      <c r="V49" s="307"/>
      <c r="W49" s="42" t="s">
        <v>39</v>
      </c>
      <c r="X49" s="43">
        <f>IFERROR(SUM(X47:X48),"0")</f>
        <v>12</v>
      </c>
      <c r="Y49" s="43">
        <f>IFERROR(SUM(Y47:Y48),"0")</f>
        <v>12</v>
      </c>
      <c r="Z49" s="43">
        <f>IFERROR(IF(Z47="",0,Z47),"0")+IFERROR(IF(Z48="",0,Z48),"0")</f>
        <v>0.186</v>
      </c>
      <c r="AA49" s="67"/>
      <c r="AB49" s="67"/>
      <c r="AC49" s="67"/>
    </row>
    <row r="50" spans="1:68" x14ac:dyDescent="0.2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308"/>
      <c r="P50" s="305" t="s">
        <v>40</v>
      </c>
      <c r="Q50" s="306"/>
      <c r="R50" s="306"/>
      <c r="S50" s="306"/>
      <c r="T50" s="306"/>
      <c r="U50" s="306"/>
      <c r="V50" s="307"/>
      <c r="W50" s="42" t="s">
        <v>0</v>
      </c>
      <c r="X50" s="43">
        <f>IFERROR(SUMPRODUCT(X47:X48*H47:H48),"0")</f>
        <v>67.199999999999989</v>
      </c>
      <c r="Y50" s="43">
        <f>IFERROR(SUMPRODUCT(Y47:Y48*H47:H48),"0")</f>
        <v>67.199999999999989</v>
      </c>
      <c r="Z50" s="42"/>
      <c r="AA50" s="67"/>
      <c r="AB50" s="67"/>
      <c r="AC50" s="67"/>
    </row>
    <row r="51" spans="1:68" ht="16.5" hidden="1" customHeight="1" x14ac:dyDescent="0.25">
      <c r="A51" s="321" t="s">
        <v>130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65"/>
      <c r="AB51" s="65"/>
      <c r="AC51" s="82"/>
    </row>
    <row r="52" spans="1:68" ht="14.25" hidden="1" customHeight="1" x14ac:dyDescent="0.25">
      <c r="A52" s="316" t="s">
        <v>82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8">
        <v>4607111039385</v>
      </c>
      <c r="E53" s="29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0"/>
      <c r="R53" s="300"/>
      <c r="S53" s="300"/>
      <c r="T53" s="301"/>
      <c r="U53" s="39" t="s">
        <v>46</v>
      </c>
      <c r="V53" s="39" t="s">
        <v>46</v>
      </c>
      <c r="W53" s="40" t="s">
        <v>39</v>
      </c>
      <c r="X53" s="58">
        <v>108</v>
      </c>
      <c r="Y53" s="55">
        <f>IFERROR(IF(X53="","",X53),"")</f>
        <v>108</v>
      </c>
      <c r="Z53" s="41">
        <f>IFERROR(IF(X53="","",X53*0.0155),"")</f>
        <v>1.6739999999999999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788.4</v>
      </c>
      <c r="BN53" s="81">
        <f>IFERROR(Y53*I53,"0")</f>
        <v>788.4</v>
      </c>
      <c r="BO53" s="81">
        <f>IFERROR(X53/J53,"0")</f>
        <v>1.2857142857142858</v>
      </c>
      <c r="BP53" s="81">
        <f>IFERROR(Y53/J53,"0")</f>
        <v>1.2857142857142858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8">
        <v>4607111038982</v>
      </c>
      <c r="E54" s="29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0"/>
      <c r="R54" s="300"/>
      <c r="S54" s="300"/>
      <c r="T54" s="301"/>
      <c r="U54" s="39" t="s">
        <v>46</v>
      </c>
      <c r="V54" s="39" t="s">
        <v>46</v>
      </c>
      <c r="W54" s="40" t="s">
        <v>39</v>
      </c>
      <c r="X54" s="58">
        <v>96</v>
      </c>
      <c r="Y54" s="55">
        <f>IFERROR(IF(X54="","",X54),"")</f>
        <v>96</v>
      </c>
      <c r="Z54" s="41">
        <f>IFERROR(IF(X54="","",X54*0.0155),"")</f>
        <v>1.488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699.4559999999999</v>
      </c>
      <c r="BN54" s="81">
        <f>IFERROR(Y54*I54,"0")</f>
        <v>699.4559999999999</v>
      </c>
      <c r="BO54" s="81">
        <f>IFERROR(X54/J54,"0")</f>
        <v>1.1428571428571428</v>
      </c>
      <c r="BP54" s="81">
        <f>IFERROR(Y54/J54,"0")</f>
        <v>1.1428571428571428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298">
        <v>4607111039354</v>
      </c>
      <c r="E55" s="29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0"/>
      <c r="R55" s="300"/>
      <c r="S55" s="300"/>
      <c r="T55" s="301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8">
        <v>4607111039330</v>
      </c>
      <c r="E56" s="29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0"/>
      <c r="R56" s="300"/>
      <c r="S56" s="300"/>
      <c r="T56" s="301"/>
      <c r="U56" s="39" t="s">
        <v>46</v>
      </c>
      <c r="V56" s="39" t="s">
        <v>46</v>
      </c>
      <c r="W56" s="40" t="s">
        <v>39</v>
      </c>
      <c r="X56" s="58">
        <v>96</v>
      </c>
      <c r="Y56" s="55">
        <f>IFERROR(IF(X56="","",X56),"")</f>
        <v>96</v>
      </c>
      <c r="Z56" s="41">
        <f>IFERROR(IF(X56="","",X56*0.0155),"")</f>
        <v>1.488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700.8</v>
      </c>
      <c r="BN56" s="81">
        <f>IFERROR(Y56*I56,"0")</f>
        <v>700.8</v>
      </c>
      <c r="BO56" s="81">
        <f>IFERROR(X56/J56,"0")</f>
        <v>1.1428571428571428</v>
      </c>
      <c r="BP56" s="81">
        <f>IFERROR(Y56/J56,"0")</f>
        <v>1.1428571428571428</v>
      </c>
    </row>
    <row r="57" spans="1:68" x14ac:dyDescent="0.2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308"/>
      <c r="P57" s="305" t="s">
        <v>40</v>
      </c>
      <c r="Q57" s="306"/>
      <c r="R57" s="306"/>
      <c r="S57" s="306"/>
      <c r="T57" s="306"/>
      <c r="U57" s="306"/>
      <c r="V57" s="307"/>
      <c r="W57" s="42" t="s">
        <v>39</v>
      </c>
      <c r="X57" s="43">
        <f>IFERROR(SUM(X53:X56),"0")</f>
        <v>312</v>
      </c>
      <c r="Y57" s="43">
        <f>IFERROR(SUM(Y53:Y56),"0")</f>
        <v>312</v>
      </c>
      <c r="Z57" s="43">
        <f>IFERROR(IF(Z53="",0,Z53),"0")+IFERROR(IF(Z54="",0,Z54),"0")+IFERROR(IF(Z55="",0,Z55),"0")+IFERROR(IF(Z56="",0,Z56),"0")</f>
        <v>4.8360000000000003</v>
      </c>
      <c r="AA57" s="67"/>
      <c r="AB57" s="67"/>
      <c r="AC57" s="67"/>
    </row>
    <row r="58" spans="1:68" x14ac:dyDescent="0.2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308"/>
      <c r="P58" s="305" t="s">
        <v>40</v>
      </c>
      <c r="Q58" s="306"/>
      <c r="R58" s="306"/>
      <c r="S58" s="306"/>
      <c r="T58" s="306"/>
      <c r="U58" s="306"/>
      <c r="V58" s="307"/>
      <c r="W58" s="42" t="s">
        <v>0</v>
      </c>
      <c r="X58" s="43">
        <f>IFERROR(SUMPRODUCT(X53:X56*H53:H56),"0")</f>
        <v>2176.8000000000002</v>
      </c>
      <c r="Y58" s="43">
        <f>IFERROR(SUMPRODUCT(Y53:Y56*H53:H56),"0")</f>
        <v>2176.8000000000002</v>
      </c>
      <c r="Z58" s="42"/>
      <c r="AA58" s="67"/>
      <c r="AB58" s="67"/>
      <c r="AC58" s="67"/>
    </row>
    <row r="59" spans="1:68" ht="16.5" hidden="1" customHeight="1" x14ac:dyDescent="0.25">
      <c r="A59" s="321" t="s">
        <v>141</v>
      </c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65"/>
      <c r="AB59" s="65"/>
      <c r="AC59" s="82"/>
    </row>
    <row r="60" spans="1:68" ht="14.25" hidden="1" customHeight="1" x14ac:dyDescent="0.25">
      <c r="A60" s="316" t="s">
        <v>113</v>
      </c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8">
        <v>4607111039712</v>
      </c>
      <c r="E61" s="29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0"/>
      <c r="R61" s="300"/>
      <c r="S61" s="300"/>
      <c r="T61" s="30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308"/>
      <c r="P62" s="305" t="s">
        <v>40</v>
      </c>
      <c r="Q62" s="306"/>
      <c r="R62" s="306"/>
      <c r="S62" s="306"/>
      <c r="T62" s="306"/>
      <c r="U62" s="306"/>
      <c r="V62" s="307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308"/>
      <c r="P63" s="305" t="s">
        <v>40</v>
      </c>
      <c r="Q63" s="306"/>
      <c r="R63" s="306"/>
      <c r="S63" s="306"/>
      <c r="T63" s="306"/>
      <c r="U63" s="306"/>
      <c r="V63" s="307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6" t="s">
        <v>145</v>
      </c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8">
        <v>4607111037008</v>
      </c>
      <c r="E65" s="29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00"/>
      <c r="R65" s="300"/>
      <c r="S65" s="300"/>
      <c r="T65" s="30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8">
        <v>4607111037398</v>
      </c>
      <c r="E66" s="29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00"/>
      <c r="R66" s="300"/>
      <c r="S66" s="300"/>
      <c r="T66" s="30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308"/>
      <c r="P67" s="305" t="s">
        <v>40</v>
      </c>
      <c r="Q67" s="306"/>
      <c r="R67" s="306"/>
      <c r="S67" s="306"/>
      <c r="T67" s="306"/>
      <c r="U67" s="306"/>
      <c r="V67" s="307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308"/>
      <c r="P68" s="305" t="s">
        <v>40</v>
      </c>
      <c r="Q68" s="306"/>
      <c r="R68" s="306"/>
      <c r="S68" s="306"/>
      <c r="T68" s="306"/>
      <c r="U68" s="306"/>
      <c r="V68" s="307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6" t="s">
        <v>151</v>
      </c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8">
        <v>4607111039705</v>
      </c>
      <c r="E70" s="29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00"/>
      <c r="R70" s="300"/>
      <c r="S70" s="300"/>
      <c r="T70" s="30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8">
        <v>4607111039729</v>
      </c>
      <c r="E71" s="29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00"/>
      <c r="R71" s="300"/>
      <c r="S71" s="300"/>
      <c r="T71" s="301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8">
        <v>4620207490228</v>
      </c>
      <c r="E72" s="29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00"/>
      <c r="R72" s="300"/>
      <c r="S72" s="300"/>
      <c r="T72" s="301"/>
      <c r="U72" s="39" t="s">
        <v>46</v>
      </c>
      <c r="V72" s="39" t="s">
        <v>46</v>
      </c>
      <c r="W72" s="40" t="s">
        <v>39</v>
      </c>
      <c r="X72" s="58">
        <v>28</v>
      </c>
      <c r="Y72" s="55">
        <f>IFERROR(IF(X72="","",X72),"")</f>
        <v>28</v>
      </c>
      <c r="Z72" s="41">
        <f>IFERROR(IF(X72="","",X72*0.00941),"")</f>
        <v>0.26347999999999999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43.68</v>
      </c>
      <c r="BN72" s="81">
        <f>IFERROR(Y72*I72,"0")</f>
        <v>43.68</v>
      </c>
      <c r="BO72" s="81">
        <f>IFERROR(X72/J72,"0")</f>
        <v>0.2</v>
      </c>
      <c r="BP72" s="81">
        <f>IFERROR(Y72/J72,"0")</f>
        <v>0.2</v>
      </c>
    </row>
    <row r="73" spans="1:68" x14ac:dyDescent="0.2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308"/>
      <c r="P73" s="305" t="s">
        <v>40</v>
      </c>
      <c r="Q73" s="306"/>
      <c r="R73" s="306"/>
      <c r="S73" s="306"/>
      <c r="T73" s="306"/>
      <c r="U73" s="306"/>
      <c r="V73" s="307"/>
      <c r="W73" s="42" t="s">
        <v>39</v>
      </c>
      <c r="X73" s="43">
        <f>IFERROR(SUM(X70:X72),"0")</f>
        <v>42</v>
      </c>
      <c r="Y73" s="43">
        <f>IFERROR(SUM(Y70:Y72),"0")</f>
        <v>42</v>
      </c>
      <c r="Z73" s="43">
        <f>IFERROR(IF(Z70="",0,Z70),"0")+IFERROR(IF(Z71="",0,Z71),"0")+IFERROR(IF(Z72="",0,Z72),"0")</f>
        <v>0.39522000000000002</v>
      </c>
      <c r="AA73" s="67"/>
      <c r="AB73" s="67"/>
      <c r="AC73" s="67"/>
    </row>
    <row r="74" spans="1:68" x14ac:dyDescent="0.2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308"/>
      <c r="P74" s="305" t="s">
        <v>40</v>
      </c>
      <c r="Q74" s="306"/>
      <c r="R74" s="306"/>
      <c r="S74" s="306"/>
      <c r="T74" s="306"/>
      <c r="U74" s="306"/>
      <c r="V74" s="307"/>
      <c r="W74" s="42" t="s">
        <v>0</v>
      </c>
      <c r="X74" s="43">
        <f>IFERROR(SUMPRODUCT(X70:X72*H70:H72),"0")</f>
        <v>50.400000000000006</v>
      </c>
      <c r="Y74" s="43">
        <f>IFERROR(SUMPRODUCT(Y70:Y72*H70:H72),"0")</f>
        <v>50.400000000000006</v>
      </c>
      <c r="Z74" s="42"/>
      <c r="AA74" s="67"/>
      <c r="AB74" s="67"/>
      <c r="AC74" s="67"/>
    </row>
    <row r="75" spans="1:68" ht="16.5" hidden="1" customHeight="1" x14ac:dyDescent="0.25">
      <c r="A75" s="321" t="s">
        <v>159</v>
      </c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65"/>
      <c r="AB75" s="65"/>
      <c r="AC75" s="82"/>
    </row>
    <row r="76" spans="1:68" ht="14.25" hidden="1" customHeight="1" x14ac:dyDescent="0.25">
      <c r="A76" s="316" t="s">
        <v>82</v>
      </c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8">
        <v>4607111037411</v>
      </c>
      <c r="E77" s="29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00"/>
      <c r="R77" s="300"/>
      <c r="S77" s="300"/>
      <c r="T77" s="30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8">
        <v>4607111036728</v>
      </c>
      <c r="E78" s="29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00"/>
      <c r="R78" s="300"/>
      <c r="S78" s="300"/>
      <c r="T78" s="301"/>
      <c r="U78" s="39" t="s">
        <v>46</v>
      </c>
      <c r="V78" s="39" t="s">
        <v>46</v>
      </c>
      <c r="W78" s="40" t="s">
        <v>39</v>
      </c>
      <c r="X78" s="58">
        <v>168</v>
      </c>
      <c r="Y78" s="55">
        <f>IFERROR(IF(X78="","",X78),"")</f>
        <v>168</v>
      </c>
      <c r="Z78" s="41">
        <f>IFERROR(IF(X78="","",X78*0.00866),"")</f>
        <v>1.45488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875.81759999999997</v>
      </c>
      <c r="BN78" s="81">
        <f>IFERROR(Y78*I78,"0")</f>
        <v>875.81759999999997</v>
      </c>
      <c r="BO78" s="81">
        <f>IFERROR(X78/J78,"0")</f>
        <v>1.1666666666666667</v>
      </c>
      <c r="BP78" s="81">
        <f>IFERROR(Y78/J78,"0")</f>
        <v>1.1666666666666667</v>
      </c>
    </row>
    <row r="79" spans="1:68" x14ac:dyDescent="0.2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308"/>
      <c r="P79" s="305" t="s">
        <v>40</v>
      </c>
      <c r="Q79" s="306"/>
      <c r="R79" s="306"/>
      <c r="S79" s="306"/>
      <c r="T79" s="306"/>
      <c r="U79" s="306"/>
      <c r="V79" s="307"/>
      <c r="W79" s="42" t="s">
        <v>39</v>
      </c>
      <c r="X79" s="43">
        <f>IFERROR(SUM(X77:X78),"0")</f>
        <v>168</v>
      </c>
      <c r="Y79" s="43">
        <f>IFERROR(SUM(Y77:Y78),"0")</f>
        <v>168</v>
      </c>
      <c r="Z79" s="43">
        <f>IFERROR(IF(Z77="",0,Z77),"0")+IFERROR(IF(Z78="",0,Z78),"0")</f>
        <v>1.45488</v>
      </c>
      <c r="AA79" s="67"/>
      <c r="AB79" s="67"/>
      <c r="AC79" s="67"/>
    </row>
    <row r="80" spans="1:68" x14ac:dyDescent="0.2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308"/>
      <c r="P80" s="305" t="s">
        <v>40</v>
      </c>
      <c r="Q80" s="306"/>
      <c r="R80" s="306"/>
      <c r="S80" s="306"/>
      <c r="T80" s="306"/>
      <c r="U80" s="306"/>
      <c r="V80" s="307"/>
      <c r="W80" s="42" t="s">
        <v>0</v>
      </c>
      <c r="X80" s="43">
        <f>IFERROR(SUMPRODUCT(X77:X78*H77:H78),"0")</f>
        <v>840</v>
      </c>
      <c r="Y80" s="43">
        <f>IFERROR(SUMPRODUCT(Y77:Y78*H77:H78),"0")</f>
        <v>840</v>
      </c>
      <c r="Z80" s="42"/>
      <c r="AA80" s="67"/>
      <c r="AB80" s="67"/>
      <c r="AC80" s="67"/>
    </row>
    <row r="81" spans="1:68" ht="16.5" hidden="1" customHeight="1" x14ac:dyDescent="0.25">
      <c r="A81" s="321" t="s">
        <v>166</v>
      </c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65"/>
      <c r="AB81" s="65"/>
      <c r="AC81" s="82"/>
    </row>
    <row r="82" spans="1:68" ht="14.25" hidden="1" customHeight="1" x14ac:dyDescent="0.25">
      <c r="A82" s="316" t="s">
        <v>151</v>
      </c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298">
        <v>4607111033659</v>
      </c>
      <c r="E83" s="29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00"/>
      <c r="R83" s="300"/>
      <c r="S83" s="300"/>
      <c r="T83" s="301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308"/>
      <c r="P84" s="305" t="s">
        <v>40</v>
      </c>
      <c r="Q84" s="306"/>
      <c r="R84" s="306"/>
      <c r="S84" s="306"/>
      <c r="T84" s="306"/>
      <c r="U84" s="306"/>
      <c r="V84" s="307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308"/>
      <c r="P85" s="305" t="s">
        <v>40</v>
      </c>
      <c r="Q85" s="306"/>
      <c r="R85" s="306"/>
      <c r="S85" s="306"/>
      <c r="T85" s="306"/>
      <c r="U85" s="306"/>
      <c r="V85" s="307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hidden="1" customHeight="1" x14ac:dyDescent="0.25">
      <c r="A87" s="316" t="s">
        <v>171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8">
        <v>4607111034120</v>
      </c>
      <c r="E88" s="29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00"/>
      <c r="R88" s="300"/>
      <c r="S88" s="300"/>
      <c r="T88" s="301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8">
        <v>4607111034137</v>
      </c>
      <c r="E89" s="29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00"/>
      <c r="R89" s="300"/>
      <c r="S89" s="300"/>
      <c r="T89" s="301"/>
      <c r="U89" s="39" t="s">
        <v>46</v>
      </c>
      <c r="V89" s="39" t="s">
        <v>46</v>
      </c>
      <c r="W89" s="40" t="s">
        <v>39</v>
      </c>
      <c r="X89" s="58">
        <v>14</v>
      </c>
      <c r="Y89" s="55">
        <f>IFERROR(IF(X89="","",X89),"")</f>
        <v>14</v>
      </c>
      <c r="Z89" s="41">
        <f>IFERROR(IF(X89="","",X89*0.01788),"")</f>
        <v>0.25031999999999999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60.250400000000006</v>
      </c>
      <c r="BN89" s="81">
        <f>IFERROR(Y89*I89,"0")</f>
        <v>60.250400000000006</v>
      </c>
      <c r="BO89" s="81">
        <f>IFERROR(X89/J89,"0")</f>
        <v>0.2</v>
      </c>
      <c r="BP89" s="81">
        <f>IFERROR(Y89/J89,"0")</f>
        <v>0.2</v>
      </c>
    </row>
    <row r="90" spans="1:68" x14ac:dyDescent="0.2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308"/>
      <c r="P90" s="305" t="s">
        <v>40</v>
      </c>
      <c r="Q90" s="306"/>
      <c r="R90" s="306"/>
      <c r="S90" s="306"/>
      <c r="T90" s="306"/>
      <c r="U90" s="306"/>
      <c r="V90" s="307"/>
      <c r="W90" s="42" t="s">
        <v>39</v>
      </c>
      <c r="X90" s="43">
        <f>IFERROR(SUM(X88:X89),"0")</f>
        <v>28</v>
      </c>
      <c r="Y90" s="43">
        <f>IFERROR(SUM(Y88:Y89),"0")</f>
        <v>28</v>
      </c>
      <c r="Z90" s="43">
        <f>IFERROR(IF(Z88="",0,Z88),"0")+IFERROR(IF(Z89="",0,Z89),"0")</f>
        <v>0.50063999999999997</v>
      </c>
      <c r="AA90" s="67"/>
      <c r="AB90" s="67"/>
      <c r="AC90" s="67"/>
    </row>
    <row r="91" spans="1:68" x14ac:dyDescent="0.2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308"/>
      <c r="P91" s="305" t="s">
        <v>40</v>
      </c>
      <c r="Q91" s="306"/>
      <c r="R91" s="306"/>
      <c r="S91" s="306"/>
      <c r="T91" s="306"/>
      <c r="U91" s="306"/>
      <c r="V91" s="307"/>
      <c r="W91" s="42" t="s">
        <v>0</v>
      </c>
      <c r="X91" s="43">
        <f>IFERROR(SUMPRODUCT(X88:X89*H88:H89),"0")</f>
        <v>100.8</v>
      </c>
      <c r="Y91" s="43">
        <f>IFERROR(SUMPRODUCT(Y88:Y89*H88:H89),"0")</f>
        <v>100.8</v>
      </c>
      <c r="Z91" s="42"/>
      <c r="AA91" s="67"/>
      <c r="AB91" s="67"/>
      <c r="AC91" s="67"/>
    </row>
    <row r="92" spans="1:68" ht="16.5" hidden="1" customHeight="1" x14ac:dyDescent="0.25">
      <c r="A92" s="321" t="s">
        <v>178</v>
      </c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65"/>
      <c r="AB92" s="65"/>
      <c r="AC92" s="82"/>
    </row>
    <row r="93" spans="1:68" ht="14.25" hidden="1" customHeight="1" x14ac:dyDescent="0.25">
      <c r="A93" s="316" t="s">
        <v>151</v>
      </c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8">
        <v>4620207491027</v>
      </c>
      <c r="E94" s="29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00"/>
      <c r="R94" s="300"/>
      <c r="S94" s="300"/>
      <c r="T94" s="301"/>
      <c r="U94" s="39" t="s">
        <v>46</v>
      </c>
      <c r="V94" s="39" t="s">
        <v>46</v>
      </c>
      <c r="W94" s="40" t="s">
        <v>39</v>
      </c>
      <c r="X94" s="58">
        <v>28</v>
      </c>
      <c r="Y94" s="55">
        <f t="shared" ref="Y94:Y99" si="6">IFERROR(IF(X94="","",X94),"")</f>
        <v>28</v>
      </c>
      <c r="Z94" s="41">
        <f t="shared" ref="Z94:Z99" si="7">IFERROR(IF(X94="","",X94*0.01788),"")</f>
        <v>0.50063999999999997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100.3408</v>
      </c>
      <c r="BN94" s="81">
        <f t="shared" ref="BN94:BN99" si="9">IFERROR(Y94*I94,"0")</f>
        <v>100.3408</v>
      </c>
      <c r="BO94" s="81">
        <f t="shared" ref="BO94:BO99" si="10">IFERROR(X94/J94,"0")</f>
        <v>0.4</v>
      </c>
      <c r="BP94" s="81">
        <f t="shared" ref="BP94:BP99" si="11">IFERROR(Y94/J94,"0")</f>
        <v>0.4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298">
        <v>4620207491621</v>
      </c>
      <c r="E95" s="29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7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00"/>
      <c r="R95" s="300"/>
      <c r="S95" s="300"/>
      <c r="T95" s="301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184</v>
      </c>
      <c r="B96" s="63" t="s">
        <v>185</v>
      </c>
      <c r="C96" s="36">
        <v>4301135768</v>
      </c>
      <c r="D96" s="298">
        <v>4620207491034</v>
      </c>
      <c r="E96" s="29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00"/>
      <c r="R96" s="300"/>
      <c r="S96" s="300"/>
      <c r="T96" s="301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186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187</v>
      </c>
      <c r="B97" s="63" t="s">
        <v>188</v>
      </c>
      <c r="C97" s="36">
        <v>4301135760</v>
      </c>
      <c r="D97" s="298">
        <v>4620207491010</v>
      </c>
      <c r="E97" s="29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7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00"/>
      <c r="R97" s="300"/>
      <c r="S97" s="300"/>
      <c r="T97" s="301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189</v>
      </c>
      <c r="B98" s="63" t="s">
        <v>190</v>
      </c>
      <c r="C98" s="36">
        <v>4301135571</v>
      </c>
      <c r="D98" s="298">
        <v>4607111035028</v>
      </c>
      <c r="E98" s="298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7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00"/>
      <c r="R98" s="300"/>
      <c r="S98" s="300"/>
      <c r="T98" s="30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169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191</v>
      </c>
      <c r="B99" s="63" t="s">
        <v>192</v>
      </c>
      <c r="C99" s="36">
        <v>4301135285</v>
      </c>
      <c r="D99" s="298">
        <v>4607111036407</v>
      </c>
      <c r="E99" s="298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00"/>
      <c r="R99" s="300"/>
      <c r="S99" s="300"/>
      <c r="T99" s="301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si="6"/>
        <v>14</v>
      </c>
      <c r="Z99" s="41">
        <f t="shared" si="7"/>
        <v>0.25031999999999999</v>
      </c>
      <c r="AA99" s="68" t="s">
        <v>46</v>
      </c>
      <c r="AB99" s="69" t="s">
        <v>46</v>
      </c>
      <c r="AC99" s="157" t="s">
        <v>193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63.408800000000006</v>
      </c>
      <c r="BN99" s="81">
        <f t="shared" si="9"/>
        <v>63.408800000000006</v>
      </c>
      <c r="BO99" s="81">
        <f t="shared" si="10"/>
        <v>0.2</v>
      </c>
      <c r="BP99" s="81">
        <f t="shared" si="11"/>
        <v>0.2</v>
      </c>
    </row>
    <row r="100" spans="1:68" x14ac:dyDescent="0.2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308"/>
      <c r="P100" s="305" t="s">
        <v>40</v>
      </c>
      <c r="Q100" s="306"/>
      <c r="R100" s="306"/>
      <c r="S100" s="306"/>
      <c r="T100" s="306"/>
      <c r="U100" s="306"/>
      <c r="V100" s="307"/>
      <c r="W100" s="42" t="s">
        <v>39</v>
      </c>
      <c r="X100" s="43">
        <f>IFERROR(SUM(X94:X99),"0")</f>
        <v>224</v>
      </c>
      <c r="Y100" s="43">
        <f>IFERROR(SUM(Y94:Y99),"0")</f>
        <v>224</v>
      </c>
      <c r="Z100" s="43">
        <f>IFERROR(IF(Z94="",0,Z94),"0")+IFERROR(IF(Z95="",0,Z95),"0")+IFERROR(IF(Z96="",0,Z96),"0")+IFERROR(IF(Z97="",0,Z97),"0")+IFERROR(IF(Z98="",0,Z98),"0")+IFERROR(IF(Z99="",0,Z99),"0")</f>
        <v>4.0051199999999998</v>
      </c>
      <c r="AA100" s="67"/>
      <c r="AB100" s="67"/>
      <c r="AC100" s="67"/>
    </row>
    <row r="101" spans="1:68" x14ac:dyDescent="0.2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308"/>
      <c r="P101" s="305" t="s">
        <v>40</v>
      </c>
      <c r="Q101" s="306"/>
      <c r="R101" s="306"/>
      <c r="S101" s="306"/>
      <c r="T101" s="306"/>
      <c r="U101" s="306"/>
      <c r="V101" s="307"/>
      <c r="W101" s="42" t="s">
        <v>0</v>
      </c>
      <c r="X101" s="43">
        <f>IFERROR(SUMPRODUCT(X94:X99*H94:H99),"0")</f>
        <v>663.59999999999991</v>
      </c>
      <c r="Y101" s="43">
        <f>IFERROR(SUMPRODUCT(Y94:Y99*H94:H99),"0")</f>
        <v>663.59999999999991</v>
      </c>
      <c r="Z101" s="42"/>
      <c r="AA101" s="67"/>
      <c r="AB101" s="67"/>
      <c r="AC101" s="67"/>
    </row>
    <row r="102" spans="1:68" ht="16.5" hidden="1" customHeight="1" x14ac:dyDescent="0.25">
      <c r="A102" s="321" t="s">
        <v>194</v>
      </c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65"/>
      <c r="AB102" s="65"/>
      <c r="AC102" s="82"/>
    </row>
    <row r="103" spans="1:68" ht="14.25" hidden="1" customHeight="1" x14ac:dyDescent="0.25">
      <c r="A103" s="316" t="s">
        <v>145</v>
      </c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6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66"/>
      <c r="AB103" s="66"/>
      <c r="AC103" s="83"/>
    </row>
    <row r="104" spans="1:68" ht="27" customHeight="1" x14ac:dyDescent="0.25">
      <c r="A104" s="63" t="s">
        <v>195</v>
      </c>
      <c r="B104" s="63" t="s">
        <v>196</v>
      </c>
      <c r="C104" s="36">
        <v>4301136070</v>
      </c>
      <c r="D104" s="298">
        <v>4607025784012</v>
      </c>
      <c r="E104" s="298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00"/>
      <c r="R104" s="300"/>
      <c r="S104" s="300"/>
      <c r="T104" s="301"/>
      <c r="U104" s="39" t="s">
        <v>46</v>
      </c>
      <c r="V104" s="39" t="s">
        <v>46</v>
      </c>
      <c r="W104" s="40" t="s">
        <v>39</v>
      </c>
      <c r="X104" s="58">
        <v>28</v>
      </c>
      <c r="Y104" s="55">
        <f>IFERROR(IF(X104="","",X104),"")</f>
        <v>28</v>
      </c>
      <c r="Z104" s="41">
        <f>IFERROR(IF(X104="","",X104*0.00936),"")</f>
        <v>0.26207999999999998</v>
      </c>
      <c r="AA104" s="68" t="s">
        <v>46</v>
      </c>
      <c r="AB104" s="69" t="s">
        <v>46</v>
      </c>
      <c r="AC104" s="159" t="s">
        <v>197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69.753600000000006</v>
      </c>
      <c r="BN104" s="81">
        <f>IFERROR(Y104*I104,"0")</f>
        <v>69.753600000000006</v>
      </c>
      <c r="BO104" s="81">
        <f>IFERROR(X104/J104,"0")</f>
        <v>0.22222222222222221</v>
      </c>
      <c r="BP104" s="81">
        <f>IFERROR(Y104/J104,"0")</f>
        <v>0.22222222222222221</v>
      </c>
    </row>
    <row r="105" spans="1:68" ht="27" hidden="1" customHeight="1" x14ac:dyDescent="0.25">
      <c r="A105" s="63" t="s">
        <v>198</v>
      </c>
      <c r="B105" s="63" t="s">
        <v>199</v>
      </c>
      <c r="C105" s="36">
        <v>4301136103</v>
      </c>
      <c r="D105" s="298">
        <v>4620207491645</v>
      </c>
      <c r="E105" s="298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00"/>
      <c r="R105" s="300"/>
      <c r="S105" s="300"/>
      <c r="T105" s="301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200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308"/>
      <c r="P106" s="305" t="s">
        <v>40</v>
      </c>
      <c r="Q106" s="306"/>
      <c r="R106" s="306"/>
      <c r="S106" s="306"/>
      <c r="T106" s="306"/>
      <c r="U106" s="306"/>
      <c r="V106" s="307"/>
      <c r="W106" s="42" t="s">
        <v>39</v>
      </c>
      <c r="X106" s="43">
        <f>IFERROR(SUM(X104:X105),"0")</f>
        <v>28</v>
      </c>
      <c r="Y106" s="43">
        <f>IFERROR(SUM(Y104:Y105),"0")</f>
        <v>28</v>
      </c>
      <c r="Z106" s="43">
        <f>IFERROR(IF(Z104="",0,Z104),"0")+IFERROR(IF(Z105="",0,Z105),"0")</f>
        <v>0.26207999999999998</v>
      </c>
      <c r="AA106" s="67"/>
      <c r="AB106" s="67"/>
      <c r="AC106" s="67"/>
    </row>
    <row r="107" spans="1:68" x14ac:dyDescent="0.2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308"/>
      <c r="P107" s="305" t="s">
        <v>40</v>
      </c>
      <c r="Q107" s="306"/>
      <c r="R107" s="306"/>
      <c r="S107" s="306"/>
      <c r="T107" s="306"/>
      <c r="U107" s="306"/>
      <c r="V107" s="307"/>
      <c r="W107" s="42" t="s">
        <v>0</v>
      </c>
      <c r="X107" s="43">
        <f>IFERROR(SUMPRODUCT(X104:X105*H104:H105),"0")</f>
        <v>60.480000000000004</v>
      </c>
      <c r="Y107" s="43">
        <f>IFERROR(SUMPRODUCT(Y104:Y105*H104:H105),"0")</f>
        <v>60.480000000000004</v>
      </c>
      <c r="Z107" s="42"/>
      <c r="AA107" s="67"/>
      <c r="AB107" s="67"/>
      <c r="AC107" s="67"/>
    </row>
    <row r="108" spans="1:68" ht="16.5" hidden="1" customHeight="1" x14ac:dyDescent="0.25">
      <c r="A108" s="321" t="s">
        <v>201</v>
      </c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65"/>
      <c r="AB108" s="65"/>
      <c r="AC108" s="82"/>
    </row>
    <row r="109" spans="1:68" ht="14.25" hidden="1" customHeight="1" x14ac:dyDescent="0.25">
      <c r="A109" s="316" t="s">
        <v>82</v>
      </c>
      <c r="B109" s="316"/>
      <c r="C109" s="316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66"/>
      <c r="AB109" s="66"/>
      <c r="AC109" s="83"/>
    </row>
    <row r="110" spans="1:68" ht="27" customHeight="1" x14ac:dyDescent="0.25">
      <c r="A110" s="63" t="s">
        <v>202</v>
      </c>
      <c r="B110" s="63" t="s">
        <v>203</v>
      </c>
      <c r="C110" s="36">
        <v>4301071074</v>
      </c>
      <c r="D110" s="298">
        <v>4620207491157</v>
      </c>
      <c r="E110" s="298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00"/>
      <c r="R110" s="300"/>
      <c r="S110" s="300"/>
      <c r="T110" s="301"/>
      <c r="U110" s="39" t="s">
        <v>46</v>
      </c>
      <c r="V110" s="39" t="s">
        <v>46</v>
      </c>
      <c r="W110" s="40" t="s">
        <v>39</v>
      </c>
      <c r="X110" s="58">
        <v>180</v>
      </c>
      <c r="Y110" s="55">
        <f t="shared" ref="Y110:Y118" si="12">IFERROR(IF(X110="","",X110),"")</f>
        <v>180</v>
      </c>
      <c r="Z110" s="41">
        <f t="shared" ref="Z110:Z118" si="13">IFERROR(IF(X110="","",X110*0.0155),"")</f>
        <v>2.79</v>
      </c>
      <c r="AA110" s="68" t="s">
        <v>46</v>
      </c>
      <c r="AB110" s="69" t="s">
        <v>46</v>
      </c>
      <c r="AC110" s="163" t="s">
        <v>204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1310.4000000000001</v>
      </c>
      <c r="BN110" s="81">
        <f t="shared" ref="BN110:BN118" si="15">IFERROR(Y110*I110,"0")</f>
        <v>1310.4000000000001</v>
      </c>
      <c r="BO110" s="81">
        <f t="shared" ref="BO110:BO118" si="16">IFERROR(X110/J110,"0")</f>
        <v>2.1428571428571428</v>
      </c>
      <c r="BP110" s="81">
        <f t="shared" ref="BP110:BP118" si="17">IFERROR(Y110/J110,"0")</f>
        <v>2.1428571428571428</v>
      </c>
    </row>
    <row r="111" spans="1:68" ht="27" hidden="1" customHeight="1" x14ac:dyDescent="0.25">
      <c r="A111" s="63" t="s">
        <v>205</v>
      </c>
      <c r="B111" s="63" t="s">
        <v>206</v>
      </c>
      <c r="C111" s="36">
        <v>4301071121</v>
      </c>
      <c r="D111" s="298">
        <v>4620207491393</v>
      </c>
      <c r="E111" s="298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00"/>
      <c r="R111" s="300"/>
      <c r="S111" s="300"/>
      <c r="T111" s="301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207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208</v>
      </c>
      <c r="B112" s="63" t="s">
        <v>209</v>
      </c>
      <c r="C112" s="36">
        <v>4301071136</v>
      </c>
      <c r="D112" s="298">
        <v>4620207491829</v>
      </c>
      <c r="E112" s="298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6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00"/>
      <c r="R112" s="300"/>
      <c r="S112" s="300"/>
      <c r="T112" s="301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207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210</v>
      </c>
      <c r="B113" s="63" t="s">
        <v>211</v>
      </c>
      <c r="C113" s="36">
        <v>4301071051</v>
      </c>
      <c r="D113" s="298">
        <v>4607111039262</v>
      </c>
      <c r="E113" s="298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6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00"/>
      <c r="R113" s="300"/>
      <c r="S113" s="300"/>
      <c r="T113" s="301"/>
      <c r="U113" s="39" t="s">
        <v>46</v>
      </c>
      <c r="V113" s="39" t="s">
        <v>46</v>
      </c>
      <c r="W113" s="40" t="s">
        <v>39</v>
      </c>
      <c r="X113" s="58">
        <v>48</v>
      </c>
      <c r="Y113" s="55">
        <f t="shared" si="12"/>
        <v>48</v>
      </c>
      <c r="Z113" s="41">
        <f t="shared" si="13"/>
        <v>0.74399999999999999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322.54079999999999</v>
      </c>
      <c r="BN113" s="81">
        <f t="shared" si="15"/>
        <v>322.54079999999999</v>
      </c>
      <c r="BO113" s="81">
        <f t="shared" si="16"/>
        <v>0.5714285714285714</v>
      </c>
      <c r="BP113" s="81">
        <f t="shared" si="17"/>
        <v>0.5714285714285714</v>
      </c>
    </row>
    <row r="114" spans="1:68" ht="27" customHeight="1" x14ac:dyDescent="0.25">
      <c r="A114" s="63" t="s">
        <v>212</v>
      </c>
      <c r="B114" s="63" t="s">
        <v>213</v>
      </c>
      <c r="C114" s="36">
        <v>4301071038</v>
      </c>
      <c r="D114" s="298">
        <v>4607111039248</v>
      </c>
      <c r="E114" s="298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6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00"/>
      <c r="R114" s="300"/>
      <c r="S114" s="300"/>
      <c r="T114" s="301"/>
      <c r="U114" s="39" t="s">
        <v>46</v>
      </c>
      <c r="V114" s="39" t="s">
        <v>46</v>
      </c>
      <c r="W114" s="40" t="s">
        <v>39</v>
      </c>
      <c r="X114" s="58">
        <v>48</v>
      </c>
      <c r="Y114" s="55">
        <f t="shared" si="12"/>
        <v>48</v>
      </c>
      <c r="Z114" s="41">
        <f t="shared" si="13"/>
        <v>0.74399999999999999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350.4</v>
      </c>
      <c r="BN114" s="81">
        <f t="shared" si="15"/>
        <v>350.4</v>
      </c>
      <c r="BO114" s="81">
        <f t="shared" si="16"/>
        <v>0.5714285714285714</v>
      </c>
      <c r="BP114" s="81">
        <f t="shared" si="17"/>
        <v>0.5714285714285714</v>
      </c>
    </row>
    <row r="115" spans="1:68" ht="27" hidden="1" customHeight="1" x14ac:dyDescent="0.25">
      <c r="A115" s="63" t="s">
        <v>214</v>
      </c>
      <c r="B115" s="63" t="s">
        <v>215</v>
      </c>
      <c r="C115" s="36">
        <v>4301070979</v>
      </c>
      <c r="D115" s="298">
        <v>4607111037145</v>
      </c>
      <c r="E115" s="298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6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00"/>
      <c r="R115" s="300"/>
      <c r="S115" s="300"/>
      <c r="T115" s="30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217</v>
      </c>
      <c r="B116" s="63" t="s">
        <v>218</v>
      </c>
      <c r="C116" s="36">
        <v>4301071075</v>
      </c>
      <c r="D116" s="298">
        <v>4620207491102</v>
      </c>
      <c r="E116" s="298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00"/>
      <c r="R116" s="300"/>
      <c r="S116" s="300"/>
      <c r="T116" s="30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220</v>
      </c>
      <c r="B117" s="63" t="s">
        <v>221</v>
      </c>
      <c r="C117" s="36">
        <v>4301071049</v>
      </c>
      <c r="D117" s="298">
        <v>4607111039293</v>
      </c>
      <c r="E117" s="29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00"/>
      <c r="R117" s="300"/>
      <c r="S117" s="300"/>
      <c r="T117" s="301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222</v>
      </c>
      <c r="B118" s="63" t="s">
        <v>223</v>
      </c>
      <c r="C118" s="36">
        <v>4301071039</v>
      </c>
      <c r="D118" s="298">
        <v>4607111039279</v>
      </c>
      <c r="E118" s="29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00"/>
      <c r="R118" s="300"/>
      <c r="S118" s="300"/>
      <c r="T118" s="301"/>
      <c r="U118" s="39" t="s">
        <v>46</v>
      </c>
      <c r="V118" s="39" t="s">
        <v>46</v>
      </c>
      <c r="W118" s="40" t="s">
        <v>39</v>
      </c>
      <c r="X118" s="58">
        <v>192</v>
      </c>
      <c r="Y118" s="55">
        <f t="shared" si="12"/>
        <v>192</v>
      </c>
      <c r="Z118" s="41">
        <f t="shared" si="13"/>
        <v>2.976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1401.6</v>
      </c>
      <c r="BN118" s="81">
        <f t="shared" si="15"/>
        <v>1401.6</v>
      </c>
      <c r="BO118" s="81">
        <f t="shared" si="16"/>
        <v>2.2857142857142856</v>
      </c>
      <c r="BP118" s="81">
        <f t="shared" si="17"/>
        <v>2.2857142857142856</v>
      </c>
    </row>
    <row r="119" spans="1:68" x14ac:dyDescent="0.2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308"/>
      <c r="P119" s="305" t="s">
        <v>40</v>
      </c>
      <c r="Q119" s="306"/>
      <c r="R119" s="306"/>
      <c r="S119" s="306"/>
      <c r="T119" s="306"/>
      <c r="U119" s="306"/>
      <c r="V119" s="307"/>
      <c r="W119" s="42" t="s">
        <v>39</v>
      </c>
      <c r="X119" s="43">
        <f>IFERROR(SUM(X110:X118),"0")</f>
        <v>504</v>
      </c>
      <c r="Y119" s="43">
        <f>IFERROR(SUM(Y110:Y118),"0")</f>
        <v>504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7.8119999999999994</v>
      </c>
      <c r="AA119" s="67"/>
      <c r="AB119" s="67"/>
      <c r="AC119" s="67"/>
    </row>
    <row r="120" spans="1:68" x14ac:dyDescent="0.2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308"/>
      <c r="P120" s="305" t="s">
        <v>40</v>
      </c>
      <c r="Q120" s="306"/>
      <c r="R120" s="306"/>
      <c r="S120" s="306"/>
      <c r="T120" s="306"/>
      <c r="U120" s="306"/>
      <c r="V120" s="307"/>
      <c r="W120" s="42" t="s">
        <v>0</v>
      </c>
      <c r="X120" s="43">
        <f>IFERROR(SUMPRODUCT(X110:X118*H110:H118),"0")</f>
        <v>3477.6</v>
      </c>
      <c r="Y120" s="43">
        <f>IFERROR(SUMPRODUCT(Y110:Y118*H110:H118),"0")</f>
        <v>3477.6</v>
      </c>
      <c r="Z120" s="42"/>
      <c r="AA120" s="67"/>
      <c r="AB120" s="67"/>
      <c r="AC120" s="67"/>
    </row>
    <row r="121" spans="1:68" ht="14.25" hidden="1" customHeight="1" x14ac:dyDescent="0.25">
      <c r="A121" s="316" t="s">
        <v>151</v>
      </c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16"/>
      <c r="AA121" s="66"/>
      <c r="AB121" s="66"/>
      <c r="AC121" s="83"/>
    </row>
    <row r="122" spans="1:68" ht="27" hidden="1" customHeight="1" x14ac:dyDescent="0.25">
      <c r="A122" s="63" t="s">
        <v>224</v>
      </c>
      <c r="B122" s="63" t="s">
        <v>225</v>
      </c>
      <c r="C122" s="36">
        <v>4301135826</v>
      </c>
      <c r="D122" s="298">
        <v>4620207490983</v>
      </c>
      <c r="E122" s="298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00"/>
      <c r="R122" s="300"/>
      <c r="S122" s="300"/>
      <c r="T122" s="30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226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308"/>
      <c r="P123" s="305" t="s">
        <v>40</v>
      </c>
      <c r="Q123" s="306"/>
      <c r="R123" s="306"/>
      <c r="S123" s="306"/>
      <c r="T123" s="306"/>
      <c r="U123" s="306"/>
      <c r="V123" s="307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308"/>
      <c r="P124" s="305" t="s">
        <v>40</v>
      </c>
      <c r="Q124" s="306"/>
      <c r="R124" s="306"/>
      <c r="S124" s="306"/>
      <c r="T124" s="306"/>
      <c r="U124" s="306"/>
      <c r="V124" s="307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6" t="s">
        <v>227</v>
      </c>
      <c r="B125" s="316"/>
      <c r="C125" s="316"/>
      <c r="D125" s="316"/>
      <c r="E125" s="316"/>
      <c r="F125" s="316"/>
      <c r="G125" s="316"/>
      <c r="H125" s="316"/>
      <c r="I125" s="316"/>
      <c r="J125" s="316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66"/>
      <c r="AB125" s="66"/>
      <c r="AC125" s="83"/>
    </row>
    <row r="126" spans="1:68" ht="27" hidden="1" customHeight="1" x14ac:dyDescent="0.25">
      <c r="A126" s="63" t="s">
        <v>228</v>
      </c>
      <c r="B126" s="63" t="s">
        <v>229</v>
      </c>
      <c r="C126" s="36">
        <v>4301071094</v>
      </c>
      <c r="D126" s="298">
        <v>4620207491140</v>
      </c>
      <c r="E126" s="298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00"/>
      <c r="R126" s="300"/>
      <c r="S126" s="300"/>
      <c r="T126" s="301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230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308"/>
      <c r="P127" s="305" t="s">
        <v>40</v>
      </c>
      <c r="Q127" s="306"/>
      <c r="R127" s="306"/>
      <c r="S127" s="306"/>
      <c r="T127" s="306"/>
      <c r="U127" s="306"/>
      <c r="V127" s="307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308"/>
      <c r="P128" s="305" t="s">
        <v>40</v>
      </c>
      <c r="Q128" s="306"/>
      <c r="R128" s="306"/>
      <c r="S128" s="306"/>
      <c r="T128" s="306"/>
      <c r="U128" s="306"/>
      <c r="V128" s="307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1" t="s">
        <v>231</v>
      </c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65"/>
      <c r="AB129" s="65"/>
      <c r="AC129" s="82"/>
    </row>
    <row r="130" spans="1:68" ht="14.25" hidden="1" customHeight="1" x14ac:dyDescent="0.25">
      <c r="A130" s="316" t="s">
        <v>151</v>
      </c>
      <c r="B130" s="316"/>
      <c r="C130" s="316"/>
      <c r="D130" s="316"/>
      <c r="E130" s="316"/>
      <c r="F130" s="316"/>
      <c r="G130" s="316"/>
      <c r="H130" s="316"/>
      <c r="I130" s="316"/>
      <c r="J130" s="316"/>
      <c r="K130" s="316"/>
      <c r="L130" s="316"/>
      <c r="M130" s="316"/>
      <c r="N130" s="316"/>
      <c r="O130" s="316"/>
      <c r="P130" s="316"/>
      <c r="Q130" s="316"/>
      <c r="R130" s="316"/>
      <c r="S130" s="316"/>
      <c r="T130" s="316"/>
      <c r="U130" s="316"/>
      <c r="V130" s="316"/>
      <c r="W130" s="316"/>
      <c r="X130" s="316"/>
      <c r="Y130" s="316"/>
      <c r="Z130" s="316"/>
      <c r="AA130" s="66"/>
      <c r="AB130" s="66"/>
      <c r="AC130" s="83"/>
    </row>
    <row r="131" spans="1:68" ht="27" customHeight="1" x14ac:dyDescent="0.25">
      <c r="A131" s="63" t="s">
        <v>232</v>
      </c>
      <c r="B131" s="63" t="s">
        <v>233</v>
      </c>
      <c r="C131" s="36">
        <v>4301135848</v>
      </c>
      <c r="D131" s="298">
        <v>4620207491799</v>
      </c>
      <c r="E131" s="29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5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00"/>
      <c r="R131" s="300"/>
      <c r="S131" s="300"/>
      <c r="T131" s="301"/>
      <c r="U131" s="39" t="s">
        <v>46</v>
      </c>
      <c r="V131" s="39" t="s">
        <v>46</v>
      </c>
      <c r="W131" s="40" t="s">
        <v>39</v>
      </c>
      <c r="X131" s="58">
        <v>28</v>
      </c>
      <c r="Y131" s="55">
        <f>IFERROR(IF(X131="","",X131),"")</f>
        <v>28</v>
      </c>
      <c r="Z131" s="41">
        <f>IFERROR(IF(X131="","",X131*0.00941),"")</f>
        <v>0.26347999999999999</v>
      </c>
      <c r="AA131" s="68" t="s">
        <v>46</v>
      </c>
      <c r="AB131" s="69" t="s">
        <v>46</v>
      </c>
      <c r="AC131" s="185" t="s">
        <v>234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50.4</v>
      </c>
      <c r="BN131" s="81">
        <f>IFERROR(Y131*I131,"0")</f>
        <v>50.4</v>
      </c>
      <c r="BO131" s="81">
        <f>IFERROR(X131/J131,"0")</f>
        <v>0.2</v>
      </c>
      <c r="BP131" s="81">
        <f>IFERROR(Y131/J131,"0")</f>
        <v>0.2</v>
      </c>
    </row>
    <row r="132" spans="1:68" ht="27" customHeight="1" x14ac:dyDescent="0.25">
      <c r="A132" s="63" t="s">
        <v>235</v>
      </c>
      <c r="B132" s="63" t="s">
        <v>236</v>
      </c>
      <c r="C132" s="36">
        <v>4301135850</v>
      </c>
      <c r="D132" s="298">
        <v>4620207491492</v>
      </c>
      <c r="E132" s="298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5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00"/>
      <c r="R132" s="300"/>
      <c r="S132" s="300"/>
      <c r="T132" s="301"/>
      <c r="U132" s="39" t="s">
        <v>46</v>
      </c>
      <c r="V132" s="39" t="s">
        <v>46</v>
      </c>
      <c r="W132" s="40" t="s">
        <v>39</v>
      </c>
      <c r="X132" s="58">
        <v>14</v>
      </c>
      <c r="Y132" s="55">
        <f>IFERROR(IF(X132="","",X132),"")</f>
        <v>14</v>
      </c>
      <c r="Z132" s="41">
        <f>IFERROR(IF(X132="","",X132*0.00941),"")</f>
        <v>0.13174</v>
      </c>
      <c r="AA132" s="68" t="s">
        <v>46</v>
      </c>
      <c r="AB132" s="69" t="s">
        <v>46</v>
      </c>
      <c r="AC132" s="187" t="s">
        <v>234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25.2</v>
      </c>
      <c r="BN132" s="81">
        <f>IFERROR(Y132*I132,"0")</f>
        <v>25.2</v>
      </c>
      <c r="BO132" s="81">
        <f>IFERROR(X132/J132,"0")</f>
        <v>0.1</v>
      </c>
      <c r="BP132" s="81">
        <f>IFERROR(Y132/J132,"0")</f>
        <v>0.1</v>
      </c>
    </row>
    <row r="133" spans="1:68" ht="27" customHeight="1" x14ac:dyDescent="0.25">
      <c r="A133" s="63" t="s">
        <v>237</v>
      </c>
      <c r="B133" s="63" t="s">
        <v>238</v>
      </c>
      <c r="C133" s="36">
        <v>4301190118</v>
      </c>
      <c r="D133" s="298">
        <v>4620207491461</v>
      </c>
      <c r="E133" s="298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00"/>
      <c r="R133" s="300"/>
      <c r="S133" s="300"/>
      <c r="T133" s="301"/>
      <c r="U133" s="39" t="s">
        <v>46</v>
      </c>
      <c r="V133" s="39" t="s">
        <v>46</v>
      </c>
      <c r="W133" s="40" t="s">
        <v>39</v>
      </c>
      <c r="X133" s="58">
        <v>28</v>
      </c>
      <c r="Y133" s="55">
        <f>IFERROR(IF(X133="","",X133),"")</f>
        <v>28</v>
      </c>
      <c r="Z133" s="41">
        <f>IFERROR(IF(X133="","",X133*0.00941),"")</f>
        <v>0.26347999999999999</v>
      </c>
      <c r="AA133" s="68" t="s">
        <v>46</v>
      </c>
      <c r="AB133" s="69" t="s">
        <v>46</v>
      </c>
      <c r="AC133" s="189" t="s">
        <v>234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48.72</v>
      </c>
      <c r="BN133" s="81">
        <f>IFERROR(Y133*I133,"0")</f>
        <v>48.72</v>
      </c>
      <c r="BO133" s="81">
        <f>IFERROR(X133/J133,"0")</f>
        <v>0.2</v>
      </c>
      <c r="BP133" s="81">
        <f>IFERROR(Y133/J133,"0")</f>
        <v>0.2</v>
      </c>
    </row>
    <row r="134" spans="1:68" ht="27" customHeight="1" x14ac:dyDescent="0.25">
      <c r="A134" s="63" t="s">
        <v>239</v>
      </c>
      <c r="B134" s="63" t="s">
        <v>240</v>
      </c>
      <c r="C134" s="36">
        <v>4301135865</v>
      </c>
      <c r="D134" s="298">
        <v>4620207491485</v>
      </c>
      <c r="E134" s="29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00"/>
      <c r="R134" s="300"/>
      <c r="S134" s="300"/>
      <c r="T134" s="301"/>
      <c r="U134" s="39" t="s">
        <v>46</v>
      </c>
      <c r="V134" s="39" t="s">
        <v>46</v>
      </c>
      <c r="W134" s="40" t="s">
        <v>39</v>
      </c>
      <c r="X134" s="58">
        <v>84</v>
      </c>
      <c r="Y134" s="55">
        <f>IFERROR(IF(X134="","",X134),"")</f>
        <v>84</v>
      </c>
      <c r="Z134" s="41">
        <f>IFERROR(IF(X134="","",X134*0.00941),"")</f>
        <v>0.79044000000000003</v>
      </c>
      <c r="AA134" s="68" t="s">
        <v>46</v>
      </c>
      <c r="AB134" s="69" t="s">
        <v>46</v>
      </c>
      <c r="AC134" s="191" t="s">
        <v>234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151.20000000000002</v>
      </c>
      <c r="BN134" s="81">
        <f>IFERROR(Y134*I134,"0")</f>
        <v>151.20000000000002</v>
      </c>
      <c r="BO134" s="81">
        <f>IFERROR(X134/J134,"0")</f>
        <v>0.6</v>
      </c>
      <c r="BP134" s="81">
        <f>IFERROR(Y134/J134,"0")</f>
        <v>0.6</v>
      </c>
    </row>
    <row r="135" spans="1:68" x14ac:dyDescent="0.2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308"/>
      <c r="P135" s="305" t="s">
        <v>40</v>
      </c>
      <c r="Q135" s="306"/>
      <c r="R135" s="306"/>
      <c r="S135" s="306"/>
      <c r="T135" s="306"/>
      <c r="U135" s="306"/>
      <c r="V135" s="307"/>
      <c r="W135" s="42" t="s">
        <v>39</v>
      </c>
      <c r="X135" s="43">
        <f>IFERROR(SUM(X131:X134),"0")</f>
        <v>154</v>
      </c>
      <c r="Y135" s="43">
        <f>IFERROR(SUM(Y131:Y134),"0")</f>
        <v>154</v>
      </c>
      <c r="Z135" s="43">
        <f>IFERROR(IF(Z131="",0,Z131),"0")+IFERROR(IF(Z132="",0,Z132),"0")+IFERROR(IF(Z133="",0,Z133),"0")+IFERROR(IF(Z134="",0,Z134),"0")</f>
        <v>1.4491400000000001</v>
      </c>
      <c r="AA135" s="67"/>
      <c r="AB135" s="67"/>
      <c r="AC135" s="67"/>
    </row>
    <row r="136" spans="1:68" x14ac:dyDescent="0.2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308"/>
      <c r="P136" s="305" t="s">
        <v>40</v>
      </c>
      <c r="Q136" s="306"/>
      <c r="R136" s="306"/>
      <c r="S136" s="306"/>
      <c r="T136" s="306"/>
      <c r="U136" s="306"/>
      <c r="V136" s="307"/>
      <c r="W136" s="42" t="s">
        <v>0</v>
      </c>
      <c r="X136" s="43">
        <f>IFERROR(SUMPRODUCT(X131:X134*H131:H134),"0")</f>
        <v>210.83999999999997</v>
      </c>
      <c r="Y136" s="43">
        <f>IFERROR(SUMPRODUCT(Y131:Y134*H131:H134),"0")</f>
        <v>210.83999999999997</v>
      </c>
      <c r="Z136" s="42"/>
      <c r="AA136" s="67"/>
      <c r="AB136" s="67"/>
      <c r="AC136" s="67"/>
    </row>
    <row r="137" spans="1:68" ht="14.25" hidden="1" customHeight="1" x14ac:dyDescent="0.25">
      <c r="A137" s="316" t="s">
        <v>241</v>
      </c>
      <c r="B137" s="316"/>
      <c r="C137" s="316"/>
      <c r="D137" s="316"/>
      <c r="E137" s="316"/>
      <c r="F137" s="316"/>
      <c r="G137" s="316"/>
      <c r="H137" s="316"/>
      <c r="I137" s="316"/>
      <c r="J137" s="316"/>
      <c r="K137" s="316"/>
      <c r="L137" s="316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66"/>
      <c r="AB137" s="66"/>
      <c r="AC137" s="83"/>
    </row>
    <row r="138" spans="1:68" ht="27" hidden="1" customHeight="1" x14ac:dyDescent="0.25">
      <c r="A138" s="63" t="s">
        <v>242</v>
      </c>
      <c r="B138" s="63" t="s">
        <v>243</v>
      </c>
      <c r="C138" s="36">
        <v>4301190117</v>
      </c>
      <c r="D138" s="298">
        <v>4620207491386</v>
      </c>
      <c r="E138" s="29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5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00"/>
      <c r="R138" s="300"/>
      <c r="S138" s="300"/>
      <c r="T138" s="30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244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245</v>
      </c>
      <c r="B139" s="63" t="s">
        <v>246</v>
      </c>
      <c r="C139" s="36">
        <v>4301190115</v>
      </c>
      <c r="D139" s="298">
        <v>4620207491362</v>
      </c>
      <c r="E139" s="29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00"/>
      <c r="R139" s="300"/>
      <c r="S139" s="300"/>
      <c r="T139" s="30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244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247</v>
      </c>
      <c r="B140" s="63" t="s">
        <v>248</v>
      </c>
      <c r="C140" s="36">
        <v>4301190116</v>
      </c>
      <c r="D140" s="298">
        <v>4620207491379</v>
      </c>
      <c r="E140" s="29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00"/>
      <c r="R140" s="300"/>
      <c r="S140" s="300"/>
      <c r="T140" s="30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244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308"/>
      <c r="P141" s="305" t="s">
        <v>40</v>
      </c>
      <c r="Q141" s="306"/>
      <c r="R141" s="306"/>
      <c r="S141" s="306"/>
      <c r="T141" s="306"/>
      <c r="U141" s="306"/>
      <c r="V141" s="307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308"/>
      <c r="P142" s="305" t="s">
        <v>40</v>
      </c>
      <c r="Q142" s="306"/>
      <c r="R142" s="306"/>
      <c r="S142" s="306"/>
      <c r="T142" s="306"/>
      <c r="U142" s="306"/>
      <c r="V142" s="307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1" t="s">
        <v>249</v>
      </c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65"/>
      <c r="AB143" s="65"/>
      <c r="AC143" s="82"/>
    </row>
    <row r="144" spans="1:68" ht="14.25" hidden="1" customHeight="1" x14ac:dyDescent="0.25">
      <c r="A144" s="316" t="s">
        <v>151</v>
      </c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66"/>
      <c r="AB144" s="66"/>
      <c r="AC144" s="83"/>
    </row>
    <row r="145" spans="1:68" ht="27" customHeight="1" x14ac:dyDescent="0.25">
      <c r="A145" s="63" t="s">
        <v>250</v>
      </c>
      <c r="B145" s="63" t="s">
        <v>251</v>
      </c>
      <c r="C145" s="36">
        <v>4301135555</v>
      </c>
      <c r="D145" s="298">
        <v>4607111034014</v>
      </c>
      <c r="E145" s="29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00"/>
      <c r="R145" s="300"/>
      <c r="S145" s="300"/>
      <c r="T145" s="301"/>
      <c r="U145" s="39" t="s">
        <v>46</v>
      </c>
      <c r="V145" s="39" t="s">
        <v>46</v>
      </c>
      <c r="W145" s="40" t="s">
        <v>39</v>
      </c>
      <c r="X145" s="58">
        <v>182</v>
      </c>
      <c r="Y145" s="55">
        <f>IFERROR(IF(X145="","",X145),"")</f>
        <v>182</v>
      </c>
      <c r="Z145" s="41">
        <f>IFERROR(IF(X145="","",X145*0.01788),"")</f>
        <v>3.2541600000000002</v>
      </c>
      <c r="AA145" s="68" t="s">
        <v>46</v>
      </c>
      <c r="AB145" s="69" t="s">
        <v>46</v>
      </c>
      <c r="AC145" s="199" t="s">
        <v>252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674.05520000000001</v>
      </c>
      <c r="BN145" s="81">
        <f>IFERROR(Y145*I145,"0")</f>
        <v>674.05520000000001</v>
      </c>
      <c r="BO145" s="81">
        <f>IFERROR(X145/J145,"0")</f>
        <v>2.6</v>
      </c>
      <c r="BP145" s="81">
        <f>IFERROR(Y145/J145,"0")</f>
        <v>2.6</v>
      </c>
    </row>
    <row r="146" spans="1:68" ht="27" customHeight="1" x14ac:dyDescent="0.25">
      <c r="A146" s="63" t="s">
        <v>253</v>
      </c>
      <c r="B146" s="63" t="s">
        <v>254</v>
      </c>
      <c r="C146" s="36">
        <v>4301135532</v>
      </c>
      <c r="D146" s="298">
        <v>4607111033994</v>
      </c>
      <c r="E146" s="298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00"/>
      <c r="R146" s="300"/>
      <c r="S146" s="300"/>
      <c r="T146" s="301"/>
      <c r="U146" s="39" t="s">
        <v>46</v>
      </c>
      <c r="V146" s="39" t="s">
        <v>46</v>
      </c>
      <c r="W146" s="40" t="s">
        <v>39</v>
      </c>
      <c r="X146" s="58">
        <v>140</v>
      </c>
      <c r="Y146" s="55">
        <f>IFERROR(IF(X146="","",X146),"")</f>
        <v>140</v>
      </c>
      <c r="Z146" s="41">
        <f>IFERROR(IF(X146="","",X146*0.01788),"")</f>
        <v>2.5032000000000001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518.50400000000002</v>
      </c>
      <c r="BN146" s="81">
        <f>IFERROR(Y146*I146,"0")</f>
        <v>518.50400000000002</v>
      </c>
      <c r="BO146" s="81">
        <f>IFERROR(X146/J146,"0")</f>
        <v>2</v>
      </c>
      <c r="BP146" s="81">
        <f>IFERROR(Y146/J146,"0")</f>
        <v>2</v>
      </c>
    </row>
    <row r="147" spans="1:68" x14ac:dyDescent="0.2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308"/>
      <c r="P147" s="305" t="s">
        <v>40</v>
      </c>
      <c r="Q147" s="306"/>
      <c r="R147" s="306"/>
      <c r="S147" s="306"/>
      <c r="T147" s="306"/>
      <c r="U147" s="306"/>
      <c r="V147" s="307"/>
      <c r="W147" s="42" t="s">
        <v>39</v>
      </c>
      <c r="X147" s="43">
        <f>IFERROR(SUM(X145:X146),"0")</f>
        <v>322</v>
      </c>
      <c r="Y147" s="43">
        <f>IFERROR(SUM(Y145:Y146),"0")</f>
        <v>322</v>
      </c>
      <c r="Z147" s="43">
        <f>IFERROR(IF(Z145="",0,Z145),"0")+IFERROR(IF(Z146="",0,Z146),"0")</f>
        <v>5.7573600000000003</v>
      </c>
      <c r="AA147" s="67"/>
      <c r="AB147" s="67"/>
      <c r="AC147" s="67"/>
    </row>
    <row r="148" spans="1:68" x14ac:dyDescent="0.2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308"/>
      <c r="P148" s="305" t="s">
        <v>40</v>
      </c>
      <c r="Q148" s="306"/>
      <c r="R148" s="306"/>
      <c r="S148" s="306"/>
      <c r="T148" s="306"/>
      <c r="U148" s="306"/>
      <c r="V148" s="307"/>
      <c r="W148" s="42" t="s">
        <v>0</v>
      </c>
      <c r="X148" s="43">
        <f>IFERROR(SUMPRODUCT(X145:X146*H145:H146),"0")</f>
        <v>966</v>
      </c>
      <c r="Y148" s="43">
        <f>IFERROR(SUMPRODUCT(Y145:Y146*H145:H146),"0")</f>
        <v>966</v>
      </c>
      <c r="Z148" s="42"/>
      <c r="AA148" s="67"/>
      <c r="AB148" s="67"/>
      <c r="AC148" s="67"/>
    </row>
    <row r="149" spans="1:68" ht="16.5" hidden="1" customHeight="1" x14ac:dyDescent="0.25">
      <c r="A149" s="321" t="s">
        <v>255</v>
      </c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65"/>
      <c r="AB149" s="65"/>
      <c r="AC149" s="82"/>
    </row>
    <row r="150" spans="1:68" ht="14.25" hidden="1" customHeight="1" x14ac:dyDescent="0.25">
      <c r="A150" s="316" t="s">
        <v>151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66"/>
      <c r="AB150" s="66"/>
      <c r="AC150" s="83"/>
    </row>
    <row r="151" spans="1:68" ht="27" customHeight="1" x14ac:dyDescent="0.25">
      <c r="A151" s="63" t="s">
        <v>256</v>
      </c>
      <c r="B151" s="63" t="s">
        <v>257</v>
      </c>
      <c r="C151" s="36">
        <v>4301135824</v>
      </c>
      <c r="D151" s="298">
        <v>4607111039095</v>
      </c>
      <c r="E151" s="298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4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00"/>
      <c r="R151" s="300"/>
      <c r="S151" s="300"/>
      <c r="T151" s="301"/>
      <c r="U151" s="39" t="s">
        <v>46</v>
      </c>
      <c r="V151" s="39" t="s">
        <v>46</v>
      </c>
      <c r="W151" s="40" t="s">
        <v>39</v>
      </c>
      <c r="X151" s="58">
        <v>28</v>
      </c>
      <c r="Y151" s="55">
        <f>IFERROR(IF(X151="","",X151),"")</f>
        <v>28</v>
      </c>
      <c r="Z151" s="41">
        <f>IFERROR(IF(X151="","",X151*0.01788),"")</f>
        <v>0.50063999999999997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104.944</v>
      </c>
      <c r="BN151" s="81">
        <f>IFERROR(Y151*I151,"0")</f>
        <v>104.944</v>
      </c>
      <c r="BO151" s="81">
        <f>IFERROR(X151/J151,"0")</f>
        <v>0.4</v>
      </c>
      <c r="BP151" s="81">
        <f>IFERROR(Y151/J151,"0")</f>
        <v>0.4</v>
      </c>
    </row>
    <row r="152" spans="1:68" ht="16.5" hidden="1" customHeight="1" x14ac:dyDescent="0.25">
      <c r="A152" s="63" t="s">
        <v>259</v>
      </c>
      <c r="B152" s="63" t="s">
        <v>260</v>
      </c>
      <c r="C152" s="36">
        <v>4301135946</v>
      </c>
      <c r="D152" s="298">
        <v>4620207491553</v>
      </c>
      <c r="E152" s="298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00"/>
      <c r="R152" s="300"/>
      <c r="S152" s="300"/>
      <c r="T152" s="301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308"/>
      <c r="P153" s="305" t="s">
        <v>40</v>
      </c>
      <c r="Q153" s="306"/>
      <c r="R153" s="306"/>
      <c r="S153" s="306"/>
      <c r="T153" s="306"/>
      <c r="U153" s="306"/>
      <c r="V153" s="307"/>
      <c r="W153" s="42" t="s">
        <v>39</v>
      </c>
      <c r="X153" s="43">
        <f>IFERROR(SUM(X151:X152),"0")</f>
        <v>28</v>
      </c>
      <c r="Y153" s="43">
        <f>IFERROR(SUM(Y151:Y152),"0")</f>
        <v>28</v>
      </c>
      <c r="Z153" s="43">
        <f>IFERROR(IF(Z151="",0,Z151),"0")+IFERROR(IF(Z152="",0,Z152),"0")</f>
        <v>0.50063999999999997</v>
      </c>
      <c r="AA153" s="67"/>
      <c r="AB153" s="67"/>
      <c r="AC153" s="67"/>
    </row>
    <row r="154" spans="1:68" x14ac:dyDescent="0.2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308"/>
      <c r="P154" s="305" t="s">
        <v>40</v>
      </c>
      <c r="Q154" s="306"/>
      <c r="R154" s="306"/>
      <c r="S154" s="306"/>
      <c r="T154" s="306"/>
      <c r="U154" s="306"/>
      <c r="V154" s="307"/>
      <c r="W154" s="42" t="s">
        <v>0</v>
      </c>
      <c r="X154" s="43">
        <f>IFERROR(SUMPRODUCT(X151:X152*H151:H152),"0")</f>
        <v>84</v>
      </c>
      <c r="Y154" s="43">
        <f>IFERROR(SUMPRODUCT(Y151:Y152*H151:H152),"0")</f>
        <v>84</v>
      </c>
      <c r="Z154" s="42"/>
      <c r="AA154" s="67"/>
      <c r="AB154" s="67"/>
      <c r="AC154" s="67"/>
    </row>
    <row r="155" spans="1:68" ht="16.5" hidden="1" customHeight="1" x14ac:dyDescent="0.25">
      <c r="A155" s="321" t="s">
        <v>262</v>
      </c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65"/>
      <c r="AB155" s="65"/>
      <c r="AC155" s="82"/>
    </row>
    <row r="156" spans="1:68" ht="14.25" hidden="1" customHeight="1" x14ac:dyDescent="0.25">
      <c r="A156" s="316" t="s">
        <v>151</v>
      </c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66"/>
      <c r="AB156" s="66"/>
      <c r="AC156" s="83"/>
    </row>
    <row r="157" spans="1:68" ht="27" customHeight="1" x14ac:dyDescent="0.25">
      <c r="A157" s="63" t="s">
        <v>263</v>
      </c>
      <c r="B157" s="63" t="s">
        <v>264</v>
      </c>
      <c r="C157" s="36">
        <v>4301135753</v>
      </c>
      <c r="D157" s="298">
        <v>4620207490914</v>
      </c>
      <c r="E157" s="298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00"/>
      <c r="R157" s="300"/>
      <c r="S157" s="300"/>
      <c r="T157" s="301"/>
      <c r="U157" s="39" t="s">
        <v>46</v>
      </c>
      <c r="V157" s="39" t="s">
        <v>46</v>
      </c>
      <c r="W157" s="40" t="s">
        <v>39</v>
      </c>
      <c r="X157" s="58">
        <v>28</v>
      </c>
      <c r="Y157" s="55">
        <f>IFERROR(IF(X157="","",X157),"")</f>
        <v>28</v>
      </c>
      <c r="Z157" s="41">
        <f>IFERROR(IF(X157="","",X157*0.01788),"")</f>
        <v>0.50063999999999997</v>
      </c>
      <c r="AA157" s="68" t="s">
        <v>46</v>
      </c>
      <c r="AB157" s="69" t="s">
        <v>46</v>
      </c>
      <c r="AC157" s="207" t="s">
        <v>252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75.040000000000006</v>
      </c>
      <c r="BN157" s="81">
        <f>IFERROR(Y157*I157,"0")</f>
        <v>75.040000000000006</v>
      </c>
      <c r="BO157" s="81">
        <f>IFERROR(X157/J157,"0")</f>
        <v>0.4</v>
      </c>
      <c r="BP157" s="81">
        <f>IFERROR(Y157/J157,"0")</f>
        <v>0.4</v>
      </c>
    </row>
    <row r="158" spans="1:68" ht="27" customHeight="1" x14ac:dyDescent="0.25">
      <c r="A158" s="63" t="s">
        <v>265</v>
      </c>
      <c r="B158" s="63" t="s">
        <v>266</v>
      </c>
      <c r="C158" s="36">
        <v>4301135778</v>
      </c>
      <c r="D158" s="298">
        <v>4620207490853</v>
      </c>
      <c r="E158" s="298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00"/>
      <c r="R158" s="300"/>
      <c r="S158" s="300"/>
      <c r="T158" s="301"/>
      <c r="U158" s="39" t="s">
        <v>46</v>
      </c>
      <c r="V158" s="39" t="s">
        <v>46</v>
      </c>
      <c r="W158" s="40" t="s">
        <v>39</v>
      </c>
      <c r="X158" s="58">
        <v>70</v>
      </c>
      <c r="Y158" s="55">
        <f>IFERROR(IF(X158="","",X158),"")</f>
        <v>70</v>
      </c>
      <c r="Z158" s="41">
        <f>IFERROR(IF(X158="","",X158*0.01788),"")</f>
        <v>1.2516</v>
      </c>
      <c r="AA158" s="68" t="s">
        <v>46</v>
      </c>
      <c r="AB158" s="69" t="s">
        <v>46</v>
      </c>
      <c r="AC158" s="209" t="s">
        <v>252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187.60000000000002</v>
      </c>
      <c r="BN158" s="81">
        <f>IFERROR(Y158*I158,"0")</f>
        <v>187.60000000000002</v>
      </c>
      <c r="BO158" s="81">
        <f>IFERROR(X158/J158,"0")</f>
        <v>1</v>
      </c>
      <c r="BP158" s="81">
        <f>IFERROR(Y158/J158,"0")</f>
        <v>1</v>
      </c>
    </row>
    <row r="159" spans="1:68" x14ac:dyDescent="0.2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308"/>
      <c r="P159" s="305" t="s">
        <v>40</v>
      </c>
      <c r="Q159" s="306"/>
      <c r="R159" s="306"/>
      <c r="S159" s="306"/>
      <c r="T159" s="306"/>
      <c r="U159" s="306"/>
      <c r="V159" s="307"/>
      <c r="W159" s="42" t="s">
        <v>39</v>
      </c>
      <c r="X159" s="43">
        <f>IFERROR(SUM(X157:X158),"0")</f>
        <v>98</v>
      </c>
      <c r="Y159" s="43">
        <f>IFERROR(SUM(Y157:Y158),"0")</f>
        <v>98</v>
      </c>
      <c r="Z159" s="43">
        <f>IFERROR(IF(Z157="",0,Z157),"0")+IFERROR(IF(Z158="",0,Z158),"0")</f>
        <v>1.75224</v>
      </c>
      <c r="AA159" s="67"/>
      <c r="AB159" s="67"/>
      <c r="AC159" s="67"/>
    </row>
    <row r="160" spans="1:68" x14ac:dyDescent="0.2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308"/>
      <c r="P160" s="305" t="s">
        <v>40</v>
      </c>
      <c r="Q160" s="306"/>
      <c r="R160" s="306"/>
      <c r="S160" s="306"/>
      <c r="T160" s="306"/>
      <c r="U160" s="306"/>
      <c r="V160" s="307"/>
      <c r="W160" s="42" t="s">
        <v>0</v>
      </c>
      <c r="X160" s="43">
        <f>IFERROR(SUMPRODUCT(X157:X158*H157:H158),"0")</f>
        <v>235.2</v>
      </c>
      <c r="Y160" s="43">
        <f>IFERROR(SUMPRODUCT(Y157:Y158*H157:H158),"0")</f>
        <v>235.2</v>
      </c>
      <c r="Z160" s="42"/>
      <c r="AA160" s="67"/>
      <c r="AB160" s="67"/>
      <c r="AC160" s="67"/>
    </row>
    <row r="161" spans="1:68" ht="16.5" hidden="1" customHeight="1" x14ac:dyDescent="0.25">
      <c r="A161" s="321" t="s">
        <v>267</v>
      </c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65"/>
      <c r="AB161" s="65"/>
      <c r="AC161" s="82"/>
    </row>
    <row r="162" spans="1:68" ht="14.25" hidden="1" customHeight="1" x14ac:dyDescent="0.25">
      <c r="A162" s="316" t="s">
        <v>151</v>
      </c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66"/>
      <c r="AB162" s="66"/>
      <c r="AC162" s="83"/>
    </row>
    <row r="163" spans="1:68" ht="27" customHeight="1" x14ac:dyDescent="0.25">
      <c r="A163" s="63" t="s">
        <v>268</v>
      </c>
      <c r="B163" s="63" t="s">
        <v>269</v>
      </c>
      <c r="C163" s="36">
        <v>4301135570</v>
      </c>
      <c r="D163" s="298">
        <v>4607111035806</v>
      </c>
      <c r="E163" s="298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119</v>
      </c>
      <c r="M163" s="38" t="s">
        <v>86</v>
      </c>
      <c r="N163" s="38"/>
      <c r="O163" s="37">
        <v>180</v>
      </c>
      <c r="P163" s="3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00"/>
      <c r="R163" s="300"/>
      <c r="S163" s="300"/>
      <c r="T163" s="301"/>
      <c r="U163" s="39" t="s">
        <v>46</v>
      </c>
      <c r="V163" s="39" t="s">
        <v>46</v>
      </c>
      <c r="W163" s="40" t="s">
        <v>39</v>
      </c>
      <c r="X163" s="58">
        <v>42</v>
      </c>
      <c r="Y163" s="55">
        <f>IFERROR(IF(X163="","",X163),"")</f>
        <v>42</v>
      </c>
      <c r="Z163" s="41">
        <f>IFERROR(IF(X163="","",X163*0.01788),"")</f>
        <v>0.75095999999999996</v>
      </c>
      <c r="AA163" s="68" t="s">
        <v>46</v>
      </c>
      <c r="AB163" s="69" t="s">
        <v>46</v>
      </c>
      <c r="AC163" s="211" t="s">
        <v>270</v>
      </c>
      <c r="AG163" s="81"/>
      <c r="AJ163" s="87" t="s">
        <v>120</v>
      </c>
      <c r="AK163" s="87">
        <v>14</v>
      </c>
      <c r="BB163" s="212" t="s">
        <v>117</v>
      </c>
      <c r="BM163" s="81">
        <f>IFERROR(X163*I163,"0")</f>
        <v>155.55119999999999</v>
      </c>
      <c r="BN163" s="81">
        <f>IFERROR(Y163*I163,"0")</f>
        <v>155.55119999999999</v>
      </c>
      <c r="BO163" s="81">
        <f>IFERROR(X163/J163,"0")</f>
        <v>0.6</v>
      </c>
      <c r="BP163" s="81">
        <f>IFERROR(Y163/J163,"0")</f>
        <v>0.6</v>
      </c>
    </row>
    <row r="164" spans="1:68" x14ac:dyDescent="0.2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308"/>
      <c r="P164" s="305" t="s">
        <v>40</v>
      </c>
      <c r="Q164" s="306"/>
      <c r="R164" s="306"/>
      <c r="S164" s="306"/>
      <c r="T164" s="306"/>
      <c r="U164" s="306"/>
      <c r="V164" s="307"/>
      <c r="W164" s="42" t="s">
        <v>39</v>
      </c>
      <c r="X164" s="43">
        <f>IFERROR(SUM(X163:X163),"0")</f>
        <v>42</v>
      </c>
      <c r="Y164" s="43">
        <f>IFERROR(SUM(Y163:Y163),"0")</f>
        <v>42</v>
      </c>
      <c r="Z164" s="43">
        <f>IFERROR(IF(Z163="",0,Z163),"0")</f>
        <v>0.75095999999999996</v>
      </c>
      <c r="AA164" s="67"/>
      <c r="AB164" s="67"/>
      <c r="AC164" s="67"/>
    </row>
    <row r="165" spans="1:68" x14ac:dyDescent="0.2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308"/>
      <c r="P165" s="305" t="s">
        <v>40</v>
      </c>
      <c r="Q165" s="306"/>
      <c r="R165" s="306"/>
      <c r="S165" s="306"/>
      <c r="T165" s="306"/>
      <c r="U165" s="306"/>
      <c r="V165" s="307"/>
      <c r="W165" s="42" t="s">
        <v>0</v>
      </c>
      <c r="X165" s="43">
        <f>IFERROR(SUMPRODUCT(X163:X163*H163:H163),"0")</f>
        <v>126</v>
      </c>
      <c r="Y165" s="43">
        <f>IFERROR(SUMPRODUCT(Y163:Y163*H163:H163),"0")</f>
        <v>126</v>
      </c>
      <c r="Z165" s="42"/>
      <c r="AA165" s="67"/>
      <c r="AB165" s="67"/>
      <c r="AC165" s="67"/>
    </row>
    <row r="166" spans="1:68" ht="16.5" hidden="1" customHeight="1" x14ac:dyDescent="0.25">
      <c r="A166" s="321" t="s">
        <v>271</v>
      </c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65"/>
      <c r="AB166" s="65"/>
      <c r="AC166" s="82"/>
    </row>
    <row r="167" spans="1:68" ht="14.25" hidden="1" customHeight="1" x14ac:dyDescent="0.25">
      <c r="A167" s="316" t="s">
        <v>151</v>
      </c>
      <c r="B167" s="316"/>
      <c r="C167" s="316"/>
      <c r="D167" s="316"/>
      <c r="E167" s="316"/>
      <c r="F167" s="316"/>
      <c r="G167" s="316"/>
      <c r="H167" s="316"/>
      <c r="I167" s="316"/>
      <c r="J167" s="316"/>
      <c r="K167" s="316"/>
      <c r="L167" s="316"/>
      <c r="M167" s="316"/>
      <c r="N167" s="316"/>
      <c r="O167" s="316"/>
      <c r="P167" s="316"/>
      <c r="Q167" s="316"/>
      <c r="R167" s="316"/>
      <c r="S167" s="316"/>
      <c r="T167" s="316"/>
      <c r="U167" s="316"/>
      <c r="V167" s="316"/>
      <c r="W167" s="316"/>
      <c r="X167" s="316"/>
      <c r="Y167" s="316"/>
      <c r="Z167" s="316"/>
      <c r="AA167" s="66"/>
      <c r="AB167" s="66"/>
      <c r="AC167" s="83"/>
    </row>
    <row r="168" spans="1:68" ht="16.5" customHeight="1" x14ac:dyDescent="0.25">
      <c r="A168" s="63" t="s">
        <v>272</v>
      </c>
      <c r="B168" s="63" t="s">
        <v>273</v>
      </c>
      <c r="C168" s="36">
        <v>4301135607</v>
      </c>
      <c r="D168" s="298">
        <v>4607111039613</v>
      </c>
      <c r="E168" s="298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00"/>
      <c r="R168" s="300"/>
      <c r="S168" s="300"/>
      <c r="T168" s="301"/>
      <c r="U168" s="39" t="s">
        <v>46</v>
      </c>
      <c r="V168" s="39" t="s">
        <v>46</v>
      </c>
      <c r="W168" s="40" t="s">
        <v>39</v>
      </c>
      <c r="X168" s="58">
        <v>14</v>
      </c>
      <c r="Y168" s="55">
        <f>IFERROR(IF(X168="","",X168),"")</f>
        <v>14</v>
      </c>
      <c r="Z168" s="41">
        <f>IFERROR(IF(X168="","",X168*0.00936),"")</f>
        <v>0.13103999999999999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43.26</v>
      </c>
      <c r="BN168" s="81">
        <f>IFERROR(Y168*I168,"0")</f>
        <v>43.26</v>
      </c>
      <c r="BO168" s="81">
        <f>IFERROR(X168/J168,"0")</f>
        <v>0.1111111111111111</v>
      </c>
      <c r="BP168" s="81">
        <f>IFERROR(Y168/J168,"0")</f>
        <v>0.1111111111111111</v>
      </c>
    </row>
    <row r="169" spans="1:68" x14ac:dyDescent="0.2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308"/>
      <c r="P169" s="305" t="s">
        <v>40</v>
      </c>
      <c r="Q169" s="306"/>
      <c r="R169" s="306"/>
      <c r="S169" s="306"/>
      <c r="T169" s="306"/>
      <c r="U169" s="306"/>
      <c r="V169" s="307"/>
      <c r="W169" s="42" t="s">
        <v>39</v>
      </c>
      <c r="X169" s="43">
        <f>IFERROR(SUM(X168:X168),"0")</f>
        <v>14</v>
      </c>
      <c r="Y169" s="43">
        <f>IFERROR(SUM(Y168:Y168),"0")</f>
        <v>14</v>
      </c>
      <c r="Z169" s="43">
        <f>IFERROR(IF(Z168="",0,Z168),"0")</f>
        <v>0.13103999999999999</v>
      </c>
      <c r="AA169" s="67"/>
      <c r="AB169" s="67"/>
      <c r="AC169" s="67"/>
    </row>
    <row r="170" spans="1:68" x14ac:dyDescent="0.2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308"/>
      <c r="P170" s="305" t="s">
        <v>40</v>
      </c>
      <c r="Q170" s="306"/>
      <c r="R170" s="306"/>
      <c r="S170" s="306"/>
      <c r="T170" s="306"/>
      <c r="U170" s="306"/>
      <c r="V170" s="307"/>
      <c r="W170" s="42" t="s">
        <v>0</v>
      </c>
      <c r="X170" s="43">
        <f>IFERROR(SUMPRODUCT(X168:X168*H168:H168),"0")</f>
        <v>37.800000000000004</v>
      </c>
      <c r="Y170" s="43">
        <f>IFERROR(SUMPRODUCT(Y168:Y168*H168:H168),"0")</f>
        <v>37.800000000000004</v>
      </c>
      <c r="Z170" s="42"/>
      <c r="AA170" s="67"/>
      <c r="AB170" s="67"/>
      <c r="AC170" s="67"/>
    </row>
    <row r="171" spans="1:68" ht="16.5" hidden="1" customHeight="1" x14ac:dyDescent="0.25">
      <c r="A171" s="321" t="s">
        <v>274</v>
      </c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65"/>
      <c r="AB171" s="65"/>
      <c r="AC171" s="82"/>
    </row>
    <row r="172" spans="1:68" ht="14.25" hidden="1" customHeight="1" x14ac:dyDescent="0.25">
      <c r="A172" s="316" t="s">
        <v>151</v>
      </c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66"/>
      <c r="AB172" s="66"/>
      <c r="AC172" s="83"/>
    </row>
    <row r="173" spans="1:68" ht="27" hidden="1" customHeight="1" x14ac:dyDescent="0.25">
      <c r="A173" s="63" t="s">
        <v>275</v>
      </c>
      <c r="B173" s="63" t="s">
        <v>276</v>
      </c>
      <c r="C173" s="36">
        <v>4301135591</v>
      </c>
      <c r="D173" s="298">
        <v>4607111036568</v>
      </c>
      <c r="E173" s="298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00"/>
      <c r="R173" s="300"/>
      <c r="S173" s="300"/>
      <c r="T173" s="30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308"/>
      <c r="P174" s="305" t="s">
        <v>40</v>
      </c>
      <c r="Q174" s="306"/>
      <c r="R174" s="306"/>
      <c r="S174" s="306"/>
      <c r="T174" s="306"/>
      <c r="U174" s="306"/>
      <c r="V174" s="307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308"/>
      <c r="P175" s="305" t="s">
        <v>40</v>
      </c>
      <c r="Q175" s="306"/>
      <c r="R175" s="306"/>
      <c r="S175" s="306"/>
      <c r="T175" s="306"/>
      <c r="U175" s="306"/>
      <c r="V175" s="307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0" t="s">
        <v>278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54"/>
      <c r="AB176" s="54"/>
      <c r="AC176" s="54"/>
    </row>
    <row r="177" spans="1:68" ht="16.5" hidden="1" customHeight="1" x14ac:dyDescent="0.25">
      <c r="A177" s="321" t="s">
        <v>279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65"/>
      <c r="AB177" s="65"/>
      <c r="AC177" s="82"/>
    </row>
    <row r="178" spans="1:68" ht="14.25" hidden="1" customHeight="1" x14ac:dyDescent="0.25">
      <c r="A178" s="316" t="s">
        <v>82</v>
      </c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66"/>
      <c r="AB178" s="66"/>
      <c r="AC178" s="83"/>
    </row>
    <row r="179" spans="1:68" ht="16.5" hidden="1" customHeight="1" x14ac:dyDescent="0.25">
      <c r="A179" s="63" t="s">
        <v>280</v>
      </c>
      <c r="B179" s="63" t="s">
        <v>281</v>
      </c>
      <c r="C179" s="36">
        <v>4301071062</v>
      </c>
      <c r="D179" s="298">
        <v>4607111036384</v>
      </c>
      <c r="E179" s="298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00"/>
      <c r="R179" s="300"/>
      <c r="S179" s="300"/>
      <c r="T179" s="30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283</v>
      </c>
      <c r="B180" s="63" t="s">
        <v>284</v>
      </c>
      <c r="C180" s="36">
        <v>4301071050</v>
      </c>
      <c r="D180" s="298">
        <v>4607111036216</v>
      </c>
      <c r="E180" s="298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00"/>
      <c r="R180" s="300"/>
      <c r="S180" s="300"/>
      <c r="T180" s="301"/>
      <c r="U180" s="39" t="s">
        <v>46</v>
      </c>
      <c r="V180" s="39" t="s">
        <v>46</v>
      </c>
      <c r="W180" s="40" t="s">
        <v>39</v>
      </c>
      <c r="X180" s="58">
        <v>132</v>
      </c>
      <c r="Y180" s="55">
        <f>IFERROR(IF(X180="","",X180),"")</f>
        <v>132</v>
      </c>
      <c r="Z180" s="41">
        <f>IFERROR(IF(X180="","",X180*0.00866),"")</f>
        <v>1.1431199999999999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688.14239999999995</v>
      </c>
      <c r="BN180" s="81">
        <f>IFERROR(Y180*I180,"0")</f>
        <v>688.14239999999995</v>
      </c>
      <c r="BO180" s="81">
        <f>IFERROR(X180/J180,"0")</f>
        <v>0.91666666666666663</v>
      </c>
      <c r="BP180" s="81">
        <f>IFERROR(Y180/J180,"0")</f>
        <v>0.91666666666666663</v>
      </c>
    </row>
    <row r="181" spans="1:68" x14ac:dyDescent="0.2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308"/>
      <c r="P181" s="305" t="s">
        <v>40</v>
      </c>
      <c r="Q181" s="306"/>
      <c r="R181" s="306"/>
      <c r="S181" s="306"/>
      <c r="T181" s="306"/>
      <c r="U181" s="306"/>
      <c r="V181" s="307"/>
      <c r="W181" s="42" t="s">
        <v>39</v>
      </c>
      <c r="X181" s="43">
        <f>IFERROR(SUM(X179:X180),"0")</f>
        <v>132</v>
      </c>
      <c r="Y181" s="43">
        <f>IFERROR(SUM(Y179:Y180),"0")</f>
        <v>132</v>
      </c>
      <c r="Z181" s="43">
        <f>IFERROR(IF(Z179="",0,Z179),"0")+IFERROR(IF(Z180="",0,Z180),"0")</f>
        <v>1.1431199999999999</v>
      </c>
      <c r="AA181" s="67"/>
      <c r="AB181" s="67"/>
      <c r="AC181" s="67"/>
    </row>
    <row r="182" spans="1:68" x14ac:dyDescent="0.2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308"/>
      <c r="P182" s="305" t="s">
        <v>40</v>
      </c>
      <c r="Q182" s="306"/>
      <c r="R182" s="306"/>
      <c r="S182" s="306"/>
      <c r="T182" s="306"/>
      <c r="U182" s="306"/>
      <c r="V182" s="307"/>
      <c r="W182" s="42" t="s">
        <v>0</v>
      </c>
      <c r="X182" s="43">
        <f>IFERROR(SUMPRODUCT(X179:X180*H179:H180),"0")</f>
        <v>660</v>
      </c>
      <c r="Y182" s="43">
        <f>IFERROR(SUMPRODUCT(Y179:Y180*H179:H180),"0")</f>
        <v>660</v>
      </c>
      <c r="Z182" s="42"/>
      <c r="AA182" s="67"/>
      <c r="AB182" s="67"/>
      <c r="AC182" s="67"/>
    </row>
    <row r="183" spans="1:68" ht="16.5" hidden="1" customHeight="1" x14ac:dyDescent="0.25">
      <c r="A183" s="321" t="s">
        <v>286</v>
      </c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65"/>
      <c r="AB183" s="65"/>
      <c r="AC183" s="82"/>
    </row>
    <row r="184" spans="1:68" ht="14.25" hidden="1" customHeight="1" x14ac:dyDescent="0.25">
      <c r="A184" s="316" t="s">
        <v>82</v>
      </c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298">
        <v>4620207491737</v>
      </c>
      <c r="E185" s="298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00"/>
      <c r="R185" s="300"/>
      <c r="S185" s="300"/>
      <c r="T185" s="301"/>
      <c r="U185" s="39" t="s">
        <v>46</v>
      </c>
      <c r="V185" s="39" t="s">
        <v>46</v>
      </c>
      <c r="W185" s="40" t="s">
        <v>39</v>
      </c>
      <c r="X185" s="58">
        <v>132</v>
      </c>
      <c r="Y185" s="55">
        <f>IFERROR(IF(X185="","",X185),"")</f>
        <v>132</v>
      </c>
      <c r="Z185" s="41">
        <f>IFERROR(IF(X185="","",X185*0.0155),"")</f>
        <v>2.0459999999999998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694.58399999999995</v>
      </c>
      <c r="BN185" s="81">
        <f>IFERROR(Y185*I185,"0")</f>
        <v>694.58399999999995</v>
      </c>
      <c r="BO185" s="81">
        <f>IFERROR(X185/J185,"0")</f>
        <v>1.5714285714285714</v>
      </c>
      <c r="BP185" s="81">
        <f>IFERROR(Y185/J185,"0")</f>
        <v>1.5714285714285714</v>
      </c>
    </row>
    <row r="186" spans="1:68" x14ac:dyDescent="0.2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308"/>
      <c r="P186" s="305" t="s">
        <v>40</v>
      </c>
      <c r="Q186" s="306"/>
      <c r="R186" s="306"/>
      <c r="S186" s="306"/>
      <c r="T186" s="306"/>
      <c r="U186" s="306"/>
      <c r="V186" s="307"/>
      <c r="W186" s="42" t="s">
        <v>39</v>
      </c>
      <c r="X186" s="43">
        <f>IFERROR(SUM(X185:X185),"0")</f>
        <v>132</v>
      </c>
      <c r="Y186" s="43">
        <f>IFERROR(SUM(Y185:Y185),"0")</f>
        <v>132</v>
      </c>
      <c r="Z186" s="43">
        <f>IFERROR(IF(Z185="",0,Z185),"0")</f>
        <v>2.0459999999999998</v>
      </c>
      <c r="AA186" s="67"/>
      <c r="AB186" s="67"/>
      <c r="AC186" s="67"/>
    </row>
    <row r="187" spans="1:68" x14ac:dyDescent="0.2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308"/>
      <c r="P187" s="305" t="s">
        <v>40</v>
      </c>
      <c r="Q187" s="306"/>
      <c r="R187" s="306"/>
      <c r="S187" s="306"/>
      <c r="T187" s="306"/>
      <c r="U187" s="306"/>
      <c r="V187" s="307"/>
      <c r="W187" s="42" t="s">
        <v>0</v>
      </c>
      <c r="X187" s="43">
        <f>IFERROR(SUMPRODUCT(X185:X185*H185:H185),"0")</f>
        <v>660</v>
      </c>
      <c r="Y187" s="43">
        <f>IFERROR(SUMPRODUCT(Y185:Y185*H185:H185),"0")</f>
        <v>660</v>
      </c>
      <c r="Z187" s="42"/>
      <c r="AA187" s="67"/>
      <c r="AB187" s="67"/>
      <c r="AC187" s="67"/>
    </row>
    <row r="188" spans="1:68" ht="27.75" hidden="1" customHeight="1" x14ac:dyDescent="0.2">
      <c r="A188" s="320" t="s">
        <v>289</v>
      </c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54"/>
      <c r="AB188" s="54"/>
      <c r="AC188" s="54"/>
    </row>
    <row r="189" spans="1:68" ht="16.5" hidden="1" customHeight="1" x14ac:dyDescent="0.25">
      <c r="A189" s="321" t="s">
        <v>290</v>
      </c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65"/>
      <c r="AB189" s="65"/>
      <c r="AC189" s="82"/>
    </row>
    <row r="190" spans="1:68" ht="14.25" hidden="1" customHeight="1" x14ac:dyDescent="0.25">
      <c r="A190" s="316" t="s">
        <v>113</v>
      </c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298">
        <v>4607111035691</v>
      </c>
      <c r="E191" s="298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00"/>
      <c r="R191" s="300"/>
      <c r="S191" s="300"/>
      <c r="T191" s="301"/>
      <c r="U191" s="39" t="s">
        <v>46</v>
      </c>
      <c r="V191" s="39" t="s">
        <v>46</v>
      </c>
      <c r="W191" s="40" t="s">
        <v>39</v>
      </c>
      <c r="X191" s="58">
        <v>98</v>
      </c>
      <c r="Y191" s="55">
        <f>IFERROR(IF(X191="","",X191),"")</f>
        <v>98</v>
      </c>
      <c r="Z191" s="41">
        <f>IFERROR(IF(X191="","",X191*0.01788),"")</f>
        <v>1.75224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332.024</v>
      </c>
      <c r="BN191" s="81">
        <f>IFERROR(Y191*I191,"0")</f>
        <v>332.024</v>
      </c>
      <c r="BO191" s="81">
        <f>IFERROR(X191/J191,"0")</f>
        <v>1.4</v>
      </c>
      <c r="BP191" s="81">
        <f>IFERROR(Y191/J191,"0")</f>
        <v>1.4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298">
        <v>4607111035721</v>
      </c>
      <c r="E192" s="298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00"/>
      <c r="R192" s="300"/>
      <c r="S192" s="300"/>
      <c r="T192" s="301"/>
      <c r="U192" s="39" t="s">
        <v>46</v>
      </c>
      <c r="V192" s="39" t="s">
        <v>46</v>
      </c>
      <c r="W192" s="40" t="s">
        <v>39</v>
      </c>
      <c r="X192" s="58">
        <v>84</v>
      </c>
      <c r="Y192" s="55">
        <f>IFERROR(IF(X192="","",X192),"")</f>
        <v>84</v>
      </c>
      <c r="Z192" s="41">
        <f>IFERROR(IF(X192="","",X192*0.01788),"")</f>
        <v>1.5019199999999999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284.59199999999998</v>
      </c>
      <c r="BN192" s="81">
        <f>IFERROR(Y192*I192,"0")</f>
        <v>284.59199999999998</v>
      </c>
      <c r="BO192" s="81">
        <f>IFERROR(X192/J192,"0")</f>
        <v>1.2</v>
      </c>
      <c r="BP192" s="81">
        <f>IFERROR(Y192/J192,"0")</f>
        <v>1.2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298">
        <v>4607111038487</v>
      </c>
      <c r="E193" s="298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00"/>
      <c r="R193" s="300"/>
      <c r="S193" s="300"/>
      <c r="T193" s="301"/>
      <c r="U193" s="39" t="s">
        <v>46</v>
      </c>
      <c r="V193" s="39" t="s">
        <v>46</v>
      </c>
      <c r="W193" s="40" t="s">
        <v>39</v>
      </c>
      <c r="X193" s="58">
        <v>84</v>
      </c>
      <c r="Y193" s="55">
        <f>IFERROR(IF(X193="","",X193),"")</f>
        <v>84</v>
      </c>
      <c r="Z193" s="41">
        <f>IFERROR(IF(X193="","",X193*0.01788),"")</f>
        <v>1.5019199999999999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313.82400000000001</v>
      </c>
      <c r="BN193" s="81">
        <f>IFERROR(Y193*I193,"0")</f>
        <v>313.82400000000001</v>
      </c>
      <c r="BO193" s="81">
        <f>IFERROR(X193/J193,"0")</f>
        <v>1.2</v>
      </c>
      <c r="BP193" s="81">
        <f>IFERROR(Y193/J193,"0")</f>
        <v>1.2</v>
      </c>
    </row>
    <row r="194" spans="1:68" ht="27" customHeight="1" x14ac:dyDescent="0.25">
      <c r="A194" s="63" t="s">
        <v>300</v>
      </c>
      <c r="B194" s="63" t="s">
        <v>301</v>
      </c>
      <c r="C194" s="36">
        <v>4301132243</v>
      </c>
      <c r="D194" s="298">
        <v>4620207491195</v>
      </c>
      <c r="E194" s="298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00"/>
      <c r="R194" s="300"/>
      <c r="S194" s="300"/>
      <c r="T194" s="301"/>
      <c r="U194" s="39" t="s">
        <v>46</v>
      </c>
      <c r="V194" s="39" t="s">
        <v>46</v>
      </c>
      <c r="W194" s="40" t="s">
        <v>39</v>
      </c>
      <c r="X194" s="58">
        <v>14</v>
      </c>
      <c r="Y194" s="55">
        <f>IFERROR(IF(X194="","",X194),"")</f>
        <v>14</v>
      </c>
      <c r="Z194" s="41">
        <f>IFERROR(IF(X194="","",X194*0.01788),"")</f>
        <v>0.25031999999999999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44.072000000000003</v>
      </c>
      <c r="BN194" s="81">
        <f>IFERROR(Y194*I194,"0")</f>
        <v>44.072000000000003</v>
      </c>
      <c r="BO194" s="81">
        <f>IFERROR(X194/J194,"0")</f>
        <v>0.2</v>
      </c>
      <c r="BP194" s="81">
        <f>IFERROR(Y194/J194,"0")</f>
        <v>0.2</v>
      </c>
    </row>
    <row r="195" spans="1:68" x14ac:dyDescent="0.2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308"/>
      <c r="P195" s="305" t="s">
        <v>40</v>
      </c>
      <c r="Q195" s="306"/>
      <c r="R195" s="306"/>
      <c r="S195" s="306"/>
      <c r="T195" s="306"/>
      <c r="U195" s="306"/>
      <c r="V195" s="307"/>
      <c r="W195" s="42" t="s">
        <v>39</v>
      </c>
      <c r="X195" s="43">
        <f>IFERROR(SUM(X191:X194),"0")</f>
        <v>280</v>
      </c>
      <c r="Y195" s="43">
        <f>IFERROR(SUM(Y191:Y194),"0")</f>
        <v>280</v>
      </c>
      <c r="Z195" s="43">
        <f>IFERROR(IF(Z191="",0,Z191),"0")+IFERROR(IF(Z192="",0,Z192),"0")+IFERROR(IF(Z193="",0,Z193),"0")+IFERROR(IF(Z194="",0,Z194),"0")</f>
        <v>5.0064000000000002</v>
      </c>
      <c r="AA195" s="67"/>
      <c r="AB195" s="67"/>
      <c r="AC195" s="67"/>
    </row>
    <row r="196" spans="1:68" x14ac:dyDescent="0.2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308"/>
      <c r="P196" s="305" t="s">
        <v>40</v>
      </c>
      <c r="Q196" s="306"/>
      <c r="R196" s="306"/>
      <c r="S196" s="306"/>
      <c r="T196" s="306"/>
      <c r="U196" s="306"/>
      <c r="V196" s="307"/>
      <c r="W196" s="42" t="s">
        <v>0</v>
      </c>
      <c r="X196" s="43">
        <f>IFERROR(SUMPRODUCT(X191:X194*H191:H194),"0")</f>
        <v>836.64</v>
      </c>
      <c r="Y196" s="43">
        <f>IFERROR(SUMPRODUCT(Y191:Y194*H191:H194),"0")</f>
        <v>836.64</v>
      </c>
      <c r="Z196" s="42"/>
      <c r="AA196" s="67"/>
      <c r="AB196" s="67"/>
      <c r="AC196" s="67"/>
    </row>
    <row r="197" spans="1:68" ht="27.75" hidden="1" customHeight="1" x14ac:dyDescent="0.2">
      <c r="A197" s="320" t="s">
        <v>303</v>
      </c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54"/>
      <c r="AB197" s="54"/>
      <c r="AC197" s="54"/>
    </row>
    <row r="198" spans="1:68" ht="16.5" hidden="1" customHeight="1" x14ac:dyDescent="0.25">
      <c r="A198" s="321" t="s">
        <v>304</v>
      </c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65"/>
      <c r="AB198" s="65"/>
      <c r="AC198" s="82"/>
    </row>
    <row r="199" spans="1:68" ht="14.25" hidden="1" customHeight="1" x14ac:dyDescent="0.25">
      <c r="A199" s="316" t="s">
        <v>113</v>
      </c>
      <c r="B199" s="316"/>
      <c r="C199" s="316"/>
      <c r="D199" s="316"/>
      <c r="E199" s="316"/>
      <c r="F199" s="316"/>
      <c r="G199" s="316"/>
      <c r="H199" s="316"/>
      <c r="I199" s="316"/>
      <c r="J199" s="316"/>
      <c r="K199" s="316"/>
      <c r="L199" s="316"/>
      <c r="M199" s="316"/>
      <c r="N199" s="316"/>
      <c r="O199" s="316"/>
      <c r="P199" s="316"/>
      <c r="Q199" s="316"/>
      <c r="R199" s="316"/>
      <c r="S199" s="316"/>
      <c r="T199" s="316"/>
      <c r="U199" s="316"/>
      <c r="V199" s="316"/>
      <c r="W199" s="316"/>
      <c r="X199" s="316"/>
      <c r="Y199" s="316"/>
      <c r="Z199" s="316"/>
      <c r="AA199" s="66"/>
      <c r="AB199" s="66"/>
      <c r="AC199" s="83"/>
    </row>
    <row r="200" spans="1:68" ht="27" customHeight="1" x14ac:dyDescent="0.25">
      <c r="A200" s="63" t="s">
        <v>305</v>
      </c>
      <c r="B200" s="63" t="s">
        <v>306</v>
      </c>
      <c r="C200" s="36">
        <v>4301132227</v>
      </c>
      <c r="D200" s="298">
        <v>4620207491133</v>
      </c>
      <c r="E200" s="298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00"/>
      <c r="R200" s="300"/>
      <c r="S200" s="300"/>
      <c r="T200" s="301"/>
      <c r="U200" s="39" t="s">
        <v>46</v>
      </c>
      <c r="V200" s="39" t="s">
        <v>46</v>
      </c>
      <c r="W200" s="40" t="s">
        <v>39</v>
      </c>
      <c r="X200" s="58">
        <v>14</v>
      </c>
      <c r="Y200" s="55">
        <f>IFERROR(IF(X200="","",X200),"")</f>
        <v>14</v>
      </c>
      <c r="Z200" s="41">
        <f>IFERROR(IF(X200="","",X200*0.01788),"")</f>
        <v>0.25031999999999999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41.72</v>
      </c>
      <c r="BN200" s="81">
        <f>IFERROR(Y200*I200,"0")</f>
        <v>41.72</v>
      </c>
      <c r="BO200" s="81">
        <f>IFERROR(X200/J200,"0")</f>
        <v>0.2</v>
      </c>
      <c r="BP200" s="81">
        <f>IFERROR(Y200/J200,"0")</f>
        <v>0.2</v>
      </c>
    </row>
    <row r="201" spans="1:68" x14ac:dyDescent="0.2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308"/>
      <c r="P201" s="305" t="s">
        <v>40</v>
      </c>
      <c r="Q201" s="306"/>
      <c r="R201" s="306"/>
      <c r="S201" s="306"/>
      <c r="T201" s="306"/>
      <c r="U201" s="306"/>
      <c r="V201" s="307"/>
      <c r="W201" s="42" t="s">
        <v>39</v>
      </c>
      <c r="X201" s="43">
        <f>IFERROR(SUM(X200:X200),"0")</f>
        <v>14</v>
      </c>
      <c r="Y201" s="43">
        <f>IFERROR(SUM(Y200:Y200),"0")</f>
        <v>14</v>
      </c>
      <c r="Z201" s="43">
        <f>IFERROR(IF(Z200="",0,Z200),"0")</f>
        <v>0.25031999999999999</v>
      </c>
      <c r="AA201" s="67"/>
      <c r="AB201" s="67"/>
      <c r="AC201" s="67"/>
    </row>
    <row r="202" spans="1:68" x14ac:dyDescent="0.2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308"/>
      <c r="P202" s="305" t="s">
        <v>40</v>
      </c>
      <c r="Q202" s="306"/>
      <c r="R202" s="306"/>
      <c r="S202" s="306"/>
      <c r="T202" s="306"/>
      <c r="U202" s="306"/>
      <c r="V202" s="307"/>
      <c r="W202" s="42" t="s">
        <v>0</v>
      </c>
      <c r="X202" s="43">
        <f>IFERROR(SUMPRODUCT(X200:X200*H200:H200),"0")</f>
        <v>38.64</v>
      </c>
      <c r="Y202" s="43">
        <f>IFERROR(SUMPRODUCT(Y200:Y200*H200:H200),"0")</f>
        <v>38.64</v>
      </c>
      <c r="Z202" s="42"/>
      <c r="AA202" s="67"/>
      <c r="AB202" s="67"/>
      <c r="AC202" s="67"/>
    </row>
    <row r="203" spans="1:68" ht="14.25" hidden="1" customHeight="1" x14ac:dyDescent="0.25">
      <c r="A203" s="316" t="s">
        <v>151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66"/>
      <c r="AB203" s="66"/>
      <c r="AC203" s="83"/>
    </row>
    <row r="204" spans="1:68" ht="27" hidden="1" customHeight="1" x14ac:dyDescent="0.25">
      <c r="A204" s="63" t="s">
        <v>308</v>
      </c>
      <c r="B204" s="63" t="s">
        <v>309</v>
      </c>
      <c r="C204" s="36">
        <v>4301135834</v>
      </c>
      <c r="D204" s="298">
        <v>4620207491188</v>
      </c>
      <c r="E204" s="29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00"/>
      <c r="R204" s="300"/>
      <c r="S204" s="300"/>
      <c r="T204" s="30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311</v>
      </c>
      <c r="B205" s="63" t="s">
        <v>312</v>
      </c>
      <c r="C205" s="36">
        <v>4301135696</v>
      </c>
      <c r="D205" s="298">
        <v>4620207490235</v>
      </c>
      <c r="E205" s="298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00"/>
      <c r="R205" s="300"/>
      <c r="S205" s="300"/>
      <c r="T205" s="301"/>
      <c r="U205" s="39" t="s">
        <v>46</v>
      </c>
      <c r="V205" s="39" t="s">
        <v>46</v>
      </c>
      <c r="W205" s="40" t="s">
        <v>39</v>
      </c>
      <c r="X205" s="58">
        <v>14</v>
      </c>
      <c r="Y205" s="55">
        <f>IFERROR(IF(X205="","",X205),"")</f>
        <v>14</v>
      </c>
      <c r="Z205" s="41">
        <f>IFERROR(IF(X205="","",X205*0.01788),"")</f>
        <v>0.25031999999999999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43.450400000000002</v>
      </c>
      <c r="BN205" s="81">
        <f>IFERROR(Y205*I205,"0")</f>
        <v>43.450400000000002</v>
      </c>
      <c r="BO205" s="81">
        <f>IFERROR(X205/J205,"0")</f>
        <v>0.2</v>
      </c>
      <c r="BP205" s="81">
        <f>IFERROR(Y205/J205,"0")</f>
        <v>0.2</v>
      </c>
    </row>
    <row r="206" spans="1:68" ht="27" hidden="1" customHeight="1" x14ac:dyDescent="0.25">
      <c r="A206" s="63" t="s">
        <v>314</v>
      </c>
      <c r="B206" s="63" t="s">
        <v>315</v>
      </c>
      <c r="C206" s="36">
        <v>4301135697</v>
      </c>
      <c r="D206" s="298">
        <v>4620207490259</v>
      </c>
      <c r="E206" s="298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3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00"/>
      <c r="R206" s="300"/>
      <c r="S206" s="300"/>
      <c r="T206" s="301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308"/>
      <c r="P207" s="305" t="s">
        <v>40</v>
      </c>
      <c r="Q207" s="306"/>
      <c r="R207" s="306"/>
      <c r="S207" s="306"/>
      <c r="T207" s="306"/>
      <c r="U207" s="306"/>
      <c r="V207" s="307"/>
      <c r="W207" s="42" t="s">
        <v>39</v>
      </c>
      <c r="X207" s="43">
        <f>IFERROR(SUM(X204:X206),"0")</f>
        <v>14</v>
      </c>
      <c r="Y207" s="43">
        <f>IFERROR(SUM(Y204:Y206),"0")</f>
        <v>14</v>
      </c>
      <c r="Z207" s="43">
        <f>IFERROR(IF(Z204="",0,Z204),"0")+IFERROR(IF(Z205="",0,Z205),"0")+IFERROR(IF(Z206="",0,Z206),"0")</f>
        <v>0.25031999999999999</v>
      </c>
      <c r="AA207" s="67"/>
      <c r="AB207" s="67"/>
      <c r="AC207" s="67"/>
    </row>
    <row r="208" spans="1:68" x14ac:dyDescent="0.2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308"/>
      <c r="P208" s="305" t="s">
        <v>40</v>
      </c>
      <c r="Q208" s="306"/>
      <c r="R208" s="306"/>
      <c r="S208" s="306"/>
      <c r="T208" s="306"/>
      <c r="U208" s="306"/>
      <c r="V208" s="307"/>
      <c r="W208" s="42" t="s">
        <v>0</v>
      </c>
      <c r="X208" s="43">
        <f>IFERROR(SUMPRODUCT(X204:X206*H204:H206),"0")</f>
        <v>33.6</v>
      </c>
      <c r="Y208" s="43">
        <f>IFERROR(SUMPRODUCT(Y204:Y206*H204:H206),"0")</f>
        <v>33.6</v>
      </c>
      <c r="Z208" s="42"/>
      <c r="AA208" s="67"/>
      <c r="AB208" s="67"/>
      <c r="AC208" s="67"/>
    </row>
    <row r="209" spans="1:68" ht="16.5" hidden="1" customHeight="1" x14ac:dyDescent="0.25">
      <c r="A209" s="321" t="s">
        <v>317</v>
      </c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65"/>
      <c r="AB209" s="65"/>
      <c r="AC209" s="82"/>
    </row>
    <row r="210" spans="1:68" ht="14.25" hidden="1" customHeight="1" x14ac:dyDescent="0.25">
      <c r="A210" s="316" t="s">
        <v>151</v>
      </c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66"/>
      <c r="AB210" s="66"/>
      <c r="AC210" s="83"/>
    </row>
    <row r="211" spans="1:68" ht="27" hidden="1" customHeight="1" x14ac:dyDescent="0.25">
      <c r="A211" s="63" t="s">
        <v>318</v>
      </c>
      <c r="B211" s="63" t="s">
        <v>319</v>
      </c>
      <c r="C211" s="36">
        <v>4301135854</v>
      </c>
      <c r="D211" s="298">
        <v>4620207491706</v>
      </c>
      <c r="E211" s="29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00"/>
      <c r="R211" s="300"/>
      <c r="S211" s="300"/>
      <c r="T211" s="30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321</v>
      </c>
      <c r="B212" s="63" t="s">
        <v>322</v>
      </c>
      <c r="C212" s="36">
        <v>4301135895</v>
      </c>
      <c r="D212" s="298">
        <v>4620207491522</v>
      </c>
      <c r="E212" s="298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00"/>
      <c r="R212" s="300"/>
      <c r="S212" s="300"/>
      <c r="T212" s="301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308"/>
      <c r="P213" s="305" t="s">
        <v>40</v>
      </c>
      <c r="Q213" s="306"/>
      <c r="R213" s="306"/>
      <c r="S213" s="306"/>
      <c r="T213" s="306"/>
      <c r="U213" s="306"/>
      <c r="V213" s="307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308"/>
      <c r="P214" s="305" t="s">
        <v>40</v>
      </c>
      <c r="Q214" s="306"/>
      <c r="R214" s="306"/>
      <c r="S214" s="306"/>
      <c r="T214" s="306"/>
      <c r="U214" s="306"/>
      <c r="V214" s="307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1" t="s">
        <v>324</v>
      </c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65"/>
      <c r="AB215" s="65"/>
      <c r="AC215" s="82"/>
    </row>
    <row r="216" spans="1:68" ht="14.25" hidden="1" customHeight="1" x14ac:dyDescent="0.25">
      <c r="A216" s="316" t="s">
        <v>82</v>
      </c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298">
        <v>4620207491096</v>
      </c>
      <c r="E217" s="298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00"/>
      <c r="R217" s="300"/>
      <c r="S217" s="300"/>
      <c r="T217" s="301"/>
      <c r="U217" s="39" t="s">
        <v>46</v>
      </c>
      <c r="V217" s="39" t="s">
        <v>46</v>
      </c>
      <c r="W217" s="40" t="s">
        <v>39</v>
      </c>
      <c r="X217" s="58">
        <v>12</v>
      </c>
      <c r="Y217" s="55">
        <f>IFERROR(IF(X217="","",X217),"")</f>
        <v>12</v>
      </c>
      <c r="Z217" s="41">
        <f>IFERROR(IF(X217="","",X217*0.0155),"")</f>
        <v>0.186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62.760000000000005</v>
      </c>
      <c r="BN217" s="81">
        <f>IFERROR(Y217*I217,"0")</f>
        <v>62.760000000000005</v>
      </c>
      <c r="BO217" s="81">
        <f>IFERROR(X217/J217,"0")</f>
        <v>0.14285714285714285</v>
      </c>
      <c r="BP217" s="81">
        <f>IFERROR(Y217/J217,"0")</f>
        <v>0.14285714285714285</v>
      </c>
    </row>
    <row r="218" spans="1:68" x14ac:dyDescent="0.2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308"/>
      <c r="P218" s="305" t="s">
        <v>40</v>
      </c>
      <c r="Q218" s="306"/>
      <c r="R218" s="306"/>
      <c r="S218" s="306"/>
      <c r="T218" s="306"/>
      <c r="U218" s="306"/>
      <c r="V218" s="307"/>
      <c r="W218" s="42" t="s">
        <v>39</v>
      </c>
      <c r="X218" s="43">
        <f>IFERROR(SUM(X217:X217),"0")</f>
        <v>12</v>
      </c>
      <c r="Y218" s="43">
        <f>IFERROR(SUM(Y217:Y217),"0")</f>
        <v>12</v>
      </c>
      <c r="Z218" s="43">
        <f>IFERROR(IF(Z217="",0,Z217),"0")</f>
        <v>0.186</v>
      </c>
      <c r="AA218" s="67"/>
      <c r="AB218" s="67"/>
      <c r="AC218" s="67"/>
    </row>
    <row r="219" spans="1:68" x14ac:dyDescent="0.2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308"/>
      <c r="P219" s="305" t="s">
        <v>40</v>
      </c>
      <c r="Q219" s="306"/>
      <c r="R219" s="306"/>
      <c r="S219" s="306"/>
      <c r="T219" s="306"/>
      <c r="U219" s="306"/>
      <c r="V219" s="307"/>
      <c r="W219" s="42" t="s">
        <v>0</v>
      </c>
      <c r="X219" s="43">
        <f>IFERROR(SUMPRODUCT(X217:X217*H217:H217),"0")</f>
        <v>60</v>
      </c>
      <c r="Y219" s="43">
        <f>IFERROR(SUMPRODUCT(Y217:Y217*H217:H217),"0")</f>
        <v>60</v>
      </c>
      <c r="Z219" s="42"/>
      <c r="AA219" s="67"/>
      <c r="AB219" s="67"/>
      <c r="AC219" s="67"/>
    </row>
    <row r="220" spans="1:68" ht="16.5" hidden="1" customHeight="1" x14ac:dyDescent="0.25">
      <c r="A220" s="321" t="s">
        <v>328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65"/>
      <c r="AB220" s="65"/>
      <c r="AC220" s="82"/>
    </row>
    <row r="221" spans="1:68" ht="14.25" hidden="1" customHeight="1" x14ac:dyDescent="0.25">
      <c r="A221" s="316" t="s">
        <v>151</v>
      </c>
      <c r="B221" s="316"/>
      <c r="C221" s="316"/>
      <c r="D221" s="316"/>
      <c r="E221" s="316"/>
      <c r="F221" s="316"/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66"/>
      <c r="AB221" s="66"/>
      <c r="AC221" s="83"/>
    </row>
    <row r="222" spans="1:68" ht="27" hidden="1" customHeight="1" x14ac:dyDescent="0.25">
      <c r="A222" s="63" t="s">
        <v>329</v>
      </c>
      <c r="B222" s="63" t="s">
        <v>330</v>
      </c>
      <c r="C222" s="36">
        <v>4301135694</v>
      </c>
      <c r="D222" s="298">
        <v>4620207490501</v>
      </c>
      <c r="E222" s="298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00"/>
      <c r="R222" s="300"/>
      <c r="S222" s="300"/>
      <c r="T222" s="301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308"/>
      <c r="P223" s="305" t="s">
        <v>40</v>
      </c>
      <c r="Q223" s="306"/>
      <c r="R223" s="306"/>
      <c r="S223" s="306"/>
      <c r="T223" s="306"/>
      <c r="U223" s="306"/>
      <c r="V223" s="307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308"/>
      <c r="P224" s="305" t="s">
        <v>40</v>
      </c>
      <c r="Q224" s="306"/>
      <c r="R224" s="306"/>
      <c r="S224" s="306"/>
      <c r="T224" s="306"/>
      <c r="U224" s="306"/>
      <c r="V224" s="307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0" t="s">
        <v>332</v>
      </c>
      <c r="B225" s="320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54"/>
      <c r="AB225" s="54"/>
      <c r="AC225" s="54"/>
    </row>
    <row r="226" spans="1:68" ht="16.5" hidden="1" customHeight="1" x14ac:dyDescent="0.25">
      <c r="A226" s="321" t="s">
        <v>333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65"/>
      <c r="AB226" s="65"/>
      <c r="AC226" s="82"/>
    </row>
    <row r="227" spans="1:68" ht="14.25" hidden="1" customHeight="1" x14ac:dyDescent="0.25">
      <c r="A227" s="316" t="s">
        <v>82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66"/>
      <c r="AB227" s="66"/>
      <c r="AC227" s="83"/>
    </row>
    <row r="228" spans="1:68" ht="27" hidden="1" customHeight="1" x14ac:dyDescent="0.25">
      <c r="A228" s="63" t="s">
        <v>334</v>
      </c>
      <c r="B228" s="63" t="s">
        <v>335</v>
      </c>
      <c r="C228" s="36">
        <v>4301071036</v>
      </c>
      <c r="D228" s="298">
        <v>4607111036162</v>
      </c>
      <c r="E228" s="298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00"/>
      <c r="R228" s="300"/>
      <c r="S228" s="300"/>
      <c r="T228" s="301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308"/>
      <c r="P229" s="305" t="s">
        <v>40</v>
      </c>
      <c r="Q229" s="306"/>
      <c r="R229" s="306"/>
      <c r="S229" s="306"/>
      <c r="T229" s="306"/>
      <c r="U229" s="306"/>
      <c r="V229" s="30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308"/>
      <c r="P230" s="305" t="s">
        <v>40</v>
      </c>
      <c r="Q230" s="306"/>
      <c r="R230" s="306"/>
      <c r="S230" s="306"/>
      <c r="T230" s="306"/>
      <c r="U230" s="306"/>
      <c r="V230" s="30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0" t="s">
        <v>337</v>
      </c>
      <c r="B231" s="320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54"/>
      <c r="AB231" s="54"/>
      <c r="AC231" s="54"/>
    </row>
    <row r="232" spans="1:68" ht="16.5" hidden="1" customHeight="1" x14ac:dyDescent="0.25">
      <c r="A232" s="321" t="s">
        <v>338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65"/>
      <c r="AB232" s="65"/>
      <c r="AC232" s="82"/>
    </row>
    <row r="233" spans="1:68" ht="14.25" hidden="1" customHeight="1" x14ac:dyDescent="0.25">
      <c r="A233" s="316" t="s">
        <v>339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66"/>
      <c r="AB233" s="66"/>
      <c r="AC233" s="83"/>
    </row>
    <row r="234" spans="1:68" ht="27" hidden="1" customHeight="1" x14ac:dyDescent="0.25">
      <c r="A234" s="63" t="s">
        <v>340</v>
      </c>
      <c r="B234" s="63" t="s">
        <v>341</v>
      </c>
      <c r="C234" s="36">
        <v>4301133004</v>
      </c>
      <c r="D234" s="298">
        <v>4607111039774</v>
      </c>
      <c r="E234" s="298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2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00"/>
      <c r="R234" s="300"/>
      <c r="S234" s="300"/>
      <c r="T234" s="301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308"/>
      <c r="P235" s="305" t="s">
        <v>40</v>
      </c>
      <c r="Q235" s="306"/>
      <c r="R235" s="306"/>
      <c r="S235" s="306"/>
      <c r="T235" s="306"/>
      <c r="U235" s="306"/>
      <c r="V235" s="30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308"/>
      <c r="P236" s="305" t="s">
        <v>40</v>
      </c>
      <c r="Q236" s="306"/>
      <c r="R236" s="306"/>
      <c r="S236" s="306"/>
      <c r="T236" s="306"/>
      <c r="U236" s="306"/>
      <c r="V236" s="30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6" t="s">
        <v>151</v>
      </c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6"/>
      <c r="P237" s="316"/>
      <c r="Q237" s="316"/>
      <c r="R237" s="316"/>
      <c r="S237" s="316"/>
      <c r="T237" s="316"/>
      <c r="U237" s="316"/>
      <c r="V237" s="316"/>
      <c r="W237" s="316"/>
      <c r="X237" s="316"/>
      <c r="Y237" s="316"/>
      <c r="Z237" s="316"/>
      <c r="AA237" s="66"/>
      <c r="AB237" s="66"/>
      <c r="AC237" s="83"/>
    </row>
    <row r="238" spans="1:68" ht="37.5" hidden="1" customHeight="1" x14ac:dyDescent="0.25">
      <c r="A238" s="63" t="s">
        <v>343</v>
      </c>
      <c r="B238" s="63" t="s">
        <v>344</v>
      </c>
      <c r="C238" s="36">
        <v>4301135400</v>
      </c>
      <c r="D238" s="298">
        <v>4607111039361</v>
      </c>
      <c r="E238" s="298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00"/>
      <c r="R238" s="300"/>
      <c r="S238" s="300"/>
      <c r="T238" s="301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308"/>
      <c r="P239" s="305" t="s">
        <v>40</v>
      </c>
      <c r="Q239" s="306"/>
      <c r="R239" s="306"/>
      <c r="S239" s="306"/>
      <c r="T239" s="306"/>
      <c r="U239" s="306"/>
      <c r="V239" s="307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308"/>
      <c r="P240" s="305" t="s">
        <v>40</v>
      </c>
      <c r="Q240" s="306"/>
      <c r="R240" s="306"/>
      <c r="S240" s="306"/>
      <c r="T240" s="306"/>
      <c r="U240" s="306"/>
      <c r="V240" s="307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0" t="s">
        <v>345</v>
      </c>
      <c r="B241" s="320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54"/>
      <c r="AB241" s="54"/>
      <c r="AC241" s="54"/>
    </row>
    <row r="242" spans="1:68" ht="16.5" hidden="1" customHeight="1" x14ac:dyDescent="0.25">
      <c r="A242" s="321" t="s">
        <v>345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65"/>
      <c r="AB242" s="65"/>
      <c r="AC242" s="82"/>
    </row>
    <row r="243" spans="1:68" ht="14.25" hidden="1" customHeight="1" x14ac:dyDescent="0.25">
      <c r="A243" s="316" t="s">
        <v>113</v>
      </c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66"/>
      <c r="AB243" s="66"/>
      <c r="AC243" s="83"/>
    </row>
    <row r="244" spans="1:68" ht="27" hidden="1" customHeight="1" x14ac:dyDescent="0.25">
      <c r="A244" s="63" t="s">
        <v>346</v>
      </c>
      <c r="B244" s="63" t="s">
        <v>347</v>
      </c>
      <c r="C244" s="36">
        <v>4301132228</v>
      </c>
      <c r="D244" s="298">
        <v>4640242181950</v>
      </c>
      <c r="E244" s="298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00"/>
      <c r="R244" s="300"/>
      <c r="S244" s="300"/>
      <c r="T244" s="30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308"/>
      <c r="P245" s="305" t="s">
        <v>40</v>
      </c>
      <c r="Q245" s="306"/>
      <c r="R245" s="306"/>
      <c r="S245" s="306"/>
      <c r="T245" s="306"/>
      <c r="U245" s="306"/>
      <c r="V245" s="30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308"/>
      <c r="P246" s="305" t="s">
        <v>40</v>
      </c>
      <c r="Q246" s="306"/>
      <c r="R246" s="306"/>
      <c r="S246" s="306"/>
      <c r="T246" s="306"/>
      <c r="U246" s="306"/>
      <c r="V246" s="30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6" t="s">
        <v>145</v>
      </c>
      <c r="B247" s="316"/>
      <c r="C247" s="316"/>
      <c r="D247" s="316"/>
      <c r="E247" s="316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66"/>
      <c r="AB247" s="66"/>
      <c r="AC247" s="83"/>
    </row>
    <row r="248" spans="1:68" ht="27" hidden="1" customHeight="1" x14ac:dyDescent="0.25">
      <c r="A248" s="63" t="s">
        <v>349</v>
      </c>
      <c r="B248" s="63" t="s">
        <v>350</v>
      </c>
      <c r="C248" s="36">
        <v>4301136098</v>
      </c>
      <c r="D248" s="298">
        <v>4640242181943</v>
      </c>
      <c r="E248" s="298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00"/>
      <c r="R248" s="300"/>
      <c r="S248" s="300"/>
      <c r="T248" s="30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308"/>
      <c r="P249" s="305" t="s">
        <v>40</v>
      </c>
      <c r="Q249" s="306"/>
      <c r="R249" s="306"/>
      <c r="S249" s="306"/>
      <c r="T249" s="306"/>
      <c r="U249" s="306"/>
      <c r="V249" s="307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308"/>
      <c r="P250" s="305" t="s">
        <v>40</v>
      </c>
      <c r="Q250" s="306"/>
      <c r="R250" s="306"/>
      <c r="S250" s="306"/>
      <c r="T250" s="306"/>
      <c r="U250" s="306"/>
      <c r="V250" s="307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0" t="s">
        <v>352</v>
      </c>
      <c r="B251" s="320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54"/>
      <c r="AB251" s="54"/>
      <c r="AC251" s="54"/>
    </row>
    <row r="252" spans="1:68" ht="16.5" hidden="1" customHeight="1" x14ac:dyDescent="0.25">
      <c r="A252" s="321" t="s">
        <v>352</v>
      </c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65"/>
      <c r="AB252" s="65"/>
      <c r="AC252" s="82"/>
    </row>
    <row r="253" spans="1:68" ht="14.25" hidden="1" customHeight="1" x14ac:dyDescent="0.25">
      <c r="A253" s="316" t="s">
        <v>82</v>
      </c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6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66"/>
      <c r="AB253" s="66"/>
      <c r="AC253" s="83"/>
    </row>
    <row r="254" spans="1:68" ht="27" hidden="1" customHeight="1" x14ac:dyDescent="0.25">
      <c r="A254" s="63" t="s">
        <v>353</v>
      </c>
      <c r="B254" s="63" t="s">
        <v>354</v>
      </c>
      <c r="C254" s="36">
        <v>4301071014</v>
      </c>
      <c r="D254" s="298">
        <v>4640242181264</v>
      </c>
      <c r="E254" s="298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00"/>
      <c r="R254" s="300"/>
      <c r="S254" s="300"/>
      <c r="T254" s="30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356</v>
      </c>
      <c r="B255" s="63" t="s">
        <v>357</v>
      </c>
      <c r="C255" s="36">
        <v>4301071021</v>
      </c>
      <c r="D255" s="298">
        <v>4640242181325</v>
      </c>
      <c r="E255" s="298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00"/>
      <c r="R255" s="300"/>
      <c r="S255" s="300"/>
      <c r="T255" s="301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idden="1" x14ac:dyDescent="0.2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308"/>
      <c r="P256" s="305" t="s">
        <v>40</v>
      </c>
      <c r="Q256" s="306"/>
      <c r="R256" s="306"/>
      <c r="S256" s="306"/>
      <c r="T256" s="306"/>
      <c r="U256" s="306"/>
      <c r="V256" s="307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308"/>
      <c r="P257" s="305" t="s">
        <v>40</v>
      </c>
      <c r="Q257" s="306"/>
      <c r="R257" s="306"/>
      <c r="S257" s="306"/>
      <c r="T257" s="306"/>
      <c r="U257" s="306"/>
      <c r="V257" s="307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hidden="1" customHeight="1" x14ac:dyDescent="0.25">
      <c r="A258" s="316" t="s">
        <v>113</v>
      </c>
      <c r="B258" s="316"/>
      <c r="C258" s="316"/>
      <c r="D258" s="316"/>
      <c r="E258" s="316"/>
      <c r="F258" s="316"/>
      <c r="G258" s="316"/>
      <c r="H258" s="316"/>
      <c r="I258" s="316"/>
      <c r="J258" s="316"/>
      <c r="K258" s="316"/>
      <c r="L258" s="316"/>
      <c r="M258" s="316"/>
      <c r="N258" s="316"/>
      <c r="O258" s="316"/>
      <c r="P258" s="316"/>
      <c r="Q258" s="316"/>
      <c r="R258" s="316"/>
      <c r="S258" s="316"/>
      <c r="T258" s="316"/>
      <c r="U258" s="316"/>
      <c r="V258" s="316"/>
      <c r="W258" s="316"/>
      <c r="X258" s="316"/>
      <c r="Y258" s="316"/>
      <c r="Z258" s="316"/>
      <c r="AA258" s="66"/>
      <c r="AB258" s="66"/>
      <c r="AC258" s="83"/>
    </row>
    <row r="259" spans="1:68" ht="27" customHeight="1" x14ac:dyDescent="0.25">
      <c r="A259" s="63" t="s">
        <v>358</v>
      </c>
      <c r="B259" s="63" t="s">
        <v>359</v>
      </c>
      <c r="C259" s="36">
        <v>4301132080</v>
      </c>
      <c r="D259" s="298">
        <v>4640242180397</v>
      </c>
      <c r="E259" s="298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00"/>
      <c r="R259" s="300"/>
      <c r="S259" s="300"/>
      <c r="T259" s="301"/>
      <c r="U259" s="39" t="s">
        <v>46</v>
      </c>
      <c r="V259" s="39" t="s">
        <v>46</v>
      </c>
      <c r="W259" s="40" t="s">
        <v>39</v>
      </c>
      <c r="X259" s="58">
        <v>264</v>
      </c>
      <c r="Y259" s="55">
        <f>IFERROR(IF(X259="","",X259),"")</f>
        <v>264</v>
      </c>
      <c r="Z259" s="41">
        <f>IFERROR(IF(X259="","",X259*0.0155),"")</f>
        <v>4.0919999999999996</v>
      </c>
      <c r="AA259" s="68" t="s">
        <v>46</v>
      </c>
      <c r="AB259" s="69" t="s">
        <v>46</v>
      </c>
      <c r="AC259" s="261" t="s">
        <v>360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1652.6399999999999</v>
      </c>
      <c r="BN259" s="81">
        <f>IFERROR(Y259*I259,"0")</f>
        <v>1652.6399999999999</v>
      </c>
      <c r="BO259" s="81">
        <f>IFERROR(X259/J259,"0")</f>
        <v>3.1428571428571428</v>
      </c>
      <c r="BP259" s="81">
        <f>IFERROR(Y259/J259,"0")</f>
        <v>3.1428571428571428</v>
      </c>
    </row>
    <row r="260" spans="1:68" x14ac:dyDescent="0.2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308"/>
      <c r="P260" s="305" t="s">
        <v>40</v>
      </c>
      <c r="Q260" s="306"/>
      <c r="R260" s="306"/>
      <c r="S260" s="306"/>
      <c r="T260" s="306"/>
      <c r="U260" s="306"/>
      <c r="V260" s="307"/>
      <c r="W260" s="42" t="s">
        <v>39</v>
      </c>
      <c r="X260" s="43">
        <f>IFERROR(SUM(X259:X259),"0")</f>
        <v>264</v>
      </c>
      <c r="Y260" s="43">
        <f>IFERROR(SUM(Y259:Y259),"0")</f>
        <v>264</v>
      </c>
      <c r="Z260" s="43">
        <f>IFERROR(IF(Z259="",0,Z259),"0")</f>
        <v>4.0919999999999996</v>
      </c>
      <c r="AA260" s="67"/>
      <c r="AB260" s="67"/>
      <c r="AC260" s="67"/>
    </row>
    <row r="261" spans="1:68" x14ac:dyDescent="0.2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308"/>
      <c r="P261" s="305" t="s">
        <v>40</v>
      </c>
      <c r="Q261" s="306"/>
      <c r="R261" s="306"/>
      <c r="S261" s="306"/>
      <c r="T261" s="306"/>
      <c r="U261" s="306"/>
      <c r="V261" s="307"/>
      <c r="W261" s="42" t="s">
        <v>0</v>
      </c>
      <c r="X261" s="43">
        <f>IFERROR(SUMPRODUCT(X259:X259*H259:H259),"0")</f>
        <v>1584</v>
      </c>
      <c r="Y261" s="43">
        <f>IFERROR(SUMPRODUCT(Y259:Y259*H259:H259),"0")</f>
        <v>1584</v>
      </c>
      <c r="Z261" s="42"/>
      <c r="AA261" s="67"/>
      <c r="AB261" s="67"/>
      <c r="AC261" s="67"/>
    </row>
    <row r="262" spans="1:68" ht="14.25" hidden="1" customHeight="1" x14ac:dyDescent="0.25">
      <c r="A262" s="316" t="s">
        <v>145</v>
      </c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66"/>
      <c r="AB262" s="66"/>
      <c r="AC262" s="83"/>
    </row>
    <row r="263" spans="1:68" ht="27" hidden="1" customHeight="1" x14ac:dyDescent="0.25">
      <c r="A263" s="63" t="s">
        <v>361</v>
      </c>
      <c r="B263" s="63" t="s">
        <v>362</v>
      </c>
      <c r="C263" s="36">
        <v>4301136051</v>
      </c>
      <c r="D263" s="298">
        <v>4640242180304</v>
      </c>
      <c r="E263" s="298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31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00"/>
      <c r="R263" s="300"/>
      <c r="S263" s="300"/>
      <c r="T263" s="301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363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4301136053</v>
      </c>
      <c r="D264" s="298">
        <v>4640242180236</v>
      </c>
      <c r="E264" s="298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00"/>
      <c r="R264" s="300"/>
      <c r="S264" s="300"/>
      <c r="T264" s="301"/>
      <c r="U264" s="39" t="s">
        <v>46</v>
      </c>
      <c r="V264" s="39" t="s">
        <v>46</v>
      </c>
      <c r="W264" s="40" t="s">
        <v>39</v>
      </c>
      <c r="X264" s="58">
        <v>276</v>
      </c>
      <c r="Y264" s="55">
        <f>IFERROR(IF(X264="","",X264),"")</f>
        <v>276</v>
      </c>
      <c r="Z264" s="41">
        <f>IFERROR(IF(X264="","",X264*0.0155),"")</f>
        <v>4.2779999999999996</v>
      </c>
      <c r="AA264" s="68" t="s">
        <v>46</v>
      </c>
      <c r="AB264" s="69" t="s">
        <v>46</v>
      </c>
      <c r="AC264" s="265" t="s">
        <v>363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1444.8600000000001</v>
      </c>
      <c r="BN264" s="81">
        <f>IFERROR(Y264*I264,"0")</f>
        <v>1444.8600000000001</v>
      </c>
      <c r="BO264" s="81">
        <f>IFERROR(X264/J264,"0")</f>
        <v>3.2857142857142856</v>
      </c>
      <c r="BP264" s="81">
        <f>IFERROR(Y264/J264,"0")</f>
        <v>3.2857142857142856</v>
      </c>
    </row>
    <row r="265" spans="1:68" ht="27" hidden="1" customHeight="1" x14ac:dyDescent="0.25">
      <c r="A265" s="63" t="s">
        <v>366</v>
      </c>
      <c r="B265" s="63" t="s">
        <v>367</v>
      </c>
      <c r="C265" s="36">
        <v>4301136052</v>
      </c>
      <c r="D265" s="298">
        <v>4640242180410</v>
      </c>
      <c r="E265" s="298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00"/>
      <c r="R265" s="300"/>
      <c r="S265" s="300"/>
      <c r="T265" s="301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363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x14ac:dyDescent="0.2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308"/>
      <c r="P266" s="305" t="s">
        <v>40</v>
      </c>
      <c r="Q266" s="306"/>
      <c r="R266" s="306"/>
      <c r="S266" s="306"/>
      <c r="T266" s="306"/>
      <c r="U266" s="306"/>
      <c r="V266" s="307"/>
      <c r="W266" s="42" t="s">
        <v>39</v>
      </c>
      <c r="X266" s="43">
        <f>IFERROR(SUM(X263:X265),"0")</f>
        <v>276</v>
      </c>
      <c r="Y266" s="43">
        <f>IFERROR(SUM(Y263:Y265),"0")</f>
        <v>276</v>
      </c>
      <c r="Z266" s="43">
        <f>IFERROR(IF(Z263="",0,Z263),"0")+IFERROR(IF(Z264="",0,Z264),"0")+IFERROR(IF(Z265="",0,Z265),"0")</f>
        <v>4.2779999999999996</v>
      </c>
      <c r="AA266" s="67"/>
      <c r="AB266" s="67"/>
      <c r="AC266" s="67"/>
    </row>
    <row r="267" spans="1:68" x14ac:dyDescent="0.2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308"/>
      <c r="P267" s="305" t="s">
        <v>40</v>
      </c>
      <c r="Q267" s="306"/>
      <c r="R267" s="306"/>
      <c r="S267" s="306"/>
      <c r="T267" s="306"/>
      <c r="U267" s="306"/>
      <c r="V267" s="307"/>
      <c r="W267" s="42" t="s">
        <v>0</v>
      </c>
      <c r="X267" s="43">
        <f>IFERROR(SUMPRODUCT(X263:X265*H263:H265),"0")</f>
        <v>1380</v>
      </c>
      <c r="Y267" s="43">
        <f>IFERROR(SUMPRODUCT(Y263:Y265*H263:H265),"0")</f>
        <v>1380</v>
      </c>
      <c r="Z267" s="42"/>
      <c r="AA267" s="67"/>
      <c r="AB267" s="67"/>
      <c r="AC267" s="67"/>
    </row>
    <row r="268" spans="1:68" ht="14.25" hidden="1" customHeight="1" x14ac:dyDescent="0.25">
      <c r="A268" s="316" t="s">
        <v>151</v>
      </c>
      <c r="B268" s="316"/>
      <c r="C268" s="316"/>
      <c r="D268" s="316"/>
      <c r="E268" s="316"/>
      <c r="F268" s="316"/>
      <c r="G268" s="316"/>
      <c r="H268" s="316"/>
      <c r="I268" s="316"/>
      <c r="J268" s="316"/>
      <c r="K268" s="316"/>
      <c r="L268" s="316"/>
      <c r="M268" s="316"/>
      <c r="N268" s="316"/>
      <c r="O268" s="316"/>
      <c r="P268" s="316"/>
      <c r="Q268" s="316"/>
      <c r="R268" s="316"/>
      <c r="S268" s="316"/>
      <c r="T268" s="316"/>
      <c r="U268" s="316"/>
      <c r="V268" s="316"/>
      <c r="W268" s="316"/>
      <c r="X268" s="316"/>
      <c r="Y268" s="316"/>
      <c r="Z268" s="316"/>
      <c r="AA268" s="66"/>
      <c r="AB268" s="66"/>
      <c r="AC268" s="83"/>
    </row>
    <row r="269" spans="1:68" ht="37.5" hidden="1" customHeight="1" x14ac:dyDescent="0.25">
      <c r="A269" s="63" t="s">
        <v>368</v>
      </c>
      <c r="B269" s="63" t="s">
        <v>369</v>
      </c>
      <c r="C269" s="36">
        <v>4301135504</v>
      </c>
      <c r="D269" s="298">
        <v>4640242181554</v>
      </c>
      <c r="E269" s="298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31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00"/>
      <c r="R269" s="300"/>
      <c r="S269" s="300"/>
      <c r="T269" s="30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370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hidden="1" customHeight="1" x14ac:dyDescent="0.25">
      <c r="A270" s="63" t="s">
        <v>371</v>
      </c>
      <c r="B270" s="63" t="s">
        <v>372</v>
      </c>
      <c r="C270" s="36">
        <v>4301135518</v>
      </c>
      <c r="D270" s="298">
        <v>4640242181561</v>
      </c>
      <c r="E270" s="298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30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300"/>
      <c r="R270" s="300"/>
      <c r="S270" s="300"/>
      <c r="T270" s="30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373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374</v>
      </c>
      <c r="B271" s="63" t="s">
        <v>375</v>
      </c>
      <c r="C271" s="36">
        <v>4301135374</v>
      </c>
      <c r="D271" s="298">
        <v>4640242181424</v>
      </c>
      <c r="E271" s="298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00"/>
      <c r="R271" s="300"/>
      <c r="S271" s="300"/>
      <c r="T271" s="30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73" t="s">
        <v>370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376</v>
      </c>
      <c r="B272" s="63" t="s">
        <v>377</v>
      </c>
      <c r="C272" s="36">
        <v>4301135405</v>
      </c>
      <c r="D272" s="298">
        <v>4640242181523</v>
      </c>
      <c r="E272" s="298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00"/>
      <c r="R272" s="300"/>
      <c r="S272" s="300"/>
      <c r="T272" s="301"/>
      <c r="U272" s="39" t="s">
        <v>46</v>
      </c>
      <c r="V272" s="39" t="s">
        <v>46</v>
      </c>
      <c r="W272" s="40" t="s">
        <v>39</v>
      </c>
      <c r="X272" s="58">
        <v>112</v>
      </c>
      <c r="Y272" s="55">
        <f t="shared" si="18"/>
        <v>112</v>
      </c>
      <c r="Z272" s="41">
        <f t="shared" ref="Z272:Z277" si="23">IFERROR(IF(X272="","",X272*0.00936),"")</f>
        <v>1.0483199999999999</v>
      </c>
      <c r="AA272" s="68" t="s">
        <v>46</v>
      </c>
      <c r="AB272" s="69" t="s">
        <v>46</v>
      </c>
      <c r="AC272" s="275" t="s">
        <v>373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357.50400000000002</v>
      </c>
      <c r="BN272" s="81">
        <f t="shared" si="20"/>
        <v>357.50400000000002</v>
      </c>
      <c r="BO272" s="81">
        <f t="shared" si="21"/>
        <v>0.88888888888888884</v>
      </c>
      <c r="BP272" s="81">
        <f t="shared" si="22"/>
        <v>0.88888888888888884</v>
      </c>
    </row>
    <row r="273" spans="1:68" ht="27" hidden="1" customHeight="1" x14ac:dyDescent="0.25">
      <c r="A273" s="63" t="s">
        <v>378</v>
      </c>
      <c r="B273" s="63" t="s">
        <v>379</v>
      </c>
      <c r="C273" s="36">
        <v>4301135375</v>
      </c>
      <c r="D273" s="298">
        <v>4640242181486</v>
      </c>
      <c r="E273" s="298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00"/>
      <c r="R273" s="300"/>
      <c r="S273" s="300"/>
      <c r="T273" s="30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370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380</v>
      </c>
      <c r="B274" s="63" t="s">
        <v>381</v>
      </c>
      <c r="C274" s="36">
        <v>4301135402</v>
      </c>
      <c r="D274" s="298">
        <v>4640242181493</v>
      </c>
      <c r="E274" s="298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1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00"/>
      <c r="R274" s="300"/>
      <c r="S274" s="300"/>
      <c r="T274" s="30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370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382</v>
      </c>
      <c r="B275" s="63" t="s">
        <v>383</v>
      </c>
      <c r="C275" s="36">
        <v>4301135403</v>
      </c>
      <c r="D275" s="298">
        <v>4640242181509</v>
      </c>
      <c r="E275" s="298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00"/>
      <c r="R275" s="300"/>
      <c r="S275" s="300"/>
      <c r="T275" s="30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370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384</v>
      </c>
      <c r="B276" s="63" t="s">
        <v>385</v>
      </c>
      <c r="C276" s="36">
        <v>4301135304</v>
      </c>
      <c r="D276" s="298">
        <v>4640242181240</v>
      </c>
      <c r="E276" s="298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0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00"/>
      <c r="R276" s="300"/>
      <c r="S276" s="300"/>
      <c r="T276" s="30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370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386</v>
      </c>
      <c r="B277" s="63" t="s">
        <v>387</v>
      </c>
      <c r="C277" s="36">
        <v>4301135610</v>
      </c>
      <c r="D277" s="298">
        <v>4640242181318</v>
      </c>
      <c r="E277" s="298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00"/>
      <c r="R277" s="300"/>
      <c r="S277" s="300"/>
      <c r="T277" s="30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373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388</v>
      </c>
      <c r="B278" s="63" t="s">
        <v>389</v>
      </c>
      <c r="C278" s="36">
        <v>4301135306</v>
      </c>
      <c r="D278" s="298">
        <v>4640242181387</v>
      </c>
      <c r="E278" s="298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163</v>
      </c>
      <c r="L278" s="37" t="s">
        <v>88</v>
      </c>
      <c r="M278" s="38" t="s">
        <v>86</v>
      </c>
      <c r="N278" s="38"/>
      <c r="O278" s="37">
        <v>180</v>
      </c>
      <c r="P278" s="30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00"/>
      <c r="R278" s="300"/>
      <c r="S278" s="300"/>
      <c r="T278" s="301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370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308"/>
      <c r="P279" s="305" t="s">
        <v>40</v>
      </c>
      <c r="Q279" s="306"/>
      <c r="R279" s="306"/>
      <c r="S279" s="306"/>
      <c r="T279" s="306"/>
      <c r="U279" s="306"/>
      <c r="V279" s="307"/>
      <c r="W279" s="42" t="s">
        <v>39</v>
      </c>
      <c r="X279" s="43">
        <f>IFERROR(SUM(X269:X278),"0")</f>
        <v>112</v>
      </c>
      <c r="Y279" s="43">
        <f>IFERROR(SUM(Y269:Y278),"0")</f>
        <v>112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1.0483199999999999</v>
      </c>
      <c r="AA279" s="67"/>
      <c r="AB279" s="67"/>
      <c r="AC279" s="67"/>
    </row>
    <row r="280" spans="1:68" x14ac:dyDescent="0.2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308"/>
      <c r="P280" s="305" t="s">
        <v>40</v>
      </c>
      <c r="Q280" s="306"/>
      <c r="R280" s="306"/>
      <c r="S280" s="306"/>
      <c r="T280" s="306"/>
      <c r="U280" s="306"/>
      <c r="V280" s="307"/>
      <c r="W280" s="42" t="s">
        <v>0</v>
      </c>
      <c r="X280" s="43">
        <f>IFERROR(SUMPRODUCT(X269:X278*H269:H278),"0")</f>
        <v>336</v>
      </c>
      <c r="Y280" s="43">
        <f>IFERROR(SUMPRODUCT(Y269:Y278*H269:H278),"0")</f>
        <v>336</v>
      </c>
      <c r="Z280" s="42"/>
      <c r="AA280" s="67"/>
      <c r="AB280" s="67"/>
      <c r="AC280" s="67"/>
    </row>
    <row r="281" spans="1:68" ht="15" customHeight="1" x14ac:dyDescent="0.2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6"/>
      <c r="P281" s="292" t="s">
        <v>33</v>
      </c>
      <c r="Q281" s="293"/>
      <c r="R281" s="293"/>
      <c r="S281" s="293"/>
      <c r="T281" s="293"/>
      <c r="U281" s="293"/>
      <c r="V281" s="294"/>
      <c r="W281" s="42" t="s">
        <v>0</v>
      </c>
      <c r="X281" s="43">
        <f>IFERROR(X31+X37+X44+X50+X58+X63+X68+X74+X80+X85+X91+X101+X107+X120+X124+X128+X136+X142+X148+X154+X160+X165+X170+X175+X182+X187+X196+X202+X208+X214+X219+X224+X230+X236+X240+X246+X250+X257+X261+X267+X280,"0")</f>
        <v>16049.4</v>
      </c>
      <c r="Y281" s="43">
        <f>IFERROR(Y31+Y37+Y44+Y50+Y58+Y63+Y68+Y74+Y80+Y85+Y91+Y101+Y107+Y120+Y124+Y128+Y136+Y142+Y148+Y154+Y160+Y165+Y170+Y175+Y182+Y187+Y196+Y202+Y208+Y214+Y219+Y224+Y230+Y236+Y240+Y246+Y250+Y257+Y261+Y267+Y280,"0")</f>
        <v>16049.4</v>
      </c>
      <c r="Z281" s="42"/>
      <c r="AA281" s="67"/>
      <c r="AB281" s="67"/>
      <c r="AC281" s="67"/>
    </row>
    <row r="282" spans="1:68" x14ac:dyDescent="0.2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6"/>
      <c r="P282" s="292" t="s">
        <v>34</v>
      </c>
      <c r="Q282" s="293"/>
      <c r="R282" s="293"/>
      <c r="S282" s="293"/>
      <c r="T282" s="293"/>
      <c r="U282" s="293"/>
      <c r="V282" s="294"/>
      <c r="W282" s="42" t="s">
        <v>0</v>
      </c>
      <c r="X282" s="43">
        <f>IFERROR(SUM(BM22:BM278),"0")</f>
        <v>17380.978800000001</v>
      </c>
      <c r="Y282" s="43">
        <f>IFERROR(SUM(BN22:BN278),"0")</f>
        <v>17380.978800000001</v>
      </c>
      <c r="Z282" s="42"/>
      <c r="AA282" s="67"/>
      <c r="AB282" s="67"/>
      <c r="AC282" s="67"/>
    </row>
    <row r="283" spans="1:68" x14ac:dyDescent="0.2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6"/>
      <c r="P283" s="292" t="s">
        <v>35</v>
      </c>
      <c r="Q283" s="293"/>
      <c r="R283" s="293"/>
      <c r="S283" s="293"/>
      <c r="T283" s="293"/>
      <c r="U283" s="293"/>
      <c r="V283" s="294"/>
      <c r="W283" s="42" t="s">
        <v>20</v>
      </c>
      <c r="X283" s="44">
        <f>ROUNDUP(SUM(BO22:BO278),0)</f>
        <v>41</v>
      </c>
      <c r="Y283" s="44">
        <f>ROUNDUP(SUM(BP22:BP278),0)</f>
        <v>41</v>
      </c>
      <c r="Z283" s="42"/>
      <c r="AA283" s="67"/>
      <c r="AB283" s="67"/>
      <c r="AC283" s="67"/>
    </row>
    <row r="284" spans="1:68" x14ac:dyDescent="0.2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6"/>
      <c r="P284" s="292" t="s">
        <v>36</v>
      </c>
      <c r="Q284" s="293"/>
      <c r="R284" s="293"/>
      <c r="S284" s="293"/>
      <c r="T284" s="293"/>
      <c r="U284" s="293"/>
      <c r="V284" s="294"/>
      <c r="W284" s="42" t="s">
        <v>0</v>
      </c>
      <c r="X284" s="43">
        <f>GrossWeightTotal+PalletQtyTotal*25</f>
        <v>18405.978800000001</v>
      </c>
      <c r="Y284" s="43">
        <f>GrossWeightTotalR+PalletQtyTotalR*25</f>
        <v>18405.978800000001</v>
      </c>
      <c r="Z284" s="42"/>
      <c r="AA284" s="67"/>
      <c r="AB284" s="67"/>
      <c r="AC284" s="67"/>
    </row>
    <row r="285" spans="1:68" x14ac:dyDescent="0.2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6"/>
      <c r="P285" s="292" t="s">
        <v>37</v>
      </c>
      <c r="Q285" s="293"/>
      <c r="R285" s="293"/>
      <c r="S285" s="293"/>
      <c r="T285" s="293"/>
      <c r="U285" s="293"/>
      <c r="V285" s="294"/>
      <c r="W285" s="42" t="s">
        <v>20</v>
      </c>
      <c r="X285" s="43">
        <f>IFERROR(X30+X36+X43+X49+X57+X62+X67+X73+X79+X84+X90+X100+X106+X119+X123+X127+X135+X141+X147+X153+X159+X164+X169+X174+X181+X186+X195+X201+X207+X213+X218+X223+X229+X235+X239+X245+X249+X256+X260+X266+X279,"0")</f>
        <v>3534</v>
      </c>
      <c r="Y285" s="43">
        <f>IFERROR(Y30+Y36+Y43+Y49+Y57+Y62+Y67+Y73+Y79+Y84+Y90+Y100+Y106+Y119+Y123+Y127+Y135+Y141+Y147+Y153+Y159+Y164+Y169+Y174+Y181+Y186+Y195+Y201+Y207+Y213+Y218+Y223+Y229+Y235+Y239+Y245+Y249+Y256+Y260+Y266+Y279,"0")</f>
        <v>3534</v>
      </c>
      <c r="Z285" s="42"/>
      <c r="AA285" s="67"/>
      <c r="AB285" s="67"/>
      <c r="AC285" s="67"/>
    </row>
    <row r="286" spans="1:68" ht="14.25" hidden="1" x14ac:dyDescent="0.2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6"/>
      <c r="P286" s="292" t="s">
        <v>38</v>
      </c>
      <c r="Q286" s="293"/>
      <c r="R286" s="293"/>
      <c r="S286" s="293"/>
      <c r="T286" s="293"/>
      <c r="U286" s="293"/>
      <c r="V286" s="294"/>
      <c r="W286" s="45" t="s">
        <v>52</v>
      </c>
      <c r="X286" s="42"/>
      <c r="Y286" s="42"/>
      <c r="Z286" s="42">
        <f>IFERROR(Z30+Z36+Z43+Z49+Z57+Z62+Z67+Z73+Z79+Z84+Z90+Z100+Z106+Z119+Z123+Z127+Z135+Z141+Z147+Z153+Z159+Z164+Z169+Z174+Z181+Z186+Z195+Z201+Z207+Z213+Z218+Z223+Z229+Z235+Z239+Z245+Z249+Z256+Z260+Z266+Z279,"0")</f>
        <v>52.146939999999994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289" t="s">
        <v>81</v>
      </c>
      <c r="C288" s="289" t="s">
        <v>81</v>
      </c>
      <c r="D288" s="289" t="s">
        <v>45</v>
      </c>
      <c r="E288" s="289" t="s">
        <v>45</v>
      </c>
      <c r="F288" s="289" t="s">
        <v>45</v>
      </c>
      <c r="G288" s="289" t="s">
        <v>45</v>
      </c>
      <c r="H288" s="289" t="s">
        <v>45</v>
      </c>
      <c r="I288" s="289" t="s">
        <v>45</v>
      </c>
      <c r="J288" s="289" t="s">
        <v>45</v>
      </c>
      <c r="K288" s="289" t="s">
        <v>45</v>
      </c>
      <c r="L288" s="289" t="s">
        <v>45</v>
      </c>
      <c r="M288" s="289" t="s">
        <v>45</v>
      </c>
      <c r="N288" s="297"/>
      <c r="O288" s="289" t="s">
        <v>45</v>
      </c>
      <c r="P288" s="289" t="s">
        <v>45</v>
      </c>
      <c r="Q288" s="289" t="s">
        <v>45</v>
      </c>
      <c r="R288" s="289" t="s">
        <v>45</v>
      </c>
      <c r="S288" s="289" t="s">
        <v>45</v>
      </c>
      <c r="T288" s="289" t="s">
        <v>45</v>
      </c>
      <c r="U288" s="289" t="s">
        <v>45</v>
      </c>
      <c r="V288" s="289" t="s">
        <v>278</v>
      </c>
      <c r="W288" s="289" t="s">
        <v>278</v>
      </c>
      <c r="X288" s="88" t="s">
        <v>289</v>
      </c>
      <c r="Y288" s="289" t="s">
        <v>303</v>
      </c>
      <c r="Z288" s="289" t="s">
        <v>303</v>
      </c>
      <c r="AA288" s="289" t="s">
        <v>303</v>
      </c>
      <c r="AB288" s="289" t="s">
        <v>303</v>
      </c>
      <c r="AC288" s="88" t="s">
        <v>332</v>
      </c>
      <c r="AD288" s="88" t="s">
        <v>337</v>
      </c>
      <c r="AE288" s="88" t="s">
        <v>345</v>
      </c>
      <c r="AF288" s="88" t="s">
        <v>352</v>
      </c>
    </row>
    <row r="289" spans="1:32" ht="14.25" customHeight="1" thickTop="1" x14ac:dyDescent="0.2">
      <c r="A289" s="290" t="s">
        <v>10</v>
      </c>
      <c r="B289" s="289" t="s">
        <v>81</v>
      </c>
      <c r="C289" s="289" t="s">
        <v>106</v>
      </c>
      <c r="D289" s="289" t="s">
        <v>112</v>
      </c>
      <c r="E289" s="289" t="s">
        <v>123</v>
      </c>
      <c r="F289" s="289" t="s">
        <v>130</v>
      </c>
      <c r="G289" s="289" t="s">
        <v>141</v>
      </c>
      <c r="H289" s="289" t="s">
        <v>159</v>
      </c>
      <c r="I289" s="289" t="s">
        <v>166</v>
      </c>
      <c r="J289" s="289" t="s">
        <v>170</v>
      </c>
      <c r="K289" s="289" t="s">
        <v>178</v>
      </c>
      <c r="L289" s="289" t="s">
        <v>194</v>
      </c>
      <c r="M289" s="289" t="s">
        <v>201</v>
      </c>
      <c r="N289" s="1"/>
      <c r="O289" s="289" t="s">
        <v>231</v>
      </c>
      <c r="P289" s="289" t="s">
        <v>249</v>
      </c>
      <c r="Q289" s="289" t="s">
        <v>255</v>
      </c>
      <c r="R289" s="289" t="s">
        <v>262</v>
      </c>
      <c r="S289" s="289" t="s">
        <v>267</v>
      </c>
      <c r="T289" s="289" t="s">
        <v>271</v>
      </c>
      <c r="U289" s="289" t="s">
        <v>274</v>
      </c>
      <c r="V289" s="289" t="s">
        <v>279</v>
      </c>
      <c r="W289" s="289" t="s">
        <v>286</v>
      </c>
      <c r="X289" s="289" t="s">
        <v>290</v>
      </c>
      <c r="Y289" s="289" t="s">
        <v>304</v>
      </c>
      <c r="Z289" s="289" t="s">
        <v>317</v>
      </c>
      <c r="AA289" s="289" t="s">
        <v>324</v>
      </c>
      <c r="AB289" s="289" t="s">
        <v>328</v>
      </c>
      <c r="AC289" s="289" t="s">
        <v>333</v>
      </c>
      <c r="AD289" s="289" t="s">
        <v>338</v>
      </c>
      <c r="AE289" s="289" t="s">
        <v>345</v>
      </c>
      <c r="AF289" s="289" t="s">
        <v>352</v>
      </c>
    </row>
    <row r="290" spans="1:32" ht="13.5" thickBot="1" x14ac:dyDescent="0.25">
      <c r="A290" s="291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1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825.6</v>
      </c>
      <c r="C291" s="52">
        <f>IFERROR(X34*H34,"0")+IFERROR(X35*H35,"0")</f>
        <v>307.20000000000005</v>
      </c>
      <c r="D291" s="52">
        <f>IFERROR(X41*H41,"0")+IFERROR(X42*H42,"0")</f>
        <v>231</v>
      </c>
      <c r="E291" s="52">
        <f>IFERROR(X47*H47,"0")+IFERROR(X48*H48,"0")</f>
        <v>67.199999999999989</v>
      </c>
      <c r="F291" s="52">
        <f>IFERROR(X53*H53,"0")+IFERROR(X54*H54,"0")+IFERROR(X55*H55,"0")+IFERROR(X56*H56,"0")</f>
        <v>2176.8000000000002</v>
      </c>
      <c r="G291" s="52">
        <f>IFERROR(X61*H61,"0")+IFERROR(X65*H65,"0")+IFERROR(X66*H66,"0")+IFERROR(X70*H70,"0")+IFERROR(X71*H71,"0")+IFERROR(X72*H72,"0")</f>
        <v>50.400000000000006</v>
      </c>
      <c r="H291" s="52">
        <f>IFERROR(X77*H77,"0")+IFERROR(X78*H78,"0")</f>
        <v>840</v>
      </c>
      <c r="I291" s="52">
        <f>IFERROR(X83*H83,"0")</f>
        <v>0</v>
      </c>
      <c r="J291" s="52">
        <f>IFERROR(X88*H88,"0")+IFERROR(X89*H89,"0")</f>
        <v>100.8</v>
      </c>
      <c r="K291" s="52">
        <f>IFERROR(X94*H94,"0")+IFERROR(X95*H95,"0")+IFERROR(X96*H96,"0")+IFERROR(X97*H97,"0")+IFERROR(X98*H98,"0")+IFERROR(X99*H99,"0")</f>
        <v>663.59999999999991</v>
      </c>
      <c r="L291" s="52">
        <f>IFERROR(X104*H104,"0")+IFERROR(X105*H105,"0")</f>
        <v>60.480000000000004</v>
      </c>
      <c r="M291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3477.6</v>
      </c>
      <c r="N291" s="1"/>
      <c r="O291" s="52">
        <f>IFERROR(X131*H131,"0")+IFERROR(X132*H132,"0")+IFERROR(X133*H133,"0")+IFERROR(X134*H134,"0")+IFERROR(X138*H138,"0")+IFERROR(X139*H139,"0")+IFERROR(X140*H140,"0")</f>
        <v>210.83999999999997</v>
      </c>
      <c r="P291" s="52">
        <f>IFERROR(X145*H145,"0")+IFERROR(X146*H146,"0")</f>
        <v>966</v>
      </c>
      <c r="Q291" s="52">
        <f>IFERROR(X151*H151,"0")+IFERROR(X152*H152,"0")</f>
        <v>84</v>
      </c>
      <c r="R291" s="52">
        <f>IFERROR(X157*H157,"0")+IFERROR(X158*H158,"0")</f>
        <v>235.2</v>
      </c>
      <c r="S291" s="52">
        <f>IFERROR(X163*H163,"0")</f>
        <v>126</v>
      </c>
      <c r="T291" s="52">
        <f>IFERROR(X168*H168,"0")</f>
        <v>37.800000000000004</v>
      </c>
      <c r="U291" s="52">
        <f>IFERROR(X173*H173,"0")</f>
        <v>0</v>
      </c>
      <c r="V291" s="52">
        <f>IFERROR(X179*H179,"0")+IFERROR(X180*H180,"0")</f>
        <v>660</v>
      </c>
      <c r="W291" s="52">
        <f>IFERROR(X185*H185,"0")</f>
        <v>660</v>
      </c>
      <c r="X291" s="52">
        <f>IFERROR(X191*H191,"0")+IFERROR(X192*H192,"0")+IFERROR(X193*H193,"0")+IFERROR(X194*H194,"0")</f>
        <v>836.64</v>
      </c>
      <c r="Y291" s="52">
        <f>IFERROR(X200*H200,"0")+IFERROR(X204*H204,"0")+IFERROR(X205*H205,"0")+IFERROR(X206*H206,"0")</f>
        <v>72.240000000000009</v>
      </c>
      <c r="Z291" s="52">
        <f>IFERROR(X211*H211,"0")+IFERROR(X212*H212,"0")</f>
        <v>0</v>
      </c>
      <c r="AA291" s="52">
        <f>IFERROR(X217*H217,"0")</f>
        <v>60</v>
      </c>
      <c r="AB291" s="52">
        <f>IFERROR(X222*H222,"0")</f>
        <v>0</v>
      </c>
      <c r="AC291" s="52">
        <f>IFERROR(X228*H228,"0")</f>
        <v>0</v>
      </c>
      <c r="AD291" s="52">
        <f>IFERROR(X234*H234,"0")+IFERROR(X238*H238,"0")</f>
        <v>0</v>
      </c>
      <c r="AE291" s="52">
        <f>IFERROR(X244*H244,"0")+IFERROR(X248*H248,"0")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3300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9074.4</v>
      </c>
      <c r="B294" s="72">
        <f>SUMPRODUCT(--(BB:BB="ПГП"),--(W:W="кор"),H:H,Y:Y)+SUMPRODUCT(--(BB:BB="ПГП"),--(W:W="кг"),Y:Y)</f>
        <v>6975</v>
      </c>
      <c r="C294" s="72">
        <f>SUMPRODUCT(--(BB:BB="КИЗ"),--(W:W="кор"),H:H,Y:Y)+SUMPRODUCT(--(BB:BB="КИЗ"),--(W:W="кг"),Y:Y)</f>
        <v>0</v>
      </c>
    </row>
  </sheetData>
  <sheetProtection algorithmName="SHA-512" hashValue="1SMODQG15xj3uNBcAu287HlDOwsAn5s9Dj0Ph/VRZjVK5zPU4+/zY1pxz3UCruaLWiH/Xx71KFLckE3aTmZ0pQ==" saltValue="jhphcYpEuJAjDXV1A/gv3g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0,00"/>
        <filter val="1 584,00"/>
        <filter val="100,80"/>
        <filter val="108,00"/>
        <filter val="112,00"/>
        <filter val="12,00"/>
        <filter val="120,00"/>
        <filter val="126,00"/>
        <filter val="132,00"/>
        <filter val="14,00"/>
        <filter val="140,00"/>
        <filter val="154,00"/>
        <filter val="16 049,40"/>
        <filter val="168,00"/>
        <filter val="17 380,98"/>
        <filter val="18 405,98"/>
        <filter val="180,00"/>
        <filter val="182,00"/>
        <filter val="192,00"/>
        <filter val="2 176,80"/>
        <filter val="210,84"/>
        <filter val="224,00"/>
        <filter val="231,00"/>
        <filter val="235,20"/>
        <filter val="264,00"/>
        <filter val="276,00"/>
        <filter val="28,00"/>
        <filter val="280,00"/>
        <filter val="3 477,60"/>
        <filter val="3 534,00"/>
        <filter val="307,20"/>
        <filter val="312,00"/>
        <filter val="322,00"/>
        <filter val="33,60"/>
        <filter val="336,00"/>
        <filter val="36,00"/>
        <filter val="37,80"/>
        <filter val="38,64"/>
        <filter val="41"/>
        <filter val="42,00"/>
        <filter val="48,00"/>
        <filter val="50,40"/>
        <filter val="504,00"/>
        <filter val="56,00"/>
        <filter val="60,00"/>
        <filter val="60,48"/>
        <filter val="660,00"/>
        <filter val="663,60"/>
        <filter val="67,20"/>
        <filter val="70,00"/>
        <filter val="72,00"/>
        <filter val="825,60"/>
        <filter val="836,64"/>
        <filter val="84,00"/>
        <filter val="840,00"/>
        <filter val="96,00"/>
        <filter val="966,00"/>
        <filter val="98,00"/>
      </filters>
    </filterColumn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T289:T290"/>
    <mergeCell ref="U289:U290"/>
    <mergeCell ref="V289:V290"/>
    <mergeCell ref="W289:W290"/>
    <mergeCell ref="X289:X290"/>
    <mergeCell ref="P281:V281"/>
    <mergeCell ref="A281:O286"/>
    <mergeCell ref="P282:V282"/>
    <mergeCell ref="P283:V283"/>
    <mergeCell ref="P284:V284"/>
    <mergeCell ref="P285:V285"/>
    <mergeCell ref="P286:V286"/>
    <mergeCell ref="B288:C288"/>
    <mergeCell ref="D288:U288"/>
    <mergeCell ref="V288:W288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Y289:Y290"/>
    <mergeCell ref="Z289:Z290"/>
    <mergeCell ref="AA289:AA290"/>
    <mergeCell ref="AB289:AB290"/>
    <mergeCell ref="AC289:AC290"/>
    <mergeCell ref="AD289:AD290"/>
    <mergeCell ref="AE289:AE290"/>
    <mergeCell ref="AF289:AF290"/>
    <mergeCell ref="Y288:AB28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4 X238 X234 X228 X222 X211:X212 X204 X194 X185 X173 X157 X151:X152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17 X205:X206 X200 X191:X193 X179:X180 X168 X163 X158 X145:X146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O7UgjMboGYN+U/XYugWlPxcTrPq7GXpSrwt4yWQjRI9Aw6WooGQAUPRI4FqLNKidRsdbaDwcMlikqg8nGCywkA==" saltValue="+hNfV6iRY3Gq8jvvVm6/r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