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E56741-B4B4-4A6A-9060-844A5DA55B6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N59" i="2"/>
  <c r="BM59" i="2"/>
  <c r="Z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95" i="2" l="1"/>
  <c r="BN106" i="2"/>
  <c r="BN128" i="2"/>
  <c r="BN195" i="2"/>
  <c r="BN244" i="2"/>
  <c r="BN263" i="2"/>
  <c r="BN289" i="2"/>
  <c r="BN293" i="2"/>
  <c r="BN306" i="2"/>
  <c r="BN314" i="2"/>
  <c r="BN322" i="2"/>
  <c r="BN411" i="2"/>
  <c r="BN437" i="2"/>
  <c r="Y463" i="2"/>
  <c r="BN506" i="2"/>
  <c r="BN23" i="2"/>
  <c r="BN30" i="2"/>
  <c r="Z37" i="2"/>
  <c r="BN40" i="2"/>
  <c r="Z49" i="2"/>
  <c r="Z58" i="2"/>
  <c r="Z95" i="2"/>
  <c r="BP114" i="2"/>
  <c r="BN157" i="2"/>
  <c r="BN184" i="2"/>
  <c r="BN187" i="2"/>
  <c r="Y198" i="2"/>
  <c r="BN257" i="2"/>
  <c r="BN299" i="2"/>
  <c r="Y315" i="2"/>
  <c r="Y341" i="2"/>
  <c r="BN349" i="2"/>
  <c r="BN482" i="2"/>
  <c r="BP523" i="2"/>
  <c r="BN525" i="2"/>
  <c r="BP27" i="2"/>
  <c r="BP39" i="2"/>
  <c r="BP58" i="2"/>
  <c r="BN115" i="2"/>
  <c r="BN125" i="2"/>
  <c r="BP139" i="2"/>
  <c r="Y280" i="2"/>
  <c r="BN480" i="2"/>
  <c r="BN513" i="2"/>
  <c r="Z31" i="2"/>
  <c r="BP48" i="2"/>
  <c r="Z64" i="2"/>
  <c r="BP64" i="2"/>
  <c r="Y81" i="2"/>
  <c r="BN93" i="2"/>
  <c r="Z106" i="2"/>
  <c r="BN107" i="2"/>
  <c r="BN116" i="2"/>
  <c r="Z139" i="2"/>
  <c r="Z169" i="2"/>
  <c r="BP169" i="2"/>
  <c r="BN236" i="2"/>
  <c r="BP262" i="2"/>
  <c r="Z272" i="2"/>
  <c r="BP272" i="2"/>
  <c r="BN279" i="2"/>
  <c r="BN283" i="2"/>
  <c r="BP450" i="2"/>
  <c r="Y521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BN331" i="2"/>
  <c r="BN367" i="2"/>
  <c r="BN375" i="2"/>
  <c r="Z379" i="2"/>
  <c r="BN392" i="2"/>
  <c r="Y396" i="2"/>
  <c r="BN401" i="2"/>
  <c r="BN425" i="2"/>
  <c r="BP37" i="2"/>
  <c r="BN60" i="2"/>
  <c r="BN80" i="2"/>
  <c r="BP85" i="2"/>
  <c r="BN86" i="2"/>
  <c r="Z126" i="2"/>
  <c r="Z195" i="2"/>
  <c r="BN211" i="2"/>
  <c r="Z215" i="2"/>
  <c r="Y241" i="2"/>
  <c r="BN232" i="2"/>
  <c r="Z236" i="2"/>
  <c r="BP275" i="2"/>
  <c r="BN277" i="2"/>
  <c r="Z279" i="2"/>
  <c r="Z283" i="2"/>
  <c r="BN285" i="2"/>
  <c r="Y300" i="2"/>
  <c r="BP324" i="2"/>
  <c r="BN347" i="2"/>
  <c r="Z349" i="2"/>
  <c r="BN360" i="2"/>
  <c r="BN371" i="2"/>
  <c r="BP385" i="2"/>
  <c r="BN387" i="2"/>
  <c r="BN393" i="2"/>
  <c r="BN426" i="2"/>
  <c r="BN438" i="2"/>
  <c r="BN456" i="2"/>
  <c r="BN462" i="2"/>
  <c r="BP510" i="2"/>
  <c r="BN511" i="2"/>
  <c r="Z519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9" i="2" l="1"/>
  <c r="Z300" i="2"/>
  <c r="Z218" i="2"/>
  <c r="Z553" i="2"/>
  <c r="Z530" i="2"/>
  <c r="Z484" i="2"/>
  <c r="Z99" i="2"/>
  <c r="Z32" i="2"/>
  <c r="Z414" i="2"/>
  <c r="Z325" i="2"/>
  <c r="Z452" i="2"/>
  <c r="Z177" i="2"/>
  <c r="Z198" i="2"/>
  <c r="Z463" i="2"/>
  <c r="Z172" i="2"/>
  <c r="Z68" i="2"/>
  <c r="Z395" i="2"/>
  <c r="Z402" i="2"/>
  <c r="Z161" i="2"/>
  <c r="Z520" i="2"/>
  <c r="Z38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<sst xmlns="http://schemas.openxmlformats.org/spreadsheetml/2006/main" count="4310" uniqueCount="900">
  <si>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</si>
  <si>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</si>
  <si>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</si>
  <si>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</si>
  <si>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</si>
  <si>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</si>
  <si>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</si>
  <si>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</si>
  <si>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</si>
  <si>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</si>
  <si>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</si>
  <si>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</si>
  <si>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</si>
  <si>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</si>
  <si>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</si>
  <si>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</si>
  <si>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</si>
  <si>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</si>
  <si>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</si>
  <si>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</si>
  <si>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</si>
  <si>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</si>
  <si>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</si>
  <si>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</si>
  <si>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</si>
  <si>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</si>
  <si>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</si>
  <si>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</si>
  <si>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</si>
  <si>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</si>
  <si>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</si>
  <si>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</si>
  <si>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</si>
  <si>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</si>
  <si>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</si>
  <si>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</si>
  <si>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</si>
  <si>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</si>
  <si>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</si>
  <si>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</si>
  <si>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</si>
  <si>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</si>
  <si>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</si>
  <si>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</si>
  <si>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</si>
  <si>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</si>
  <si>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</si>
  <si>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</si>
  <si>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</si>
  <si>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</si>
  <si>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</si>
  <si>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</si>
  <si>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</si>
  <si>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</si>
  <si>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</si>
  <si>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</si>
  <si>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</si>
  <si>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</si>
  <si>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</si>
  <si>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</si>
  <si>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</si>
  <si>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</si>
  <si>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</si>
  <si>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</si>
  <si>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</si>
  <si>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</si>
  <si>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</si>
  <si>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</si>
  <si>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</si>
  <si>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</si>
  <si>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</si>
  <si>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</si>
  <si>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</si>
  <si>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</si>
  <si>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</si>
  <si>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</si>
  <si>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</si>
  <si>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</si>
  <si>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</si>
  <si>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</si>
  <si>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</si>
  <si>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</si>
  <si>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</si>
  <si>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</si>
  <si>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</si>
  <si>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</si>
  <si>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</si>
  <si>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</si>
  <si>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</si>
  <si>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</si>
  <si>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</si>
  <si>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</si>
  <si>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</si>
  <si>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</si>
  <si>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</si>
  <si>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</si>
  <si>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</si>
  <si>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</si>
  <si>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</si>
  <si>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</si>
  <si>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</si>
  <si>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</si>
  <si>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</si>
  <si>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</si>
  <si>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</si>
  <si>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</si>
  <si>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</si>
  <si>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</si>
  <si>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</si>
  <si>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</si>
  <si>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</si>
  <si>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</si>
  <si>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</si>
  <si>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</si>
  <si>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</si>
  <si>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</si>
  <si>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</si>
  <si>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</si>
  <si>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</si>
  <si>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</si>
  <si>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</si>
  <si>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</si>
  <si>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</si>
  <si>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</si>
  <si>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</si>
  <si>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</si>
  <si>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</si>
  <si>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</si>
  <si>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</si>
  <si>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</si>
  <si>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</si>
  <si>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</si>
  <si>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</si>
  <si>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</si>
  <si>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</si>
  <si>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</si>
  <si>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</si>
  <si>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</si>
  <si>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</si>
  <si>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</si>
  <si>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</si>
  <si>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</si>
  <si>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</si>
  <si>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</si>
  <si>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</si>
  <si>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</si>
  <si>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</si>
  <si>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</si>
  <si>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</si>
  <si>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</si>
  <si>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</si>
  <si>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</si>
  <si>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</si>
  <si>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</si>
  <si>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</si>
  <si>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</si>
  <si>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</si>
  <si>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</si>
  <si>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</si>
  <si>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</si>
  <si>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</si>
  <si>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</si>
  <si>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</si>
  <si>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</si>
  <si>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</si>
  <si>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</si>
  <si>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</si>
  <si>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</si>
  <si>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</si>
  <si>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</si>
  <si>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</si>
  <si>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</si>
  <si>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</si>
  <si>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</si>
  <si>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</si>
  <si>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</si>
  <si>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</si>
  <si>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</si>
  <si>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</si>
  <si>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</si>
  <si>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</si>
  <si>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</si>
  <si>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</si>
  <si>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</si>
  <si>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</si>
  <si>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</si>
  <si>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</si>
  <si>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</si>
  <si>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</si>
  <si>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</si>
  <si>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</si>
  <si>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</si>
  <si>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</si>
  <si>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</si>
  <si>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</si>
  <si>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</si>
  <si>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</si>
  <si>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</si>
  <si>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</si>
  <si>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</si>
  <si>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</si>
  <si>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</si>
  <si>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</si>
  <si>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</si>
  <si>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</si>
  <si>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</si>
  <si>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</si>
  <si>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</si>
  <si>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</si>
  <si>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</si>
  <si>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</si>
  <si>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</si>
  <si>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</si>
  <si>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</si>
  <si>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</si>
  <si>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</si>
  <si>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</si>
  <si>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</si>
  <si>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</si>
  <si>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</si>
  <si>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</si>
  <si>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</si>
  <si>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</si>
  <si>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</si>
  <si>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</si>
  <si>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</si>
  <si>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</si>
  <si>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</si>
  <si>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</si>
  <si>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</si>
  <si>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</si>
  <si>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</si>
  <si>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</si>
  <si>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</si>
  <si>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</si>
  <si>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</si>
  <si>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</si>
  <si>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</si>
  <si>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</si>
  <si>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</si>
  <si>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</si>
  <si>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</si>
  <si>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</si>
  <si>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</si>
  <si>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</si>
  <si>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</si>
  <si>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</si>
  <si>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</si>
  <si>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</si>
  <si>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</si>
  <si>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</si>
  <si>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</si>
  <si>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</si>
  <si>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</si>
  <si>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</si>
  <si>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</si>
  <si>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</si>
  <si>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</si>
  <si>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</si>
  <si>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</si>
  <si>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</si>
  <si>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</si>
  <si>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</si>
  <si>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</si>
  <si>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</si>
  <si>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</si>
  <si>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</si>
  <si>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</si>
  <si>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</si>
  <si>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</si>
  <si>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</si>
  <si>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</si>
  <si>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</si>
  <si>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</si>
  <si>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</si>
  <si>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</si>
  <si>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</si>
  <si>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</si>
  <si>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</si>
  <si>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</si>
  <si>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</si>
  <si>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</si>
  <si>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</si>
  <si>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</si>
  <si>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</si>
  <si>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</si>
  <si>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</si>
  <si>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</si>
  <si>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</si>
  <si>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</si>
  <si>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</si>
  <si>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</si>
  <si>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</si>
  <si>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</si>
  <si>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</si>
  <si>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</si>
  <si>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</si>
  <si>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</si>
  <si>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</si>
  <si>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</si>
  <si>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</si>
  <si>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</si>
  <si>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</si>
  <si>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</si>
  <si>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</si>
  <si>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</si>
  <si>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</si>
  <si>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</si>
  <si>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</si>
  <si>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</si>
  <si>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</si>
  <si>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</si>
  <si>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</si>
  <si>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</si>
  <si>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</si>
  <si>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</si>
  <si>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</si>
  <si>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</si>
  <si>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</si>
  <si>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</si>
  <si>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</si>
  <si>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</si>
  <si>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</si>
  <si>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</si>
  <si>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</si>
  <si>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</si>
  <si>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</si>
  <si>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</si>
  <si>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</si>
  <si>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</si>
  <si>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</si>
  <si>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</si>
  <si>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</si>
  <si>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</si>
  <si>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</si>
  <si>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</si>
  <si>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</si>
  <si>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</si>
  <si>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</si>
  <si>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</si>
  <si>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</si>
  <si>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</si>
  <si>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</si>
  <si>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</si>
  <si>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</si>
  <si>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</si>
  <si>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</si>
  <si>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</si>
  <si>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</si>
  <si>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</si>
  <si>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</si>
  <si>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</si>
  <si>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</si>
  <si>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</si>
  <si>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</si>
  <si>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</si>
  <si>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</si>
  <si>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</si>
  <si>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</si>
  <si>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</si>
  <si>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</si>
  <si>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</si>
  <si>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</si>
  <si>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</si>
  <si>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</si>
  <si>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</si>
  <si>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</si>
  <si>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</si>
  <si>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</si>
  <si>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</si>
  <si>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</si>
  <si>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</si>
  <si>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</si>
  <si>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</si>
  <si>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</si>
  <si>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</si>
  <si>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</si>
  <si>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</si>
  <si>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</si>
  <si>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</si>
  <si>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</si>
  <si>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</si>
  <si>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</si>
  <si>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</si>
  <si>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</si>
  <si>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</si>
  <si>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</si>
  <si>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</si>
  <si>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</si>
  <si>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</si>
  <si>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</si>
  <si>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</si>
  <si>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</si>
  <si>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</si>
  <si>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</si>
  <si>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</si>
  <si>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</si>
  <si>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</si>
  <si>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</si>
  <si>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</si>
  <si>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</si>
  <si>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</si>
  <si>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</si>
  <si>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</si>
  <si>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</si>
  <si>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</si>
  <si>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</si>
  <si>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</si>
  <si>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</si>
  <si>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</si>
  <si>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</si>
  <si>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</si>
  <si>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</si>
  <si>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</si>
  <si>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</si>
  <si>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</si>
  <si>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</si>
  <si>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</si>
  <si>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</si>
  <si>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</si>
  <si>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</si>
  <si>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</si>
  <si>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</si>
  <si>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</si>
  <si>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</si>
  <si>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</si>
  <si>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</si>
  <si>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</si>
  <si>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</si>
  <si>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</si>
  <si>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</si>
  <si>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</si>
  <si>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</si>
  <si>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</si>
  <si>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</si>
  <si>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</si>
  <si>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</si>
  <si>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</si>
  <si>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</si>
  <si>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</si>
  <si>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</si>
  <si>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</si>
  <si>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</si>
  <si>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</si>
  <si>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</si>
  <si>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</si>
  <si>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</si>
  <si>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</si>
  <si>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</si>
  <si>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</si>
  <si>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</si>
  <si>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</si>
  <si>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</si>
  <si>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</si>
  <si>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</si>
  <si>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</si>
  <si>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</si>
  <si>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</si>
  <si>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</si>
  <si>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</si>
  <si>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</si>
  <si>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</si>
  <si>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</si>
  <si>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</si>
  <si>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</si>
  <si>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</si>
  <si>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</si>
  <si>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</si>
  <si>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</si>
  <si>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</si>
  <si>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</si>
  <si>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</si>
  <si>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</si>
  <si>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</si>
  <si>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</si>
  <si>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</si>
  <si>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</si>
  <si>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</si>
  <si>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</si>
  <si>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</si>
  <si>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</si>
  <si>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</si>
  <si>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</si>
  <si>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</si>
  <si>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</si>
  <si>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</si>
  <si>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</si>
  <si>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</si>
  <si>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</si>
  <si>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</si>
  <si>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</si>
  <si>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</si>
  <si>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</si>
  <si>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</si>
  <si>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</si>
  <si>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</si>
  <si>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</si>
  <si>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</si>
  <si>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</si>
  <si>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</si>
  <si>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</si>
  <si>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</si>
  <si>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</si>
  <si>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</si>
  <si>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</si>
  <si>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</si>
  <si>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</si>
  <si>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</si>
  <si>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</si>
  <si>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</si>
  <si>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</si>
  <si>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</si>
  <si>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</si>
  <si>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</si>
  <si>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</si>
  <si>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</si>
  <si>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</si>
  <si>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</si>
  <si>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</si>
  <si>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</si>
  <si>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</si>
  <si>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</si>
  <si>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</si>
  <si>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</si>
  <si>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</si>
  <si>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</si>
  <si>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</si>
  <si>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</si>
  <si>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</si>
  <si>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</si>
  <si>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</si>
  <si>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</si>
  <si>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</si>
  <si>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</si>
  <si>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</si>
  <si>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</si>
  <si>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</si>
  <si>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</si>
  <si>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</si>
  <si>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</si>
  <si>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</si>
  <si>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</si>
  <si>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</si>
  <si>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</si>
  <si>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</si>
  <si>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</si>
  <si>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</si>
  <si>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</si>
  <si>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</si>
  <si>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</si>
  <si>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</si>
  <si>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</si>
  <si>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</si>
  <si>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</si>
  <si>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</si>
  <si>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</si>
  <si>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</si>
  <si>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</si>
  <si>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</si>
  <si>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</si>
  <si>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</si>
  <si>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</si>
  <si>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</si>
  <si>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</si>
  <si>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</si>
  <si>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</si>
  <si>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</si>
  <si>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</si>
  <si>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</si>
  <si>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</si>
  <si>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</si>
  <si>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</si>
  <si>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</si>
  <si>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</si>
  <si>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</si>
  <si>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</si>
  <si>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</si>
  <si>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</si>
  <si>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</si>
  <si>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</si>
  <si>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</si>
  <si>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</si>
  <si>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</si>
  <si>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</si>
  <si>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</si>
  <si>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</si>
  <si>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</si>
  <si>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</si>
  <si>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</si>
  <si>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</si>
  <si>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</si>
  <si>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</si>
  <si>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</si>
  <si>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</si>
  <si>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</si>
  <si>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</si>
  <si>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</si>
  <si>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</si>
  <si>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</si>
  <si>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</si>
  <si>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</si>
  <si>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</si>
  <si>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</si>
  <si>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</si>
  <si>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</si>
  <si>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</si>
  <si>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</si>
  <si>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</si>
  <si>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</si>
  <si>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</si>
  <si>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</si>
  <si>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</si>
  <si>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</si>
  <si>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</si>
  <si>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</si>
  <si>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</si>
  <si>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</si>
  <si>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</si>
  <si>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</si>
  <si>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</si>
  <si>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</si>
  <si>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</si>
  <si>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</si>
  <si>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</si>
  <si>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</si>
  <si>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</si>
  <si>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</si>
  <si>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</si>
  <si>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</si>
  <si>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</si>
  <si>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</si>
  <si>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</si>
  <si>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</si>
  <si>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</si>
  <si>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</si>
  <si>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</si>
  <si>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</si>
  <si>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</si>
  <si>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</si>
  <si>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</si>
  <si>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</si>
  <si>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</si>
  <si>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</si>
  <si>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</si>
  <si>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</si>
  <si>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</si>
  <si>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</si>
  <si>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</si>
  <si>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</si>
  <si>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</si>
  <si>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</si>
  <si>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</si>
  <si>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</si>
  <si>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</si>
  <si>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</si>
  <si>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</si>
  <si>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</si>
  <si>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</si>
  <si>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</si>
  <si>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</si>
  <si>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</si>
  <si>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</si>
  <si>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</si>
  <si>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</si>
  <si>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</si>
  <si>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</si>
  <si>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</si>
  <si>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</si>
  <si>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</si>
  <si>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</si>
  <si>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</si>
  <si>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</si>
  <si>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</si>
  <si>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</si>
  <si>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</si>
  <si>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</si>
  <si>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</si>
  <si>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</si>
  <si>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</si>
  <si>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</si>
  <si>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</si>
  <si>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</si>
  <si>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</si>
  <si>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</si>
  <si>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</si>
  <si>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</si>
  <si>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</si>
  <si>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</si>
  <si>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</si>
  <si>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</si>
  <si>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</si>
  <si>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</si>
  <si>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</si>
  <si>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</si>
  <si>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</si>
  <si>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</si>
  <si>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</si>
  <si>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</si>
  <si>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</si>
  <si>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</si>
  <si>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</si>
  <si>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</si>
  <si>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</si>
  <si>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</si>
  <si>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</si>
  <si>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</si>
  <si>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</si>
  <si>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</si>
  <si>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</si>
  <si>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</si>
  <si>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</si>
  <si>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</si>
  <si>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</si>
  <si>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</si>
  <si>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</si>
  <si>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</si>
  <si>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</si>
  <si>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</si>
  <si>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</si>
  <si>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</si>
  <si>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</si>
  <si>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</si>
  <si>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</si>
  <si>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</si>
  <si>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</si>
  <si>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</si>
  <si>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</si>
  <si>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</si>
  <si>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</si>
  <si>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</si>
  <si>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</si>
  <si>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</si>
  <si>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</si>
  <si>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</si>
  <si>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</si>
  <si>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</si>
  <si>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</si>
  <si>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</si>
  <si>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</si>
  <si>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</si>
  <si>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</si>
  <si>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</si>
  <si>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</si>
  <si>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</si>
  <si>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</si>
  <si>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</si>
  <si>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</si>
  <si>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</si>
  <si>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</si>
  <si>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</si>
  <si>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</si>
  <si>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</si>
  <si>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</si>
  <si>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</si>
  <si>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</si>
  <si>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</si>
  <si>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</si>
  <si>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</si>
  <si>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</si>
  <si>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</si>
  <si>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</si>
  <si>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</si>
  <si>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</si>
  <si>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</si>
  <si>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</si>
  <si>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</si>
  <si>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</si>
  <si>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</si>
  <si>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</si>
  <si>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</si>
  <si>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</si>
  <si>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</si>
  <si>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</si>
  <si>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</si>
  <si>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</si>
  <si>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</si>
  <si>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</si>
  <si>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</si>
  <si>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</si>
  <si>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</si>
  <si>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</si>
  <si>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</si>
  <si>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</si>
  <si>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</si>
  <si>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</si>
  <si>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</si>
  <si>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</si>
  <si>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</si>
  <si>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</si>
  <si>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</si>
  <si>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</si>
  <si>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</si>
  <si>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</si>
  <si>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</si>
  <si>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</si>
  <si>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</si>
  <si>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</si>
  <si>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</si>
  <si>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</si>
  <si>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</si>
  <si>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</si>
  <si>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</si>
  <si>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</si>
  <si>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</si>
  <si>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</si>
  <si>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</si>
  <si>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</si>
  <si>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</si>
  <si>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</si>
  <si>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</si>
  <si>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</si>
  <si>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</si>
  <si>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</si>
  <si>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</si>
  <si>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</si>
  <si>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</si>
  <si>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</si>
  <si>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</si>
  <si>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</si>
  <si>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</si>
  <si>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</si>
  <si>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</si>
  <si>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</si>
  <si>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</si>
  <si>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</si>
  <si>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</si>
  <si>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</si>
  <si>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</si>
  <si>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</si>
  <si>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</si>
  <si>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</si>
  <si>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</si>
  <si>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</si>
  <si>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</si>
  <si>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</si>
  <si>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</si>
  <si>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</si>
  <si>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</si>
  <si>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</si>
  <si>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</si>
  <si>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</si>
  <si>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</si>
  <si>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</si>
  <si>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</si>
  <si>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</si>
  <si>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</si>
  <si>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</si>
  <si>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</si>
  <si>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</si>
  <si>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</si>
  <si>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</si>
  <si>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</si>
  <si>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</si>
  <si>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</si>
  <si>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</si>
  <si>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</si>
  <si>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</si>
  <si>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</si>
  <si>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</si>
  <si>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</si>
  <si>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</si>
  <si>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</si>
  <si>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</si>
  <si>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</si>
  <si>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</si>
  <si>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</si>
  <si>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</si>
  <si>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</si>
  <si>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</si>
  <si>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</si>
  <si>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</si>
  <si>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</si>
  <si>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</si>
  <si>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</si>
  <si>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</si>
  <si>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</si>
  <si>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</si>
  <si>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</si>
  <si>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</si>
  <si>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</si>
  <si>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</si>
  <si>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</si>
  <si>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</si>
  <si>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</si>
  <si>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</si>
  <si>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</si>
  <si>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</si>
  <si>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</si>
  <si>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</si>
  <si>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</si>
  <si>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</si>
  <si>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</si>
  <si>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</si>
  <si>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</si>
  <si>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</si>
  <si>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</si>
  <si>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</si>
  <si>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</si>
  <si>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</si>
  <si>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за 07,09,26 на 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</si>
</sst>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46273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0.45833333333333331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700</v>
      </c>
      <c r="Y433" s="55">
        <f t="shared" si="68"/>
        <v>705</v>
      </c>
      <c r="Z433" s="41">
        <f>IFERROR(IF(Y433=0,"",ROUNDUP(Y433/H433,0)*0.02175),"")</f>
        <v>1.0222499999999999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721.93333333333328</v>
      </c>
      <c r="BN433" s="78">
        <f t="shared" si="70"/>
        <v>727.09</v>
      </c>
      <c r="BO433" s="78">
        <f t="shared" si="71"/>
        <v>0.9722222222222221</v>
      </c>
      <c r="BP433" s="78">
        <f t="shared" si="72"/>
        <v>0.97916666666666663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700</v>
      </c>
      <c r="Y434" s="55">
        <f t="shared" si="68"/>
        <v>705</v>
      </c>
      <c r="Z434" s="41">
        <f>IFERROR(IF(Y434=0,"",ROUNDUP(Y434/H434,0)*0.02175),"")</f>
        <v>1.0222499999999999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721.93333333333328</v>
      </c>
      <c r="BN434" s="78">
        <f t="shared" si="70"/>
        <v>727.09</v>
      </c>
      <c r="BO434" s="78">
        <f t="shared" si="71"/>
        <v>0.9722222222222221</v>
      </c>
      <c r="BP434" s="78">
        <f t="shared" si="72"/>
        <v>0.97916666666666663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700</v>
      </c>
      <c r="Y435" s="55">
        <f t="shared" si="68"/>
        <v>705</v>
      </c>
      <c r="Z435" s="41">
        <f>IFERROR(IF(Y435=0,"",ROUNDUP(Y435/H435,0)*0.02175),"")</f>
        <v>1.0222499999999999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721.93333333333328</v>
      </c>
      <c r="BN435" s="78">
        <f t="shared" si="70"/>
        <v>727.09</v>
      </c>
      <c r="BO435" s="78">
        <f t="shared" si="71"/>
        <v>0.9722222222222221</v>
      </c>
      <c r="BP435" s="78">
        <f t="shared" si="72"/>
        <v>0.97916666666666663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153.33333333333334</v>
      </c>
      <c r="Y440" s="43">
        <f>IFERROR(Y432/H432,"0")+IFERROR(Y433/H433,"0")+IFERROR(Y434/H434,"0")+IFERROR(Y435/H435,"0")+IFERROR(Y436/H436,"0")+IFERROR(Y437/H437,"0")+IFERROR(Y438/H438,"0")+IFERROR(Y439/H439,"0")</f>
        <v>155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3.3712499999999999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2300</v>
      </c>
      <c r="Y441" s="43">
        <f>IFERROR(SUM(Y432:Y439),"0")</f>
        <v>2325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2300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2325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2372.0666666666666</v>
      </c>
      <c r="Y561" s="43">
        <f>IFERROR(SUM(BN22:BN557),"0")</f>
        <v>2397.85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2472.0666666666666</v>
      </c>
      <c r="Y563" s="43">
        <f>GrossWeightTotalR+PalletQtyTotalR*25</f>
        <v>2497.85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153.33333333333334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155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3.3712499999999999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2325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3,33"/>
        <filter val="2 300,00"/>
        <filter val="2 372,07"/>
        <filter val="2 472,07"/>
        <filter val="200,00"/>
        <filter val="4"/>
        <filter val="7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