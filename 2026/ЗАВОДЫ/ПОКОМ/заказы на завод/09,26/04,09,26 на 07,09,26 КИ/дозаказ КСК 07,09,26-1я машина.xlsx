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763F3F2-058F-4780-9A54-0F96537D41A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P523" i="2"/>
  <c r="BO523" i="2"/>
  <c r="BM523" i="2"/>
  <c r="Y523" i="2"/>
  <c r="BN523" i="2" s="1"/>
  <c r="P523" i="2"/>
  <c r="X521" i="2"/>
  <c r="X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Z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P329" i="2"/>
  <c r="BO329" i="2"/>
  <c r="BM329" i="2"/>
  <c r="Y329" i="2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Y326" i="2" s="1"/>
  <c r="P322" i="2"/>
  <c r="X320" i="2"/>
  <c r="X319" i="2"/>
  <c r="BP318" i="2"/>
  <c r="BO318" i="2"/>
  <c r="BM318" i="2"/>
  <c r="Y318" i="2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P291" i="2"/>
  <c r="BO291" i="2"/>
  <c r="BN291" i="2"/>
  <c r="BM291" i="2"/>
  <c r="Z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P283" i="2"/>
  <c r="X281" i="2"/>
  <c r="X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P197" i="2"/>
  <c r="BO197" i="2"/>
  <c r="BM197" i="2"/>
  <c r="Y197" i="2"/>
  <c r="P197" i="2"/>
  <c r="BO196" i="2"/>
  <c r="BM196" i="2"/>
  <c r="Y196" i="2"/>
  <c r="P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P184" i="2"/>
  <c r="BO184" i="2"/>
  <c r="BN184" i="2"/>
  <c r="BM184" i="2"/>
  <c r="Z184" i="2"/>
  <c r="Y184" i="2"/>
  <c r="BO183" i="2"/>
  <c r="BM183" i="2"/>
  <c r="Z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P114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G570" i="2" s="1"/>
  <c r="P103" i="2"/>
  <c r="X100" i="2"/>
  <c r="X99" i="2"/>
  <c r="BP98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P95" i="2"/>
  <c r="BO95" i="2"/>
  <c r="BN95" i="2"/>
  <c r="BM95" i="2"/>
  <c r="Z95" i="2"/>
  <c r="Y95" i="2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P59" i="2"/>
  <c r="BO58" i="2"/>
  <c r="BM58" i="2"/>
  <c r="Z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D570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Y315" i="2" l="1"/>
  <c r="Y341" i="2"/>
  <c r="Y396" i="2"/>
  <c r="Z31" i="2"/>
  <c r="Z67" i="2"/>
  <c r="Z299" i="2"/>
  <c r="BN299" i="2"/>
  <c r="Z310" i="2"/>
  <c r="BN310" i="2"/>
  <c r="Z324" i="2"/>
  <c r="BP418" i="2"/>
  <c r="Y463" i="2"/>
  <c r="BP48" i="2"/>
  <c r="BN77" i="2"/>
  <c r="BP106" i="2"/>
  <c r="BN106" i="2"/>
  <c r="Z106" i="2"/>
  <c r="BN115" i="2"/>
  <c r="BN128" i="2"/>
  <c r="BN133" i="2"/>
  <c r="Y135" i="2"/>
  <c r="BN139" i="2"/>
  <c r="Z139" i="2"/>
  <c r="BN157" i="2"/>
  <c r="BP169" i="2"/>
  <c r="BN169" i="2"/>
  <c r="Z169" i="2"/>
  <c r="BN181" i="2"/>
  <c r="BP215" i="2"/>
  <c r="Z215" i="2"/>
  <c r="BP236" i="2"/>
  <c r="BN236" i="2"/>
  <c r="Z236" i="2"/>
  <c r="BN238" i="2"/>
  <c r="BN262" i="2"/>
  <c r="BP262" i="2"/>
  <c r="BP272" i="2"/>
  <c r="BN272" i="2"/>
  <c r="Z272" i="2"/>
  <c r="Y280" i="2"/>
  <c r="BN275" i="2"/>
  <c r="BP275" i="2"/>
  <c r="BP279" i="2"/>
  <c r="BN279" i="2"/>
  <c r="Z279" i="2"/>
  <c r="BP283" i="2"/>
  <c r="BN283" i="2"/>
  <c r="Z283" i="2"/>
  <c r="BN289" i="2"/>
  <c r="BN293" i="2"/>
  <c r="BN322" i="2"/>
  <c r="BP349" i="2"/>
  <c r="BN349" i="2"/>
  <c r="Z349" i="2"/>
  <c r="BN367" i="2"/>
  <c r="BN401" i="2"/>
  <c r="BN437" i="2"/>
  <c r="BN480" i="2"/>
  <c r="BP519" i="2"/>
  <c r="Z519" i="2"/>
  <c r="Y536" i="2"/>
  <c r="BP535" i="2"/>
  <c r="BN30" i="2"/>
  <c r="BP37" i="2"/>
  <c r="BN23" i="2"/>
  <c r="BP27" i="2"/>
  <c r="Z37" i="2"/>
  <c r="BP39" i="2"/>
  <c r="BN40" i="2"/>
  <c r="Z48" i="2"/>
  <c r="Z49" i="2"/>
  <c r="BN49" i="2"/>
  <c r="Z56" i="2"/>
  <c r="Z61" i="2" s="1"/>
  <c r="BP58" i="2"/>
  <c r="BP59" i="2"/>
  <c r="BN59" i="2"/>
  <c r="Z59" i="2"/>
  <c r="BP64" i="2"/>
  <c r="BN64" i="2"/>
  <c r="Z64" i="2"/>
  <c r="BN85" i="2"/>
  <c r="BP85" i="2"/>
  <c r="BN125" i="2"/>
  <c r="BN126" i="2"/>
  <c r="Z126" i="2"/>
  <c r="BP139" i="2"/>
  <c r="BN143" i="2"/>
  <c r="BP195" i="2"/>
  <c r="BN195" i="2"/>
  <c r="Z195" i="2"/>
  <c r="BN229" i="2"/>
  <c r="BN246" i="2"/>
  <c r="Y249" i="2"/>
  <c r="BN252" i="2"/>
  <c r="BN306" i="2"/>
  <c r="BN331" i="2"/>
  <c r="BN375" i="2"/>
  <c r="BN385" i="2"/>
  <c r="BP385" i="2"/>
  <c r="BN392" i="2"/>
  <c r="BN411" i="2"/>
  <c r="BN425" i="2"/>
  <c r="BN450" i="2"/>
  <c r="BP450" i="2"/>
  <c r="BN510" i="2"/>
  <c r="BP510" i="2"/>
  <c r="BN513" i="2"/>
  <c r="BN525" i="2"/>
  <c r="BN551" i="2"/>
  <c r="Z551" i="2"/>
  <c r="BN60" i="2"/>
  <c r="Y81" i="2"/>
  <c r="BN80" i="2"/>
  <c r="BN86" i="2"/>
  <c r="BN93" i="2"/>
  <c r="BN107" i="2"/>
  <c r="BN116" i="2"/>
  <c r="BN187" i="2"/>
  <c r="Y198" i="2"/>
  <c r="BN211" i="2"/>
  <c r="Y241" i="2"/>
  <c r="BN232" i="2"/>
  <c r="BN244" i="2"/>
  <c r="BN257" i="2"/>
  <c r="BN263" i="2"/>
  <c r="BN277" i="2"/>
  <c r="BN285" i="2"/>
  <c r="Y300" i="2"/>
  <c r="BN314" i="2"/>
  <c r="BP324" i="2"/>
  <c r="BN347" i="2"/>
  <c r="BN360" i="2"/>
  <c r="BN371" i="2"/>
  <c r="BN387" i="2"/>
  <c r="BN393" i="2"/>
  <c r="BN426" i="2"/>
  <c r="BN438" i="2"/>
  <c r="BN456" i="2"/>
  <c r="BN462" i="2"/>
  <c r="BN482" i="2"/>
  <c r="BN506" i="2"/>
  <c r="BN511" i="2"/>
  <c r="Y521" i="2"/>
  <c r="BN517" i="2"/>
  <c r="BN527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457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198" i="2" s="1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81" i="2" s="1"/>
  <c r="Z109" i="2"/>
  <c r="Z124" i="2"/>
  <c r="Z27" i="2"/>
  <c r="Z32" i="2" s="1"/>
  <c r="Z39" i="2"/>
  <c r="Z85" i="2"/>
  <c r="Z90" i="2" s="1"/>
  <c r="Y91" i="2"/>
  <c r="Z98" i="2"/>
  <c r="Z114" i="2"/>
  <c r="Z119" i="2" s="1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18" i="2" s="1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530" i="2" l="1"/>
  <c r="Z484" i="2"/>
  <c r="Z99" i="2"/>
  <c r="Z414" i="2"/>
  <c r="Z325" i="2"/>
  <c r="Z452" i="2"/>
  <c r="Z177" i="2"/>
  <c r="Z51" i="2"/>
  <c r="Z463" i="2"/>
  <c r="Z172" i="2"/>
  <c r="Z140" i="2"/>
  <c r="Z68" i="2"/>
  <c r="Z269" i="2"/>
  <c r="Z161" i="2"/>
  <c r="Z520" i="2"/>
  <c r="Z382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<sst xmlns="http://schemas.openxmlformats.org/spreadsheetml/2006/main" count="4310" uniqueCount="900">
  <si>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</si>
  <si>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</si>
  <si>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</si>
  <si>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</si>
  <si>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</si>
  <si>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</si>
  <si>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</si>
  <si>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</si>
  <si>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</si>
  <si>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</si>
  <si>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</si>
  <si>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</si>
  <si>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</si>
  <si>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</si>
  <si>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</si>
  <si>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</si>
  <si>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</si>
  <si>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</si>
  <si>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</si>
  <si>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</si>
  <si>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</si>
  <si>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</si>
  <si>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</si>
  <si>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</si>
  <si>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</si>
  <si>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</si>
  <si>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</si>
  <si>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</si>
  <si>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</si>
  <si>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</si>
  <si>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</si>
  <si>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</si>
  <si>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</si>
  <si>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</si>
  <si>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</si>
  <si>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</si>
  <si>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</si>
  <si>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</si>
  <si>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</si>
  <si>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</si>
  <si>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</si>
  <si>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</si>
  <si>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</si>
  <si>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</si>
  <si>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</si>
  <si>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</si>
  <si>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</si>
  <si>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</si>
  <si>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</si>
  <si>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</si>
  <si>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</si>
  <si>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</si>
  <si>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</si>
  <si>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</si>
  <si>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</si>
  <si>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</si>
  <si>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</si>
  <si>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</si>
  <si>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</si>
  <si>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</si>
  <si>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</si>
  <si>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</si>
  <si>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</si>
  <si>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</si>
  <si>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</si>
  <si>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</si>
  <si>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</si>
  <si>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</si>
  <si>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</si>
  <si>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</si>
  <si>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</si>
  <si>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</si>
  <si>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</si>
  <si>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</si>
  <si>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</si>
  <si>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</si>
  <si>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</si>
  <si>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</si>
  <si>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</si>
  <si>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</si>
  <si>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</si>
  <si>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</si>
  <si>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</si>
  <si>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</si>
  <si>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</si>
  <si>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</si>
  <si>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</si>
  <si>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</si>
  <si>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</si>
  <si>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</si>
  <si>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</si>
  <si>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</si>
  <si>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</si>
  <si>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</si>
  <si>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</si>
  <si>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</si>
  <si>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</si>
  <si>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</si>
  <si>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</si>
  <si>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</si>
  <si>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</si>
  <si>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</si>
  <si>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</si>
  <si>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</si>
  <si>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</si>
  <si>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</si>
  <si>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</si>
  <si>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</si>
  <si>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</si>
  <si>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</si>
  <si>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</si>
  <si>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</si>
  <si>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</si>
  <si>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</si>
  <si>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</si>
  <si>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</si>
  <si>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</si>
  <si>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</si>
  <si>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</si>
  <si>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</si>
  <si>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</si>
  <si>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</si>
  <si>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</si>
  <si>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</si>
  <si>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</si>
  <si>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</si>
  <si>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</si>
  <si>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</si>
  <si>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</si>
  <si>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</si>
  <si>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</si>
  <si>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</si>
  <si>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</si>
  <si>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</si>
  <si>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</si>
  <si>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</si>
  <si>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</si>
  <si>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</si>
  <si>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</si>
  <si>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</si>
  <si>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</si>
  <si>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</si>
  <si>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</si>
  <si>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</si>
  <si>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</si>
  <si>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</si>
  <si>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</si>
  <si>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</si>
  <si>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</si>
  <si>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</si>
  <si>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</si>
  <si>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</si>
  <si>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</si>
  <si>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</si>
  <si>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</si>
  <si>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</si>
  <si>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</si>
  <si>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</si>
  <si>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</si>
  <si>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</si>
  <si>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</si>
  <si>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</si>
  <si>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</si>
  <si>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</si>
  <si>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</si>
  <si>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</si>
  <si>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</si>
  <si>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</si>
  <si>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</si>
  <si>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</si>
  <si>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</si>
  <si>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</si>
  <si>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</si>
  <si>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</si>
  <si>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</si>
  <si>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</si>
  <si>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</si>
  <si>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</si>
  <si>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</si>
  <si>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</si>
  <si>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</si>
  <si>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</si>
  <si>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</si>
  <si>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</si>
  <si>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</si>
  <si>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</si>
  <si>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</si>
  <si>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</si>
  <si>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</si>
  <si>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</si>
  <si>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</si>
  <si>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</si>
  <si>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</si>
  <si>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</si>
  <si>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</si>
  <si>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</si>
  <si>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</si>
  <si>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</si>
  <si>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</si>
  <si>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</si>
  <si>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</si>
  <si>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</si>
  <si>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</si>
  <si>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</si>
  <si>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</si>
  <si>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</si>
  <si>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</si>
  <si>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</si>
  <si>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</si>
  <si>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</si>
  <si>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</si>
  <si>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</si>
  <si>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</si>
  <si>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</si>
  <si>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</si>
  <si>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</si>
  <si>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</si>
  <si>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</si>
  <si>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</si>
  <si>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</si>
  <si>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</si>
  <si>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</si>
  <si>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</si>
  <si>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</si>
  <si>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</si>
  <si>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</si>
  <si>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</si>
  <si>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</si>
  <si>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</si>
  <si>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</si>
  <si>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</si>
  <si>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</si>
  <si>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</si>
  <si>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</si>
  <si>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</si>
  <si>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</si>
  <si>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</si>
  <si>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</si>
  <si>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</si>
  <si>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</si>
  <si>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</si>
  <si>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</si>
  <si>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</si>
  <si>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</si>
  <si>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</si>
  <si>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</si>
  <si>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</si>
  <si>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</si>
  <si>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</si>
  <si>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</si>
  <si>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</si>
  <si>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</si>
  <si>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</si>
  <si>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</si>
  <si>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</si>
  <si>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</si>
  <si>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</si>
  <si>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</si>
  <si>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</si>
  <si>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</si>
  <si>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</si>
  <si>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</si>
  <si>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</si>
  <si>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</si>
  <si>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</si>
  <si>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</si>
  <si>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</si>
  <si>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</si>
  <si>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</si>
  <si>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</si>
  <si>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</si>
  <si>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</si>
  <si>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</si>
  <si>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</si>
  <si>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</si>
  <si>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</si>
  <si>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</si>
  <si>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</si>
  <si>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</si>
  <si>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</si>
  <si>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</si>
  <si>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</si>
  <si>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</si>
  <si>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</si>
  <si>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</si>
  <si>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</si>
  <si>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</si>
  <si>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</si>
  <si>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</si>
  <si>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</si>
  <si>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</si>
  <si>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</si>
  <si>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</si>
  <si>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</si>
  <si>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</si>
  <si>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</si>
  <si>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</si>
  <si>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</si>
  <si>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</si>
  <si>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</si>
  <si>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</si>
  <si>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</si>
  <si>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</si>
  <si>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</si>
  <si>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</si>
  <si>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</si>
  <si>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</si>
  <si>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</si>
  <si>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</si>
  <si>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</si>
  <si>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</si>
  <si>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</si>
  <si>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</si>
  <si>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</si>
  <si>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</si>
  <si>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</si>
  <si>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</si>
  <si>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</si>
  <si>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</si>
  <si>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</si>
  <si>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</si>
  <si>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</si>
  <si>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</si>
  <si>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</si>
  <si>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</si>
  <si>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</si>
  <si>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</si>
  <si>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</si>
  <si>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</si>
  <si>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</si>
  <si>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</si>
  <si>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</si>
  <si>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</si>
  <si>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</si>
  <si>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</si>
  <si>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</si>
  <si>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</si>
  <si>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</si>
  <si>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</si>
  <si>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</si>
  <si>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</si>
  <si>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</si>
  <si>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</si>
  <si>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</si>
  <si>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</si>
  <si>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</si>
  <si>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</si>
  <si>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</si>
  <si>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</si>
  <si>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</si>
  <si>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</si>
  <si>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</si>
  <si>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</si>
  <si>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</si>
  <si>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</si>
  <si>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</si>
  <si>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</si>
  <si>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</si>
  <si>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</si>
  <si>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</si>
  <si>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</si>
  <si>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</si>
  <si>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</si>
  <si>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</si>
  <si>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</si>
  <si>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</si>
  <si>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</si>
  <si>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</si>
  <si>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</si>
  <si>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</si>
  <si>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</si>
  <si>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</si>
  <si>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</si>
  <si>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</si>
  <si>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</si>
  <si>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</si>
  <si>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</si>
  <si>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</si>
  <si>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</si>
  <si>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</si>
  <si>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</si>
  <si>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</si>
  <si>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</si>
  <si>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</si>
  <si>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</si>
  <si>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</si>
  <si>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</si>
  <si>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</si>
  <si>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</si>
  <si>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</si>
  <si>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</si>
  <si>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</si>
  <si>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</si>
  <si>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</si>
  <si>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</si>
  <si>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</si>
  <si>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</si>
  <si>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</si>
  <si>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</si>
  <si>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</si>
  <si>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</si>
  <si>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</si>
  <si>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</si>
  <si>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</si>
  <si>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</si>
  <si>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</si>
  <si>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</si>
  <si>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</si>
  <si>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</si>
  <si>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</si>
  <si>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</si>
  <si>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</si>
  <si>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</si>
  <si>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</si>
  <si>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</si>
  <si>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</si>
  <si>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</si>
  <si>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</si>
  <si>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</si>
  <si>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</si>
  <si>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</si>
  <si>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</si>
  <si>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</si>
  <si>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</si>
  <si>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</si>
  <si>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</si>
  <si>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</si>
  <si>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</si>
  <si>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</si>
  <si>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</si>
  <si>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</si>
  <si>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</si>
  <si>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</si>
  <si>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</si>
  <si>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</si>
  <si>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</si>
  <si>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</si>
  <si>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</si>
  <si>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</si>
  <si>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</si>
  <si>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</si>
  <si>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</si>
  <si>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</si>
  <si>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</si>
  <si>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</si>
  <si>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</si>
  <si>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</si>
  <si>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</si>
  <si>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</si>
  <si>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</si>
  <si>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</si>
  <si>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</si>
  <si>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</si>
  <si>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</si>
  <si>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</si>
  <si>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</si>
  <si>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</si>
  <si>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</si>
  <si>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</si>
  <si>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</si>
  <si>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</si>
  <si>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</si>
  <si>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</si>
  <si>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</si>
  <si>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</si>
  <si>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</si>
  <si>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</si>
  <si>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</si>
  <si>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</si>
  <si>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</si>
  <si>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</si>
  <si>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</si>
  <si>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</si>
  <si>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</si>
  <si>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</si>
  <si>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</si>
  <si>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</si>
  <si>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</si>
  <si>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</si>
  <si>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</si>
  <si>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</si>
  <si>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</si>
  <si>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</si>
  <si>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</si>
  <si>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</si>
  <si>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</si>
  <si>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</si>
  <si>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</si>
  <si>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</si>
  <si>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</si>
  <si>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</si>
  <si>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</si>
  <si>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</si>
  <si>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</si>
  <si>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</si>
  <si>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</si>
  <si>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</si>
  <si>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</si>
  <si>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</si>
  <si>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</si>
  <si>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</si>
  <si>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</si>
  <si>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</si>
  <si>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</si>
  <si>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</si>
  <si>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</si>
  <si>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</si>
  <si>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</si>
  <si>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</si>
  <si>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</si>
  <si>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</si>
  <si>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</si>
  <si>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</si>
  <si>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</si>
  <si>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</si>
  <si>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</si>
  <si>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</si>
  <si>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</si>
  <si>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</si>
  <si>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</si>
  <si>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</si>
  <si>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</si>
  <si>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</si>
  <si>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</si>
  <si>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</si>
  <si>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</si>
  <si>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</si>
  <si>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</si>
  <si>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</si>
  <si>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</si>
  <si>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</si>
  <si>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</si>
  <si>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</si>
  <si>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</si>
  <si>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</si>
  <si>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</si>
  <si>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</si>
  <si>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</si>
  <si>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</si>
  <si>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</si>
  <si>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</si>
  <si>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</si>
  <si>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</si>
  <si>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</si>
  <si>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</si>
  <si>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</si>
  <si>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</si>
  <si>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</si>
  <si>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</si>
  <si>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</si>
  <si>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</si>
  <si>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</si>
  <si>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</si>
  <si>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</si>
  <si>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</si>
  <si>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</si>
  <si>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</si>
  <si>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</si>
  <si>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</si>
  <si>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</si>
  <si>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</si>
  <si>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</si>
  <si>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</si>
  <si>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</si>
  <si>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</si>
  <si>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</si>
  <si>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</si>
  <si>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</si>
  <si>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</si>
  <si>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</si>
  <si>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</si>
  <si>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</si>
  <si>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</si>
  <si>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</si>
  <si>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</si>
  <si>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</si>
  <si>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</si>
  <si>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</si>
  <si>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</si>
  <si>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</si>
  <si>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</si>
  <si>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</si>
  <si>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</si>
  <si>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</si>
  <si>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</si>
  <si>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</si>
  <si>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</si>
  <si>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</si>
  <si>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</si>
  <si>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</si>
  <si>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</si>
  <si>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</si>
  <si>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</si>
  <si>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</si>
  <si>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</si>
  <si>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</si>
  <si>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</si>
  <si>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</si>
  <si>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</si>
  <si>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</si>
  <si>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</si>
  <si>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</si>
  <si>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</si>
  <si>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</si>
  <si>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</si>
  <si>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</si>
  <si>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</si>
  <si>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</si>
  <si>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</si>
  <si>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</si>
  <si>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</si>
  <si>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</si>
  <si>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</si>
  <si>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</si>
  <si>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</si>
  <si>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</si>
  <si>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</si>
  <si>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</si>
  <si>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</si>
  <si>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</si>
  <si>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</si>
  <si>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</si>
  <si>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</si>
  <si>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</si>
  <si>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</si>
  <si>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</si>
  <si>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</si>
  <si>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</si>
  <si>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</si>
  <si>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</si>
  <si>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</si>
  <si>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</si>
  <si>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</si>
  <si>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</si>
  <si>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</si>
  <si>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</si>
  <si>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</si>
  <si>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</si>
  <si>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</si>
  <si>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</si>
  <si>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</si>
  <si>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</si>
  <si>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</si>
  <si>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</si>
  <si>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</si>
  <si>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</si>
  <si>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</si>
  <si>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</si>
  <si>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</si>
  <si>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</si>
  <si>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</si>
  <si>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</si>
  <si>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</si>
  <si>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</si>
  <si>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</si>
  <si>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</si>
  <si>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</si>
  <si>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</si>
  <si>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</si>
  <si>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</si>
  <si>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</si>
  <si>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</si>
  <si>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</si>
  <si>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</si>
  <si>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</si>
  <si>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</si>
  <si>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</si>
  <si>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</si>
  <si>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</si>
  <si>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</si>
  <si>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</si>
  <si>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</si>
  <si>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</si>
  <si>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</si>
  <si>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</si>
  <si>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</si>
  <si>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</si>
  <si>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</si>
  <si>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</si>
  <si>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</si>
  <si>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</si>
  <si>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</si>
  <si>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</si>
  <si>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</si>
  <si>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</si>
  <si>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</si>
  <si>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</si>
  <si>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</si>
  <si>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</si>
  <si>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</si>
  <si>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</si>
  <si>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</si>
  <si>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</si>
  <si>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</si>
  <si>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</si>
  <si>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</si>
  <si>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</si>
  <si>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</si>
  <si>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</si>
  <si>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</si>
  <si>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</si>
  <si>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</si>
  <si>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</si>
  <si>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</si>
  <si>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</si>
  <si>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</si>
  <si>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</si>
  <si>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</si>
  <si>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</si>
  <si>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</si>
  <si>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</si>
  <si>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</si>
  <si>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</si>
  <si>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</si>
  <si>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</si>
  <si>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</si>
  <si>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</si>
  <si>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</si>
  <si>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</si>
  <si>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</si>
  <si>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</si>
  <si>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</si>
  <si>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</si>
  <si>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</si>
  <si>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</si>
  <si>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</si>
  <si>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</si>
  <si>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</si>
  <si>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</si>
  <si>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</si>
  <si>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</si>
  <si>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</si>
  <si>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</si>
  <si>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</si>
  <si>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</si>
  <si>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</si>
  <si>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</si>
  <si>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</si>
  <si>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</si>
  <si>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</si>
  <si>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</si>
  <si>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</si>
  <si>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</si>
  <si>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</si>
  <si>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</si>
  <si>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</si>
  <si>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</si>
  <si>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</si>
  <si>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</si>
  <si>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</si>
  <si>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</si>
  <si>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</si>
  <si>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</si>
  <si>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</si>
  <si>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</si>
  <si>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</si>
  <si>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</si>
  <si>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</si>
  <si>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</si>
  <si>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</si>
  <si>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</si>
  <si>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</si>
  <si>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</si>
  <si>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</si>
  <si>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</si>
  <si>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</si>
  <si>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</si>
  <si>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</si>
  <si>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</si>
  <si>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</si>
  <si>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</si>
  <si>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</si>
  <si>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</si>
  <si>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</si>
  <si>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</si>
  <si>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</si>
  <si>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</si>
  <si>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</si>
  <si>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</si>
  <si>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</si>
  <si>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</si>
  <si>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</si>
  <si>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</si>
  <si>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</si>
  <si>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</si>
  <si>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</si>
  <si>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</si>
  <si>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</si>
  <si>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</si>
  <si>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</si>
  <si>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</si>
  <si>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</si>
  <si>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</si>
  <si>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</si>
  <si>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</si>
  <si>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</si>
  <si>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</si>
  <si>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</si>
  <si>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</si>
  <si>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</si>
  <si>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</si>
  <si>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</si>
  <si>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</si>
  <si>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</si>
  <si>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</si>
  <si>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</si>
  <si>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</si>
  <si>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</si>
  <si>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</si>
  <si>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</si>
  <si>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</si>
  <si>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</si>
  <si>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</si>
  <si>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</si>
  <si>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</si>
  <si>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</si>
  <si>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</si>
  <si>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</si>
  <si>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</si>
  <si>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</si>
  <si>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</si>
  <si>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</si>
  <si>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</si>
  <si>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</si>
  <si>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</si>
  <si>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</si>
  <si>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</si>
  <si>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</si>
  <si>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</si>
  <si>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</si>
  <si>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</si>
  <si>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</si>
  <si>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</si>
  <si>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</si>
  <si>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</si>
  <si>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</si>
  <si>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</si>
  <si>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</si>
  <si>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</si>
  <si>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</si>
  <si>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</si>
  <si>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</si>
  <si>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</si>
  <si>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</si>
  <si>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</si>
  <si>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</si>
  <si>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</si>
  <si>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</si>
  <si>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</si>
  <si>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</si>
  <si>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</si>
  <si>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</si>
  <si>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</si>
  <si>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</si>
  <si>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</si>
  <si>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</si>
  <si>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</si>
  <si>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</si>
  <si>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</si>
  <si>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</si>
  <si>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</si>
  <si>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</si>
  <si>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</si>
  <si>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</si>
  <si>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</si>
  <si>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</si>
  <si>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</si>
  <si>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</si>
  <si>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</si>
  <si>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</si>
  <si>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</si>
  <si>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</si>
  <si>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</si>
  <si>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</si>
  <si>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</si>
  <si>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</si>
  <si>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</si>
  <si>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</si>
  <si>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</si>
  <si>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</si>
  <si>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</si>
  <si>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</si>
  <si>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</si>
  <si>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</si>
  <si>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</si>
  <si>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</si>
  <si>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</si>
  <si>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</si>
  <si>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</si>
  <si>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</si>
  <si>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</si>
  <si>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</si>
  <si>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</si>
  <si>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</si>
  <si>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</si>
  <si>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</si>
  <si>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</si>
  <si>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</si>
  <si>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машине 1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</si>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</sst>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66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67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898</v>
      </c>
      <c r="I5" s="659"/>
      <c r="J5" s="659"/>
      <c r="K5" s="659"/>
      <c r="L5" s="659"/>
      <c r="M5" s="659"/>
      <c r="N5" s="72"/>
      <c r="P5" s="27" t="s">
        <v>4</v>
      </c>
      <c r="Q5" s="661">
        <v>46272</v>
      </c>
      <c r="R5" s="661"/>
      <c r="T5" s="662" t="s">
        <v>3</v>
      </c>
      <c r="U5" s="663"/>
      <c r="V5" s="664" t="s">
        <v>879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880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Понедельник</v>
      </c>
      <c r="R6" s="667"/>
      <c r="T6" s="668" t="s">
        <v>5</v>
      </c>
      <c r="U6" s="669"/>
      <c r="V6" s="670" t="s">
        <v>69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1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57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0.375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70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899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71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72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73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74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60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58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65</v>
      </c>
      <c r="L17" s="700" t="s">
        <v>63</v>
      </c>
      <c r="M17" s="700" t="s">
        <v>2</v>
      </c>
      <c r="N17" s="700" t="s">
        <v>62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55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59</v>
      </c>
      <c r="AB17" s="714" t="s">
        <v>19</v>
      </c>
      <c r="AC17" s="714" t="s">
        <v>64</v>
      </c>
      <c r="AD17" s="716" t="s">
        <v>56</v>
      </c>
      <c r="AE17" s="717"/>
      <c r="AF17" s="718"/>
      <c r="AG17" s="82"/>
      <c r="BD17" s="81" t="s">
        <v>61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75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75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76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85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103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85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119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120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121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3" t="s">
        <v>136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121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4" t="s">
        <v>154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85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172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181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121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768" t="s">
        <v>189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4" t="s">
        <v>85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772" t="s">
        <v>198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75" t="s">
        <v>204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3" t="s">
        <v>208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121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83" t="s">
        <v>222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154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85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791" t="s">
        <v>242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794" t="s">
        <v>248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796" t="s">
        <v>253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4" t="s">
        <v>172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798" t="s">
        <v>258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259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121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76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85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272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85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288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119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121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154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76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22" t="s">
        <v>323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24" t="s">
        <v>329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4" t="s">
        <v>85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288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355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359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360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121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381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154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76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4" t="s">
        <v>85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288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445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448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121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154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76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4" t="s">
        <v>85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172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516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121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154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538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355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549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121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565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85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574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76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85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595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121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604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121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76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4" t="s">
        <v>85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172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4" t="s">
        <v>288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670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679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688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85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695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85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705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706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121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500</v>
      </c>
      <c r="Y433" s="55">
        <f t="shared" si="68"/>
        <v>510</v>
      </c>
      <c r="Z433" s="41">
        <f>IFERROR(IF(Y433=0,"",ROUNDUP(Y433/H433,0)*0.02175),"")</f>
        <v>0.73949999999999994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515.66666666666663</v>
      </c>
      <c r="BN433" s="78">
        <f t="shared" si="70"/>
        <v>525.98</v>
      </c>
      <c r="BO433" s="78">
        <f t="shared" si="71"/>
        <v>0.69444444444444442</v>
      </c>
      <c r="BP433" s="78">
        <f t="shared" si="72"/>
        <v>0.70833333333333326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500</v>
      </c>
      <c r="Y434" s="55">
        <f t="shared" si="68"/>
        <v>510</v>
      </c>
      <c r="Z434" s="41">
        <f>IFERROR(IF(Y434=0,"",ROUNDUP(Y434/H434,0)*0.02175),"")</f>
        <v>0.73949999999999994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515.66666666666663</v>
      </c>
      <c r="BN434" s="78">
        <f t="shared" si="70"/>
        <v>525.98</v>
      </c>
      <c r="BO434" s="78">
        <f t="shared" si="71"/>
        <v>0.69444444444444442</v>
      </c>
      <c r="BP434" s="78">
        <f t="shared" si="72"/>
        <v>0.70833333333333326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500</v>
      </c>
      <c r="Y435" s="55">
        <f t="shared" si="68"/>
        <v>510</v>
      </c>
      <c r="Z435" s="41">
        <f>IFERROR(IF(Y435=0,"",ROUNDUP(Y435/H435,0)*0.02175),"")</f>
        <v>0.73949999999999994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515.66666666666663</v>
      </c>
      <c r="BN435" s="78">
        <f t="shared" si="70"/>
        <v>525.98</v>
      </c>
      <c r="BO435" s="78">
        <f t="shared" si="71"/>
        <v>0.69444444444444442</v>
      </c>
      <c r="BP435" s="78">
        <f t="shared" si="72"/>
        <v>0.70833333333333326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500</v>
      </c>
      <c r="Y436" s="55">
        <f t="shared" si="68"/>
        <v>510</v>
      </c>
      <c r="Z436" s="41">
        <f>IFERROR(IF(Y436=0,"",ROUNDUP(Y436/H436,0)*0.02175),"")</f>
        <v>0.73949999999999994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515.66666666666663</v>
      </c>
      <c r="BN436" s="78">
        <f t="shared" si="70"/>
        <v>525.98</v>
      </c>
      <c r="BO436" s="78">
        <f t="shared" si="71"/>
        <v>0.69444444444444442</v>
      </c>
      <c r="BP436" s="78">
        <f t="shared" si="72"/>
        <v>0.70833333333333326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133.33333333333334</v>
      </c>
      <c r="Y440" s="43">
        <f>IFERROR(Y432/H432,"0")+IFERROR(Y433/H433,"0")+IFERROR(Y434/H434,"0")+IFERROR(Y435/H435,"0")+IFERROR(Y436/H436,"0")+IFERROR(Y437/H437,"0")+IFERROR(Y438/H438,"0")+IFERROR(Y439/H439,"0")</f>
        <v>136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2.9579999999999997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2000</v>
      </c>
      <c r="Y441" s="43">
        <f>IFERROR(SUM(Y432:Y439),"0")</f>
        <v>2040</v>
      </c>
      <c r="Z441" s="42"/>
      <c r="AA441" s="67"/>
      <c r="AB441" s="67"/>
      <c r="AC441" s="67"/>
    </row>
    <row r="442" spans="1:68" ht="14.25" hidden="1" customHeight="1" x14ac:dyDescent="0.25">
      <c r="A442" s="724" t="s">
        <v>154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500</v>
      </c>
      <c r="Y443" s="55">
        <f>IFERROR(IF(X443="",0,CEILING((X443/$H443),1)*$H443),"")</f>
        <v>510</v>
      </c>
      <c r="Z443" s="41">
        <f>IFERROR(IF(Y443=0,"",ROUNDUP(Y443/H443,0)*0.02175),"")</f>
        <v>0.73949999999999994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515.66666666666663</v>
      </c>
      <c r="BN443" s="78">
        <f>IFERROR(Y443*I443/H443,"0")</f>
        <v>525.98</v>
      </c>
      <c r="BO443" s="78">
        <f>IFERROR(1/J443*(X443/H443),"0")</f>
        <v>0.69444444444444442</v>
      </c>
      <c r="BP443" s="78">
        <f>IFERROR(1/J443*(Y443/H443),"0")</f>
        <v>0.70833333333333326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33.333333333333336</v>
      </c>
      <c r="Y446" s="43">
        <f>IFERROR(Y443/H443,"0")+IFERROR(Y444/H444,"0")+IFERROR(Y445/H445,"0")</f>
        <v>34</v>
      </c>
      <c r="Z446" s="43">
        <f>IFERROR(IF(Z443="",0,Z443),"0")+IFERROR(IF(Z444="",0,Z444),"0")+IFERROR(IF(Z445="",0,Z445),"0")</f>
        <v>0.73949999999999994</v>
      </c>
      <c r="AA446" s="67"/>
      <c r="AB446" s="67"/>
      <c r="AC446" s="67"/>
    </row>
    <row r="447" spans="1:68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500</v>
      </c>
      <c r="Y447" s="43">
        <f>IFERROR(SUM(Y443:Y445),"0")</f>
        <v>510</v>
      </c>
      <c r="Z447" s="42"/>
      <c r="AA447" s="67"/>
      <c r="AB447" s="67"/>
      <c r="AC447" s="67"/>
    </row>
    <row r="448" spans="1:68" ht="14.25" hidden="1" customHeight="1" x14ac:dyDescent="0.25">
      <c r="A448" s="724" t="s">
        <v>85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4" t="s">
        <v>172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755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121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76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85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2" t="s">
        <v>771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772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76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85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795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154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76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807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807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121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24" t="s">
        <v>154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724" t="s">
        <v>76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722" t="s">
        <v>854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854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121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154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76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85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172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873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154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2500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2550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2578.333333333333</v>
      </c>
      <c r="Y561" s="43">
        <f>IFERROR(SUM(BN22:BN557),"0")</f>
        <v>2629.9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4</v>
      </c>
      <c r="Y562" s="44">
        <f>ROUNDUP(SUM(BP22:BP557),0)</f>
        <v>4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2678.333333333333</v>
      </c>
      <c r="Y563" s="43">
        <f>GrossWeightTotalR+PalletQtyTotalR*25</f>
        <v>2729.9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166.66666666666669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170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3.6974999999999998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1016" t="s">
        <v>119</v>
      </c>
      <c r="E567" s="1016" t="s">
        <v>119</v>
      </c>
      <c r="F567" s="1016" t="s">
        <v>119</v>
      </c>
      <c r="G567" s="1016" t="s">
        <v>119</v>
      </c>
      <c r="H567" s="1016" t="s">
        <v>119</v>
      </c>
      <c r="I567" s="1016" t="s">
        <v>119</v>
      </c>
      <c r="J567" s="1016" t="s">
        <v>119</v>
      </c>
      <c r="K567" s="1016" t="s">
        <v>359</v>
      </c>
      <c r="L567" s="1016" t="s">
        <v>359</v>
      </c>
      <c r="M567" s="1016" t="s">
        <v>359</v>
      </c>
      <c r="N567" s="1022"/>
      <c r="O567" s="1016" t="s">
        <v>359</v>
      </c>
      <c r="P567" s="1016" t="s">
        <v>359</v>
      </c>
      <c r="Q567" s="1016" t="s">
        <v>359</v>
      </c>
      <c r="R567" s="1016" t="s">
        <v>359</v>
      </c>
      <c r="S567" s="1016" t="s">
        <v>359</v>
      </c>
      <c r="T567" s="1016" t="s">
        <v>359</v>
      </c>
      <c r="U567" s="1016" t="s">
        <v>359</v>
      </c>
      <c r="V567" s="1016" t="s">
        <v>359</v>
      </c>
      <c r="W567" s="1016" t="s">
        <v>705</v>
      </c>
      <c r="X567" s="1016" t="s">
        <v>705</v>
      </c>
      <c r="Y567" s="1016" t="s">
        <v>771</v>
      </c>
      <c r="Z567" s="1016" t="s">
        <v>771</v>
      </c>
      <c r="AA567" s="85" t="s">
        <v>807</v>
      </c>
      <c r="AB567" s="1016" t="s">
        <v>854</v>
      </c>
      <c r="AC567" s="1016" t="s">
        <v>854</v>
      </c>
      <c r="AF567" s="1"/>
    </row>
    <row r="568" spans="1:32" ht="14.25" customHeight="1" thickTop="1" x14ac:dyDescent="0.2">
      <c r="A568" s="1023" t="s">
        <v>10</v>
      </c>
      <c r="B568" s="1016" t="s">
        <v>75</v>
      </c>
      <c r="C568" s="1016" t="s">
        <v>103</v>
      </c>
      <c r="D568" s="1016" t="s">
        <v>120</v>
      </c>
      <c r="E568" s="1016" t="s">
        <v>136</v>
      </c>
      <c r="F568" s="1016" t="s">
        <v>181</v>
      </c>
      <c r="G568" s="1016" t="s">
        <v>208</v>
      </c>
      <c r="H568" s="1016" t="s">
        <v>259</v>
      </c>
      <c r="I568" s="1016" t="s">
        <v>272</v>
      </c>
      <c r="J568" s="1016" t="s">
        <v>119</v>
      </c>
      <c r="K568" s="1016" t="s">
        <v>360</v>
      </c>
      <c r="L568" s="1016" t="s">
        <v>381</v>
      </c>
      <c r="M568" s="1016" t="s">
        <v>448</v>
      </c>
      <c r="N568" s="1"/>
      <c r="O568" s="1016" t="s">
        <v>516</v>
      </c>
      <c r="P568" s="1016" t="s">
        <v>549</v>
      </c>
      <c r="Q568" s="1016" t="s">
        <v>565</v>
      </c>
      <c r="R568" s="1016" t="s">
        <v>574</v>
      </c>
      <c r="S568" s="1016" t="s">
        <v>595</v>
      </c>
      <c r="T568" s="1016" t="s">
        <v>604</v>
      </c>
      <c r="U568" s="1016" t="s">
        <v>688</v>
      </c>
      <c r="V568" s="1016" t="s">
        <v>695</v>
      </c>
      <c r="W568" s="1016" t="s">
        <v>706</v>
      </c>
      <c r="X568" s="1016" t="s">
        <v>755</v>
      </c>
      <c r="Y568" s="1016" t="s">
        <v>772</v>
      </c>
      <c r="Z568" s="1016" t="s">
        <v>795</v>
      </c>
      <c r="AA568" s="1016" t="s">
        <v>807</v>
      </c>
      <c r="AB568" s="1016" t="s">
        <v>854</v>
      </c>
      <c r="AC568" s="1016" t="s">
        <v>873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2550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33,33"/>
        <filter val="166,67"/>
        <filter val="2 000,00"/>
        <filter val="2 500,00"/>
        <filter val="2 578,33"/>
        <filter val="2 678,33"/>
        <filter val="33,33"/>
        <filter val="4"/>
        <filter val="500,00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2026-09-07T06:38:39Z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