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C80D43-A8FF-4573-93A9-AAA594781D6A}" xr6:coauthVersionLast="47" xr6:coauthVersionMax="47" xr10:uidLastSave="{00000000-0000-0000-0000-000000000000}"/>
  <bookViews>
    <workbookView xWindow="45" yWindow="75" windowWidth="26265" windowHeight="1549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Y477" i="2" s="1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O458" i="2"/>
  <c r="BN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N404" i="2" s="1"/>
  <c r="P404" i="2"/>
  <c r="BO403" i="2"/>
  <c r="BM403" i="2"/>
  <c r="Y403" i="2"/>
  <c r="BN403" i="2" s="1"/>
  <c r="P403" i="2"/>
  <c r="BO402" i="2"/>
  <c r="BM402" i="2"/>
  <c r="Y402" i="2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Y228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P216" i="2"/>
  <c r="BP215" i="2"/>
  <c r="BO215" i="2"/>
  <c r="BM215" i="2"/>
  <c r="Y215" i="2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P140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108" i="2" l="1"/>
  <c r="Z280" i="2"/>
  <c r="Z435" i="2"/>
  <c r="Z447" i="2"/>
  <c r="Z105" i="2"/>
  <c r="Z177" i="2"/>
  <c r="Y406" i="2"/>
  <c r="Z409" i="2"/>
  <c r="Z458" i="2"/>
  <c r="Z460" i="2" s="1"/>
  <c r="Z116" i="2"/>
  <c r="Z162" i="2"/>
  <c r="BP242" i="2"/>
  <c r="BP272" i="2"/>
  <c r="BP292" i="2"/>
  <c r="BP372" i="2"/>
  <c r="Z404" i="2"/>
  <c r="BP482" i="2"/>
  <c r="BN27" i="2"/>
  <c r="BN86" i="2"/>
  <c r="Z86" i="2"/>
  <c r="BN117" i="2"/>
  <c r="BN135" i="2"/>
  <c r="BP135" i="2"/>
  <c r="BN141" i="2"/>
  <c r="BN193" i="2"/>
  <c r="Y211" i="2"/>
  <c r="BP209" i="2"/>
  <c r="BN230" i="2"/>
  <c r="Z230" i="2"/>
  <c r="BN267" i="2"/>
  <c r="BN276" i="2"/>
  <c r="BN279" i="2"/>
  <c r="BP279" i="2"/>
  <c r="BP290" i="2"/>
  <c r="BN290" i="2"/>
  <c r="BN39" i="2"/>
  <c r="Z39" i="2"/>
  <c r="BP48" i="2"/>
  <c r="BN48" i="2"/>
  <c r="Z48" i="2"/>
  <c r="BN56" i="2"/>
  <c r="BP56" i="2"/>
  <c r="BN59" i="2"/>
  <c r="BN130" i="2"/>
  <c r="BP130" i="2"/>
  <c r="Y137" i="2"/>
  <c r="BN140" i="2"/>
  <c r="Z140" i="2"/>
  <c r="Z142" i="2" s="1"/>
  <c r="BP150" i="2"/>
  <c r="BN150" i="2"/>
  <c r="Z150" i="2"/>
  <c r="BN185" i="2"/>
  <c r="BN190" i="2"/>
  <c r="Z190" i="2"/>
  <c r="BP216" i="2"/>
  <c r="BN216" i="2"/>
  <c r="Z216" i="2"/>
  <c r="Y227" i="2"/>
  <c r="BP226" i="2"/>
  <c r="BN249" i="2"/>
  <c r="BP249" i="2"/>
  <c r="BN322" i="2"/>
  <c r="BN335" i="2"/>
  <c r="BN410" i="2"/>
  <c r="BN428" i="2"/>
  <c r="BN459" i="2"/>
  <c r="BN483" i="2"/>
  <c r="X567" i="2"/>
  <c r="BN30" i="2"/>
  <c r="BN40" i="2"/>
  <c r="BN50" i="2"/>
  <c r="BN57" i="2"/>
  <c r="Y113" i="2"/>
  <c r="BP129" i="2"/>
  <c r="Y153" i="2"/>
  <c r="BN217" i="2"/>
  <c r="BP280" i="2"/>
  <c r="BN281" i="2"/>
  <c r="BP295" i="2"/>
  <c r="BN297" i="2"/>
  <c r="BP302" i="2"/>
  <c r="BN312" i="2"/>
  <c r="Y323" i="2"/>
  <c r="BP349" i="2"/>
  <c r="BN350" i="2"/>
  <c r="Z353" i="2"/>
  <c r="BN357" i="2"/>
  <c r="BP379" i="2"/>
  <c r="BN380" i="2"/>
  <c r="BP382" i="2"/>
  <c r="Z390" i="2"/>
  <c r="BN390" i="2"/>
  <c r="BN391" i="2"/>
  <c r="Z397" i="2"/>
  <c r="BN401" i="2"/>
  <c r="BP403" i="2"/>
  <c r="BP404" i="2"/>
  <c r="Y411" i="2"/>
  <c r="Y418" i="2"/>
  <c r="BP422" i="2"/>
  <c r="Y430" i="2"/>
  <c r="BN440" i="2"/>
  <c r="BP453" i="2"/>
  <c r="X573" i="2"/>
  <c r="BN469" i="2"/>
  <c r="BP473" i="2"/>
  <c r="Y504" i="2"/>
  <c r="BP510" i="2"/>
  <c r="BN515" i="2"/>
  <c r="BP520" i="2"/>
  <c r="BN528" i="2"/>
  <c r="BP530" i="2"/>
  <c r="BN436" i="2"/>
  <c r="BN438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13" i="2"/>
  <c r="Z560" i="2"/>
  <c r="Z561" i="2" s="1"/>
  <c r="R573" i="2"/>
  <c r="BN542" i="2"/>
  <c r="BN554" i="2"/>
  <c r="S573" i="2"/>
  <c r="Z29" i="2"/>
  <c r="Z32" i="2" s="1"/>
  <c r="Z41" i="2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43" i="2"/>
  <c r="Y359" i="2"/>
  <c r="Z378" i="2"/>
  <c r="Z388" i="2"/>
  <c r="Z392" i="2" s="1"/>
  <c r="Z421" i="2"/>
  <c r="Z481" i="2"/>
  <c r="Z491" i="2"/>
  <c r="Y497" i="2"/>
  <c r="Z526" i="2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487" i="2" l="1"/>
  <c r="Z315" i="2"/>
  <c r="Z417" i="2"/>
  <c r="Z375" i="2"/>
  <c r="Z359" i="2"/>
  <c r="Z268" i="2"/>
  <c r="Z131" i="2"/>
  <c r="Z405" i="2"/>
  <c r="Z533" i="2"/>
  <c r="Z492" i="2"/>
  <c r="Z423" i="2"/>
  <c r="Z345" i="2"/>
  <c r="Z252" i="2"/>
  <c r="Z42" i="2"/>
  <c r="Z503" i="2"/>
  <c r="Z366" i="2"/>
  <c r="Z51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<sst xmlns="http://schemas.openxmlformats.org/spreadsheetml/2006/main" count="4393" uniqueCount="928">
  <si>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</si>
  <si>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</si>
  <si>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</si>
  <si>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</si>
  <si>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</si>
  <si>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</si>
  <si>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</si>
  <si>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</si>
  <si>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</si>
  <si>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</si>
  <si>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</si>
  <si>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</si>
  <si>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</si>
  <si>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</si>
  <si>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</si>
  <si>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</si>
  <si>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</si>
  <si>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</si>
  <si>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</si>
  <si>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</si>
  <si>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</si>
  <si>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</si>
  <si>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</si>
  <si>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</si>
  <si>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</si>
  <si>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</si>
  <si>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</si>
  <si>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</si>
  <si>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</si>
  <si>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</si>
  <si>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</si>
  <si>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</si>
  <si>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</si>
  <si>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</si>
  <si>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</si>
  <si>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</si>
  <si>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</si>
  <si>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</si>
  <si>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</si>
  <si>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</si>
  <si>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</si>
  <si>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</si>
  <si>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</si>
  <si>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</si>
  <si>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</si>
  <si>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</si>
  <si>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</si>
  <si>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</si>
  <si>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</si>
  <si>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</si>
  <si>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</si>
  <si>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</si>
  <si>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</si>
  <si>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</si>
  <si>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</si>
  <si>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</si>
  <si>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</si>
  <si>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</si>
  <si>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</si>
  <si>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</si>
  <si>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</si>
  <si>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</si>
  <si>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</si>
  <si>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</si>
  <si>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</si>
  <si>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</si>
  <si>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</si>
  <si>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</si>
  <si>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</si>
  <si>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</si>
  <si>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</si>
  <si>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</si>
  <si>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</si>
  <si>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</si>
  <si>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</si>
  <si>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</si>
  <si>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</si>
  <si>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</si>
  <si>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</si>
  <si>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</si>
  <si>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</si>
  <si>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</si>
  <si>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</si>
  <si>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</si>
  <si>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</si>
  <si>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</si>
  <si>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</si>
  <si>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</si>
  <si>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</si>
  <si>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</si>
  <si>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</si>
  <si>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</si>
  <si>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</si>
  <si>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</si>
  <si>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</si>
  <si>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</si>
  <si>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</si>
  <si>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</si>
  <si>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</si>
  <si>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</si>
  <si>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</si>
  <si>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</si>
  <si>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</si>
  <si>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</si>
  <si>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</si>
  <si>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</si>
  <si>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</si>
  <si>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</si>
  <si>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</si>
  <si>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</si>
  <si>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</si>
  <si>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</si>
  <si>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</si>
  <si>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</si>
  <si>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</si>
  <si>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</si>
  <si>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</si>
  <si>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</si>
  <si>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</si>
  <si>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</si>
  <si>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</si>
  <si>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</si>
  <si>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</si>
  <si>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</si>
  <si>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</si>
  <si>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</si>
  <si>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</si>
  <si>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</si>
  <si>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</si>
  <si>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</si>
  <si>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</si>
  <si>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</si>
  <si>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</si>
  <si>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</si>
  <si>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</si>
  <si>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</si>
  <si>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</si>
  <si>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</si>
  <si>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</si>
  <si>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</si>
  <si>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</si>
  <si>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</si>
  <si>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</si>
  <si>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</si>
  <si>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</si>
  <si>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</si>
  <si>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</si>
  <si>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</si>
  <si>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</si>
  <si>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</si>
  <si>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</si>
  <si>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</si>
  <si>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</si>
  <si>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</si>
  <si>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</si>
  <si>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</si>
  <si>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</si>
  <si>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</si>
  <si>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</si>
  <si>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</si>
  <si>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</si>
  <si>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</si>
  <si>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</si>
  <si>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</si>
  <si>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</si>
  <si>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</si>
  <si>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</si>
  <si>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</si>
  <si>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</si>
  <si>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</si>
  <si>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</si>
  <si>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</si>
  <si>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</si>
  <si>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</si>
  <si>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</si>
  <si>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</si>
  <si>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</si>
  <si>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</si>
  <si>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</si>
  <si>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</si>
  <si>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</si>
  <si>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</si>
  <si>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</si>
  <si>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</si>
  <si>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</si>
  <si>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</si>
  <si>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</si>
  <si>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</si>
  <si>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</si>
  <si>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</si>
  <si>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</si>
  <si>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</si>
  <si>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</si>
  <si>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</si>
  <si>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</si>
  <si>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</si>
  <si>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</si>
  <si>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</si>
  <si>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</si>
  <si>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</si>
  <si>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</si>
  <si>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</si>
  <si>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</si>
  <si>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</si>
  <si>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</si>
  <si>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</si>
  <si>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</si>
  <si>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</si>
  <si>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</si>
  <si>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</si>
  <si>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</si>
  <si>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</si>
  <si>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</si>
  <si>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</si>
  <si>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</si>
  <si>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</si>
  <si>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</si>
  <si>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</si>
  <si>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</si>
  <si>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</si>
  <si>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</si>
  <si>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</si>
  <si>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</si>
  <si>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</si>
  <si>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</si>
  <si>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</si>
  <si>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</si>
  <si>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</si>
  <si>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</si>
  <si>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</si>
  <si>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</si>
  <si>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</si>
  <si>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</si>
  <si>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</si>
  <si>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</si>
  <si>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</si>
  <si>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</si>
  <si>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</si>
  <si>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</si>
  <si>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</si>
  <si>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</si>
  <si>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</si>
  <si>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</si>
  <si>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</si>
  <si>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</si>
  <si>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</si>
  <si>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</si>
  <si>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</si>
  <si>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</si>
  <si>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</si>
  <si>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</si>
  <si>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</si>
  <si>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</si>
  <si>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</si>
  <si>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</si>
  <si>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</si>
  <si>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</si>
  <si>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</si>
  <si>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</si>
  <si>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</si>
  <si>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</si>
  <si>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</si>
  <si>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</si>
  <si>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</si>
  <si>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</si>
  <si>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</si>
  <si>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</si>
  <si>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</si>
  <si>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</si>
  <si>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</si>
  <si>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</si>
  <si>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</si>
  <si>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</si>
  <si>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</si>
  <si>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</si>
  <si>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</si>
  <si>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</si>
  <si>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</si>
  <si>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</si>
  <si>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</si>
  <si>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</si>
  <si>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</si>
  <si>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</si>
  <si>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</si>
  <si>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</si>
  <si>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</si>
  <si>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</si>
  <si>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</si>
  <si>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</si>
  <si>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</si>
  <si>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</si>
  <si>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</si>
  <si>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</si>
  <si>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</si>
  <si>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</si>
  <si>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</si>
  <si>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</si>
  <si>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</si>
  <si>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</si>
  <si>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</si>
  <si>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</si>
  <si>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</si>
  <si>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</si>
  <si>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</si>
  <si>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</si>
  <si>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</si>
  <si>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</si>
  <si>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</si>
  <si>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</si>
  <si>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</si>
  <si>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</si>
  <si>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</si>
  <si>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</si>
  <si>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</si>
  <si>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</si>
  <si>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</si>
  <si>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</si>
  <si>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</si>
  <si>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</si>
  <si>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</si>
  <si>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</si>
  <si>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</si>
  <si>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</si>
  <si>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</si>
  <si>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</si>
  <si>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</si>
  <si>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</si>
  <si>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</si>
  <si>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</si>
  <si>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</si>
  <si>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</si>
  <si>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</si>
  <si>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</si>
  <si>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</si>
  <si>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</si>
  <si>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</si>
  <si>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</si>
  <si>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</si>
  <si>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</si>
  <si>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</si>
  <si>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</si>
  <si>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</si>
  <si>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</si>
  <si>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</si>
  <si>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</si>
  <si>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</si>
  <si>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</si>
  <si>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</si>
  <si>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</si>
  <si>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</si>
  <si>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</si>
  <si>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</si>
  <si>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</si>
  <si>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</si>
  <si>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</si>
  <si>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</si>
  <si>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</si>
  <si>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</si>
  <si>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</si>
  <si>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</si>
  <si>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</si>
  <si>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</si>
  <si>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</si>
  <si>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</si>
  <si>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</si>
  <si>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</si>
  <si>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</si>
  <si>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</si>
  <si>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</si>
  <si>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</si>
  <si>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</si>
  <si>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</si>
  <si>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</si>
  <si>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</si>
  <si>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</si>
  <si>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</si>
  <si>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</si>
  <si>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</si>
  <si>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</si>
  <si>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</si>
  <si>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</si>
  <si>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</si>
  <si>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</si>
  <si>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</si>
  <si>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</si>
  <si>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</si>
  <si>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</si>
  <si>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</si>
  <si>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</si>
  <si>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</si>
  <si>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</si>
  <si>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</si>
  <si>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</si>
  <si>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</si>
  <si>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</si>
  <si>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</si>
  <si>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</si>
  <si>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</si>
  <si>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</si>
  <si>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</si>
  <si>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</si>
  <si>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</si>
  <si>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</si>
  <si>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</si>
  <si>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</si>
  <si>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</si>
  <si>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</si>
  <si>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</si>
  <si>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</si>
  <si>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</si>
  <si>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</si>
  <si>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</si>
  <si>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</si>
  <si>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</si>
  <si>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</si>
  <si>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</si>
  <si>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</si>
  <si>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</si>
  <si>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</si>
  <si>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</si>
  <si>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</si>
  <si>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</si>
  <si>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</si>
  <si>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</si>
  <si>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</si>
  <si>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</si>
  <si>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</si>
  <si>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</si>
  <si>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</si>
  <si>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</si>
  <si>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</si>
  <si>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</si>
  <si>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</si>
  <si>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</si>
  <si>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</si>
  <si>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</si>
  <si>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</si>
  <si>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</si>
  <si>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</si>
  <si>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</si>
  <si>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</si>
  <si>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</si>
  <si>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</si>
  <si>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</si>
  <si>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</si>
  <si>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</si>
  <si>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</si>
  <si>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</si>
  <si>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</si>
  <si>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</si>
  <si>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</si>
  <si>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</si>
  <si>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</si>
  <si>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</si>
  <si>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</si>
  <si>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</si>
  <si>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</si>
  <si>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</si>
  <si>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</si>
  <si>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</si>
  <si>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</si>
  <si>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</si>
  <si>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</si>
  <si>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</si>
  <si>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</si>
  <si>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</si>
  <si>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</si>
  <si>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</si>
  <si>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</si>
  <si>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</si>
  <si>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</si>
  <si>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</si>
  <si>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</si>
  <si>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</si>
  <si>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</si>
  <si>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</si>
  <si>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</si>
  <si>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</si>
  <si>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</si>
  <si>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</si>
  <si>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</si>
  <si>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</si>
  <si>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</si>
  <si>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</si>
  <si>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</si>
  <si>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</si>
  <si>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</si>
  <si>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</si>
  <si>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</si>
  <si>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</si>
  <si>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</si>
  <si>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</si>
  <si>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</si>
  <si>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</si>
  <si>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</si>
  <si>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</si>
  <si>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</si>
  <si>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</si>
  <si>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</si>
  <si>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</si>
  <si>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</si>
  <si>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</si>
  <si>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</si>
  <si>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</si>
  <si>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</si>
  <si>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</si>
  <si>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</si>
  <si>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</si>
  <si>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</si>
  <si>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</si>
  <si>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</si>
  <si>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</si>
  <si>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</si>
  <si>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</si>
  <si>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</si>
  <si>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</si>
  <si>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</si>
  <si>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</si>
  <si>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</si>
  <si>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</si>
  <si>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</si>
  <si>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</si>
  <si>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</si>
  <si>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</si>
  <si>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</si>
  <si>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</si>
  <si>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</si>
  <si>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</si>
  <si>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</si>
  <si>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</si>
  <si>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</si>
  <si>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</si>
  <si>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</si>
  <si>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</si>
  <si>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</si>
  <si>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</si>
  <si>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</si>
  <si>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</si>
  <si>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</si>
  <si>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</si>
  <si>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</si>
  <si>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</si>
  <si>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</si>
  <si>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</si>
  <si>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</si>
  <si>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</si>
  <si>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</si>
  <si>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</si>
  <si>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</si>
  <si>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</si>
  <si>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</si>
  <si>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</si>
  <si>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</si>
  <si>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</si>
  <si>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</si>
  <si>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</si>
  <si>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</si>
  <si>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</si>
  <si>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</si>
  <si>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</si>
  <si>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</si>
  <si>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</si>
  <si>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</si>
  <si>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</si>
  <si>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</si>
  <si>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</si>
  <si>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</si>
  <si>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</si>
  <si>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</si>
  <si>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</si>
  <si>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</si>
  <si>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</si>
  <si>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</si>
  <si>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</si>
  <si>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</si>
  <si>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</si>
  <si>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</si>
  <si>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</si>
  <si>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</si>
  <si>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</si>
  <si>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</si>
  <si>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</si>
  <si>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</si>
  <si>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</si>
  <si>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</si>
  <si>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</si>
  <si>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</si>
  <si>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</si>
  <si>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</si>
  <si>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</si>
  <si>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</si>
  <si>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</si>
  <si>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</si>
  <si>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</si>
  <si>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</si>
  <si>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</si>
  <si>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</si>
  <si>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</si>
  <si>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</si>
  <si>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</si>
  <si>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</si>
  <si>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</si>
  <si>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</si>
  <si>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</si>
  <si>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</si>
  <si>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</si>
  <si>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</si>
  <si>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</si>
  <si>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</si>
  <si>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</si>
  <si>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</si>
  <si>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</si>
  <si>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</si>
  <si>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</si>
  <si>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</si>
  <si>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</si>
  <si>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</si>
  <si>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</si>
  <si>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</si>
  <si>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</si>
  <si>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</si>
  <si>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</si>
  <si>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</si>
  <si>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</si>
  <si>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</si>
  <si>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</si>
  <si>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</si>
  <si>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</si>
  <si>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</si>
  <si>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</si>
  <si>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</si>
  <si>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</si>
  <si>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</si>
  <si>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</si>
  <si>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</si>
  <si>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</si>
  <si>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</si>
  <si>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</si>
  <si>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</si>
  <si>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</si>
  <si>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</si>
  <si>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</si>
  <si>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</si>
  <si>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</si>
  <si>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</si>
  <si>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</si>
  <si>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</si>
  <si>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</si>
  <si>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</si>
  <si>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</si>
  <si>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</si>
  <si>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</si>
  <si>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</si>
  <si>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</si>
  <si>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</si>
  <si>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</si>
  <si>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</si>
  <si>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</si>
  <si>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</si>
  <si>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</si>
  <si>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</si>
  <si>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</si>
  <si>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</si>
  <si>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</si>
  <si>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</si>
  <si>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</si>
  <si>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</si>
  <si>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</si>
  <si>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</si>
  <si>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</si>
  <si>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</si>
  <si>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</si>
  <si>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</si>
  <si>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</si>
  <si>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</si>
  <si>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</si>
  <si>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</si>
  <si>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</si>
  <si>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</si>
  <si>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</si>
  <si>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</si>
  <si>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</si>
  <si>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</si>
  <si>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</si>
  <si>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</si>
  <si>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</si>
  <si>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</si>
  <si>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</si>
  <si>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</si>
  <si>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</si>
  <si>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</si>
  <si>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</si>
  <si>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</si>
  <si>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</si>
  <si>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</si>
  <si>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</si>
  <si>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</si>
  <si>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</si>
  <si>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</si>
  <si>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</si>
  <si>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</si>
  <si>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</si>
  <si>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</si>
  <si>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</si>
  <si>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</si>
  <si>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</si>
  <si>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</si>
  <si>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</si>
  <si>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</si>
  <si>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</si>
  <si>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</si>
  <si>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</si>
  <si>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</si>
  <si>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</si>
  <si>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</si>
  <si>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</si>
  <si>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</si>
  <si>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</si>
  <si>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</si>
  <si>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</si>
  <si>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</si>
  <si>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</si>
  <si>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</si>
  <si>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</si>
  <si>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</si>
  <si>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</si>
  <si>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</si>
  <si>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</si>
  <si>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</si>
  <si>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</si>
  <si>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</si>
  <si>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</si>
  <si>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</si>
  <si>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</si>
  <si>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</si>
  <si>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</si>
  <si>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</si>
  <si>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</si>
  <si>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</si>
  <si>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</si>
  <si>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</si>
  <si>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</si>
  <si>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</si>
  <si>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</si>
  <si>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</si>
  <si>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</si>
  <si>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</si>
  <si>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</si>
  <si>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</si>
  <si>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</si>
  <si>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</si>
  <si>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</si>
  <si>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</si>
  <si>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</si>
  <si>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</si>
  <si>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</si>
  <si>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</si>
  <si>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</si>
  <si>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</si>
  <si>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</si>
  <si>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</si>
  <si>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</si>
  <si>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</si>
  <si>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</si>
  <si>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</si>
  <si>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</si>
  <si>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</si>
  <si>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</si>
  <si>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</si>
  <si>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</si>
  <si>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</si>
  <si>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</si>
  <si>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</si>
  <si>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</si>
  <si>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</si>
  <si>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</si>
  <si>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</si>
  <si>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</si>
  <si>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</si>
  <si>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</si>
  <si>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</si>
  <si>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</si>
  <si>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</si>
  <si>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</si>
  <si>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</si>
  <si>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</si>
  <si>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</si>
  <si>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</si>
  <si>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</si>
  <si>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</si>
  <si>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</si>
  <si>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</si>
  <si>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</si>
  <si>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</si>
  <si>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</si>
  <si>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</si>
  <si>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</si>
  <si>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</si>
  <si>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</si>
  <si>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</si>
  <si>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</si>
  <si>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</si>
  <si>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</si>
  <si>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</si>
  <si>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</si>
  <si>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</si>
  <si>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</si>
  <si>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</si>
  <si>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</si>
  <si>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</si>
  <si>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</si>
  <si>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</si>
  <si>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</si>
  <si>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</si>
  <si>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</si>
  <si>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</si>
  <si>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</si>
  <si>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</si>
  <si>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</si>
  <si>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</si>
  <si>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</si>
  <si>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</si>
  <si>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</si>
  <si>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</si>
  <si>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</si>
  <si>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</si>
  <si>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</si>
  <si>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</si>
  <si>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</si>
  <si>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</si>
  <si>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</si>
  <si>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</si>
  <si>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</si>
  <si>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</si>
  <si>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</si>
  <si>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</si>
  <si>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</si>
  <si>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</si>
  <si>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</si>
  <si>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</si>
  <si>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</si>
  <si>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</si>
  <si>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</si>
  <si>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</si>
  <si>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</si>
  <si>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</si>
  <si>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</si>
  <si>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</si>
  <si>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</si>
  <si>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</si>
  <si>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</si>
  <si>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</si>
  <si>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</si>
  <si>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</si>
  <si>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</si>
  <si>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</si>
  <si>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</si>
  <si>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</si>
  <si>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</si>
  <si>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</si>
  <si>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</si>
  <si>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</si>
  <si>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</si>
  <si>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</si>
  <si>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</si>
  <si>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</si>
  <si>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</si>
  <si>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</si>
  <si>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</si>
  <si>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</si>
  <si>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</si>
  <si>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</si>
  <si>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</si>
  <si>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</si>
  <si>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</si>
  <si>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</si>
  <si>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</si>
  <si>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</si>
  <si>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</si>
  <si>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</si>
  <si>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</si>
  <si>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</si>
  <si>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</si>
  <si>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</si>
  <si>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</si>
  <si>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</si>
  <si>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</si>
  <si>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</si>
  <si>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</si>
  <si>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</si>
  <si>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</si>
  <si>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</si>
  <si>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</si>
  <si>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</si>
  <si>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</si>
  <si>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</si>
  <si>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</si>
  <si>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</si>
  <si>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</si>
  <si>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</si>
  <si>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</si>
  <si>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</si>
  <si>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</si>
  <si>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</si>
  <si>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</si>
  <si>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</si>
  <si>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</si>
  <si>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</si>
  <si>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</si>
  <si>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</si>
  <si>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</si>
  <si>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</si>
  <si>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</si>
  <si>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</si>
  <si>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</si>
  <si>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</si>
  <si>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</si>
  <si>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</si>
  <si>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</si>
  <si>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</si>
  <si>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</si>
  <si>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</si>
  <si>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</si>
  <si>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</si>
  <si>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</si>
  <si>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</si>
  <si>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TSO001117281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</si>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</sst>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0" t="s">
        <v>26</v>
      </c>
      <c r="E1" s="660"/>
      <c r="F1" s="660"/>
      <c r="G1" s="14" t="s">
        <v>66</v>
      </c>
      <c r="H1" s="660" t="s">
        <v>47</v>
      </c>
      <c r="I1" s="660"/>
      <c r="J1" s="660"/>
      <c r="K1" s="660"/>
      <c r="L1" s="660"/>
      <c r="M1" s="660"/>
      <c r="N1" s="660"/>
      <c r="O1" s="660"/>
      <c r="P1" s="660"/>
      <c r="Q1" s="660"/>
      <c r="R1" s="661" t="s">
        <v>67</v>
      </c>
      <c r="S1" s="662"/>
      <c r="T1" s="6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3"/>
      <c r="Q3" s="663"/>
      <c r="R3" s="663"/>
      <c r="S3" s="663"/>
      <c r="T3" s="663"/>
      <c r="U3" s="663"/>
      <c r="V3" s="663"/>
      <c r="W3" s="6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4" t="s">
        <v>8</v>
      </c>
      <c r="B5" s="664"/>
      <c r="C5" s="664"/>
      <c r="D5" s="665"/>
      <c r="E5" s="665"/>
      <c r="F5" s="666" t="s">
        <v>14</v>
      </c>
      <c r="G5" s="666"/>
      <c r="H5" s="665" t="s">
        <v>926</v>
      </c>
      <c r="I5" s="665"/>
      <c r="J5" s="665"/>
      <c r="K5" s="665"/>
      <c r="L5" s="665"/>
      <c r="M5" s="665"/>
      <c r="N5" s="72"/>
      <c r="P5" s="27" t="s">
        <v>4</v>
      </c>
      <c r="Q5" s="667">
        <v>46272</v>
      </c>
      <c r="R5" s="667"/>
      <c r="T5" s="668" t="s">
        <v>3</v>
      </c>
      <c r="U5" s="669"/>
      <c r="V5" s="670" t="s">
        <v>886</v>
      </c>
      <c r="W5" s="671"/>
      <c r="AB5" s="59"/>
      <c r="AC5" s="59"/>
      <c r="AD5" s="59"/>
      <c r="AE5" s="59"/>
    </row>
    <row r="6" spans="1:32" s="17" customFormat="1" ht="24" customHeight="1" x14ac:dyDescent="0.2">
      <c r="A6" s="664" t="s">
        <v>1</v>
      </c>
      <c r="B6" s="664"/>
      <c r="C6" s="664"/>
      <c r="D6" s="672" t="s">
        <v>905</v>
      </c>
      <c r="E6" s="672"/>
      <c r="F6" s="672"/>
      <c r="G6" s="672"/>
      <c r="H6" s="672"/>
      <c r="I6" s="672"/>
      <c r="J6" s="672"/>
      <c r="K6" s="672"/>
      <c r="L6" s="672"/>
      <c r="M6" s="672"/>
      <c r="N6" s="73"/>
      <c r="P6" s="27" t="s">
        <v>27</v>
      </c>
      <c r="Q6" s="673" t="str">
        <f>IF(Q5=0," ",CHOOSE(WEEKDAY(Q5,2),"Понедельник","Вторник","Среда","Четверг","Пятница","Суббота","Воскресенье"))</f>
        <v>Понедельник</v>
      </c>
      <c r="R6" s="673"/>
      <c r="T6" s="674" t="s">
        <v>5</v>
      </c>
      <c r="U6" s="675"/>
      <c r="V6" s="676" t="s">
        <v>69</v>
      </c>
      <c r="W6" s="67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2" t="str">
        <f>IFERROR(VLOOKUP(DeliveryAddress,Table,3,0),1)</f>
        <v>7</v>
      </c>
      <c r="E7" s="683"/>
      <c r="F7" s="683"/>
      <c r="G7" s="683"/>
      <c r="H7" s="683"/>
      <c r="I7" s="683"/>
      <c r="J7" s="683"/>
      <c r="K7" s="683"/>
      <c r="L7" s="683"/>
      <c r="M7" s="684"/>
      <c r="N7" s="74"/>
      <c r="P7" s="29"/>
      <c r="Q7" s="48"/>
      <c r="R7" s="48"/>
      <c r="T7" s="674"/>
      <c r="U7" s="675"/>
      <c r="V7" s="678"/>
      <c r="W7" s="679"/>
      <c r="AB7" s="59"/>
      <c r="AC7" s="59"/>
      <c r="AD7" s="59"/>
      <c r="AE7" s="59"/>
    </row>
    <row r="8" spans="1:32" s="17" customFormat="1" ht="25.5" customHeight="1" x14ac:dyDescent="0.2">
      <c r="A8" s="685" t="s">
        <v>57</v>
      </c>
      <c r="B8" s="685"/>
      <c r="C8" s="685"/>
      <c r="D8" s="686"/>
      <c r="E8" s="686"/>
      <c r="F8" s="686"/>
      <c r="G8" s="686"/>
      <c r="H8" s="686"/>
      <c r="I8" s="686"/>
      <c r="J8" s="686"/>
      <c r="K8" s="686"/>
      <c r="L8" s="686"/>
      <c r="M8" s="686"/>
      <c r="N8" s="75"/>
      <c r="P8" s="27" t="s">
        <v>11</v>
      </c>
      <c r="Q8" s="687">
        <v>0.66666666666666663</v>
      </c>
      <c r="R8" s="688"/>
      <c r="T8" s="674"/>
      <c r="U8" s="675"/>
      <c r="V8" s="678"/>
      <c r="W8" s="679"/>
      <c r="AB8" s="59"/>
      <c r="AC8" s="59"/>
      <c r="AD8" s="59"/>
      <c r="AE8" s="59"/>
    </row>
    <row r="9" spans="1:32" s="17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9"/>
      <c r="C9" s="689"/>
      <c r="D9" s="690" t="s">
        <v>46</v>
      </c>
      <c r="E9" s="691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9"/>
      <c r="H9" s="692" t="str">
        <f>IF(AND($A$9="Тип доверенности/получателя при получении в адресе перегруза:",$D$9="Разовая доверенность"),"Введите ФИО","")</f>
        <v/>
      </c>
      <c r="I9" s="692"/>
      <c r="J9" s="6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2"/>
      <c r="L9" s="692"/>
      <c r="M9" s="692"/>
      <c r="N9" s="70"/>
      <c r="P9" s="31" t="s">
        <v>15</v>
      </c>
      <c r="Q9" s="693"/>
      <c r="R9" s="693"/>
      <c r="T9" s="674"/>
      <c r="U9" s="675"/>
      <c r="V9" s="680"/>
      <c r="W9" s="68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9"/>
      <c r="C10" s="689"/>
      <c r="D10" s="690"/>
      <c r="E10" s="691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9"/>
      <c r="H10" s="694" t="str">
        <f>IFERROR(VLOOKUP($D$10,Proxy,2,FALSE),"")</f>
        <v/>
      </c>
      <c r="I10" s="694"/>
      <c r="J10" s="694"/>
      <c r="K10" s="694"/>
      <c r="L10" s="694"/>
      <c r="M10" s="694"/>
      <c r="N10" s="71"/>
      <c r="P10" s="31" t="s">
        <v>32</v>
      </c>
      <c r="Q10" s="695"/>
      <c r="R10" s="695"/>
      <c r="U10" s="29" t="s">
        <v>12</v>
      </c>
      <c r="V10" s="696" t="s">
        <v>70</v>
      </c>
      <c r="W10" s="69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8"/>
      <c r="R11" s="698"/>
      <c r="U11" s="29" t="s">
        <v>28</v>
      </c>
      <c r="V11" s="699" t="s">
        <v>927</v>
      </c>
      <c r="W11" s="69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0" t="s">
        <v>71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0"/>
      <c r="N12" s="76"/>
      <c r="P12" s="27" t="s">
        <v>30</v>
      </c>
      <c r="Q12" s="687"/>
      <c r="R12" s="687"/>
      <c r="S12" s="28"/>
      <c r="T12"/>
      <c r="U12" s="29" t="s">
        <v>46</v>
      </c>
      <c r="V12" s="701"/>
      <c r="W12" s="701"/>
      <c r="X12"/>
      <c r="AB12" s="59"/>
      <c r="AC12" s="59"/>
      <c r="AD12" s="59"/>
      <c r="AE12" s="59"/>
    </row>
    <row r="13" spans="1:32" s="17" customFormat="1" ht="23.25" customHeight="1" x14ac:dyDescent="0.2">
      <c r="A13" s="700" t="s">
        <v>72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0"/>
      <c r="N13" s="76"/>
      <c r="O13" s="31"/>
      <c r="P13" s="31" t="s">
        <v>31</v>
      </c>
      <c r="Q13" s="699"/>
      <c r="R13" s="69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0" t="s">
        <v>73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2" t="s">
        <v>74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2"/>
      <c r="N15" s="77"/>
      <c r="O15"/>
      <c r="P15" s="703" t="s">
        <v>60</v>
      </c>
      <c r="Q15" s="703"/>
      <c r="R15" s="703"/>
      <c r="S15" s="703"/>
      <c r="T15" s="70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4"/>
      <c r="Q16" s="704"/>
      <c r="R16" s="704"/>
      <c r="S16" s="704"/>
      <c r="T16" s="70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7" t="s">
        <v>58</v>
      </c>
      <c r="B17" s="707" t="s">
        <v>49</v>
      </c>
      <c r="C17" s="709" t="s">
        <v>48</v>
      </c>
      <c r="D17" s="711" t="s">
        <v>50</v>
      </c>
      <c r="E17" s="712"/>
      <c r="F17" s="707" t="s">
        <v>21</v>
      </c>
      <c r="G17" s="707" t="s">
        <v>24</v>
      </c>
      <c r="H17" s="707" t="s">
        <v>22</v>
      </c>
      <c r="I17" s="707" t="s">
        <v>23</v>
      </c>
      <c r="J17" s="707" t="s">
        <v>16</v>
      </c>
      <c r="K17" s="707" t="s">
        <v>65</v>
      </c>
      <c r="L17" s="707" t="s">
        <v>63</v>
      </c>
      <c r="M17" s="707" t="s">
        <v>2</v>
      </c>
      <c r="N17" s="707" t="s">
        <v>62</v>
      </c>
      <c r="O17" s="707" t="s">
        <v>25</v>
      </c>
      <c r="P17" s="711" t="s">
        <v>17</v>
      </c>
      <c r="Q17" s="715"/>
      <c r="R17" s="715"/>
      <c r="S17" s="715"/>
      <c r="T17" s="712"/>
      <c r="U17" s="705" t="s">
        <v>55</v>
      </c>
      <c r="V17" s="706"/>
      <c r="W17" s="707" t="s">
        <v>6</v>
      </c>
      <c r="X17" s="707" t="s">
        <v>41</v>
      </c>
      <c r="Y17" s="717" t="s">
        <v>54</v>
      </c>
      <c r="Z17" s="719" t="s">
        <v>18</v>
      </c>
      <c r="AA17" s="721" t="s">
        <v>59</v>
      </c>
      <c r="AB17" s="721" t="s">
        <v>19</v>
      </c>
      <c r="AC17" s="721" t="s">
        <v>64</v>
      </c>
      <c r="AD17" s="723" t="s">
        <v>56</v>
      </c>
      <c r="AE17" s="724"/>
      <c r="AF17" s="725"/>
      <c r="AG17" s="82"/>
      <c r="BD17" s="81" t="s">
        <v>61</v>
      </c>
    </row>
    <row r="18" spans="1:68" ht="14.25" customHeight="1" x14ac:dyDescent="0.2">
      <c r="A18" s="708"/>
      <c r="B18" s="708"/>
      <c r="C18" s="710"/>
      <c r="D18" s="713"/>
      <c r="E18" s="71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13"/>
      <c r="Q18" s="716"/>
      <c r="R18" s="716"/>
      <c r="S18" s="716"/>
      <c r="T18" s="714"/>
      <c r="U18" s="83" t="s">
        <v>44</v>
      </c>
      <c r="V18" s="83" t="s">
        <v>43</v>
      </c>
      <c r="W18" s="708"/>
      <c r="X18" s="708"/>
      <c r="Y18" s="718"/>
      <c r="Z18" s="720"/>
      <c r="AA18" s="722"/>
      <c r="AB18" s="722"/>
      <c r="AC18" s="722"/>
      <c r="AD18" s="726"/>
      <c r="AE18" s="727"/>
      <c r="AF18" s="728"/>
      <c r="AG18" s="82"/>
      <c r="BD18" s="81"/>
    </row>
    <row r="19" spans="1:68" ht="27.75" hidden="1" customHeight="1" x14ac:dyDescent="0.2">
      <c r="A19" s="729" t="s">
        <v>75</v>
      </c>
      <c r="B19" s="729"/>
      <c r="C19" s="729"/>
      <c r="D19" s="729"/>
      <c r="E19" s="729"/>
      <c r="F19" s="729"/>
      <c r="G19" s="729"/>
      <c r="H19" s="729"/>
      <c r="I19" s="729"/>
      <c r="J19" s="729"/>
      <c r="K19" s="729"/>
      <c r="L19" s="729"/>
      <c r="M19" s="729"/>
      <c r="N19" s="729"/>
      <c r="O19" s="729"/>
      <c r="P19" s="729"/>
      <c r="Q19" s="729"/>
      <c r="R19" s="729"/>
      <c r="S19" s="729"/>
      <c r="T19" s="729"/>
      <c r="U19" s="729"/>
      <c r="V19" s="729"/>
      <c r="W19" s="729"/>
      <c r="X19" s="729"/>
      <c r="Y19" s="729"/>
      <c r="Z19" s="729"/>
      <c r="AA19" s="54"/>
      <c r="AB19" s="54"/>
      <c r="AC19" s="54"/>
    </row>
    <row r="20" spans="1:68" ht="16.5" hidden="1" customHeight="1" x14ac:dyDescent="0.25">
      <c r="A20" s="730" t="s">
        <v>75</v>
      </c>
      <c r="B20" s="730"/>
      <c r="C20" s="730"/>
      <c r="D20" s="730"/>
      <c r="E20" s="730"/>
      <c r="F20" s="730"/>
      <c r="G20" s="730"/>
      <c r="H20" s="730"/>
      <c r="I20" s="730"/>
      <c r="J20" s="730"/>
      <c r="K20" s="730"/>
      <c r="L20" s="730"/>
      <c r="M20" s="730"/>
      <c r="N20" s="730"/>
      <c r="O20" s="730"/>
      <c r="P20" s="730"/>
      <c r="Q20" s="730"/>
      <c r="R20" s="730"/>
      <c r="S20" s="730"/>
      <c r="T20" s="730"/>
      <c r="U20" s="730"/>
      <c r="V20" s="730"/>
      <c r="W20" s="730"/>
      <c r="X20" s="730"/>
      <c r="Y20" s="730"/>
      <c r="Z20" s="730"/>
      <c r="AA20" s="65"/>
      <c r="AB20" s="65"/>
      <c r="AC20" s="79"/>
    </row>
    <row r="21" spans="1:68" ht="14.25" hidden="1" customHeight="1" x14ac:dyDescent="0.25">
      <c r="A21" s="731" t="s">
        <v>76</v>
      </c>
      <c r="B21" s="731"/>
      <c r="C21" s="731"/>
      <c r="D21" s="731"/>
      <c r="E21" s="731"/>
      <c r="F21" s="731"/>
      <c r="G21" s="731"/>
      <c r="H21" s="731"/>
      <c r="I21" s="731"/>
      <c r="J21" s="731"/>
      <c r="K21" s="731"/>
      <c r="L21" s="731"/>
      <c r="M21" s="731"/>
      <c r="N21" s="731"/>
      <c r="O21" s="731"/>
      <c r="P21" s="731"/>
      <c r="Q21" s="731"/>
      <c r="R21" s="731"/>
      <c r="S21" s="731"/>
      <c r="T21" s="731"/>
      <c r="U21" s="731"/>
      <c r="V21" s="731"/>
      <c r="W21" s="731"/>
      <c r="X21" s="731"/>
      <c r="Y21" s="731"/>
      <c r="Z21" s="731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32">
        <v>4680115886643</v>
      </c>
      <c r="E22" s="73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4"/>
      <c r="R22" s="734"/>
      <c r="S22" s="734"/>
      <c r="T22" s="735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32">
        <v>4680115889071</v>
      </c>
      <c r="E23" s="732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4"/>
      <c r="R23" s="734"/>
      <c r="S23" s="734"/>
      <c r="T23" s="735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0"/>
      <c r="B24" s="740"/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740"/>
      <c r="O24" s="741"/>
      <c r="P24" s="737" t="s">
        <v>40</v>
      </c>
      <c r="Q24" s="738"/>
      <c r="R24" s="738"/>
      <c r="S24" s="738"/>
      <c r="T24" s="738"/>
      <c r="U24" s="738"/>
      <c r="V24" s="73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0"/>
      <c r="B25" s="740"/>
      <c r="C25" s="740"/>
      <c r="D25" s="740"/>
      <c r="E25" s="740"/>
      <c r="F25" s="740"/>
      <c r="G25" s="740"/>
      <c r="H25" s="740"/>
      <c r="I25" s="740"/>
      <c r="J25" s="740"/>
      <c r="K25" s="740"/>
      <c r="L25" s="740"/>
      <c r="M25" s="740"/>
      <c r="N25" s="740"/>
      <c r="O25" s="741"/>
      <c r="P25" s="737" t="s">
        <v>40</v>
      </c>
      <c r="Q25" s="738"/>
      <c r="R25" s="738"/>
      <c r="S25" s="738"/>
      <c r="T25" s="738"/>
      <c r="U25" s="738"/>
      <c r="V25" s="73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1" t="s">
        <v>85</v>
      </c>
      <c r="B26" s="731"/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1"/>
      <c r="N26" s="731"/>
      <c r="O26" s="731"/>
      <c r="P26" s="731"/>
      <c r="Q26" s="731"/>
      <c r="R26" s="731"/>
      <c r="S26" s="731"/>
      <c r="T26" s="731"/>
      <c r="U26" s="731"/>
      <c r="V26" s="731"/>
      <c r="W26" s="731"/>
      <c r="X26" s="731"/>
      <c r="Y26" s="731"/>
      <c r="Z26" s="731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32">
        <v>4680115885912</v>
      </c>
      <c r="E27" s="732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4"/>
      <c r="R27" s="734"/>
      <c r="S27" s="734"/>
      <c r="T27" s="735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32">
        <v>4607091388237</v>
      </c>
      <c r="E28" s="732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4"/>
      <c r="R28" s="734"/>
      <c r="S28" s="734"/>
      <c r="T28" s="735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32">
        <v>4680115887350</v>
      </c>
      <c r="E29" s="73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4"/>
      <c r="R29" s="734"/>
      <c r="S29" s="734"/>
      <c r="T29" s="735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32">
        <v>4680115885905</v>
      </c>
      <c r="E30" s="732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4"/>
      <c r="R30" s="734"/>
      <c r="S30" s="734"/>
      <c r="T30" s="735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32">
        <v>4680115887619</v>
      </c>
      <c r="E31" s="732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4"/>
      <c r="R31" s="734"/>
      <c r="S31" s="734"/>
      <c r="T31" s="735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0"/>
      <c r="B32" s="740"/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  <c r="N32" s="740"/>
      <c r="O32" s="741"/>
      <c r="P32" s="737" t="s">
        <v>40</v>
      </c>
      <c r="Q32" s="738"/>
      <c r="R32" s="738"/>
      <c r="S32" s="738"/>
      <c r="T32" s="738"/>
      <c r="U32" s="738"/>
      <c r="V32" s="73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0"/>
      <c r="B33" s="740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1"/>
      <c r="P33" s="737" t="s">
        <v>40</v>
      </c>
      <c r="Q33" s="738"/>
      <c r="R33" s="738"/>
      <c r="S33" s="738"/>
      <c r="T33" s="738"/>
      <c r="U33" s="738"/>
      <c r="V33" s="73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9" t="s">
        <v>45</v>
      </c>
      <c r="B34" s="729"/>
      <c r="C34" s="729"/>
      <c r="D34" s="729"/>
      <c r="E34" s="729"/>
      <c r="F34" s="729"/>
      <c r="G34" s="729"/>
      <c r="H34" s="729"/>
      <c r="I34" s="729"/>
      <c r="J34" s="729"/>
      <c r="K34" s="729"/>
      <c r="L34" s="729"/>
      <c r="M34" s="729"/>
      <c r="N34" s="729"/>
      <c r="O34" s="729"/>
      <c r="P34" s="729"/>
      <c r="Q34" s="729"/>
      <c r="R34" s="729"/>
      <c r="S34" s="729"/>
      <c r="T34" s="729"/>
      <c r="U34" s="729"/>
      <c r="V34" s="729"/>
      <c r="W34" s="729"/>
      <c r="X34" s="729"/>
      <c r="Y34" s="729"/>
      <c r="Z34" s="729"/>
      <c r="AA34" s="54"/>
      <c r="AB34" s="54"/>
      <c r="AC34" s="54"/>
    </row>
    <row r="35" spans="1:68" ht="16.5" hidden="1" customHeight="1" x14ac:dyDescent="0.25">
      <c r="A35" s="730" t="s">
        <v>103</v>
      </c>
      <c r="B35" s="730"/>
      <c r="C35" s="730"/>
      <c r="D35" s="730"/>
      <c r="E35" s="730"/>
      <c r="F35" s="730"/>
      <c r="G35" s="730"/>
      <c r="H35" s="730"/>
      <c r="I35" s="730"/>
      <c r="J35" s="730"/>
      <c r="K35" s="730"/>
      <c r="L35" s="730"/>
      <c r="M35" s="730"/>
      <c r="N35" s="730"/>
      <c r="O35" s="730"/>
      <c r="P35" s="730"/>
      <c r="Q35" s="730"/>
      <c r="R35" s="730"/>
      <c r="S35" s="730"/>
      <c r="T35" s="730"/>
      <c r="U35" s="730"/>
      <c r="V35" s="730"/>
      <c r="W35" s="730"/>
      <c r="X35" s="730"/>
      <c r="Y35" s="730"/>
      <c r="Z35" s="730"/>
      <c r="AA35" s="65"/>
      <c r="AB35" s="65"/>
      <c r="AC35" s="79"/>
    </row>
    <row r="36" spans="1:68" ht="14.25" hidden="1" customHeight="1" x14ac:dyDescent="0.25">
      <c r="A36" s="731" t="s">
        <v>85</v>
      </c>
      <c r="B36" s="731"/>
      <c r="C36" s="731"/>
      <c r="D36" s="731"/>
      <c r="E36" s="731"/>
      <c r="F36" s="731"/>
      <c r="G36" s="731"/>
      <c r="H36" s="731"/>
      <c r="I36" s="731"/>
      <c r="J36" s="731"/>
      <c r="K36" s="731"/>
      <c r="L36" s="731"/>
      <c r="M36" s="731"/>
      <c r="N36" s="731"/>
      <c r="O36" s="731"/>
      <c r="P36" s="731"/>
      <c r="Q36" s="731"/>
      <c r="R36" s="731"/>
      <c r="S36" s="731"/>
      <c r="T36" s="731"/>
      <c r="U36" s="731"/>
      <c r="V36" s="731"/>
      <c r="W36" s="731"/>
      <c r="X36" s="731"/>
      <c r="Y36" s="731"/>
      <c r="Z36" s="731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32">
        <v>4680115889354</v>
      </c>
      <c r="E37" s="732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4"/>
      <c r="R37" s="734"/>
      <c r="S37" s="734"/>
      <c r="T37" s="735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32">
        <v>4680115888463</v>
      </c>
      <c r="E38" s="732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4"/>
      <c r="R38" s="734"/>
      <c r="S38" s="734"/>
      <c r="T38" s="735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32">
        <v>4680115889590</v>
      </c>
      <c r="E39" s="732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4"/>
      <c r="R39" s="734"/>
      <c r="S39" s="734"/>
      <c r="T39" s="735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32">
        <v>4680115888272</v>
      </c>
      <c r="E40" s="732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4"/>
      <c r="R40" s="734"/>
      <c r="S40" s="734"/>
      <c r="T40" s="735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32">
        <v>4680115888364</v>
      </c>
      <c r="E41" s="732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4"/>
      <c r="R41" s="734"/>
      <c r="S41" s="734"/>
      <c r="T41" s="735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0"/>
      <c r="B42" s="740"/>
      <c r="C42" s="740"/>
      <c r="D42" s="740"/>
      <c r="E42" s="740"/>
      <c r="F42" s="740"/>
      <c r="G42" s="740"/>
      <c r="H42" s="740"/>
      <c r="I42" s="740"/>
      <c r="J42" s="740"/>
      <c r="K42" s="740"/>
      <c r="L42" s="740"/>
      <c r="M42" s="740"/>
      <c r="N42" s="740"/>
      <c r="O42" s="741"/>
      <c r="P42" s="737" t="s">
        <v>40</v>
      </c>
      <c r="Q42" s="738"/>
      <c r="R42" s="738"/>
      <c r="S42" s="738"/>
      <c r="T42" s="738"/>
      <c r="U42" s="738"/>
      <c r="V42" s="73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0"/>
      <c r="B43" s="740"/>
      <c r="C43" s="740"/>
      <c r="D43" s="740"/>
      <c r="E43" s="740"/>
      <c r="F43" s="740"/>
      <c r="G43" s="740"/>
      <c r="H43" s="740"/>
      <c r="I43" s="740"/>
      <c r="J43" s="740"/>
      <c r="K43" s="740"/>
      <c r="L43" s="740"/>
      <c r="M43" s="740"/>
      <c r="N43" s="740"/>
      <c r="O43" s="741"/>
      <c r="P43" s="737" t="s">
        <v>40</v>
      </c>
      <c r="Q43" s="738"/>
      <c r="R43" s="738"/>
      <c r="S43" s="738"/>
      <c r="T43" s="738"/>
      <c r="U43" s="738"/>
      <c r="V43" s="73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9" t="s">
        <v>119</v>
      </c>
      <c r="B44" s="729"/>
      <c r="C44" s="729"/>
      <c r="D44" s="729"/>
      <c r="E44" s="729"/>
      <c r="F44" s="729"/>
      <c r="G44" s="729"/>
      <c r="H44" s="729"/>
      <c r="I44" s="729"/>
      <c r="J44" s="729"/>
      <c r="K44" s="729"/>
      <c r="L44" s="729"/>
      <c r="M44" s="729"/>
      <c r="N44" s="729"/>
      <c r="O44" s="729"/>
      <c r="P44" s="729"/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54"/>
      <c r="AB44" s="54"/>
      <c r="AC44" s="54"/>
    </row>
    <row r="45" spans="1:68" ht="16.5" hidden="1" customHeight="1" x14ac:dyDescent="0.25">
      <c r="A45" s="730" t="s">
        <v>120</v>
      </c>
      <c r="B45" s="730"/>
      <c r="C45" s="730"/>
      <c r="D45" s="730"/>
      <c r="E45" s="730"/>
      <c r="F45" s="730"/>
      <c r="G45" s="730"/>
      <c r="H45" s="730"/>
      <c r="I45" s="730"/>
      <c r="J45" s="730"/>
      <c r="K45" s="730"/>
      <c r="L45" s="730"/>
      <c r="M45" s="730"/>
      <c r="N45" s="730"/>
      <c r="O45" s="730"/>
      <c r="P45" s="730"/>
      <c r="Q45" s="730"/>
      <c r="R45" s="730"/>
      <c r="S45" s="730"/>
      <c r="T45" s="730"/>
      <c r="U45" s="730"/>
      <c r="V45" s="730"/>
      <c r="W45" s="730"/>
      <c r="X45" s="730"/>
      <c r="Y45" s="730"/>
      <c r="Z45" s="730"/>
      <c r="AA45" s="65"/>
      <c r="AB45" s="65"/>
      <c r="AC45" s="79"/>
    </row>
    <row r="46" spans="1:68" ht="14.25" hidden="1" customHeight="1" x14ac:dyDescent="0.25">
      <c r="A46" s="731" t="s">
        <v>121</v>
      </c>
      <c r="B46" s="731"/>
      <c r="C46" s="731"/>
      <c r="D46" s="731"/>
      <c r="E46" s="731"/>
      <c r="F46" s="731"/>
      <c r="G46" s="731"/>
      <c r="H46" s="731"/>
      <c r="I46" s="731"/>
      <c r="J46" s="731"/>
      <c r="K46" s="731"/>
      <c r="L46" s="731"/>
      <c r="M46" s="731"/>
      <c r="N46" s="731"/>
      <c r="O46" s="731"/>
      <c r="P46" s="731"/>
      <c r="Q46" s="731"/>
      <c r="R46" s="731"/>
      <c r="S46" s="731"/>
      <c r="T46" s="731"/>
      <c r="U46" s="731"/>
      <c r="V46" s="731"/>
      <c r="W46" s="731"/>
      <c r="X46" s="731"/>
      <c r="Y46" s="731"/>
      <c r="Z46" s="731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32">
        <v>4607091385670</v>
      </c>
      <c r="E47" s="732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4"/>
      <c r="R47" s="734"/>
      <c r="S47" s="734"/>
      <c r="T47" s="735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32">
        <v>4680115887725</v>
      </c>
      <c r="E48" s="732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5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4"/>
      <c r="R48" s="734"/>
      <c r="S48" s="734"/>
      <c r="T48" s="735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32">
        <v>4607091385687</v>
      </c>
      <c r="E49" s="732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4"/>
      <c r="R49" s="734"/>
      <c r="S49" s="734"/>
      <c r="T49" s="735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32">
        <v>4680115882539</v>
      </c>
      <c r="E50" s="732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4"/>
      <c r="R50" s="734"/>
      <c r="S50" s="734"/>
      <c r="T50" s="735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0"/>
      <c r="B51" s="740"/>
      <c r="C51" s="740"/>
      <c r="D51" s="740"/>
      <c r="E51" s="740"/>
      <c r="F51" s="740"/>
      <c r="G51" s="740"/>
      <c r="H51" s="740"/>
      <c r="I51" s="740"/>
      <c r="J51" s="740"/>
      <c r="K51" s="740"/>
      <c r="L51" s="740"/>
      <c r="M51" s="740"/>
      <c r="N51" s="740"/>
      <c r="O51" s="741"/>
      <c r="P51" s="737" t="s">
        <v>40</v>
      </c>
      <c r="Q51" s="738"/>
      <c r="R51" s="738"/>
      <c r="S51" s="738"/>
      <c r="T51" s="738"/>
      <c r="U51" s="738"/>
      <c r="V51" s="73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0"/>
      <c r="B52" s="740"/>
      <c r="C52" s="740"/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41"/>
      <c r="P52" s="737" t="s">
        <v>40</v>
      </c>
      <c r="Q52" s="738"/>
      <c r="R52" s="738"/>
      <c r="S52" s="738"/>
      <c r="T52" s="738"/>
      <c r="U52" s="738"/>
      <c r="V52" s="73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0" t="s">
        <v>136</v>
      </c>
      <c r="B53" s="730"/>
      <c r="C53" s="730"/>
      <c r="D53" s="730"/>
      <c r="E53" s="730"/>
      <c r="F53" s="730"/>
      <c r="G53" s="730"/>
      <c r="H53" s="730"/>
      <c r="I53" s="730"/>
      <c r="J53" s="730"/>
      <c r="K53" s="730"/>
      <c r="L53" s="730"/>
      <c r="M53" s="730"/>
      <c r="N53" s="730"/>
      <c r="O53" s="730"/>
      <c r="P53" s="730"/>
      <c r="Q53" s="730"/>
      <c r="R53" s="730"/>
      <c r="S53" s="730"/>
      <c r="T53" s="730"/>
      <c r="U53" s="730"/>
      <c r="V53" s="730"/>
      <c r="W53" s="730"/>
      <c r="X53" s="730"/>
      <c r="Y53" s="730"/>
      <c r="Z53" s="730"/>
      <c r="AA53" s="65"/>
      <c r="AB53" s="65"/>
      <c r="AC53" s="79"/>
    </row>
    <row r="54" spans="1:68" ht="14.25" hidden="1" customHeight="1" x14ac:dyDescent="0.25">
      <c r="A54" s="731" t="s">
        <v>121</v>
      </c>
      <c r="B54" s="731"/>
      <c r="C54" s="731"/>
      <c r="D54" s="731"/>
      <c r="E54" s="731"/>
      <c r="F54" s="731"/>
      <c r="G54" s="731"/>
      <c r="H54" s="731"/>
      <c r="I54" s="731"/>
      <c r="J54" s="731"/>
      <c r="K54" s="731"/>
      <c r="L54" s="731"/>
      <c r="M54" s="731"/>
      <c r="N54" s="731"/>
      <c r="O54" s="731"/>
      <c r="P54" s="731"/>
      <c r="Q54" s="731"/>
      <c r="R54" s="731"/>
      <c r="S54" s="731"/>
      <c r="T54" s="731"/>
      <c r="U54" s="731"/>
      <c r="V54" s="731"/>
      <c r="W54" s="731"/>
      <c r="X54" s="731"/>
      <c r="Y54" s="731"/>
      <c r="Z54" s="731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32">
        <v>4680115885882</v>
      </c>
      <c r="E55" s="732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4"/>
      <c r="R55" s="734"/>
      <c r="S55" s="734"/>
      <c r="T55" s="735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32">
        <v>4680115881426</v>
      </c>
      <c r="E56" s="732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4"/>
      <c r="R56" s="734"/>
      <c r="S56" s="734"/>
      <c r="T56" s="735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32">
        <v>4680115880283</v>
      </c>
      <c r="E57" s="732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4"/>
      <c r="R57" s="734"/>
      <c r="S57" s="734"/>
      <c r="T57" s="735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32">
        <v>4680115881525</v>
      </c>
      <c r="E58" s="732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4"/>
      <c r="R58" s="734"/>
      <c r="S58" s="734"/>
      <c r="T58" s="735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32">
        <v>4680115885899</v>
      </c>
      <c r="E59" s="732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6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4"/>
      <c r="R59" s="734"/>
      <c r="S59" s="734"/>
      <c r="T59" s="735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32">
        <v>4680115881419</v>
      </c>
      <c r="E60" s="732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4"/>
      <c r="R60" s="734"/>
      <c r="S60" s="734"/>
      <c r="T60" s="735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0"/>
      <c r="B61" s="740"/>
      <c r="C61" s="740"/>
      <c r="D61" s="740"/>
      <c r="E61" s="740"/>
      <c r="F61" s="740"/>
      <c r="G61" s="740"/>
      <c r="H61" s="740"/>
      <c r="I61" s="740"/>
      <c r="J61" s="740"/>
      <c r="K61" s="740"/>
      <c r="L61" s="740"/>
      <c r="M61" s="740"/>
      <c r="N61" s="740"/>
      <c r="O61" s="741"/>
      <c r="P61" s="737" t="s">
        <v>40</v>
      </c>
      <c r="Q61" s="738"/>
      <c r="R61" s="738"/>
      <c r="S61" s="738"/>
      <c r="T61" s="738"/>
      <c r="U61" s="738"/>
      <c r="V61" s="739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0"/>
      <c r="B62" s="740"/>
      <c r="C62" s="740"/>
      <c r="D62" s="740"/>
      <c r="E62" s="740"/>
      <c r="F62" s="740"/>
      <c r="G62" s="740"/>
      <c r="H62" s="740"/>
      <c r="I62" s="740"/>
      <c r="J62" s="740"/>
      <c r="K62" s="740"/>
      <c r="L62" s="740"/>
      <c r="M62" s="740"/>
      <c r="N62" s="740"/>
      <c r="O62" s="741"/>
      <c r="P62" s="737" t="s">
        <v>40</v>
      </c>
      <c r="Q62" s="738"/>
      <c r="R62" s="738"/>
      <c r="S62" s="738"/>
      <c r="T62" s="738"/>
      <c r="U62" s="738"/>
      <c r="V62" s="739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1" t="s">
        <v>154</v>
      </c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1"/>
      <c r="R63" s="731"/>
      <c r="S63" s="731"/>
      <c r="T63" s="731"/>
      <c r="U63" s="731"/>
      <c r="V63" s="731"/>
      <c r="W63" s="731"/>
      <c r="X63" s="731"/>
      <c r="Y63" s="731"/>
      <c r="Z63" s="731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32">
        <v>4680115881440</v>
      </c>
      <c r="E64" s="732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4"/>
      <c r="R64" s="734"/>
      <c r="S64" s="734"/>
      <c r="T64" s="735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32">
        <v>4680115885950</v>
      </c>
      <c r="E65" s="732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4"/>
      <c r="R65" s="734"/>
      <c r="S65" s="734"/>
      <c r="T65" s="735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32">
        <v>4680115887688</v>
      </c>
      <c r="E66" s="732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6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4"/>
      <c r="R66" s="734"/>
      <c r="S66" s="734"/>
      <c r="T66" s="735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32">
        <v>4680115881433</v>
      </c>
      <c r="E67" s="732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4"/>
      <c r="R67" s="734"/>
      <c r="S67" s="734"/>
      <c r="T67" s="735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0"/>
      <c r="B68" s="740"/>
      <c r="C68" s="740"/>
      <c r="D68" s="740"/>
      <c r="E68" s="740"/>
      <c r="F68" s="740"/>
      <c r="G68" s="740"/>
      <c r="H68" s="740"/>
      <c r="I68" s="740"/>
      <c r="J68" s="740"/>
      <c r="K68" s="740"/>
      <c r="L68" s="740"/>
      <c r="M68" s="740"/>
      <c r="N68" s="740"/>
      <c r="O68" s="741"/>
      <c r="P68" s="737" t="s">
        <v>40</v>
      </c>
      <c r="Q68" s="738"/>
      <c r="R68" s="738"/>
      <c r="S68" s="738"/>
      <c r="T68" s="738"/>
      <c r="U68" s="738"/>
      <c r="V68" s="739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0"/>
      <c r="B69" s="740"/>
      <c r="C69" s="740"/>
      <c r="D69" s="740"/>
      <c r="E69" s="740"/>
      <c r="F69" s="740"/>
      <c r="G69" s="740"/>
      <c r="H69" s="740"/>
      <c r="I69" s="740"/>
      <c r="J69" s="740"/>
      <c r="K69" s="740"/>
      <c r="L69" s="740"/>
      <c r="M69" s="740"/>
      <c r="N69" s="740"/>
      <c r="O69" s="741"/>
      <c r="P69" s="737" t="s">
        <v>40</v>
      </c>
      <c r="Q69" s="738"/>
      <c r="R69" s="738"/>
      <c r="S69" s="738"/>
      <c r="T69" s="738"/>
      <c r="U69" s="738"/>
      <c r="V69" s="739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1" t="s">
        <v>85</v>
      </c>
      <c r="B70" s="731"/>
      <c r="C70" s="731"/>
      <c r="D70" s="731"/>
      <c r="E70" s="731"/>
      <c r="F70" s="731"/>
      <c r="G70" s="731"/>
      <c r="H70" s="731"/>
      <c r="I70" s="731"/>
      <c r="J70" s="731"/>
      <c r="K70" s="731"/>
      <c r="L70" s="731"/>
      <c r="M70" s="731"/>
      <c r="N70" s="731"/>
      <c r="O70" s="731"/>
      <c r="P70" s="731"/>
      <c r="Q70" s="731"/>
      <c r="R70" s="731"/>
      <c r="S70" s="731"/>
      <c r="T70" s="731"/>
      <c r="U70" s="731"/>
      <c r="V70" s="731"/>
      <c r="W70" s="731"/>
      <c r="X70" s="731"/>
      <c r="Y70" s="731"/>
      <c r="Z70" s="731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32">
        <v>4680115884311</v>
      </c>
      <c r="E71" s="732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6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4"/>
      <c r="R71" s="734"/>
      <c r="S71" s="734"/>
      <c r="T71" s="735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32">
        <v>4680115884403</v>
      </c>
      <c r="E72" s="732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4"/>
      <c r="R72" s="734"/>
      <c r="S72" s="734"/>
      <c r="T72" s="735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32">
        <v>4680115884403</v>
      </c>
      <c r="E73" s="732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4"/>
      <c r="R73" s="734"/>
      <c r="S73" s="734"/>
      <c r="T73" s="735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0"/>
      <c r="B74" s="740"/>
      <c r="C74" s="740"/>
      <c r="D74" s="740"/>
      <c r="E74" s="740"/>
      <c r="F74" s="740"/>
      <c r="G74" s="740"/>
      <c r="H74" s="740"/>
      <c r="I74" s="740"/>
      <c r="J74" s="740"/>
      <c r="K74" s="740"/>
      <c r="L74" s="740"/>
      <c r="M74" s="740"/>
      <c r="N74" s="740"/>
      <c r="O74" s="741"/>
      <c r="P74" s="737" t="s">
        <v>40</v>
      </c>
      <c r="Q74" s="738"/>
      <c r="R74" s="738"/>
      <c r="S74" s="738"/>
      <c r="T74" s="738"/>
      <c r="U74" s="738"/>
      <c r="V74" s="739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0"/>
      <c r="B75" s="740"/>
      <c r="C75" s="740"/>
      <c r="D75" s="740"/>
      <c r="E75" s="740"/>
      <c r="F75" s="740"/>
      <c r="G75" s="740"/>
      <c r="H75" s="740"/>
      <c r="I75" s="740"/>
      <c r="J75" s="740"/>
      <c r="K75" s="740"/>
      <c r="L75" s="740"/>
      <c r="M75" s="740"/>
      <c r="N75" s="740"/>
      <c r="O75" s="741"/>
      <c r="P75" s="737" t="s">
        <v>40</v>
      </c>
      <c r="Q75" s="738"/>
      <c r="R75" s="738"/>
      <c r="S75" s="738"/>
      <c r="T75" s="738"/>
      <c r="U75" s="738"/>
      <c r="V75" s="739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1" t="s">
        <v>172</v>
      </c>
      <c r="B76" s="731"/>
      <c r="C76" s="731"/>
      <c r="D76" s="731"/>
      <c r="E76" s="731"/>
      <c r="F76" s="731"/>
      <c r="G76" s="731"/>
      <c r="H76" s="731"/>
      <c r="I76" s="731"/>
      <c r="J76" s="731"/>
      <c r="K76" s="731"/>
      <c r="L76" s="731"/>
      <c r="M76" s="731"/>
      <c r="N76" s="731"/>
      <c r="O76" s="731"/>
      <c r="P76" s="731"/>
      <c r="Q76" s="731"/>
      <c r="R76" s="731"/>
      <c r="S76" s="731"/>
      <c r="T76" s="731"/>
      <c r="U76" s="731"/>
      <c r="V76" s="731"/>
      <c r="W76" s="731"/>
      <c r="X76" s="731"/>
      <c r="Y76" s="731"/>
      <c r="Z76" s="731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32">
        <v>4680115881532</v>
      </c>
      <c r="E77" s="732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4"/>
      <c r="R77" s="734"/>
      <c r="S77" s="734"/>
      <c r="T77" s="735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32">
        <v>4680115881532</v>
      </c>
      <c r="E78" s="732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7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4"/>
      <c r="R78" s="734"/>
      <c r="S78" s="734"/>
      <c r="T78" s="735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32">
        <v>4680115881464</v>
      </c>
      <c r="E79" s="732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4"/>
      <c r="R79" s="734"/>
      <c r="S79" s="734"/>
      <c r="T79" s="735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32">
        <v>4680115881464</v>
      </c>
      <c r="E80" s="73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7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4"/>
      <c r="R80" s="734"/>
      <c r="S80" s="734"/>
      <c r="T80" s="735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0"/>
      <c r="B81" s="740"/>
      <c r="C81" s="740"/>
      <c r="D81" s="740"/>
      <c r="E81" s="740"/>
      <c r="F81" s="740"/>
      <c r="G81" s="740"/>
      <c r="H81" s="740"/>
      <c r="I81" s="740"/>
      <c r="J81" s="740"/>
      <c r="K81" s="740"/>
      <c r="L81" s="740"/>
      <c r="M81" s="740"/>
      <c r="N81" s="740"/>
      <c r="O81" s="741"/>
      <c r="P81" s="737" t="s">
        <v>40</v>
      </c>
      <c r="Q81" s="738"/>
      <c r="R81" s="738"/>
      <c r="S81" s="738"/>
      <c r="T81" s="738"/>
      <c r="U81" s="738"/>
      <c r="V81" s="739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0"/>
      <c r="B82" s="740"/>
      <c r="C82" s="740"/>
      <c r="D82" s="740"/>
      <c r="E82" s="740"/>
      <c r="F82" s="740"/>
      <c r="G82" s="740"/>
      <c r="H82" s="740"/>
      <c r="I82" s="740"/>
      <c r="J82" s="740"/>
      <c r="K82" s="740"/>
      <c r="L82" s="740"/>
      <c r="M82" s="740"/>
      <c r="N82" s="740"/>
      <c r="O82" s="741"/>
      <c r="P82" s="737" t="s">
        <v>40</v>
      </c>
      <c r="Q82" s="738"/>
      <c r="R82" s="738"/>
      <c r="S82" s="738"/>
      <c r="T82" s="738"/>
      <c r="U82" s="738"/>
      <c r="V82" s="739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0" t="s">
        <v>181</v>
      </c>
      <c r="B83" s="730"/>
      <c r="C83" s="730"/>
      <c r="D83" s="730"/>
      <c r="E83" s="730"/>
      <c r="F83" s="730"/>
      <c r="G83" s="730"/>
      <c r="H83" s="730"/>
      <c r="I83" s="730"/>
      <c r="J83" s="730"/>
      <c r="K83" s="730"/>
      <c r="L83" s="730"/>
      <c r="M83" s="730"/>
      <c r="N83" s="730"/>
      <c r="O83" s="730"/>
      <c r="P83" s="730"/>
      <c r="Q83" s="730"/>
      <c r="R83" s="730"/>
      <c r="S83" s="730"/>
      <c r="T83" s="730"/>
      <c r="U83" s="730"/>
      <c r="V83" s="730"/>
      <c r="W83" s="730"/>
      <c r="X83" s="730"/>
      <c r="Y83" s="730"/>
      <c r="Z83" s="730"/>
      <c r="AA83" s="65"/>
      <c r="AB83" s="65"/>
      <c r="AC83" s="79"/>
    </row>
    <row r="84" spans="1:68" ht="14.25" hidden="1" customHeight="1" x14ac:dyDescent="0.25">
      <c r="A84" s="731" t="s">
        <v>121</v>
      </c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1"/>
      <c r="P84" s="731"/>
      <c r="Q84" s="731"/>
      <c r="R84" s="731"/>
      <c r="S84" s="731"/>
      <c r="T84" s="731"/>
      <c r="U84" s="731"/>
      <c r="V84" s="731"/>
      <c r="W84" s="731"/>
      <c r="X84" s="731"/>
      <c r="Y84" s="731"/>
      <c r="Z84" s="731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32">
        <v>4680115881327</v>
      </c>
      <c r="E85" s="73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4"/>
      <c r="R85" s="734"/>
      <c r="S85" s="734"/>
      <c r="T85" s="735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32">
        <v>4680115887732</v>
      </c>
      <c r="E86" s="732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4"/>
      <c r="R86" s="734"/>
      <c r="S86" s="734"/>
      <c r="T86" s="735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32">
        <v>4680115887732</v>
      </c>
      <c r="E87" s="732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75" t="s">
        <v>189</v>
      </c>
      <c r="Q87" s="734"/>
      <c r="R87" s="734"/>
      <c r="S87" s="734"/>
      <c r="T87" s="735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32">
        <v>4680115881518</v>
      </c>
      <c r="E88" s="732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4"/>
      <c r="R88" s="734"/>
      <c r="S88" s="734"/>
      <c r="T88" s="735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32">
        <v>4680115881303</v>
      </c>
      <c r="E89" s="732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4"/>
      <c r="R89" s="734"/>
      <c r="S89" s="734"/>
      <c r="T89" s="735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0"/>
      <c r="B90" s="740"/>
      <c r="C90" s="740"/>
      <c r="D90" s="740"/>
      <c r="E90" s="740"/>
      <c r="F90" s="740"/>
      <c r="G90" s="740"/>
      <c r="H90" s="740"/>
      <c r="I90" s="740"/>
      <c r="J90" s="740"/>
      <c r="K90" s="740"/>
      <c r="L90" s="740"/>
      <c r="M90" s="740"/>
      <c r="N90" s="740"/>
      <c r="O90" s="741"/>
      <c r="P90" s="737" t="s">
        <v>40</v>
      </c>
      <c r="Q90" s="738"/>
      <c r="R90" s="738"/>
      <c r="S90" s="738"/>
      <c r="T90" s="738"/>
      <c r="U90" s="738"/>
      <c r="V90" s="739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0"/>
      <c r="B91" s="740"/>
      <c r="C91" s="740"/>
      <c r="D91" s="740"/>
      <c r="E91" s="740"/>
      <c r="F91" s="740"/>
      <c r="G91" s="740"/>
      <c r="H91" s="740"/>
      <c r="I91" s="740"/>
      <c r="J91" s="740"/>
      <c r="K91" s="740"/>
      <c r="L91" s="740"/>
      <c r="M91" s="740"/>
      <c r="N91" s="740"/>
      <c r="O91" s="741"/>
      <c r="P91" s="737" t="s">
        <v>40</v>
      </c>
      <c r="Q91" s="738"/>
      <c r="R91" s="738"/>
      <c r="S91" s="738"/>
      <c r="T91" s="738"/>
      <c r="U91" s="738"/>
      <c r="V91" s="739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1" t="s">
        <v>85</v>
      </c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1"/>
      <c r="P92" s="731"/>
      <c r="Q92" s="731"/>
      <c r="R92" s="731"/>
      <c r="S92" s="731"/>
      <c r="T92" s="731"/>
      <c r="U92" s="731"/>
      <c r="V92" s="731"/>
      <c r="W92" s="731"/>
      <c r="X92" s="731"/>
      <c r="Y92" s="731"/>
      <c r="Z92" s="731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32">
        <v>4607091386967</v>
      </c>
      <c r="E93" s="732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4"/>
      <c r="R93" s="734"/>
      <c r="S93" s="734"/>
      <c r="T93" s="735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32">
        <v>4607091386967</v>
      </c>
      <c r="E94" s="732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9" t="s">
        <v>198</v>
      </c>
      <c r="Q94" s="734"/>
      <c r="R94" s="734"/>
      <c r="S94" s="734"/>
      <c r="T94" s="735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32">
        <v>4680115884953</v>
      </c>
      <c r="E95" s="732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8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4"/>
      <c r="R95" s="734"/>
      <c r="S95" s="734"/>
      <c r="T95" s="735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199</v>
      </c>
      <c r="B96" s="63" t="s">
        <v>201</v>
      </c>
      <c r="C96" s="36">
        <v>4301052090</v>
      </c>
      <c r="D96" s="732">
        <v>4680115884953</v>
      </c>
      <c r="E96" s="732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81" t="s">
        <v>202</v>
      </c>
      <c r="Q96" s="734"/>
      <c r="R96" s="734"/>
      <c r="S96" s="734"/>
      <c r="T96" s="735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32">
        <v>4607091385731</v>
      </c>
      <c r="E97" s="732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8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4"/>
      <c r="R97" s="734"/>
      <c r="S97" s="734"/>
      <c r="T97" s="735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204</v>
      </c>
      <c r="B98" s="63" t="s">
        <v>206</v>
      </c>
      <c r="C98" s="36">
        <v>4301052094</v>
      </c>
      <c r="D98" s="732">
        <v>4607091385731</v>
      </c>
      <c r="E98" s="732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83" t="s">
        <v>207</v>
      </c>
      <c r="Q98" s="734"/>
      <c r="R98" s="734"/>
      <c r="S98" s="734"/>
      <c r="T98" s="735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196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208</v>
      </c>
      <c r="B99" s="63" t="s">
        <v>209</v>
      </c>
      <c r="C99" s="36">
        <v>4301052092</v>
      </c>
      <c r="D99" s="732">
        <v>4680115880894</v>
      </c>
      <c r="E99" s="732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8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4"/>
      <c r="R99" s="734"/>
      <c r="S99" s="734"/>
      <c r="T99" s="735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210</v>
      </c>
      <c r="AG99" s="78"/>
      <c r="AJ99" s="84" t="s">
        <v>46</v>
      </c>
      <c r="AK99" s="84">
        <v>0</v>
      </c>
      <c r="BB99" s="175" t="s">
        <v>66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0"/>
      <c r="B100" s="740"/>
      <c r="C100" s="740"/>
      <c r="D100" s="740"/>
      <c r="E100" s="740"/>
      <c r="F100" s="740"/>
      <c r="G100" s="740"/>
      <c r="H100" s="740"/>
      <c r="I100" s="740"/>
      <c r="J100" s="740"/>
      <c r="K100" s="740"/>
      <c r="L100" s="740"/>
      <c r="M100" s="740"/>
      <c r="N100" s="740"/>
      <c r="O100" s="741"/>
      <c r="P100" s="737" t="s">
        <v>40</v>
      </c>
      <c r="Q100" s="738"/>
      <c r="R100" s="738"/>
      <c r="S100" s="738"/>
      <c r="T100" s="738"/>
      <c r="U100" s="738"/>
      <c r="V100" s="739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0"/>
      <c r="B101" s="740"/>
      <c r="C101" s="740"/>
      <c r="D101" s="740"/>
      <c r="E101" s="740"/>
      <c r="F101" s="740"/>
      <c r="G101" s="740"/>
      <c r="H101" s="740"/>
      <c r="I101" s="740"/>
      <c r="J101" s="740"/>
      <c r="K101" s="740"/>
      <c r="L101" s="740"/>
      <c r="M101" s="740"/>
      <c r="N101" s="740"/>
      <c r="O101" s="741"/>
      <c r="P101" s="737" t="s">
        <v>40</v>
      </c>
      <c r="Q101" s="738"/>
      <c r="R101" s="738"/>
      <c r="S101" s="738"/>
      <c r="T101" s="738"/>
      <c r="U101" s="738"/>
      <c r="V101" s="739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0" t="s">
        <v>211</v>
      </c>
      <c r="B102" s="730"/>
      <c r="C102" s="730"/>
      <c r="D102" s="730"/>
      <c r="E102" s="730"/>
      <c r="F102" s="730"/>
      <c r="G102" s="730"/>
      <c r="H102" s="730"/>
      <c r="I102" s="730"/>
      <c r="J102" s="730"/>
      <c r="K102" s="730"/>
      <c r="L102" s="730"/>
      <c r="M102" s="730"/>
      <c r="N102" s="730"/>
      <c r="O102" s="730"/>
      <c r="P102" s="730"/>
      <c r="Q102" s="730"/>
      <c r="R102" s="730"/>
      <c r="S102" s="730"/>
      <c r="T102" s="730"/>
      <c r="U102" s="730"/>
      <c r="V102" s="730"/>
      <c r="W102" s="730"/>
      <c r="X102" s="730"/>
      <c r="Y102" s="730"/>
      <c r="Z102" s="730"/>
      <c r="AA102" s="65"/>
      <c r="AB102" s="65"/>
      <c r="AC102" s="79"/>
    </row>
    <row r="103" spans="1:68" ht="14.25" hidden="1" customHeight="1" x14ac:dyDescent="0.25">
      <c r="A103" s="731" t="s">
        <v>121</v>
      </c>
      <c r="B103" s="731"/>
      <c r="C103" s="731"/>
      <c r="D103" s="731"/>
      <c r="E103" s="731"/>
      <c r="F103" s="731"/>
      <c r="G103" s="731"/>
      <c r="H103" s="731"/>
      <c r="I103" s="731"/>
      <c r="J103" s="731"/>
      <c r="K103" s="731"/>
      <c r="L103" s="731"/>
      <c r="M103" s="731"/>
      <c r="N103" s="731"/>
      <c r="O103" s="731"/>
      <c r="P103" s="731"/>
      <c r="Q103" s="731"/>
      <c r="R103" s="731"/>
      <c r="S103" s="731"/>
      <c r="T103" s="731"/>
      <c r="U103" s="731"/>
      <c r="V103" s="731"/>
      <c r="W103" s="731"/>
      <c r="X103" s="731"/>
      <c r="Y103" s="731"/>
      <c r="Z103" s="731"/>
      <c r="AA103" s="66"/>
      <c r="AB103" s="66"/>
      <c r="AC103" s="80"/>
    </row>
    <row r="104" spans="1:68" ht="37.5" hidden="1" customHeight="1" x14ac:dyDescent="0.25">
      <c r="A104" s="63" t="s">
        <v>212</v>
      </c>
      <c r="B104" s="63" t="s">
        <v>213</v>
      </c>
      <c r="C104" s="36">
        <v>4301011514</v>
      </c>
      <c r="D104" s="732">
        <v>4680115882133</v>
      </c>
      <c r="E104" s="732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4"/>
      <c r="R104" s="734"/>
      <c r="S104" s="734"/>
      <c r="T104" s="735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4301012051</v>
      </c>
      <c r="D105" s="732">
        <v>4680115887718</v>
      </c>
      <c r="E105" s="732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4"/>
      <c r="R105" s="734"/>
      <c r="S105" s="734"/>
      <c r="T105" s="735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218</v>
      </c>
      <c r="C106" s="36">
        <v>4301012334</v>
      </c>
      <c r="D106" s="732">
        <v>4680115887718</v>
      </c>
      <c r="E106" s="732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4"/>
      <c r="R106" s="734"/>
      <c r="S106" s="734"/>
      <c r="T106" s="735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215</v>
      </c>
      <c r="B107" s="63" t="s">
        <v>219</v>
      </c>
      <c r="C107" s="36">
        <v>4301012379</v>
      </c>
      <c r="D107" s="732">
        <v>4680115887718</v>
      </c>
      <c r="E107" s="732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130</v>
      </c>
      <c r="L107" s="37" t="s">
        <v>46</v>
      </c>
      <c r="M107" s="38" t="s">
        <v>80</v>
      </c>
      <c r="N107" s="38"/>
      <c r="O107" s="37">
        <v>30</v>
      </c>
      <c r="P107" s="78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4"/>
      <c r="R107" s="734"/>
      <c r="S107" s="734"/>
      <c r="T107" s="735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217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4301011417</v>
      </c>
      <c r="D108" s="732">
        <v>4680115880269</v>
      </c>
      <c r="E108" s="732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4"/>
      <c r="R108" s="734"/>
      <c r="S108" s="734"/>
      <c r="T108" s="735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4301011415</v>
      </c>
      <c r="D109" s="732">
        <v>4680115880429</v>
      </c>
      <c r="E109" s="732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7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4"/>
      <c r="R109" s="734"/>
      <c r="S109" s="734"/>
      <c r="T109" s="735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4301012254</v>
      </c>
      <c r="D110" s="732">
        <v>4680115880429</v>
      </c>
      <c r="E110" s="732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791" t="s">
        <v>225</v>
      </c>
      <c r="Q110" s="734"/>
      <c r="R110" s="734"/>
      <c r="S110" s="734"/>
      <c r="T110" s="735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226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227</v>
      </c>
      <c r="B111" s="63" t="s">
        <v>228</v>
      </c>
      <c r="C111" s="36">
        <v>4301011462</v>
      </c>
      <c r="D111" s="732">
        <v>4680115881457</v>
      </c>
      <c r="E111" s="732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89</v>
      </c>
      <c r="N111" s="38"/>
      <c r="O111" s="37">
        <v>50</v>
      </c>
      <c r="P111" s="7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4"/>
      <c r="R111" s="734"/>
      <c r="S111" s="734"/>
      <c r="T111" s="735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0"/>
      <c r="B112" s="740"/>
      <c r="C112" s="740"/>
      <c r="D112" s="740"/>
      <c r="E112" s="740"/>
      <c r="F112" s="740"/>
      <c r="G112" s="740"/>
      <c r="H112" s="740"/>
      <c r="I112" s="740"/>
      <c r="J112" s="740"/>
      <c r="K112" s="740"/>
      <c r="L112" s="740"/>
      <c r="M112" s="740"/>
      <c r="N112" s="740"/>
      <c r="O112" s="741"/>
      <c r="P112" s="737" t="s">
        <v>40</v>
      </c>
      <c r="Q112" s="738"/>
      <c r="R112" s="738"/>
      <c r="S112" s="738"/>
      <c r="T112" s="738"/>
      <c r="U112" s="738"/>
      <c r="V112" s="739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0"/>
      <c r="B113" s="740"/>
      <c r="C113" s="740"/>
      <c r="D113" s="740"/>
      <c r="E113" s="740"/>
      <c r="F113" s="740"/>
      <c r="G113" s="740"/>
      <c r="H113" s="740"/>
      <c r="I113" s="740"/>
      <c r="J113" s="740"/>
      <c r="K113" s="740"/>
      <c r="L113" s="740"/>
      <c r="M113" s="740"/>
      <c r="N113" s="740"/>
      <c r="O113" s="741"/>
      <c r="P113" s="737" t="s">
        <v>40</v>
      </c>
      <c r="Q113" s="738"/>
      <c r="R113" s="738"/>
      <c r="S113" s="738"/>
      <c r="T113" s="738"/>
      <c r="U113" s="738"/>
      <c r="V113" s="739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1" t="s">
        <v>154</v>
      </c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1"/>
      <c r="P114" s="731"/>
      <c r="Q114" s="731"/>
      <c r="R114" s="731"/>
      <c r="S114" s="731"/>
      <c r="T114" s="731"/>
      <c r="U114" s="731"/>
      <c r="V114" s="731"/>
      <c r="W114" s="731"/>
      <c r="X114" s="731"/>
      <c r="Y114" s="731"/>
      <c r="Z114" s="731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32">
        <v>4680115881488</v>
      </c>
      <c r="E115" s="732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7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4"/>
      <c r="R115" s="734"/>
      <c r="S115" s="734"/>
      <c r="T115" s="735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732">
        <v>4680115887664</v>
      </c>
      <c r="E116" s="732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4"/>
      <c r="R116" s="734"/>
      <c r="S116" s="734"/>
      <c r="T116" s="735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732">
        <v>4680115887664</v>
      </c>
      <c r="E117" s="732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4"/>
      <c r="R117" s="734"/>
      <c r="S117" s="734"/>
      <c r="T117" s="735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732">
        <v>4680115882775</v>
      </c>
      <c r="E118" s="732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4"/>
      <c r="R118" s="734"/>
      <c r="S118" s="734"/>
      <c r="T118" s="735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732">
        <v>4680115880658</v>
      </c>
      <c r="E119" s="732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4"/>
      <c r="R119" s="734"/>
      <c r="S119" s="734"/>
      <c r="T119" s="735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231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0"/>
      <c r="B120" s="740"/>
      <c r="C120" s="740"/>
      <c r="D120" s="740"/>
      <c r="E120" s="740"/>
      <c r="F120" s="740"/>
      <c r="G120" s="740"/>
      <c r="H120" s="740"/>
      <c r="I120" s="740"/>
      <c r="J120" s="740"/>
      <c r="K120" s="740"/>
      <c r="L120" s="740"/>
      <c r="M120" s="740"/>
      <c r="N120" s="740"/>
      <c r="O120" s="741"/>
      <c r="P120" s="737" t="s">
        <v>40</v>
      </c>
      <c r="Q120" s="738"/>
      <c r="R120" s="738"/>
      <c r="S120" s="738"/>
      <c r="T120" s="738"/>
      <c r="U120" s="738"/>
      <c r="V120" s="73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0"/>
      <c r="B121" s="740"/>
      <c r="C121" s="740"/>
      <c r="D121" s="740"/>
      <c r="E121" s="740"/>
      <c r="F121" s="740"/>
      <c r="G121" s="740"/>
      <c r="H121" s="740"/>
      <c r="I121" s="740"/>
      <c r="J121" s="740"/>
      <c r="K121" s="740"/>
      <c r="L121" s="740"/>
      <c r="M121" s="740"/>
      <c r="N121" s="740"/>
      <c r="O121" s="741"/>
      <c r="P121" s="737" t="s">
        <v>40</v>
      </c>
      <c r="Q121" s="738"/>
      <c r="R121" s="738"/>
      <c r="S121" s="738"/>
      <c r="T121" s="738"/>
      <c r="U121" s="738"/>
      <c r="V121" s="73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1" t="s">
        <v>85</v>
      </c>
      <c r="B122" s="731"/>
      <c r="C122" s="731"/>
      <c r="D122" s="731"/>
      <c r="E122" s="731"/>
      <c r="F122" s="731"/>
      <c r="G122" s="731"/>
      <c r="H122" s="731"/>
      <c r="I122" s="731"/>
      <c r="J122" s="731"/>
      <c r="K122" s="731"/>
      <c r="L122" s="731"/>
      <c r="M122" s="731"/>
      <c r="N122" s="731"/>
      <c r="O122" s="731"/>
      <c r="P122" s="731"/>
      <c r="Q122" s="731"/>
      <c r="R122" s="731"/>
      <c r="S122" s="731"/>
      <c r="T122" s="731"/>
      <c r="U122" s="731"/>
      <c r="V122" s="731"/>
      <c r="W122" s="731"/>
      <c r="X122" s="731"/>
      <c r="Y122" s="731"/>
      <c r="Z122" s="731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4301051724</v>
      </c>
      <c r="D123" s="732">
        <v>4607091385168</v>
      </c>
      <c r="E123" s="732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96</v>
      </c>
      <c r="N123" s="38"/>
      <c r="O123" s="37">
        <v>45</v>
      </c>
      <c r="P123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4"/>
      <c r="R123" s="734"/>
      <c r="S123" s="734"/>
      <c r="T123" s="735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66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241</v>
      </c>
      <c r="B124" s="63" t="s">
        <v>244</v>
      </c>
      <c r="C124" s="36">
        <v>4301052088</v>
      </c>
      <c r="D124" s="732">
        <v>4607091385168</v>
      </c>
      <c r="E124" s="732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126</v>
      </c>
      <c r="L124" s="37" t="s">
        <v>46</v>
      </c>
      <c r="M124" s="38" t="s">
        <v>89</v>
      </c>
      <c r="N124" s="38"/>
      <c r="O124" s="37">
        <v>45</v>
      </c>
      <c r="P124" s="799" t="s">
        <v>245</v>
      </c>
      <c r="Q124" s="734"/>
      <c r="R124" s="734"/>
      <c r="S124" s="734"/>
      <c r="T124" s="735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4301051730</v>
      </c>
      <c r="D125" s="732">
        <v>4607091383256</v>
      </c>
      <c r="E125" s="732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4"/>
      <c r="R125" s="734"/>
      <c r="S125" s="734"/>
      <c r="T125" s="735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4301052087</v>
      </c>
      <c r="D126" s="732">
        <v>4607091383256</v>
      </c>
      <c r="E126" s="732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01" t="s">
        <v>249</v>
      </c>
      <c r="Q126" s="734"/>
      <c r="R126" s="734"/>
      <c r="S126" s="734"/>
      <c r="T126" s="735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243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250</v>
      </c>
      <c r="B127" s="63" t="s">
        <v>251</v>
      </c>
      <c r="C127" s="36">
        <v>4301051721</v>
      </c>
      <c r="D127" s="732">
        <v>4607091385748</v>
      </c>
      <c r="E127" s="732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90</v>
      </c>
      <c r="L127" s="37" t="s">
        <v>46</v>
      </c>
      <c r="M127" s="38" t="s">
        <v>96</v>
      </c>
      <c r="N127" s="38"/>
      <c r="O127" s="37">
        <v>45</v>
      </c>
      <c r="P127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4"/>
      <c r="R127" s="734"/>
      <c r="S127" s="734"/>
      <c r="T127" s="735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243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250</v>
      </c>
      <c r="B128" s="63" t="s">
        <v>252</v>
      </c>
      <c r="C128" s="36">
        <v>4301052086</v>
      </c>
      <c r="D128" s="732">
        <v>4607091385748</v>
      </c>
      <c r="E128" s="732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03" t="s">
        <v>253</v>
      </c>
      <c r="Q128" s="734"/>
      <c r="R128" s="734"/>
      <c r="S128" s="734"/>
      <c r="T128" s="735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243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254</v>
      </c>
      <c r="B129" s="63" t="s">
        <v>255</v>
      </c>
      <c r="C129" s="36">
        <v>4301051740</v>
      </c>
      <c r="D129" s="732">
        <v>4680115884533</v>
      </c>
      <c r="E129" s="732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45</v>
      </c>
      <c r="P129" s="80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4"/>
      <c r="R129" s="734"/>
      <c r="S129" s="734"/>
      <c r="T129" s="735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256</v>
      </c>
      <c r="AG129" s="78"/>
      <c r="AJ129" s="84" t="s">
        <v>46</v>
      </c>
      <c r="AK129" s="84">
        <v>0</v>
      </c>
      <c r="BB129" s="215" t="s">
        <v>66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254</v>
      </c>
      <c r="B130" s="63" t="s">
        <v>257</v>
      </c>
      <c r="C130" s="36">
        <v>4301052085</v>
      </c>
      <c r="D130" s="732">
        <v>4680115884533</v>
      </c>
      <c r="E130" s="732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45</v>
      </c>
      <c r="P130" s="805" t="s">
        <v>258</v>
      </c>
      <c r="Q130" s="734"/>
      <c r="R130" s="734"/>
      <c r="S130" s="734"/>
      <c r="T130" s="735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256</v>
      </c>
      <c r="AG130" s="78"/>
      <c r="AJ130" s="84" t="s">
        <v>46</v>
      </c>
      <c r="AK130" s="84">
        <v>0</v>
      </c>
      <c r="BB130" s="217" t="s">
        <v>66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0"/>
      <c r="B131" s="740"/>
      <c r="C131" s="740"/>
      <c r="D131" s="740"/>
      <c r="E131" s="740"/>
      <c r="F131" s="740"/>
      <c r="G131" s="740"/>
      <c r="H131" s="740"/>
      <c r="I131" s="740"/>
      <c r="J131" s="740"/>
      <c r="K131" s="740"/>
      <c r="L131" s="740"/>
      <c r="M131" s="740"/>
      <c r="N131" s="740"/>
      <c r="O131" s="741"/>
      <c r="P131" s="737" t="s">
        <v>40</v>
      </c>
      <c r="Q131" s="738"/>
      <c r="R131" s="738"/>
      <c r="S131" s="738"/>
      <c r="T131" s="738"/>
      <c r="U131" s="738"/>
      <c r="V131" s="739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0"/>
      <c r="B132" s="740"/>
      <c r="C132" s="740"/>
      <c r="D132" s="740"/>
      <c r="E132" s="740"/>
      <c r="F132" s="740"/>
      <c r="G132" s="740"/>
      <c r="H132" s="740"/>
      <c r="I132" s="740"/>
      <c r="J132" s="740"/>
      <c r="K132" s="740"/>
      <c r="L132" s="740"/>
      <c r="M132" s="740"/>
      <c r="N132" s="740"/>
      <c r="O132" s="741"/>
      <c r="P132" s="737" t="s">
        <v>40</v>
      </c>
      <c r="Q132" s="738"/>
      <c r="R132" s="738"/>
      <c r="S132" s="738"/>
      <c r="T132" s="738"/>
      <c r="U132" s="738"/>
      <c r="V132" s="739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1" t="s">
        <v>172</v>
      </c>
      <c r="B133" s="731"/>
      <c r="C133" s="731"/>
      <c r="D133" s="731"/>
      <c r="E133" s="731"/>
      <c r="F133" s="731"/>
      <c r="G133" s="731"/>
      <c r="H133" s="731"/>
      <c r="I133" s="731"/>
      <c r="J133" s="731"/>
      <c r="K133" s="731"/>
      <c r="L133" s="731"/>
      <c r="M133" s="731"/>
      <c r="N133" s="731"/>
      <c r="O133" s="731"/>
      <c r="P133" s="731"/>
      <c r="Q133" s="731"/>
      <c r="R133" s="731"/>
      <c r="S133" s="731"/>
      <c r="T133" s="731"/>
      <c r="U133" s="731"/>
      <c r="V133" s="731"/>
      <c r="W133" s="731"/>
      <c r="X133" s="731"/>
      <c r="Y133" s="731"/>
      <c r="Z133" s="731"/>
      <c r="AA133" s="66"/>
      <c r="AB133" s="66"/>
      <c r="AC133" s="80"/>
    </row>
    <row r="134" spans="1:68" ht="16.5" hidden="1" customHeight="1" x14ac:dyDescent="0.25">
      <c r="A134" s="63" t="s">
        <v>259</v>
      </c>
      <c r="B134" s="63" t="s">
        <v>260</v>
      </c>
      <c r="C134" s="36">
        <v>4301060317</v>
      </c>
      <c r="D134" s="732">
        <v>4680115880238</v>
      </c>
      <c r="E134" s="732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90</v>
      </c>
      <c r="L134" s="37" t="s">
        <v>46</v>
      </c>
      <c r="M134" s="38" t="s">
        <v>89</v>
      </c>
      <c r="N134" s="38"/>
      <c r="O134" s="37">
        <v>40</v>
      </c>
      <c r="P134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4"/>
      <c r="R134" s="734"/>
      <c r="S134" s="734"/>
      <c r="T134" s="735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261</v>
      </c>
      <c r="AG134" s="78"/>
      <c r="AJ134" s="84" t="s">
        <v>46</v>
      </c>
      <c r="AK134" s="84">
        <v>0</v>
      </c>
      <c r="BB134" s="219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259</v>
      </c>
      <c r="B135" s="63" t="s">
        <v>262</v>
      </c>
      <c r="C135" s="36">
        <v>4301060525</v>
      </c>
      <c r="D135" s="732">
        <v>4680115880238</v>
      </c>
      <c r="E135" s="732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90</v>
      </c>
      <c r="L135" s="37" t="s">
        <v>46</v>
      </c>
      <c r="M135" s="38" t="s">
        <v>89</v>
      </c>
      <c r="N135" s="38"/>
      <c r="O135" s="37">
        <v>40</v>
      </c>
      <c r="P135" s="807" t="s">
        <v>263</v>
      </c>
      <c r="Q135" s="734"/>
      <c r="R135" s="734"/>
      <c r="S135" s="734"/>
      <c r="T135" s="735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261</v>
      </c>
      <c r="AG135" s="78"/>
      <c r="AJ135" s="84" t="s">
        <v>46</v>
      </c>
      <c r="AK135" s="84">
        <v>0</v>
      </c>
      <c r="BB135" s="221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0"/>
      <c r="B136" s="740"/>
      <c r="C136" s="740"/>
      <c r="D136" s="740"/>
      <c r="E136" s="740"/>
      <c r="F136" s="740"/>
      <c r="G136" s="740"/>
      <c r="H136" s="740"/>
      <c r="I136" s="740"/>
      <c r="J136" s="740"/>
      <c r="K136" s="740"/>
      <c r="L136" s="740"/>
      <c r="M136" s="740"/>
      <c r="N136" s="740"/>
      <c r="O136" s="741"/>
      <c r="P136" s="737" t="s">
        <v>40</v>
      </c>
      <c r="Q136" s="738"/>
      <c r="R136" s="738"/>
      <c r="S136" s="738"/>
      <c r="T136" s="738"/>
      <c r="U136" s="738"/>
      <c r="V136" s="73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0"/>
      <c r="B137" s="740"/>
      <c r="C137" s="740"/>
      <c r="D137" s="740"/>
      <c r="E137" s="740"/>
      <c r="F137" s="740"/>
      <c r="G137" s="740"/>
      <c r="H137" s="740"/>
      <c r="I137" s="740"/>
      <c r="J137" s="740"/>
      <c r="K137" s="740"/>
      <c r="L137" s="740"/>
      <c r="M137" s="740"/>
      <c r="N137" s="740"/>
      <c r="O137" s="741"/>
      <c r="P137" s="737" t="s">
        <v>40</v>
      </c>
      <c r="Q137" s="738"/>
      <c r="R137" s="738"/>
      <c r="S137" s="738"/>
      <c r="T137" s="738"/>
      <c r="U137" s="738"/>
      <c r="V137" s="73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0" t="s">
        <v>264</v>
      </c>
      <c r="B138" s="730"/>
      <c r="C138" s="730"/>
      <c r="D138" s="730"/>
      <c r="E138" s="730"/>
      <c r="F138" s="730"/>
      <c r="G138" s="730"/>
      <c r="H138" s="730"/>
      <c r="I138" s="730"/>
      <c r="J138" s="730"/>
      <c r="K138" s="730"/>
      <c r="L138" s="730"/>
      <c r="M138" s="730"/>
      <c r="N138" s="730"/>
      <c r="O138" s="730"/>
      <c r="P138" s="730"/>
      <c r="Q138" s="730"/>
      <c r="R138" s="730"/>
      <c r="S138" s="730"/>
      <c r="T138" s="730"/>
      <c r="U138" s="730"/>
      <c r="V138" s="730"/>
      <c r="W138" s="730"/>
      <c r="X138" s="730"/>
      <c r="Y138" s="730"/>
      <c r="Z138" s="730"/>
      <c r="AA138" s="65"/>
      <c r="AB138" s="65"/>
      <c r="AC138" s="79"/>
    </row>
    <row r="139" spans="1:68" ht="14.25" hidden="1" customHeight="1" x14ac:dyDescent="0.25">
      <c r="A139" s="731" t="s">
        <v>121</v>
      </c>
      <c r="B139" s="731"/>
      <c r="C139" s="731"/>
      <c r="D139" s="731"/>
      <c r="E139" s="731"/>
      <c r="F139" s="731"/>
      <c r="G139" s="731"/>
      <c r="H139" s="731"/>
      <c r="I139" s="731"/>
      <c r="J139" s="731"/>
      <c r="K139" s="731"/>
      <c r="L139" s="731"/>
      <c r="M139" s="731"/>
      <c r="N139" s="731"/>
      <c r="O139" s="731"/>
      <c r="P139" s="731"/>
      <c r="Q139" s="731"/>
      <c r="R139" s="731"/>
      <c r="S139" s="731"/>
      <c r="T139" s="731"/>
      <c r="U139" s="731"/>
      <c r="V139" s="731"/>
      <c r="W139" s="731"/>
      <c r="X139" s="731"/>
      <c r="Y139" s="731"/>
      <c r="Z139" s="731"/>
      <c r="AA139" s="66"/>
      <c r="AB139" s="66"/>
      <c r="AC139" s="80"/>
    </row>
    <row r="140" spans="1:68" ht="27" hidden="1" customHeight="1" x14ac:dyDescent="0.25">
      <c r="A140" s="63" t="s">
        <v>265</v>
      </c>
      <c r="B140" s="63" t="s">
        <v>266</v>
      </c>
      <c r="C140" s="36">
        <v>4301011562</v>
      </c>
      <c r="D140" s="732">
        <v>4680115882577</v>
      </c>
      <c r="E140" s="732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90</v>
      </c>
      <c r="L140" s="37" t="s">
        <v>46</v>
      </c>
      <c r="M140" s="38" t="s">
        <v>268</v>
      </c>
      <c r="N140" s="38"/>
      <c r="O140" s="37">
        <v>90</v>
      </c>
      <c r="P140" s="80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4"/>
      <c r="R140" s="734"/>
      <c r="S140" s="734"/>
      <c r="T140" s="735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267</v>
      </c>
      <c r="AG140" s="78"/>
      <c r="AJ140" s="84" t="s">
        <v>46</v>
      </c>
      <c r="AK140" s="84">
        <v>0</v>
      </c>
      <c r="BB140" s="22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269</v>
      </c>
      <c r="C141" s="36">
        <v>4301011564</v>
      </c>
      <c r="D141" s="732">
        <v>4680115882577</v>
      </c>
      <c r="E141" s="732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90</v>
      </c>
      <c r="L141" s="37" t="s">
        <v>46</v>
      </c>
      <c r="M141" s="38" t="s">
        <v>268</v>
      </c>
      <c r="N141" s="38"/>
      <c r="O141" s="37">
        <v>90</v>
      </c>
      <c r="P141" s="8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4"/>
      <c r="R141" s="734"/>
      <c r="S141" s="734"/>
      <c r="T141" s="735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267</v>
      </c>
      <c r="AG141" s="78"/>
      <c r="AJ141" s="84" t="s">
        <v>46</v>
      </c>
      <c r="AK141" s="84">
        <v>0</v>
      </c>
      <c r="BB141" s="22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0"/>
      <c r="B142" s="740"/>
      <c r="C142" s="740"/>
      <c r="D142" s="740"/>
      <c r="E142" s="740"/>
      <c r="F142" s="740"/>
      <c r="G142" s="740"/>
      <c r="H142" s="740"/>
      <c r="I142" s="740"/>
      <c r="J142" s="740"/>
      <c r="K142" s="740"/>
      <c r="L142" s="740"/>
      <c r="M142" s="740"/>
      <c r="N142" s="740"/>
      <c r="O142" s="741"/>
      <c r="P142" s="737" t="s">
        <v>40</v>
      </c>
      <c r="Q142" s="738"/>
      <c r="R142" s="738"/>
      <c r="S142" s="738"/>
      <c r="T142" s="738"/>
      <c r="U142" s="738"/>
      <c r="V142" s="73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0"/>
      <c r="B143" s="740"/>
      <c r="C143" s="740"/>
      <c r="D143" s="740"/>
      <c r="E143" s="740"/>
      <c r="F143" s="740"/>
      <c r="G143" s="740"/>
      <c r="H143" s="740"/>
      <c r="I143" s="740"/>
      <c r="J143" s="740"/>
      <c r="K143" s="740"/>
      <c r="L143" s="740"/>
      <c r="M143" s="740"/>
      <c r="N143" s="740"/>
      <c r="O143" s="741"/>
      <c r="P143" s="737" t="s">
        <v>40</v>
      </c>
      <c r="Q143" s="738"/>
      <c r="R143" s="738"/>
      <c r="S143" s="738"/>
      <c r="T143" s="738"/>
      <c r="U143" s="738"/>
      <c r="V143" s="73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1" t="s">
        <v>76</v>
      </c>
      <c r="B144" s="731"/>
      <c r="C144" s="731"/>
      <c r="D144" s="731"/>
      <c r="E144" s="731"/>
      <c r="F144" s="731"/>
      <c r="G144" s="731"/>
      <c r="H144" s="731"/>
      <c r="I144" s="731"/>
      <c r="J144" s="731"/>
      <c r="K144" s="731"/>
      <c r="L144" s="731"/>
      <c r="M144" s="731"/>
      <c r="N144" s="731"/>
      <c r="O144" s="731"/>
      <c r="P144" s="731"/>
      <c r="Q144" s="731"/>
      <c r="R144" s="731"/>
      <c r="S144" s="731"/>
      <c r="T144" s="731"/>
      <c r="U144" s="731"/>
      <c r="V144" s="731"/>
      <c r="W144" s="731"/>
      <c r="X144" s="731"/>
      <c r="Y144" s="731"/>
      <c r="Z144" s="731"/>
      <c r="AA144" s="66"/>
      <c r="AB144" s="66"/>
      <c r="AC144" s="80"/>
    </row>
    <row r="145" spans="1:68" ht="27" hidden="1" customHeight="1" x14ac:dyDescent="0.25">
      <c r="A145" s="63" t="s">
        <v>270</v>
      </c>
      <c r="B145" s="63" t="s">
        <v>271</v>
      </c>
      <c r="C145" s="36">
        <v>4301031234</v>
      </c>
      <c r="D145" s="732">
        <v>4680115883444</v>
      </c>
      <c r="E145" s="732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90</v>
      </c>
      <c r="L145" s="37" t="s">
        <v>46</v>
      </c>
      <c r="M145" s="38" t="s">
        <v>268</v>
      </c>
      <c r="N145" s="38"/>
      <c r="O145" s="37">
        <v>90</v>
      </c>
      <c r="P145" s="8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4"/>
      <c r="R145" s="734"/>
      <c r="S145" s="734"/>
      <c r="T145" s="735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272</v>
      </c>
      <c r="AG145" s="78"/>
      <c r="AJ145" s="84" t="s">
        <v>46</v>
      </c>
      <c r="AK145" s="84">
        <v>0</v>
      </c>
      <c r="BB145" s="227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270</v>
      </c>
      <c r="B146" s="63" t="s">
        <v>273</v>
      </c>
      <c r="C146" s="36">
        <v>4301031235</v>
      </c>
      <c r="D146" s="732">
        <v>4680115883444</v>
      </c>
      <c r="E146" s="732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90</v>
      </c>
      <c r="L146" s="37" t="s">
        <v>46</v>
      </c>
      <c r="M146" s="38" t="s">
        <v>268</v>
      </c>
      <c r="N146" s="38"/>
      <c r="O146" s="37">
        <v>90</v>
      </c>
      <c r="P146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4"/>
      <c r="R146" s="734"/>
      <c r="S146" s="734"/>
      <c r="T146" s="735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272</v>
      </c>
      <c r="AG146" s="78"/>
      <c r="AJ146" s="84" t="s">
        <v>46</v>
      </c>
      <c r="AK146" s="84">
        <v>0</v>
      </c>
      <c r="BB146" s="229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0"/>
      <c r="B147" s="740"/>
      <c r="C147" s="740"/>
      <c r="D147" s="740"/>
      <c r="E147" s="740"/>
      <c r="F147" s="740"/>
      <c r="G147" s="740"/>
      <c r="H147" s="740"/>
      <c r="I147" s="740"/>
      <c r="J147" s="740"/>
      <c r="K147" s="740"/>
      <c r="L147" s="740"/>
      <c r="M147" s="740"/>
      <c r="N147" s="740"/>
      <c r="O147" s="741"/>
      <c r="P147" s="737" t="s">
        <v>40</v>
      </c>
      <c r="Q147" s="738"/>
      <c r="R147" s="738"/>
      <c r="S147" s="738"/>
      <c r="T147" s="738"/>
      <c r="U147" s="738"/>
      <c r="V147" s="73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0"/>
      <c r="B148" s="740"/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  <c r="N148" s="740"/>
      <c r="O148" s="741"/>
      <c r="P148" s="737" t="s">
        <v>40</v>
      </c>
      <c r="Q148" s="738"/>
      <c r="R148" s="738"/>
      <c r="S148" s="738"/>
      <c r="T148" s="738"/>
      <c r="U148" s="738"/>
      <c r="V148" s="73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1" t="s">
        <v>85</v>
      </c>
      <c r="B149" s="731"/>
      <c r="C149" s="731"/>
      <c r="D149" s="731"/>
      <c r="E149" s="731"/>
      <c r="F149" s="731"/>
      <c r="G149" s="731"/>
      <c r="H149" s="731"/>
      <c r="I149" s="731"/>
      <c r="J149" s="731"/>
      <c r="K149" s="731"/>
      <c r="L149" s="731"/>
      <c r="M149" s="731"/>
      <c r="N149" s="731"/>
      <c r="O149" s="731"/>
      <c r="P149" s="731"/>
      <c r="Q149" s="731"/>
      <c r="R149" s="731"/>
      <c r="S149" s="731"/>
      <c r="T149" s="731"/>
      <c r="U149" s="731"/>
      <c r="V149" s="731"/>
      <c r="W149" s="731"/>
      <c r="X149" s="731"/>
      <c r="Y149" s="731"/>
      <c r="Z149" s="731"/>
      <c r="AA149" s="66"/>
      <c r="AB149" s="66"/>
      <c r="AC149" s="80"/>
    </row>
    <row r="150" spans="1:68" ht="16.5" hidden="1" customHeight="1" x14ac:dyDescent="0.25">
      <c r="A150" s="63" t="s">
        <v>274</v>
      </c>
      <c r="B150" s="63" t="s">
        <v>275</v>
      </c>
      <c r="C150" s="36">
        <v>4301051476</v>
      </c>
      <c r="D150" s="732">
        <v>4680115882584</v>
      </c>
      <c r="E150" s="732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90</v>
      </c>
      <c r="L150" s="37" t="s">
        <v>46</v>
      </c>
      <c r="M150" s="38" t="s">
        <v>268</v>
      </c>
      <c r="N150" s="38"/>
      <c r="O150" s="37">
        <v>60</v>
      </c>
      <c r="P150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4"/>
      <c r="R150" s="734"/>
      <c r="S150" s="734"/>
      <c r="T150" s="735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267</v>
      </c>
      <c r="AG150" s="78"/>
      <c r="AJ150" s="84" t="s">
        <v>46</v>
      </c>
      <c r="AK150" s="84">
        <v>0</v>
      </c>
      <c r="BB150" s="231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274</v>
      </c>
      <c r="B151" s="63" t="s">
        <v>276</v>
      </c>
      <c r="C151" s="36">
        <v>4301051477</v>
      </c>
      <c r="D151" s="732">
        <v>4680115882584</v>
      </c>
      <c r="E151" s="732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90</v>
      </c>
      <c r="L151" s="37" t="s">
        <v>46</v>
      </c>
      <c r="M151" s="38" t="s">
        <v>268</v>
      </c>
      <c r="N151" s="38"/>
      <c r="O151" s="37">
        <v>60</v>
      </c>
      <c r="P151" s="81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4"/>
      <c r="R151" s="734"/>
      <c r="S151" s="734"/>
      <c r="T151" s="735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267</v>
      </c>
      <c r="AG151" s="78"/>
      <c r="AJ151" s="84" t="s">
        <v>46</v>
      </c>
      <c r="AK151" s="84">
        <v>0</v>
      </c>
      <c r="BB151" s="233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0"/>
      <c r="B152" s="740"/>
      <c r="C152" s="740"/>
      <c r="D152" s="740"/>
      <c r="E152" s="740"/>
      <c r="F152" s="740"/>
      <c r="G152" s="740"/>
      <c r="H152" s="740"/>
      <c r="I152" s="740"/>
      <c r="J152" s="740"/>
      <c r="K152" s="740"/>
      <c r="L152" s="740"/>
      <c r="M152" s="740"/>
      <c r="N152" s="740"/>
      <c r="O152" s="741"/>
      <c r="P152" s="737" t="s">
        <v>40</v>
      </c>
      <c r="Q152" s="738"/>
      <c r="R152" s="738"/>
      <c r="S152" s="738"/>
      <c r="T152" s="738"/>
      <c r="U152" s="738"/>
      <c r="V152" s="739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0"/>
      <c r="B153" s="740"/>
      <c r="C153" s="740"/>
      <c r="D153" s="740"/>
      <c r="E153" s="740"/>
      <c r="F153" s="740"/>
      <c r="G153" s="740"/>
      <c r="H153" s="740"/>
      <c r="I153" s="740"/>
      <c r="J153" s="740"/>
      <c r="K153" s="740"/>
      <c r="L153" s="740"/>
      <c r="M153" s="740"/>
      <c r="N153" s="740"/>
      <c r="O153" s="741"/>
      <c r="P153" s="737" t="s">
        <v>40</v>
      </c>
      <c r="Q153" s="738"/>
      <c r="R153" s="738"/>
      <c r="S153" s="738"/>
      <c r="T153" s="738"/>
      <c r="U153" s="738"/>
      <c r="V153" s="739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0" t="s">
        <v>277</v>
      </c>
      <c r="B154" s="730"/>
      <c r="C154" s="730"/>
      <c r="D154" s="730"/>
      <c r="E154" s="730"/>
      <c r="F154" s="730"/>
      <c r="G154" s="730"/>
      <c r="H154" s="730"/>
      <c r="I154" s="730"/>
      <c r="J154" s="730"/>
      <c r="K154" s="730"/>
      <c r="L154" s="730"/>
      <c r="M154" s="730"/>
      <c r="N154" s="730"/>
      <c r="O154" s="730"/>
      <c r="P154" s="730"/>
      <c r="Q154" s="730"/>
      <c r="R154" s="730"/>
      <c r="S154" s="730"/>
      <c r="T154" s="730"/>
      <c r="U154" s="730"/>
      <c r="V154" s="730"/>
      <c r="W154" s="730"/>
      <c r="X154" s="730"/>
      <c r="Y154" s="730"/>
      <c r="Z154" s="730"/>
      <c r="AA154" s="65"/>
      <c r="AB154" s="65"/>
      <c r="AC154" s="79"/>
    </row>
    <row r="155" spans="1:68" ht="14.25" hidden="1" customHeight="1" x14ac:dyDescent="0.25">
      <c r="A155" s="731" t="s">
        <v>85</v>
      </c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1"/>
      <c r="P155" s="731"/>
      <c r="Q155" s="731"/>
      <c r="R155" s="731"/>
      <c r="S155" s="731"/>
      <c r="T155" s="731"/>
      <c r="U155" s="731"/>
      <c r="V155" s="731"/>
      <c r="W155" s="731"/>
      <c r="X155" s="731"/>
      <c r="Y155" s="731"/>
      <c r="Z155" s="731"/>
      <c r="AA155" s="66"/>
      <c r="AB155" s="66"/>
      <c r="AC155" s="80"/>
    </row>
    <row r="156" spans="1:68" ht="27" hidden="1" customHeight="1" x14ac:dyDescent="0.25">
      <c r="A156" s="63" t="s">
        <v>278</v>
      </c>
      <c r="B156" s="63" t="s">
        <v>279</v>
      </c>
      <c r="C156" s="36">
        <v>4301052254</v>
      </c>
      <c r="D156" s="732">
        <v>4680115888203</v>
      </c>
      <c r="E156" s="732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1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4"/>
      <c r="R156" s="734"/>
      <c r="S156" s="734"/>
      <c r="T156" s="735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66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4301052172</v>
      </c>
      <c r="D157" s="732">
        <v>4680115888180</v>
      </c>
      <c r="E157" s="732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1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4"/>
      <c r="R157" s="734"/>
      <c r="S157" s="734"/>
      <c r="T157" s="735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66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4301052252</v>
      </c>
      <c r="D158" s="732">
        <v>4680115888180</v>
      </c>
      <c r="E158" s="732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1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4"/>
      <c r="R158" s="734"/>
      <c r="S158" s="734"/>
      <c r="T158" s="735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66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4301052173</v>
      </c>
      <c r="D159" s="732">
        <v>4680115888197</v>
      </c>
      <c r="E159" s="732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4"/>
      <c r="R159" s="734"/>
      <c r="S159" s="734"/>
      <c r="T159" s="735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66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4301052253</v>
      </c>
      <c r="D160" s="732">
        <v>4680115888197</v>
      </c>
      <c r="E160" s="732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4"/>
      <c r="R160" s="734"/>
      <c r="S160" s="734"/>
      <c r="T160" s="735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66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289</v>
      </c>
      <c r="B161" s="63" t="s">
        <v>290</v>
      </c>
      <c r="C161" s="36">
        <v>4301052175</v>
      </c>
      <c r="D161" s="732">
        <v>4680115888210</v>
      </c>
      <c r="E161" s="732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90</v>
      </c>
      <c r="L161" s="37" t="s">
        <v>46</v>
      </c>
      <c r="M161" s="38" t="s">
        <v>96</v>
      </c>
      <c r="N161" s="38"/>
      <c r="O161" s="37">
        <v>40</v>
      </c>
      <c r="P161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4"/>
      <c r="R161" s="734"/>
      <c r="S161" s="734"/>
      <c r="T161" s="735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291</v>
      </c>
      <c r="AG161" s="78"/>
      <c r="AJ161" s="84" t="s">
        <v>46</v>
      </c>
      <c r="AK161" s="84">
        <v>0</v>
      </c>
      <c r="BB161" s="245" t="s">
        <v>66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289</v>
      </c>
      <c r="B162" s="63" t="s">
        <v>292</v>
      </c>
      <c r="C162" s="36">
        <v>4301052255</v>
      </c>
      <c r="D162" s="732">
        <v>4680115888210</v>
      </c>
      <c r="E162" s="732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90</v>
      </c>
      <c r="L162" s="37" t="s">
        <v>46</v>
      </c>
      <c r="M162" s="38" t="s">
        <v>96</v>
      </c>
      <c r="N162" s="38"/>
      <c r="O162" s="37">
        <v>40</v>
      </c>
      <c r="P162" s="82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4"/>
      <c r="R162" s="734"/>
      <c r="S162" s="734"/>
      <c r="T162" s="735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291</v>
      </c>
      <c r="AG162" s="78"/>
      <c r="AJ162" s="84" t="s">
        <v>46</v>
      </c>
      <c r="AK162" s="84">
        <v>0</v>
      </c>
      <c r="BB162" s="247" t="s">
        <v>66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0"/>
      <c r="B163" s="740"/>
      <c r="C163" s="740"/>
      <c r="D163" s="740"/>
      <c r="E163" s="740"/>
      <c r="F163" s="740"/>
      <c r="G163" s="740"/>
      <c r="H163" s="740"/>
      <c r="I163" s="740"/>
      <c r="J163" s="740"/>
      <c r="K163" s="740"/>
      <c r="L163" s="740"/>
      <c r="M163" s="740"/>
      <c r="N163" s="740"/>
      <c r="O163" s="741"/>
      <c r="P163" s="737" t="s">
        <v>40</v>
      </c>
      <c r="Q163" s="738"/>
      <c r="R163" s="738"/>
      <c r="S163" s="738"/>
      <c r="T163" s="738"/>
      <c r="U163" s="738"/>
      <c r="V163" s="739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0"/>
      <c r="B164" s="740"/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0"/>
      <c r="O164" s="741"/>
      <c r="P164" s="737" t="s">
        <v>40</v>
      </c>
      <c r="Q164" s="738"/>
      <c r="R164" s="738"/>
      <c r="S164" s="738"/>
      <c r="T164" s="738"/>
      <c r="U164" s="738"/>
      <c r="V164" s="739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1" t="s">
        <v>293</v>
      </c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1"/>
      <c r="P165" s="731"/>
      <c r="Q165" s="731"/>
      <c r="R165" s="731"/>
      <c r="S165" s="731"/>
      <c r="T165" s="731"/>
      <c r="U165" s="731"/>
      <c r="V165" s="731"/>
      <c r="W165" s="731"/>
      <c r="X165" s="731"/>
      <c r="Y165" s="731"/>
      <c r="Z165" s="731"/>
      <c r="AA165" s="66"/>
      <c r="AB165" s="66"/>
      <c r="AC165" s="80"/>
    </row>
    <row r="166" spans="1:68" ht="27" hidden="1" customHeight="1" x14ac:dyDescent="0.25">
      <c r="A166" s="63" t="s">
        <v>294</v>
      </c>
      <c r="B166" s="63" t="s">
        <v>295</v>
      </c>
      <c r="C166" s="36">
        <v>4301032067</v>
      </c>
      <c r="D166" s="732">
        <v>4680115889132</v>
      </c>
      <c r="E166" s="732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299</v>
      </c>
      <c r="L166" s="37" t="s">
        <v>46</v>
      </c>
      <c r="M166" s="38" t="s">
        <v>298</v>
      </c>
      <c r="N166" s="38"/>
      <c r="O166" s="37">
        <v>120</v>
      </c>
      <c r="P166" s="82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4"/>
      <c r="R166" s="734"/>
      <c r="S166" s="734"/>
      <c r="T166" s="735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296</v>
      </c>
      <c r="AG166" s="78"/>
      <c r="AJ166" s="84" t="s">
        <v>46</v>
      </c>
      <c r="AK166" s="84">
        <v>0</v>
      </c>
      <c r="BB166" s="249" t="s">
        <v>297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0"/>
      <c r="B167" s="740"/>
      <c r="C167" s="740"/>
      <c r="D167" s="740"/>
      <c r="E167" s="740"/>
      <c r="F167" s="740"/>
      <c r="G167" s="740"/>
      <c r="H167" s="740"/>
      <c r="I167" s="740"/>
      <c r="J167" s="740"/>
      <c r="K167" s="740"/>
      <c r="L167" s="740"/>
      <c r="M167" s="740"/>
      <c r="N167" s="740"/>
      <c r="O167" s="741"/>
      <c r="P167" s="737" t="s">
        <v>40</v>
      </c>
      <c r="Q167" s="738"/>
      <c r="R167" s="738"/>
      <c r="S167" s="738"/>
      <c r="T167" s="738"/>
      <c r="U167" s="738"/>
      <c r="V167" s="739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0"/>
      <c r="B168" s="740"/>
      <c r="C168" s="740"/>
      <c r="D168" s="740"/>
      <c r="E168" s="740"/>
      <c r="F168" s="740"/>
      <c r="G168" s="740"/>
      <c r="H168" s="740"/>
      <c r="I168" s="740"/>
      <c r="J168" s="740"/>
      <c r="K168" s="740"/>
      <c r="L168" s="740"/>
      <c r="M168" s="740"/>
      <c r="N168" s="740"/>
      <c r="O168" s="741"/>
      <c r="P168" s="737" t="s">
        <v>40</v>
      </c>
      <c r="Q168" s="738"/>
      <c r="R168" s="738"/>
      <c r="S168" s="738"/>
      <c r="T168" s="738"/>
      <c r="U168" s="738"/>
      <c r="V168" s="739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0" t="s">
        <v>119</v>
      </c>
      <c r="B169" s="730"/>
      <c r="C169" s="730"/>
      <c r="D169" s="730"/>
      <c r="E169" s="730"/>
      <c r="F169" s="730"/>
      <c r="G169" s="730"/>
      <c r="H169" s="730"/>
      <c r="I169" s="730"/>
      <c r="J169" s="730"/>
      <c r="K169" s="730"/>
      <c r="L169" s="730"/>
      <c r="M169" s="730"/>
      <c r="N169" s="730"/>
      <c r="O169" s="730"/>
      <c r="P169" s="730"/>
      <c r="Q169" s="730"/>
      <c r="R169" s="730"/>
      <c r="S169" s="730"/>
      <c r="T169" s="730"/>
      <c r="U169" s="730"/>
      <c r="V169" s="730"/>
      <c r="W169" s="730"/>
      <c r="X169" s="730"/>
      <c r="Y169" s="730"/>
      <c r="Z169" s="730"/>
      <c r="AA169" s="65"/>
      <c r="AB169" s="65"/>
      <c r="AC169" s="79"/>
    </row>
    <row r="170" spans="1:68" ht="14.25" hidden="1" customHeight="1" x14ac:dyDescent="0.25">
      <c r="A170" s="731" t="s">
        <v>121</v>
      </c>
      <c r="B170" s="731"/>
      <c r="C170" s="731"/>
      <c r="D170" s="731"/>
      <c r="E170" s="731"/>
      <c r="F170" s="731"/>
      <c r="G170" s="731"/>
      <c r="H170" s="731"/>
      <c r="I170" s="731"/>
      <c r="J170" s="731"/>
      <c r="K170" s="731"/>
      <c r="L170" s="731"/>
      <c r="M170" s="731"/>
      <c r="N170" s="731"/>
      <c r="O170" s="731"/>
      <c r="P170" s="731"/>
      <c r="Q170" s="731"/>
      <c r="R170" s="731"/>
      <c r="S170" s="731"/>
      <c r="T170" s="731"/>
      <c r="U170" s="731"/>
      <c r="V170" s="731"/>
      <c r="W170" s="731"/>
      <c r="X170" s="731"/>
      <c r="Y170" s="731"/>
      <c r="Z170" s="731"/>
      <c r="AA170" s="66"/>
      <c r="AB170" s="66"/>
      <c r="AC170" s="80"/>
    </row>
    <row r="171" spans="1:68" ht="27" hidden="1" customHeight="1" x14ac:dyDescent="0.25">
      <c r="A171" s="63" t="s">
        <v>300</v>
      </c>
      <c r="B171" s="63" t="s">
        <v>301</v>
      </c>
      <c r="C171" s="36">
        <v>4301012338</v>
      </c>
      <c r="D171" s="732">
        <v>4680115887374</v>
      </c>
      <c r="E171" s="732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126</v>
      </c>
      <c r="L171" s="37" t="s">
        <v>46</v>
      </c>
      <c r="M171" s="38" t="s">
        <v>125</v>
      </c>
      <c r="N171" s="38"/>
      <c r="O171" s="37">
        <v>55</v>
      </c>
      <c r="P171" s="82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4"/>
      <c r="R171" s="734"/>
      <c r="S171" s="734"/>
      <c r="T171" s="735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302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4301011705</v>
      </c>
      <c r="D172" s="732">
        <v>4607091384604</v>
      </c>
      <c r="E172" s="732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133</v>
      </c>
      <c r="L172" s="37" t="s">
        <v>46</v>
      </c>
      <c r="M172" s="38" t="s">
        <v>125</v>
      </c>
      <c r="N172" s="38"/>
      <c r="O172" s="37">
        <v>50</v>
      </c>
      <c r="P172" s="8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4"/>
      <c r="R172" s="734"/>
      <c r="S172" s="734"/>
      <c r="T172" s="735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305</v>
      </c>
      <c r="AG172" s="78"/>
      <c r="AJ172" s="84" t="s">
        <v>46</v>
      </c>
      <c r="AK172" s="84">
        <v>0</v>
      </c>
      <c r="BB172" s="253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4301012344</v>
      </c>
      <c r="D173" s="732">
        <v>4680115888876</v>
      </c>
      <c r="E173" s="732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90</v>
      </c>
      <c r="L173" s="37" t="s">
        <v>46</v>
      </c>
      <c r="M173" s="38" t="s">
        <v>89</v>
      </c>
      <c r="N173" s="38"/>
      <c r="O173" s="37">
        <v>55</v>
      </c>
      <c r="P173" s="82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4"/>
      <c r="R173" s="734"/>
      <c r="S173" s="734"/>
      <c r="T173" s="735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308</v>
      </c>
      <c r="AG173" s="78"/>
      <c r="AJ173" s="84" t="s">
        <v>46</v>
      </c>
      <c r="AK173" s="84">
        <v>0</v>
      </c>
      <c r="BB173" s="255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0"/>
      <c r="B174" s="740"/>
      <c r="C174" s="740"/>
      <c r="D174" s="740"/>
      <c r="E174" s="740"/>
      <c r="F174" s="740"/>
      <c r="G174" s="740"/>
      <c r="H174" s="740"/>
      <c r="I174" s="740"/>
      <c r="J174" s="740"/>
      <c r="K174" s="740"/>
      <c r="L174" s="740"/>
      <c r="M174" s="740"/>
      <c r="N174" s="740"/>
      <c r="O174" s="741"/>
      <c r="P174" s="737" t="s">
        <v>40</v>
      </c>
      <c r="Q174" s="738"/>
      <c r="R174" s="738"/>
      <c r="S174" s="738"/>
      <c r="T174" s="738"/>
      <c r="U174" s="738"/>
      <c r="V174" s="739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0"/>
      <c r="B175" s="740"/>
      <c r="C175" s="740"/>
      <c r="D175" s="740"/>
      <c r="E175" s="740"/>
      <c r="F175" s="740"/>
      <c r="G175" s="740"/>
      <c r="H175" s="740"/>
      <c r="I175" s="740"/>
      <c r="J175" s="740"/>
      <c r="K175" s="740"/>
      <c r="L175" s="740"/>
      <c r="M175" s="740"/>
      <c r="N175" s="740"/>
      <c r="O175" s="741"/>
      <c r="P175" s="737" t="s">
        <v>40</v>
      </c>
      <c r="Q175" s="738"/>
      <c r="R175" s="738"/>
      <c r="S175" s="738"/>
      <c r="T175" s="738"/>
      <c r="U175" s="738"/>
      <c r="V175" s="739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1" t="s">
        <v>154</v>
      </c>
      <c r="B176" s="731"/>
      <c r="C176" s="731"/>
      <c r="D176" s="731"/>
      <c r="E176" s="731"/>
      <c r="F176" s="731"/>
      <c r="G176" s="731"/>
      <c r="H176" s="731"/>
      <c r="I176" s="731"/>
      <c r="J176" s="731"/>
      <c r="K176" s="731"/>
      <c r="L176" s="731"/>
      <c r="M176" s="731"/>
      <c r="N176" s="731"/>
      <c r="O176" s="731"/>
      <c r="P176" s="731"/>
      <c r="Q176" s="731"/>
      <c r="R176" s="731"/>
      <c r="S176" s="731"/>
      <c r="T176" s="731"/>
      <c r="U176" s="731"/>
      <c r="V176" s="731"/>
      <c r="W176" s="731"/>
      <c r="X176" s="731"/>
      <c r="Y176" s="731"/>
      <c r="Z176" s="731"/>
      <c r="AA176" s="66"/>
      <c r="AB176" s="66"/>
      <c r="AC176" s="80"/>
    </row>
    <row r="177" spans="1:68" ht="16.5" hidden="1" customHeight="1" x14ac:dyDescent="0.25">
      <c r="A177" s="63" t="s">
        <v>309</v>
      </c>
      <c r="B177" s="63" t="s">
        <v>310</v>
      </c>
      <c r="C177" s="36">
        <v>4301020410</v>
      </c>
      <c r="D177" s="732">
        <v>4680115887695</v>
      </c>
      <c r="E177" s="732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81</v>
      </c>
      <c r="L177" s="37" t="s">
        <v>46</v>
      </c>
      <c r="M177" s="38" t="s">
        <v>80</v>
      </c>
      <c r="N177" s="38"/>
      <c r="O177" s="37">
        <v>30</v>
      </c>
      <c r="P177" s="82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4"/>
      <c r="R177" s="734"/>
      <c r="S177" s="734"/>
      <c r="T177" s="735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311</v>
      </c>
      <c r="AG177" s="78"/>
      <c r="AJ177" s="84" t="s">
        <v>46</v>
      </c>
      <c r="AK177" s="84">
        <v>0</v>
      </c>
      <c r="BB177" s="257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312</v>
      </c>
      <c r="B178" s="63" t="s">
        <v>313</v>
      </c>
      <c r="C178" s="36">
        <v>4301020439</v>
      </c>
      <c r="D178" s="732">
        <v>4680115889491</v>
      </c>
      <c r="E178" s="732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81</v>
      </c>
      <c r="L178" s="37" t="s">
        <v>46</v>
      </c>
      <c r="M178" s="38" t="s">
        <v>125</v>
      </c>
      <c r="N178" s="38"/>
      <c r="O178" s="37">
        <v>55</v>
      </c>
      <c r="P178" s="8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4"/>
      <c r="R178" s="734"/>
      <c r="S178" s="734"/>
      <c r="T178" s="735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314</v>
      </c>
      <c r="AG178" s="78"/>
      <c r="AJ178" s="84" t="s">
        <v>46</v>
      </c>
      <c r="AK178" s="84">
        <v>0</v>
      </c>
      <c r="BB178" s="259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0"/>
      <c r="B179" s="740"/>
      <c r="C179" s="740"/>
      <c r="D179" s="740"/>
      <c r="E179" s="740"/>
      <c r="F179" s="740"/>
      <c r="G179" s="740"/>
      <c r="H179" s="740"/>
      <c r="I179" s="740"/>
      <c r="J179" s="740"/>
      <c r="K179" s="740"/>
      <c r="L179" s="740"/>
      <c r="M179" s="740"/>
      <c r="N179" s="740"/>
      <c r="O179" s="741"/>
      <c r="P179" s="737" t="s">
        <v>40</v>
      </c>
      <c r="Q179" s="738"/>
      <c r="R179" s="738"/>
      <c r="S179" s="738"/>
      <c r="T179" s="738"/>
      <c r="U179" s="738"/>
      <c r="V179" s="739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0"/>
      <c r="B180" s="740"/>
      <c r="C180" s="740"/>
      <c r="D180" s="740"/>
      <c r="E180" s="740"/>
      <c r="F180" s="740"/>
      <c r="G180" s="740"/>
      <c r="H180" s="740"/>
      <c r="I180" s="740"/>
      <c r="J180" s="740"/>
      <c r="K180" s="740"/>
      <c r="L180" s="740"/>
      <c r="M180" s="740"/>
      <c r="N180" s="740"/>
      <c r="O180" s="741"/>
      <c r="P180" s="737" t="s">
        <v>40</v>
      </c>
      <c r="Q180" s="738"/>
      <c r="R180" s="738"/>
      <c r="S180" s="738"/>
      <c r="T180" s="738"/>
      <c r="U180" s="738"/>
      <c r="V180" s="739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1" t="s">
        <v>76</v>
      </c>
      <c r="B181" s="731"/>
      <c r="C181" s="731"/>
      <c r="D181" s="731"/>
      <c r="E181" s="731"/>
      <c r="F181" s="731"/>
      <c r="G181" s="731"/>
      <c r="H181" s="731"/>
      <c r="I181" s="731"/>
      <c r="J181" s="731"/>
      <c r="K181" s="731"/>
      <c r="L181" s="731"/>
      <c r="M181" s="731"/>
      <c r="N181" s="731"/>
      <c r="O181" s="731"/>
      <c r="P181" s="731"/>
      <c r="Q181" s="731"/>
      <c r="R181" s="731"/>
      <c r="S181" s="731"/>
      <c r="T181" s="731"/>
      <c r="U181" s="731"/>
      <c r="V181" s="731"/>
      <c r="W181" s="731"/>
      <c r="X181" s="731"/>
      <c r="Y181" s="731"/>
      <c r="Z181" s="731"/>
      <c r="AA181" s="66"/>
      <c r="AB181" s="66"/>
      <c r="AC181" s="80"/>
    </row>
    <row r="182" spans="1:68" ht="27" hidden="1" customHeight="1" x14ac:dyDescent="0.25">
      <c r="A182" s="63" t="s">
        <v>315</v>
      </c>
      <c r="B182" s="63" t="s">
        <v>316</v>
      </c>
      <c r="C182" s="36">
        <v>4301031496</v>
      </c>
      <c r="D182" s="732">
        <v>4680115887428</v>
      </c>
      <c r="E182" s="732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4"/>
      <c r="R182" s="734"/>
      <c r="S182" s="734"/>
      <c r="T182" s="735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317</v>
      </c>
      <c r="AG182" s="78"/>
      <c r="AJ182" s="84" t="s">
        <v>46</v>
      </c>
      <c r="AK182" s="84">
        <v>0</v>
      </c>
      <c r="BB182" s="261" t="s">
        <v>66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4301031509</v>
      </c>
      <c r="D183" s="732">
        <v>4680115889170</v>
      </c>
      <c r="E183" s="732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45</v>
      </c>
      <c r="P183" s="82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4"/>
      <c r="R183" s="734"/>
      <c r="S183" s="734"/>
      <c r="T183" s="735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4301031498</v>
      </c>
      <c r="D184" s="732">
        <v>4680115887398</v>
      </c>
      <c r="E184" s="732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40</v>
      </c>
      <c r="P184" s="82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4"/>
      <c r="R184" s="734"/>
      <c r="S184" s="734"/>
      <c r="T184" s="735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323</v>
      </c>
      <c r="AG184" s="78"/>
      <c r="AJ184" s="84" t="s">
        <v>46</v>
      </c>
      <c r="AK184" s="84">
        <v>0</v>
      </c>
      <c r="BB184" s="265" t="s">
        <v>66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321</v>
      </c>
      <c r="B185" s="63" t="s">
        <v>324</v>
      </c>
      <c r="C185" s="36">
        <v>4301031522</v>
      </c>
      <c r="D185" s="732">
        <v>4680115887398</v>
      </c>
      <c r="E185" s="732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133</v>
      </c>
      <c r="L185" s="37" t="s">
        <v>46</v>
      </c>
      <c r="M185" s="38" t="s">
        <v>80</v>
      </c>
      <c r="N185" s="38"/>
      <c r="O185" s="37">
        <v>45</v>
      </c>
      <c r="P185" s="830" t="s">
        <v>325</v>
      </c>
      <c r="Q185" s="734"/>
      <c r="R185" s="734"/>
      <c r="S185" s="734"/>
      <c r="T185" s="735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66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4301031497</v>
      </c>
      <c r="D186" s="732">
        <v>4680115887336</v>
      </c>
      <c r="E186" s="732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133</v>
      </c>
      <c r="L186" s="37" t="s">
        <v>46</v>
      </c>
      <c r="M186" s="38" t="s">
        <v>80</v>
      </c>
      <c r="N186" s="38"/>
      <c r="O186" s="37">
        <v>40</v>
      </c>
      <c r="P186" s="8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4"/>
      <c r="R186" s="734"/>
      <c r="S186" s="734"/>
      <c r="T186" s="735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327</v>
      </c>
      <c r="B187" s="63" t="s">
        <v>330</v>
      </c>
      <c r="C187" s="36">
        <v>4301031520</v>
      </c>
      <c r="D187" s="732">
        <v>4680115887336</v>
      </c>
      <c r="E187" s="732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133</v>
      </c>
      <c r="L187" s="37" t="s">
        <v>46</v>
      </c>
      <c r="M187" s="38" t="s">
        <v>80</v>
      </c>
      <c r="N187" s="38"/>
      <c r="O187" s="37">
        <v>45</v>
      </c>
      <c r="P187" s="832" t="s">
        <v>331</v>
      </c>
      <c r="Q187" s="734"/>
      <c r="R187" s="734"/>
      <c r="S187" s="734"/>
      <c r="T187" s="735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332</v>
      </c>
      <c r="AG187" s="78"/>
      <c r="AJ187" s="84" t="s">
        <v>46</v>
      </c>
      <c r="AK187" s="84">
        <v>0</v>
      </c>
      <c r="BB187" s="271" t="s">
        <v>66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333</v>
      </c>
      <c r="B188" s="63" t="s">
        <v>334</v>
      </c>
      <c r="C188" s="36">
        <v>4301032049</v>
      </c>
      <c r="D188" s="732">
        <v>4680115887787</v>
      </c>
      <c r="E188" s="732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3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4"/>
      <c r="R188" s="734"/>
      <c r="S188" s="734"/>
      <c r="T188" s="735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66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333</v>
      </c>
      <c r="B189" s="63" t="s">
        <v>336</v>
      </c>
      <c r="C189" s="36">
        <v>4301031528</v>
      </c>
      <c r="D189" s="732">
        <v>4680115887787</v>
      </c>
      <c r="E189" s="732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130</v>
      </c>
      <c r="L189" s="37" t="s">
        <v>46</v>
      </c>
      <c r="M189" s="38" t="s">
        <v>80</v>
      </c>
      <c r="N189" s="38"/>
      <c r="O189" s="37">
        <v>45</v>
      </c>
      <c r="P189" s="834" t="s">
        <v>337</v>
      </c>
      <c r="Q189" s="734"/>
      <c r="R189" s="734"/>
      <c r="S189" s="734"/>
      <c r="T189" s="735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335</v>
      </c>
      <c r="AG189" s="78"/>
      <c r="AJ189" s="84" t="s">
        <v>46</v>
      </c>
      <c r="AK189" s="84">
        <v>0</v>
      </c>
      <c r="BB189" s="275" t="s">
        <v>66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4301031448</v>
      </c>
      <c r="D190" s="732">
        <v>4680115887503</v>
      </c>
      <c r="E190" s="732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81</v>
      </c>
      <c r="L190" s="37" t="s">
        <v>46</v>
      </c>
      <c r="M190" s="38" t="s">
        <v>80</v>
      </c>
      <c r="N190" s="38"/>
      <c r="O190" s="37">
        <v>40</v>
      </c>
      <c r="P190" s="83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4"/>
      <c r="R190" s="734"/>
      <c r="S190" s="734"/>
      <c r="T190" s="735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317</v>
      </c>
      <c r="AG190" s="78"/>
      <c r="AJ190" s="84" t="s">
        <v>46</v>
      </c>
      <c r="AK190" s="84">
        <v>0</v>
      </c>
      <c r="BB190" s="277" t="s">
        <v>66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4301031389</v>
      </c>
      <c r="D191" s="732">
        <v>4680115887763</v>
      </c>
      <c r="E191" s="732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130</v>
      </c>
      <c r="L191" s="37" t="s">
        <v>46</v>
      </c>
      <c r="M191" s="38" t="s">
        <v>80</v>
      </c>
      <c r="N191" s="38"/>
      <c r="O191" s="37">
        <v>45</v>
      </c>
      <c r="P191" s="8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4"/>
      <c r="R191" s="734"/>
      <c r="S191" s="734"/>
      <c r="T191" s="735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342</v>
      </c>
      <c r="AG191" s="78"/>
      <c r="AJ191" s="84" t="s">
        <v>46</v>
      </c>
      <c r="AK191" s="84">
        <v>0</v>
      </c>
      <c r="BB191" s="279" t="s">
        <v>66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343</v>
      </c>
      <c r="B192" s="63" t="s">
        <v>344</v>
      </c>
      <c r="C192" s="36">
        <v>4301031454</v>
      </c>
      <c r="D192" s="732">
        <v>4680115887480</v>
      </c>
      <c r="E192" s="732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81</v>
      </c>
      <c r="L192" s="37" t="s">
        <v>46</v>
      </c>
      <c r="M192" s="38" t="s">
        <v>80</v>
      </c>
      <c r="N192" s="38"/>
      <c r="O192" s="37">
        <v>40</v>
      </c>
      <c r="P192" s="83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4"/>
      <c r="R192" s="734"/>
      <c r="S192" s="734"/>
      <c r="T192" s="735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323</v>
      </c>
      <c r="AG192" s="78"/>
      <c r="AJ192" s="84" t="s">
        <v>46</v>
      </c>
      <c r="AK192" s="84">
        <v>0</v>
      </c>
      <c r="BB192" s="281" t="s">
        <v>66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343</v>
      </c>
      <c r="B193" s="63" t="s">
        <v>345</v>
      </c>
      <c r="C193" s="36">
        <v>4301031521</v>
      </c>
      <c r="D193" s="732">
        <v>4680115887480</v>
      </c>
      <c r="E193" s="732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81</v>
      </c>
      <c r="L193" s="37" t="s">
        <v>46</v>
      </c>
      <c r="M193" s="38" t="s">
        <v>80</v>
      </c>
      <c r="N193" s="38"/>
      <c r="O193" s="37">
        <v>45</v>
      </c>
      <c r="P193" s="838" t="s">
        <v>346</v>
      </c>
      <c r="Q193" s="734"/>
      <c r="R193" s="734"/>
      <c r="S193" s="734"/>
      <c r="T193" s="735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326</v>
      </c>
      <c r="AG193" s="78"/>
      <c r="AJ193" s="84" t="s">
        <v>46</v>
      </c>
      <c r="AK193" s="84">
        <v>0</v>
      </c>
      <c r="BB193" s="283" t="s">
        <v>66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347</v>
      </c>
      <c r="B194" s="63" t="s">
        <v>348</v>
      </c>
      <c r="C194" s="36">
        <v>4301031434</v>
      </c>
      <c r="D194" s="732">
        <v>4680115888067</v>
      </c>
      <c r="E194" s="732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130</v>
      </c>
      <c r="L194" s="37" t="s">
        <v>46</v>
      </c>
      <c r="M194" s="38" t="s">
        <v>80</v>
      </c>
      <c r="N194" s="38"/>
      <c r="O194" s="37">
        <v>45</v>
      </c>
      <c r="P194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4"/>
      <c r="R194" s="734"/>
      <c r="S194" s="734"/>
      <c r="T194" s="735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349</v>
      </c>
      <c r="AG194" s="78"/>
      <c r="AJ194" s="84" t="s">
        <v>46</v>
      </c>
      <c r="AK194" s="84">
        <v>0</v>
      </c>
      <c r="BB194" s="285" t="s">
        <v>66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350</v>
      </c>
      <c r="B195" s="63" t="s">
        <v>351</v>
      </c>
      <c r="C195" s="36">
        <v>4301031519</v>
      </c>
      <c r="D195" s="732">
        <v>4680115887435</v>
      </c>
      <c r="E195" s="732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81</v>
      </c>
      <c r="L195" s="37" t="s">
        <v>46</v>
      </c>
      <c r="M195" s="38" t="s">
        <v>80</v>
      </c>
      <c r="N195" s="38"/>
      <c r="O195" s="37">
        <v>45</v>
      </c>
      <c r="P195" s="84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4"/>
      <c r="R195" s="734"/>
      <c r="S195" s="734"/>
      <c r="T195" s="735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332</v>
      </c>
      <c r="AG195" s="78"/>
      <c r="AJ195" s="84" t="s">
        <v>46</v>
      </c>
      <c r="AK195" s="84">
        <v>0</v>
      </c>
      <c r="BB195" s="287" t="s">
        <v>66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0"/>
      <c r="B196" s="740"/>
      <c r="C196" s="740"/>
      <c r="D196" s="740"/>
      <c r="E196" s="740"/>
      <c r="F196" s="740"/>
      <c r="G196" s="740"/>
      <c r="H196" s="740"/>
      <c r="I196" s="740"/>
      <c r="J196" s="740"/>
      <c r="K196" s="740"/>
      <c r="L196" s="740"/>
      <c r="M196" s="740"/>
      <c r="N196" s="740"/>
      <c r="O196" s="741"/>
      <c r="P196" s="737" t="s">
        <v>40</v>
      </c>
      <c r="Q196" s="738"/>
      <c r="R196" s="738"/>
      <c r="S196" s="738"/>
      <c r="T196" s="738"/>
      <c r="U196" s="738"/>
      <c r="V196" s="739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0"/>
      <c r="B197" s="740"/>
      <c r="C197" s="740"/>
      <c r="D197" s="740"/>
      <c r="E197" s="740"/>
      <c r="F197" s="740"/>
      <c r="G197" s="740"/>
      <c r="H197" s="740"/>
      <c r="I197" s="740"/>
      <c r="J197" s="740"/>
      <c r="K197" s="740"/>
      <c r="L197" s="740"/>
      <c r="M197" s="740"/>
      <c r="N197" s="740"/>
      <c r="O197" s="741"/>
      <c r="P197" s="737" t="s">
        <v>40</v>
      </c>
      <c r="Q197" s="738"/>
      <c r="R197" s="738"/>
      <c r="S197" s="738"/>
      <c r="T197" s="738"/>
      <c r="U197" s="738"/>
      <c r="V197" s="739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1" t="s">
        <v>85</v>
      </c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1"/>
      <c r="P198" s="731"/>
      <c r="Q198" s="731"/>
      <c r="R198" s="731"/>
      <c r="S198" s="731"/>
      <c r="T198" s="731"/>
      <c r="U198" s="731"/>
      <c r="V198" s="731"/>
      <c r="W198" s="731"/>
      <c r="X198" s="731"/>
      <c r="Y198" s="731"/>
      <c r="Z198" s="731"/>
      <c r="AA198" s="66"/>
      <c r="AB198" s="66"/>
      <c r="AC198" s="80"/>
    </row>
    <row r="199" spans="1:68" ht="16.5" hidden="1" customHeight="1" x14ac:dyDescent="0.25">
      <c r="A199" s="63" t="s">
        <v>352</v>
      </c>
      <c r="B199" s="63" t="s">
        <v>353</v>
      </c>
      <c r="C199" s="36">
        <v>4301052193</v>
      </c>
      <c r="D199" s="732">
        <v>4680115888395</v>
      </c>
      <c r="E199" s="732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90</v>
      </c>
      <c r="L199" s="37" t="s">
        <v>46</v>
      </c>
      <c r="M199" s="38" t="s">
        <v>96</v>
      </c>
      <c r="N199" s="38"/>
      <c r="O199" s="37">
        <v>40</v>
      </c>
      <c r="P199" s="84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4"/>
      <c r="R199" s="734"/>
      <c r="S199" s="734"/>
      <c r="T199" s="735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354</v>
      </c>
      <c r="AG199" s="78"/>
      <c r="AJ199" s="84" t="s">
        <v>46</v>
      </c>
      <c r="AK199" s="84">
        <v>0</v>
      </c>
      <c r="BB199" s="28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355</v>
      </c>
      <c r="B200" s="63" t="s">
        <v>356</v>
      </c>
      <c r="C200" s="36">
        <v>4301052191</v>
      </c>
      <c r="D200" s="732">
        <v>4680115888371</v>
      </c>
      <c r="E200" s="732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90</v>
      </c>
      <c r="L200" s="37" t="s">
        <v>46</v>
      </c>
      <c r="M200" s="38" t="s">
        <v>96</v>
      </c>
      <c r="N200" s="38"/>
      <c r="O200" s="37">
        <v>40</v>
      </c>
      <c r="P200" s="8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4"/>
      <c r="R200" s="734"/>
      <c r="S200" s="734"/>
      <c r="T200" s="735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357</v>
      </c>
      <c r="AG200" s="78"/>
      <c r="AJ200" s="84" t="s">
        <v>46</v>
      </c>
      <c r="AK200" s="84">
        <v>0</v>
      </c>
      <c r="BB200" s="29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358</v>
      </c>
      <c r="B201" s="63" t="s">
        <v>359</v>
      </c>
      <c r="C201" s="36">
        <v>4301052064</v>
      </c>
      <c r="D201" s="732">
        <v>4680115887459</v>
      </c>
      <c r="E201" s="732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90</v>
      </c>
      <c r="L201" s="37" t="s">
        <v>46</v>
      </c>
      <c r="M201" s="38" t="s">
        <v>89</v>
      </c>
      <c r="N201" s="38"/>
      <c r="O201" s="37">
        <v>45</v>
      </c>
      <c r="P201" s="8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4"/>
      <c r="R201" s="734"/>
      <c r="S201" s="734"/>
      <c r="T201" s="735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360</v>
      </c>
      <c r="AG201" s="78"/>
      <c r="AJ201" s="84" t="s">
        <v>46</v>
      </c>
      <c r="AK201" s="84">
        <v>0</v>
      </c>
      <c r="BB201" s="29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0"/>
      <c r="B202" s="740"/>
      <c r="C202" s="740"/>
      <c r="D202" s="740"/>
      <c r="E202" s="740"/>
      <c r="F202" s="740"/>
      <c r="G202" s="740"/>
      <c r="H202" s="740"/>
      <c r="I202" s="740"/>
      <c r="J202" s="740"/>
      <c r="K202" s="740"/>
      <c r="L202" s="740"/>
      <c r="M202" s="740"/>
      <c r="N202" s="740"/>
      <c r="O202" s="741"/>
      <c r="P202" s="737" t="s">
        <v>40</v>
      </c>
      <c r="Q202" s="738"/>
      <c r="R202" s="738"/>
      <c r="S202" s="738"/>
      <c r="T202" s="738"/>
      <c r="U202" s="738"/>
      <c r="V202" s="739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0"/>
      <c r="B203" s="740"/>
      <c r="C203" s="740"/>
      <c r="D203" s="740"/>
      <c r="E203" s="740"/>
      <c r="F203" s="740"/>
      <c r="G203" s="740"/>
      <c r="H203" s="740"/>
      <c r="I203" s="740"/>
      <c r="J203" s="740"/>
      <c r="K203" s="740"/>
      <c r="L203" s="740"/>
      <c r="M203" s="740"/>
      <c r="N203" s="740"/>
      <c r="O203" s="741"/>
      <c r="P203" s="737" t="s">
        <v>40</v>
      </c>
      <c r="Q203" s="738"/>
      <c r="R203" s="738"/>
      <c r="S203" s="738"/>
      <c r="T203" s="738"/>
      <c r="U203" s="738"/>
      <c r="V203" s="739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1" t="s">
        <v>293</v>
      </c>
      <c r="B204" s="731"/>
      <c r="C204" s="731"/>
      <c r="D204" s="731"/>
      <c r="E204" s="731"/>
      <c r="F204" s="731"/>
      <c r="G204" s="731"/>
      <c r="H204" s="731"/>
      <c r="I204" s="731"/>
      <c r="J204" s="731"/>
      <c r="K204" s="731"/>
      <c r="L204" s="731"/>
      <c r="M204" s="731"/>
      <c r="N204" s="731"/>
      <c r="O204" s="731"/>
      <c r="P204" s="731"/>
      <c r="Q204" s="731"/>
      <c r="R204" s="731"/>
      <c r="S204" s="731"/>
      <c r="T204" s="731"/>
      <c r="U204" s="731"/>
      <c r="V204" s="731"/>
      <c r="W204" s="731"/>
      <c r="X204" s="731"/>
      <c r="Y204" s="731"/>
      <c r="Z204" s="731"/>
      <c r="AA204" s="66"/>
      <c r="AB204" s="66"/>
      <c r="AC204" s="80"/>
    </row>
    <row r="205" spans="1:68" ht="16.5" hidden="1" customHeight="1" x14ac:dyDescent="0.25">
      <c r="A205" s="63" t="s">
        <v>361</v>
      </c>
      <c r="B205" s="63" t="s">
        <v>362</v>
      </c>
      <c r="C205" s="36">
        <v>4301032058</v>
      </c>
      <c r="D205" s="732">
        <v>4680115889026</v>
      </c>
      <c r="E205" s="732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364</v>
      </c>
      <c r="L205" s="37" t="s">
        <v>46</v>
      </c>
      <c r="M205" s="38" t="s">
        <v>298</v>
      </c>
      <c r="N205" s="38"/>
      <c r="O205" s="37">
        <v>60</v>
      </c>
      <c r="P205" s="84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4"/>
      <c r="R205" s="734"/>
      <c r="S205" s="734"/>
      <c r="T205" s="735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363</v>
      </c>
      <c r="AG205" s="78"/>
      <c r="AJ205" s="84" t="s">
        <v>46</v>
      </c>
      <c r="AK205" s="84">
        <v>0</v>
      </c>
      <c r="BB205" s="295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0"/>
      <c r="B206" s="740"/>
      <c r="C206" s="740"/>
      <c r="D206" s="740"/>
      <c r="E206" s="740"/>
      <c r="F206" s="740"/>
      <c r="G206" s="740"/>
      <c r="H206" s="740"/>
      <c r="I206" s="740"/>
      <c r="J206" s="740"/>
      <c r="K206" s="740"/>
      <c r="L206" s="740"/>
      <c r="M206" s="740"/>
      <c r="N206" s="740"/>
      <c r="O206" s="741"/>
      <c r="P206" s="737" t="s">
        <v>40</v>
      </c>
      <c r="Q206" s="738"/>
      <c r="R206" s="738"/>
      <c r="S206" s="738"/>
      <c r="T206" s="738"/>
      <c r="U206" s="738"/>
      <c r="V206" s="739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0"/>
      <c r="B207" s="740"/>
      <c r="C207" s="740"/>
      <c r="D207" s="740"/>
      <c r="E207" s="740"/>
      <c r="F207" s="740"/>
      <c r="G207" s="740"/>
      <c r="H207" s="740"/>
      <c r="I207" s="740"/>
      <c r="J207" s="740"/>
      <c r="K207" s="740"/>
      <c r="L207" s="740"/>
      <c r="M207" s="740"/>
      <c r="N207" s="740"/>
      <c r="O207" s="741"/>
      <c r="P207" s="737" t="s">
        <v>40</v>
      </c>
      <c r="Q207" s="738"/>
      <c r="R207" s="738"/>
      <c r="S207" s="738"/>
      <c r="T207" s="738"/>
      <c r="U207" s="738"/>
      <c r="V207" s="739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1" t="s">
        <v>365</v>
      </c>
      <c r="B208" s="731"/>
      <c r="C208" s="731"/>
      <c r="D208" s="731"/>
      <c r="E208" s="731"/>
      <c r="F208" s="731"/>
      <c r="G208" s="731"/>
      <c r="H208" s="731"/>
      <c r="I208" s="731"/>
      <c r="J208" s="731"/>
      <c r="K208" s="731"/>
      <c r="L208" s="731"/>
      <c r="M208" s="731"/>
      <c r="N208" s="731"/>
      <c r="O208" s="731"/>
      <c r="P208" s="731"/>
      <c r="Q208" s="731"/>
      <c r="R208" s="731"/>
      <c r="S208" s="731"/>
      <c r="T208" s="731"/>
      <c r="U208" s="731"/>
      <c r="V208" s="731"/>
      <c r="W208" s="731"/>
      <c r="X208" s="731"/>
      <c r="Y208" s="731"/>
      <c r="Z208" s="731"/>
      <c r="AA208" s="66"/>
      <c r="AB208" s="66"/>
      <c r="AC208" s="80"/>
    </row>
    <row r="209" spans="1:68" ht="27" hidden="1" customHeight="1" x14ac:dyDescent="0.25">
      <c r="A209" s="63" t="s">
        <v>366</v>
      </c>
      <c r="B209" s="63" t="s">
        <v>367</v>
      </c>
      <c r="C209" s="36">
        <v>4301041009</v>
      </c>
      <c r="D209" s="732">
        <v>4680115889033</v>
      </c>
      <c r="E209" s="732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364</v>
      </c>
      <c r="L209" s="37" t="s">
        <v>46</v>
      </c>
      <c r="M209" s="38" t="s">
        <v>298</v>
      </c>
      <c r="N209" s="38"/>
      <c r="O209" s="37">
        <v>60</v>
      </c>
      <c r="P209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4"/>
      <c r="R209" s="734"/>
      <c r="S209" s="734"/>
      <c r="T209" s="735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368</v>
      </c>
      <c r="AG209" s="78"/>
      <c r="AJ209" s="84" t="s">
        <v>46</v>
      </c>
      <c r="AK209" s="84">
        <v>0</v>
      </c>
      <c r="BB209" s="297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0"/>
      <c r="B210" s="740"/>
      <c r="C210" s="740"/>
      <c r="D210" s="740"/>
      <c r="E210" s="740"/>
      <c r="F210" s="740"/>
      <c r="G210" s="740"/>
      <c r="H210" s="740"/>
      <c r="I210" s="740"/>
      <c r="J210" s="740"/>
      <c r="K210" s="740"/>
      <c r="L210" s="740"/>
      <c r="M210" s="740"/>
      <c r="N210" s="740"/>
      <c r="O210" s="741"/>
      <c r="P210" s="737" t="s">
        <v>40</v>
      </c>
      <c r="Q210" s="738"/>
      <c r="R210" s="738"/>
      <c r="S210" s="738"/>
      <c r="T210" s="738"/>
      <c r="U210" s="738"/>
      <c r="V210" s="739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0"/>
      <c r="B211" s="740"/>
      <c r="C211" s="740"/>
      <c r="D211" s="740"/>
      <c r="E211" s="740"/>
      <c r="F211" s="740"/>
      <c r="G211" s="740"/>
      <c r="H211" s="740"/>
      <c r="I211" s="740"/>
      <c r="J211" s="740"/>
      <c r="K211" s="740"/>
      <c r="L211" s="740"/>
      <c r="M211" s="740"/>
      <c r="N211" s="740"/>
      <c r="O211" s="741"/>
      <c r="P211" s="737" t="s">
        <v>40</v>
      </c>
      <c r="Q211" s="738"/>
      <c r="R211" s="738"/>
      <c r="S211" s="738"/>
      <c r="T211" s="738"/>
      <c r="U211" s="738"/>
      <c r="V211" s="739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29" t="s">
        <v>369</v>
      </c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54"/>
      <c r="AB212" s="54"/>
      <c r="AC212" s="54"/>
    </row>
    <row r="213" spans="1:68" ht="16.5" hidden="1" customHeight="1" x14ac:dyDescent="0.25">
      <c r="A213" s="730" t="s">
        <v>370</v>
      </c>
      <c r="B213" s="730"/>
      <c r="C213" s="730"/>
      <c r="D213" s="730"/>
      <c r="E213" s="730"/>
      <c r="F213" s="730"/>
      <c r="G213" s="730"/>
      <c r="H213" s="730"/>
      <c r="I213" s="730"/>
      <c r="J213" s="730"/>
      <c r="K213" s="730"/>
      <c r="L213" s="730"/>
      <c r="M213" s="730"/>
      <c r="N213" s="730"/>
      <c r="O213" s="730"/>
      <c r="P213" s="730"/>
      <c r="Q213" s="730"/>
      <c r="R213" s="730"/>
      <c r="S213" s="730"/>
      <c r="T213" s="730"/>
      <c r="U213" s="730"/>
      <c r="V213" s="730"/>
      <c r="W213" s="730"/>
      <c r="X213" s="730"/>
      <c r="Y213" s="730"/>
      <c r="Z213" s="730"/>
      <c r="AA213" s="65"/>
      <c r="AB213" s="65"/>
      <c r="AC213" s="79"/>
    </row>
    <row r="214" spans="1:68" ht="14.25" hidden="1" customHeight="1" x14ac:dyDescent="0.25">
      <c r="A214" s="731" t="s">
        <v>121</v>
      </c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1"/>
      <c r="P214" s="731"/>
      <c r="Q214" s="731"/>
      <c r="R214" s="731"/>
      <c r="S214" s="731"/>
      <c r="T214" s="731"/>
      <c r="U214" s="731"/>
      <c r="V214" s="731"/>
      <c r="W214" s="731"/>
      <c r="X214" s="731"/>
      <c r="Y214" s="731"/>
      <c r="Z214" s="731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4301011223</v>
      </c>
      <c r="D215" s="732">
        <v>4607091383423</v>
      </c>
      <c r="E215" s="732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4"/>
      <c r="R215" s="734"/>
      <c r="S215" s="734"/>
      <c r="T215" s="735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124</v>
      </c>
      <c r="AG215" s="78"/>
      <c r="AJ215" s="84" t="s">
        <v>46</v>
      </c>
      <c r="AK215" s="84">
        <v>0</v>
      </c>
      <c r="BB215" s="299" t="s">
        <v>66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4301012340</v>
      </c>
      <c r="D216" s="732">
        <v>4680115888760</v>
      </c>
      <c r="E216" s="732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4"/>
      <c r="R216" s="734"/>
      <c r="S216" s="734"/>
      <c r="T216" s="735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375</v>
      </c>
      <c r="AG216" s="78"/>
      <c r="AJ216" s="84" t="s">
        <v>46</v>
      </c>
      <c r="AK216" s="84">
        <v>0</v>
      </c>
      <c r="BB216" s="301" t="s">
        <v>66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4301012341</v>
      </c>
      <c r="D217" s="732">
        <v>4680115888807</v>
      </c>
      <c r="E217" s="732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4"/>
      <c r="R217" s="734"/>
      <c r="S217" s="734"/>
      <c r="T217" s="735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378</v>
      </c>
      <c r="AG217" s="78"/>
      <c r="AJ217" s="84" t="s">
        <v>46</v>
      </c>
      <c r="AK217" s="84">
        <v>0</v>
      </c>
      <c r="BB217" s="303" t="s">
        <v>66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379</v>
      </c>
      <c r="B218" s="63" t="s">
        <v>380</v>
      </c>
      <c r="C218" s="36">
        <v>4301012342</v>
      </c>
      <c r="D218" s="732">
        <v>4680115888852</v>
      </c>
      <c r="E218" s="732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126</v>
      </c>
      <c r="L218" s="37" t="s">
        <v>46</v>
      </c>
      <c r="M218" s="38" t="s">
        <v>89</v>
      </c>
      <c r="N218" s="38"/>
      <c r="O218" s="37">
        <v>35</v>
      </c>
      <c r="P218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4"/>
      <c r="R218" s="734"/>
      <c r="S218" s="734"/>
      <c r="T218" s="735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381</v>
      </c>
      <c r="AG218" s="78"/>
      <c r="AJ218" s="84" t="s">
        <v>46</v>
      </c>
      <c r="AK218" s="84">
        <v>0</v>
      </c>
      <c r="BB218" s="305" t="s">
        <v>66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382</v>
      </c>
      <c r="B219" s="63" t="s">
        <v>383</v>
      </c>
      <c r="C219" s="36">
        <v>4301012370</v>
      </c>
      <c r="D219" s="732">
        <v>4680115886957</v>
      </c>
      <c r="E219" s="732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126</v>
      </c>
      <c r="L219" s="37" t="s">
        <v>46</v>
      </c>
      <c r="M219" s="38" t="s">
        <v>89</v>
      </c>
      <c r="N219" s="38"/>
      <c r="O219" s="37">
        <v>35</v>
      </c>
      <c r="P219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4"/>
      <c r="R219" s="734"/>
      <c r="S219" s="734"/>
      <c r="T219" s="735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384</v>
      </c>
      <c r="AG219" s="78"/>
      <c r="AJ219" s="84" t="s">
        <v>46</v>
      </c>
      <c r="AK219" s="84">
        <v>0</v>
      </c>
      <c r="BB219" s="307" t="s">
        <v>66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385</v>
      </c>
      <c r="B220" s="63" t="s">
        <v>386</v>
      </c>
      <c r="C220" s="36">
        <v>4301012098</v>
      </c>
      <c r="D220" s="732">
        <v>4680115885660</v>
      </c>
      <c r="E220" s="732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126</v>
      </c>
      <c r="L220" s="37" t="s">
        <v>46</v>
      </c>
      <c r="M220" s="38" t="s">
        <v>89</v>
      </c>
      <c r="N220" s="38"/>
      <c r="O220" s="37">
        <v>35</v>
      </c>
      <c r="P220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4"/>
      <c r="R220" s="734"/>
      <c r="S220" s="734"/>
      <c r="T220" s="735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387</v>
      </c>
      <c r="AG220" s="78"/>
      <c r="AJ220" s="84" t="s">
        <v>46</v>
      </c>
      <c r="AK220" s="84">
        <v>0</v>
      </c>
      <c r="BB220" s="309" t="s">
        <v>66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388</v>
      </c>
      <c r="B221" s="63" t="s">
        <v>389</v>
      </c>
      <c r="C221" s="36">
        <v>4301012369</v>
      </c>
      <c r="D221" s="732">
        <v>4680115886773</v>
      </c>
      <c r="E221" s="732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126</v>
      </c>
      <c r="L221" s="37" t="s">
        <v>46</v>
      </c>
      <c r="M221" s="38" t="s">
        <v>89</v>
      </c>
      <c r="N221" s="38"/>
      <c r="O221" s="37">
        <v>35</v>
      </c>
      <c r="P221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4"/>
      <c r="R221" s="734"/>
      <c r="S221" s="734"/>
      <c r="T221" s="735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390</v>
      </c>
      <c r="AG221" s="78"/>
      <c r="AJ221" s="84" t="s">
        <v>46</v>
      </c>
      <c r="AK221" s="84">
        <v>0</v>
      </c>
      <c r="BB221" s="311" t="s">
        <v>66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0"/>
      <c r="B222" s="740"/>
      <c r="C222" s="740"/>
      <c r="D222" s="740"/>
      <c r="E222" s="740"/>
      <c r="F222" s="740"/>
      <c r="G222" s="740"/>
      <c r="H222" s="740"/>
      <c r="I222" s="740"/>
      <c r="J222" s="740"/>
      <c r="K222" s="740"/>
      <c r="L222" s="740"/>
      <c r="M222" s="740"/>
      <c r="N222" s="740"/>
      <c r="O222" s="741"/>
      <c r="P222" s="737" t="s">
        <v>40</v>
      </c>
      <c r="Q222" s="738"/>
      <c r="R222" s="738"/>
      <c r="S222" s="738"/>
      <c r="T222" s="738"/>
      <c r="U222" s="738"/>
      <c r="V222" s="739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0"/>
      <c r="B223" s="740"/>
      <c r="C223" s="740"/>
      <c r="D223" s="740"/>
      <c r="E223" s="740"/>
      <c r="F223" s="740"/>
      <c r="G223" s="740"/>
      <c r="H223" s="740"/>
      <c r="I223" s="740"/>
      <c r="J223" s="740"/>
      <c r="K223" s="740"/>
      <c r="L223" s="740"/>
      <c r="M223" s="740"/>
      <c r="N223" s="740"/>
      <c r="O223" s="741"/>
      <c r="P223" s="737" t="s">
        <v>40</v>
      </c>
      <c r="Q223" s="738"/>
      <c r="R223" s="738"/>
      <c r="S223" s="738"/>
      <c r="T223" s="738"/>
      <c r="U223" s="738"/>
      <c r="V223" s="739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0" t="s">
        <v>391</v>
      </c>
      <c r="B224" s="730"/>
      <c r="C224" s="730"/>
      <c r="D224" s="730"/>
      <c r="E224" s="730"/>
      <c r="F224" s="730"/>
      <c r="G224" s="730"/>
      <c r="H224" s="730"/>
      <c r="I224" s="730"/>
      <c r="J224" s="730"/>
      <c r="K224" s="730"/>
      <c r="L224" s="730"/>
      <c r="M224" s="730"/>
      <c r="N224" s="730"/>
      <c r="O224" s="730"/>
      <c r="P224" s="730"/>
      <c r="Q224" s="730"/>
      <c r="R224" s="730"/>
      <c r="S224" s="730"/>
      <c r="T224" s="730"/>
      <c r="U224" s="730"/>
      <c r="V224" s="730"/>
      <c r="W224" s="730"/>
      <c r="X224" s="730"/>
      <c r="Y224" s="730"/>
      <c r="Z224" s="730"/>
      <c r="AA224" s="65"/>
      <c r="AB224" s="65"/>
      <c r="AC224" s="79"/>
    </row>
    <row r="225" spans="1:68" ht="14.25" hidden="1" customHeight="1" x14ac:dyDescent="0.25">
      <c r="A225" s="731" t="s">
        <v>154</v>
      </c>
      <c r="B225" s="731"/>
      <c r="C225" s="731"/>
      <c r="D225" s="731"/>
      <c r="E225" s="731"/>
      <c r="F225" s="731"/>
      <c r="G225" s="731"/>
      <c r="H225" s="731"/>
      <c r="I225" s="731"/>
      <c r="J225" s="731"/>
      <c r="K225" s="731"/>
      <c r="L225" s="731"/>
      <c r="M225" s="731"/>
      <c r="N225" s="731"/>
      <c r="O225" s="731"/>
      <c r="P225" s="731"/>
      <c r="Q225" s="731"/>
      <c r="R225" s="731"/>
      <c r="S225" s="731"/>
      <c r="T225" s="731"/>
      <c r="U225" s="731"/>
      <c r="V225" s="731"/>
      <c r="W225" s="731"/>
      <c r="X225" s="731"/>
      <c r="Y225" s="731"/>
      <c r="Z225" s="731"/>
      <c r="AA225" s="66"/>
      <c r="AB225" s="66"/>
      <c r="AC225" s="80"/>
    </row>
    <row r="226" spans="1:68" ht="27" hidden="1" customHeight="1" x14ac:dyDescent="0.25">
      <c r="A226" s="63" t="s">
        <v>392</v>
      </c>
      <c r="B226" s="63" t="s">
        <v>393</v>
      </c>
      <c r="C226" s="36">
        <v>4301020323</v>
      </c>
      <c r="D226" s="732">
        <v>4680115886223</v>
      </c>
      <c r="E226" s="732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4"/>
      <c r="R226" s="734"/>
      <c r="S226" s="734"/>
      <c r="T226" s="735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394</v>
      </c>
      <c r="AG226" s="78"/>
      <c r="AJ226" s="84" t="s">
        <v>46</v>
      </c>
      <c r="AK226" s="84">
        <v>0</v>
      </c>
      <c r="BB226" s="313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0"/>
      <c r="B227" s="740"/>
      <c r="C227" s="740"/>
      <c r="D227" s="740"/>
      <c r="E227" s="740"/>
      <c r="F227" s="740"/>
      <c r="G227" s="740"/>
      <c r="H227" s="740"/>
      <c r="I227" s="740"/>
      <c r="J227" s="740"/>
      <c r="K227" s="740"/>
      <c r="L227" s="740"/>
      <c r="M227" s="740"/>
      <c r="N227" s="740"/>
      <c r="O227" s="741"/>
      <c r="P227" s="737" t="s">
        <v>40</v>
      </c>
      <c r="Q227" s="738"/>
      <c r="R227" s="738"/>
      <c r="S227" s="738"/>
      <c r="T227" s="738"/>
      <c r="U227" s="738"/>
      <c r="V227" s="739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0"/>
      <c r="B228" s="740"/>
      <c r="C228" s="740"/>
      <c r="D228" s="740"/>
      <c r="E228" s="740"/>
      <c r="F228" s="740"/>
      <c r="G228" s="740"/>
      <c r="H228" s="740"/>
      <c r="I228" s="740"/>
      <c r="J228" s="740"/>
      <c r="K228" s="740"/>
      <c r="L228" s="740"/>
      <c r="M228" s="740"/>
      <c r="N228" s="740"/>
      <c r="O228" s="741"/>
      <c r="P228" s="737" t="s">
        <v>40</v>
      </c>
      <c r="Q228" s="738"/>
      <c r="R228" s="738"/>
      <c r="S228" s="738"/>
      <c r="T228" s="738"/>
      <c r="U228" s="738"/>
      <c r="V228" s="739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1" t="s">
        <v>76</v>
      </c>
      <c r="B229" s="731"/>
      <c r="C229" s="731"/>
      <c r="D229" s="731"/>
      <c r="E229" s="731"/>
      <c r="F229" s="731"/>
      <c r="G229" s="731"/>
      <c r="H229" s="731"/>
      <c r="I229" s="731"/>
      <c r="J229" s="731"/>
      <c r="K229" s="731"/>
      <c r="L229" s="731"/>
      <c r="M229" s="731"/>
      <c r="N229" s="731"/>
      <c r="O229" s="731"/>
      <c r="P229" s="731"/>
      <c r="Q229" s="731"/>
      <c r="R229" s="731"/>
      <c r="S229" s="731"/>
      <c r="T229" s="731"/>
      <c r="U229" s="731"/>
      <c r="V229" s="731"/>
      <c r="W229" s="731"/>
      <c r="X229" s="731"/>
      <c r="Y229" s="731"/>
      <c r="Z229" s="731"/>
      <c r="AA229" s="66"/>
      <c r="AB229" s="66"/>
      <c r="AC229" s="80"/>
    </row>
    <row r="230" spans="1:68" ht="27" hidden="1" customHeight="1" x14ac:dyDescent="0.25">
      <c r="A230" s="63" t="s">
        <v>395</v>
      </c>
      <c r="B230" s="63" t="s">
        <v>396</v>
      </c>
      <c r="C230" s="36">
        <v>4301031191</v>
      </c>
      <c r="D230" s="732">
        <v>4680115880993</v>
      </c>
      <c r="E230" s="732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133</v>
      </c>
      <c r="L230" s="37" t="s">
        <v>46</v>
      </c>
      <c r="M230" s="38" t="s">
        <v>80</v>
      </c>
      <c r="N230" s="38"/>
      <c r="O230" s="37">
        <v>40</v>
      </c>
      <c r="P230" s="85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4"/>
      <c r="R230" s="734"/>
      <c r="S230" s="734"/>
      <c r="T230" s="735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397</v>
      </c>
      <c r="AG230" s="78"/>
      <c r="AJ230" s="84" t="s">
        <v>46</v>
      </c>
      <c r="AK230" s="84">
        <v>0</v>
      </c>
      <c r="BB230" s="315" t="s">
        <v>66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398</v>
      </c>
      <c r="B231" s="63" t="s">
        <v>399</v>
      </c>
      <c r="C231" s="36">
        <v>4301031204</v>
      </c>
      <c r="D231" s="732">
        <v>4680115881761</v>
      </c>
      <c r="E231" s="732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133</v>
      </c>
      <c r="L231" s="37" t="s">
        <v>46</v>
      </c>
      <c r="M231" s="38" t="s">
        <v>80</v>
      </c>
      <c r="N231" s="38"/>
      <c r="O231" s="37">
        <v>40</v>
      </c>
      <c r="P231" s="8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4"/>
      <c r="R231" s="734"/>
      <c r="S231" s="734"/>
      <c r="T231" s="735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400</v>
      </c>
      <c r="AG231" s="78"/>
      <c r="AJ231" s="84" t="s">
        <v>46</v>
      </c>
      <c r="AK231" s="84">
        <v>0</v>
      </c>
      <c r="BB231" s="317" t="s">
        <v>66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4301031201</v>
      </c>
      <c r="D232" s="732">
        <v>4680115881563</v>
      </c>
      <c r="E232" s="732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133</v>
      </c>
      <c r="L232" s="37" t="s">
        <v>46</v>
      </c>
      <c r="M232" s="38" t="s">
        <v>80</v>
      </c>
      <c r="N232" s="38"/>
      <c r="O232" s="37">
        <v>40</v>
      </c>
      <c r="P232" s="85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4"/>
      <c r="R232" s="734"/>
      <c r="S232" s="734"/>
      <c r="T232" s="735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403</v>
      </c>
      <c r="AG232" s="78"/>
      <c r="AJ232" s="84" t="s">
        <v>46</v>
      </c>
      <c r="AK232" s="84">
        <v>0</v>
      </c>
      <c r="BB232" s="319" t="s">
        <v>66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404</v>
      </c>
      <c r="B233" s="63" t="s">
        <v>405</v>
      </c>
      <c r="C233" s="36">
        <v>4301031447</v>
      </c>
      <c r="D233" s="732">
        <v>4680115887565</v>
      </c>
      <c r="E233" s="732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4"/>
      <c r="R233" s="734"/>
      <c r="S233" s="734"/>
      <c r="T233" s="735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4301031199</v>
      </c>
      <c r="D234" s="732">
        <v>4680115880986</v>
      </c>
      <c r="E234" s="732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4"/>
      <c r="R234" s="734"/>
      <c r="S234" s="734"/>
      <c r="T234" s="735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397</v>
      </c>
      <c r="AG234" s="78"/>
      <c r="AJ234" s="84" t="s">
        <v>46</v>
      </c>
      <c r="AK234" s="84">
        <v>0</v>
      </c>
      <c r="BB234" s="323" t="s">
        <v>66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409</v>
      </c>
      <c r="B235" s="63" t="s">
        <v>410</v>
      </c>
      <c r="C235" s="36">
        <v>4301031443</v>
      </c>
      <c r="D235" s="732">
        <v>4680115887213</v>
      </c>
      <c r="E235" s="732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45</v>
      </c>
      <c r="P235" s="8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4"/>
      <c r="R235" s="734"/>
      <c r="S235" s="734"/>
      <c r="T235" s="735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411</v>
      </c>
      <c r="AG235" s="78"/>
      <c r="AJ235" s="84" t="s">
        <v>46</v>
      </c>
      <c r="AK235" s="84">
        <v>0</v>
      </c>
      <c r="BB235" s="325" t="s">
        <v>66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4301031205</v>
      </c>
      <c r="D236" s="732">
        <v>4680115881785</v>
      </c>
      <c r="E236" s="732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4"/>
      <c r="R236" s="734"/>
      <c r="S236" s="734"/>
      <c r="T236" s="735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400</v>
      </c>
      <c r="AG236" s="78"/>
      <c r="AJ236" s="84" t="s">
        <v>46</v>
      </c>
      <c r="AK236" s="84">
        <v>0</v>
      </c>
      <c r="BB236" s="327" t="s">
        <v>66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414</v>
      </c>
      <c r="B237" s="63" t="s">
        <v>415</v>
      </c>
      <c r="C237" s="36">
        <v>4301031499</v>
      </c>
      <c r="D237" s="732">
        <v>4680115888432</v>
      </c>
      <c r="E237" s="732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45</v>
      </c>
      <c r="P237" s="86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4"/>
      <c r="R237" s="734"/>
      <c r="S237" s="734"/>
      <c r="T237" s="735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416</v>
      </c>
      <c r="AG237" s="78"/>
      <c r="AJ237" s="84" t="s">
        <v>46</v>
      </c>
      <c r="AK237" s="84">
        <v>0</v>
      </c>
      <c r="BB237" s="329" t="s">
        <v>66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417</v>
      </c>
      <c r="B238" s="63" t="s">
        <v>418</v>
      </c>
      <c r="C238" s="36">
        <v>4301031427</v>
      </c>
      <c r="D238" s="732">
        <v>4680115888104</v>
      </c>
      <c r="E238" s="732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81</v>
      </c>
      <c r="L238" s="37" t="s">
        <v>46</v>
      </c>
      <c r="M238" s="38" t="s">
        <v>80</v>
      </c>
      <c r="N238" s="38"/>
      <c r="O238" s="37">
        <v>45</v>
      </c>
      <c r="P238" s="86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4"/>
      <c r="R238" s="734"/>
      <c r="S238" s="734"/>
      <c r="T238" s="735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419</v>
      </c>
      <c r="AG238" s="78"/>
      <c r="AJ238" s="84" t="s">
        <v>46</v>
      </c>
      <c r="AK238" s="84">
        <v>0</v>
      </c>
      <c r="BB238" s="331" t="s">
        <v>66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4301031399</v>
      </c>
      <c r="D239" s="732">
        <v>4680115886537</v>
      </c>
      <c r="E239" s="732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4"/>
      <c r="R239" s="734"/>
      <c r="S239" s="734"/>
      <c r="T239" s="735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4301031279</v>
      </c>
      <c r="D240" s="732">
        <v>4680115887596</v>
      </c>
      <c r="E240" s="732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130</v>
      </c>
      <c r="L240" s="37" t="s">
        <v>46</v>
      </c>
      <c r="M240" s="38" t="s">
        <v>80</v>
      </c>
      <c r="N240" s="38"/>
      <c r="O240" s="37">
        <v>45</v>
      </c>
      <c r="P240" s="86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4"/>
      <c r="R240" s="734"/>
      <c r="S240" s="734"/>
      <c r="T240" s="735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425</v>
      </c>
      <c r="AG240" s="78"/>
      <c r="AJ240" s="84" t="s">
        <v>46</v>
      </c>
      <c r="AK240" s="84">
        <v>0</v>
      </c>
      <c r="BB240" s="335" t="s">
        <v>66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426</v>
      </c>
      <c r="B241" s="63" t="s">
        <v>427</v>
      </c>
      <c r="C241" s="36">
        <v>4301031202</v>
      </c>
      <c r="D241" s="732">
        <v>4680115881679</v>
      </c>
      <c r="E241" s="732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81</v>
      </c>
      <c r="L241" s="37" t="s">
        <v>46</v>
      </c>
      <c r="M241" s="38" t="s">
        <v>80</v>
      </c>
      <c r="N241" s="38"/>
      <c r="O241" s="37">
        <v>40</v>
      </c>
      <c r="P241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4"/>
      <c r="R241" s="734"/>
      <c r="S241" s="734"/>
      <c r="T241" s="735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403</v>
      </c>
      <c r="AG241" s="78"/>
      <c r="AJ241" s="84" t="s">
        <v>46</v>
      </c>
      <c r="AK241" s="84">
        <v>0</v>
      </c>
      <c r="BB241" s="337" t="s">
        <v>66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4301031158</v>
      </c>
      <c r="D242" s="732">
        <v>4680115880191</v>
      </c>
      <c r="E242" s="732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90</v>
      </c>
      <c r="L242" s="37" t="s">
        <v>46</v>
      </c>
      <c r="M242" s="38" t="s">
        <v>80</v>
      </c>
      <c r="N242" s="38"/>
      <c r="O242" s="37">
        <v>40</v>
      </c>
      <c r="P242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4"/>
      <c r="R242" s="734"/>
      <c r="S242" s="734"/>
      <c r="T242" s="735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403</v>
      </c>
      <c r="AG242" s="78"/>
      <c r="AJ242" s="84" t="s">
        <v>46</v>
      </c>
      <c r="AK242" s="84">
        <v>0</v>
      </c>
      <c r="BB242" s="339" t="s">
        <v>66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4301031245</v>
      </c>
      <c r="D243" s="732">
        <v>4680115883963</v>
      </c>
      <c r="E243" s="732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81</v>
      </c>
      <c r="L243" s="37" t="s">
        <v>46</v>
      </c>
      <c r="M243" s="38" t="s">
        <v>80</v>
      </c>
      <c r="N243" s="38"/>
      <c r="O243" s="37">
        <v>40</v>
      </c>
      <c r="P243" s="86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4"/>
      <c r="R243" s="734"/>
      <c r="S243" s="734"/>
      <c r="T243" s="735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432</v>
      </c>
      <c r="AG243" s="78"/>
      <c r="AJ243" s="84" t="s">
        <v>46</v>
      </c>
      <c r="AK243" s="84">
        <v>0</v>
      </c>
      <c r="BB243" s="341" t="s">
        <v>66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0"/>
      <c r="B244" s="740"/>
      <c r="C244" s="740"/>
      <c r="D244" s="740"/>
      <c r="E244" s="740"/>
      <c r="F244" s="740"/>
      <c r="G244" s="740"/>
      <c r="H244" s="740"/>
      <c r="I244" s="740"/>
      <c r="J244" s="740"/>
      <c r="K244" s="740"/>
      <c r="L244" s="740"/>
      <c r="M244" s="740"/>
      <c r="N244" s="740"/>
      <c r="O244" s="741"/>
      <c r="P244" s="737" t="s">
        <v>40</v>
      </c>
      <c r="Q244" s="738"/>
      <c r="R244" s="738"/>
      <c r="S244" s="738"/>
      <c r="T244" s="738"/>
      <c r="U244" s="738"/>
      <c r="V244" s="739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0"/>
      <c r="B245" s="740"/>
      <c r="C245" s="740"/>
      <c r="D245" s="740"/>
      <c r="E245" s="740"/>
      <c r="F245" s="740"/>
      <c r="G245" s="740"/>
      <c r="H245" s="740"/>
      <c r="I245" s="740"/>
      <c r="J245" s="740"/>
      <c r="K245" s="740"/>
      <c r="L245" s="740"/>
      <c r="M245" s="740"/>
      <c r="N245" s="740"/>
      <c r="O245" s="741"/>
      <c r="P245" s="737" t="s">
        <v>40</v>
      </c>
      <c r="Q245" s="738"/>
      <c r="R245" s="738"/>
      <c r="S245" s="738"/>
      <c r="T245" s="738"/>
      <c r="U245" s="738"/>
      <c r="V245" s="739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1" t="s">
        <v>85</v>
      </c>
      <c r="B246" s="731"/>
      <c r="C246" s="731"/>
      <c r="D246" s="731"/>
      <c r="E246" s="731"/>
      <c r="F246" s="731"/>
      <c r="G246" s="731"/>
      <c r="H246" s="731"/>
      <c r="I246" s="731"/>
      <c r="J246" s="731"/>
      <c r="K246" s="731"/>
      <c r="L246" s="731"/>
      <c r="M246" s="731"/>
      <c r="N246" s="731"/>
      <c r="O246" s="731"/>
      <c r="P246" s="731"/>
      <c r="Q246" s="731"/>
      <c r="R246" s="731"/>
      <c r="S246" s="731"/>
      <c r="T246" s="731"/>
      <c r="U246" s="731"/>
      <c r="V246" s="731"/>
      <c r="W246" s="731"/>
      <c r="X246" s="731"/>
      <c r="Y246" s="731"/>
      <c r="Z246" s="731"/>
      <c r="AA246" s="66"/>
      <c r="AB246" s="66"/>
      <c r="AC246" s="80"/>
    </row>
    <row r="247" spans="1:68" ht="16.5" hidden="1" customHeight="1" x14ac:dyDescent="0.25">
      <c r="A247" s="63" t="s">
        <v>433</v>
      </c>
      <c r="B247" s="63" t="s">
        <v>434</v>
      </c>
      <c r="C247" s="36">
        <v>4301052209</v>
      </c>
      <c r="D247" s="732">
        <v>4680115888692</v>
      </c>
      <c r="E247" s="732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126</v>
      </c>
      <c r="L247" s="37" t="s">
        <v>46</v>
      </c>
      <c r="M247" s="38" t="s">
        <v>96</v>
      </c>
      <c r="N247" s="38"/>
      <c r="O247" s="37">
        <v>35</v>
      </c>
      <c r="P247" s="86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4"/>
      <c r="R247" s="734"/>
      <c r="S247" s="734"/>
      <c r="T247" s="735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435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4301052213</v>
      </c>
      <c r="D248" s="732">
        <v>4680115888722</v>
      </c>
      <c r="E248" s="732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126</v>
      </c>
      <c r="L248" s="37" t="s">
        <v>46</v>
      </c>
      <c r="M248" s="38" t="s">
        <v>96</v>
      </c>
      <c r="N248" s="38"/>
      <c r="O248" s="37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4"/>
      <c r="R248" s="734"/>
      <c r="S248" s="734"/>
      <c r="T248" s="735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438</v>
      </c>
      <c r="AG248" s="78"/>
      <c r="AJ248" s="84" t="s">
        <v>46</v>
      </c>
      <c r="AK248" s="84">
        <v>0</v>
      </c>
      <c r="BB248" s="34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4301052177</v>
      </c>
      <c r="D249" s="732">
        <v>4680115888951</v>
      </c>
      <c r="E249" s="732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133</v>
      </c>
      <c r="L249" s="37" t="s">
        <v>46</v>
      </c>
      <c r="M249" s="38" t="s">
        <v>96</v>
      </c>
      <c r="N249" s="38"/>
      <c r="O249" s="37">
        <v>35</v>
      </c>
      <c r="P249" s="87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4"/>
      <c r="R249" s="734"/>
      <c r="S249" s="734"/>
      <c r="T249" s="735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441</v>
      </c>
      <c r="AG249" s="78"/>
      <c r="AJ249" s="84" t="s">
        <v>46</v>
      </c>
      <c r="AK249" s="84">
        <v>0</v>
      </c>
      <c r="BB249" s="34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4301052178</v>
      </c>
      <c r="D250" s="732">
        <v>4680115888975</v>
      </c>
      <c r="E250" s="732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133</v>
      </c>
      <c r="L250" s="37" t="s">
        <v>46</v>
      </c>
      <c r="M250" s="38" t="s">
        <v>96</v>
      </c>
      <c r="N250" s="38"/>
      <c r="O250" s="37">
        <v>35</v>
      </c>
      <c r="P250" s="87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4"/>
      <c r="R250" s="734"/>
      <c r="S250" s="734"/>
      <c r="T250" s="735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444</v>
      </c>
      <c r="AG250" s="78"/>
      <c r="AJ250" s="84" t="s">
        <v>46</v>
      </c>
      <c r="AK250" s="84">
        <v>0</v>
      </c>
      <c r="BB250" s="34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445</v>
      </c>
      <c r="B251" s="63" t="s">
        <v>446</v>
      </c>
      <c r="C251" s="36">
        <v>4301052176</v>
      </c>
      <c r="D251" s="732">
        <v>4680115888982</v>
      </c>
      <c r="E251" s="732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133</v>
      </c>
      <c r="L251" s="37" t="s">
        <v>46</v>
      </c>
      <c r="M251" s="38" t="s">
        <v>96</v>
      </c>
      <c r="N251" s="38"/>
      <c r="O251" s="37">
        <v>35</v>
      </c>
      <c r="P251" s="87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4"/>
      <c r="R251" s="734"/>
      <c r="S251" s="734"/>
      <c r="T251" s="735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438</v>
      </c>
      <c r="AG251" s="78"/>
      <c r="AJ251" s="84" t="s">
        <v>46</v>
      </c>
      <c r="AK251" s="84">
        <v>0</v>
      </c>
      <c r="BB251" s="351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0"/>
      <c r="B252" s="740"/>
      <c r="C252" s="740"/>
      <c r="D252" s="740"/>
      <c r="E252" s="740"/>
      <c r="F252" s="740"/>
      <c r="G252" s="740"/>
      <c r="H252" s="740"/>
      <c r="I252" s="740"/>
      <c r="J252" s="740"/>
      <c r="K252" s="740"/>
      <c r="L252" s="740"/>
      <c r="M252" s="740"/>
      <c r="N252" s="740"/>
      <c r="O252" s="741"/>
      <c r="P252" s="737" t="s">
        <v>40</v>
      </c>
      <c r="Q252" s="738"/>
      <c r="R252" s="738"/>
      <c r="S252" s="738"/>
      <c r="T252" s="738"/>
      <c r="U252" s="738"/>
      <c r="V252" s="739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0"/>
      <c r="B253" s="740"/>
      <c r="C253" s="740"/>
      <c r="D253" s="740"/>
      <c r="E253" s="740"/>
      <c r="F253" s="740"/>
      <c r="G253" s="740"/>
      <c r="H253" s="740"/>
      <c r="I253" s="740"/>
      <c r="J253" s="740"/>
      <c r="K253" s="740"/>
      <c r="L253" s="740"/>
      <c r="M253" s="740"/>
      <c r="N253" s="740"/>
      <c r="O253" s="741"/>
      <c r="P253" s="737" t="s">
        <v>40</v>
      </c>
      <c r="Q253" s="738"/>
      <c r="R253" s="738"/>
      <c r="S253" s="738"/>
      <c r="T253" s="738"/>
      <c r="U253" s="738"/>
      <c r="V253" s="739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1" t="s">
        <v>293</v>
      </c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1"/>
      <c r="P254" s="731"/>
      <c r="Q254" s="731"/>
      <c r="R254" s="731"/>
      <c r="S254" s="731"/>
      <c r="T254" s="731"/>
      <c r="U254" s="731"/>
      <c r="V254" s="731"/>
      <c r="W254" s="731"/>
      <c r="X254" s="731"/>
      <c r="Y254" s="731"/>
      <c r="Z254" s="731"/>
      <c r="AA254" s="66"/>
      <c r="AB254" s="66"/>
      <c r="AC254" s="80"/>
    </row>
    <row r="255" spans="1:68" ht="27" hidden="1" customHeight="1" x14ac:dyDescent="0.25">
      <c r="A255" s="63" t="s">
        <v>447</v>
      </c>
      <c r="B255" s="63" t="s">
        <v>448</v>
      </c>
      <c r="C255" s="36">
        <v>4301032053</v>
      </c>
      <c r="D255" s="732">
        <v>4680115886780</v>
      </c>
      <c r="E255" s="732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364</v>
      </c>
      <c r="L255" s="37" t="s">
        <v>46</v>
      </c>
      <c r="M255" s="38" t="s">
        <v>298</v>
      </c>
      <c r="N255" s="38"/>
      <c r="O255" s="37">
        <v>60</v>
      </c>
      <c r="P255" s="8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4"/>
      <c r="R255" s="734"/>
      <c r="S255" s="734"/>
      <c r="T255" s="735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449</v>
      </c>
      <c r="AG255" s="78"/>
      <c r="AJ255" s="84" t="s">
        <v>46</v>
      </c>
      <c r="AK255" s="84">
        <v>0</v>
      </c>
      <c r="BB255" s="35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450</v>
      </c>
      <c r="B256" s="63" t="s">
        <v>451</v>
      </c>
      <c r="C256" s="36">
        <v>4301032051</v>
      </c>
      <c r="D256" s="732">
        <v>4680115886742</v>
      </c>
      <c r="E256" s="732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364</v>
      </c>
      <c r="L256" s="37" t="s">
        <v>46</v>
      </c>
      <c r="M256" s="38" t="s">
        <v>298</v>
      </c>
      <c r="N256" s="38"/>
      <c r="O256" s="37">
        <v>90</v>
      </c>
      <c r="P256" s="8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4"/>
      <c r="R256" s="734"/>
      <c r="S256" s="734"/>
      <c r="T256" s="735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452</v>
      </c>
      <c r="AG256" s="78"/>
      <c r="AJ256" s="84" t="s">
        <v>46</v>
      </c>
      <c r="AK256" s="84">
        <v>0</v>
      </c>
      <c r="BB256" s="35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453</v>
      </c>
      <c r="B257" s="63" t="s">
        <v>454</v>
      </c>
      <c r="C257" s="36">
        <v>4301032052</v>
      </c>
      <c r="D257" s="732">
        <v>4680115886766</v>
      </c>
      <c r="E257" s="732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364</v>
      </c>
      <c r="L257" s="37" t="s">
        <v>46</v>
      </c>
      <c r="M257" s="38" t="s">
        <v>298</v>
      </c>
      <c r="N257" s="38"/>
      <c r="O257" s="37">
        <v>90</v>
      </c>
      <c r="P257" s="8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4"/>
      <c r="R257" s="734"/>
      <c r="S257" s="734"/>
      <c r="T257" s="735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452</v>
      </c>
      <c r="AG257" s="78"/>
      <c r="AJ257" s="84" t="s">
        <v>46</v>
      </c>
      <c r="AK257" s="84">
        <v>0</v>
      </c>
      <c r="BB257" s="35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0"/>
      <c r="B258" s="740"/>
      <c r="C258" s="740"/>
      <c r="D258" s="740"/>
      <c r="E258" s="740"/>
      <c r="F258" s="740"/>
      <c r="G258" s="740"/>
      <c r="H258" s="740"/>
      <c r="I258" s="740"/>
      <c r="J258" s="740"/>
      <c r="K258" s="740"/>
      <c r="L258" s="740"/>
      <c r="M258" s="740"/>
      <c r="N258" s="740"/>
      <c r="O258" s="741"/>
      <c r="P258" s="737" t="s">
        <v>40</v>
      </c>
      <c r="Q258" s="738"/>
      <c r="R258" s="738"/>
      <c r="S258" s="738"/>
      <c r="T258" s="738"/>
      <c r="U258" s="738"/>
      <c r="V258" s="739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0"/>
      <c r="B259" s="740"/>
      <c r="C259" s="740"/>
      <c r="D259" s="740"/>
      <c r="E259" s="740"/>
      <c r="F259" s="740"/>
      <c r="G259" s="740"/>
      <c r="H259" s="740"/>
      <c r="I259" s="740"/>
      <c r="J259" s="740"/>
      <c r="K259" s="740"/>
      <c r="L259" s="740"/>
      <c r="M259" s="740"/>
      <c r="N259" s="740"/>
      <c r="O259" s="741"/>
      <c r="P259" s="737" t="s">
        <v>40</v>
      </c>
      <c r="Q259" s="738"/>
      <c r="R259" s="738"/>
      <c r="S259" s="738"/>
      <c r="T259" s="738"/>
      <c r="U259" s="738"/>
      <c r="V259" s="739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1" t="s">
        <v>455</v>
      </c>
      <c r="B260" s="731"/>
      <c r="C260" s="731"/>
      <c r="D260" s="731"/>
      <c r="E260" s="731"/>
      <c r="F260" s="731"/>
      <c r="G260" s="731"/>
      <c r="H260" s="731"/>
      <c r="I260" s="731"/>
      <c r="J260" s="731"/>
      <c r="K260" s="731"/>
      <c r="L260" s="731"/>
      <c r="M260" s="731"/>
      <c r="N260" s="731"/>
      <c r="O260" s="731"/>
      <c r="P260" s="731"/>
      <c r="Q260" s="731"/>
      <c r="R260" s="731"/>
      <c r="S260" s="731"/>
      <c r="T260" s="731"/>
      <c r="U260" s="731"/>
      <c r="V260" s="731"/>
      <c r="W260" s="731"/>
      <c r="X260" s="731"/>
      <c r="Y260" s="731"/>
      <c r="Z260" s="731"/>
      <c r="AA260" s="66"/>
      <c r="AB260" s="66"/>
      <c r="AC260" s="80"/>
    </row>
    <row r="261" spans="1:68" ht="27" hidden="1" customHeight="1" x14ac:dyDescent="0.25">
      <c r="A261" s="63" t="s">
        <v>456</v>
      </c>
      <c r="B261" s="63" t="s">
        <v>457</v>
      </c>
      <c r="C261" s="36">
        <v>4301170013</v>
      </c>
      <c r="D261" s="732">
        <v>4680115886797</v>
      </c>
      <c r="E261" s="732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364</v>
      </c>
      <c r="L261" s="37" t="s">
        <v>46</v>
      </c>
      <c r="M261" s="38" t="s">
        <v>298</v>
      </c>
      <c r="N261" s="38"/>
      <c r="O261" s="37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4"/>
      <c r="R261" s="734"/>
      <c r="S261" s="734"/>
      <c r="T261" s="735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452</v>
      </c>
      <c r="AG261" s="78"/>
      <c r="AJ261" s="84" t="s">
        <v>46</v>
      </c>
      <c r="AK261" s="84">
        <v>0</v>
      </c>
      <c r="BB261" s="35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0"/>
      <c r="B262" s="740"/>
      <c r="C262" s="740"/>
      <c r="D262" s="740"/>
      <c r="E262" s="740"/>
      <c r="F262" s="740"/>
      <c r="G262" s="740"/>
      <c r="H262" s="740"/>
      <c r="I262" s="740"/>
      <c r="J262" s="740"/>
      <c r="K262" s="740"/>
      <c r="L262" s="740"/>
      <c r="M262" s="740"/>
      <c r="N262" s="740"/>
      <c r="O262" s="741"/>
      <c r="P262" s="737" t="s">
        <v>40</v>
      </c>
      <c r="Q262" s="738"/>
      <c r="R262" s="738"/>
      <c r="S262" s="738"/>
      <c r="T262" s="738"/>
      <c r="U262" s="738"/>
      <c r="V262" s="739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0"/>
      <c r="B263" s="740"/>
      <c r="C263" s="740"/>
      <c r="D263" s="740"/>
      <c r="E263" s="740"/>
      <c r="F263" s="740"/>
      <c r="G263" s="740"/>
      <c r="H263" s="740"/>
      <c r="I263" s="740"/>
      <c r="J263" s="740"/>
      <c r="K263" s="740"/>
      <c r="L263" s="740"/>
      <c r="M263" s="740"/>
      <c r="N263" s="740"/>
      <c r="O263" s="741"/>
      <c r="P263" s="737" t="s">
        <v>40</v>
      </c>
      <c r="Q263" s="738"/>
      <c r="R263" s="738"/>
      <c r="S263" s="738"/>
      <c r="T263" s="738"/>
      <c r="U263" s="738"/>
      <c r="V263" s="739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0" t="s">
        <v>458</v>
      </c>
      <c r="B264" s="730"/>
      <c r="C264" s="730"/>
      <c r="D264" s="730"/>
      <c r="E264" s="730"/>
      <c r="F264" s="730"/>
      <c r="G264" s="730"/>
      <c r="H264" s="730"/>
      <c r="I264" s="730"/>
      <c r="J264" s="730"/>
      <c r="K264" s="730"/>
      <c r="L264" s="730"/>
      <c r="M264" s="730"/>
      <c r="N264" s="730"/>
      <c r="O264" s="730"/>
      <c r="P264" s="730"/>
      <c r="Q264" s="730"/>
      <c r="R264" s="730"/>
      <c r="S264" s="730"/>
      <c r="T264" s="730"/>
      <c r="U264" s="730"/>
      <c r="V264" s="730"/>
      <c r="W264" s="730"/>
      <c r="X264" s="730"/>
      <c r="Y264" s="730"/>
      <c r="Z264" s="730"/>
      <c r="AA264" s="65"/>
      <c r="AB264" s="65"/>
      <c r="AC264" s="79"/>
    </row>
    <row r="265" spans="1:68" ht="14.25" hidden="1" customHeight="1" x14ac:dyDescent="0.25">
      <c r="A265" s="731" t="s">
        <v>121</v>
      </c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1"/>
      <c r="P265" s="731"/>
      <c r="Q265" s="731"/>
      <c r="R265" s="731"/>
      <c r="S265" s="731"/>
      <c r="T265" s="731"/>
      <c r="U265" s="731"/>
      <c r="V265" s="731"/>
      <c r="W265" s="731"/>
      <c r="X265" s="731"/>
      <c r="Y265" s="731"/>
      <c r="Z265" s="731"/>
      <c r="AA265" s="66"/>
      <c r="AB265" s="66"/>
      <c r="AC265" s="80"/>
    </row>
    <row r="266" spans="1:68" ht="27" hidden="1" customHeight="1" x14ac:dyDescent="0.25">
      <c r="A266" s="63" t="s">
        <v>459</v>
      </c>
      <c r="B266" s="63" t="s">
        <v>460</v>
      </c>
      <c r="C266" s="36">
        <v>4301011450</v>
      </c>
      <c r="D266" s="732">
        <v>4680115881402</v>
      </c>
      <c r="E266" s="73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55</v>
      </c>
      <c r="P266" s="8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4"/>
      <c r="R266" s="734"/>
      <c r="S266" s="734"/>
      <c r="T266" s="735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461</v>
      </c>
      <c r="AG266" s="78"/>
      <c r="AJ266" s="84" t="s">
        <v>46</v>
      </c>
      <c r="AK266" s="84">
        <v>0</v>
      </c>
      <c r="BB266" s="36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462</v>
      </c>
      <c r="B267" s="63" t="s">
        <v>463</v>
      </c>
      <c r="C267" s="36">
        <v>4301011768</v>
      </c>
      <c r="D267" s="732">
        <v>4680115881396</v>
      </c>
      <c r="E267" s="732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55</v>
      </c>
      <c r="P267" s="87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4"/>
      <c r="R267" s="734"/>
      <c r="S267" s="734"/>
      <c r="T267" s="735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461</v>
      </c>
      <c r="AG267" s="78"/>
      <c r="AJ267" s="84" t="s">
        <v>46</v>
      </c>
      <c r="AK267" s="84">
        <v>0</v>
      </c>
      <c r="BB267" s="36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0"/>
      <c r="B268" s="740"/>
      <c r="C268" s="740"/>
      <c r="D268" s="740"/>
      <c r="E268" s="740"/>
      <c r="F268" s="740"/>
      <c r="G268" s="740"/>
      <c r="H268" s="740"/>
      <c r="I268" s="740"/>
      <c r="J268" s="740"/>
      <c r="K268" s="740"/>
      <c r="L268" s="740"/>
      <c r="M268" s="740"/>
      <c r="N268" s="740"/>
      <c r="O268" s="741"/>
      <c r="P268" s="737" t="s">
        <v>40</v>
      </c>
      <c r="Q268" s="738"/>
      <c r="R268" s="738"/>
      <c r="S268" s="738"/>
      <c r="T268" s="738"/>
      <c r="U268" s="738"/>
      <c r="V268" s="739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0"/>
      <c r="B269" s="740"/>
      <c r="C269" s="740"/>
      <c r="D269" s="740"/>
      <c r="E269" s="740"/>
      <c r="F269" s="740"/>
      <c r="G269" s="740"/>
      <c r="H269" s="740"/>
      <c r="I269" s="740"/>
      <c r="J269" s="740"/>
      <c r="K269" s="740"/>
      <c r="L269" s="740"/>
      <c r="M269" s="740"/>
      <c r="N269" s="740"/>
      <c r="O269" s="741"/>
      <c r="P269" s="737" t="s">
        <v>40</v>
      </c>
      <c r="Q269" s="738"/>
      <c r="R269" s="738"/>
      <c r="S269" s="738"/>
      <c r="T269" s="738"/>
      <c r="U269" s="738"/>
      <c r="V269" s="739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1" t="s">
        <v>154</v>
      </c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1"/>
      <c r="P270" s="731"/>
      <c r="Q270" s="731"/>
      <c r="R270" s="731"/>
      <c r="S270" s="731"/>
      <c r="T270" s="731"/>
      <c r="U270" s="731"/>
      <c r="V270" s="731"/>
      <c r="W270" s="731"/>
      <c r="X270" s="731"/>
      <c r="Y270" s="731"/>
      <c r="Z270" s="731"/>
      <c r="AA270" s="66"/>
      <c r="AB270" s="66"/>
      <c r="AC270" s="80"/>
    </row>
    <row r="271" spans="1:68" ht="16.5" hidden="1" customHeight="1" x14ac:dyDescent="0.25">
      <c r="A271" s="63" t="s">
        <v>464</v>
      </c>
      <c r="B271" s="63" t="s">
        <v>465</v>
      </c>
      <c r="C271" s="36">
        <v>4301020261</v>
      </c>
      <c r="D271" s="732">
        <v>4680115882935</v>
      </c>
      <c r="E271" s="732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126</v>
      </c>
      <c r="L271" s="37" t="s">
        <v>46</v>
      </c>
      <c r="M271" s="38" t="s">
        <v>125</v>
      </c>
      <c r="N271" s="38"/>
      <c r="O271" s="37">
        <v>50</v>
      </c>
      <c r="P271" s="8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4"/>
      <c r="R271" s="734"/>
      <c r="S271" s="734"/>
      <c r="T271" s="735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466</v>
      </c>
      <c r="AG271" s="78"/>
      <c r="AJ271" s="84" t="s">
        <v>46</v>
      </c>
      <c r="AK271" s="84">
        <v>0</v>
      </c>
      <c r="BB271" s="36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467</v>
      </c>
      <c r="B272" s="63" t="s">
        <v>468</v>
      </c>
      <c r="C272" s="36">
        <v>4301020220</v>
      </c>
      <c r="D272" s="732">
        <v>4680115880764</v>
      </c>
      <c r="E272" s="732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90</v>
      </c>
      <c r="L272" s="37" t="s">
        <v>46</v>
      </c>
      <c r="M272" s="38" t="s">
        <v>125</v>
      </c>
      <c r="N272" s="38"/>
      <c r="O272" s="37">
        <v>50</v>
      </c>
      <c r="P272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4"/>
      <c r="R272" s="734"/>
      <c r="S272" s="734"/>
      <c r="T272" s="735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466</v>
      </c>
      <c r="AG272" s="78"/>
      <c r="AJ272" s="84" t="s">
        <v>46</v>
      </c>
      <c r="AK272" s="84">
        <v>0</v>
      </c>
      <c r="BB272" s="36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0"/>
      <c r="B273" s="740"/>
      <c r="C273" s="740"/>
      <c r="D273" s="740"/>
      <c r="E273" s="740"/>
      <c r="F273" s="740"/>
      <c r="G273" s="740"/>
      <c r="H273" s="740"/>
      <c r="I273" s="740"/>
      <c r="J273" s="740"/>
      <c r="K273" s="740"/>
      <c r="L273" s="740"/>
      <c r="M273" s="740"/>
      <c r="N273" s="740"/>
      <c r="O273" s="741"/>
      <c r="P273" s="737" t="s">
        <v>40</v>
      </c>
      <c r="Q273" s="738"/>
      <c r="R273" s="738"/>
      <c r="S273" s="738"/>
      <c r="T273" s="738"/>
      <c r="U273" s="738"/>
      <c r="V273" s="739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0"/>
      <c r="B274" s="740"/>
      <c r="C274" s="740"/>
      <c r="D274" s="740"/>
      <c r="E274" s="740"/>
      <c r="F274" s="740"/>
      <c r="G274" s="740"/>
      <c r="H274" s="740"/>
      <c r="I274" s="740"/>
      <c r="J274" s="740"/>
      <c r="K274" s="740"/>
      <c r="L274" s="740"/>
      <c r="M274" s="740"/>
      <c r="N274" s="740"/>
      <c r="O274" s="741"/>
      <c r="P274" s="737" t="s">
        <v>40</v>
      </c>
      <c r="Q274" s="738"/>
      <c r="R274" s="738"/>
      <c r="S274" s="738"/>
      <c r="T274" s="738"/>
      <c r="U274" s="738"/>
      <c r="V274" s="739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1" t="s">
        <v>76</v>
      </c>
      <c r="B275" s="731"/>
      <c r="C275" s="731"/>
      <c r="D275" s="731"/>
      <c r="E275" s="731"/>
      <c r="F275" s="731"/>
      <c r="G275" s="731"/>
      <c r="H275" s="731"/>
      <c r="I275" s="731"/>
      <c r="J275" s="731"/>
      <c r="K275" s="731"/>
      <c r="L275" s="731"/>
      <c r="M275" s="731"/>
      <c r="N275" s="731"/>
      <c r="O275" s="731"/>
      <c r="P275" s="731"/>
      <c r="Q275" s="731"/>
      <c r="R275" s="731"/>
      <c r="S275" s="731"/>
      <c r="T275" s="731"/>
      <c r="U275" s="731"/>
      <c r="V275" s="731"/>
      <c r="W275" s="731"/>
      <c r="X275" s="731"/>
      <c r="Y275" s="731"/>
      <c r="Z275" s="731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4301031224</v>
      </c>
      <c r="D276" s="732">
        <v>4680115882683</v>
      </c>
      <c r="E276" s="732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4"/>
      <c r="R276" s="734"/>
      <c r="S276" s="734"/>
      <c r="T276" s="735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471</v>
      </c>
      <c r="AG276" s="78"/>
      <c r="AJ276" s="84" t="s">
        <v>46</v>
      </c>
      <c r="AK276" s="84">
        <v>0</v>
      </c>
      <c r="BB276" s="369" t="s">
        <v>66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4301031230</v>
      </c>
      <c r="D277" s="732">
        <v>4680115882690</v>
      </c>
      <c r="E277" s="732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133</v>
      </c>
      <c r="L277" s="37" t="s">
        <v>46</v>
      </c>
      <c r="M277" s="38" t="s">
        <v>80</v>
      </c>
      <c r="N277" s="38"/>
      <c r="O277" s="37">
        <v>40</v>
      </c>
      <c r="P277" s="8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4"/>
      <c r="R277" s="734"/>
      <c r="S277" s="734"/>
      <c r="T277" s="735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474</v>
      </c>
      <c r="AG277" s="78"/>
      <c r="AJ277" s="84" t="s">
        <v>46</v>
      </c>
      <c r="AK277" s="84">
        <v>0</v>
      </c>
      <c r="BB277" s="371" t="s">
        <v>66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4301031220</v>
      </c>
      <c r="D278" s="732">
        <v>4680115882669</v>
      </c>
      <c r="E278" s="732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133</v>
      </c>
      <c r="L278" s="37" t="s">
        <v>46</v>
      </c>
      <c r="M278" s="38" t="s">
        <v>80</v>
      </c>
      <c r="N278" s="38"/>
      <c r="O278" s="37">
        <v>40</v>
      </c>
      <c r="P278" s="8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4"/>
      <c r="R278" s="734"/>
      <c r="S278" s="734"/>
      <c r="T278" s="735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477</v>
      </c>
      <c r="AG278" s="78"/>
      <c r="AJ278" s="84" t="s">
        <v>46</v>
      </c>
      <c r="AK278" s="84">
        <v>0</v>
      </c>
      <c r="BB278" s="373" t="s">
        <v>66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4301031221</v>
      </c>
      <c r="D279" s="732">
        <v>4680115882676</v>
      </c>
      <c r="E279" s="732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133</v>
      </c>
      <c r="L279" s="37" t="s">
        <v>46</v>
      </c>
      <c r="M279" s="38" t="s">
        <v>80</v>
      </c>
      <c r="N279" s="38"/>
      <c r="O279" s="37">
        <v>40</v>
      </c>
      <c r="P279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4"/>
      <c r="R279" s="734"/>
      <c r="S279" s="734"/>
      <c r="T279" s="735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480</v>
      </c>
      <c r="AG279" s="78"/>
      <c r="AJ279" s="84" t="s">
        <v>46</v>
      </c>
      <c r="AK279" s="84">
        <v>0</v>
      </c>
      <c r="BB279" s="375" t="s">
        <v>66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4301031223</v>
      </c>
      <c r="D280" s="732">
        <v>4680115884014</v>
      </c>
      <c r="E280" s="732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4"/>
      <c r="R280" s="734"/>
      <c r="S280" s="734"/>
      <c r="T280" s="735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471</v>
      </c>
      <c r="AG280" s="78"/>
      <c r="AJ280" s="84" t="s">
        <v>46</v>
      </c>
      <c r="AK280" s="84">
        <v>0</v>
      </c>
      <c r="BB280" s="377" t="s">
        <v>66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483</v>
      </c>
      <c r="B281" s="63" t="s">
        <v>484</v>
      </c>
      <c r="C281" s="36">
        <v>4301031222</v>
      </c>
      <c r="D281" s="732">
        <v>4680115884007</v>
      </c>
      <c r="E281" s="732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81</v>
      </c>
      <c r="L281" s="37" t="s">
        <v>46</v>
      </c>
      <c r="M281" s="38" t="s">
        <v>80</v>
      </c>
      <c r="N281" s="38"/>
      <c r="O281" s="37">
        <v>40</v>
      </c>
      <c r="P281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4"/>
      <c r="R281" s="734"/>
      <c r="S281" s="734"/>
      <c r="T281" s="735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474</v>
      </c>
      <c r="AG281" s="78"/>
      <c r="AJ281" s="84" t="s">
        <v>46</v>
      </c>
      <c r="AK281" s="84">
        <v>0</v>
      </c>
      <c r="BB281" s="379" t="s">
        <v>66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4301031229</v>
      </c>
      <c r="D282" s="732">
        <v>4680115884038</v>
      </c>
      <c r="E282" s="732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81</v>
      </c>
      <c r="L282" s="37" t="s">
        <v>46</v>
      </c>
      <c r="M282" s="38" t="s">
        <v>80</v>
      </c>
      <c r="N282" s="38"/>
      <c r="O282" s="37">
        <v>40</v>
      </c>
      <c r="P282" s="8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4"/>
      <c r="R282" s="734"/>
      <c r="S282" s="734"/>
      <c r="T282" s="735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477</v>
      </c>
      <c r="AG282" s="78"/>
      <c r="AJ282" s="84" t="s">
        <v>46</v>
      </c>
      <c r="AK282" s="84">
        <v>0</v>
      </c>
      <c r="BB282" s="381" t="s">
        <v>66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4301031225</v>
      </c>
      <c r="D283" s="732">
        <v>4680115884021</v>
      </c>
      <c r="E283" s="732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81</v>
      </c>
      <c r="L283" s="37" t="s">
        <v>46</v>
      </c>
      <c r="M283" s="38" t="s">
        <v>80</v>
      </c>
      <c r="N283" s="38"/>
      <c r="O283" s="37">
        <v>40</v>
      </c>
      <c r="P283" s="8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4"/>
      <c r="R283" s="734"/>
      <c r="S283" s="734"/>
      <c r="T283" s="735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480</v>
      </c>
      <c r="AG283" s="78"/>
      <c r="AJ283" s="84" t="s">
        <v>46</v>
      </c>
      <c r="AK283" s="84">
        <v>0</v>
      </c>
      <c r="BB283" s="383" t="s">
        <v>66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0"/>
      <c r="B284" s="740"/>
      <c r="C284" s="740"/>
      <c r="D284" s="740"/>
      <c r="E284" s="740"/>
      <c r="F284" s="740"/>
      <c r="G284" s="740"/>
      <c r="H284" s="740"/>
      <c r="I284" s="740"/>
      <c r="J284" s="740"/>
      <c r="K284" s="740"/>
      <c r="L284" s="740"/>
      <c r="M284" s="740"/>
      <c r="N284" s="740"/>
      <c r="O284" s="741"/>
      <c r="P284" s="737" t="s">
        <v>40</v>
      </c>
      <c r="Q284" s="738"/>
      <c r="R284" s="738"/>
      <c r="S284" s="738"/>
      <c r="T284" s="738"/>
      <c r="U284" s="738"/>
      <c r="V284" s="739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0"/>
      <c r="B285" s="740"/>
      <c r="C285" s="740"/>
      <c r="D285" s="740"/>
      <c r="E285" s="740"/>
      <c r="F285" s="740"/>
      <c r="G285" s="740"/>
      <c r="H285" s="740"/>
      <c r="I285" s="740"/>
      <c r="J285" s="740"/>
      <c r="K285" s="740"/>
      <c r="L285" s="740"/>
      <c r="M285" s="740"/>
      <c r="N285" s="740"/>
      <c r="O285" s="741"/>
      <c r="P285" s="737" t="s">
        <v>40</v>
      </c>
      <c r="Q285" s="738"/>
      <c r="R285" s="738"/>
      <c r="S285" s="738"/>
      <c r="T285" s="738"/>
      <c r="U285" s="738"/>
      <c r="V285" s="739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1" t="s">
        <v>85</v>
      </c>
      <c r="B286" s="731"/>
      <c r="C286" s="731"/>
      <c r="D286" s="731"/>
      <c r="E286" s="731"/>
      <c r="F286" s="731"/>
      <c r="G286" s="731"/>
      <c r="H286" s="731"/>
      <c r="I286" s="731"/>
      <c r="J286" s="731"/>
      <c r="K286" s="731"/>
      <c r="L286" s="731"/>
      <c r="M286" s="731"/>
      <c r="N286" s="731"/>
      <c r="O286" s="731"/>
      <c r="P286" s="731"/>
      <c r="Q286" s="731"/>
      <c r="R286" s="731"/>
      <c r="S286" s="731"/>
      <c r="T286" s="731"/>
      <c r="U286" s="731"/>
      <c r="V286" s="731"/>
      <c r="W286" s="731"/>
      <c r="X286" s="731"/>
      <c r="Y286" s="731"/>
      <c r="Z286" s="731"/>
      <c r="AA286" s="66"/>
      <c r="AB286" s="66"/>
      <c r="AC286" s="80"/>
    </row>
    <row r="287" spans="1:68" ht="27" hidden="1" customHeight="1" x14ac:dyDescent="0.25">
      <c r="A287" s="63" t="s">
        <v>489</v>
      </c>
      <c r="B287" s="63" t="s">
        <v>490</v>
      </c>
      <c r="C287" s="36">
        <v>4301051408</v>
      </c>
      <c r="D287" s="732">
        <v>4680115881594</v>
      </c>
      <c r="E287" s="732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126</v>
      </c>
      <c r="L287" s="37" t="s">
        <v>46</v>
      </c>
      <c r="M287" s="38" t="s">
        <v>89</v>
      </c>
      <c r="N287" s="38"/>
      <c r="O287" s="37">
        <v>40</v>
      </c>
      <c r="P287" s="88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4"/>
      <c r="R287" s="734"/>
      <c r="S287" s="734"/>
      <c r="T287" s="735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491</v>
      </c>
      <c r="AG287" s="78"/>
      <c r="AJ287" s="84" t="s">
        <v>46</v>
      </c>
      <c r="AK287" s="84">
        <v>0</v>
      </c>
      <c r="BB287" s="385" t="s">
        <v>66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4301051411</v>
      </c>
      <c r="D288" s="732">
        <v>4680115881617</v>
      </c>
      <c r="E288" s="732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126</v>
      </c>
      <c r="L288" s="37" t="s">
        <v>46</v>
      </c>
      <c r="M288" s="38" t="s">
        <v>89</v>
      </c>
      <c r="N288" s="38"/>
      <c r="O288" s="37">
        <v>40</v>
      </c>
      <c r="P288" s="8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4"/>
      <c r="R288" s="734"/>
      <c r="S288" s="734"/>
      <c r="T288" s="735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4301051656</v>
      </c>
      <c r="D289" s="732">
        <v>4680115880573</v>
      </c>
      <c r="E289" s="732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89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4"/>
      <c r="R289" s="734"/>
      <c r="S289" s="734"/>
      <c r="T289" s="735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497</v>
      </c>
      <c r="AG289" s="78"/>
      <c r="AJ289" s="84" t="s">
        <v>46</v>
      </c>
      <c r="AK289" s="84">
        <v>0</v>
      </c>
      <c r="BB289" s="389" t="s">
        <v>66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4301051407</v>
      </c>
      <c r="D290" s="732">
        <v>4680115882195</v>
      </c>
      <c r="E290" s="732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4"/>
      <c r="R290" s="734"/>
      <c r="S290" s="734"/>
      <c r="T290" s="735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491</v>
      </c>
      <c r="AG290" s="78"/>
      <c r="AJ290" s="84" t="s">
        <v>46</v>
      </c>
      <c r="AK290" s="84">
        <v>0</v>
      </c>
      <c r="BB290" s="391" t="s">
        <v>66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4301051752</v>
      </c>
      <c r="D291" s="732">
        <v>4680115882607</v>
      </c>
      <c r="E291" s="732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45</v>
      </c>
      <c r="P291" s="8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4"/>
      <c r="R291" s="734"/>
      <c r="S291" s="734"/>
      <c r="T291" s="735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497</v>
      </c>
      <c r="AG291" s="78"/>
      <c r="AJ291" s="84" t="s">
        <v>46</v>
      </c>
      <c r="AK291" s="84">
        <v>0</v>
      </c>
      <c r="BB291" s="393" t="s">
        <v>66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4301052143</v>
      </c>
      <c r="D292" s="732">
        <v>4680115882607</v>
      </c>
      <c r="E292" s="732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133</v>
      </c>
      <c r="L292" s="37" t="s">
        <v>46</v>
      </c>
      <c r="M292" s="38" t="s">
        <v>89</v>
      </c>
      <c r="N292" s="38"/>
      <c r="O292" s="37">
        <v>45</v>
      </c>
      <c r="P292" s="89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4"/>
      <c r="R292" s="734"/>
      <c r="S292" s="734"/>
      <c r="T292" s="735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66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4301051666</v>
      </c>
      <c r="D293" s="732">
        <v>4680115880092</v>
      </c>
      <c r="E293" s="732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8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4"/>
      <c r="R293" s="734"/>
      <c r="S293" s="734"/>
      <c r="T293" s="735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497</v>
      </c>
      <c r="AG293" s="78"/>
      <c r="AJ293" s="84" t="s">
        <v>46</v>
      </c>
      <c r="AK293" s="84">
        <v>0</v>
      </c>
      <c r="BB293" s="397" t="s">
        <v>66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4301052214</v>
      </c>
      <c r="D294" s="732">
        <v>4680115889064</v>
      </c>
      <c r="E294" s="732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126</v>
      </c>
      <c r="L294" s="37" t="s">
        <v>46</v>
      </c>
      <c r="M294" s="38" t="s">
        <v>89</v>
      </c>
      <c r="N294" s="38"/>
      <c r="O294" s="37">
        <v>45</v>
      </c>
      <c r="P294" s="8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4"/>
      <c r="R294" s="734"/>
      <c r="S294" s="734"/>
      <c r="T294" s="735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509</v>
      </c>
      <c r="B295" s="63" t="s">
        <v>510</v>
      </c>
      <c r="C295" s="36">
        <v>4301051668</v>
      </c>
      <c r="D295" s="732">
        <v>4680115880221</v>
      </c>
      <c r="E295" s="732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4"/>
      <c r="R295" s="734"/>
      <c r="S295" s="734"/>
      <c r="T295" s="735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497</v>
      </c>
      <c r="AG295" s="78"/>
      <c r="AJ295" s="84" t="s">
        <v>46</v>
      </c>
      <c r="AK295" s="84">
        <v>0</v>
      </c>
      <c r="BB295" s="401" t="s">
        <v>66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4301051945</v>
      </c>
      <c r="D296" s="732">
        <v>4680115880504</v>
      </c>
      <c r="E296" s="732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96</v>
      </c>
      <c r="N296" s="38"/>
      <c r="O296" s="37">
        <v>40</v>
      </c>
      <c r="P296" s="89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4"/>
      <c r="R296" s="734"/>
      <c r="S296" s="734"/>
      <c r="T296" s="735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513</v>
      </c>
      <c r="AG296" s="78"/>
      <c r="AJ296" s="84" t="s">
        <v>46</v>
      </c>
      <c r="AK296" s="84">
        <v>0</v>
      </c>
      <c r="BB296" s="403" t="s">
        <v>66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514</v>
      </c>
      <c r="B297" s="63" t="s">
        <v>515</v>
      </c>
      <c r="C297" s="36">
        <v>4301051410</v>
      </c>
      <c r="D297" s="732">
        <v>4680115882164</v>
      </c>
      <c r="E297" s="732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90</v>
      </c>
      <c r="L297" s="37" t="s">
        <v>46</v>
      </c>
      <c r="M297" s="38" t="s">
        <v>89</v>
      </c>
      <c r="N297" s="38"/>
      <c r="O297" s="37">
        <v>40</v>
      </c>
      <c r="P297" s="8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4"/>
      <c r="R297" s="734"/>
      <c r="S297" s="734"/>
      <c r="T297" s="735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516</v>
      </c>
      <c r="AG297" s="78"/>
      <c r="AJ297" s="84" t="s">
        <v>46</v>
      </c>
      <c r="AK297" s="84">
        <v>0</v>
      </c>
      <c r="BB297" s="405" t="s">
        <v>66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517</v>
      </c>
      <c r="B298" s="63" t="s">
        <v>518</v>
      </c>
      <c r="C298" s="36">
        <v>4301052180</v>
      </c>
      <c r="D298" s="732">
        <v>4680115888340</v>
      </c>
      <c r="E298" s="732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45</v>
      </c>
      <c r="P298" s="90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4"/>
      <c r="R298" s="734"/>
      <c r="S298" s="734"/>
      <c r="T298" s="735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519</v>
      </c>
      <c r="AG298" s="78"/>
      <c r="AJ298" s="84" t="s">
        <v>46</v>
      </c>
      <c r="AK298" s="84">
        <v>0</v>
      </c>
      <c r="BB298" s="407" t="s">
        <v>66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0"/>
      <c r="B299" s="740"/>
      <c r="C299" s="740"/>
      <c r="D299" s="740"/>
      <c r="E299" s="740"/>
      <c r="F299" s="740"/>
      <c r="G299" s="740"/>
      <c r="H299" s="740"/>
      <c r="I299" s="740"/>
      <c r="J299" s="740"/>
      <c r="K299" s="740"/>
      <c r="L299" s="740"/>
      <c r="M299" s="740"/>
      <c r="N299" s="740"/>
      <c r="O299" s="741"/>
      <c r="P299" s="737" t="s">
        <v>40</v>
      </c>
      <c r="Q299" s="738"/>
      <c r="R299" s="738"/>
      <c r="S299" s="738"/>
      <c r="T299" s="738"/>
      <c r="U299" s="738"/>
      <c r="V299" s="739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0"/>
      <c r="B300" s="740"/>
      <c r="C300" s="740"/>
      <c r="D300" s="740"/>
      <c r="E300" s="740"/>
      <c r="F300" s="740"/>
      <c r="G300" s="740"/>
      <c r="H300" s="740"/>
      <c r="I300" s="740"/>
      <c r="J300" s="740"/>
      <c r="K300" s="740"/>
      <c r="L300" s="740"/>
      <c r="M300" s="740"/>
      <c r="N300" s="740"/>
      <c r="O300" s="741"/>
      <c r="P300" s="737" t="s">
        <v>40</v>
      </c>
      <c r="Q300" s="738"/>
      <c r="R300" s="738"/>
      <c r="S300" s="738"/>
      <c r="T300" s="738"/>
      <c r="U300" s="738"/>
      <c r="V300" s="739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1" t="s">
        <v>172</v>
      </c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1"/>
      <c r="P301" s="731"/>
      <c r="Q301" s="731"/>
      <c r="R301" s="731"/>
      <c r="S301" s="731"/>
      <c r="T301" s="731"/>
      <c r="U301" s="731"/>
      <c r="V301" s="731"/>
      <c r="W301" s="731"/>
      <c r="X301" s="731"/>
      <c r="Y301" s="731"/>
      <c r="Z301" s="731"/>
      <c r="AA301" s="66"/>
      <c r="AB301" s="66"/>
      <c r="AC301" s="80"/>
    </row>
    <row r="302" spans="1:68" ht="27" hidden="1" customHeight="1" x14ac:dyDescent="0.25">
      <c r="A302" s="63" t="s">
        <v>520</v>
      </c>
      <c r="B302" s="63" t="s">
        <v>521</v>
      </c>
      <c r="C302" s="36">
        <v>4301060463</v>
      </c>
      <c r="D302" s="732">
        <v>4680115880818</v>
      </c>
      <c r="E302" s="732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90</v>
      </c>
      <c r="L302" s="37" t="s">
        <v>46</v>
      </c>
      <c r="M302" s="38" t="s">
        <v>96</v>
      </c>
      <c r="N302" s="38"/>
      <c r="O302" s="37">
        <v>40</v>
      </c>
      <c r="P302" s="9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4"/>
      <c r="R302" s="734"/>
      <c r="S302" s="734"/>
      <c r="T302" s="735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522</v>
      </c>
      <c r="AG302" s="78"/>
      <c r="AJ302" s="84" t="s">
        <v>46</v>
      </c>
      <c r="AK302" s="84">
        <v>0</v>
      </c>
      <c r="BB302" s="409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4301060389</v>
      </c>
      <c r="D303" s="732">
        <v>4680115880801</v>
      </c>
      <c r="E303" s="732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90</v>
      </c>
      <c r="L303" s="37" t="s">
        <v>46</v>
      </c>
      <c r="M303" s="38" t="s">
        <v>89</v>
      </c>
      <c r="N303" s="38"/>
      <c r="O303" s="37">
        <v>40</v>
      </c>
      <c r="P303" s="9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4"/>
      <c r="R303" s="734"/>
      <c r="S303" s="734"/>
      <c r="T303" s="735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525</v>
      </c>
      <c r="AG303" s="78"/>
      <c r="AJ303" s="84" t="s">
        <v>46</v>
      </c>
      <c r="AK303" s="84">
        <v>0</v>
      </c>
      <c r="BB303" s="411" t="s">
        <v>66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0"/>
      <c r="B304" s="740"/>
      <c r="C304" s="740"/>
      <c r="D304" s="740"/>
      <c r="E304" s="740"/>
      <c r="F304" s="740"/>
      <c r="G304" s="740"/>
      <c r="H304" s="740"/>
      <c r="I304" s="740"/>
      <c r="J304" s="740"/>
      <c r="K304" s="740"/>
      <c r="L304" s="740"/>
      <c r="M304" s="740"/>
      <c r="N304" s="740"/>
      <c r="O304" s="741"/>
      <c r="P304" s="737" t="s">
        <v>40</v>
      </c>
      <c r="Q304" s="738"/>
      <c r="R304" s="738"/>
      <c r="S304" s="738"/>
      <c r="T304" s="738"/>
      <c r="U304" s="738"/>
      <c r="V304" s="739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0"/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1"/>
      <c r="P305" s="737" t="s">
        <v>40</v>
      </c>
      <c r="Q305" s="738"/>
      <c r="R305" s="738"/>
      <c r="S305" s="738"/>
      <c r="T305" s="738"/>
      <c r="U305" s="738"/>
      <c r="V305" s="739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0" t="s">
        <v>526</v>
      </c>
      <c r="B306" s="730"/>
      <c r="C306" s="730"/>
      <c r="D306" s="730"/>
      <c r="E306" s="730"/>
      <c r="F306" s="730"/>
      <c r="G306" s="730"/>
      <c r="H306" s="730"/>
      <c r="I306" s="730"/>
      <c r="J306" s="730"/>
      <c r="K306" s="730"/>
      <c r="L306" s="730"/>
      <c r="M306" s="730"/>
      <c r="N306" s="730"/>
      <c r="O306" s="730"/>
      <c r="P306" s="730"/>
      <c r="Q306" s="730"/>
      <c r="R306" s="730"/>
      <c r="S306" s="730"/>
      <c r="T306" s="730"/>
      <c r="U306" s="730"/>
      <c r="V306" s="730"/>
      <c r="W306" s="730"/>
      <c r="X306" s="730"/>
      <c r="Y306" s="730"/>
      <c r="Z306" s="730"/>
      <c r="AA306" s="65"/>
      <c r="AB306" s="65"/>
      <c r="AC306" s="79"/>
    </row>
    <row r="307" spans="1:68" ht="14.25" hidden="1" customHeight="1" x14ac:dyDescent="0.25">
      <c r="A307" s="731" t="s">
        <v>121</v>
      </c>
      <c r="B307" s="731"/>
      <c r="C307" s="731"/>
      <c r="D307" s="731"/>
      <c r="E307" s="731"/>
      <c r="F307" s="731"/>
      <c r="G307" s="731"/>
      <c r="H307" s="731"/>
      <c r="I307" s="731"/>
      <c r="J307" s="731"/>
      <c r="K307" s="731"/>
      <c r="L307" s="731"/>
      <c r="M307" s="731"/>
      <c r="N307" s="731"/>
      <c r="O307" s="731"/>
      <c r="P307" s="731"/>
      <c r="Q307" s="731"/>
      <c r="R307" s="731"/>
      <c r="S307" s="731"/>
      <c r="T307" s="731"/>
      <c r="U307" s="731"/>
      <c r="V307" s="731"/>
      <c r="W307" s="731"/>
      <c r="X307" s="731"/>
      <c r="Y307" s="731"/>
      <c r="Z307" s="731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4301011826</v>
      </c>
      <c r="D308" s="732">
        <v>4680115884137</v>
      </c>
      <c r="E308" s="732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126</v>
      </c>
      <c r="L308" s="37" t="s">
        <v>46</v>
      </c>
      <c r="M308" s="38" t="s">
        <v>125</v>
      </c>
      <c r="N308" s="38"/>
      <c r="O308" s="37">
        <v>55</v>
      </c>
      <c r="P308" s="90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4"/>
      <c r="R308" s="734"/>
      <c r="S308" s="734"/>
      <c r="T308" s="735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4301011724</v>
      </c>
      <c r="D309" s="732">
        <v>4680115884236</v>
      </c>
      <c r="E309" s="732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126</v>
      </c>
      <c r="L309" s="37" t="s">
        <v>46</v>
      </c>
      <c r="M309" s="38" t="s">
        <v>125</v>
      </c>
      <c r="N309" s="38"/>
      <c r="O309" s="37">
        <v>55</v>
      </c>
      <c r="P309" s="9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4"/>
      <c r="R309" s="734"/>
      <c r="S309" s="734"/>
      <c r="T309" s="735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4301011721</v>
      </c>
      <c r="D310" s="732">
        <v>4680115884175</v>
      </c>
      <c r="E310" s="732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126</v>
      </c>
      <c r="L310" s="37" t="s">
        <v>46</v>
      </c>
      <c r="M310" s="38" t="s">
        <v>125</v>
      </c>
      <c r="N310" s="38"/>
      <c r="O310" s="37">
        <v>55</v>
      </c>
      <c r="P310" s="90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4"/>
      <c r="R310" s="734"/>
      <c r="S310" s="734"/>
      <c r="T310" s="735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387</v>
      </c>
      <c r="AG310" s="78"/>
      <c r="AJ310" s="84" t="s">
        <v>46</v>
      </c>
      <c r="AK310" s="84">
        <v>0</v>
      </c>
      <c r="BB310" s="417" t="s">
        <v>66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535</v>
      </c>
      <c r="B311" s="63" t="s">
        <v>536</v>
      </c>
      <c r="C311" s="36">
        <v>4301011824</v>
      </c>
      <c r="D311" s="732">
        <v>4680115884144</v>
      </c>
      <c r="E311" s="732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9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4"/>
      <c r="R311" s="734"/>
      <c r="S311" s="734"/>
      <c r="T311" s="735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529</v>
      </c>
      <c r="AG311" s="78"/>
      <c r="AJ311" s="84" t="s">
        <v>46</v>
      </c>
      <c r="AK311" s="84">
        <v>0</v>
      </c>
      <c r="BB311" s="419" t="s">
        <v>66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537</v>
      </c>
      <c r="B312" s="63" t="s">
        <v>538</v>
      </c>
      <c r="C312" s="36">
        <v>4301012149</v>
      </c>
      <c r="D312" s="732">
        <v>4680115886551</v>
      </c>
      <c r="E312" s="732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133</v>
      </c>
      <c r="L312" s="37" t="s">
        <v>46</v>
      </c>
      <c r="M312" s="38" t="s">
        <v>125</v>
      </c>
      <c r="N312" s="38"/>
      <c r="O312" s="37">
        <v>55</v>
      </c>
      <c r="P312" s="9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4"/>
      <c r="R312" s="734"/>
      <c r="S312" s="734"/>
      <c r="T312" s="735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539</v>
      </c>
      <c r="AG312" s="78"/>
      <c r="AJ312" s="84" t="s">
        <v>46</v>
      </c>
      <c r="AK312" s="84">
        <v>0</v>
      </c>
      <c r="BB312" s="421" t="s">
        <v>66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540</v>
      </c>
      <c r="B313" s="63" t="s">
        <v>541</v>
      </c>
      <c r="C313" s="36">
        <v>4301012228</v>
      </c>
      <c r="D313" s="732">
        <v>4680115887282</v>
      </c>
      <c r="E313" s="732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90</v>
      </c>
      <c r="L313" s="37" t="s">
        <v>46</v>
      </c>
      <c r="M313" s="38" t="s">
        <v>125</v>
      </c>
      <c r="N313" s="38"/>
      <c r="O313" s="37">
        <v>55</v>
      </c>
      <c r="P313" s="9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4"/>
      <c r="R313" s="734"/>
      <c r="S313" s="734"/>
      <c r="T313" s="735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542</v>
      </c>
      <c r="AG313" s="78"/>
      <c r="AJ313" s="84" t="s">
        <v>46</v>
      </c>
      <c r="AK313" s="84">
        <v>0</v>
      </c>
      <c r="BB313" s="423" t="s">
        <v>66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543</v>
      </c>
      <c r="B314" s="63" t="s">
        <v>544</v>
      </c>
      <c r="C314" s="36">
        <v>4301011722</v>
      </c>
      <c r="D314" s="732">
        <v>4680115884205</v>
      </c>
      <c r="E314" s="732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133</v>
      </c>
      <c r="L314" s="37" t="s">
        <v>46</v>
      </c>
      <c r="M314" s="38" t="s">
        <v>125</v>
      </c>
      <c r="N314" s="38"/>
      <c r="O314" s="37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4"/>
      <c r="R314" s="734"/>
      <c r="S314" s="734"/>
      <c r="T314" s="735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387</v>
      </c>
      <c r="AG314" s="78"/>
      <c r="AJ314" s="84" t="s">
        <v>46</v>
      </c>
      <c r="AK314" s="84">
        <v>0</v>
      </c>
      <c r="BB314" s="425" t="s">
        <v>66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0"/>
      <c r="B315" s="740"/>
      <c r="C315" s="740"/>
      <c r="D315" s="740"/>
      <c r="E315" s="740"/>
      <c r="F315" s="740"/>
      <c r="G315" s="740"/>
      <c r="H315" s="740"/>
      <c r="I315" s="740"/>
      <c r="J315" s="740"/>
      <c r="K315" s="740"/>
      <c r="L315" s="740"/>
      <c r="M315" s="740"/>
      <c r="N315" s="740"/>
      <c r="O315" s="741"/>
      <c r="P315" s="737" t="s">
        <v>40</v>
      </c>
      <c r="Q315" s="738"/>
      <c r="R315" s="738"/>
      <c r="S315" s="738"/>
      <c r="T315" s="738"/>
      <c r="U315" s="738"/>
      <c r="V315" s="739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0"/>
      <c r="B316" s="740"/>
      <c r="C316" s="740"/>
      <c r="D316" s="740"/>
      <c r="E316" s="740"/>
      <c r="F316" s="740"/>
      <c r="G316" s="740"/>
      <c r="H316" s="740"/>
      <c r="I316" s="740"/>
      <c r="J316" s="740"/>
      <c r="K316" s="740"/>
      <c r="L316" s="740"/>
      <c r="M316" s="740"/>
      <c r="N316" s="740"/>
      <c r="O316" s="741"/>
      <c r="P316" s="737" t="s">
        <v>40</v>
      </c>
      <c r="Q316" s="738"/>
      <c r="R316" s="738"/>
      <c r="S316" s="738"/>
      <c r="T316" s="738"/>
      <c r="U316" s="738"/>
      <c r="V316" s="739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1" t="s">
        <v>154</v>
      </c>
      <c r="B317" s="731"/>
      <c r="C317" s="731"/>
      <c r="D317" s="731"/>
      <c r="E317" s="731"/>
      <c r="F317" s="731"/>
      <c r="G317" s="731"/>
      <c r="H317" s="731"/>
      <c r="I317" s="731"/>
      <c r="J317" s="731"/>
      <c r="K317" s="731"/>
      <c r="L317" s="731"/>
      <c r="M317" s="731"/>
      <c r="N317" s="731"/>
      <c r="O317" s="731"/>
      <c r="P317" s="731"/>
      <c r="Q317" s="731"/>
      <c r="R317" s="731"/>
      <c r="S317" s="731"/>
      <c r="T317" s="731"/>
      <c r="U317" s="731"/>
      <c r="V317" s="731"/>
      <c r="W317" s="731"/>
      <c r="X317" s="731"/>
      <c r="Y317" s="731"/>
      <c r="Z317" s="731"/>
      <c r="AA317" s="66"/>
      <c r="AB317" s="66"/>
      <c r="AC317" s="80"/>
    </row>
    <row r="318" spans="1:68" ht="27" hidden="1" customHeight="1" x14ac:dyDescent="0.25">
      <c r="A318" s="63" t="s">
        <v>545</v>
      </c>
      <c r="B318" s="63" t="s">
        <v>546</v>
      </c>
      <c r="C318" s="36">
        <v>4301020377</v>
      </c>
      <c r="D318" s="732">
        <v>4680115885981</v>
      </c>
      <c r="E318" s="732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81</v>
      </c>
      <c r="L318" s="37" t="s">
        <v>46</v>
      </c>
      <c r="M318" s="38" t="s">
        <v>89</v>
      </c>
      <c r="N318" s="38"/>
      <c r="O318" s="37">
        <v>50</v>
      </c>
      <c r="P318" s="9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4"/>
      <c r="R318" s="734"/>
      <c r="S318" s="734"/>
      <c r="T318" s="735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547</v>
      </c>
      <c r="AG318" s="78"/>
      <c r="AJ318" s="84" t="s">
        <v>46</v>
      </c>
      <c r="AK318" s="84">
        <v>0</v>
      </c>
      <c r="BB318" s="42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0"/>
      <c r="B319" s="740"/>
      <c r="C319" s="740"/>
      <c r="D319" s="740"/>
      <c r="E319" s="740"/>
      <c r="F319" s="740"/>
      <c r="G319" s="740"/>
      <c r="H319" s="740"/>
      <c r="I319" s="740"/>
      <c r="J319" s="740"/>
      <c r="K319" s="740"/>
      <c r="L319" s="740"/>
      <c r="M319" s="740"/>
      <c r="N319" s="740"/>
      <c r="O319" s="741"/>
      <c r="P319" s="737" t="s">
        <v>40</v>
      </c>
      <c r="Q319" s="738"/>
      <c r="R319" s="738"/>
      <c r="S319" s="738"/>
      <c r="T319" s="738"/>
      <c r="U319" s="738"/>
      <c r="V319" s="739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0"/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1"/>
      <c r="P320" s="737" t="s">
        <v>40</v>
      </c>
      <c r="Q320" s="738"/>
      <c r="R320" s="738"/>
      <c r="S320" s="738"/>
      <c r="T320" s="738"/>
      <c r="U320" s="738"/>
      <c r="V320" s="739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1" t="s">
        <v>548</v>
      </c>
      <c r="B321" s="731"/>
      <c r="C321" s="731"/>
      <c r="D321" s="731"/>
      <c r="E321" s="731"/>
      <c r="F321" s="731"/>
      <c r="G321" s="731"/>
      <c r="H321" s="731"/>
      <c r="I321" s="731"/>
      <c r="J321" s="731"/>
      <c r="K321" s="731"/>
      <c r="L321" s="731"/>
      <c r="M321" s="731"/>
      <c r="N321" s="731"/>
      <c r="O321" s="731"/>
      <c r="P321" s="731"/>
      <c r="Q321" s="731"/>
      <c r="R321" s="731"/>
      <c r="S321" s="731"/>
      <c r="T321" s="731"/>
      <c r="U321" s="731"/>
      <c r="V321" s="731"/>
      <c r="W321" s="731"/>
      <c r="X321" s="731"/>
      <c r="Y321" s="731"/>
      <c r="Z321" s="731"/>
      <c r="AA321" s="66"/>
      <c r="AB321" s="66"/>
      <c r="AC321" s="80"/>
    </row>
    <row r="322" spans="1:68" ht="27" hidden="1" customHeight="1" x14ac:dyDescent="0.25">
      <c r="A322" s="63" t="s">
        <v>549</v>
      </c>
      <c r="B322" s="63" t="s">
        <v>550</v>
      </c>
      <c r="C322" s="36">
        <v>4301040362</v>
      </c>
      <c r="D322" s="732">
        <v>4680115886803</v>
      </c>
      <c r="E322" s="732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364</v>
      </c>
      <c r="L322" s="37" t="s">
        <v>46</v>
      </c>
      <c r="M322" s="38" t="s">
        <v>298</v>
      </c>
      <c r="N322" s="38"/>
      <c r="O322" s="37">
        <v>45</v>
      </c>
      <c r="P322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4"/>
      <c r="R322" s="734"/>
      <c r="S322" s="734"/>
      <c r="T322" s="735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551</v>
      </c>
      <c r="AG322" s="78"/>
      <c r="AJ322" s="84" t="s">
        <v>46</v>
      </c>
      <c r="AK322" s="84">
        <v>0</v>
      </c>
      <c r="BB322" s="429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0"/>
      <c r="B323" s="740"/>
      <c r="C323" s="740"/>
      <c r="D323" s="740"/>
      <c r="E323" s="740"/>
      <c r="F323" s="740"/>
      <c r="G323" s="740"/>
      <c r="H323" s="740"/>
      <c r="I323" s="740"/>
      <c r="J323" s="740"/>
      <c r="K323" s="740"/>
      <c r="L323" s="740"/>
      <c r="M323" s="740"/>
      <c r="N323" s="740"/>
      <c r="O323" s="741"/>
      <c r="P323" s="737" t="s">
        <v>40</v>
      </c>
      <c r="Q323" s="738"/>
      <c r="R323" s="738"/>
      <c r="S323" s="738"/>
      <c r="T323" s="738"/>
      <c r="U323" s="738"/>
      <c r="V323" s="739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0"/>
      <c r="B324" s="740"/>
      <c r="C324" s="740"/>
      <c r="D324" s="740"/>
      <c r="E324" s="740"/>
      <c r="F324" s="740"/>
      <c r="G324" s="740"/>
      <c r="H324" s="740"/>
      <c r="I324" s="740"/>
      <c r="J324" s="740"/>
      <c r="K324" s="740"/>
      <c r="L324" s="740"/>
      <c r="M324" s="740"/>
      <c r="N324" s="740"/>
      <c r="O324" s="741"/>
      <c r="P324" s="737" t="s">
        <v>40</v>
      </c>
      <c r="Q324" s="738"/>
      <c r="R324" s="738"/>
      <c r="S324" s="738"/>
      <c r="T324" s="738"/>
      <c r="U324" s="738"/>
      <c r="V324" s="739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1" t="s">
        <v>365</v>
      </c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1"/>
      <c r="P325" s="731"/>
      <c r="Q325" s="731"/>
      <c r="R325" s="731"/>
      <c r="S325" s="731"/>
      <c r="T325" s="731"/>
      <c r="U325" s="731"/>
      <c r="V325" s="731"/>
      <c r="W325" s="731"/>
      <c r="X325" s="731"/>
      <c r="Y325" s="731"/>
      <c r="Z325" s="731"/>
      <c r="AA325" s="66"/>
      <c r="AB325" s="66"/>
      <c r="AC325" s="80"/>
    </row>
    <row r="326" spans="1:68" ht="27" hidden="1" customHeight="1" x14ac:dyDescent="0.25">
      <c r="A326" s="63" t="s">
        <v>552</v>
      </c>
      <c r="B326" s="63" t="s">
        <v>553</v>
      </c>
      <c r="C326" s="36">
        <v>4301041004</v>
      </c>
      <c r="D326" s="732">
        <v>4680115886704</v>
      </c>
      <c r="E326" s="732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364</v>
      </c>
      <c r="L326" s="37" t="s">
        <v>46</v>
      </c>
      <c r="M326" s="38" t="s">
        <v>298</v>
      </c>
      <c r="N326" s="38"/>
      <c r="O326" s="37">
        <v>90</v>
      </c>
      <c r="P326" s="9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4"/>
      <c r="R326" s="734"/>
      <c r="S326" s="734"/>
      <c r="T326" s="735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554</v>
      </c>
      <c r="AG326" s="78"/>
      <c r="AJ326" s="84" t="s">
        <v>46</v>
      </c>
      <c r="AK326" s="84">
        <v>0</v>
      </c>
      <c r="BB326" s="431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555</v>
      </c>
      <c r="B327" s="63" t="s">
        <v>556</v>
      </c>
      <c r="C327" s="36">
        <v>4301041008</v>
      </c>
      <c r="D327" s="732">
        <v>4680115886681</v>
      </c>
      <c r="E327" s="732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364</v>
      </c>
      <c r="L327" s="37" t="s">
        <v>46</v>
      </c>
      <c r="M327" s="38" t="s">
        <v>298</v>
      </c>
      <c r="N327" s="38"/>
      <c r="O327" s="37">
        <v>90</v>
      </c>
      <c r="P327" s="9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4"/>
      <c r="R327" s="734"/>
      <c r="S327" s="734"/>
      <c r="T327" s="735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554</v>
      </c>
      <c r="AG327" s="78"/>
      <c r="AJ327" s="84" t="s">
        <v>46</v>
      </c>
      <c r="AK327" s="84">
        <v>0</v>
      </c>
      <c r="BB327" s="433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557</v>
      </c>
      <c r="B328" s="63" t="s">
        <v>558</v>
      </c>
      <c r="C328" s="36">
        <v>4301041007</v>
      </c>
      <c r="D328" s="732">
        <v>4680115886735</v>
      </c>
      <c r="E328" s="732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364</v>
      </c>
      <c r="L328" s="37" t="s">
        <v>46</v>
      </c>
      <c r="M328" s="38" t="s">
        <v>298</v>
      </c>
      <c r="N328" s="38"/>
      <c r="O328" s="37">
        <v>90</v>
      </c>
      <c r="P328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4"/>
      <c r="R328" s="734"/>
      <c r="S328" s="734"/>
      <c r="T328" s="735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554</v>
      </c>
      <c r="AG328" s="78"/>
      <c r="AJ328" s="84" t="s">
        <v>46</v>
      </c>
      <c r="AK328" s="84">
        <v>0</v>
      </c>
      <c r="BB328" s="435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0"/>
      <c r="B329" s="740"/>
      <c r="C329" s="740"/>
      <c r="D329" s="740"/>
      <c r="E329" s="740"/>
      <c r="F329" s="740"/>
      <c r="G329" s="740"/>
      <c r="H329" s="740"/>
      <c r="I329" s="740"/>
      <c r="J329" s="740"/>
      <c r="K329" s="740"/>
      <c r="L329" s="740"/>
      <c r="M329" s="740"/>
      <c r="N329" s="740"/>
      <c r="O329" s="741"/>
      <c r="P329" s="737" t="s">
        <v>40</v>
      </c>
      <c r="Q329" s="738"/>
      <c r="R329" s="738"/>
      <c r="S329" s="738"/>
      <c r="T329" s="738"/>
      <c r="U329" s="738"/>
      <c r="V329" s="739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0"/>
      <c r="B330" s="740"/>
      <c r="C330" s="740"/>
      <c r="D330" s="740"/>
      <c r="E330" s="740"/>
      <c r="F330" s="740"/>
      <c r="G330" s="740"/>
      <c r="H330" s="740"/>
      <c r="I330" s="740"/>
      <c r="J330" s="740"/>
      <c r="K330" s="740"/>
      <c r="L330" s="740"/>
      <c r="M330" s="740"/>
      <c r="N330" s="740"/>
      <c r="O330" s="741"/>
      <c r="P330" s="737" t="s">
        <v>40</v>
      </c>
      <c r="Q330" s="738"/>
      <c r="R330" s="738"/>
      <c r="S330" s="738"/>
      <c r="T330" s="738"/>
      <c r="U330" s="738"/>
      <c r="V330" s="739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0" t="s">
        <v>559</v>
      </c>
      <c r="B331" s="730"/>
      <c r="C331" s="730"/>
      <c r="D331" s="730"/>
      <c r="E331" s="730"/>
      <c r="F331" s="730"/>
      <c r="G331" s="730"/>
      <c r="H331" s="730"/>
      <c r="I331" s="730"/>
      <c r="J331" s="730"/>
      <c r="K331" s="730"/>
      <c r="L331" s="730"/>
      <c r="M331" s="730"/>
      <c r="N331" s="730"/>
      <c r="O331" s="730"/>
      <c r="P331" s="730"/>
      <c r="Q331" s="730"/>
      <c r="R331" s="730"/>
      <c r="S331" s="730"/>
      <c r="T331" s="730"/>
      <c r="U331" s="730"/>
      <c r="V331" s="730"/>
      <c r="W331" s="730"/>
      <c r="X331" s="730"/>
      <c r="Y331" s="730"/>
      <c r="Z331" s="730"/>
      <c r="AA331" s="65"/>
      <c r="AB331" s="65"/>
      <c r="AC331" s="79"/>
    </row>
    <row r="332" spans="1:68" ht="14.25" hidden="1" customHeight="1" x14ac:dyDescent="0.25">
      <c r="A332" s="731" t="s">
        <v>121</v>
      </c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1"/>
      <c r="P332" s="731"/>
      <c r="Q332" s="731"/>
      <c r="R332" s="731"/>
      <c r="S332" s="731"/>
      <c r="T332" s="731"/>
      <c r="U332" s="731"/>
      <c r="V332" s="731"/>
      <c r="W332" s="731"/>
      <c r="X332" s="731"/>
      <c r="Y332" s="731"/>
      <c r="Z332" s="731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4301011855</v>
      </c>
      <c r="D333" s="732">
        <v>4680115885837</v>
      </c>
      <c r="E333" s="732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126</v>
      </c>
      <c r="L333" s="37" t="s">
        <v>46</v>
      </c>
      <c r="M333" s="38" t="s">
        <v>125</v>
      </c>
      <c r="N333" s="38"/>
      <c r="O333" s="37">
        <v>55</v>
      </c>
      <c r="P333" s="9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4"/>
      <c r="R333" s="734"/>
      <c r="S333" s="734"/>
      <c r="T333" s="735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563</v>
      </c>
      <c r="B334" s="63" t="s">
        <v>564</v>
      </c>
      <c r="C334" s="36">
        <v>4301012234</v>
      </c>
      <c r="D334" s="732">
        <v>4680115887237</v>
      </c>
      <c r="E334" s="732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126</v>
      </c>
      <c r="L334" s="37" t="s">
        <v>46</v>
      </c>
      <c r="M334" s="38" t="s">
        <v>125</v>
      </c>
      <c r="N334" s="38"/>
      <c r="O334" s="37">
        <v>55</v>
      </c>
      <c r="P334" s="91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4"/>
      <c r="R334" s="734"/>
      <c r="S334" s="734"/>
      <c r="T334" s="735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565</v>
      </c>
      <c r="AG334" s="78"/>
      <c r="AJ334" s="84" t="s">
        <v>46</v>
      </c>
      <c r="AK334" s="84">
        <v>0</v>
      </c>
      <c r="BB334" s="43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4301011850</v>
      </c>
      <c r="D335" s="732">
        <v>4680115885806</v>
      </c>
      <c r="E335" s="732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126</v>
      </c>
      <c r="L335" s="37" t="s">
        <v>46</v>
      </c>
      <c r="M335" s="38" t="s">
        <v>125</v>
      </c>
      <c r="N335" s="38"/>
      <c r="O335" s="37">
        <v>55</v>
      </c>
      <c r="P335" s="91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4"/>
      <c r="R335" s="734"/>
      <c r="S335" s="734"/>
      <c r="T335" s="735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568</v>
      </c>
      <c r="AG335" s="78"/>
      <c r="AJ335" s="84" t="s">
        <v>46</v>
      </c>
      <c r="AK335" s="84">
        <v>0</v>
      </c>
      <c r="BB335" s="44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569</v>
      </c>
      <c r="B336" s="63" t="s">
        <v>570</v>
      </c>
      <c r="C336" s="36">
        <v>4301011852</v>
      </c>
      <c r="D336" s="732">
        <v>4680115885844</v>
      </c>
      <c r="E336" s="732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133</v>
      </c>
      <c r="L336" s="37" t="s">
        <v>46</v>
      </c>
      <c r="M336" s="38" t="s">
        <v>125</v>
      </c>
      <c r="N336" s="38"/>
      <c r="O336" s="37">
        <v>55</v>
      </c>
      <c r="P336" s="9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4"/>
      <c r="R336" s="734"/>
      <c r="S336" s="734"/>
      <c r="T336" s="735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571</v>
      </c>
      <c r="AG336" s="78"/>
      <c r="AJ336" s="84" t="s">
        <v>46</v>
      </c>
      <c r="AK336" s="84">
        <v>0</v>
      </c>
      <c r="BB336" s="44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572</v>
      </c>
      <c r="B337" s="63" t="s">
        <v>573</v>
      </c>
      <c r="C337" s="36">
        <v>4301011851</v>
      </c>
      <c r="D337" s="732">
        <v>4680115885820</v>
      </c>
      <c r="E337" s="732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133</v>
      </c>
      <c r="L337" s="37" t="s">
        <v>46</v>
      </c>
      <c r="M337" s="38" t="s">
        <v>125</v>
      </c>
      <c r="N337" s="38"/>
      <c r="O337" s="37">
        <v>55</v>
      </c>
      <c r="P337" s="9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4"/>
      <c r="R337" s="734"/>
      <c r="S337" s="734"/>
      <c r="T337" s="735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574</v>
      </c>
      <c r="AG337" s="78"/>
      <c r="AJ337" s="84" t="s">
        <v>46</v>
      </c>
      <c r="AK337" s="84">
        <v>0</v>
      </c>
      <c r="BB337" s="44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0"/>
      <c r="B338" s="740"/>
      <c r="C338" s="740"/>
      <c r="D338" s="740"/>
      <c r="E338" s="740"/>
      <c r="F338" s="740"/>
      <c r="G338" s="740"/>
      <c r="H338" s="740"/>
      <c r="I338" s="740"/>
      <c r="J338" s="740"/>
      <c r="K338" s="740"/>
      <c r="L338" s="740"/>
      <c r="M338" s="740"/>
      <c r="N338" s="740"/>
      <c r="O338" s="741"/>
      <c r="P338" s="737" t="s">
        <v>40</v>
      </c>
      <c r="Q338" s="738"/>
      <c r="R338" s="738"/>
      <c r="S338" s="738"/>
      <c r="T338" s="738"/>
      <c r="U338" s="738"/>
      <c r="V338" s="739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0"/>
      <c r="B339" s="740"/>
      <c r="C339" s="740"/>
      <c r="D339" s="740"/>
      <c r="E339" s="740"/>
      <c r="F339" s="740"/>
      <c r="G339" s="740"/>
      <c r="H339" s="740"/>
      <c r="I339" s="740"/>
      <c r="J339" s="740"/>
      <c r="K339" s="740"/>
      <c r="L339" s="740"/>
      <c r="M339" s="740"/>
      <c r="N339" s="740"/>
      <c r="O339" s="741"/>
      <c r="P339" s="737" t="s">
        <v>40</v>
      </c>
      <c r="Q339" s="738"/>
      <c r="R339" s="738"/>
      <c r="S339" s="738"/>
      <c r="T339" s="738"/>
      <c r="U339" s="738"/>
      <c r="V339" s="739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0" t="s">
        <v>575</v>
      </c>
      <c r="B340" s="730"/>
      <c r="C340" s="730"/>
      <c r="D340" s="730"/>
      <c r="E340" s="730"/>
      <c r="F340" s="730"/>
      <c r="G340" s="730"/>
      <c r="H340" s="730"/>
      <c r="I340" s="730"/>
      <c r="J340" s="730"/>
      <c r="K340" s="730"/>
      <c r="L340" s="730"/>
      <c r="M340" s="730"/>
      <c r="N340" s="730"/>
      <c r="O340" s="730"/>
      <c r="P340" s="730"/>
      <c r="Q340" s="730"/>
      <c r="R340" s="730"/>
      <c r="S340" s="730"/>
      <c r="T340" s="730"/>
      <c r="U340" s="730"/>
      <c r="V340" s="730"/>
      <c r="W340" s="730"/>
      <c r="X340" s="730"/>
      <c r="Y340" s="730"/>
      <c r="Z340" s="730"/>
      <c r="AA340" s="65"/>
      <c r="AB340" s="65"/>
      <c r="AC340" s="79"/>
    </row>
    <row r="341" spans="1:68" ht="14.25" hidden="1" customHeight="1" x14ac:dyDescent="0.25">
      <c r="A341" s="731" t="s">
        <v>85</v>
      </c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1"/>
      <c r="P341" s="731"/>
      <c r="Q341" s="731"/>
      <c r="R341" s="731"/>
      <c r="S341" s="731"/>
      <c r="T341" s="731"/>
      <c r="U341" s="731"/>
      <c r="V341" s="731"/>
      <c r="W341" s="731"/>
      <c r="X341" s="731"/>
      <c r="Y341" s="731"/>
      <c r="Z341" s="731"/>
      <c r="AA341" s="66"/>
      <c r="AB341" s="66"/>
      <c r="AC341" s="80"/>
    </row>
    <row r="342" spans="1:68" ht="27" hidden="1" customHeight="1" x14ac:dyDescent="0.25">
      <c r="A342" s="63" t="s">
        <v>576</v>
      </c>
      <c r="B342" s="63" t="s">
        <v>577</v>
      </c>
      <c r="C342" s="36">
        <v>4301051893</v>
      </c>
      <c r="D342" s="732">
        <v>4680115886186</v>
      </c>
      <c r="E342" s="732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90</v>
      </c>
      <c r="L342" s="37" t="s">
        <v>46</v>
      </c>
      <c r="M342" s="38" t="s">
        <v>89</v>
      </c>
      <c r="N342" s="38"/>
      <c r="O342" s="37">
        <v>45</v>
      </c>
      <c r="P342" s="9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4"/>
      <c r="R342" s="734"/>
      <c r="S342" s="734"/>
      <c r="T342" s="735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578</v>
      </c>
      <c r="AG342" s="78"/>
      <c r="AJ342" s="84" t="s">
        <v>46</v>
      </c>
      <c r="AK342" s="84">
        <v>0</v>
      </c>
      <c r="BB342" s="44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579</v>
      </c>
      <c r="B343" s="63" t="s">
        <v>580</v>
      </c>
      <c r="C343" s="36">
        <v>4301051795</v>
      </c>
      <c r="D343" s="732">
        <v>4680115881228</v>
      </c>
      <c r="E343" s="732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90</v>
      </c>
      <c r="L343" s="37" t="s">
        <v>46</v>
      </c>
      <c r="M343" s="38" t="s">
        <v>96</v>
      </c>
      <c r="N343" s="38"/>
      <c r="O343" s="37">
        <v>40</v>
      </c>
      <c r="P343" s="9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4"/>
      <c r="R343" s="734"/>
      <c r="S343" s="734"/>
      <c r="T343" s="735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581</v>
      </c>
      <c r="AG343" s="78"/>
      <c r="AJ343" s="84" t="s">
        <v>46</v>
      </c>
      <c r="AK343" s="84">
        <v>0</v>
      </c>
      <c r="BB343" s="44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582</v>
      </c>
      <c r="B344" s="63" t="s">
        <v>583</v>
      </c>
      <c r="C344" s="36">
        <v>4301051388</v>
      </c>
      <c r="D344" s="732">
        <v>4680115881211</v>
      </c>
      <c r="E344" s="732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90</v>
      </c>
      <c r="L344" s="37" t="s">
        <v>46</v>
      </c>
      <c r="M344" s="38" t="s">
        <v>89</v>
      </c>
      <c r="N344" s="38"/>
      <c r="O344" s="37">
        <v>45</v>
      </c>
      <c r="P344" s="9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4"/>
      <c r="R344" s="734"/>
      <c r="S344" s="734"/>
      <c r="T344" s="735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578</v>
      </c>
      <c r="AG344" s="78"/>
      <c r="AJ344" s="84" t="s">
        <v>46</v>
      </c>
      <c r="AK344" s="84">
        <v>0</v>
      </c>
      <c r="BB344" s="45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0"/>
      <c r="B345" s="740"/>
      <c r="C345" s="740"/>
      <c r="D345" s="740"/>
      <c r="E345" s="740"/>
      <c r="F345" s="740"/>
      <c r="G345" s="740"/>
      <c r="H345" s="740"/>
      <c r="I345" s="740"/>
      <c r="J345" s="740"/>
      <c r="K345" s="740"/>
      <c r="L345" s="740"/>
      <c r="M345" s="740"/>
      <c r="N345" s="740"/>
      <c r="O345" s="741"/>
      <c r="P345" s="737" t="s">
        <v>40</v>
      </c>
      <c r="Q345" s="738"/>
      <c r="R345" s="738"/>
      <c r="S345" s="738"/>
      <c r="T345" s="738"/>
      <c r="U345" s="738"/>
      <c r="V345" s="739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0"/>
      <c r="B346" s="740"/>
      <c r="C346" s="740"/>
      <c r="D346" s="740"/>
      <c r="E346" s="740"/>
      <c r="F346" s="740"/>
      <c r="G346" s="740"/>
      <c r="H346" s="740"/>
      <c r="I346" s="740"/>
      <c r="J346" s="740"/>
      <c r="K346" s="740"/>
      <c r="L346" s="740"/>
      <c r="M346" s="740"/>
      <c r="N346" s="740"/>
      <c r="O346" s="741"/>
      <c r="P346" s="737" t="s">
        <v>40</v>
      </c>
      <c r="Q346" s="738"/>
      <c r="R346" s="738"/>
      <c r="S346" s="738"/>
      <c r="T346" s="738"/>
      <c r="U346" s="738"/>
      <c r="V346" s="739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0" t="s">
        <v>584</v>
      </c>
      <c r="B347" s="730"/>
      <c r="C347" s="730"/>
      <c r="D347" s="730"/>
      <c r="E347" s="730"/>
      <c r="F347" s="730"/>
      <c r="G347" s="730"/>
      <c r="H347" s="730"/>
      <c r="I347" s="730"/>
      <c r="J347" s="730"/>
      <c r="K347" s="730"/>
      <c r="L347" s="730"/>
      <c r="M347" s="730"/>
      <c r="N347" s="730"/>
      <c r="O347" s="730"/>
      <c r="P347" s="730"/>
      <c r="Q347" s="730"/>
      <c r="R347" s="730"/>
      <c r="S347" s="730"/>
      <c r="T347" s="730"/>
      <c r="U347" s="730"/>
      <c r="V347" s="730"/>
      <c r="W347" s="730"/>
      <c r="X347" s="730"/>
      <c r="Y347" s="730"/>
      <c r="Z347" s="730"/>
      <c r="AA347" s="65"/>
      <c r="AB347" s="65"/>
      <c r="AC347" s="79"/>
    </row>
    <row r="348" spans="1:68" ht="14.25" hidden="1" customHeight="1" x14ac:dyDescent="0.25">
      <c r="A348" s="731" t="s">
        <v>76</v>
      </c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1"/>
      <c r="P348" s="731"/>
      <c r="Q348" s="731"/>
      <c r="R348" s="731"/>
      <c r="S348" s="731"/>
      <c r="T348" s="731"/>
      <c r="U348" s="731"/>
      <c r="V348" s="731"/>
      <c r="W348" s="731"/>
      <c r="X348" s="731"/>
      <c r="Y348" s="731"/>
      <c r="Z348" s="731"/>
      <c r="AA348" s="66"/>
      <c r="AB348" s="66"/>
      <c r="AC348" s="80"/>
    </row>
    <row r="349" spans="1:68" ht="27" hidden="1" customHeight="1" x14ac:dyDescent="0.25">
      <c r="A349" s="63" t="s">
        <v>585</v>
      </c>
      <c r="B349" s="63" t="s">
        <v>586</v>
      </c>
      <c r="C349" s="36">
        <v>4301031445</v>
      </c>
      <c r="D349" s="732">
        <v>4680115888319</v>
      </c>
      <c r="E349" s="732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45</v>
      </c>
      <c r="P349" s="92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4"/>
      <c r="R349" s="734"/>
      <c r="S349" s="734"/>
      <c r="T349" s="735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419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587</v>
      </c>
      <c r="B350" s="63" t="s">
        <v>588</v>
      </c>
      <c r="C350" s="36">
        <v>4301031502</v>
      </c>
      <c r="D350" s="732">
        <v>4680115884700</v>
      </c>
      <c r="E350" s="732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81</v>
      </c>
      <c r="L350" s="37" t="s">
        <v>46</v>
      </c>
      <c r="M350" s="38" t="s">
        <v>80</v>
      </c>
      <c r="N350" s="38"/>
      <c r="O350" s="37">
        <v>40</v>
      </c>
      <c r="P350" s="92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4"/>
      <c r="R350" s="734"/>
      <c r="S350" s="734"/>
      <c r="T350" s="735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589</v>
      </c>
      <c r="AG350" s="78"/>
      <c r="AJ350" s="84" t="s">
        <v>46</v>
      </c>
      <c r="AK350" s="84">
        <v>0</v>
      </c>
      <c r="BB350" s="45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4301031307</v>
      </c>
      <c r="D351" s="732">
        <v>4680115880344</v>
      </c>
      <c r="E351" s="732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81</v>
      </c>
      <c r="L351" s="37" t="s">
        <v>46</v>
      </c>
      <c r="M351" s="38" t="s">
        <v>80</v>
      </c>
      <c r="N351" s="38"/>
      <c r="O351" s="37">
        <v>40</v>
      </c>
      <c r="P351" s="92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4"/>
      <c r="R351" s="734"/>
      <c r="S351" s="734"/>
      <c r="T351" s="735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592</v>
      </c>
      <c r="AG351" s="78"/>
      <c r="AJ351" s="84" t="s">
        <v>46</v>
      </c>
      <c r="AK351" s="84">
        <v>0</v>
      </c>
      <c r="BB351" s="45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593</v>
      </c>
      <c r="B352" s="63" t="s">
        <v>594</v>
      </c>
      <c r="C352" s="36">
        <v>4301031501</v>
      </c>
      <c r="D352" s="732">
        <v>4680115886919</v>
      </c>
      <c r="E352" s="732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90</v>
      </c>
      <c r="L352" s="37" t="s">
        <v>46</v>
      </c>
      <c r="M352" s="38" t="s">
        <v>80</v>
      </c>
      <c r="N352" s="38"/>
      <c r="O352" s="37">
        <v>40</v>
      </c>
      <c r="P352" s="92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4"/>
      <c r="R352" s="734"/>
      <c r="S352" s="734"/>
      <c r="T352" s="735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595</v>
      </c>
      <c r="AG352" s="78"/>
      <c r="AJ352" s="84" t="s">
        <v>46</v>
      </c>
      <c r="AK352" s="84">
        <v>0</v>
      </c>
      <c r="BB352" s="45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596</v>
      </c>
      <c r="B353" s="63" t="s">
        <v>597</v>
      </c>
      <c r="C353" s="36">
        <v>4301031246</v>
      </c>
      <c r="D353" s="732">
        <v>4680115883970</v>
      </c>
      <c r="E353" s="732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81</v>
      </c>
      <c r="L353" s="37" t="s">
        <v>46</v>
      </c>
      <c r="M353" s="38" t="s">
        <v>80</v>
      </c>
      <c r="N353" s="38"/>
      <c r="O353" s="37">
        <v>40</v>
      </c>
      <c r="P353" s="9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4"/>
      <c r="R353" s="734"/>
      <c r="S353" s="734"/>
      <c r="T353" s="735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598</v>
      </c>
      <c r="AG353" s="78"/>
      <c r="AJ353" s="84" t="s">
        <v>46</v>
      </c>
      <c r="AK353" s="84">
        <v>0</v>
      </c>
      <c r="BB353" s="46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0"/>
      <c r="B354" s="740"/>
      <c r="C354" s="740"/>
      <c r="D354" s="740"/>
      <c r="E354" s="740"/>
      <c r="F354" s="740"/>
      <c r="G354" s="740"/>
      <c r="H354" s="740"/>
      <c r="I354" s="740"/>
      <c r="J354" s="740"/>
      <c r="K354" s="740"/>
      <c r="L354" s="740"/>
      <c r="M354" s="740"/>
      <c r="N354" s="740"/>
      <c r="O354" s="741"/>
      <c r="P354" s="737" t="s">
        <v>40</v>
      </c>
      <c r="Q354" s="738"/>
      <c r="R354" s="738"/>
      <c r="S354" s="738"/>
      <c r="T354" s="738"/>
      <c r="U354" s="738"/>
      <c r="V354" s="739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0"/>
      <c r="B355" s="740"/>
      <c r="C355" s="740"/>
      <c r="D355" s="740"/>
      <c r="E355" s="740"/>
      <c r="F355" s="740"/>
      <c r="G355" s="740"/>
      <c r="H355" s="740"/>
      <c r="I355" s="740"/>
      <c r="J355" s="740"/>
      <c r="K355" s="740"/>
      <c r="L355" s="740"/>
      <c r="M355" s="740"/>
      <c r="N355" s="740"/>
      <c r="O355" s="741"/>
      <c r="P355" s="737" t="s">
        <v>40</v>
      </c>
      <c r="Q355" s="738"/>
      <c r="R355" s="738"/>
      <c r="S355" s="738"/>
      <c r="T355" s="738"/>
      <c r="U355" s="738"/>
      <c r="V355" s="739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1" t="s">
        <v>85</v>
      </c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1"/>
      <c r="P356" s="731"/>
      <c r="Q356" s="731"/>
      <c r="R356" s="731"/>
      <c r="S356" s="731"/>
      <c r="T356" s="731"/>
      <c r="U356" s="731"/>
      <c r="V356" s="731"/>
      <c r="W356" s="731"/>
      <c r="X356" s="731"/>
      <c r="Y356" s="731"/>
      <c r="Z356" s="731"/>
      <c r="AA356" s="66"/>
      <c r="AB356" s="66"/>
      <c r="AC356" s="80"/>
    </row>
    <row r="357" spans="1:68" ht="27" hidden="1" customHeight="1" x14ac:dyDescent="0.25">
      <c r="A357" s="63" t="s">
        <v>599</v>
      </c>
      <c r="B357" s="63" t="s">
        <v>600</v>
      </c>
      <c r="C357" s="36">
        <v>4301051782</v>
      </c>
      <c r="D357" s="732">
        <v>4680115884618</v>
      </c>
      <c r="E357" s="732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133</v>
      </c>
      <c r="L357" s="37" t="s">
        <v>46</v>
      </c>
      <c r="M357" s="38" t="s">
        <v>89</v>
      </c>
      <c r="N357" s="38"/>
      <c r="O357" s="37">
        <v>45</v>
      </c>
      <c r="P357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4"/>
      <c r="R357" s="734"/>
      <c r="S357" s="734"/>
      <c r="T357" s="735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601</v>
      </c>
      <c r="AG357" s="78"/>
      <c r="AJ357" s="84" t="s">
        <v>46</v>
      </c>
      <c r="AK357" s="84">
        <v>0</v>
      </c>
      <c r="BB357" s="46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602</v>
      </c>
      <c r="B358" s="63" t="s">
        <v>603</v>
      </c>
      <c r="C358" s="36">
        <v>4301052057</v>
      </c>
      <c r="D358" s="732">
        <v>4680115887114</v>
      </c>
      <c r="E358" s="732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133</v>
      </c>
      <c r="L358" s="37" t="s">
        <v>46</v>
      </c>
      <c r="M358" s="38" t="s">
        <v>89</v>
      </c>
      <c r="N358" s="38"/>
      <c r="O358" s="37">
        <v>45</v>
      </c>
      <c r="P358" s="9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4"/>
      <c r="R358" s="734"/>
      <c r="S358" s="734"/>
      <c r="T358" s="735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604</v>
      </c>
      <c r="AG358" s="78"/>
      <c r="AJ358" s="84" t="s">
        <v>46</v>
      </c>
      <c r="AK358" s="84">
        <v>0</v>
      </c>
      <c r="BB358" s="46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0"/>
      <c r="B359" s="740"/>
      <c r="C359" s="740"/>
      <c r="D359" s="740"/>
      <c r="E359" s="740"/>
      <c r="F359" s="740"/>
      <c r="G359" s="740"/>
      <c r="H359" s="740"/>
      <c r="I359" s="740"/>
      <c r="J359" s="740"/>
      <c r="K359" s="740"/>
      <c r="L359" s="740"/>
      <c r="M359" s="740"/>
      <c r="N359" s="740"/>
      <c r="O359" s="741"/>
      <c r="P359" s="737" t="s">
        <v>40</v>
      </c>
      <c r="Q359" s="738"/>
      <c r="R359" s="738"/>
      <c r="S359" s="738"/>
      <c r="T359" s="738"/>
      <c r="U359" s="738"/>
      <c r="V359" s="739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0"/>
      <c r="B360" s="740"/>
      <c r="C360" s="740"/>
      <c r="D360" s="740"/>
      <c r="E360" s="740"/>
      <c r="F360" s="740"/>
      <c r="G360" s="740"/>
      <c r="H360" s="740"/>
      <c r="I360" s="740"/>
      <c r="J360" s="740"/>
      <c r="K360" s="740"/>
      <c r="L360" s="740"/>
      <c r="M360" s="740"/>
      <c r="N360" s="740"/>
      <c r="O360" s="741"/>
      <c r="P360" s="737" t="s">
        <v>40</v>
      </c>
      <c r="Q360" s="738"/>
      <c r="R360" s="738"/>
      <c r="S360" s="738"/>
      <c r="T360" s="738"/>
      <c r="U360" s="738"/>
      <c r="V360" s="739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0" t="s">
        <v>605</v>
      </c>
      <c r="B361" s="730"/>
      <c r="C361" s="730"/>
      <c r="D361" s="730"/>
      <c r="E361" s="730"/>
      <c r="F361" s="730"/>
      <c r="G361" s="730"/>
      <c r="H361" s="730"/>
      <c r="I361" s="730"/>
      <c r="J361" s="730"/>
      <c r="K361" s="730"/>
      <c r="L361" s="730"/>
      <c r="M361" s="730"/>
      <c r="N361" s="730"/>
      <c r="O361" s="730"/>
      <c r="P361" s="730"/>
      <c r="Q361" s="730"/>
      <c r="R361" s="730"/>
      <c r="S361" s="730"/>
      <c r="T361" s="730"/>
      <c r="U361" s="730"/>
      <c r="V361" s="730"/>
      <c r="W361" s="730"/>
      <c r="X361" s="730"/>
      <c r="Y361" s="730"/>
      <c r="Z361" s="730"/>
      <c r="AA361" s="65"/>
      <c r="AB361" s="65"/>
      <c r="AC361" s="79"/>
    </row>
    <row r="362" spans="1:68" ht="14.25" hidden="1" customHeight="1" x14ac:dyDescent="0.25">
      <c r="A362" s="731" t="s">
        <v>121</v>
      </c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1"/>
      <c r="P362" s="731"/>
      <c r="Q362" s="731"/>
      <c r="R362" s="731"/>
      <c r="S362" s="731"/>
      <c r="T362" s="731"/>
      <c r="U362" s="731"/>
      <c r="V362" s="731"/>
      <c r="W362" s="731"/>
      <c r="X362" s="731"/>
      <c r="Y362" s="731"/>
      <c r="Z362" s="731"/>
      <c r="AA362" s="66"/>
      <c r="AB362" s="66"/>
      <c r="AC362" s="80"/>
    </row>
    <row r="363" spans="1:68" ht="27" hidden="1" customHeight="1" x14ac:dyDescent="0.25">
      <c r="A363" s="63" t="s">
        <v>606</v>
      </c>
      <c r="B363" s="63" t="s">
        <v>607</v>
      </c>
      <c r="C363" s="36">
        <v>4301012324</v>
      </c>
      <c r="D363" s="732">
        <v>4680115887947</v>
      </c>
      <c r="E363" s="732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60</v>
      </c>
      <c r="P363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4"/>
      <c r="R363" s="734"/>
      <c r="S363" s="734"/>
      <c r="T363" s="735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378</v>
      </c>
      <c r="AG363" s="78"/>
      <c r="AJ363" s="84" t="s">
        <v>46</v>
      </c>
      <c r="AK363" s="84">
        <v>0</v>
      </c>
      <c r="BB363" s="46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4301012325</v>
      </c>
      <c r="D364" s="732">
        <v>4680115887978</v>
      </c>
      <c r="E364" s="732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126</v>
      </c>
      <c r="L364" s="37" t="s">
        <v>46</v>
      </c>
      <c r="M364" s="38" t="s">
        <v>89</v>
      </c>
      <c r="N364" s="38"/>
      <c r="O364" s="37">
        <v>60</v>
      </c>
      <c r="P364" s="93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4"/>
      <c r="R364" s="734"/>
      <c r="S364" s="734"/>
      <c r="T364" s="735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610</v>
      </c>
      <c r="AG364" s="78"/>
      <c r="AJ364" s="84" t="s">
        <v>46</v>
      </c>
      <c r="AK364" s="84">
        <v>0</v>
      </c>
      <c r="BB364" s="46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4301012327</v>
      </c>
      <c r="D365" s="732">
        <v>4680115887992</v>
      </c>
      <c r="E365" s="732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126</v>
      </c>
      <c r="L365" s="37" t="s">
        <v>46</v>
      </c>
      <c r="M365" s="38" t="s">
        <v>89</v>
      </c>
      <c r="N365" s="38"/>
      <c r="O365" s="37">
        <v>60</v>
      </c>
      <c r="P365" s="9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4"/>
      <c r="R365" s="734"/>
      <c r="S365" s="734"/>
      <c r="T365" s="735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613</v>
      </c>
      <c r="AG365" s="78"/>
      <c r="AJ365" s="84" t="s">
        <v>46</v>
      </c>
      <c r="AK365" s="84">
        <v>0</v>
      </c>
      <c r="BB365" s="47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0"/>
      <c r="B366" s="740"/>
      <c r="C366" s="740"/>
      <c r="D366" s="740"/>
      <c r="E366" s="740"/>
      <c r="F366" s="740"/>
      <c r="G366" s="740"/>
      <c r="H366" s="740"/>
      <c r="I366" s="740"/>
      <c r="J366" s="740"/>
      <c r="K366" s="740"/>
      <c r="L366" s="740"/>
      <c r="M366" s="740"/>
      <c r="N366" s="740"/>
      <c r="O366" s="741"/>
      <c r="P366" s="737" t="s">
        <v>40</v>
      </c>
      <c r="Q366" s="738"/>
      <c r="R366" s="738"/>
      <c r="S366" s="738"/>
      <c r="T366" s="738"/>
      <c r="U366" s="738"/>
      <c r="V366" s="739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0"/>
      <c r="B367" s="740"/>
      <c r="C367" s="740"/>
      <c r="D367" s="740"/>
      <c r="E367" s="740"/>
      <c r="F367" s="740"/>
      <c r="G367" s="740"/>
      <c r="H367" s="740"/>
      <c r="I367" s="740"/>
      <c r="J367" s="740"/>
      <c r="K367" s="740"/>
      <c r="L367" s="740"/>
      <c r="M367" s="740"/>
      <c r="N367" s="740"/>
      <c r="O367" s="741"/>
      <c r="P367" s="737" t="s">
        <v>40</v>
      </c>
      <c r="Q367" s="738"/>
      <c r="R367" s="738"/>
      <c r="S367" s="738"/>
      <c r="T367" s="738"/>
      <c r="U367" s="738"/>
      <c r="V367" s="739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0" t="s">
        <v>614</v>
      </c>
      <c r="B368" s="730"/>
      <c r="C368" s="730"/>
      <c r="D368" s="730"/>
      <c r="E368" s="730"/>
      <c r="F368" s="730"/>
      <c r="G368" s="730"/>
      <c r="H368" s="730"/>
      <c r="I368" s="730"/>
      <c r="J368" s="730"/>
      <c r="K368" s="730"/>
      <c r="L368" s="730"/>
      <c r="M368" s="730"/>
      <c r="N368" s="730"/>
      <c r="O368" s="730"/>
      <c r="P368" s="730"/>
      <c r="Q368" s="730"/>
      <c r="R368" s="730"/>
      <c r="S368" s="730"/>
      <c r="T368" s="730"/>
      <c r="U368" s="730"/>
      <c r="V368" s="730"/>
      <c r="W368" s="730"/>
      <c r="X368" s="730"/>
      <c r="Y368" s="730"/>
      <c r="Z368" s="730"/>
      <c r="AA368" s="65"/>
      <c r="AB368" s="65"/>
      <c r="AC368" s="79"/>
    </row>
    <row r="369" spans="1:68" ht="14.25" hidden="1" customHeight="1" x14ac:dyDescent="0.25">
      <c r="A369" s="731" t="s">
        <v>121</v>
      </c>
      <c r="B369" s="731"/>
      <c r="C369" s="731"/>
      <c r="D369" s="731"/>
      <c r="E369" s="731"/>
      <c r="F369" s="731"/>
      <c r="G369" s="731"/>
      <c r="H369" s="731"/>
      <c r="I369" s="731"/>
      <c r="J369" s="731"/>
      <c r="K369" s="731"/>
      <c r="L369" s="731"/>
      <c r="M369" s="731"/>
      <c r="N369" s="731"/>
      <c r="O369" s="731"/>
      <c r="P369" s="731"/>
      <c r="Q369" s="731"/>
      <c r="R369" s="731"/>
      <c r="S369" s="731"/>
      <c r="T369" s="731"/>
      <c r="U369" s="731"/>
      <c r="V369" s="731"/>
      <c r="W369" s="731"/>
      <c r="X369" s="731"/>
      <c r="Y369" s="731"/>
      <c r="Z369" s="731"/>
      <c r="AA369" s="66"/>
      <c r="AB369" s="66"/>
      <c r="AC369" s="80"/>
    </row>
    <row r="370" spans="1:68" ht="27" hidden="1" customHeight="1" x14ac:dyDescent="0.25">
      <c r="A370" s="63" t="s">
        <v>615</v>
      </c>
      <c r="B370" s="63" t="s">
        <v>616</v>
      </c>
      <c r="C370" s="36">
        <v>4301012235</v>
      </c>
      <c r="D370" s="732">
        <v>4680115887190</v>
      </c>
      <c r="E370" s="732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125</v>
      </c>
      <c r="N370" s="38"/>
      <c r="O370" s="37">
        <v>55</v>
      </c>
      <c r="P370" s="9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34"/>
      <c r="R370" s="734"/>
      <c r="S370" s="734"/>
      <c r="T370" s="735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618</v>
      </c>
      <c r="B371" s="63" t="s">
        <v>619</v>
      </c>
      <c r="C371" s="36">
        <v>4301012233</v>
      </c>
      <c r="D371" s="732">
        <v>4680115887138</v>
      </c>
      <c r="E371" s="732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126</v>
      </c>
      <c r="L371" s="37" t="s">
        <v>46</v>
      </c>
      <c r="M371" s="38" t="s">
        <v>125</v>
      </c>
      <c r="N371" s="38"/>
      <c r="O371" s="37">
        <v>55</v>
      </c>
      <c r="P371" s="9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734"/>
      <c r="R371" s="734"/>
      <c r="S371" s="734"/>
      <c r="T371" s="735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620</v>
      </c>
      <c r="AG371" s="78"/>
      <c r="AJ371" s="84" t="s">
        <v>46</v>
      </c>
      <c r="AK371" s="84">
        <v>0</v>
      </c>
      <c r="BB371" s="475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4301012016</v>
      </c>
      <c r="D372" s="732">
        <v>4680115885554</v>
      </c>
      <c r="E372" s="732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126</v>
      </c>
      <c r="L372" s="37" t="s">
        <v>46</v>
      </c>
      <c r="M372" s="38" t="s">
        <v>89</v>
      </c>
      <c r="N372" s="38"/>
      <c r="O372" s="37">
        <v>55</v>
      </c>
      <c r="P372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734"/>
      <c r="R372" s="734"/>
      <c r="S372" s="734"/>
      <c r="T372" s="735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4301012236</v>
      </c>
      <c r="D373" s="732">
        <v>4680115887220</v>
      </c>
      <c r="E373" s="732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133</v>
      </c>
      <c r="L373" s="37" t="s">
        <v>46</v>
      </c>
      <c r="M373" s="38" t="s">
        <v>125</v>
      </c>
      <c r="N373" s="38"/>
      <c r="O373" s="37">
        <v>55</v>
      </c>
      <c r="P373" s="9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734"/>
      <c r="R373" s="734"/>
      <c r="S373" s="734"/>
      <c r="T373" s="735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617</v>
      </c>
      <c r="AG373" s="78"/>
      <c r="AJ373" s="84" t="s">
        <v>46</v>
      </c>
      <c r="AK373" s="84">
        <v>0</v>
      </c>
      <c r="BB373" s="479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4301011859</v>
      </c>
      <c r="D374" s="732">
        <v>4680115885608</v>
      </c>
      <c r="E374" s="732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133</v>
      </c>
      <c r="L374" s="37" t="s">
        <v>46</v>
      </c>
      <c r="M374" s="38" t="s">
        <v>125</v>
      </c>
      <c r="N374" s="38"/>
      <c r="O374" s="37">
        <v>55</v>
      </c>
      <c r="P374" s="9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734"/>
      <c r="R374" s="734"/>
      <c r="S374" s="734"/>
      <c r="T374" s="735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628</v>
      </c>
      <c r="AG374" s="78"/>
      <c r="AJ374" s="84" t="s">
        <v>46</v>
      </c>
      <c r="AK374" s="84">
        <v>0</v>
      </c>
      <c r="BB374" s="481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740"/>
      <c r="B375" s="740"/>
      <c r="C375" s="740"/>
      <c r="D375" s="740"/>
      <c r="E375" s="740"/>
      <c r="F375" s="740"/>
      <c r="G375" s="740"/>
      <c r="H375" s="740"/>
      <c r="I375" s="740"/>
      <c r="J375" s="740"/>
      <c r="K375" s="740"/>
      <c r="L375" s="740"/>
      <c r="M375" s="740"/>
      <c r="N375" s="740"/>
      <c r="O375" s="741"/>
      <c r="P375" s="737" t="s">
        <v>40</v>
      </c>
      <c r="Q375" s="738"/>
      <c r="R375" s="738"/>
      <c r="S375" s="738"/>
      <c r="T375" s="738"/>
      <c r="U375" s="738"/>
      <c r="V375" s="739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40"/>
      <c r="B376" s="740"/>
      <c r="C376" s="740"/>
      <c r="D376" s="740"/>
      <c r="E376" s="740"/>
      <c r="F376" s="740"/>
      <c r="G376" s="740"/>
      <c r="H376" s="740"/>
      <c r="I376" s="740"/>
      <c r="J376" s="740"/>
      <c r="K376" s="740"/>
      <c r="L376" s="740"/>
      <c r="M376" s="740"/>
      <c r="N376" s="740"/>
      <c r="O376" s="741"/>
      <c r="P376" s="737" t="s">
        <v>40</v>
      </c>
      <c r="Q376" s="738"/>
      <c r="R376" s="738"/>
      <c r="S376" s="738"/>
      <c r="T376" s="738"/>
      <c r="U376" s="738"/>
      <c r="V376" s="739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31" t="s">
        <v>76</v>
      </c>
      <c r="B377" s="731"/>
      <c r="C377" s="731"/>
      <c r="D377" s="731"/>
      <c r="E377" s="731"/>
      <c r="F377" s="731"/>
      <c r="G377" s="731"/>
      <c r="H377" s="731"/>
      <c r="I377" s="731"/>
      <c r="J377" s="731"/>
      <c r="K377" s="731"/>
      <c r="L377" s="731"/>
      <c r="M377" s="731"/>
      <c r="N377" s="731"/>
      <c r="O377" s="731"/>
      <c r="P377" s="731"/>
      <c r="Q377" s="731"/>
      <c r="R377" s="731"/>
      <c r="S377" s="731"/>
      <c r="T377" s="731"/>
      <c r="U377" s="731"/>
      <c r="V377" s="731"/>
      <c r="W377" s="731"/>
      <c r="X377" s="731"/>
      <c r="Y377" s="731"/>
      <c r="Z377" s="731"/>
      <c r="AA377" s="66"/>
      <c r="AB377" s="66"/>
      <c r="AC377" s="80"/>
    </row>
    <row r="378" spans="1:68" ht="27" hidden="1" customHeight="1" x14ac:dyDescent="0.25">
      <c r="A378" s="63" t="s">
        <v>629</v>
      </c>
      <c r="B378" s="63" t="s">
        <v>630</v>
      </c>
      <c r="C378" s="36">
        <v>4301030878</v>
      </c>
      <c r="D378" s="732">
        <v>4607091387193</v>
      </c>
      <c r="E378" s="732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35</v>
      </c>
      <c r="P378" s="9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734"/>
      <c r="R378" s="734"/>
      <c r="S378" s="734"/>
      <c r="T378" s="735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66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4301031153</v>
      </c>
      <c r="D379" s="732">
        <v>4607091387230</v>
      </c>
      <c r="E379" s="732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40</v>
      </c>
      <c r="P379" s="9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734"/>
      <c r="R379" s="734"/>
      <c r="S379" s="734"/>
      <c r="T379" s="735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634</v>
      </c>
      <c r="AG379" s="78"/>
      <c r="AJ379" s="84" t="s">
        <v>46</v>
      </c>
      <c r="AK379" s="84">
        <v>0</v>
      </c>
      <c r="BB379" s="485" t="s">
        <v>66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4301031154</v>
      </c>
      <c r="D380" s="732">
        <v>4607091387292</v>
      </c>
      <c r="E380" s="732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734"/>
      <c r="R380" s="734"/>
      <c r="S380" s="734"/>
      <c r="T380" s="735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4301031152</v>
      </c>
      <c r="D381" s="732">
        <v>4607091387285</v>
      </c>
      <c r="E381" s="732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81</v>
      </c>
      <c r="L381" s="37" t="s">
        <v>46</v>
      </c>
      <c r="M381" s="38" t="s">
        <v>80</v>
      </c>
      <c r="N381" s="38"/>
      <c r="O381" s="37">
        <v>40</v>
      </c>
      <c r="P381" s="9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734"/>
      <c r="R381" s="734"/>
      <c r="S381" s="734"/>
      <c r="T381" s="735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634</v>
      </c>
      <c r="AG381" s="78"/>
      <c r="AJ381" s="84" t="s">
        <v>46</v>
      </c>
      <c r="AK381" s="84">
        <v>0</v>
      </c>
      <c r="BB381" s="489" t="s">
        <v>66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4301031305</v>
      </c>
      <c r="D382" s="732">
        <v>4607091389845</v>
      </c>
      <c r="E382" s="732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9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734"/>
      <c r="R382" s="734"/>
      <c r="S382" s="734"/>
      <c r="T382" s="735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642</v>
      </c>
      <c r="AG382" s="78"/>
      <c r="AJ382" s="84" t="s">
        <v>46</v>
      </c>
      <c r="AK382" s="84">
        <v>0</v>
      </c>
      <c r="BB382" s="491" t="s">
        <v>66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4301031460</v>
      </c>
      <c r="D383" s="732">
        <v>4680115887442</v>
      </c>
      <c r="E383" s="732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133</v>
      </c>
      <c r="L383" s="37" t="s">
        <v>46</v>
      </c>
      <c r="M383" s="38" t="s">
        <v>80</v>
      </c>
      <c r="N383" s="38"/>
      <c r="O383" s="37">
        <v>45</v>
      </c>
      <c r="P383" s="9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734"/>
      <c r="R383" s="734"/>
      <c r="S383" s="734"/>
      <c r="T383" s="735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637</v>
      </c>
      <c r="AG383" s="78"/>
      <c r="AJ383" s="84" t="s">
        <v>46</v>
      </c>
      <c r="AK383" s="84">
        <v>0</v>
      </c>
      <c r="BB383" s="493" t="s">
        <v>66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4301031066</v>
      </c>
      <c r="D384" s="732">
        <v>4607091383836</v>
      </c>
      <c r="E384" s="732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90</v>
      </c>
      <c r="L384" s="37" t="s">
        <v>46</v>
      </c>
      <c r="M384" s="38" t="s">
        <v>80</v>
      </c>
      <c r="N384" s="38"/>
      <c r="O384" s="37">
        <v>40</v>
      </c>
      <c r="P384" s="9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734"/>
      <c r="R384" s="734"/>
      <c r="S384" s="734"/>
      <c r="T384" s="735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647</v>
      </c>
      <c r="AG384" s="78"/>
      <c r="AJ384" s="84" t="s">
        <v>46</v>
      </c>
      <c r="AK384" s="84">
        <v>0</v>
      </c>
      <c r="BB384" s="495" t="s">
        <v>66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740"/>
      <c r="B385" s="740"/>
      <c r="C385" s="740"/>
      <c r="D385" s="740"/>
      <c r="E385" s="740"/>
      <c r="F385" s="740"/>
      <c r="G385" s="740"/>
      <c r="H385" s="740"/>
      <c r="I385" s="740"/>
      <c r="J385" s="740"/>
      <c r="K385" s="740"/>
      <c r="L385" s="740"/>
      <c r="M385" s="740"/>
      <c r="N385" s="740"/>
      <c r="O385" s="741"/>
      <c r="P385" s="737" t="s">
        <v>40</v>
      </c>
      <c r="Q385" s="738"/>
      <c r="R385" s="738"/>
      <c r="S385" s="738"/>
      <c r="T385" s="738"/>
      <c r="U385" s="738"/>
      <c r="V385" s="739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40"/>
      <c r="B386" s="740"/>
      <c r="C386" s="740"/>
      <c r="D386" s="740"/>
      <c r="E386" s="740"/>
      <c r="F386" s="740"/>
      <c r="G386" s="740"/>
      <c r="H386" s="740"/>
      <c r="I386" s="740"/>
      <c r="J386" s="740"/>
      <c r="K386" s="740"/>
      <c r="L386" s="740"/>
      <c r="M386" s="740"/>
      <c r="N386" s="740"/>
      <c r="O386" s="741"/>
      <c r="P386" s="737" t="s">
        <v>40</v>
      </c>
      <c r="Q386" s="738"/>
      <c r="R386" s="738"/>
      <c r="S386" s="738"/>
      <c r="T386" s="738"/>
      <c r="U386" s="738"/>
      <c r="V386" s="739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31" t="s">
        <v>85</v>
      </c>
      <c r="B387" s="731"/>
      <c r="C387" s="731"/>
      <c r="D387" s="731"/>
      <c r="E387" s="731"/>
      <c r="F387" s="731"/>
      <c r="G387" s="731"/>
      <c r="H387" s="731"/>
      <c r="I387" s="731"/>
      <c r="J387" s="731"/>
      <c r="K387" s="731"/>
      <c r="L387" s="731"/>
      <c r="M387" s="731"/>
      <c r="N387" s="731"/>
      <c r="O387" s="731"/>
      <c r="P387" s="731"/>
      <c r="Q387" s="731"/>
      <c r="R387" s="731"/>
      <c r="S387" s="731"/>
      <c r="T387" s="731"/>
      <c r="U387" s="731"/>
      <c r="V387" s="731"/>
      <c r="W387" s="731"/>
      <c r="X387" s="731"/>
      <c r="Y387" s="731"/>
      <c r="Z387" s="731"/>
      <c r="AA387" s="66"/>
      <c r="AB387" s="66"/>
      <c r="AC387" s="80"/>
    </row>
    <row r="388" spans="1:68" ht="27" hidden="1" customHeight="1" x14ac:dyDescent="0.25">
      <c r="A388" s="63" t="s">
        <v>648</v>
      </c>
      <c r="B388" s="63" t="s">
        <v>649</v>
      </c>
      <c r="C388" s="36">
        <v>4301051100</v>
      </c>
      <c r="D388" s="732">
        <v>4607091387766</v>
      </c>
      <c r="E388" s="732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734"/>
      <c r="R388" s="734"/>
      <c r="S388" s="734"/>
      <c r="T388" s="735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4301051818</v>
      </c>
      <c r="D389" s="732">
        <v>4607091387957</v>
      </c>
      <c r="E389" s="732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126</v>
      </c>
      <c r="L389" s="37" t="s">
        <v>46</v>
      </c>
      <c r="M389" s="38" t="s">
        <v>89</v>
      </c>
      <c r="N389" s="38"/>
      <c r="O389" s="37">
        <v>40</v>
      </c>
      <c r="P389" s="9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734"/>
      <c r="R389" s="734"/>
      <c r="S389" s="734"/>
      <c r="T389" s="735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4301051819</v>
      </c>
      <c r="D390" s="732">
        <v>4607091387964</v>
      </c>
      <c r="E390" s="732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40</v>
      </c>
      <c r="P390" s="94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734"/>
      <c r="R390" s="734"/>
      <c r="S390" s="734"/>
      <c r="T390" s="735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656</v>
      </c>
      <c r="AG390" s="78"/>
      <c r="AJ390" s="84" t="s">
        <v>46</v>
      </c>
      <c r="AK390" s="84">
        <v>0</v>
      </c>
      <c r="BB390" s="50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657</v>
      </c>
      <c r="B391" s="63" t="s">
        <v>658</v>
      </c>
      <c r="C391" s="36">
        <v>4301051734</v>
      </c>
      <c r="D391" s="732">
        <v>4680115884588</v>
      </c>
      <c r="E391" s="732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90</v>
      </c>
      <c r="L391" s="37" t="s">
        <v>46</v>
      </c>
      <c r="M391" s="38" t="s">
        <v>89</v>
      </c>
      <c r="N391" s="38"/>
      <c r="O391" s="37">
        <v>40</v>
      </c>
      <c r="P391" s="9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734"/>
      <c r="R391" s="734"/>
      <c r="S391" s="734"/>
      <c r="T391" s="735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650</v>
      </c>
      <c r="AG391" s="78"/>
      <c r="AJ391" s="84" t="s">
        <v>46</v>
      </c>
      <c r="AK391" s="84">
        <v>0</v>
      </c>
      <c r="BB391" s="50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40"/>
      <c r="B392" s="740"/>
      <c r="C392" s="740"/>
      <c r="D392" s="740"/>
      <c r="E392" s="740"/>
      <c r="F392" s="740"/>
      <c r="G392" s="740"/>
      <c r="H392" s="740"/>
      <c r="I392" s="740"/>
      <c r="J392" s="740"/>
      <c r="K392" s="740"/>
      <c r="L392" s="740"/>
      <c r="M392" s="740"/>
      <c r="N392" s="740"/>
      <c r="O392" s="741"/>
      <c r="P392" s="737" t="s">
        <v>40</v>
      </c>
      <c r="Q392" s="738"/>
      <c r="R392" s="738"/>
      <c r="S392" s="738"/>
      <c r="T392" s="738"/>
      <c r="U392" s="738"/>
      <c r="V392" s="739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40"/>
      <c r="B393" s="740"/>
      <c r="C393" s="740"/>
      <c r="D393" s="740"/>
      <c r="E393" s="740"/>
      <c r="F393" s="740"/>
      <c r="G393" s="740"/>
      <c r="H393" s="740"/>
      <c r="I393" s="740"/>
      <c r="J393" s="740"/>
      <c r="K393" s="740"/>
      <c r="L393" s="740"/>
      <c r="M393" s="740"/>
      <c r="N393" s="740"/>
      <c r="O393" s="741"/>
      <c r="P393" s="737" t="s">
        <v>40</v>
      </c>
      <c r="Q393" s="738"/>
      <c r="R393" s="738"/>
      <c r="S393" s="738"/>
      <c r="T393" s="738"/>
      <c r="U393" s="738"/>
      <c r="V393" s="739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31" t="s">
        <v>172</v>
      </c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1"/>
      <c r="P394" s="731"/>
      <c r="Q394" s="731"/>
      <c r="R394" s="731"/>
      <c r="S394" s="731"/>
      <c r="T394" s="731"/>
      <c r="U394" s="731"/>
      <c r="V394" s="731"/>
      <c r="W394" s="731"/>
      <c r="X394" s="731"/>
      <c r="Y394" s="731"/>
      <c r="Z394" s="731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4301060387</v>
      </c>
      <c r="D395" s="732">
        <v>4607091380880</v>
      </c>
      <c r="E395" s="732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89</v>
      </c>
      <c r="N395" s="38"/>
      <c r="O395" s="37">
        <v>30</v>
      </c>
      <c r="P395" s="9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734"/>
      <c r="R395" s="734"/>
      <c r="S395" s="734"/>
      <c r="T395" s="735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4301060406</v>
      </c>
      <c r="D396" s="732">
        <v>4607091384482</v>
      </c>
      <c r="E396" s="732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126</v>
      </c>
      <c r="L396" s="37" t="s">
        <v>46</v>
      </c>
      <c r="M396" s="38" t="s">
        <v>89</v>
      </c>
      <c r="N396" s="38"/>
      <c r="O396" s="37">
        <v>30</v>
      </c>
      <c r="P396" s="9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734"/>
      <c r="R396" s="734"/>
      <c r="S396" s="734"/>
      <c r="T396" s="735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664</v>
      </c>
      <c r="AG396" s="78"/>
      <c r="AJ396" s="84" t="s">
        <v>46</v>
      </c>
      <c r="AK396" s="84">
        <v>0</v>
      </c>
      <c r="BB396" s="50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4301060484</v>
      </c>
      <c r="D397" s="732">
        <v>4607091380897</v>
      </c>
      <c r="E397" s="732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126</v>
      </c>
      <c r="L397" s="37" t="s">
        <v>46</v>
      </c>
      <c r="M397" s="38" t="s">
        <v>96</v>
      </c>
      <c r="N397" s="38"/>
      <c r="O397" s="37">
        <v>30</v>
      </c>
      <c r="P397" s="9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734"/>
      <c r="R397" s="734"/>
      <c r="S397" s="734"/>
      <c r="T397" s="735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667</v>
      </c>
      <c r="AG397" s="78"/>
      <c r="AJ397" s="84" t="s">
        <v>46</v>
      </c>
      <c r="AK397" s="84">
        <v>0</v>
      </c>
      <c r="BB397" s="50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40"/>
      <c r="B398" s="740"/>
      <c r="C398" s="740"/>
      <c r="D398" s="740"/>
      <c r="E398" s="740"/>
      <c r="F398" s="740"/>
      <c r="G398" s="740"/>
      <c r="H398" s="740"/>
      <c r="I398" s="740"/>
      <c r="J398" s="740"/>
      <c r="K398" s="740"/>
      <c r="L398" s="740"/>
      <c r="M398" s="740"/>
      <c r="N398" s="740"/>
      <c r="O398" s="741"/>
      <c r="P398" s="737" t="s">
        <v>40</v>
      </c>
      <c r="Q398" s="738"/>
      <c r="R398" s="738"/>
      <c r="S398" s="738"/>
      <c r="T398" s="738"/>
      <c r="U398" s="738"/>
      <c r="V398" s="739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40"/>
      <c r="B399" s="740"/>
      <c r="C399" s="740"/>
      <c r="D399" s="740"/>
      <c r="E399" s="740"/>
      <c r="F399" s="740"/>
      <c r="G399" s="740"/>
      <c r="H399" s="740"/>
      <c r="I399" s="740"/>
      <c r="J399" s="740"/>
      <c r="K399" s="740"/>
      <c r="L399" s="740"/>
      <c r="M399" s="740"/>
      <c r="N399" s="740"/>
      <c r="O399" s="741"/>
      <c r="P399" s="737" t="s">
        <v>40</v>
      </c>
      <c r="Q399" s="738"/>
      <c r="R399" s="738"/>
      <c r="S399" s="738"/>
      <c r="T399" s="738"/>
      <c r="U399" s="738"/>
      <c r="V399" s="739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31" t="s">
        <v>293</v>
      </c>
      <c r="B400" s="731"/>
      <c r="C400" s="731"/>
      <c r="D400" s="731"/>
      <c r="E400" s="731"/>
      <c r="F400" s="731"/>
      <c r="G400" s="731"/>
      <c r="H400" s="731"/>
      <c r="I400" s="731"/>
      <c r="J400" s="731"/>
      <c r="K400" s="731"/>
      <c r="L400" s="731"/>
      <c r="M400" s="731"/>
      <c r="N400" s="731"/>
      <c r="O400" s="731"/>
      <c r="P400" s="731"/>
      <c r="Q400" s="731"/>
      <c r="R400" s="731"/>
      <c r="S400" s="731"/>
      <c r="T400" s="731"/>
      <c r="U400" s="731"/>
      <c r="V400" s="731"/>
      <c r="W400" s="731"/>
      <c r="X400" s="731"/>
      <c r="Y400" s="731"/>
      <c r="Z400" s="731"/>
      <c r="AA400" s="66"/>
      <c r="AB400" s="66"/>
      <c r="AC400" s="80"/>
    </row>
    <row r="401" spans="1:68" ht="27" hidden="1" customHeight="1" x14ac:dyDescent="0.25">
      <c r="A401" s="63" t="s">
        <v>668</v>
      </c>
      <c r="B401" s="63" t="s">
        <v>669</v>
      </c>
      <c r="C401" s="36">
        <v>4301030235</v>
      </c>
      <c r="D401" s="732">
        <v>4607091388381</v>
      </c>
      <c r="E401" s="732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133</v>
      </c>
      <c r="L401" s="37" t="s">
        <v>46</v>
      </c>
      <c r="M401" s="38" t="s">
        <v>268</v>
      </c>
      <c r="N401" s="38"/>
      <c r="O401" s="37">
        <v>180</v>
      </c>
      <c r="P401" s="9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734"/>
      <c r="R401" s="734"/>
      <c r="S401" s="734"/>
      <c r="T401" s="735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670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4301030232</v>
      </c>
      <c r="D402" s="732">
        <v>4607091388374</v>
      </c>
      <c r="E402" s="732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133</v>
      </c>
      <c r="L402" s="37" t="s">
        <v>46</v>
      </c>
      <c r="M402" s="38" t="s">
        <v>268</v>
      </c>
      <c r="N402" s="38"/>
      <c r="O402" s="37">
        <v>180</v>
      </c>
      <c r="P402" s="9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734"/>
      <c r="R402" s="734"/>
      <c r="S402" s="734"/>
      <c r="T402" s="735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670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4301032015</v>
      </c>
      <c r="D403" s="732">
        <v>4607091383102</v>
      </c>
      <c r="E403" s="732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90</v>
      </c>
      <c r="L403" s="37" t="s">
        <v>46</v>
      </c>
      <c r="M403" s="38" t="s">
        <v>268</v>
      </c>
      <c r="N403" s="38"/>
      <c r="O403" s="37">
        <v>180</v>
      </c>
      <c r="P403" s="9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734"/>
      <c r="R403" s="734"/>
      <c r="S403" s="734"/>
      <c r="T403" s="735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670</v>
      </c>
      <c r="AG403" s="78"/>
      <c r="AJ403" s="84" t="s">
        <v>46</v>
      </c>
      <c r="AK403" s="84">
        <v>0</v>
      </c>
      <c r="BB403" s="51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4301030233</v>
      </c>
      <c r="D404" s="732">
        <v>4607091388404</v>
      </c>
      <c r="E404" s="732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90</v>
      </c>
      <c r="L404" s="37" t="s">
        <v>46</v>
      </c>
      <c r="M404" s="38" t="s">
        <v>268</v>
      </c>
      <c r="N404" s="38"/>
      <c r="O404" s="37">
        <v>180</v>
      </c>
      <c r="P404" s="9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734"/>
      <c r="R404" s="734"/>
      <c r="S404" s="734"/>
      <c r="T404" s="735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670</v>
      </c>
      <c r="AG404" s="78"/>
      <c r="AJ404" s="84" t="s">
        <v>46</v>
      </c>
      <c r="AK404" s="84">
        <v>0</v>
      </c>
      <c r="BB404" s="51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40"/>
      <c r="B405" s="740"/>
      <c r="C405" s="740"/>
      <c r="D405" s="740"/>
      <c r="E405" s="740"/>
      <c r="F405" s="740"/>
      <c r="G405" s="740"/>
      <c r="H405" s="740"/>
      <c r="I405" s="740"/>
      <c r="J405" s="740"/>
      <c r="K405" s="740"/>
      <c r="L405" s="740"/>
      <c r="M405" s="740"/>
      <c r="N405" s="740"/>
      <c r="O405" s="741"/>
      <c r="P405" s="737" t="s">
        <v>40</v>
      </c>
      <c r="Q405" s="738"/>
      <c r="R405" s="738"/>
      <c r="S405" s="738"/>
      <c r="T405" s="738"/>
      <c r="U405" s="738"/>
      <c r="V405" s="739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40"/>
      <c r="B406" s="740"/>
      <c r="C406" s="740"/>
      <c r="D406" s="740"/>
      <c r="E406" s="740"/>
      <c r="F406" s="740"/>
      <c r="G406" s="740"/>
      <c r="H406" s="740"/>
      <c r="I406" s="740"/>
      <c r="J406" s="740"/>
      <c r="K406" s="740"/>
      <c r="L406" s="740"/>
      <c r="M406" s="740"/>
      <c r="N406" s="740"/>
      <c r="O406" s="741"/>
      <c r="P406" s="737" t="s">
        <v>40</v>
      </c>
      <c r="Q406" s="738"/>
      <c r="R406" s="738"/>
      <c r="S406" s="738"/>
      <c r="T406" s="738"/>
      <c r="U406" s="738"/>
      <c r="V406" s="739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31" t="s">
        <v>677</v>
      </c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1"/>
      <c r="P407" s="731"/>
      <c r="Q407" s="731"/>
      <c r="R407" s="731"/>
      <c r="S407" s="731"/>
      <c r="T407" s="731"/>
      <c r="U407" s="731"/>
      <c r="V407" s="731"/>
      <c r="W407" s="731"/>
      <c r="X407" s="731"/>
      <c r="Y407" s="731"/>
      <c r="Z407" s="731"/>
      <c r="AA407" s="66"/>
      <c r="AB407" s="66"/>
      <c r="AC407" s="80"/>
    </row>
    <row r="408" spans="1:68" ht="16.5" hidden="1" customHeight="1" x14ac:dyDescent="0.25">
      <c r="A408" s="63" t="s">
        <v>678</v>
      </c>
      <c r="B408" s="63" t="s">
        <v>679</v>
      </c>
      <c r="C408" s="36">
        <v>4301180007</v>
      </c>
      <c r="D408" s="732">
        <v>4680115881808</v>
      </c>
      <c r="E408" s="732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681</v>
      </c>
      <c r="N408" s="38"/>
      <c r="O408" s="37">
        <v>731</v>
      </c>
      <c r="P408" s="95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734"/>
      <c r="R408" s="734"/>
      <c r="S408" s="734"/>
      <c r="T408" s="735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680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4301180006</v>
      </c>
      <c r="D409" s="732">
        <v>4680115881822</v>
      </c>
      <c r="E409" s="732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90</v>
      </c>
      <c r="L409" s="37" t="s">
        <v>46</v>
      </c>
      <c r="M409" s="38" t="s">
        <v>681</v>
      </c>
      <c r="N409" s="38"/>
      <c r="O409" s="37">
        <v>731</v>
      </c>
      <c r="P409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734"/>
      <c r="R409" s="734"/>
      <c r="S409" s="734"/>
      <c r="T409" s="735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680</v>
      </c>
      <c r="AG409" s="78"/>
      <c r="AJ409" s="84" t="s">
        <v>46</v>
      </c>
      <c r="AK409" s="84">
        <v>0</v>
      </c>
      <c r="BB409" s="52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4301180001</v>
      </c>
      <c r="D410" s="732">
        <v>4680115880016</v>
      </c>
      <c r="E410" s="732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90</v>
      </c>
      <c r="L410" s="37" t="s">
        <v>46</v>
      </c>
      <c r="M410" s="38" t="s">
        <v>681</v>
      </c>
      <c r="N410" s="38"/>
      <c r="O410" s="37">
        <v>731</v>
      </c>
      <c r="P410" s="95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734"/>
      <c r="R410" s="734"/>
      <c r="S410" s="734"/>
      <c r="T410" s="735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680</v>
      </c>
      <c r="AG410" s="78"/>
      <c r="AJ410" s="84" t="s">
        <v>46</v>
      </c>
      <c r="AK410" s="84">
        <v>0</v>
      </c>
      <c r="BB410" s="52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40"/>
      <c r="B411" s="740"/>
      <c r="C411" s="740"/>
      <c r="D411" s="740"/>
      <c r="E411" s="740"/>
      <c r="F411" s="740"/>
      <c r="G411" s="740"/>
      <c r="H411" s="740"/>
      <c r="I411" s="740"/>
      <c r="J411" s="740"/>
      <c r="K411" s="740"/>
      <c r="L411" s="740"/>
      <c r="M411" s="740"/>
      <c r="N411" s="740"/>
      <c r="O411" s="741"/>
      <c r="P411" s="737" t="s">
        <v>40</v>
      </c>
      <c r="Q411" s="738"/>
      <c r="R411" s="738"/>
      <c r="S411" s="738"/>
      <c r="T411" s="738"/>
      <c r="U411" s="738"/>
      <c r="V411" s="73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40"/>
      <c r="B412" s="740"/>
      <c r="C412" s="740"/>
      <c r="D412" s="740"/>
      <c r="E412" s="740"/>
      <c r="F412" s="740"/>
      <c r="G412" s="740"/>
      <c r="H412" s="740"/>
      <c r="I412" s="740"/>
      <c r="J412" s="740"/>
      <c r="K412" s="740"/>
      <c r="L412" s="740"/>
      <c r="M412" s="740"/>
      <c r="N412" s="740"/>
      <c r="O412" s="741"/>
      <c r="P412" s="737" t="s">
        <v>40</v>
      </c>
      <c r="Q412" s="738"/>
      <c r="R412" s="738"/>
      <c r="S412" s="738"/>
      <c r="T412" s="738"/>
      <c r="U412" s="738"/>
      <c r="V412" s="73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731" t="s">
        <v>686</v>
      </c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1"/>
      <c r="P413" s="731"/>
      <c r="Q413" s="731"/>
      <c r="R413" s="731"/>
      <c r="S413" s="731"/>
      <c r="T413" s="731"/>
      <c r="U413" s="731"/>
      <c r="V413" s="731"/>
      <c r="W413" s="731"/>
      <c r="X413" s="731"/>
      <c r="Y413" s="731"/>
      <c r="Z413" s="731"/>
      <c r="AA413" s="66"/>
      <c r="AB413" s="66"/>
      <c r="AC413" s="80"/>
    </row>
    <row r="414" spans="1:68" ht="27" hidden="1" customHeight="1" x14ac:dyDescent="0.25">
      <c r="A414" s="63" t="s">
        <v>687</v>
      </c>
      <c r="B414" s="63" t="s">
        <v>688</v>
      </c>
      <c r="C414" s="36">
        <v>4301220003</v>
      </c>
      <c r="D414" s="732">
        <v>4680115888678</v>
      </c>
      <c r="E414" s="732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681</v>
      </c>
      <c r="N414" s="38"/>
      <c r="O414" s="37">
        <v>1096</v>
      </c>
      <c r="P414" s="95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734"/>
      <c r="R414" s="734"/>
      <c r="S414" s="734"/>
      <c r="T414" s="735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689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690</v>
      </c>
      <c r="B415" s="63" t="s">
        <v>691</v>
      </c>
      <c r="C415" s="36">
        <v>4301220001</v>
      </c>
      <c r="D415" s="732">
        <v>4680115888654</v>
      </c>
      <c r="E415" s="732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133</v>
      </c>
      <c r="L415" s="37" t="s">
        <v>46</v>
      </c>
      <c r="M415" s="38" t="s">
        <v>681</v>
      </c>
      <c r="N415" s="38"/>
      <c r="O415" s="37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734"/>
      <c r="R415" s="734"/>
      <c r="S415" s="734"/>
      <c r="T415" s="735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692</v>
      </c>
      <c r="AG415" s="78"/>
      <c r="AJ415" s="84" t="s">
        <v>46</v>
      </c>
      <c r="AK415" s="84">
        <v>0</v>
      </c>
      <c r="BB415" s="52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693</v>
      </c>
      <c r="B416" s="63" t="s">
        <v>694</v>
      </c>
      <c r="C416" s="36">
        <v>4301220002</v>
      </c>
      <c r="D416" s="732">
        <v>4680115888753</v>
      </c>
      <c r="E416" s="732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90</v>
      </c>
      <c r="L416" s="37" t="s">
        <v>46</v>
      </c>
      <c r="M416" s="38" t="s">
        <v>681</v>
      </c>
      <c r="N416" s="38"/>
      <c r="O416" s="37">
        <v>1096</v>
      </c>
      <c r="P416" s="96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734"/>
      <c r="R416" s="734"/>
      <c r="S416" s="734"/>
      <c r="T416" s="735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689</v>
      </c>
      <c r="AG416" s="78"/>
      <c r="AJ416" s="84" t="s">
        <v>46</v>
      </c>
      <c r="AK416" s="84">
        <v>0</v>
      </c>
      <c r="BB416" s="52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40"/>
      <c r="B417" s="740"/>
      <c r="C417" s="740"/>
      <c r="D417" s="740"/>
      <c r="E417" s="740"/>
      <c r="F417" s="740"/>
      <c r="G417" s="740"/>
      <c r="H417" s="740"/>
      <c r="I417" s="740"/>
      <c r="J417" s="740"/>
      <c r="K417" s="740"/>
      <c r="L417" s="740"/>
      <c r="M417" s="740"/>
      <c r="N417" s="740"/>
      <c r="O417" s="741"/>
      <c r="P417" s="737" t="s">
        <v>40</v>
      </c>
      <c r="Q417" s="738"/>
      <c r="R417" s="738"/>
      <c r="S417" s="738"/>
      <c r="T417" s="738"/>
      <c r="U417" s="738"/>
      <c r="V417" s="739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40"/>
      <c r="B418" s="740"/>
      <c r="C418" s="740"/>
      <c r="D418" s="740"/>
      <c r="E418" s="740"/>
      <c r="F418" s="740"/>
      <c r="G418" s="740"/>
      <c r="H418" s="740"/>
      <c r="I418" s="740"/>
      <c r="J418" s="740"/>
      <c r="K418" s="740"/>
      <c r="L418" s="740"/>
      <c r="M418" s="740"/>
      <c r="N418" s="740"/>
      <c r="O418" s="741"/>
      <c r="P418" s="737" t="s">
        <v>40</v>
      </c>
      <c r="Q418" s="738"/>
      <c r="R418" s="738"/>
      <c r="S418" s="738"/>
      <c r="T418" s="738"/>
      <c r="U418" s="738"/>
      <c r="V418" s="739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30" t="s">
        <v>695</v>
      </c>
      <c r="B419" s="730"/>
      <c r="C419" s="730"/>
      <c r="D419" s="730"/>
      <c r="E419" s="730"/>
      <c r="F419" s="730"/>
      <c r="G419" s="730"/>
      <c r="H419" s="730"/>
      <c r="I419" s="730"/>
      <c r="J419" s="730"/>
      <c r="K419" s="730"/>
      <c r="L419" s="730"/>
      <c r="M419" s="730"/>
      <c r="N419" s="730"/>
      <c r="O419" s="730"/>
      <c r="P419" s="730"/>
      <c r="Q419" s="730"/>
      <c r="R419" s="730"/>
      <c r="S419" s="730"/>
      <c r="T419" s="730"/>
      <c r="U419" s="730"/>
      <c r="V419" s="730"/>
      <c r="W419" s="730"/>
      <c r="X419" s="730"/>
      <c r="Y419" s="730"/>
      <c r="Z419" s="730"/>
      <c r="AA419" s="65"/>
      <c r="AB419" s="65"/>
      <c r="AC419" s="79"/>
    </row>
    <row r="420" spans="1:68" ht="14.25" hidden="1" customHeight="1" x14ac:dyDescent="0.25">
      <c r="A420" s="731" t="s">
        <v>85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6"/>
      <c r="AB420" s="66"/>
      <c r="AC420" s="80"/>
    </row>
    <row r="421" spans="1:68" ht="16.5" hidden="1" customHeight="1" x14ac:dyDescent="0.25">
      <c r="A421" s="63" t="s">
        <v>696</v>
      </c>
      <c r="B421" s="63" t="s">
        <v>697</v>
      </c>
      <c r="C421" s="36">
        <v>4301052235</v>
      </c>
      <c r="D421" s="732">
        <v>4680115889415</v>
      </c>
      <c r="E421" s="732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126</v>
      </c>
      <c r="L421" s="37" t="s">
        <v>46</v>
      </c>
      <c r="M421" s="38" t="s">
        <v>89</v>
      </c>
      <c r="N421" s="38"/>
      <c r="O421" s="37">
        <v>40</v>
      </c>
      <c r="P421" s="96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734"/>
      <c r="R421" s="734"/>
      <c r="S421" s="734"/>
      <c r="T421" s="735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698</v>
      </c>
      <c r="AG421" s="78"/>
      <c r="AJ421" s="84" t="s">
        <v>46</v>
      </c>
      <c r="AK421" s="84">
        <v>0</v>
      </c>
      <c r="BB421" s="531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699</v>
      </c>
      <c r="B422" s="63" t="s">
        <v>700</v>
      </c>
      <c r="C422" s="36">
        <v>4301052236</v>
      </c>
      <c r="D422" s="732">
        <v>4680115889422</v>
      </c>
      <c r="E422" s="732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126</v>
      </c>
      <c r="L422" s="37" t="s">
        <v>46</v>
      </c>
      <c r="M422" s="38" t="s">
        <v>89</v>
      </c>
      <c r="N422" s="38"/>
      <c r="O422" s="37">
        <v>40</v>
      </c>
      <c r="P422" s="96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734"/>
      <c r="R422" s="734"/>
      <c r="S422" s="734"/>
      <c r="T422" s="735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701</v>
      </c>
      <c r="AG422" s="78"/>
      <c r="AJ422" s="84" t="s">
        <v>46</v>
      </c>
      <c r="AK422" s="84">
        <v>0</v>
      </c>
      <c r="BB422" s="53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740"/>
      <c r="B423" s="740"/>
      <c r="C423" s="740"/>
      <c r="D423" s="740"/>
      <c r="E423" s="740"/>
      <c r="F423" s="740"/>
      <c r="G423" s="740"/>
      <c r="H423" s="740"/>
      <c r="I423" s="740"/>
      <c r="J423" s="740"/>
      <c r="K423" s="740"/>
      <c r="L423" s="740"/>
      <c r="M423" s="740"/>
      <c r="N423" s="740"/>
      <c r="O423" s="741"/>
      <c r="P423" s="737" t="s">
        <v>40</v>
      </c>
      <c r="Q423" s="738"/>
      <c r="R423" s="738"/>
      <c r="S423" s="738"/>
      <c r="T423" s="738"/>
      <c r="U423" s="738"/>
      <c r="V423" s="739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740"/>
      <c r="B424" s="740"/>
      <c r="C424" s="740"/>
      <c r="D424" s="740"/>
      <c r="E424" s="740"/>
      <c r="F424" s="740"/>
      <c r="G424" s="740"/>
      <c r="H424" s="740"/>
      <c r="I424" s="740"/>
      <c r="J424" s="740"/>
      <c r="K424" s="740"/>
      <c r="L424" s="740"/>
      <c r="M424" s="740"/>
      <c r="N424" s="740"/>
      <c r="O424" s="741"/>
      <c r="P424" s="737" t="s">
        <v>40</v>
      </c>
      <c r="Q424" s="738"/>
      <c r="R424" s="738"/>
      <c r="S424" s="738"/>
      <c r="T424" s="738"/>
      <c r="U424" s="738"/>
      <c r="V424" s="739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730" t="s">
        <v>702</v>
      </c>
      <c r="B425" s="730"/>
      <c r="C425" s="730"/>
      <c r="D425" s="730"/>
      <c r="E425" s="730"/>
      <c r="F425" s="730"/>
      <c r="G425" s="730"/>
      <c r="H425" s="730"/>
      <c r="I425" s="730"/>
      <c r="J425" s="730"/>
      <c r="K425" s="730"/>
      <c r="L425" s="730"/>
      <c r="M425" s="730"/>
      <c r="N425" s="730"/>
      <c r="O425" s="730"/>
      <c r="P425" s="730"/>
      <c r="Q425" s="730"/>
      <c r="R425" s="730"/>
      <c r="S425" s="730"/>
      <c r="T425" s="730"/>
      <c r="U425" s="730"/>
      <c r="V425" s="730"/>
      <c r="W425" s="730"/>
      <c r="X425" s="730"/>
      <c r="Y425" s="730"/>
      <c r="Z425" s="730"/>
      <c r="AA425" s="65"/>
      <c r="AB425" s="65"/>
      <c r="AC425" s="79"/>
    </row>
    <row r="426" spans="1:68" ht="14.25" hidden="1" customHeight="1" x14ac:dyDescent="0.25">
      <c r="A426" s="731" t="s">
        <v>85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6"/>
      <c r="AB426" s="66"/>
      <c r="AC426" s="80"/>
    </row>
    <row r="427" spans="1:68" ht="27" hidden="1" customHeight="1" x14ac:dyDescent="0.25">
      <c r="A427" s="63" t="s">
        <v>703</v>
      </c>
      <c r="B427" s="63" t="s">
        <v>704</v>
      </c>
      <c r="C427" s="36">
        <v>4301051489</v>
      </c>
      <c r="D427" s="732">
        <v>4607091387919</v>
      </c>
      <c r="E427" s="732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126</v>
      </c>
      <c r="L427" s="37" t="s">
        <v>46</v>
      </c>
      <c r="M427" s="38" t="s">
        <v>96</v>
      </c>
      <c r="N427" s="38"/>
      <c r="O427" s="37">
        <v>45</v>
      </c>
      <c r="P427" s="96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734"/>
      <c r="R427" s="734"/>
      <c r="S427" s="734"/>
      <c r="T427" s="735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4301051461</v>
      </c>
      <c r="D428" s="732">
        <v>4680115883604</v>
      </c>
      <c r="E428" s="732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90</v>
      </c>
      <c r="L428" s="37" t="s">
        <v>46</v>
      </c>
      <c r="M428" s="38" t="s">
        <v>89</v>
      </c>
      <c r="N428" s="38"/>
      <c r="O428" s="37">
        <v>45</v>
      </c>
      <c r="P428" s="9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734"/>
      <c r="R428" s="734"/>
      <c r="S428" s="734"/>
      <c r="T428" s="735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708</v>
      </c>
      <c r="AG428" s="78"/>
      <c r="AJ428" s="84" t="s">
        <v>46</v>
      </c>
      <c r="AK428" s="84">
        <v>0</v>
      </c>
      <c r="BB428" s="53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4301051864</v>
      </c>
      <c r="D429" s="732">
        <v>4680115883567</v>
      </c>
      <c r="E429" s="732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90</v>
      </c>
      <c r="L429" s="37" t="s">
        <v>46</v>
      </c>
      <c r="M429" s="38" t="s">
        <v>96</v>
      </c>
      <c r="N429" s="38"/>
      <c r="O429" s="37">
        <v>40</v>
      </c>
      <c r="P429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734"/>
      <c r="R429" s="734"/>
      <c r="S429" s="734"/>
      <c r="T429" s="735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711</v>
      </c>
      <c r="AG429" s="78"/>
      <c r="AJ429" s="84" t="s">
        <v>46</v>
      </c>
      <c r="AK429" s="84">
        <v>0</v>
      </c>
      <c r="BB429" s="53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740"/>
      <c r="B430" s="740"/>
      <c r="C430" s="740"/>
      <c r="D430" s="740"/>
      <c r="E430" s="740"/>
      <c r="F430" s="740"/>
      <c r="G430" s="740"/>
      <c r="H430" s="740"/>
      <c r="I430" s="740"/>
      <c r="J430" s="740"/>
      <c r="K430" s="740"/>
      <c r="L430" s="740"/>
      <c r="M430" s="740"/>
      <c r="N430" s="740"/>
      <c r="O430" s="741"/>
      <c r="P430" s="737" t="s">
        <v>40</v>
      </c>
      <c r="Q430" s="738"/>
      <c r="R430" s="738"/>
      <c r="S430" s="738"/>
      <c r="T430" s="738"/>
      <c r="U430" s="738"/>
      <c r="V430" s="739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740"/>
      <c r="B431" s="740"/>
      <c r="C431" s="740"/>
      <c r="D431" s="740"/>
      <c r="E431" s="740"/>
      <c r="F431" s="740"/>
      <c r="G431" s="740"/>
      <c r="H431" s="740"/>
      <c r="I431" s="740"/>
      <c r="J431" s="740"/>
      <c r="K431" s="740"/>
      <c r="L431" s="740"/>
      <c r="M431" s="740"/>
      <c r="N431" s="740"/>
      <c r="O431" s="741"/>
      <c r="P431" s="737" t="s">
        <v>40</v>
      </c>
      <c r="Q431" s="738"/>
      <c r="R431" s="738"/>
      <c r="S431" s="738"/>
      <c r="T431" s="738"/>
      <c r="U431" s="738"/>
      <c r="V431" s="739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729" t="s">
        <v>712</v>
      </c>
      <c r="B432" s="729"/>
      <c r="C432" s="729"/>
      <c r="D432" s="729"/>
      <c r="E432" s="729"/>
      <c r="F432" s="729"/>
      <c r="G432" s="729"/>
      <c r="H432" s="729"/>
      <c r="I432" s="729"/>
      <c r="J432" s="729"/>
      <c r="K432" s="729"/>
      <c r="L432" s="729"/>
      <c r="M432" s="729"/>
      <c r="N432" s="729"/>
      <c r="O432" s="729"/>
      <c r="P432" s="729"/>
      <c r="Q432" s="729"/>
      <c r="R432" s="729"/>
      <c r="S432" s="729"/>
      <c r="T432" s="729"/>
      <c r="U432" s="729"/>
      <c r="V432" s="729"/>
      <c r="W432" s="729"/>
      <c r="X432" s="729"/>
      <c r="Y432" s="729"/>
      <c r="Z432" s="729"/>
      <c r="AA432" s="54"/>
      <c r="AB432" s="54"/>
      <c r="AC432" s="54"/>
    </row>
    <row r="433" spans="1:68" ht="16.5" hidden="1" customHeight="1" x14ac:dyDescent="0.25">
      <c r="A433" s="730" t="s">
        <v>713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65"/>
      <c r="AB433" s="65"/>
      <c r="AC433" s="79"/>
    </row>
    <row r="434" spans="1:68" ht="14.25" hidden="1" customHeight="1" x14ac:dyDescent="0.25">
      <c r="A434" s="731" t="s">
        <v>121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6"/>
      <c r="AB434" s="66"/>
      <c r="AC434" s="80"/>
    </row>
    <row r="435" spans="1:68" ht="27" hidden="1" customHeight="1" x14ac:dyDescent="0.25">
      <c r="A435" s="63" t="s">
        <v>714</v>
      </c>
      <c r="B435" s="63" t="s">
        <v>715</v>
      </c>
      <c r="C435" s="36">
        <v>4301012332</v>
      </c>
      <c r="D435" s="732">
        <v>4680115888401</v>
      </c>
      <c r="E435" s="732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9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734"/>
      <c r="R435" s="734"/>
      <c r="S435" s="734"/>
      <c r="T435" s="735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66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717</v>
      </c>
      <c r="B436" s="63" t="s">
        <v>718</v>
      </c>
      <c r="C436" s="36">
        <v>4301011869</v>
      </c>
      <c r="D436" s="732">
        <v>4680115884847</v>
      </c>
      <c r="E436" s="732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734"/>
      <c r="R436" s="734"/>
      <c r="S436" s="734"/>
      <c r="T436" s="735"/>
      <c r="U436" s="39" t="s">
        <v>46</v>
      </c>
      <c r="V436" s="39" t="s">
        <v>46</v>
      </c>
      <c r="W436" s="40" t="s">
        <v>0</v>
      </c>
      <c r="X436" s="58">
        <v>280</v>
      </c>
      <c r="Y436" s="55">
        <f t="shared" si="65"/>
        <v>285</v>
      </c>
      <c r="Z436" s="41">
        <f>IFERROR(IF(Y436=0,"",ROUNDUP(Y436/H436,0)*0.02175),"")</f>
        <v>0.41324999999999995</v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66</v>
      </c>
      <c r="BM436" s="78">
        <f t="shared" si="66"/>
        <v>288.77333333333337</v>
      </c>
      <c r="BN436" s="78">
        <f t="shared" si="67"/>
        <v>293.93</v>
      </c>
      <c r="BO436" s="78">
        <f t="shared" si="68"/>
        <v>0.3888888888888889</v>
      </c>
      <c r="BP436" s="78">
        <f t="shared" si="69"/>
        <v>0.39583333333333331</v>
      </c>
    </row>
    <row r="437" spans="1:68" ht="27" customHeight="1" x14ac:dyDescent="0.25">
      <c r="A437" s="63" t="s">
        <v>720</v>
      </c>
      <c r="B437" s="63" t="s">
        <v>721</v>
      </c>
      <c r="C437" s="36">
        <v>4301012083</v>
      </c>
      <c r="D437" s="732">
        <v>4680115884854</v>
      </c>
      <c r="E437" s="732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60</v>
      </c>
      <c r="P437" s="9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734"/>
      <c r="R437" s="734"/>
      <c r="S437" s="734"/>
      <c r="T437" s="735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65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66</v>
      </c>
      <c r="BM437" s="78">
        <f t="shared" si="66"/>
        <v>154.69999999999999</v>
      </c>
      <c r="BN437" s="78">
        <f t="shared" si="67"/>
        <v>154.69999999999999</v>
      </c>
      <c r="BO437" s="78">
        <f t="shared" si="68"/>
        <v>0.20833333333333331</v>
      </c>
      <c r="BP437" s="78">
        <f t="shared" si="69"/>
        <v>0.20833333333333331</v>
      </c>
    </row>
    <row r="438" spans="1:68" ht="27" customHeight="1" x14ac:dyDescent="0.25">
      <c r="A438" s="63" t="s">
        <v>723</v>
      </c>
      <c r="B438" s="63" t="s">
        <v>724</v>
      </c>
      <c r="C438" s="36">
        <v>4301011867</v>
      </c>
      <c r="D438" s="732">
        <v>4680115884830</v>
      </c>
      <c r="E438" s="732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80</v>
      </c>
      <c r="N438" s="38"/>
      <c r="O438" s="37">
        <v>60</v>
      </c>
      <c r="P438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734"/>
      <c r="R438" s="734"/>
      <c r="S438" s="734"/>
      <c r="T438" s="735"/>
      <c r="U438" s="39" t="s">
        <v>46</v>
      </c>
      <c r="V438" s="39" t="s">
        <v>46</v>
      </c>
      <c r="W438" s="40" t="s">
        <v>0</v>
      </c>
      <c r="X438" s="58">
        <v>150</v>
      </c>
      <c r="Y438" s="55">
        <f t="shared" si="65"/>
        <v>150</v>
      </c>
      <c r="Z438" s="41">
        <f>IFERROR(IF(Y438=0,"",ROUNDUP(Y438/H438,0)*0.02175),"")</f>
        <v>0.21749999999999997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66</v>
      </c>
      <c r="BM438" s="78">
        <f t="shared" si="66"/>
        <v>154.69999999999999</v>
      </c>
      <c r="BN438" s="78">
        <f t="shared" si="67"/>
        <v>154.69999999999999</v>
      </c>
      <c r="BO438" s="78">
        <f t="shared" si="68"/>
        <v>0.20833333333333331</v>
      </c>
      <c r="BP438" s="78">
        <f t="shared" si="69"/>
        <v>0.20833333333333331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4301012356</v>
      </c>
      <c r="D439" s="732">
        <v>4680115889231</v>
      </c>
      <c r="E439" s="732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126</v>
      </c>
      <c r="L439" s="37" t="s">
        <v>46</v>
      </c>
      <c r="M439" s="38" t="s">
        <v>96</v>
      </c>
      <c r="N439" s="38"/>
      <c r="O439" s="37">
        <v>60</v>
      </c>
      <c r="P439" s="97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734"/>
      <c r="R439" s="734"/>
      <c r="S439" s="734"/>
      <c r="T439" s="735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66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729</v>
      </c>
      <c r="B440" s="63" t="s">
        <v>730</v>
      </c>
      <c r="C440" s="36">
        <v>4301011433</v>
      </c>
      <c r="D440" s="732">
        <v>4680115882638</v>
      </c>
      <c r="E440" s="732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133</v>
      </c>
      <c r="L440" s="37" t="s">
        <v>46</v>
      </c>
      <c r="M440" s="38" t="s">
        <v>125</v>
      </c>
      <c r="N440" s="38"/>
      <c r="O440" s="37">
        <v>90</v>
      </c>
      <c r="P440" s="97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734"/>
      <c r="R440" s="734"/>
      <c r="S440" s="734"/>
      <c r="T440" s="735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66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732</v>
      </c>
      <c r="B441" s="63" t="s">
        <v>733</v>
      </c>
      <c r="C441" s="36">
        <v>4301011952</v>
      </c>
      <c r="D441" s="732">
        <v>4680115884922</v>
      </c>
      <c r="E441" s="732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133</v>
      </c>
      <c r="L441" s="37" t="s">
        <v>46</v>
      </c>
      <c r="M441" s="38" t="s">
        <v>80</v>
      </c>
      <c r="N441" s="38"/>
      <c r="O441" s="37">
        <v>60</v>
      </c>
      <c r="P441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734"/>
      <c r="R441" s="734"/>
      <c r="S441" s="734"/>
      <c r="T441" s="735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734</v>
      </c>
      <c r="AG441" s="78"/>
      <c r="AJ441" s="84" t="s">
        <v>46</v>
      </c>
      <c r="AK441" s="84">
        <v>0</v>
      </c>
      <c r="BB441" s="553" t="s">
        <v>66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735</v>
      </c>
      <c r="B442" s="63" t="s">
        <v>736</v>
      </c>
      <c r="C442" s="36">
        <v>4301011868</v>
      </c>
      <c r="D442" s="732">
        <v>4680115884861</v>
      </c>
      <c r="E442" s="732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133</v>
      </c>
      <c r="L442" s="37" t="s">
        <v>46</v>
      </c>
      <c r="M442" s="38" t="s">
        <v>80</v>
      </c>
      <c r="N442" s="38"/>
      <c r="O442" s="37">
        <v>60</v>
      </c>
      <c r="P442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734"/>
      <c r="R442" s="734"/>
      <c r="S442" s="734"/>
      <c r="T442" s="735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737</v>
      </c>
      <c r="AG442" s="78"/>
      <c r="AJ442" s="84" t="s">
        <v>46</v>
      </c>
      <c r="AK442" s="84">
        <v>0</v>
      </c>
      <c r="BB442" s="555" t="s">
        <v>66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740"/>
      <c r="B443" s="740"/>
      <c r="C443" s="740"/>
      <c r="D443" s="740"/>
      <c r="E443" s="740"/>
      <c r="F443" s="740"/>
      <c r="G443" s="740"/>
      <c r="H443" s="740"/>
      <c r="I443" s="740"/>
      <c r="J443" s="740"/>
      <c r="K443" s="740"/>
      <c r="L443" s="740"/>
      <c r="M443" s="740"/>
      <c r="N443" s="740"/>
      <c r="O443" s="741"/>
      <c r="P443" s="737" t="s">
        <v>40</v>
      </c>
      <c r="Q443" s="738"/>
      <c r="R443" s="738"/>
      <c r="S443" s="738"/>
      <c r="T443" s="738"/>
      <c r="U443" s="738"/>
      <c r="V443" s="739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38.666666666666671</v>
      </c>
      <c r="Y443" s="43">
        <f>IFERROR(Y435/H435,"0")+IFERROR(Y436/H436,"0")+IFERROR(Y437/H437,"0")+IFERROR(Y438/H438,"0")+IFERROR(Y439/H439,"0")+IFERROR(Y440/H440,"0")+IFERROR(Y441/H441,"0")+IFERROR(Y442/H442,"0")</f>
        <v>39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0.84824999999999995</v>
      </c>
      <c r="AA443" s="67"/>
      <c r="AB443" s="67"/>
      <c r="AC443" s="67"/>
    </row>
    <row r="444" spans="1:68" x14ac:dyDescent="0.2">
      <c r="A444" s="740"/>
      <c r="B444" s="740"/>
      <c r="C444" s="740"/>
      <c r="D444" s="740"/>
      <c r="E444" s="740"/>
      <c r="F444" s="740"/>
      <c r="G444" s="740"/>
      <c r="H444" s="740"/>
      <c r="I444" s="740"/>
      <c r="J444" s="740"/>
      <c r="K444" s="740"/>
      <c r="L444" s="740"/>
      <c r="M444" s="740"/>
      <c r="N444" s="740"/>
      <c r="O444" s="741"/>
      <c r="P444" s="737" t="s">
        <v>40</v>
      </c>
      <c r="Q444" s="738"/>
      <c r="R444" s="738"/>
      <c r="S444" s="738"/>
      <c r="T444" s="738"/>
      <c r="U444" s="738"/>
      <c r="V444" s="739"/>
      <c r="W444" s="42" t="s">
        <v>0</v>
      </c>
      <c r="X444" s="43">
        <f>IFERROR(SUM(X435:X442),"0")</f>
        <v>580</v>
      </c>
      <c r="Y444" s="43">
        <f>IFERROR(SUM(Y435:Y442),"0")</f>
        <v>585</v>
      </c>
      <c r="Z444" s="42"/>
      <c r="AA444" s="67"/>
      <c r="AB444" s="67"/>
      <c r="AC444" s="67"/>
    </row>
    <row r="445" spans="1:68" ht="14.25" hidden="1" customHeight="1" x14ac:dyDescent="0.25">
      <c r="A445" s="731" t="s">
        <v>154</v>
      </c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1"/>
      <c r="P445" s="731"/>
      <c r="Q445" s="731"/>
      <c r="R445" s="731"/>
      <c r="S445" s="731"/>
      <c r="T445" s="731"/>
      <c r="U445" s="731"/>
      <c r="V445" s="731"/>
      <c r="W445" s="731"/>
      <c r="X445" s="731"/>
      <c r="Y445" s="731"/>
      <c r="Z445" s="731"/>
      <c r="AA445" s="66"/>
      <c r="AB445" s="66"/>
      <c r="AC445" s="80"/>
    </row>
    <row r="446" spans="1:68" ht="27" customHeight="1" x14ac:dyDescent="0.25">
      <c r="A446" s="63" t="s">
        <v>738</v>
      </c>
      <c r="B446" s="63" t="s">
        <v>739</v>
      </c>
      <c r="C446" s="36">
        <v>4301020178</v>
      </c>
      <c r="D446" s="732">
        <v>4607091383980</v>
      </c>
      <c r="E446" s="732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126</v>
      </c>
      <c r="L446" s="37" t="s">
        <v>46</v>
      </c>
      <c r="M446" s="38" t="s">
        <v>125</v>
      </c>
      <c r="N446" s="38"/>
      <c r="O446" s="37">
        <v>50</v>
      </c>
      <c r="P446" s="9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734"/>
      <c r="R446" s="734"/>
      <c r="S446" s="734"/>
      <c r="T446" s="735"/>
      <c r="U446" s="39" t="s">
        <v>46</v>
      </c>
      <c r="V446" s="39" t="s">
        <v>46</v>
      </c>
      <c r="W446" s="40" t="s">
        <v>0</v>
      </c>
      <c r="X446" s="58">
        <v>200</v>
      </c>
      <c r="Y446" s="55">
        <f>IFERROR(IF(X446="",0,CEILING((X446/$H446),1)*$H446),"")</f>
        <v>210</v>
      </c>
      <c r="Z446" s="41">
        <f>IFERROR(IF(Y446=0,"",ROUNDUP(Y446/H446,0)*0.02175),"")</f>
        <v>0.30449999999999999</v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206.26666666666668</v>
      </c>
      <c r="BN446" s="78">
        <f>IFERROR(Y446*I446/H446,"0")</f>
        <v>216.58</v>
      </c>
      <c r="BO446" s="78">
        <f>IFERROR(1/J446*(X446/H446),"0")</f>
        <v>0.27777777777777779</v>
      </c>
      <c r="BP446" s="78">
        <f>IFERROR(1/J446*(Y446/H446),"0")</f>
        <v>0.29166666666666663</v>
      </c>
    </row>
    <row r="447" spans="1:68" ht="27" hidden="1" customHeight="1" x14ac:dyDescent="0.25">
      <c r="A447" s="63" t="s">
        <v>741</v>
      </c>
      <c r="B447" s="63" t="s">
        <v>742</v>
      </c>
      <c r="C447" s="36">
        <v>4301020355</v>
      </c>
      <c r="D447" s="732">
        <v>4680115888425</v>
      </c>
      <c r="E447" s="732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126</v>
      </c>
      <c r="L447" s="37" t="s">
        <v>46</v>
      </c>
      <c r="M447" s="38" t="s">
        <v>125</v>
      </c>
      <c r="N447" s="38"/>
      <c r="O447" s="37">
        <v>50</v>
      </c>
      <c r="P447" s="9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734"/>
      <c r="R447" s="734"/>
      <c r="S447" s="734"/>
      <c r="T447" s="735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743</v>
      </c>
      <c r="AG447" s="78"/>
      <c r="AJ447" s="84" t="s">
        <v>46</v>
      </c>
      <c r="AK447" s="84">
        <v>0</v>
      </c>
      <c r="BB447" s="55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744</v>
      </c>
      <c r="B448" s="63" t="s">
        <v>745</v>
      </c>
      <c r="C448" s="36">
        <v>4301020179</v>
      </c>
      <c r="D448" s="732">
        <v>4607091384178</v>
      </c>
      <c r="E448" s="732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133</v>
      </c>
      <c r="L448" s="37" t="s">
        <v>46</v>
      </c>
      <c r="M448" s="38" t="s">
        <v>125</v>
      </c>
      <c r="N448" s="38"/>
      <c r="O448" s="37">
        <v>50</v>
      </c>
      <c r="P448" s="9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734"/>
      <c r="R448" s="734"/>
      <c r="S448" s="734"/>
      <c r="T448" s="735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746</v>
      </c>
      <c r="AG448" s="78"/>
      <c r="AJ448" s="84" t="s">
        <v>46</v>
      </c>
      <c r="AK448" s="84">
        <v>0</v>
      </c>
      <c r="BB448" s="561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40"/>
      <c r="B449" s="740"/>
      <c r="C449" s="740"/>
      <c r="D449" s="740"/>
      <c r="E449" s="740"/>
      <c r="F449" s="740"/>
      <c r="G449" s="740"/>
      <c r="H449" s="740"/>
      <c r="I449" s="740"/>
      <c r="J449" s="740"/>
      <c r="K449" s="740"/>
      <c r="L449" s="740"/>
      <c r="M449" s="740"/>
      <c r="N449" s="740"/>
      <c r="O449" s="741"/>
      <c r="P449" s="737" t="s">
        <v>40</v>
      </c>
      <c r="Q449" s="738"/>
      <c r="R449" s="738"/>
      <c r="S449" s="738"/>
      <c r="T449" s="738"/>
      <c r="U449" s="738"/>
      <c r="V449" s="739"/>
      <c r="W449" s="42" t="s">
        <v>39</v>
      </c>
      <c r="X449" s="43">
        <f>IFERROR(X446/H446,"0")+IFERROR(X447/H447,"0")+IFERROR(X448/H448,"0")</f>
        <v>13.333333333333334</v>
      </c>
      <c r="Y449" s="43">
        <f>IFERROR(Y446/H446,"0")+IFERROR(Y447/H447,"0")+IFERROR(Y448/H448,"0")</f>
        <v>14</v>
      </c>
      <c r="Z449" s="43">
        <f>IFERROR(IF(Z446="",0,Z446),"0")+IFERROR(IF(Z447="",0,Z447),"0")+IFERROR(IF(Z448="",0,Z448),"0")</f>
        <v>0.30449999999999999</v>
      </c>
      <c r="AA449" s="67"/>
      <c r="AB449" s="67"/>
      <c r="AC449" s="67"/>
    </row>
    <row r="450" spans="1:68" x14ac:dyDescent="0.2">
      <c r="A450" s="740"/>
      <c r="B450" s="740"/>
      <c r="C450" s="740"/>
      <c r="D450" s="740"/>
      <c r="E450" s="740"/>
      <c r="F450" s="740"/>
      <c r="G450" s="740"/>
      <c r="H450" s="740"/>
      <c r="I450" s="740"/>
      <c r="J450" s="740"/>
      <c r="K450" s="740"/>
      <c r="L450" s="740"/>
      <c r="M450" s="740"/>
      <c r="N450" s="740"/>
      <c r="O450" s="741"/>
      <c r="P450" s="737" t="s">
        <v>40</v>
      </c>
      <c r="Q450" s="738"/>
      <c r="R450" s="738"/>
      <c r="S450" s="738"/>
      <c r="T450" s="738"/>
      <c r="U450" s="738"/>
      <c r="V450" s="739"/>
      <c r="W450" s="42" t="s">
        <v>0</v>
      </c>
      <c r="X450" s="43">
        <f>IFERROR(SUM(X446:X448),"0")</f>
        <v>200</v>
      </c>
      <c r="Y450" s="43">
        <f>IFERROR(SUM(Y446:Y448),"0")</f>
        <v>210</v>
      </c>
      <c r="Z450" s="42"/>
      <c r="AA450" s="67"/>
      <c r="AB450" s="67"/>
      <c r="AC450" s="67"/>
    </row>
    <row r="451" spans="1:68" ht="14.25" hidden="1" customHeight="1" x14ac:dyDescent="0.25">
      <c r="A451" s="731" t="s">
        <v>85</v>
      </c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1"/>
      <c r="P451" s="731"/>
      <c r="Q451" s="731"/>
      <c r="R451" s="731"/>
      <c r="S451" s="731"/>
      <c r="T451" s="731"/>
      <c r="U451" s="731"/>
      <c r="V451" s="731"/>
      <c r="W451" s="731"/>
      <c r="X451" s="731"/>
      <c r="Y451" s="731"/>
      <c r="Z451" s="731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4301051903</v>
      </c>
      <c r="D452" s="732">
        <v>4607091383928</v>
      </c>
      <c r="E452" s="732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126</v>
      </c>
      <c r="L452" s="37" t="s">
        <v>46</v>
      </c>
      <c r="M452" s="38" t="s">
        <v>89</v>
      </c>
      <c r="N452" s="38"/>
      <c r="O452" s="37">
        <v>40</v>
      </c>
      <c r="P452" s="9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734"/>
      <c r="R452" s="734"/>
      <c r="S452" s="734"/>
      <c r="T452" s="735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750</v>
      </c>
      <c r="B453" s="63" t="s">
        <v>751</v>
      </c>
      <c r="C453" s="36">
        <v>4301051897</v>
      </c>
      <c r="D453" s="732">
        <v>4607091384260</v>
      </c>
      <c r="E453" s="732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126</v>
      </c>
      <c r="L453" s="37" t="s">
        <v>46</v>
      </c>
      <c r="M453" s="38" t="s">
        <v>89</v>
      </c>
      <c r="N453" s="38"/>
      <c r="O453" s="37">
        <v>40</v>
      </c>
      <c r="P453" s="97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734"/>
      <c r="R453" s="734"/>
      <c r="S453" s="734"/>
      <c r="T453" s="735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752</v>
      </c>
      <c r="AG453" s="78"/>
      <c r="AJ453" s="84" t="s">
        <v>46</v>
      </c>
      <c r="AK453" s="84">
        <v>0</v>
      </c>
      <c r="BB453" s="56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753</v>
      </c>
      <c r="B454" s="63" t="s">
        <v>754</v>
      </c>
      <c r="C454" s="36">
        <v>4301052220</v>
      </c>
      <c r="D454" s="732">
        <v>4680115889538</v>
      </c>
      <c r="E454" s="732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45</v>
      </c>
      <c r="P454" s="9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734"/>
      <c r="R454" s="734"/>
      <c r="S454" s="734"/>
      <c r="T454" s="735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755</v>
      </c>
      <c r="AG454" s="78"/>
      <c r="AJ454" s="84" t="s">
        <v>46</v>
      </c>
      <c r="AK454" s="84">
        <v>0</v>
      </c>
      <c r="BB454" s="56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40"/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1"/>
      <c r="P455" s="737" t="s">
        <v>40</v>
      </c>
      <c r="Q455" s="738"/>
      <c r="R455" s="738"/>
      <c r="S455" s="738"/>
      <c r="T455" s="738"/>
      <c r="U455" s="738"/>
      <c r="V455" s="739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740"/>
      <c r="B456" s="740"/>
      <c r="C456" s="740"/>
      <c r="D456" s="740"/>
      <c r="E456" s="740"/>
      <c r="F456" s="740"/>
      <c r="G456" s="740"/>
      <c r="H456" s="740"/>
      <c r="I456" s="740"/>
      <c r="J456" s="740"/>
      <c r="K456" s="740"/>
      <c r="L456" s="740"/>
      <c r="M456" s="740"/>
      <c r="N456" s="740"/>
      <c r="O456" s="741"/>
      <c r="P456" s="737" t="s">
        <v>40</v>
      </c>
      <c r="Q456" s="738"/>
      <c r="R456" s="738"/>
      <c r="S456" s="738"/>
      <c r="T456" s="738"/>
      <c r="U456" s="738"/>
      <c r="V456" s="739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731" t="s">
        <v>172</v>
      </c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1"/>
      <c r="P457" s="731"/>
      <c r="Q457" s="731"/>
      <c r="R457" s="731"/>
      <c r="S457" s="731"/>
      <c r="T457" s="731"/>
      <c r="U457" s="731"/>
      <c r="V457" s="731"/>
      <c r="W457" s="731"/>
      <c r="X457" s="731"/>
      <c r="Y457" s="731"/>
      <c r="Z457" s="731"/>
      <c r="AA457" s="66"/>
      <c r="AB457" s="66"/>
      <c r="AC457" s="80"/>
    </row>
    <row r="458" spans="1:68" ht="27" hidden="1" customHeight="1" x14ac:dyDescent="0.25">
      <c r="A458" s="63" t="s">
        <v>756</v>
      </c>
      <c r="B458" s="63" t="s">
        <v>757</v>
      </c>
      <c r="C458" s="36">
        <v>4301060537</v>
      </c>
      <c r="D458" s="732">
        <v>4680115889545</v>
      </c>
      <c r="E458" s="732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126</v>
      </c>
      <c r="L458" s="37" t="s">
        <v>46</v>
      </c>
      <c r="M458" s="38" t="s">
        <v>89</v>
      </c>
      <c r="N458" s="38"/>
      <c r="O458" s="37">
        <v>30</v>
      </c>
      <c r="P458" s="9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734"/>
      <c r="R458" s="734"/>
      <c r="S458" s="734"/>
      <c r="T458" s="735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758</v>
      </c>
      <c r="AG458" s="78"/>
      <c r="AJ458" s="84" t="s">
        <v>46</v>
      </c>
      <c r="AK458" s="84">
        <v>0</v>
      </c>
      <c r="BB458" s="569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759</v>
      </c>
      <c r="B459" s="63" t="s">
        <v>760</v>
      </c>
      <c r="C459" s="36">
        <v>4301060524</v>
      </c>
      <c r="D459" s="732">
        <v>4607091384673</v>
      </c>
      <c r="E459" s="732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126</v>
      </c>
      <c r="L459" s="37" t="s">
        <v>46</v>
      </c>
      <c r="M459" s="38" t="s">
        <v>89</v>
      </c>
      <c r="N459" s="38"/>
      <c r="O459" s="37">
        <v>40</v>
      </c>
      <c r="P459" s="9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734"/>
      <c r="R459" s="734"/>
      <c r="S459" s="734"/>
      <c r="T459" s="735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761</v>
      </c>
      <c r="AG459" s="78"/>
      <c r="AJ459" s="84" t="s">
        <v>46</v>
      </c>
      <c r="AK459" s="84">
        <v>0</v>
      </c>
      <c r="BB459" s="571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40"/>
      <c r="B460" s="740"/>
      <c r="C460" s="740"/>
      <c r="D460" s="740"/>
      <c r="E460" s="740"/>
      <c r="F460" s="740"/>
      <c r="G460" s="740"/>
      <c r="H460" s="740"/>
      <c r="I460" s="740"/>
      <c r="J460" s="740"/>
      <c r="K460" s="740"/>
      <c r="L460" s="740"/>
      <c r="M460" s="740"/>
      <c r="N460" s="740"/>
      <c r="O460" s="741"/>
      <c r="P460" s="737" t="s">
        <v>40</v>
      </c>
      <c r="Q460" s="738"/>
      <c r="R460" s="738"/>
      <c r="S460" s="738"/>
      <c r="T460" s="738"/>
      <c r="U460" s="738"/>
      <c r="V460" s="73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40"/>
      <c r="B461" s="740"/>
      <c r="C461" s="740"/>
      <c r="D461" s="740"/>
      <c r="E461" s="740"/>
      <c r="F461" s="740"/>
      <c r="G461" s="740"/>
      <c r="H461" s="740"/>
      <c r="I461" s="740"/>
      <c r="J461" s="740"/>
      <c r="K461" s="740"/>
      <c r="L461" s="740"/>
      <c r="M461" s="740"/>
      <c r="N461" s="740"/>
      <c r="O461" s="741"/>
      <c r="P461" s="737" t="s">
        <v>40</v>
      </c>
      <c r="Q461" s="738"/>
      <c r="R461" s="738"/>
      <c r="S461" s="738"/>
      <c r="T461" s="738"/>
      <c r="U461" s="738"/>
      <c r="V461" s="73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730" t="s">
        <v>762</v>
      </c>
      <c r="B462" s="730"/>
      <c r="C462" s="730"/>
      <c r="D462" s="730"/>
      <c r="E462" s="730"/>
      <c r="F462" s="730"/>
      <c r="G462" s="730"/>
      <c r="H462" s="730"/>
      <c r="I462" s="730"/>
      <c r="J462" s="730"/>
      <c r="K462" s="730"/>
      <c r="L462" s="730"/>
      <c r="M462" s="730"/>
      <c r="N462" s="730"/>
      <c r="O462" s="730"/>
      <c r="P462" s="730"/>
      <c r="Q462" s="730"/>
      <c r="R462" s="730"/>
      <c r="S462" s="730"/>
      <c r="T462" s="730"/>
      <c r="U462" s="730"/>
      <c r="V462" s="730"/>
      <c r="W462" s="730"/>
      <c r="X462" s="730"/>
      <c r="Y462" s="730"/>
      <c r="Z462" s="730"/>
      <c r="AA462" s="65"/>
      <c r="AB462" s="65"/>
      <c r="AC462" s="79"/>
    </row>
    <row r="463" spans="1:68" ht="14.25" hidden="1" customHeight="1" x14ac:dyDescent="0.25">
      <c r="A463" s="731" t="s">
        <v>121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6"/>
      <c r="AB463" s="66"/>
      <c r="AC463" s="80"/>
    </row>
    <row r="464" spans="1:68" ht="27" hidden="1" customHeight="1" x14ac:dyDescent="0.25">
      <c r="A464" s="63" t="s">
        <v>763</v>
      </c>
      <c r="B464" s="63" t="s">
        <v>764</v>
      </c>
      <c r="C464" s="36">
        <v>4301011875</v>
      </c>
      <c r="D464" s="732">
        <v>4680115884885</v>
      </c>
      <c r="E464" s="732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126</v>
      </c>
      <c r="L464" s="37" t="s">
        <v>46</v>
      </c>
      <c r="M464" s="38" t="s">
        <v>80</v>
      </c>
      <c r="N464" s="38"/>
      <c r="O464" s="37">
        <v>60</v>
      </c>
      <c r="P464" s="9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734"/>
      <c r="R464" s="734"/>
      <c r="S464" s="734"/>
      <c r="T464" s="735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765</v>
      </c>
      <c r="AG464" s="78"/>
      <c r="AJ464" s="84" t="s">
        <v>46</v>
      </c>
      <c r="AK464" s="84">
        <v>0</v>
      </c>
      <c r="BB464" s="573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766</v>
      </c>
      <c r="B465" s="63" t="s">
        <v>767</v>
      </c>
      <c r="C465" s="36">
        <v>4301011871</v>
      </c>
      <c r="D465" s="732">
        <v>4680115884908</v>
      </c>
      <c r="E465" s="732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60</v>
      </c>
      <c r="P46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734"/>
      <c r="R465" s="734"/>
      <c r="S465" s="734"/>
      <c r="T465" s="735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765</v>
      </c>
      <c r="AG465" s="78"/>
      <c r="AJ465" s="84" t="s">
        <v>46</v>
      </c>
      <c r="AK465" s="84">
        <v>0</v>
      </c>
      <c r="BB465" s="57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40"/>
      <c r="B466" s="740"/>
      <c r="C466" s="740"/>
      <c r="D466" s="740"/>
      <c r="E466" s="740"/>
      <c r="F466" s="740"/>
      <c r="G466" s="740"/>
      <c r="H466" s="740"/>
      <c r="I466" s="740"/>
      <c r="J466" s="740"/>
      <c r="K466" s="740"/>
      <c r="L466" s="740"/>
      <c r="M466" s="740"/>
      <c r="N466" s="740"/>
      <c r="O466" s="741"/>
      <c r="P466" s="737" t="s">
        <v>40</v>
      </c>
      <c r="Q466" s="738"/>
      <c r="R466" s="738"/>
      <c r="S466" s="738"/>
      <c r="T466" s="738"/>
      <c r="U466" s="738"/>
      <c r="V466" s="739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740"/>
      <c r="B467" s="740"/>
      <c r="C467" s="740"/>
      <c r="D467" s="740"/>
      <c r="E467" s="740"/>
      <c r="F467" s="740"/>
      <c r="G467" s="740"/>
      <c r="H467" s="740"/>
      <c r="I467" s="740"/>
      <c r="J467" s="740"/>
      <c r="K467" s="740"/>
      <c r="L467" s="740"/>
      <c r="M467" s="740"/>
      <c r="N467" s="740"/>
      <c r="O467" s="741"/>
      <c r="P467" s="737" t="s">
        <v>40</v>
      </c>
      <c r="Q467" s="738"/>
      <c r="R467" s="738"/>
      <c r="S467" s="738"/>
      <c r="T467" s="738"/>
      <c r="U467" s="738"/>
      <c r="V467" s="739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31" t="s">
        <v>76</v>
      </c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1"/>
      <c r="P468" s="731"/>
      <c r="Q468" s="731"/>
      <c r="R468" s="731"/>
      <c r="S468" s="731"/>
      <c r="T468" s="731"/>
      <c r="U468" s="731"/>
      <c r="V468" s="731"/>
      <c r="W468" s="731"/>
      <c r="X468" s="731"/>
      <c r="Y468" s="731"/>
      <c r="Z468" s="731"/>
      <c r="AA468" s="66"/>
      <c r="AB468" s="66"/>
      <c r="AC468" s="80"/>
    </row>
    <row r="469" spans="1:68" ht="27" hidden="1" customHeight="1" x14ac:dyDescent="0.25">
      <c r="A469" s="63" t="s">
        <v>768</v>
      </c>
      <c r="B469" s="63" t="s">
        <v>769</v>
      </c>
      <c r="C469" s="36">
        <v>4301031457</v>
      </c>
      <c r="D469" s="732">
        <v>4607091384802</v>
      </c>
      <c r="E469" s="732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133</v>
      </c>
      <c r="L469" s="37" t="s">
        <v>46</v>
      </c>
      <c r="M469" s="38" t="s">
        <v>80</v>
      </c>
      <c r="N469" s="38"/>
      <c r="O469" s="37">
        <v>50</v>
      </c>
      <c r="P469" s="9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734"/>
      <c r="R469" s="734"/>
      <c r="S469" s="734"/>
      <c r="T469" s="735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770</v>
      </c>
      <c r="AG469" s="78"/>
      <c r="AJ469" s="84" t="s">
        <v>46</v>
      </c>
      <c r="AK469" s="84">
        <v>0</v>
      </c>
      <c r="BB469" s="57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40"/>
      <c r="B470" s="740"/>
      <c r="C470" s="740"/>
      <c r="D470" s="740"/>
      <c r="E470" s="740"/>
      <c r="F470" s="740"/>
      <c r="G470" s="740"/>
      <c r="H470" s="740"/>
      <c r="I470" s="740"/>
      <c r="J470" s="740"/>
      <c r="K470" s="740"/>
      <c r="L470" s="740"/>
      <c r="M470" s="740"/>
      <c r="N470" s="740"/>
      <c r="O470" s="741"/>
      <c r="P470" s="737" t="s">
        <v>40</v>
      </c>
      <c r="Q470" s="738"/>
      <c r="R470" s="738"/>
      <c r="S470" s="738"/>
      <c r="T470" s="738"/>
      <c r="U470" s="738"/>
      <c r="V470" s="739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740"/>
      <c r="B471" s="740"/>
      <c r="C471" s="740"/>
      <c r="D471" s="740"/>
      <c r="E471" s="740"/>
      <c r="F471" s="740"/>
      <c r="G471" s="740"/>
      <c r="H471" s="740"/>
      <c r="I471" s="740"/>
      <c r="J471" s="740"/>
      <c r="K471" s="740"/>
      <c r="L471" s="740"/>
      <c r="M471" s="740"/>
      <c r="N471" s="740"/>
      <c r="O471" s="741"/>
      <c r="P471" s="737" t="s">
        <v>40</v>
      </c>
      <c r="Q471" s="738"/>
      <c r="R471" s="738"/>
      <c r="S471" s="738"/>
      <c r="T471" s="738"/>
      <c r="U471" s="738"/>
      <c r="V471" s="739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31" t="s">
        <v>85</v>
      </c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1"/>
      <c r="P472" s="731"/>
      <c r="Q472" s="731"/>
      <c r="R472" s="731"/>
      <c r="S472" s="731"/>
      <c r="T472" s="731"/>
      <c r="U472" s="731"/>
      <c r="V472" s="731"/>
      <c r="W472" s="731"/>
      <c r="X472" s="731"/>
      <c r="Y472" s="731"/>
      <c r="Z472" s="731"/>
      <c r="AA472" s="66"/>
      <c r="AB472" s="66"/>
      <c r="AC472" s="80"/>
    </row>
    <row r="473" spans="1:68" ht="27" hidden="1" customHeight="1" x14ac:dyDescent="0.25">
      <c r="A473" s="63" t="s">
        <v>771</v>
      </c>
      <c r="B473" s="63" t="s">
        <v>772</v>
      </c>
      <c r="C473" s="36">
        <v>4301051899</v>
      </c>
      <c r="D473" s="732">
        <v>4607091384246</v>
      </c>
      <c r="E473" s="732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126</v>
      </c>
      <c r="L473" s="37" t="s">
        <v>46</v>
      </c>
      <c r="M473" s="38" t="s">
        <v>89</v>
      </c>
      <c r="N473" s="38"/>
      <c r="O473" s="37">
        <v>40</v>
      </c>
      <c r="P473" s="9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734"/>
      <c r="R473" s="734"/>
      <c r="S473" s="734"/>
      <c r="T473" s="735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773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774</v>
      </c>
      <c r="B474" s="63" t="s">
        <v>775</v>
      </c>
      <c r="C474" s="36">
        <v>4301051660</v>
      </c>
      <c r="D474" s="732">
        <v>4607091384253</v>
      </c>
      <c r="E474" s="732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90</v>
      </c>
      <c r="L474" s="37" t="s">
        <v>46</v>
      </c>
      <c r="M474" s="38" t="s">
        <v>89</v>
      </c>
      <c r="N474" s="38"/>
      <c r="O474" s="37">
        <v>40</v>
      </c>
      <c r="P474" s="9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734"/>
      <c r="R474" s="734"/>
      <c r="S474" s="734"/>
      <c r="T474" s="735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773</v>
      </c>
      <c r="AG474" s="78"/>
      <c r="AJ474" s="84" t="s">
        <v>46</v>
      </c>
      <c r="AK474" s="84">
        <v>0</v>
      </c>
      <c r="BB474" s="58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776</v>
      </c>
      <c r="C475" s="36">
        <v>4301052069</v>
      </c>
      <c r="D475" s="732">
        <v>4607091384253</v>
      </c>
      <c r="E475" s="732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90</v>
      </c>
      <c r="L475" s="37" t="s">
        <v>46</v>
      </c>
      <c r="M475" s="38" t="s">
        <v>89</v>
      </c>
      <c r="N475" s="38"/>
      <c r="O475" s="37">
        <v>40</v>
      </c>
      <c r="P475" s="98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734"/>
      <c r="R475" s="734"/>
      <c r="S475" s="734"/>
      <c r="T475" s="735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40"/>
      <c r="B476" s="740"/>
      <c r="C476" s="740"/>
      <c r="D476" s="740"/>
      <c r="E476" s="740"/>
      <c r="F476" s="740"/>
      <c r="G476" s="740"/>
      <c r="H476" s="740"/>
      <c r="I476" s="740"/>
      <c r="J476" s="740"/>
      <c r="K476" s="740"/>
      <c r="L476" s="740"/>
      <c r="M476" s="740"/>
      <c r="N476" s="740"/>
      <c r="O476" s="741"/>
      <c r="P476" s="737" t="s">
        <v>40</v>
      </c>
      <c r="Q476" s="738"/>
      <c r="R476" s="738"/>
      <c r="S476" s="738"/>
      <c r="T476" s="738"/>
      <c r="U476" s="738"/>
      <c r="V476" s="739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740"/>
      <c r="B477" s="740"/>
      <c r="C477" s="740"/>
      <c r="D477" s="740"/>
      <c r="E477" s="740"/>
      <c r="F477" s="740"/>
      <c r="G477" s="740"/>
      <c r="H477" s="740"/>
      <c r="I477" s="740"/>
      <c r="J477" s="740"/>
      <c r="K477" s="740"/>
      <c r="L477" s="740"/>
      <c r="M477" s="740"/>
      <c r="N477" s="740"/>
      <c r="O477" s="741"/>
      <c r="P477" s="737" t="s">
        <v>40</v>
      </c>
      <c r="Q477" s="738"/>
      <c r="R477" s="738"/>
      <c r="S477" s="738"/>
      <c r="T477" s="738"/>
      <c r="U477" s="738"/>
      <c r="V477" s="739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729" t="s">
        <v>778</v>
      </c>
      <c r="B478" s="729"/>
      <c r="C478" s="729"/>
      <c r="D478" s="729"/>
      <c r="E478" s="729"/>
      <c r="F478" s="729"/>
      <c r="G478" s="729"/>
      <c r="H478" s="729"/>
      <c r="I478" s="729"/>
      <c r="J478" s="729"/>
      <c r="K478" s="729"/>
      <c r="L478" s="729"/>
      <c r="M478" s="729"/>
      <c r="N478" s="729"/>
      <c r="O478" s="729"/>
      <c r="P478" s="729"/>
      <c r="Q478" s="729"/>
      <c r="R478" s="729"/>
      <c r="S478" s="729"/>
      <c r="T478" s="729"/>
      <c r="U478" s="729"/>
      <c r="V478" s="729"/>
      <c r="W478" s="729"/>
      <c r="X478" s="729"/>
      <c r="Y478" s="729"/>
      <c r="Z478" s="729"/>
      <c r="AA478" s="54"/>
      <c r="AB478" s="54"/>
      <c r="AC478" s="54"/>
    </row>
    <row r="479" spans="1:68" ht="16.5" hidden="1" customHeight="1" x14ac:dyDescent="0.25">
      <c r="A479" s="730" t="s">
        <v>779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65"/>
      <c r="AB479" s="65"/>
      <c r="AC479" s="79"/>
    </row>
    <row r="480" spans="1:68" ht="14.25" hidden="1" customHeight="1" x14ac:dyDescent="0.25">
      <c r="A480" s="731" t="s">
        <v>76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6"/>
      <c r="AB480" s="66"/>
      <c r="AC480" s="80"/>
    </row>
    <row r="481" spans="1:68" ht="27" hidden="1" customHeight="1" x14ac:dyDescent="0.25">
      <c r="A481" s="63" t="s">
        <v>780</v>
      </c>
      <c r="B481" s="63" t="s">
        <v>781</v>
      </c>
      <c r="C481" s="36">
        <v>4301031405</v>
      </c>
      <c r="D481" s="732">
        <v>4680115886100</v>
      </c>
      <c r="E481" s="732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133</v>
      </c>
      <c r="L481" s="37" t="s">
        <v>46</v>
      </c>
      <c r="M481" s="38" t="s">
        <v>80</v>
      </c>
      <c r="N481" s="38"/>
      <c r="O481" s="37">
        <v>50</v>
      </c>
      <c r="P481" s="9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734"/>
      <c r="R481" s="734"/>
      <c r="S481" s="734"/>
      <c r="T481" s="735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782</v>
      </c>
      <c r="AG481" s="78"/>
      <c r="AJ481" s="84" t="s">
        <v>46</v>
      </c>
      <c r="AK481" s="84">
        <v>0</v>
      </c>
      <c r="BB481" s="585" t="s">
        <v>66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783</v>
      </c>
      <c r="B482" s="63" t="s">
        <v>784</v>
      </c>
      <c r="C482" s="36">
        <v>4301031402</v>
      </c>
      <c r="D482" s="732">
        <v>4680115886124</v>
      </c>
      <c r="E482" s="732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133</v>
      </c>
      <c r="L482" s="37" t="s">
        <v>46</v>
      </c>
      <c r="M482" s="38" t="s">
        <v>80</v>
      </c>
      <c r="N482" s="38"/>
      <c r="O482" s="37">
        <v>50</v>
      </c>
      <c r="P482" s="9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734"/>
      <c r="R482" s="734"/>
      <c r="S482" s="734"/>
      <c r="T482" s="735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785</v>
      </c>
      <c r="AG482" s="78"/>
      <c r="AJ482" s="84" t="s">
        <v>46</v>
      </c>
      <c r="AK482" s="84">
        <v>0</v>
      </c>
      <c r="BB482" s="587" t="s">
        <v>66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786</v>
      </c>
      <c r="B483" s="63" t="s">
        <v>787</v>
      </c>
      <c r="C483" s="36">
        <v>4301031362</v>
      </c>
      <c r="D483" s="732">
        <v>4607091384338</v>
      </c>
      <c r="E483" s="732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734"/>
      <c r="R483" s="734"/>
      <c r="S483" s="734"/>
      <c r="T483" s="735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782</v>
      </c>
      <c r="AG483" s="78"/>
      <c r="AJ483" s="84" t="s">
        <v>46</v>
      </c>
      <c r="AK483" s="84">
        <v>0</v>
      </c>
      <c r="BB483" s="589" t="s">
        <v>66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788</v>
      </c>
      <c r="B484" s="63" t="s">
        <v>789</v>
      </c>
      <c r="C484" s="36">
        <v>4301031364</v>
      </c>
      <c r="D484" s="732">
        <v>4680115883161</v>
      </c>
      <c r="E484" s="732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734"/>
      <c r="R484" s="734"/>
      <c r="S484" s="734"/>
      <c r="T484" s="735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790</v>
      </c>
      <c r="AG484" s="78"/>
      <c r="AJ484" s="84" t="s">
        <v>46</v>
      </c>
      <c r="AK484" s="84">
        <v>0</v>
      </c>
      <c r="BB484" s="591" t="s">
        <v>66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791</v>
      </c>
      <c r="B485" s="63" t="s">
        <v>792</v>
      </c>
      <c r="C485" s="36">
        <v>4301031358</v>
      </c>
      <c r="D485" s="732">
        <v>4607091389531</v>
      </c>
      <c r="E485" s="732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81</v>
      </c>
      <c r="L485" s="37" t="s">
        <v>46</v>
      </c>
      <c r="M485" s="38" t="s">
        <v>80</v>
      </c>
      <c r="N485" s="38"/>
      <c r="O485" s="37">
        <v>50</v>
      </c>
      <c r="P485" s="9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734"/>
      <c r="R485" s="734"/>
      <c r="S485" s="734"/>
      <c r="T485" s="735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793</v>
      </c>
      <c r="AG485" s="78"/>
      <c r="AJ485" s="84" t="s">
        <v>46</v>
      </c>
      <c r="AK485" s="84">
        <v>0</v>
      </c>
      <c r="BB485" s="593" t="s">
        <v>66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794</v>
      </c>
      <c r="B486" s="63" t="s">
        <v>795</v>
      </c>
      <c r="C486" s="36">
        <v>4301031360</v>
      </c>
      <c r="D486" s="732">
        <v>4607091384345</v>
      </c>
      <c r="E486" s="732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9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734"/>
      <c r="R486" s="734"/>
      <c r="S486" s="734"/>
      <c r="T486" s="735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790</v>
      </c>
      <c r="AG486" s="78"/>
      <c r="AJ486" s="84" t="s">
        <v>46</v>
      </c>
      <c r="AK486" s="84">
        <v>0</v>
      </c>
      <c r="BB486" s="595" t="s">
        <v>66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740"/>
      <c r="B487" s="740"/>
      <c r="C487" s="740"/>
      <c r="D487" s="740"/>
      <c r="E487" s="740"/>
      <c r="F487" s="740"/>
      <c r="G487" s="740"/>
      <c r="H487" s="740"/>
      <c r="I487" s="740"/>
      <c r="J487" s="740"/>
      <c r="K487" s="740"/>
      <c r="L487" s="740"/>
      <c r="M487" s="740"/>
      <c r="N487" s="740"/>
      <c r="O487" s="741"/>
      <c r="P487" s="737" t="s">
        <v>40</v>
      </c>
      <c r="Q487" s="738"/>
      <c r="R487" s="738"/>
      <c r="S487" s="738"/>
      <c r="T487" s="738"/>
      <c r="U487" s="738"/>
      <c r="V487" s="739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40"/>
      <c r="B488" s="740"/>
      <c r="C488" s="740"/>
      <c r="D488" s="740"/>
      <c r="E488" s="740"/>
      <c r="F488" s="740"/>
      <c r="G488" s="740"/>
      <c r="H488" s="740"/>
      <c r="I488" s="740"/>
      <c r="J488" s="740"/>
      <c r="K488" s="740"/>
      <c r="L488" s="740"/>
      <c r="M488" s="740"/>
      <c r="N488" s="740"/>
      <c r="O488" s="741"/>
      <c r="P488" s="737" t="s">
        <v>40</v>
      </c>
      <c r="Q488" s="738"/>
      <c r="R488" s="738"/>
      <c r="S488" s="738"/>
      <c r="T488" s="738"/>
      <c r="U488" s="738"/>
      <c r="V488" s="739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31" t="s">
        <v>85</v>
      </c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1"/>
      <c r="P489" s="731"/>
      <c r="Q489" s="731"/>
      <c r="R489" s="731"/>
      <c r="S489" s="731"/>
      <c r="T489" s="731"/>
      <c r="U489" s="731"/>
      <c r="V489" s="731"/>
      <c r="W489" s="731"/>
      <c r="X489" s="731"/>
      <c r="Y489" s="731"/>
      <c r="Z489" s="731"/>
      <c r="AA489" s="66"/>
      <c r="AB489" s="66"/>
      <c r="AC489" s="80"/>
    </row>
    <row r="490" spans="1:68" ht="27" hidden="1" customHeight="1" x14ac:dyDescent="0.25">
      <c r="A490" s="63" t="s">
        <v>796</v>
      </c>
      <c r="B490" s="63" t="s">
        <v>797</v>
      </c>
      <c r="C490" s="36">
        <v>4301051284</v>
      </c>
      <c r="D490" s="732">
        <v>4607091384352</v>
      </c>
      <c r="E490" s="732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133</v>
      </c>
      <c r="L490" s="37" t="s">
        <v>46</v>
      </c>
      <c r="M490" s="38" t="s">
        <v>89</v>
      </c>
      <c r="N490" s="38"/>
      <c r="O490" s="37">
        <v>45</v>
      </c>
      <c r="P490" s="9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734"/>
      <c r="R490" s="734"/>
      <c r="S490" s="734"/>
      <c r="T490" s="735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798</v>
      </c>
      <c r="AG490" s="78"/>
      <c r="AJ490" s="84" t="s">
        <v>46</v>
      </c>
      <c r="AK490" s="84">
        <v>0</v>
      </c>
      <c r="BB490" s="59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799</v>
      </c>
      <c r="B491" s="63" t="s">
        <v>800</v>
      </c>
      <c r="C491" s="36">
        <v>4301051431</v>
      </c>
      <c r="D491" s="732">
        <v>4607091389654</v>
      </c>
      <c r="E491" s="732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90</v>
      </c>
      <c r="L491" s="37" t="s">
        <v>46</v>
      </c>
      <c r="M491" s="38" t="s">
        <v>89</v>
      </c>
      <c r="N491" s="38"/>
      <c r="O491" s="37">
        <v>45</v>
      </c>
      <c r="P491" s="9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734"/>
      <c r="R491" s="734"/>
      <c r="S491" s="734"/>
      <c r="T491" s="735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801</v>
      </c>
      <c r="AG491" s="78"/>
      <c r="AJ491" s="84" t="s">
        <v>46</v>
      </c>
      <c r="AK491" s="84">
        <v>0</v>
      </c>
      <c r="BB491" s="59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740"/>
      <c r="B492" s="740"/>
      <c r="C492" s="740"/>
      <c r="D492" s="740"/>
      <c r="E492" s="740"/>
      <c r="F492" s="740"/>
      <c r="G492" s="740"/>
      <c r="H492" s="740"/>
      <c r="I492" s="740"/>
      <c r="J492" s="740"/>
      <c r="K492" s="740"/>
      <c r="L492" s="740"/>
      <c r="M492" s="740"/>
      <c r="N492" s="740"/>
      <c r="O492" s="741"/>
      <c r="P492" s="737" t="s">
        <v>40</v>
      </c>
      <c r="Q492" s="738"/>
      <c r="R492" s="738"/>
      <c r="S492" s="738"/>
      <c r="T492" s="738"/>
      <c r="U492" s="738"/>
      <c r="V492" s="739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740"/>
      <c r="B493" s="740"/>
      <c r="C493" s="740"/>
      <c r="D493" s="740"/>
      <c r="E493" s="740"/>
      <c r="F493" s="740"/>
      <c r="G493" s="740"/>
      <c r="H493" s="740"/>
      <c r="I493" s="740"/>
      <c r="J493" s="740"/>
      <c r="K493" s="740"/>
      <c r="L493" s="740"/>
      <c r="M493" s="740"/>
      <c r="N493" s="740"/>
      <c r="O493" s="741"/>
      <c r="P493" s="737" t="s">
        <v>40</v>
      </c>
      <c r="Q493" s="738"/>
      <c r="R493" s="738"/>
      <c r="S493" s="738"/>
      <c r="T493" s="738"/>
      <c r="U493" s="738"/>
      <c r="V493" s="739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730" t="s">
        <v>802</v>
      </c>
      <c r="B494" s="730"/>
      <c r="C494" s="730"/>
      <c r="D494" s="730"/>
      <c r="E494" s="730"/>
      <c r="F494" s="730"/>
      <c r="G494" s="730"/>
      <c r="H494" s="730"/>
      <c r="I494" s="730"/>
      <c r="J494" s="730"/>
      <c r="K494" s="730"/>
      <c r="L494" s="730"/>
      <c r="M494" s="730"/>
      <c r="N494" s="730"/>
      <c r="O494" s="730"/>
      <c r="P494" s="730"/>
      <c r="Q494" s="730"/>
      <c r="R494" s="730"/>
      <c r="S494" s="730"/>
      <c r="T494" s="730"/>
      <c r="U494" s="730"/>
      <c r="V494" s="730"/>
      <c r="W494" s="730"/>
      <c r="X494" s="730"/>
      <c r="Y494" s="730"/>
      <c r="Z494" s="730"/>
      <c r="AA494" s="65"/>
      <c r="AB494" s="65"/>
      <c r="AC494" s="79"/>
    </row>
    <row r="495" spans="1:68" ht="14.25" hidden="1" customHeight="1" x14ac:dyDescent="0.25">
      <c r="A495" s="731" t="s">
        <v>154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6"/>
      <c r="AB495" s="66"/>
      <c r="AC495" s="80"/>
    </row>
    <row r="496" spans="1:68" ht="27" hidden="1" customHeight="1" x14ac:dyDescent="0.25">
      <c r="A496" s="63" t="s">
        <v>803</v>
      </c>
      <c r="B496" s="63" t="s">
        <v>804</v>
      </c>
      <c r="C496" s="36">
        <v>4301020416</v>
      </c>
      <c r="D496" s="732">
        <v>4680115885240</v>
      </c>
      <c r="E496" s="732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90</v>
      </c>
      <c r="L496" s="37" t="s">
        <v>46</v>
      </c>
      <c r="M496" s="38" t="s">
        <v>80</v>
      </c>
      <c r="N496" s="38"/>
      <c r="O496" s="37">
        <v>40</v>
      </c>
      <c r="P49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734"/>
      <c r="R496" s="734"/>
      <c r="S496" s="734"/>
      <c r="T496" s="735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805</v>
      </c>
      <c r="AG496" s="78"/>
      <c r="AJ496" s="84" t="s">
        <v>46</v>
      </c>
      <c r="AK496" s="84">
        <v>0</v>
      </c>
      <c r="BB496" s="601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40"/>
      <c r="B497" s="740"/>
      <c r="C497" s="740"/>
      <c r="D497" s="740"/>
      <c r="E497" s="740"/>
      <c r="F497" s="740"/>
      <c r="G497" s="740"/>
      <c r="H497" s="740"/>
      <c r="I497" s="740"/>
      <c r="J497" s="740"/>
      <c r="K497" s="740"/>
      <c r="L497" s="740"/>
      <c r="M497" s="740"/>
      <c r="N497" s="740"/>
      <c r="O497" s="741"/>
      <c r="P497" s="737" t="s">
        <v>40</v>
      </c>
      <c r="Q497" s="738"/>
      <c r="R497" s="738"/>
      <c r="S497" s="738"/>
      <c r="T497" s="738"/>
      <c r="U497" s="738"/>
      <c r="V497" s="739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740"/>
      <c r="B498" s="740"/>
      <c r="C498" s="740"/>
      <c r="D498" s="740"/>
      <c r="E498" s="740"/>
      <c r="F498" s="740"/>
      <c r="G498" s="740"/>
      <c r="H498" s="740"/>
      <c r="I498" s="740"/>
      <c r="J498" s="740"/>
      <c r="K498" s="740"/>
      <c r="L498" s="740"/>
      <c r="M498" s="740"/>
      <c r="N498" s="740"/>
      <c r="O498" s="741"/>
      <c r="P498" s="737" t="s">
        <v>40</v>
      </c>
      <c r="Q498" s="738"/>
      <c r="R498" s="738"/>
      <c r="S498" s="738"/>
      <c r="T498" s="738"/>
      <c r="U498" s="738"/>
      <c r="V498" s="739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731" t="s">
        <v>76</v>
      </c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1"/>
      <c r="P499" s="731"/>
      <c r="Q499" s="731"/>
      <c r="R499" s="731"/>
      <c r="S499" s="731"/>
      <c r="T499" s="731"/>
      <c r="U499" s="731"/>
      <c r="V499" s="731"/>
      <c r="W499" s="731"/>
      <c r="X499" s="731"/>
      <c r="Y499" s="731"/>
      <c r="Z499" s="731"/>
      <c r="AA499" s="66"/>
      <c r="AB499" s="66"/>
      <c r="AC499" s="80"/>
    </row>
    <row r="500" spans="1:68" ht="27" hidden="1" customHeight="1" x14ac:dyDescent="0.25">
      <c r="A500" s="63" t="s">
        <v>806</v>
      </c>
      <c r="B500" s="63" t="s">
        <v>807</v>
      </c>
      <c r="C500" s="36">
        <v>4301031407</v>
      </c>
      <c r="D500" s="732">
        <v>4680115886094</v>
      </c>
      <c r="E500" s="732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133</v>
      </c>
      <c r="L500" s="37" t="s">
        <v>46</v>
      </c>
      <c r="M500" s="38" t="s">
        <v>80</v>
      </c>
      <c r="N500" s="38"/>
      <c r="O500" s="37">
        <v>50</v>
      </c>
      <c r="P500" s="9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734"/>
      <c r="R500" s="734"/>
      <c r="S500" s="734"/>
      <c r="T500" s="735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808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4301031373</v>
      </c>
      <c r="D501" s="732">
        <v>4680115880771</v>
      </c>
      <c r="E501" s="732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81</v>
      </c>
      <c r="L501" s="37" t="s">
        <v>46</v>
      </c>
      <c r="M501" s="38" t="s">
        <v>80</v>
      </c>
      <c r="N501" s="38"/>
      <c r="O501" s="37">
        <v>50</v>
      </c>
      <c r="P501" s="9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734"/>
      <c r="R501" s="734"/>
      <c r="S501" s="734"/>
      <c r="T501" s="735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811</v>
      </c>
      <c r="AG501" s="78"/>
      <c r="AJ501" s="84" t="s">
        <v>46</v>
      </c>
      <c r="AK501" s="84">
        <v>0</v>
      </c>
      <c r="BB501" s="605" t="s">
        <v>66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4301031359</v>
      </c>
      <c r="D502" s="732">
        <v>4607091389500</v>
      </c>
      <c r="E502" s="732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81</v>
      </c>
      <c r="L502" s="37" t="s">
        <v>46</v>
      </c>
      <c r="M502" s="38" t="s">
        <v>80</v>
      </c>
      <c r="N502" s="38"/>
      <c r="O502" s="37">
        <v>50</v>
      </c>
      <c r="P502" s="10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734"/>
      <c r="R502" s="734"/>
      <c r="S502" s="734"/>
      <c r="T502" s="735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811</v>
      </c>
      <c r="AG502" s="78"/>
      <c r="AJ502" s="84" t="s">
        <v>46</v>
      </c>
      <c r="AK502" s="84">
        <v>0</v>
      </c>
      <c r="BB502" s="60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740"/>
      <c r="B503" s="740"/>
      <c r="C503" s="740"/>
      <c r="D503" s="740"/>
      <c r="E503" s="740"/>
      <c r="F503" s="740"/>
      <c r="G503" s="740"/>
      <c r="H503" s="740"/>
      <c r="I503" s="740"/>
      <c r="J503" s="740"/>
      <c r="K503" s="740"/>
      <c r="L503" s="740"/>
      <c r="M503" s="740"/>
      <c r="N503" s="740"/>
      <c r="O503" s="741"/>
      <c r="P503" s="737" t="s">
        <v>40</v>
      </c>
      <c r="Q503" s="738"/>
      <c r="R503" s="738"/>
      <c r="S503" s="738"/>
      <c r="T503" s="738"/>
      <c r="U503" s="738"/>
      <c r="V503" s="739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740"/>
      <c r="B504" s="740"/>
      <c r="C504" s="740"/>
      <c r="D504" s="740"/>
      <c r="E504" s="740"/>
      <c r="F504" s="740"/>
      <c r="G504" s="740"/>
      <c r="H504" s="740"/>
      <c r="I504" s="740"/>
      <c r="J504" s="740"/>
      <c r="K504" s="740"/>
      <c r="L504" s="740"/>
      <c r="M504" s="740"/>
      <c r="N504" s="740"/>
      <c r="O504" s="741"/>
      <c r="P504" s="737" t="s">
        <v>40</v>
      </c>
      <c r="Q504" s="738"/>
      <c r="R504" s="738"/>
      <c r="S504" s="738"/>
      <c r="T504" s="738"/>
      <c r="U504" s="738"/>
      <c r="V504" s="739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729" t="s">
        <v>814</v>
      </c>
      <c r="B505" s="729"/>
      <c r="C505" s="729"/>
      <c r="D505" s="729"/>
      <c r="E505" s="729"/>
      <c r="F505" s="729"/>
      <c r="G505" s="729"/>
      <c r="H505" s="729"/>
      <c r="I505" s="729"/>
      <c r="J505" s="729"/>
      <c r="K505" s="729"/>
      <c r="L505" s="729"/>
      <c r="M505" s="729"/>
      <c r="N505" s="729"/>
      <c r="O505" s="729"/>
      <c r="P505" s="729"/>
      <c r="Q505" s="729"/>
      <c r="R505" s="729"/>
      <c r="S505" s="729"/>
      <c r="T505" s="729"/>
      <c r="U505" s="729"/>
      <c r="V505" s="729"/>
      <c r="W505" s="729"/>
      <c r="X505" s="729"/>
      <c r="Y505" s="729"/>
      <c r="Z505" s="729"/>
      <c r="AA505" s="54"/>
      <c r="AB505" s="54"/>
      <c r="AC505" s="54"/>
    </row>
    <row r="506" spans="1:68" ht="16.5" hidden="1" customHeight="1" x14ac:dyDescent="0.25">
      <c r="A506" s="730" t="s">
        <v>814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65"/>
      <c r="AB506" s="65"/>
      <c r="AC506" s="79"/>
    </row>
    <row r="507" spans="1:68" ht="14.25" hidden="1" customHeight="1" x14ac:dyDescent="0.25">
      <c r="A507" s="731" t="s">
        <v>121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6"/>
      <c r="AB507" s="66"/>
      <c r="AC507" s="80"/>
    </row>
    <row r="508" spans="1:68" ht="27" hidden="1" customHeight="1" x14ac:dyDescent="0.25">
      <c r="A508" s="63" t="s">
        <v>815</v>
      </c>
      <c r="B508" s="63" t="s">
        <v>816</v>
      </c>
      <c r="C508" s="36">
        <v>4301011769</v>
      </c>
      <c r="D508" s="732">
        <v>4607091389067</v>
      </c>
      <c r="E508" s="732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10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734"/>
      <c r="R508" s="734"/>
      <c r="S508" s="734"/>
      <c r="T508" s="735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124</v>
      </c>
      <c r="AG508" s="78"/>
      <c r="AJ508" s="84" t="s">
        <v>46</v>
      </c>
      <c r="AK508" s="84">
        <v>0</v>
      </c>
      <c r="BB508" s="609" t="s">
        <v>66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817</v>
      </c>
      <c r="B509" s="63" t="s">
        <v>818</v>
      </c>
      <c r="C509" s="36">
        <v>4301012380</v>
      </c>
      <c r="D509" s="732">
        <v>4680115889576</v>
      </c>
      <c r="E509" s="732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734"/>
      <c r="R509" s="734"/>
      <c r="S509" s="734"/>
      <c r="T509" s="735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66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4301011961</v>
      </c>
      <c r="D510" s="732">
        <v>4680115885271</v>
      </c>
      <c r="E510" s="732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10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734"/>
      <c r="R510" s="734"/>
      <c r="S510" s="734"/>
      <c r="T510" s="735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66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4301011369</v>
      </c>
      <c r="D511" s="732">
        <v>4680115885226</v>
      </c>
      <c r="E511" s="732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100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734"/>
      <c r="R511" s="734"/>
      <c r="S511" s="734"/>
      <c r="T511" s="735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66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4301011797</v>
      </c>
      <c r="D512" s="732">
        <v>4680115884502</v>
      </c>
      <c r="E512" s="732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126</v>
      </c>
      <c r="L512" s="37" t="s">
        <v>46</v>
      </c>
      <c r="M512" s="38" t="s">
        <v>89</v>
      </c>
      <c r="N512" s="38"/>
      <c r="O512" s="37">
        <v>60</v>
      </c>
      <c r="P512" s="10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734"/>
      <c r="R512" s="734"/>
      <c r="S512" s="734"/>
      <c r="T512" s="735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4301011771</v>
      </c>
      <c r="D513" s="732">
        <v>4607091389104</v>
      </c>
      <c r="E513" s="732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126</v>
      </c>
      <c r="L513" s="37" t="s">
        <v>46</v>
      </c>
      <c r="M513" s="38" t="s">
        <v>125</v>
      </c>
      <c r="N513" s="38"/>
      <c r="O513" s="37">
        <v>60</v>
      </c>
      <c r="P513" s="100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734"/>
      <c r="R513" s="734"/>
      <c r="S513" s="734"/>
      <c r="T513" s="735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831</v>
      </c>
      <c r="AG513" s="78"/>
      <c r="AJ513" s="84" t="s">
        <v>46</v>
      </c>
      <c r="AK513" s="84">
        <v>0</v>
      </c>
      <c r="BB513" s="619" t="s">
        <v>66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832</v>
      </c>
      <c r="B514" s="63" t="s">
        <v>833</v>
      </c>
      <c r="C514" s="36">
        <v>4301012125</v>
      </c>
      <c r="D514" s="732">
        <v>4680115886391</v>
      </c>
      <c r="E514" s="732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90</v>
      </c>
      <c r="L514" s="37" t="s">
        <v>46</v>
      </c>
      <c r="M514" s="38" t="s">
        <v>89</v>
      </c>
      <c r="N514" s="38"/>
      <c r="O514" s="37">
        <v>60</v>
      </c>
      <c r="P514" s="100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734"/>
      <c r="R514" s="734"/>
      <c r="S514" s="734"/>
      <c r="T514" s="735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124</v>
      </c>
      <c r="AG514" s="78"/>
      <c r="AJ514" s="84" t="s">
        <v>46</v>
      </c>
      <c r="AK514" s="84">
        <v>0</v>
      </c>
      <c r="BB514" s="621" t="s">
        <v>66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834</v>
      </c>
      <c r="B515" s="63" t="s">
        <v>835</v>
      </c>
      <c r="C515" s="36">
        <v>4301012048</v>
      </c>
      <c r="D515" s="732">
        <v>4680115880603</v>
      </c>
      <c r="E515" s="732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133</v>
      </c>
      <c r="L515" s="37" t="s">
        <v>46</v>
      </c>
      <c r="M515" s="38" t="s">
        <v>89</v>
      </c>
      <c r="N515" s="38"/>
      <c r="O515" s="37">
        <v>60</v>
      </c>
      <c r="P515" s="10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734"/>
      <c r="R515" s="734"/>
      <c r="S515" s="734"/>
      <c r="T515" s="735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124</v>
      </c>
      <c r="AG515" s="78"/>
      <c r="AJ515" s="84" t="s">
        <v>46</v>
      </c>
      <c r="AK515" s="84">
        <v>0</v>
      </c>
      <c r="BB515" s="623" t="s">
        <v>66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4301012034</v>
      </c>
      <c r="D516" s="732">
        <v>4607091389982</v>
      </c>
      <c r="E516" s="732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133</v>
      </c>
      <c r="L516" s="37" t="s">
        <v>46</v>
      </c>
      <c r="M516" s="38" t="s">
        <v>125</v>
      </c>
      <c r="N516" s="38"/>
      <c r="O516" s="37">
        <v>60</v>
      </c>
      <c r="P516" s="100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734"/>
      <c r="R516" s="734"/>
      <c r="S516" s="734"/>
      <c r="T516" s="735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831</v>
      </c>
      <c r="AG516" s="78"/>
      <c r="AJ516" s="84" t="s">
        <v>46</v>
      </c>
      <c r="AK516" s="84">
        <v>0</v>
      </c>
      <c r="BB516" s="625" t="s">
        <v>66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740"/>
      <c r="B517" s="740"/>
      <c r="C517" s="740"/>
      <c r="D517" s="740"/>
      <c r="E517" s="740"/>
      <c r="F517" s="740"/>
      <c r="G517" s="740"/>
      <c r="H517" s="740"/>
      <c r="I517" s="740"/>
      <c r="J517" s="740"/>
      <c r="K517" s="740"/>
      <c r="L517" s="740"/>
      <c r="M517" s="740"/>
      <c r="N517" s="740"/>
      <c r="O517" s="741"/>
      <c r="P517" s="737" t="s">
        <v>40</v>
      </c>
      <c r="Q517" s="738"/>
      <c r="R517" s="738"/>
      <c r="S517" s="738"/>
      <c r="T517" s="738"/>
      <c r="U517" s="738"/>
      <c r="V517" s="739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740"/>
      <c r="B518" s="740"/>
      <c r="C518" s="740"/>
      <c r="D518" s="740"/>
      <c r="E518" s="740"/>
      <c r="F518" s="740"/>
      <c r="G518" s="740"/>
      <c r="H518" s="740"/>
      <c r="I518" s="740"/>
      <c r="J518" s="740"/>
      <c r="K518" s="740"/>
      <c r="L518" s="740"/>
      <c r="M518" s="740"/>
      <c r="N518" s="740"/>
      <c r="O518" s="741"/>
      <c r="P518" s="737" t="s">
        <v>40</v>
      </c>
      <c r="Q518" s="738"/>
      <c r="R518" s="738"/>
      <c r="S518" s="738"/>
      <c r="T518" s="738"/>
      <c r="U518" s="738"/>
      <c r="V518" s="739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731" t="s">
        <v>154</v>
      </c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1"/>
      <c r="P519" s="731"/>
      <c r="Q519" s="731"/>
      <c r="R519" s="731"/>
      <c r="S519" s="731"/>
      <c r="T519" s="731"/>
      <c r="U519" s="731"/>
      <c r="V519" s="731"/>
      <c r="W519" s="731"/>
      <c r="X519" s="731"/>
      <c r="Y519" s="731"/>
      <c r="Z519" s="731"/>
      <c r="AA519" s="66"/>
      <c r="AB519" s="66"/>
      <c r="AC519" s="80"/>
    </row>
    <row r="520" spans="1:68" ht="16.5" hidden="1" customHeight="1" x14ac:dyDescent="0.25">
      <c r="A520" s="63" t="s">
        <v>838</v>
      </c>
      <c r="B520" s="63" t="s">
        <v>839</v>
      </c>
      <c r="C520" s="36">
        <v>4301020334</v>
      </c>
      <c r="D520" s="732">
        <v>4607091388930</v>
      </c>
      <c r="E520" s="732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126</v>
      </c>
      <c r="L520" s="37" t="s">
        <v>46</v>
      </c>
      <c r="M520" s="38" t="s">
        <v>89</v>
      </c>
      <c r="N520" s="38"/>
      <c r="O520" s="37">
        <v>70</v>
      </c>
      <c r="P520" s="101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734"/>
      <c r="R520" s="734"/>
      <c r="S520" s="734"/>
      <c r="T520" s="735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840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841</v>
      </c>
      <c r="B521" s="63" t="s">
        <v>842</v>
      </c>
      <c r="C521" s="36">
        <v>4301020374</v>
      </c>
      <c r="D521" s="732">
        <v>4680115886407</v>
      </c>
      <c r="E521" s="732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90</v>
      </c>
      <c r="L521" s="37" t="s">
        <v>46</v>
      </c>
      <c r="M521" s="38" t="s">
        <v>125</v>
      </c>
      <c r="N521" s="38"/>
      <c r="O521" s="37">
        <v>70</v>
      </c>
      <c r="P521" s="10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734"/>
      <c r="R521" s="734"/>
      <c r="S521" s="734"/>
      <c r="T521" s="735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840</v>
      </c>
      <c r="AG521" s="78"/>
      <c r="AJ521" s="84" t="s">
        <v>46</v>
      </c>
      <c r="AK521" s="84">
        <v>0</v>
      </c>
      <c r="BB521" s="62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843</v>
      </c>
      <c r="B522" s="63" t="s">
        <v>844</v>
      </c>
      <c r="C522" s="36">
        <v>4301020385</v>
      </c>
      <c r="D522" s="732">
        <v>4680115880054</v>
      </c>
      <c r="E522" s="732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133</v>
      </c>
      <c r="L522" s="37" t="s">
        <v>46</v>
      </c>
      <c r="M522" s="38" t="s">
        <v>125</v>
      </c>
      <c r="N522" s="38"/>
      <c r="O522" s="37">
        <v>70</v>
      </c>
      <c r="P522" s="101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734"/>
      <c r="R522" s="734"/>
      <c r="S522" s="734"/>
      <c r="T522" s="735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840</v>
      </c>
      <c r="AG522" s="78"/>
      <c r="AJ522" s="84" t="s">
        <v>46</v>
      </c>
      <c r="AK522" s="84">
        <v>0</v>
      </c>
      <c r="BB522" s="63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740"/>
      <c r="B523" s="740"/>
      <c r="C523" s="740"/>
      <c r="D523" s="740"/>
      <c r="E523" s="740"/>
      <c r="F523" s="740"/>
      <c r="G523" s="740"/>
      <c r="H523" s="740"/>
      <c r="I523" s="740"/>
      <c r="J523" s="740"/>
      <c r="K523" s="740"/>
      <c r="L523" s="740"/>
      <c r="M523" s="740"/>
      <c r="N523" s="740"/>
      <c r="O523" s="741"/>
      <c r="P523" s="737" t="s">
        <v>40</v>
      </c>
      <c r="Q523" s="738"/>
      <c r="R523" s="738"/>
      <c r="S523" s="738"/>
      <c r="T523" s="738"/>
      <c r="U523" s="738"/>
      <c r="V523" s="739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40"/>
      <c r="B524" s="740"/>
      <c r="C524" s="740"/>
      <c r="D524" s="740"/>
      <c r="E524" s="740"/>
      <c r="F524" s="740"/>
      <c r="G524" s="740"/>
      <c r="H524" s="740"/>
      <c r="I524" s="740"/>
      <c r="J524" s="740"/>
      <c r="K524" s="740"/>
      <c r="L524" s="740"/>
      <c r="M524" s="740"/>
      <c r="N524" s="740"/>
      <c r="O524" s="741"/>
      <c r="P524" s="737" t="s">
        <v>40</v>
      </c>
      <c r="Q524" s="738"/>
      <c r="R524" s="738"/>
      <c r="S524" s="738"/>
      <c r="T524" s="738"/>
      <c r="U524" s="738"/>
      <c r="V524" s="739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hidden="1" customHeight="1" x14ac:dyDescent="0.25">
      <c r="A525" s="731" t="s">
        <v>76</v>
      </c>
      <c r="B525" s="731"/>
      <c r="C525" s="731"/>
      <c r="D525" s="731"/>
      <c r="E525" s="731"/>
      <c r="F525" s="731"/>
      <c r="G525" s="731"/>
      <c r="H525" s="731"/>
      <c r="I525" s="731"/>
      <c r="J525" s="731"/>
      <c r="K525" s="731"/>
      <c r="L525" s="731"/>
      <c r="M525" s="731"/>
      <c r="N525" s="731"/>
      <c r="O525" s="731"/>
      <c r="P525" s="731"/>
      <c r="Q525" s="731"/>
      <c r="R525" s="731"/>
      <c r="S525" s="731"/>
      <c r="T525" s="731"/>
      <c r="U525" s="731"/>
      <c r="V525" s="731"/>
      <c r="W525" s="731"/>
      <c r="X525" s="731"/>
      <c r="Y525" s="731"/>
      <c r="Z525" s="731"/>
      <c r="AA525" s="66"/>
      <c r="AB525" s="66"/>
      <c r="AC525" s="80"/>
    </row>
    <row r="526" spans="1:68" ht="27" hidden="1" customHeight="1" x14ac:dyDescent="0.25">
      <c r="A526" s="63" t="s">
        <v>845</v>
      </c>
      <c r="B526" s="63" t="s">
        <v>846</v>
      </c>
      <c r="C526" s="36">
        <v>4301031349</v>
      </c>
      <c r="D526" s="732">
        <v>4680115883116</v>
      </c>
      <c r="E526" s="732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125</v>
      </c>
      <c r="N526" s="38"/>
      <c r="O526" s="37">
        <v>70</v>
      </c>
      <c r="P526" s="10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734"/>
      <c r="R526" s="734"/>
      <c r="S526" s="734"/>
      <c r="T526" s="735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66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4301031350</v>
      </c>
      <c r="D527" s="732">
        <v>4680115883093</v>
      </c>
      <c r="E527" s="732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126</v>
      </c>
      <c r="L527" s="37" t="s">
        <v>46</v>
      </c>
      <c r="M527" s="38" t="s">
        <v>80</v>
      </c>
      <c r="N527" s="38"/>
      <c r="O527" s="37">
        <v>70</v>
      </c>
      <c r="P527" s="10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734"/>
      <c r="R527" s="734"/>
      <c r="S527" s="734"/>
      <c r="T527" s="735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850</v>
      </c>
      <c r="AG527" s="78"/>
      <c r="AJ527" s="84" t="s">
        <v>46</v>
      </c>
      <c r="AK527" s="84">
        <v>0</v>
      </c>
      <c r="BB527" s="635" t="s">
        <v>66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851</v>
      </c>
      <c r="B528" s="63" t="s">
        <v>852</v>
      </c>
      <c r="C528" s="36">
        <v>4301031353</v>
      </c>
      <c r="D528" s="732">
        <v>4680115883109</v>
      </c>
      <c r="E528" s="732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126</v>
      </c>
      <c r="L528" s="37" t="s">
        <v>46</v>
      </c>
      <c r="M528" s="38" t="s">
        <v>80</v>
      </c>
      <c r="N528" s="38"/>
      <c r="O528" s="37">
        <v>70</v>
      </c>
      <c r="P528" s="101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734"/>
      <c r="R528" s="734"/>
      <c r="S528" s="734"/>
      <c r="T528" s="735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853</v>
      </c>
      <c r="AG528" s="78"/>
      <c r="AJ528" s="84" t="s">
        <v>46</v>
      </c>
      <c r="AK528" s="84">
        <v>0</v>
      </c>
      <c r="BB528" s="637" t="s">
        <v>66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854</v>
      </c>
      <c r="B529" s="63" t="s">
        <v>855</v>
      </c>
      <c r="C529" s="36">
        <v>4301031419</v>
      </c>
      <c r="D529" s="732">
        <v>4680115882072</v>
      </c>
      <c r="E529" s="732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133</v>
      </c>
      <c r="L529" s="37" t="s">
        <v>46</v>
      </c>
      <c r="M529" s="38" t="s">
        <v>125</v>
      </c>
      <c r="N529" s="38"/>
      <c r="O529" s="37">
        <v>70</v>
      </c>
      <c r="P529" s="101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734"/>
      <c r="R529" s="734"/>
      <c r="S529" s="734"/>
      <c r="T529" s="735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66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856</v>
      </c>
      <c r="B530" s="63" t="s">
        <v>857</v>
      </c>
      <c r="C530" s="36">
        <v>4301031352</v>
      </c>
      <c r="D530" s="732">
        <v>4680115882102</v>
      </c>
      <c r="E530" s="732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734"/>
      <c r="R530" s="734"/>
      <c r="S530" s="734"/>
      <c r="T530" s="735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850</v>
      </c>
      <c r="AG530" s="78"/>
      <c r="AJ530" s="84" t="s">
        <v>46</v>
      </c>
      <c r="AK530" s="84">
        <v>0</v>
      </c>
      <c r="BB530" s="641" t="s">
        <v>66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856</v>
      </c>
      <c r="B531" s="63" t="s">
        <v>858</v>
      </c>
      <c r="C531" s="36">
        <v>4301031418</v>
      </c>
      <c r="D531" s="732">
        <v>4680115882102</v>
      </c>
      <c r="E531" s="732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133</v>
      </c>
      <c r="L531" s="37" t="s">
        <v>46</v>
      </c>
      <c r="M531" s="38" t="s">
        <v>80</v>
      </c>
      <c r="N531" s="38"/>
      <c r="O531" s="37">
        <v>70</v>
      </c>
      <c r="P531" s="101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734"/>
      <c r="R531" s="734"/>
      <c r="S531" s="734"/>
      <c r="T531" s="735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850</v>
      </c>
      <c r="AG531" s="78"/>
      <c r="AJ531" s="84" t="s">
        <v>46</v>
      </c>
      <c r="AK531" s="84">
        <v>0</v>
      </c>
      <c r="BB531" s="643" t="s">
        <v>66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859</v>
      </c>
      <c r="B532" s="63" t="s">
        <v>860</v>
      </c>
      <c r="C532" s="36">
        <v>4301031417</v>
      </c>
      <c r="D532" s="732">
        <v>4680115882096</v>
      </c>
      <c r="E532" s="732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133</v>
      </c>
      <c r="L532" s="37" t="s">
        <v>46</v>
      </c>
      <c r="M532" s="38" t="s">
        <v>80</v>
      </c>
      <c r="N532" s="38"/>
      <c r="O532" s="37">
        <v>70</v>
      </c>
      <c r="P532" s="101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734"/>
      <c r="R532" s="734"/>
      <c r="S532" s="734"/>
      <c r="T532" s="735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853</v>
      </c>
      <c r="AG532" s="78"/>
      <c r="AJ532" s="84" t="s">
        <v>46</v>
      </c>
      <c r="AK532" s="84">
        <v>0</v>
      </c>
      <c r="BB532" s="645" t="s">
        <v>66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740"/>
      <c r="B533" s="740"/>
      <c r="C533" s="740"/>
      <c r="D533" s="740"/>
      <c r="E533" s="740"/>
      <c r="F533" s="740"/>
      <c r="G533" s="740"/>
      <c r="H533" s="740"/>
      <c r="I533" s="740"/>
      <c r="J533" s="740"/>
      <c r="K533" s="740"/>
      <c r="L533" s="740"/>
      <c r="M533" s="740"/>
      <c r="N533" s="740"/>
      <c r="O533" s="741"/>
      <c r="P533" s="737" t="s">
        <v>40</v>
      </c>
      <c r="Q533" s="738"/>
      <c r="R533" s="738"/>
      <c r="S533" s="738"/>
      <c r="T533" s="738"/>
      <c r="U533" s="738"/>
      <c r="V533" s="739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740"/>
      <c r="B534" s="740"/>
      <c r="C534" s="740"/>
      <c r="D534" s="740"/>
      <c r="E534" s="740"/>
      <c r="F534" s="740"/>
      <c r="G534" s="740"/>
      <c r="H534" s="740"/>
      <c r="I534" s="740"/>
      <c r="J534" s="740"/>
      <c r="K534" s="740"/>
      <c r="L534" s="740"/>
      <c r="M534" s="740"/>
      <c r="N534" s="740"/>
      <c r="O534" s="741"/>
      <c r="P534" s="737" t="s">
        <v>40</v>
      </c>
      <c r="Q534" s="738"/>
      <c r="R534" s="738"/>
      <c r="S534" s="738"/>
      <c r="T534" s="738"/>
      <c r="U534" s="738"/>
      <c r="V534" s="739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729" t="s">
        <v>861</v>
      </c>
      <c r="B535" s="729"/>
      <c r="C535" s="729"/>
      <c r="D535" s="729"/>
      <c r="E535" s="729"/>
      <c r="F535" s="729"/>
      <c r="G535" s="729"/>
      <c r="H535" s="729"/>
      <c r="I535" s="729"/>
      <c r="J535" s="729"/>
      <c r="K535" s="729"/>
      <c r="L535" s="729"/>
      <c r="M535" s="729"/>
      <c r="N535" s="729"/>
      <c r="O535" s="729"/>
      <c r="P535" s="729"/>
      <c r="Q535" s="729"/>
      <c r="R535" s="729"/>
      <c r="S535" s="729"/>
      <c r="T535" s="729"/>
      <c r="U535" s="729"/>
      <c r="V535" s="729"/>
      <c r="W535" s="729"/>
      <c r="X535" s="729"/>
      <c r="Y535" s="729"/>
      <c r="Z535" s="729"/>
      <c r="AA535" s="54"/>
      <c r="AB535" s="54"/>
      <c r="AC535" s="54"/>
    </row>
    <row r="536" spans="1:68" ht="16.5" hidden="1" customHeight="1" x14ac:dyDescent="0.25">
      <c r="A536" s="730" t="s">
        <v>861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65"/>
      <c r="AB536" s="65"/>
      <c r="AC536" s="79"/>
    </row>
    <row r="537" spans="1:68" ht="14.25" hidden="1" customHeight="1" x14ac:dyDescent="0.25">
      <c r="A537" s="731" t="s">
        <v>121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6"/>
      <c r="AB537" s="66"/>
      <c r="AC537" s="80"/>
    </row>
    <row r="538" spans="1:68" ht="27" hidden="1" customHeight="1" x14ac:dyDescent="0.25">
      <c r="A538" s="63" t="s">
        <v>862</v>
      </c>
      <c r="B538" s="63" t="s">
        <v>863</v>
      </c>
      <c r="C538" s="36">
        <v>4301011584</v>
      </c>
      <c r="D538" s="732">
        <v>4640242180564</v>
      </c>
      <c r="E538" s="732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102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734"/>
      <c r="R538" s="734"/>
      <c r="S538" s="734"/>
      <c r="T538" s="735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864</v>
      </c>
      <c r="AG538" s="78"/>
      <c r="AJ538" s="84" t="s">
        <v>46</v>
      </c>
      <c r="AK538" s="84">
        <v>0</v>
      </c>
      <c r="BB538" s="647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40"/>
      <c r="B539" s="740"/>
      <c r="C539" s="740"/>
      <c r="D539" s="740"/>
      <c r="E539" s="740"/>
      <c r="F539" s="740"/>
      <c r="G539" s="740"/>
      <c r="H539" s="740"/>
      <c r="I539" s="740"/>
      <c r="J539" s="740"/>
      <c r="K539" s="740"/>
      <c r="L539" s="740"/>
      <c r="M539" s="740"/>
      <c r="N539" s="740"/>
      <c r="O539" s="741"/>
      <c r="P539" s="737" t="s">
        <v>40</v>
      </c>
      <c r="Q539" s="738"/>
      <c r="R539" s="738"/>
      <c r="S539" s="738"/>
      <c r="T539" s="738"/>
      <c r="U539" s="738"/>
      <c r="V539" s="739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40"/>
      <c r="B540" s="740"/>
      <c r="C540" s="740"/>
      <c r="D540" s="740"/>
      <c r="E540" s="740"/>
      <c r="F540" s="740"/>
      <c r="G540" s="740"/>
      <c r="H540" s="740"/>
      <c r="I540" s="740"/>
      <c r="J540" s="740"/>
      <c r="K540" s="740"/>
      <c r="L540" s="740"/>
      <c r="M540" s="740"/>
      <c r="N540" s="740"/>
      <c r="O540" s="741"/>
      <c r="P540" s="737" t="s">
        <v>40</v>
      </c>
      <c r="Q540" s="738"/>
      <c r="R540" s="738"/>
      <c r="S540" s="738"/>
      <c r="T540" s="738"/>
      <c r="U540" s="738"/>
      <c r="V540" s="739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31" t="s">
        <v>154</v>
      </c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1"/>
      <c r="P541" s="731"/>
      <c r="Q541" s="731"/>
      <c r="R541" s="731"/>
      <c r="S541" s="731"/>
      <c r="T541" s="731"/>
      <c r="U541" s="731"/>
      <c r="V541" s="731"/>
      <c r="W541" s="731"/>
      <c r="X541" s="731"/>
      <c r="Y541" s="731"/>
      <c r="Z541" s="731"/>
      <c r="AA541" s="66"/>
      <c r="AB541" s="66"/>
      <c r="AC541" s="80"/>
    </row>
    <row r="542" spans="1:68" ht="27" hidden="1" customHeight="1" x14ac:dyDescent="0.25">
      <c r="A542" s="63" t="s">
        <v>865</v>
      </c>
      <c r="B542" s="63" t="s">
        <v>866</v>
      </c>
      <c r="C542" s="36">
        <v>4301020400</v>
      </c>
      <c r="D542" s="732">
        <v>4640242180519</v>
      </c>
      <c r="E542" s="732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126</v>
      </c>
      <c r="L542" s="37" t="s">
        <v>46</v>
      </c>
      <c r="M542" s="38" t="s">
        <v>125</v>
      </c>
      <c r="N542" s="38"/>
      <c r="O542" s="37">
        <v>50</v>
      </c>
      <c r="P542" s="10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734"/>
      <c r="R542" s="734"/>
      <c r="S542" s="734"/>
      <c r="T542" s="735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867</v>
      </c>
      <c r="AG542" s="78"/>
      <c r="AJ542" s="84" t="s">
        <v>46</v>
      </c>
      <c r="AK542" s="84">
        <v>0</v>
      </c>
      <c r="BB542" s="649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40"/>
      <c r="B543" s="740"/>
      <c r="C543" s="740"/>
      <c r="D543" s="740"/>
      <c r="E543" s="740"/>
      <c r="F543" s="740"/>
      <c r="G543" s="740"/>
      <c r="H543" s="740"/>
      <c r="I543" s="740"/>
      <c r="J543" s="740"/>
      <c r="K543" s="740"/>
      <c r="L543" s="740"/>
      <c r="M543" s="740"/>
      <c r="N543" s="740"/>
      <c r="O543" s="741"/>
      <c r="P543" s="737" t="s">
        <v>40</v>
      </c>
      <c r="Q543" s="738"/>
      <c r="R543" s="738"/>
      <c r="S543" s="738"/>
      <c r="T543" s="738"/>
      <c r="U543" s="738"/>
      <c r="V543" s="739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40"/>
      <c r="B544" s="740"/>
      <c r="C544" s="740"/>
      <c r="D544" s="740"/>
      <c r="E544" s="740"/>
      <c r="F544" s="740"/>
      <c r="G544" s="740"/>
      <c r="H544" s="740"/>
      <c r="I544" s="740"/>
      <c r="J544" s="740"/>
      <c r="K544" s="740"/>
      <c r="L544" s="740"/>
      <c r="M544" s="740"/>
      <c r="N544" s="740"/>
      <c r="O544" s="741"/>
      <c r="P544" s="737" t="s">
        <v>40</v>
      </c>
      <c r="Q544" s="738"/>
      <c r="R544" s="738"/>
      <c r="S544" s="738"/>
      <c r="T544" s="738"/>
      <c r="U544" s="738"/>
      <c r="V544" s="739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31" t="s">
        <v>76</v>
      </c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1"/>
      <c r="P545" s="731"/>
      <c r="Q545" s="731"/>
      <c r="R545" s="731"/>
      <c r="S545" s="731"/>
      <c r="T545" s="731"/>
      <c r="U545" s="731"/>
      <c r="V545" s="731"/>
      <c r="W545" s="731"/>
      <c r="X545" s="731"/>
      <c r="Y545" s="731"/>
      <c r="Z545" s="731"/>
      <c r="AA545" s="66"/>
      <c r="AB545" s="66"/>
      <c r="AC545" s="80"/>
    </row>
    <row r="546" spans="1:68" ht="27" hidden="1" customHeight="1" x14ac:dyDescent="0.25">
      <c r="A546" s="63" t="s">
        <v>868</v>
      </c>
      <c r="B546" s="63" t="s">
        <v>869</v>
      </c>
      <c r="C546" s="36">
        <v>4301031500</v>
      </c>
      <c r="D546" s="732">
        <v>4640242180595</v>
      </c>
      <c r="E546" s="732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133</v>
      </c>
      <c r="L546" s="37" t="s">
        <v>46</v>
      </c>
      <c r="M546" s="38" t="s">
        <v>80</v>
      </c>
      <c r="N546" s="38"/>
      <c r="O546" s="37">
        <v>40</v>
      </c>
      <c r="P546" s="10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734"/>
      <c r="R546" s="734"/>
      <c r="S546" s="734"/>
      <c r="T546" s="735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870</v>
      </c>
      <c r="AG546" s="78"/>
      <c r="AJ546" s="84" t="s">
        <v>46</v>
      </c>
      <c r="AK546" s="84">
        <v>0</v>
      </c>
      <c r="BB546" s="651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40"/>
      <c r="B547" s="740"/>
      <c r="C547" s="740"/>
      <c r="D547" s="740"/>
      <c r="E547" s="740"/>
      <c r="F547" s="740"/>
      <c r="G547" s="740"/>
      <c r="H547" s="740"/>
      <c r="I547" s="740"/>
      <c r="J547" s="740"/>
      <c r="K547" s="740"/>
      <c r="L547" s="740"/>
      <c r="M547" s="740"/>
      <c r="N547" s="740"/>
      <c r="O547" s="741"/>
      <c r="P547" s="737" t="s">
        <v>40</v>
      </c>
      <c r="Q547" s="738"/>
      <c r="R547" s="738"/>
      <c r="S547" s="738"/>
      <c r="T547" s="738"/>
      <c r="U547" s="738"/>
      <c r="V547" s="739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40"/>
      <c r="B548" s="740"/>
      <c r="C548" s="740"/>
      <c r="D548" s="740"/>
      <c r="E548" s="740"/>
      <c r="F548" s="740"/>
      <c r="G548" s="740"/>
      <c r="H548" s="740"/>
      <c r="I548" s="740"/>
      <c r="J548" s="740"/>
      <c r="K548" s="740"/>
      <c r="L548" s="740"/>
      <c r="M548" s="740"/>
      <c r="N548" s="740"/>
      <c r="O548" s="741"/>
      <c r="P548" s="737" t="s">
        <v>40</v>
      </c>
      <c r="Q548" s="738"/>
      <c r="R548" s="738"/>
      <c r="S548" s="738"/>
      <c r="T548" s="738"/>
      <c r="U548" s="738"/>
      <c r="V548" s="739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31" t="s">
        <v>85</v>
      </c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1"/>
      <c r="P549" s="731"/>
      <c r="Q549" s="731"/>
      <c r="R549" s="731"/>
      <c r="S549" s="731"/>
      <c r="T549" s="731"/>
      <c r="U549" s="731"/>
      <c r="V549" s="731"/>
      <c r="W549" s="731"/>
      <c r="X549" s="731"/>
      <c r="Y549" s="731"/>
      <c r="Z549" s="731"/>
      <c r="AA549" s="66"/>
      <c r="AB549" s="66"/>
      <c r="AC549" s="80"/>
    </row>
    <row r="550" spans="1:68" ht="27" hidden="1" customHeight="1" x14ac:dyDescent="0.25">
      <c r="A550" s="63" t="s">
        <v>871</v>
      </c>
      <c r="B550" s="63" t="s">
        <v>872</v>
      </c>
      <c r="C550" s="36">
        <v>4301052043</v>
      </c>
      <c r="D550" s="732">
        <v>4640242180533</v>
      </c>
      <c r="E550" s="732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45</v>
      </c>
      <c r="P550" s="102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734"/>
      <c r="R550" s="734"/>
      <c r="S550" s="734"/>
      <c r="T550" s="735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873</v>
      </c>
      <c r="AG550" s="78"/>
      <c r="AJ550" s="84" t="s">
        <v>46</v>
      </c>
      <c r="AK550" s="84">
        <v>0</v>
      </c>
      <c r="BB550" s="653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40"/>
      <c r="B551" s="740"/>
      <c r="C551" s="740"/>
      <c r="D551" s="740"/>
      <c r="E551" s="740"/>
      <c r="F551" s="740"/>
      <c r="G551" s="740"/>
      <c r="H551" s="740"/>
      <c r="I551" s="740"/>
      <c r="J551" s="740"/>
      <c r="K551" s="740"/>
      <c r="L551" s="740"/>
      <c r="M551" s="740"/>
      <c r="N551" s="740"/>
      <c r="O551" s="741"/>
      <c r="P551" s="737" t="s">
        <v>40</v>
      </c>
      <c r="Q551" s="738"/>
      <c r="R551" s="738"/>
      <c r="S551" s="738"/>
      <c r="T551" s="738"/>
      <c r="U551" s="738"/>
      <c r="V551" s="739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40"/>
      <c r="B552" s="740"/>
      <c r="C552" s="740"/>
      <c r="D552" s="740"/>
      <c r="E552" s="740"/>
      <c r="F552" s="740"/>
      <c r="G552" s="740"/>
      <c r="H552" s="740"/>
      <c r="I552" s="740"/>
      <c r="J552" s="740"/>
      <c r="K552" s="740"/>
      <c r="L552" s="740"/>
      <c r="M552" s="740"/>
      <c r="N552" s="740"/>
      <c r="O552" s="741"/>
      <c r="P552" s="737" t="s">
        <v>40</v>
      </c>
      <c r="Q552" s="738"/>
      <c r="R552" s="738"/>
      <c r="S552" s="738"/>
      <c r="T552" s="738"/>
      <c r="U552" s="738"/>
      <c r="V552" s="739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731" t="s">
        <v>172</v>
      </c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1"/>
      <c r="P553" s="731"/>
      <c r="Q553" s="731"/>
      <c r="R553" s="731"/>
      <c r="S553" s="731"/>
      <c r="T553" s="731"/>
      <c r="U553" s="731"/>
      <c r="V553" s="731"/>
      <c r="W553" s="731"/>
      <c r="X553" s="731"/>
      <c r="Y553" s="731"/>
      <c r="Z553" s="731"/>
      <c r="AA553" s="66"/>
      <c r="AB553" s="66"/>
      <c r="AC553" s="80"/>
    </row>
    <row r="554" spans="1:68" ht="27" hidden="1" customHeight="1" x14ac:dyDescent="0.25">
      <c r="A554" s="63" t="s">
        <v>874</v>
      </c>
      <c r="B554" s="63" t="s">
        <v>875</v>
      </c>
      <c r="C554" s="36">
        <v>4301060535</v>
      </c>
      <c r="D554" s="732">
        <v>4640242180120</v>
      </c>
      <c r="E554" s="732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126</v>
      </c>
      <c r="L554" s="37" t="s">
        <v>46</v>
      </c>
      <c r="M554" s="38" t="s">
        <v>89</v>
      </c>
      <c r="N554" s="38"/>
      <c r="O554" s="37">
        <v>40</v>
      </c>
      <c r="P554" s="102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734"/>
      <c r="R554" s="734"/>
      <c r="S554" s="734"/>
      <c r="T554" s="735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876</v>
      </c>
      <c r="AG554" s="78"/>
      <c r="AJ554" s="84" t="s">
        <v>46</v>
      </c>
      <c r="AK554" s="84">
        <v>0</v>
      </c>
      <c r="BB554" s="655" t="s">
        <v>66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877</v>
      </c>
      <c r="B555" s="63" t="s">
        <v>878</v>
      </c>
      <c r="C555" s="36">
        <v>4301060536</v>
      </c>
      <c r="D555" s="732">
        <v>4640242180137</v>
      </c>
      <c r="E555" s="732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126</v>
      </c>
      <c r="L555" s="37" t="s">
        <v>46</v>
      </c>
      <c r="M555" s="38" t="s">
        <v>89</v>
      </c>
      <c r="N555" s="38"/>
      <c r="O555" s="37">
        <v>40</v>
      </c>
      <c r="P555" s="102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734"/>
      <c r="R555" s="734"/>
      <c r="S555" s="734"/>
      <c r="T555" s="735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879</v>
      </c>
      <c r="AG555" s="78"/>
      <c r="AJ555" s="84" t="s">
        <v>46</v>
      </c>
      <c r="AK555" s="84">
        <v>0</v>
      </c>
      <c r="BB555" s="65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40"/>
      <c r="B556" s="740"/>
      <c r="C556" s="740"/>
      <c r="D556" s="740"/>
      <c r="E556" s="740"/>
      <c r="F556" s="740"/>
      <c r="G556" s="740"/>
      <c r="H556" s="740"/>
      <c r="I556" s="740"/>
      <c r="J556" s="740"/>
      <c r="K556" s="740"/>
      <c r="L556" s="740"/>
      <c r="M556" s="740"/>
      <c r="N556" s="740"/>
      <c r="O556" s="741"/>
      <c r="P556" s="737" t="s">
        <v>40</v>
      </c>
      <c r="Q556" s="738"/>
      <c r="R556" s="738"/>
      <c r="S556" s="738"/>
      <c r="T556" s="738"/>
      <c r="U556" s="738"/>
      <c r="V556" s="73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40"/>
      <c r="B557" s="740"/>
      <c r="C557" s="740"/>
      <c r="D557" s="740"/>
      <c r="E557" s="740"/>
      <c r="F557" s="740"/>
      <c r="G557" s="740"/>
      <c r="H557" s="740"/>
      <c r="I557" s="740"/>
      <c r="J557" s="740"/>
      <c r="K557" s="740"/>
      <c r="L557" s="740"/>
      <c r="M557" s="740"/>
      <c r="N557" s="740"/>
      <c r="O557" s="741"/>
      <c r="P557" s="737" t="s">
        <v>40</v>
      </c>
      <c r="Q557" s="738"/>
      <c r="R557" s="738"/>
      <c r="S557" s="738"/>
      <c r="T557" s="738"/>
      <c r="U557" s="738"/>
      <c r="V557" s="73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730" t="s">
        <v>880</v>
      </c>
      <c r="B558" s="730"/>
      <c r="C558" s="730"/>
      <c r="D558" s="730"/>
      <c r="E558" s="730"/>
      <c r="F558" s="730"/>
      <c r="G558" s="730"/>
      <c r="H558" s="730"/>
      <c r="I558" s="730"/>
      <c r="J558" s="730"/>
      <c r="K558" s="730"/>
      <c r="L558" s="730"/>
      <c r="M558" s="730"/>
      <c r="N558" s="730"/>
      <c r="O558" s="730"/>
      <c r="P558" s="730"/>
      <c r="Q558" s="730"/>
      <c r="R558" s="730"/>
      <c r="S558" s="730"/>
      <c r="T558" s="730"/>
      <c r="U558" s="730"/>
      <c r="V558" s="730"/>
      <c r="W558" s="730"/>
      <c r="X558" s="730"/>
      <c r="Y558" s="730"/>
      <c r="Z558" s="730"/>
      <c r="AA558" s="65"/>
      <c r="AB558" s="65"/>
      <c r="AC558" s="79"/>
    </row>
    <row r="559" spans="1:68" ht="14.25" hidden="1" customHeight="1" x14ac:dyDescent="0.25">
      <c r="A559" s="731" t="s">
        <v>154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6"/>
      <c r="AB559" s="66"/>
      <c r="AC559" s="80"/>
    </row>
    <row r="560" spans="1:68" ht="27" hidden="1" customHeight="1" x14ac:dyDescent="0.25">
      <c r="A560" s="63" t="s">
        <v>881</v>
      </c>
      <c r="B560" s="63" t="s">
        <v>882</v>
      </c>
      <c r="C560" s="36">
        <v>4301020428</v>
      </c>
      <c r="D560" s="732">
        <v>4640242180090</v>
      </c>
      <c r="E560" s="732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126</v>
      </c>
      <c r="L560" s="37" t="s">
        <v>46</v>
      </c>
      <c r="M560" s="38" t="s">
        <v>125</v>
      </c>
      <c r="N560" s="38"/>
      <c r="O560" s="37">
        <v>50</v>
      </c>
      <c r="P560" s="10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734"/>
      <c r="R560" s="734"/>
      <c r="S560" s="734"/>
      <c r="T560" s="735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883</v>
      </c>
      <c r="AG560" s="78"/>
      <c r="AJ560" s="84" t="s">
        <v>46</v>
      </c>
      <c r="AK560" s="84">
        <v>0</v>
      </c>
      <c r="BB560" s="659" t="s">
        <v>66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740"/>
      <c r="B561" s="740"/>
      <c r="C561" s="740"/>
      <c r="D561" s="740"/>
      <c r="E561" s="740"/>
      <c r="F561" s="740"/>
      <c r="G561" s="740"/>
      <c r="H561" s="740"/>
      <c r="I561" s="740"/>
      <c r="J561" s="740"/>
      <c r="K561" s="740"/>
      <c r="L561" s="740"/>
      <c r="M561" s="740"/>
      <c r="N561" s="740"/>
      <c r="O561" s="741"/>
      <c r="P561" s="737" t="s">
        <v>40</v>
      </c>
      <c r="Q561" s="738"/>
      <c r="R561" s="738"/>
      <c r="S561" s="738"/>
      <c r="T561" s="738"/>
      <c r="U561" s="738"/>
      <c r="V561" s="739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740"/>
      <c r="B562" s="740"/>
      <c r="C562" s="740"/>
      <c r="D562" s="740"/>
      <c r="E562" s="740"/>
      <c r="F562" s="740"/>
      <c r="G562" s="740"/>
      <c r="H562" s="740"/>
      <c r="I562" s="740"/>
      <c r="J562" s="740"/>
      <c r="K562" s="740"/>
      <c r="L562" s="740"/>
      <c r="M562" s="740"/>
      <c r="N562" s="740"/>
      <c r="O562" s="741"/>
      <c r="P562" s="737" t="s">
        <v>40</v>
      </c>
      <c r="Q562" s="738"/>
      <c r="R562" s="738"/>
      <c r="S562" s="738"/>
      <c r="T562" s="738"/>
      <c r="U562" s="738"/>
      <c r="V562" s="739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740"/>
      <c r="B563" s="740"/>
      <c r="C563" s="740"/>
      <c r="D563" s="740"/>
      <c r="E563" s="740"/>
      <c r="F563" s="740"/>
      <c r="G563" s="740"/>
      <c r="H563" s="740"/>
      <c r="I563" s="740"/>
      <c r="J563" s="740"/>
      <c r="K563" s="740"/>
      <c r="L563" s="740"/>
      <c r="M563" s="740"/>
      <c r="N563" s="740"/>
      <c r="O563" s="1031"/>
      <c r="P563" s="1028" t="s">
        <v>33</v>
      </c>
      <c r="Q563" s="1029"/>
      <c r="R563" s="1029"/>
      <c r="S563" s="1029"/>
      <c r="T563" s="1029"/>
      <c r="U563" s="1029"/>
      <c r="V563" s="1030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780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795</v>
      </c>
      <c r="Z563" s="42"/>
      <c r="AA563" s="67"/>
      <c r="AB563" s="67"/>
      <c r="AC563" s="67"/>
    </row>
    <row r="564" spans="1:32" x14ac:dyDescent="0.2">
      <c r="A564" s="740"/>
      <c r="B564" s="740"/>
      <c r="C564" s="740"/>
      <c r="D564" s="740"/>
      <c r="E564" s="740"/>
      <c r="F564" s="740"/>
      <c r="G564" s="740"/>
      <c r="H564" s="740"/>
      <c r="I564" s="740"/>
      <c r="J564" s="740"/>
      <c r="K564" s="740"/>
      <c r="L564" s="740"/>
      <c r="M564" s="740"/>
      <c r="N564" s="740"/>
      <c r="O564" s="1031"/>
      <c r="P564" s="1028" t="s">
        <v>34</v>
      </c>
      <c r="Q564" s="1029"/>
      <c r="R564" s="1029"/>
      <c r="S564" s="1029"/>
      <c r="T564" s="1029"/>
      <c r="U564" s="1029"/>
      <c r="V564" s="1030"/>
      <c r="W564" s="42" t="s">
        <v>0</v>
      </c>
      <c r="X564" s="43">
        <f>IFERROR(SUM(BM22:BM560),"0")</f>
        <v>804.44</v>
      </c>
      <c r="Y564" s="43">
        <f>IFERROR(SUM(BN22:BN560),"0")</f>
        <v>819.91</v>
      </c>
      <c r="Z564" s="42"/>
      <c r="AA564" s="67"/>
      <c r="AB564" s="67"/>
      <c r="AC564" s="67"/>
    </row>
    <row r="565" spans="1:32" x14ac:dyDescent="0.2">
      <c r="A565" s="740"/>
      <c r="B565" s="740"/>
      <c r="C565" s="740"/>
      <c r="D565" s="740"/>
      <c r="E565" s="740"/>
      <c r="F565" s="740"/>
      <c r="G565" s="740"/>
      <c r="H565" s="740"/>
      <c r="I565" s="740"/>
      <c r="J565" s="740"/>
      <c r="K565" s="740"/>
      <c r="L565" s="740"/>
      <c r="M565" s="740"/>
      <c r="N565" s="740"/>
      <c r="O565" s="1031"/>
      <c r="P565" s="1028" t="s">
        <v>35</v>
      </c>
      <c r="Q565" s="1029"/>
      <c r="R565" s="1029"/>
      <c r="S565" s="1029"/>
      <c r="T565" s="1029"/>
      <c r="U565" s="1029"/>
      <c r="V565" s="1030"/>
      <c r="W565" s="42" t="s">
        <v>20</v>
      </c>
      <c r="X565" s="44">
        <f>ROUNDUP(SUM(BO22:BO560),0)</f>
        <v>2</v>
      </c>
      <c r="Y565" s="44">
        <f>ROUNDUP(SUM(BP22:BP560),0)</f>
        <v>2</v>
      </c>
      <c r="Z565" s="42"/>
      <c r="AA565" s="67"/>
      <c r="AB565" s="67"/>
      <c r="AC565" s="67"/>
    </row>
    <row r="566" spans="1:32" x14ac:dyDescent="0.2">
      <c r="A566" s="740"/>
      <c r="B566" s="740"/>
      <c r="C566" s="740"/>
      <c r="D566" s="740"/>
      <c r="E566" s="740"/>
      <c r="F566" s="740"/>
      <c r="G566" s="740"/>
      <c r="H566" s="740"/>
      <c r="I566" s="740"/>
      <c r="J566" s="740"/>
      <c r="K566" s="740"/>
      <c r="L566" s="740"/>
      <c r="M566" s="740"/>
      <c r="N566" s="740"/>
      <c r="O566" s="1031"/>
      <c r="P566" s="1028" t="s">
        <v>36</v>
      </c>
      <c r="Q566" s="1029"/>
      <c r="R566" s="1029"/>
      <c r="S566" s="1029"/>
      <c r="T566" s="1029"/>
      <c r="U566" s="1029"/>
      <c r="V566" s="1030"/>
      <c r="W566" s="42" t="s">
        <v>0</v>
      </c>
      <c r="X566" s="43">
        <f>GrossWeightTotal+PalletQtyTotal*25</f>
        <v>854.44</v>
      </c>
      <c r="Y566" s="43">
        <f>GrossWeightTotalR+PalletQtyTotalR*25</f>
        <v>869.91</v>
      </c>
      <c r="Z566" s="42"/>
      <c r="AA566" s="67"/>
      <c r="AB566" s="67"/>
      <c r="AC566" s="67"/>
    </row>
    <row r="567" spans="1:32" x14ac:dyDescent="0.2">
      <c r="A567" s="740"/>
      <c r="B567" s="740"/>
      <c r="C567" s="740"/>
      <c r="D567" s="740"/>
      <c r="E567" s="740"/>
      <c r="F567" s="740"/>
      <c r="G567" s="740"/>
      <c r="H567" s="740"/>
      <c r="I567" s="740"/>
      <c r="J567" s="740"/>
      <c r="K567" s="740"/>
      <c r="L567" s="740"/>
      <c r="M567" s="740"/>
      <c r="N567" s="740"/>
      <c r="O567" s="1031"/>
      <c r="P567" s="1028" t="s">
        <v>37</v>
      </c>
      <c r="Q567" s="1029"/>
      <c r="R567" s="1029"/>
      <c r="S567" s="1029"/>
      <c r="T567" s="1029"/>
      <c r="U567" s="1029"/>
      <c r="V567" s="1030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52.000000000000007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53</v>
      </c>
      <c r="Z567" s="42"/>
      <c r="AA567" s="67"/>
      <c r="AB567" s="67"/>
      <c r="AC567" s="67"/>
    </row>
    <row r="568" spans="1:32" ht="14.25" hidden="1" x14ac:dyDescent="0.2">
      <c r="A568" s="740"/>
      <c r="B568" s="740"/>
      <c r="C568" s="740"/>
      <c r="D568" s="740"/>
      <c r="E568" s="740"/>
      <c r="F568" s="740"/>
      <c r="G568" s="740"/>
      <c r="H568" s="740"/>
      <c r="I568" s="740"/>
      <c r="J568" s="740"/>
      <c r="K568" s="740"/>
      <c r="L568" s="740"/>
      <c r="M568" s="740"/>
      <c r="N568" s="740"/>
      <c r="O568" s="1031"/>
      <c r="P568" s="1028" t="s">
        <v>38</v>
      </c>
      <c r="Q568" s="1029"/>
      <c r="R568" s="1029"/>
      <c r="S568" s="1029"/>
      <c r="T568" s="1029"/>
      <c r="U568" s="1029"/>
      <c r="V568" s="1030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1.1527499999999999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75</v>
      </c>
      <c r="C570" s="85" t="s">
        <v>45</v>
      </c>
      <c r="D570" s="1026" t="s">
        <v>119</v>
      </c>
      <c r="E570" s="1026" t="s">
        <v>119</v>
      </c>
      <c r="F570" s="1026" t="s">
        <v>119</v>
      </c>
      <c r="G570" s="1026" t="s">
        <v>119</v>
      </c>
      <c r="H570" s="1026" t="s">
        <v>119</v>
      </c>
      <c r="I570" s="1026" t="s">
        <v>119</v>
      </c>
      <c r="J570" s="1026" t="s">
        <v>119</v>
      </c>
      <c r="K570" s="1026" t="s">
        <v>369</v>
      </c>
      <c r="L570" s="1026" t="s">
        <v>369</v>
      </c>
      <c r="M570" s="1026" t="s">
        <v>369</v>
      </c>
      <c r="N570" s="1032"/>
      <c r="O570" s="1026" t="s">
        <v>369</v>
      </c>
      <c r="P570" s="1026" t="s">
        <v>369</v>
      </c>
      <c r="Q570" s="1026" t="s">
        <v>369</v>
      </c>
      <c r="R570" s="1026" t="s">
        <v>369</v>
      </c>
      <c r="S570" s="1026" t="s">
        <v>369</v>
      </c>
      <c r="T570" s="1026" t="s">
        <v>369</v>
      </c>
      <c r="U570" s="1026" t="s">
        <v>369</v>
      </c>
      <c r="V570" s="1026" t="s">
        <v>369</v>
      </c>
      <c r="W570" s="1026" t="s">
        <v>712</v>
      </c>
      <c r="X570" s="1026" t="s">
        <v>712</v>
      </c>
      <c r="Y570" s="1026" t="s">
        <v>778</v>
      </c>
      <c r="Z570" s="1026" t="s">
        <v>778</v>
      </c>
      <c r="AA570" s="85" t="s">
        <v>814</v>
      </c>
      <c r="AB570" s="1026" t="s">
        <v>861</v>
      </c>
      <c r="AC570" s="1026" t="s">
        <v>861</v>
      </c>
      <c r="AF570" s="1"/>
    </row>
    <row r="571" spans="1:32" ht="14.25" customHeight="1" thickTop="1" x14ac:dyDescent="0.2">
      <c r="A571" s="1033" t="s">
        <v>10</v>
      </c>
      <c r="B571" s="1026" t="s">
        <v>75</v>
      </c>
      <c r="C571" s="1026" t="s">
        <v>103</v>
      </c>
      <c r="D571" s="1026" t="s">
        <v>120</v>
      </c>
      <c r="E571" s="1026" t="s">
        <v>136</v>
      </c>
      <c r="F571" s="1026" t="s">
        <v>181</v>
      </c>
      <c r="G571" s="1026" t="s">
        <v>211</v>
      </c>
      <c r="H571" s="1026" t="s">
        <v>264</v>
      </c>
      <c r="I571" s="1026" t="s">
        <v>277</v>
      </c>
      <c r="J571" s="1026" t="s">
        <v>119</v>
      </c>
      <c r="K571" s="1026" t="s">
        <v>370</v>
      </c>
      <c r="L571" s="1026" t="s">
        <v>391</v>
      </c>
      <c r="M571" s="1026" t="s">
        <v>458</v>
      </c>
      <c r="N571" s="1"/>
      <c r="O571" s="1026" t="s">
        <v>526</v>
      </c>
      <c r="P571" s="1026" t="s">
        <v>559</v>
      </c>
      <c r="Q571" s="1026" t="s">
        <v>575</v>
      </c>
      <c r="R571" s="1026" t="s">
        <v>584</v>
      </c>
      <c r="S571" s="1026" t="s">
        <v>605</v>
      </c>
      <c r="T571" s="1026" t="s">
        <v>614</v>
      </c>
      <c r="U571" s="1026" t="s">
        <v>695</v>
      </c>
      <c r="V571" s="1026" t="s">
        <v>702</v>
      </c>
      <c r="W571" s="1026" t="s">
        <v>713</v>
      </c>
      <c r="X571" s="1026" t="s">
        <v>762</v>
      </c>
      <c r="Y571" s="1026" t="s">
        <v>779</v>
      </c>
      <c r="Z571" s="1026" t="s">
        <v>802</v>
      </c>
      <c r="AA571" s="1026" t="s">
        <v>814</v>
      </c>
      <c r="AB571" s="1026" t="s">
        <v>861</v>
      </c>
      <c r="AC571" s="1026" t="s">
        <v>880</v>
      </c>
      <c r="AF571" s="1"/>
    </row>
    <row r="572" spans="1:32" ht="13.5" thickBot="1" x14ac:dyDescent="0.25">
      <c r="A572" s="1034"/>
      <c r="B572" s="1026"/>
      <c r="C572" s="1026"/>
      <c r="D572" s="1026"/>
      <c r="E572" s="1026"/>
      <c r="F572" s="1026"/>
      <c r="G572" s="1026"/>
      <c r="H572" s="1026"/>
      <c r="I572" s="1026"/>
      <c r="J572" s="1026"/>
      <c r="K572" s="1026"/>
      <c r="L572" s="1026"/>
      <c r="M572" s="1026"/>
      <c r="N572" s="1"/>
      <c r="O572" s="1026"/>
      <c r="P572" s="1026"/>
      <c r="Q572" s="1026"/>
      <c r="R572" s="1026"/>
      <c r="S572" s="1026"/>
      <c r="T572" s="1026"/>
      <c r="U572" s="1026"/>
      <c r="V572" s="1026"/>
      <c r="W572" s="1026"/>
      <c r="X572" s="1026"/>
      <c r="Y572" s="1026"/>
      <c r="Z572" s="1026"/>
      <c r="AA572" s="1026"/>
      <c r="AB572" s="1026"/>
      <c r="AC572" s="1026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795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,33"/>
        <filter val="150,00"/>
        <filter val="2"/>
        <filter val="200,00"/>
        <filter val="280,00"/>
        <filter val="38,67"/>
        <filter val="52,00"/>
        <filter val="580,00"/>
        <filter val="780,00"/>
        <filter val="804,44"/>
        <filter val="854,44"/>
      </filters>
    </filterColumn>
    <filterColumn colId="29" showButton="0"/>
    <filterColumn colId="30" showButton="0"/>
  </autoFilter>
  <dataConsolidate/>
  <mergeCells count="1011"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884</v>
      </c>
      <c r="H1" s="9"/>
    </row>
    <row r="3" spans="2:8" x14ac:dyDescent="0.2">
      <c r="B3" s="53" t="s">
        <v>885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887</v>
      </c>
      <c r="C6" s="53" t="s">
        <v>888</v>
      </c>
      <c r="D6" s="53" t="s">
        <v>889</v>
      </c>
      <c r="E6" s="53" t="s">
        <v>46</v>
      </c>
    </row>
    <row r="7" spans="2:8" x14ac:dyDescent="0.2">
      <c r="B7" s="53" t="s">
        <v>890</v>
      </c>
      <c r="C7" s="53" t="s">
        <v>891</v>
      </c>
      <c r="D7" s="53" t="s">
        <v>892</v>
      </c>
      <c r="E7" s="53" t="s">
        <v>46</v>
      </c>
    </row>
    <row r="8" spans="2:8" x14ac:dyDescent="0.2">
      <c r="B8" s="53" t="s">
        <v>893</v>
      </c>
      <c r="C8" s="53" t="s">
        <v>894</v>
      </c>
      <c r="D8" s="53" t="s">
        <v>895</v>
      </c>
      <c r="E8" s="53" t="s">
        <v>46</v>
      </c>
    </row>
    <row r="9" spans="2:8" x14ac:dyDescent="0.2">
      <c r="B9" s="53" t="s">
        <v>896</v>
      </c>
      <c r="C9" s="53" t="s">
        <v>897</v>
      </c>
      <c r="D9" s="53" t="s">
        <v>898</v>
      </c>
      <c r="E9" s="53" t="s">
        <v>46</v>
      </c>
    </row>
    <row r="10" spans="2:8" x14ac:dyDescent="0.2">
      <c r="B10" s="53" t="s">
        <v>899</v>
      </c>
      <c r="C10" s="53" t="s">
        <v>900</v>
      </c>
      <c r="D10" s="53" t="s">
        <v>901</v>
      </c>
      <c r="E10" s="53" t="s">
        <v>46</v>
      </c>
    </row>
    <row r="11" spans="2:8" x14ac:dyDescent="0.2">
      <c r="B11" s="53" t="s">
        <v>902</v>
      </c>
      <c r="C11" s="53" t="s">
        <v>903</v>
      </c>
      <c r="D11" s="53" t="s">
        <v>904</v>
      </c>
      <c r="E11" s="53" t="s">
        <v>46</v>
      </c>
    </row>
    <row r="12" spans="2:8" x14ac:dyDescent="0.2">
      <c r="B12" s="53" t="s">
        <v>905</v>
      </c>
      <c r="C12" s="53" t="s">
        <v>906</v>
      </c>
      <c r="D12" s="53" t="s">
        <v>907</v>
      </c>
      <c r="E12" s="53" t="s">
        <v>46</v>
      </c>
    </row>
    <row r="14" spans="2:8" x14ac:dyDescent="0.2">
      <c r="B14" s="53" t="s">
        <v>908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909</v>
      </c>
      <c r="C16" s="53" t="s">
        <v>891</v>
      </c>
      <c r="D16" s="53" t="s">
        <v>46</v>
      </c>
      <c r="E16" s="53" t="s">
        <v>46</v>
      </c>
    </row>
    <row r="18" spans="2:5" x14ac:dyDescent="0.2">
      <c r="B18" s="53" t="s">
        <v>910</v>
      </c>
      <c r="C18" s="53" t="s">
        <v>894</v>
      </c>
      <c r="D18" s="53" t="s">
        <v>46</v>
      </c>
      <c r="E18" s="53" t="s">
        <v>46</v>
      </c>
    </row>
    <row r="20" spans="2:5" x14ac:dyDescent="0.2">
      <c r="B20" s="53" t="s">
        <v>911</v>
      </c>
      <c r="C20" s="53" t="s">
        <v>897</v>
      </c>
      <c r="D20" s="53" t="s">
        <v>46</v>
      </c>
      <c r="E20" s="53" t="s">
        <v>46</v>
      </c>
    </row>
    <row r="22" spans="2:5" x14ac:dyDescent="0.2">
      <c r="B22" s="53" t="s">
        <v>912</v>
      </c>
      <c r="C22" s="53" t="s">
        <v>900</v>
      </c>
      <c r="D22" s="53" t="s">
        <v>46</v>
      </c>
      <c r="E22" s="53" t="s">
        <v>46</v>
      </c>
    </row>
    <row r="24" spans="2:5" x14ac:dyDescent="0.2">
      <c r="B24" s="53" t="s">
        <v>913</v>
      </c>
      <c r="C24" s="53" t="s">
        <v>903</v>
      </c>
      <c r="D24" s="53" t="s">
        <v>46</v>
      </c>
      <c r="E24" s="53" t="s">
        <v>46</v>
      </c>
    </row>
    <row r="26" spans="2:5" x14ac:dyDescent="0.2">
      <c r="B26" s="53" t="s">
        <v>914</v>
      </c>
      <c r="C26" s="53" t="s">
        <v>906</v>
      </c>
      <c r="D26" s="53" t="s">
        <v>46</v>
      </c>
      <c r="E26" s="53" t="s">
        <v>46</v>
      </c>
    </row>
    <row r="28" spans="2:5" x14ac:dyDescent="0.2">
      <c r="B28" s="53" t="s">
        <v>915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925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2026-09-07T12:36:00Z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