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71CE360-E3F9-4EDD-B468-89C5258F44B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Y540" i="2" s="1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P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BP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Z515" i="2" s="1"/>
  <c r="P515" i="2"/>
  <c r="BO514" i="2"/>
  <c r="BM514" i="2"/>
  <c r="Y514" i="2"/>
  <c r="BN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X499" i="2"/>
  <c r="X498" i="2"/>
  <c r="BO497" i="2"/>
  <c r="BM497" i="2"/>
  <c r="Y497" i="2"/>
  <c r="P497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P487" i="2"/>
  <c r="BO486" i="2"/>
  <c r="BM486" i="2"/>
  <c r="Z486" i="2"/>
  <c r="Y486" i="2"/>
  <c r="BP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X478" i="2"/>
  <c r="X477" i="2"/>
  <c r="BO476" i="2"/>
  <c r="BM476" i="2"/>
  <c r="Y476" i="2"/>
  <c r="BN476" i="2" s="1"/>
  <c r="P476" i="2"/>
  <c r="BO475" i="2"/>
  <c r="BM475" i="2"/>
  <c r="Y475" i="2"/>
  <c r="P475" i="2"/>
  <c r="BO474" i="2"/>
  <c r="BM474" i="2"/>
  <c r="Y474" i="2"/>
  <c r="BP474" i="2" s="1"/>
  <c r="P474" i="2"/>
  <c r="X472" i="2"/>
  <c r="X471" i="2"/>
  <c r="BO470" i="2"/>
  <c r="BM470" i="2"/>
  <c r="Y470" i="2"/>
  <c r="Y471" i="2" s="1"/>
  <c r="P470" i="2"/>
  <c r="X468" i="2"/>
  <c r="X467" i="2"/>
  <c r="BO466" i="2"/>
  <c r="BM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Z460" i="2" s="1"/>
  <c r="P460" i="2"/>
  <c r="BO459" i="2"/>
  <c r="BM459" i="2"/>
  <c r="Y459" i="2"/>
  <c r="BP459" i="2" s="1"/>
  <c r="P459" i="2"/>
  <c r="X457" i="2"/>
  <c r="X456" i="2"/>
  <c r="BO455" i="2"/>
  <c r="BM455" i="2"/>
  <c r="Y455" i="2"/>
  <c r="Z455" i="2" s="1"/>
  <c r="P455" i="2"/>
  <c r="BO454" i="2"/>
  <c r="BM454" i="2"/>
  <c r="Y454" i="2"/>
  <c r="BP454" i="2" s="1"/>
  <c r="P454" i="2"/>
  <c r="BO453" i="2"/>
  <c r="BM453" i="2"/>
  <c r="Y453" i="2"/>
  <c r="BP453" i="2" s="1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Y451" i="2" s="1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BO436" i="2"/>
  <c r="BM436" i="2"/>
  <c r="Y436" i="2"/>
  <c r="BN436" i="2" s="1"/>
  <c r="P436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Y432" i="2" s="1"/>
  <c r="P428" i="2"/>
  <c r="X425" i="2"/>
  <c r="X424" i="2"/>
  <c r="BO423" i="2"/>
  <c r="BM423" i="2"/>
  <c r="Y423" i="2"/>
  <c r="BP423" i="2" s="1"/>
  <c r="P423" i="2"/>
  <c r="BO422" i="2"/>
  <c r="BM422" i="2"/>
  <c r="Y422" i="2"/>
  <c r="BN422" i="2" s="1"/>
  <c r="P422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X407" i="2"/>
  <c r="X406" i="2"/>
  <c r="BO405" i="2"/>
  <c r="BM405" i="2"/>
  <c r="Y405" i="2"/>
  <c r="BP405" i="2" s="1"/>
  <c r="P405" i="2"/>
  <c r="BO404" i="2"/>
  <c r="BM404" i="2"/>
  <c r="Z404" i="2"/>
  <c r="Y404" i="2"/>
  <c r="BN404" i="2" s="1"/>
  <c r="P404" i="2"/>
  <c r="BO403" i="2"/>
  <c r="BM403" i="2"/>
  <c r="Y403" i="2"/>
  <c r="BP403" i="2" s="1"/>
  <c r="P403" i="2"/>
  <c r="BO402" i="2"/>
  <c r="BM402" i="2"/>
  <c r="Y402" i="2"/>
  <c r="Z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Z396" i="2" s="1"/>
  <c r="P396" i="2"/>
  <c r="X394" i="2"/>
  <c r="X393" i="2"/>
  <c r="BO392" i="2"/>
  <c r="BM392" i="2"/>
  <c r="Y392" i="2"/>
  <c r="Z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BN389" i="2" s="1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P352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Z349" i="2"/>
  <c r="Y349" i="2"/>
  <c r="BP349" i="2" s="1"/>
  <c r="P349" i="2"/>
  <c r="X346" i="2"/>
  <c r="X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BN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Y323" i="2" s="1"/>
  <c r="P322" i="2"/>
  <c r="X320" i="2"/>
  <c r="X319" i="2"/>
  <c r="BO318" i="2"/>
  <c r="BM318" i="2"/>
  <c r="Z318" i="2"/>
  <c r="Z319" i="2" s="1"/>
  <c r="Y318" i="2"/>
  <c r="BP318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P303" i="2"/>
  <c r="BO302" i="2"/>
  <c r="BM302" i="2"/>
  <c r="Y302" i="2"/>
  <c r="Z302" i="2" s="1"/>
  <c r="P302" i="2"/>
  <c r="X300" i="2"/>
  <c r="X299" i="2"/>
  <c r="BO298" i="2"/>
  <c r="BM298" i="2"/>
  <c r="Y298" i="2"/>
  <c r="BP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N288" i="2" s="1"/>
  <c r="P288" i="2"/>
  <c r="BO287" i="2"/>
  <c r="BM287" i="2"/>
  <c r="Y287" i="2"/>
  <c r="BN287" i="2" s="1"/>
  <c r="P287" i="2"/>
  <c r="X285" i="2"/>
  <c r="X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X263" i="2"/>
  <c r="X262" i="2"/>
  <c r="BO261" i="2"/>
  <c r="BM261" i="2"/>
  <c r="Y261" i="2"/>
  <c r="BN261" i="2" s="1"/>
  <c r="P261" i="2"/>
  <c r="X259" i="2"/>
  <c r="X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Y252" i="2" s="1"/>
  <c r="P247" i="2"/>
  <c r="X245" i="2"/>
  <c r="X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N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N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P226" i="2"/>
  <c r="X223" i="2"/>
  <c r="X222" i="2"/>
  <c r="BO221" i="2"/>
  <c r="BM221" i="2"/>
  <c r="Z221" i="2"/>
  <c r="Y221" i="2"/>
  <c r="BN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X211" i="2"/>
  <c r="X210" i="2"/>
  <c r="BO209" i="2"/>
  <c r="BM209" i="2"/>
  <c r="Y209" i="2"/>
  <c r="BP209" i="2" s="1"/>
  <c r="P209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P201" i="2"/>
  <c r="BO200" i="2"/>
  <c r="BM200" i="2"/>
  <c r="Y200" i="2"/>
  <c r="BP200" i="2" s="1"/>
  <c r="P200" i="2"/>
  <c r="BO199" i="2"/>
  <c r="BM199" i="2"/>
  <c r="Z199" i="2"/>
  <c r="Y199" i="2"/>
  <c r="BP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Z194" i="2" s="1"/>
  <c r="P194" i="2"/>
  <c r="BO193" i="2"/>
  <c r="BM193" i="2"/>
  <c r="Y193" i="2"/>
  <c r="BP193" i="2" s="1"/>
  <c r="BO192" i="2"/>
  <c r="BM192" i="2"/>
  <c r="Y192" i="2"/>
  <c r="Z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Z189" i="2" s="1"/>
  <c r="BO188" i="2"/>
  <c r="BM188" i="2"/>
  <c r="Y188" i="2"/>
  <c r="P188" i="2"/>
  <c r="BO187" i="2"/>
  <c r="BM187" i="2"/>
  <c r="Y187" i="2"/>
  <c r="BP187" i="2" s="1"/>
  <c r="BO186" i="2"/>
  <c r="BM186" i="2"/>
  <c r="Y186" i="2"/>
  <c r="P186" i="2"/>
  <c r="BO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8" i="2"/>
  <c r="X167" i="2"/>
  <c r="BO166" i="2"/>
  <c r="BM166" i="2"/>
  <c r="Y166" i="2"/>
  <c r="Y167" i="2" s="1"/>
  <c r="P166" i="2"/>
  <c r="X164" i="2"/>
  <c r="X163" i="2"/>
  <c r="BO162" i="2"/>
  <c r="BM162" i="2"/>
  <c r="Y162" i="2"/>
  <c r="BP162" i="2" s="1"/>
  <c r="P162" i="2"/>
  <c r="BP161" i="2"/>
  <c r="BO161" i="2"/>
  <c r="BN161" i="2"/>
  <c r="BM161" i="2"/>
  <c r="Z161" i="2"/>
  <c r="Y161" i="2"/>
  <c r="P161" i="2"/>
  <c r="BO160" i="2"/>
  <c r="BM160" i="2"/>
  <c r="Y160" i="2"/>
  <c r="BP160" i="2" s="1"/>
  <c r="P160" i="2"/>
  <c r="BO159" i="2"/>
  <c r="BM159" i="2"/>
  <c r="Y159" i="2"/>
  <c r="BP159" i="2" s="1"/>
  <c r="P159" i="2"/>
  <c r="BP158" i="2"/>
  <c r="BO158" i="2"/>
  <c r="BM158" i="2"/>
  <c r="Y158" i="2"/>
  <c r="P158" i="2"/>
  <c r="BO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P146" i="2"/>
  <c r="BO145" i="2"/>
  <c r="BM145" i="2"/>
  <c r="Y145" i="2"/>
  <c r="Y148" i="2" s="1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BP134" i="2" s="1"/>
  <c r="P134" i="2"/>
  <c r="X132" i="2"/>
  <c r="X131" i="2"/>
  <c r="BO130" i="2"/>
  <c r="BM130" i="2"/>
  <c r="Y130" i="2"/>
  <c r="BP130" i="2" s="1"/>
  <c r="BO129" i="2"/>
  <c r="BM129" i="2"/>
  <c r="Y129" i="2"/>
  <c r="BP129" i="2" s="1"/>
  <c r="P129" i="2"/>
  <c r="BO128" i="2"/>
  <c r="BM128" i="2"/>
  <c r="Y128" i="2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P125" i="2"/>
  <c r="BO124" i="2"/>
  <c r="BM124" i="2"/>
  <c r="Y124" i="2"/>
  <c r="BP124" i="2" s="1"/>
  <c r="BO123" i="2"/>
  <c r="BM123" i="2"/>
  <c r="Y123" i="2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X113" i="2"/>
  <c r="X112" i="2"/>
  <c r="BO111" i="2"/>
  <c r="BM111" i="2"/>
  <c r="Y111" i="2"/>
  <c r="P111" i="2"/>
  <c r="BO110" i="2"/>
  <c r="BM110" i="2"/>
  <c r="Y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Z105" i="2"/>
  <c r="Y105" i="2"/>
  <c r="BN105" i="2" s="1"/>
  <c r="P105" i="2"/>
  <c r="BO104" i="2"/>
  <c r="BM104" i="2"/>
  <c r="Y104" i="2"/>
  <c r="P104" i="2"/>
  <c r="X101" i="2"/>
  <c r="X100" i="2"/>
  <c r="BO99" i="2"/>
  <c r="BM99" i="2"/>
  <c r="Y99" i="2"/>
  <c r="P99" i="2"/>
  <c r="BO98" i="2"/>
  <c r="BM98" i="2"/>
  <c r="Y98" i="2"/>
  <c r="BN98" i="2" s="1"/>
  <c r="BO97" i="2"/>
  <c r="BM97" i="2"/>
  <c r="Y97" i="2"/>
  <c r="Z97" i="2" s="1"/>
  <c r="P97" i="2"/>
  <c r="BO96" i="2"/>
  <c r="BM96" i="2"/>
  <c r="Y96" i="2"/>
  <c r="BP96" i="2" s="1"/>
  <c r="BO95" i="2"/>
  <c r="BM95" i="2"/>
  <c r="Y95" i="2"/>
  <c r="P95" i="2"/>
  <c r="BO94" i="2"/>
  <c r="BM94" i="2"/>
  <c r="Y94" i="2"/>
  <c r="Z94" i="2" s="1"/>
  <c r="BO93" i="2"/>
  <c r="BM93" i="2"/>
  <c r="Z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BP86" i="2"/>
  <c r="BO86" i="2"/>
  <c r="BN86" i="2"/>
  <c r="BM86" i="2"/>
  <c r="Z86" i="2"/>
  <c r="Y86" i="2"/>
  <c r="P86" i="2"/>
  <c r="BO85" i="2"/>
  <c r="BM85" i="2"/>
  <c r="Y85" i="2"/>
  <c r="Z85" i="2" s="1"/>
  <c r="P85" i="2"/>
  <c r="X82" i="2"/>
  <c r="X81" i="2"/>
  <c r="BO80" i="2"/>
  <c r="BM80" i="2"/>
  <c r="Y80" i="2"/>
  <c r="BN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Y82" i="2" s="1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BN107" i="2" l="1"/>
  <c r="BN159" i="2"/>
  <c r="BN185" i="2"/>
  <c r="BN233" i="2"/>
  <c r="BN372" i="2"/>
  <c r="BN512" i="2"/>
  <c r="BN530" i="2"/>
  <c r="Z31" i="2"/>
  <c r="BN31" i="2"/>
  <c r="BP38" i="2"/>
  <c r="BN41" i="2"/>
  <c r="BP80" i="2"/>
  <c r="BP93" i="2"/>
  <c r="BP98" i="2"/>
  <c r="BP115" i="2"/>
  <c r="BN118" i="2"/>
  <c r="BP173" i="2"/>
  <c r="BN191" i="2"/>
  <c r="Z205" i="2"/>
  <c r="Z206" i="2" s="1"/>
  <c r="BN240" i="2"/>
  <c r="Z241" i="2"/>
  <c r="BN292" i="2"/>
  <c r="Z293" i="2"/>
  <c r="BN298" i="2"/>
  <c r="Z337" i="2"/>
  <c r="BN443" i="2"/>
  <c r="Z466" i="2"/>
  <c r="BN474" i="2"/>
  <c r="Z476" i="2"/>
  <c r="BN515" i="2"/>
  <c r="Z436" i="2"/>
  <c r="BP436" i="2"/>
  <c r="Z233" i="2"/>
  <c r="BN516" i="2"/>
  <c r="Z277" i="2"/>
  <c r="BN521" i="2"/>
  <c r="Z127" i="2"/>
  <c r="Z532" i="2"/>
  <c r="Z521" i="2"/>
  <c r="Z512" i="2"/>
  <c r="BN510" i="2"/>
  <c r="BN503" i="2"/>
  <c r="BN502" i="2"/>
  <c r="BN486" i="2"/>
  <c r="Z474" i="2"/>
  <c r="BN466" i="2"/>
  <c r="Z465" i="2"/>
  <c r="Z467" i="2" s="1"/>
  <c r="BP465" i="2"/>
  <c r="Y467" i="2"/>
  <c r="BN460" i="2"/>
  <c r="Y462" i="2"/>
  <c r="BN455" i="2"/>
  <c r="BN454" i="2"/>
  <c r="Z442" i="2"/>
  <c r="BN442" i="2"/>
  <c r="Z440" i="2"/>
  <c r="BN429" i="2"/>
  <c r="BP428" i="2"/>
  <c r="BP422" i="2"/>
  <c r="Z417" i="2"/>
  <c r="BN416" i="2"/>
  <c r="Z415" i="2"/>
  <c r="BN410" i="2"/>
  <c r="Z397" i="2"/>
  <c r="Y399" i="2"/>
  <c r="BN397" i="2"/>
  <c r="BP396" i="2"/>
  <c r="BN392" i="2"/>
  <c r="BP389" i="2"/>
  <c r="Y394" i="2"/>
  <c r="BN384" i="2"/>
  <c r="BN382" i="2"/>
  <c r="Y387" i="2"/>
  <c r="BP379" i="2"/>
  <c r="Z374" i="2"/>
  <c r="BN374" i="2"/>
  <c r="Y366" i="2"/>
  <c r="Z363" i="2"/>
  <c r="Z353" i="2"/>
  <c r="BN351" i="2"/>
  <c r="BN343" i="2"/>
  <c r="BN336" i="2"/>
  <c r="BP333" i="2"/>
  <c r="Z328" i="2"/>
  <c r="BN327" i="2"/>
  <c r="Z327" i="2"/>
  <c r="Z326" i="2"/>
  <c r="BN326" i="2"/>
  <c r="BN313" i="2"/>
  <c r="Z295" i="2"/>
  <c r="BN293" i="2"/>
  <c r="Y299" i="2"/>
  <c r="BN266" i="2"/>
  <c r="Z261" i="2"/>
  <c r="Z262" i="2" s="1"/>
  <c r="Z251" i="2"/>
  <c r="BN250" i="2"/>
  <c r="Z242" i="2"/>
  <c r="Z240" i="2"/>
  <c r="Z231" i="2"/>
  <c r="Z230" i="2"/>
  <c r="Z219" i="2"/>
  <c r="BN218" i="2"/>
  <c r="BN199" i="2"/>
  <c r="BN194" i="2"/>
  <c r="BN192" i="2"/>
  <c r="Z191" i="2"/>
  <c r="Z190" i="2"/>
  <c r="BN187" i="2"/>
  <c r="Z185" i="2"/>
  <c r="Z184" i="2"/>
  <c r="BP184" i="2"/>
  <c r="Y179" i="2"/>
  <c r="BN145" i="2"/>
  <c r="Y136" i="2"/>
  <c r="Z107" i="2"/>
  <c r="BN106" i="2"/>
  <c r="Y112" i="2"/>
  <c r="Z104" i="2"/>
  <c r="Y100" i="2"/>
  <c r="Z77" i="2"/>
  <c r="BP77" i="2"/>
  <c r="BN77" i="2"/>
  <c r="BP50" i="2"/>
  <c r="X568" i="2"/>
  <c r="Z48" i="2"/>
  <c r="Y33" i="2"/>
  <c r="X565" i="2"/>
  <c r="BN28" i="2"/>
  <c r="Z28" i="2"/>
  <c r="H9" i="2"/>
  <c r="X566" i="2"/>
  <c r="X564" i="2"/>
  <c r="Z27" i="2"/>
  <c r="BP27" i="2"/>
  <c r="Z30" i="2"/>
  <c r="BP30" i="2"/>
  <c r="Y32" i="2"/>
  <c r="Z40" i="2"/>
  <c r="BP40" i="2"/>
  <c r="Z55" i="2"/>
  <c r="BP56" i="2"/>
  <c r="Z59" i="2"/>
  <c r="BP59" i="2"/>
  <c r="Y69" i="2"/>
  <c r="BN65" i="2"/>
  <c r="Y75" i="2"/>
  <c r="BN78" i="2"/>
  <c r="F574" i="2"/>
  <c r="Y91" i="2"/>
  <c r="Y90" i="2"/>
  <c r="BP85" i="2"/>
  <c r="BP87" i="2"/>
  <c r="BN87" i="2"/>
  <c r="BP110" i="2"/>
  <c r="Z110" i="2"/>
  <c r="BN110" i="2"/>
  <c r="BN111" i="2"/>
  <c r="BP111" i="2"/>
  <c r="BP125" i="2"/>
  <c r="Z125" i="2"/>
  <c r="BN125" i="2"/>
  <c r="BP157" i="2"/>
  <c r="Z157" i="2"/>
  <c r="BN157" i="2"/>
  <c r="BN158" i="2"/>
  <c r="Z158" i="2"/>
  <c r="BN201" i="2"/>
  <c r="BP201" i="2"/>
  <c r="BP216" i="2"/>
  <c r="BN216" i="2"/>
  <c r="Z249" i="2"/>
  <c r="BN249" i="2"/>
  <c r="BN256" i="2"/>
  <c r="BP256" i="2"/>
  <c r="BP271" i="2"/>
  <c r="Y274" i="2"/>
  <c r="Z272" i="2"/>
  <c r="BN272" i="2"/>
  <c r="BP283" i="2"/>
  <c r="BN283" i="2"/>
  <c r="Z283" i="2"/>
  <c r="BN352" i="2"/>
  <c r="BP352" i="2"/>
  <c r="Z352" i="2"/>
  <c r="Z354" i="2" s="1"/>
  <c r="BN385" i="2"/>
  <c r="Z385" i="2"/>
  <c r="Z409" i="2"/>
  <c r="BN409" i="2"/>
  <c r="Y431" i="2"/>
  <c r="Z428" i="2"/>
  <c r="Y25" i="2"/>
  <c r="BP29" i="2"/>
  <c r="BP39" i="2"/>
  <c r="Y68" i="2"/>
  <c r="BN99" i="2"/>
  <c r="BP99" i="2"/>
  <c r="BP108" i="2"/>
  <c r="BN108" i="2"/>
  <c r="Z108" i="2"/>
  <c r="BN109" i="2"/>
  <c r="BP109" i="2"/>
  <c r="BN116" i="2"/>
  <c r="BP123" i="2"/>
  <c r="BN123" i="2"/>
  <c r="Z123" i="2"/>
  <c r="Y147" i="2"/>
  <c r="BP145" i="2"/>
  <c r="BN166" i="2"/>
  <c r="Y168" i="2"/>
  <c r="BP192" i="2"/>
  <c r="BN195" i="2"/>
  <c r="BN209" i="2"/>
  <c r="Y210" i="2"/>
  <c r="Y211" i="2"/>
  <c r="Z209" i="2"/>
  <c r="Z210" i="2" s="1"/>
  <c r="BP234" i="2"/>
  <c r="BN234" i="2"/>
  <c r="Z234" i="2"/>
  <c r="Z239" i="2"/>
  <c r="BN239" i="2"/>
  <c r="Y244" i="2"/>
  <c r="BN375" i="2"/>
  <c r="Z375" i="2"/>
  <c r="Y400" i="2"/>
  <c r="BN398" i="2"/>
  <c r="Z405" i="2"/>
  <c r="BN405" i="2"/>
  <c r="Z441" i="2"/>
  <c r="BN441" i="2"/>
  <c r="Y457" i="2"/>
  <c r="Z453" i="2"/>
  <c r="BP475" i="2"/>
  <c r="BN475" i="2"/>
  <c r="Z475" i="2"/>
  <c r="Y488" i="2"/>
  <c r="BP482" i="2"/>
  <c r="Z491" i="2"/>
  <c r="BN491" i="2"/>
  <c r="BP511" i="2"/>
  <c r="BN511" i="2"/>
  <c r="Z511" i="2"/>
  <c r="BP555" i="2"/>
  <c r="Z555" i="2"/>
  <c r="Y24" i="2"/>
  <c r="BP23" i="2"/>
  <c r="BN27" i="2"/>
  <c r="Z39" i="2"/>
  <c r="BP41" i="2"/>
  <c r="BP48" i="2"/>
  <c r="BN55" i="2"/>
  <c r="Y61" i="2"/>
  <c r="BN64" i="2"/>
  <c r="Z65" i="2"/>
  <c r="BP66" i="2"/>
  <c r="BN67" i="2"/>
  <c r="BN71" i="2"/>
  <c r="Y74" i="2"/>
  <c r="Z78" i="2"/>
  <c r="BP79" i="2"/>
  <c r="BN89" i="2"/>
  <c r="Y131" i="2"/>
  <c r="BN150" i="2"/>
  <c r="BP150" i="2"/>
  <c r="Z150" i="2"/>
  <c r="BN177" i="2"/>
  <c r="Z177" i="2"/>
  <c r="Y180" i="2"/>
  <c r="BN182" i="2"/>
  <c r="BP186" i="2"/>
  <c r="BN186" i="2"/>
  <c r="Z186" i="2"/>
  <c r="BP188" i="2"/>
  <c r="Z188" i="2"/>
  <c r="BN188" i="2"/>
  <c r="BP220" i="2"/>
  <c r="BN220" i="2"/>
  <c r="Z220" i="2"/>
  <c r="Y227" i="2"/>
  <c r="BP226" i="2"/>
  <c r="Y285" i="2"/>
  <c r="BN276" i="2"/>
  <c r="BP276" i="2"/>
  <c r="Z276" i="2"/>
  <c r="BP294" i="2"/>
  <c r="BN294" i="2"/>
  <c r="Z294" i="2"/>
  <c r="BN310" i="2"/>
  <c r="BP310" i="2"/>
  <c r="Q574" i="2"/>
  <c r="BN342" i="2"/>
  <c r="Z342" i="2"/>
  <c r="BN350" i="2"/>
  <c r="Z350" i="2"/>
  <c r="Y376" i="2"/>
  <c r="BN430" i="2"/>
  <c r="BP430" i="2"/>
  <c r="Z430" i="2"/>
  <c r="Y477" i="2"/>
  <c r="BP531" i="2"/>
  <c r="BN531" i="2"/>
  <c r="Z531" i="2"/>
  <c r="BN29" i="2"/>
  <c r="BN73" i="2"/>
  <c r="BN95" i="2"/>
  <c r="BN119" i="2"/>
  <c r="Y121" i="2"/>
  <c r="BN128" i="2"/>
  <c r="BP128" i="2"/>
  <c r="BP146" i="2"/>
  <c r="Z146" i="2"/>
  <c r="BN146" i="2"/>
  <c r="J574" i="2"/>
  <c r="BN171" i="2"/>
  <c r="Z171" i="2"/>
  <c r="Y174" i="2"/>
  <c r="BP172" i="2"/>
  <c r="BN178" i="2"/>
  <c r="Z178" i="2"/>
  <c r="Y222" i="2"/>
  <c r="BN289" i="2"/>
  <c r="BP289" i="2"/>
  <c r="BP296" i="2"/>
  <c r="BN296" i="2"/>
  <c r="BP303" i="2"/>
  <c r="BN303" i="2"/>
  <c r="Z303" i="2"/>
  <c r="Z304" i="2" s="1"/>
  <c r="Y345" i="2"/>
  <c r="BP344" i="2"/>
  <c r="BP373" i="2"/>
  <c r="BN373" i="2"/>
  <c r="Z373" i="2"/>
  <c r="Y377" i="2"/>
  <c r="BP383" i="2"/>
  <c r="BN383" i="2"/>
  <c r="Z383" i="2"/>
  <c r="BP487" i="2"/>
  <c r="BN487" i="2"/>
  <c r="Z487" i="2"/>
  <c r="Y505" i="2"/>
  <c r="Z501" i="2"/>
  <c r="BN513" i="2"/>
  <c r="Z513" i="2"/>
  <c r="BP522" i="2"/>
  <c r="Y524" i="2"/>
  <c r="Y525" i="2"/>
  <c r="Z522" i="2"/>
  <c r="Y545" i="2"/>
  <c r="Z543" i="2"/>
  <c r="Z544" i="2" s="1"/>
  <c r="BN94" i="2"/>
  <c r="BP105" i="2"/>
  <c r="Y137" i="2"/>
  <c r="Y143" i="2"/>
  <c r="I574" i="2"/>
  <c r="BN219" i="2"/>
  <c r="BP231" i="2"/>
  <c r="BN232" i="2"/>
  <c r="BP235" i="2"/>
  <c r="BP242" i="2"/>
  <c r="BN243" i="2"/>
  <c r="Y262" i="2"/>
  <c r="Y284" i="2"/>
  <c r="BP279" i="2"/>
  <c r="BN282" i="2"/>
  <c r="Y300" i="2"/>
  <c r="BN302" i="2"/>
  <c r="O574" i="2"/>
  <c r="BN314" i="2"/>
  <c r="Y316" i="2"/>
  <c r="Y319" i="2"/>
  <c r="Y329" i="2"/>
  <c r="Y354" i="2"/>
  <c r="BP364" i="2"/>
  <c r="Y412" i="2"/>
  <c r="Y418" i="2"/>
  <c r="Z574" i="2"/>
  <c r="BP523" i="2"/>
  <c r="BP215" i="2"/>
  <c r="BP221" i="2"/>
  <c r="Y223" i="2"/>
  <c r="BP236" i="2"/>
  <c r="BN241" i="2"/>
  <c r="Y245" i="2"/>
  <c r="Z250" i="2"/>
  <c r="BN251" i="2"/>
  <c r="BN277" i="2"/>
  <c r="Z287" i="2"/>
  <c r="BP288" i="2"/>
  <c r="BP295" i="2"/>
  <c r="Z298" i="2"/>
  <c r="Z308" i="2"/>
  <c r="BN318" i="2"/>
  <c r="Z329" i="2"/>
  <c r="BN337" i="2"/>
  <c r="Y339" i="2"/>
  <c r="BP343" i="2"/>
  <c r="BP351" i="2"/>
  <c r="BN353" i="2"/>
  <c r="BN363" i="2"/>
  <c r="Z364" i="2"/>
  <c r="Y386" i="2"/>
  <c r="BN396" i="2"/>
  <c r="Z403" i="2"/>
  <c r="BP404" i="2"/>
  <c r="BN415" i="2"/>
  <c r="Z416" i="2"/>
  <c r="Z431" i="2"/>
  <c r="BP429" i="2"/>
  <c r="W574" i="2"/>
  <c r="Z439" i="2"/>
  <c r="BP440" i="2"/>
  <c r="Z443" i="2"/>
  <c r="Z449" i="2"/>
  <c r="BN465" i="2"/>
  <c r="BP476" i="2"/>
  <c r="Y478" i="2"/>
  <c r="Y493" i="2"/>
  <c r="Z497" i="2"/>
  <c r="Z498" i="2" s="1"/>
  <c r="Y518" i="2"/>
  <c r="Z516" i="2"/>
  <c r="Z523" i="2"/>
  <c r="G574" i="2"/>
  <c r="BP104" i="2"/>
  <c r="BP106" i="2"/>
  <c r="Y113" i="2"/>
  <c r="BN124" i="2"/>
  <c r="BP127" i="2"/>
  <c r="BN129" i="2"/>
  <c r="BN130" i="2"/>
  <c r="BN134" i="2"/>
  <c r="BN135" i="2"/>
  <c r="BN140" i="2"/>
  <c r="BN156" i="2"/>
  <c r="BP190" i="2"/>
  <c r="Y202" i="2"/>
  <c r="BP205" i="2"/>
  <c r="BP230" i="2"/>
  <c r="BP232" i="2"/>
  <c r="Y259" i="2"/>
  <c r="BP261" i="2"/>
  <c r="Y263" i="2"/>
  <c r="Y305" i="2"/>
  <c r="Y315" i="2"/>
  <c r="Z314" i="2"/>
  <c r="Y320" i="2"/>
  <c r="BP328" i="2"/>
  <c r="Y330" i="2"/>
  <c r="Y355" i="2"/>
  <c r="Y367" i="2"/>
  <c r="T574" i="2"/>
  <c r="Z384" i="2"/>
  <c r="Z410" i="2"/>
  <c r="BP417" i="2"/>
  <c r="Y419" i="2"/>
  <c r="BP455" i="2"/>
  <c r="X574" i="2"/>
  <c r="BN485" i="2"/>
  <c r="BP503" i="2"/>
  <c r="AA574" i="2"/>
  <c r="BP515" i="2"/>
  <c r="Y534" i="2"/>
  <c r="Y548" i="2"/>
  <c r="Z406" i="2"/>
  <c r="Y152" i="2"/>
  <c r="J9" i="2"/>
  <c r="Z38" i="2"/>
  <c r="BP47" i="2"/>
  <c r="Z56" i="2"/>
  <c r="Z66" i="2"/>
  <c r="Y81" i="2"/>
  <c r="Z111" i="2"/>
  <c r="BP183" i="2"/>
  <c r="F10" i="2"/>
  <c r="BN50" i="2"/>
  <c r="Y62" i="2"/>
  <c r="Z71" i="2"/>
  <c r="BP73" i="2"/>
  <c r="Z87" i="2"/>
  <c r="BP89" i="2"/>
  <c r="BP94" i="2"/>
  <c r="BN97" i="2"/>
  <c r="Z116" i="2"/>
  <c r="BP118" i="2"/>
  <c r="BN126" i="2"/>
  <c r="Z129" i="2"/>
  <c r="Z134" i="2"/>
  <c r="Z140" i="2"/>
  <c r="Y153" i="2"/>
  <c r="Y164" i="2"/>
  <c r="BN18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BN358" i="2"/>
  <c r="Z370" i="2"/>
  <c r="BP372" i="2"/>
  <c r="Z380" i="2"/>
  <c r="BP382" i="2"/>
  <c r="Z390" i="2"/>
  <c r="BP392" i="2"/>
  <c r="BN402" i="2"/>
  <c r="Y413" i="2"/>
  <c r="Z423" i="2"/>
  <c r="BN438" i="2"/>
  <c r="BN448" i="2"/>
  <c r="BP460" i="2"/>
  <c r="Y472" i="2"/>
  <c r="Z483" i="2"/>
  <c r="BP485" i="2"/>
  <c r="BP510" i="2"/>
  <c r="Y519" i="2"/>
  <c r="Z528" i="2"/>
  <c r="BP530" i="2"/>
  <c r="Y557" i="2"/>
  <c r="K574" i="2"/>
  <c r="Y163" i="2"/>
  <c r="Z145" i="2"/>
  <c r="Z147" i="2" s="1"/>
  <c r="BP171" i="2"/>
  <c r="Y253" i="2"/>
  <c r="Y268" i="2"/>
  <c r="BP287" i="2"/>
  <c r="BP308" i="2"/>
  <c r="BP342" i="2"/>
  <c r="BN453" i="2"/>
  <c r="Y456" i="2"/>
  <c r="Y489" i="2"/>
  <c r="BN501" i="2"/>
  <c r="Y504" i="2"/>
  <c r="BN533" i="2"/>
  <c r="BN547" i="2"/>
  <c r="L574" i="2"/>
  <c r="BP97" i="2"/>
  <c r="Y101" i="2"/>
  <c r="BP126" i="2"/>
  <c r="Y175" i="2"/>
  <c r="BP189" i="2"/>
  <c r="Y203" i="2"/>
  <c r="Y228" i="2"/>
  <c r="BN237" i="2"/>
  <c r="BN247" i="2"/>
  <c r="BN257" i="2"/>
  <c r="Y273" i="2"/>
  <c r="BN280" i="2"/>
  <c r="BN290" i="2"/>
  <c r="BN311" i="2"/>
  <c r="BN334" i="2"/>
  <c r="Y346" i="2"/>
  <c r="BP358" i="2"/>
  <c r="BN370" i="2"/>
  <c r="BN380" i="2"/>
  <c r="BN390" i="2"/>
  <c r="Y393" i="2"/>
  <c r="BP402" i="2"/>
  <c r="BN423" i="2"/>
  <c r="BP438" i="2"/>
  <c r="BP448" i="2"/>
  <c r="Y461" i="2"/>
  <c r="BN483" i="2"/>
  <c r="Y494" i="2"/>
  <c r="BN528" i="2"/>
  <c r="Y541" i="2"/>
  <c r="Y553" i="2"/>
  <c r="M574" i="2"/>
  <c r="Z95" i="2"/>
  <c r="Z166" i="2"/>
  <c r="Z167" i="2" s="1"/>
  <c r="Y444" i="2"/>
  <c r="BP533" i="2"/>
  <c r="BP547" i="2"/>
  <c r="Y558" i="2"/>
  <c r="Z64" i="2"/>
  <c r="Z119" i="2"/>
  <c r="Z124" i="2"/>
  <c r="Z156" i="2"/>
  <c r="Z187" i="2"/>
  <c r="Z195" i="2"/>
  <c r="Z22" i="2"/>
  <c r="Y51" i="2"/>
  <c r="Z79" i="2"/>
  <c r="Z98" i="2"/>
  <c r="Z109" i="2"/>
  <c r="BP140" i="2"/>
  <c r="Z172" i="2"/>
  <c r="Z200" i="2"/>
  <c r="Z235" i="2"/>
  <c r="BP247" i="2"/>
  <c r="Z255" i="2"/>
  <c r="Y269" i="2"/>
  <c r="Z278" i="2"/>
  <c r="Z288" i="2"/>
  <c r="Z309" i="2"/>
  <c r="Y359" i="2"/>
  <c r="BP370" i="2"/>
  <c r="Z398" i="2"/>
  <c r="Z399" i="2" s="1"/>
  <c r="P574" i="2"/>
  <c r="Z67" i="2"/>
  <c r="Z130" i="2"/>
  <c r="Z135" i="2"/>
  <c r="Z159" i="2"/>
  <c r="Z182" i="2"/>
  <c r="BN200" i="2"/>
  <c r="Z243" i="2"/>
  <c r="BN255" i="2"/>
  <c r="Y258" i="2"/>
  <c r="Z266" i="2"/>
  <c r="BN278" i="2"/>
  <c r="Z296" i="2"/>
  <c r="BN309" i="2"/>
  <c r="Z365" i="2"/>
  <c r="Y424" i="2"/>
  <c r="Y445" i="2"/>
  <c r="Z454" i="2"/>
  <c r="Z456" i="2" s="1"/>
  <c r="Z502" i="2"/>
  <c r="Z514" i="2"/>
  <c r="Z561" i="2"/>
  <c r="Z562" i="2" s="1"/>
  <c r="R574" i="2"/>
  <c r="BN22" i="2"/>
  <c r="Z57" i="2"/>
  <c r="BN172" i="2"/>
  <c r="Y42" i="2"/>
  <c r="Y52" i="2"/>
  <c r="BP64" i="2"/>
  <c r="Z72" i="2"/>
  <c r="BN85" i="2"/>
  <c r="Z88" i="2"/>
  <c r="BP95" i="2"/>
  <c r="BN104" i="2"/>
  <c r="Z117" i="2"/>
  <c r="Z141" i="2"/>
  <c r="BP156" i="2"/>
  <c r="BP166" i="2"/>
  <c r="Z193" i="2"/>
  <c r="BN205" i="2"/>
  <c r="Z217" i="2"/>
  <c r="Z238" i="2"/>
  <c r="Z248" i="2"/>
  <c r="Z271" i="2"/>
  <c r="Z273" i="2" s="1"/>
  <c r="Z281" i="2"/>
  <c r="Z291" i="2"/>
  <c r="Z312" i="2"/>
  <c r="Z335" i="2"/>
  <c r="BN349" i="2"/>
  <c r="Y360" i="2"/>
  <c r="Z371" i="2"/>
  <c r="Z381" i="2"/>
  <c r="Z391" i="2"/>
  <c r="BN403" i="2"/>
  <c r="Y406" i="2"/>
  <c r="BN439" i="2"/>
  <c r="BN449" i="2"/>
  <c r="Z459" i="2"/>
  <c r="Z461" i="2" s="1"/>
  <c r="Z484" i="2"/>
  <c r="BN497" i="2"/>
  <c r="Z509" i="2"/>
  <c r="Z529" i="2"/>
  <c r="BN543" i="2"/>
  <c r="BN555" i="2"/>
  <c r="S574" i="2"/>
  <c r="Y535" i="2"/>
  <c r="Y549" i="2"/>
  <c r="BN561" i="2"/>
  <c r="Z37" i="2"/>
  <c r="Z49" i="2"/>
  <c r="Z60" i="2"/>
  <c r="BN72" i="2"/>
  <c r="BN88" i="2"/>
  <c r="Z96" i="2"/>
  <c r="BN117" i="2"/>
  <c r="Y120" i="2"/>
  <c r="BN141" i="2"/>
  <c r="Z151" i="2"/>
  <c r="Z162" i="2"/>
  <c r="BN193" i="2"/>
  <c r="Y196" i="2"/>
  <c r="BN217" i="2"/>
  <c r="BN238" i="2"/>
  <c r="BN248" i="2"/>
  <c r="BN271" i="2"/>
  <c r="BN281" i="2"/>
  <c r="BN291" i="2"/>
  <c r="Y304" i="2"/>
  <c r="BN312" i="2"/>
  <c r="Z322" i="2"/>
  <c r="Z323" i="2" s="1"/>
  <c r="BN335" i="2"/>
  <c r="Y338" i="2"/>
  <c r="Z357" i="2"/>
  <c r="Z359" i="2" s="1"/>
  <c r="BN371" i="2"/>
  <c r="BN381" i="2"/>
  <c r="BN391" i="2"/>
  <c r="Z411" i="2"/>
  <c r="Y425" i="2"/>
  <c r="Z437" i="2"/>
  <c r="Z444" i="2" s="1"/>
  <c r="Z447" i="2"/>
  <c r="BN459" i="2"/>
  <c r="Z470" i="2"/>
  <c r="Z471" i="2" s="1"/>
  <c r="BN484" i="2"/>
  <c r="BP497" i="2"/>
  <c r="BN509" i="2"/>
  <c r="Z517" i="2"/>
  <c r="BN529" i="2"/>
  <c r="BP543" i="2"/>
  <c r="B574" i="2"/>
  <c r="U574" i="2"/>
  <c r="Y43" i="2"/>
  <c r="BP365" i="2"/>
  <c r="Y407" i="2"/>
  <c r="BP514" i="2"/>
  <c r="BP561" i="2"/>
  <c r="C574" i="2"/>
  <c r="V574" i="2"/>
  <c r="BP57" i="2"/>
  <c r="BP135" i="2"/>
  <c r="Z23" i="2"/>
  <c r="BN37" i="2"/>
  <c r="BN49" i="2"/>
  <c r="BN60" i="2"/>
  <c r="Z80" i="2"/>
  <c r="BN96" i="2"/>
  <c r="Z99" i="2"/>
  <c r="Z115" i="2"/>
  <c r="Z128" i="2"/>
  <c r="BN151" i="2"/>
  <c r="BN162" i="2"/>
  <c r="Z173" i="2"/>
  <c r="Z174" i="2" s="1"/>
  <c r="Z201" i="2"/>
  <c r="Y206" i="2"/>
  <c r="Z215" i="2"/>
  <c r="Z226" i="2"/>
  <c r="Z227" i="2" s="1"/>
  <c r="Z236" i="2"/>
  <c r="Z256" i="2"/>
  <c r="Z279" i="2"/>
  <c r="Z289" i="2"/>
  <c r="Z310" i="2"/>
  <c r="BN322" i="2"/>
  <c r="Z333" i="2"/>
  <c r="Z338" i="2" s="1"/>
  <c r="Z344" i="2"/>
  <c r="Z345" i="2" s="1"/>
  <c r="BN357" i="2"/>
  <c r="Z379" i="2"/>
  <c r="Z389" i="2"/>
  <c r="BN411" i="2"/>
  <c r="Z422" i="2"/>
  <c r="BN437" i="2"/>
  <c r="BN447" i="2"/>
  <c r="Y450" i="2"/>
  <c r="BN470" i="2"/>
  <c r="Z482" i="2"/>
  <c r="Z492" i="2"/>
  <c r="Z493" i="2" s="1"/>
  <c r="Y498" i="2"/>
  <c r="BP509" i="2"/>
  <c r="BN517" i="2"/>
  <c r="Z527" i="2"/>
  <c r="Z539" i="2"/>
  <c r="Z540" i="2" s="1"/>
  <c r="Y544" i="2"/>
  <c r="Z551" i="2"/>
  <c r="Z552" i="2" s="1"/>
  <c r="D574" i="2"/>
  <c r="Y197" i="2"/>
  <c r="BN522" i="2"/>
  <c r="BN532" i="2"/>
  <c r="Z556" i="2"/>
  <c r="Z557" i="2" s="1"/>
  <c r="Y562" i="2"/>
  <c r="E574" i="2"/>
  <c r="Z47" i="2"/>
  <c r="Z58" i="2"/>
  <c r="Y142" i="2"/>
  <c r="Z160" i="2"/>
  <c r="Z183" i="2"/>
  <c r="BN226" i="2"/>
  <c r="Z267" i="2"/>
  <c r="Z297" i="2"/>
  <c r="BP322" i="2"/>
  <c r="BN344" i="2"/>
  <c r="BP411" i="2"/>
  <c r="BP447" i="2"/>
  <c r="BP470" i="2"/>
  <c r="BN482" i="2"/>
  <c r="BN492" i="2"/>
  <c r="BN527" i="2"/>
  <c r="BN539" i="2"/>
  <c r="BN551" i="2"/>
  <c r="Y574" i="2"/>
  <c r="F9" i="2"/>
  <c r="BN428" i="2"/>
  <c r="Y499" i="2"/>
  <c r="BN556" i="2"/>
  <c r="BN267" i="2"/>
  <c r="BN297" i="2"/>
  <c r="BP539" i="2"/>
  <c r="BP551" i="2"/>
  <c r="Y563" i="2"/>
  <c r="H574" i="2"/>
  <c r="Y132" i="2"/>
  <c r="AB574" i="2"/>
  <c r="BN58" i="2"/>
  <c r="BN160" i="2"/>
  <c r="Z534" i="2" l="1"/>
  <c r="Z418" i="2"/>
  <c r="Z32" i="2"/>
  <c r="Z477" i="2"/>
  <c r="Z386" i="2"/>
  <c r="Z366" i="2"/>
  <c r="Z142" i="2"/>
  <c r="Z131" i="2"/>
  <c r="Z120" i="2"/>
  <c r="Z90" i="2"/>
  <c r="X567" i="2"/>
  <c r="Z412" i="2"/>
  <c r="Z299" i="2"/>
  <c r="Y568" i="2"/>
  <c r="Z524" i="2"/>
  <c r="Z179" i="2"/>
  <c r="Z424" i="2"/>
  <c r="Z202" i="2"/>
  <c r="Z450" i="2"/>
  <c r="Y565" i="2"/>
  <c r="Z504" i="2"/>
  <c r="Z284" i="2"/>
  <c r="Z244" i="2"/>
  <c r="Z112" i="2"/>
  <c r="Z24" i="2"/>
  <c r="Z252" i="2"/>
  <c r="Z61" i="2"/>
  <c r="Y564" i="2"/>
  <c r="Y566" i="2"/>
  <c r="Z393" i="2"/>
  <c r="Z152" i="2"/>
  <c r="Z100" i="2"/>
  <c r="Z315" i="2"/>
  <c r="Z81" i="2"/>
  <c r="Z136" i="2"/>
  <c r="Z163" i="2"/>
  <c r="Z68" i="2"/>
  <c r="Z42" i="2"/>
  <c r="Z268" i="2"/>
  <c r="Z258" i="2"/>
  <c r="Z74" i="2"/>
  <c r="Z376" i="2"/>
  <c r="Z488" i="2"/>
  <c r="Z222" i="2"/>
  <c r="Z51" i="2"/>
  <c r="Z518" i="2"/>
  <c r="Z196" i="2"/>
  <c r="Y567" i="2" l="1"/>
  <c r="Z569" i="2"/>
</calcChain>
</file>

<file path=xl/sharedStrings.xml><?xml version="1.0" encoding="utf-8"?>
<sst xmlns="http://schemas.openxmlformats.org/spreadsheetml/2006/main" count="4366" uniqueCount="910">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</sst>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2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8" t="s">
        <v>26</v>
      </c>
      <c r="E1" s="1008"/>
      <c r="F1" s="1008"/>
      <c r="G1" s="14" t="s">
        <v>67</v>
      </c>
      <c r="H1" s="1008" t="s">
        <v>47</v>
      </c>
      <c r="I1" s="1008"/>
      <c r="J1" s="1008"/>
      <c r="K1" s="1008"/>
      <c r="L1" s="1008"/>
      <c r="M1" s="1008"/>
      <c r="N1" s="1008"/>
      <c r="O1" s="1008"/>
      <c r="P1" s="1008"/>
      <c r="Q1" s="1008"/>
      <c r="R1" s="1009" t="s">
        <v>68</v>
      </c>
      <c r="S1" s="1010"/>
      <c r="T1" s="10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1"/>
      <c r="R2" s="1011"/>
      <c r="S2" s="1011"/>
      <c r="T2" s="1011"/>
      <c r="U2" s="1011"/>
      <c r="V2" s="1011"/>
      <c r="W2" s="10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1"/>
      <c r="Q3" s="1011"/>
      <c r="R3" s="1011"/>
      <c r="S3" s="1011"/>
      <c r="T3" s="1011"/>
      <c r="U3" s="1011"/>
      <c r="V3" s="1011"/>
      <c r="W3" s="10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12" t="s">
        <v>8</v>
      </c>
      <c r="B5" s="1012"/>
      <c r="C5" s="1012"/>
      <c r="D5" s="1013"/>
      <c r="E5" s="1013"/>
      <c r="F5" s="1014" t="s">
        <v>14</v>
      </c>
      <c r="G5" s="1014"/>
      <c r="H5" s="1013" t="s">
        <v>909</v>
      </c>
      <c r="I5" s="1013"/>
      <c r="J5" s="1013"/>
      <c r="K5" s="1013"/>
      <c r="L5" s="1013"/>
      <c r="M5" s="1013"/>
      <c r="N5" s="72"/>
      <c r="P5" s="27" t="s">
        <v>4</v>
      </c>
      <c r="Q5" s="1015">
        <v>46272</v>
      </c>
      <c r="R5" s="1015"/>
      <c r="T5" s="1016" t="s">
        <v>3</v>
      </c>
      <c r="U5" s="1017"/>
      <c r="V5" s="1018" t="s">
        <v>890</v>
      </c>
      <c r="W5" s="1019"/>
      <c r="AB5" s="59"/>
      <c r="AC5" s="59"/>
      <c r="AD5" s="59"/>
      <c r="AE5" s="59"/>
    </row>
    <row r="6" spans="1:32" s="17" customFormat="1" ht="24" customHeight="1" x14ac:dyDescent="0.2">
      <c r="A6" s="1012" t="s">
        <v>1</v>
      </c>
      <c r="B6" s="1012"/>
      <c r="C6" s="1012"/>
      <c r="D6" s="1020" t="s">
        <v>891</v>
      </c>
      <c r="E6" s="1020"/>
      <c r="F6" s="1020"/>
      <c r="G6" s="1020"/>
      <c r="H6" s="1020"/>
      <c r="I6" s="1020"/>
      <c r="J6" s="1020"/>
      <c r="K6" s="1020"/>
      <c r="L6" s="1020"/>
      <c r="M6" s="1020"/>
      <c r="N6" s="73"/>
      <c r="P6" s="27" t="s">
        <v>27</v>
      </c>
      <c r="Q6" s="1021" t="str">
        <f>IF(Q5=0," ",CHOOSE(WEEKDAY(Q5,2),"Понедельник","Вторник","Среда","Четверг","Пятница","Суббота","Воскресенье"))</f>
        <v>Понедельник</v>
      </c>
      <c r="R6" s="1021"/>
      <c r="T6" s="1022" t="s">
        <v>5</v>
      </c>
      <c r="U6" s="1023"/>
      <c r="V6" s="1024" t="s">
        <v>70</v>
      </c>
      <c r="W6" s="10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30" t="str">
        <f>IFERROR(VLOOKUP(DeliveryAddress,Table,3,0),1)</f>
        <v>1</v>
      </c>
      <c r="E7" s="1031"/>
      <c r="F7" s="1031"/>
      <c r="G7" s="1031"/>
      <c r="H7" s="1031"/>
      <c r="I7" s="1031"/>
      <c r="J7" s="1031"/>
      <c r="K7" s="1031"/>
      <c r="L7" s="1031"/>
      <c r="M7" s="1032"/>
      <c r="N7" s="74"/>
      <c r="P7" s="29"/>
      <c r="Q7" s="48"/>
      <c r="R7" s="48"/>
      <c r="T7" s="1022"/>
      <c r="U7" s="1023"/>
      <c r="V7" s="1026"/>
      <c r="W7" s="1027"/>
      <c r="AB7" s="59"/>
      <c r="AC7" s="59"/>
      <c r="AD7" s="59"/>
      <c r="AE7" s="59"/>
    </row>
    <row r="8" spans="1:32" s="17" customFormat="1" ht="25.5" customHeight="1" x14ac:dyDescent="0.2">
      <c r="A8" s="1033" t="s">
        <v>58</v>
      </c>
      <c r="B8" s="1033"/>
      <c r="C8" s="1033"/>
      <c r="D8" s="1034"/>
      <c r="E8" s="1034"/>
      <c r="F8" s="1034"/>
      <c r="G8" s="1034"/>
      <c r="H8" s="1034"/>
      <c r="I8" s="1034"/>
      <c r="J8" s="1034"/>
      <c r="K8" s="1034"/>
      <c r="L8" s="1034"/>
      <c r="M8" s="1034"/>
      <c r="N8" s="75"/>
      <c r="P8" s="27" t="s">
        <v>11</v>
      </c>
      <c r="Q8" s="993">
        <v>0.41666666666666669</v>
      </c>
      <c r="R8" s="993"/>
      <c r="T8" s="1022"/>
      <c r="U8" s="1023"/>
      <c r="V8" s="1026"/>
      <c r="W8" s="1027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35" t="str">
        <f>IF(AND($A$9="Тип доверенности/получателя при получении в адресе перегруза:",$D$9="Разовая доверенность"),"Введите ФИО","")</f>
        <v/>
      </c>
      <c r="I9" s="1035"/>
      <c r="J9" s="103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5"/>
      <c r="L9" s="1035"/>
      <c r="M9" s="1035"/>
      <c r="N9" s="70"/>
      <c r="P9" s="31" t="s">
        <v>15</v>
      </c>
      <c r="Q9" s="1036"/>
      <c r="R9" s="1036"/>
      <c r="T9" s="1022"/>
      <c r="U9" s="1023"/>
      <c r="V9" s="1028"/>
      <c r="W9" s="10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91" t="s">
        <v>55</v>
      </c>
      <c r="W11" s="99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92" t="s">
        <v>72</v>
      </c>
      <c r="B12" s="992"/>
      <c r="C12" s="992"/>
      <c r="D12" s="992"/>
      <c r="E12" s="992"/>
      <c r="F12" s="992"/>
      <c r="G12" s="992"/>
      <c r="H12" s="992"/>
      <c r="I12" s="992"/>
      <c r="J12" s="992"/>
      <c r="K12" s="992"/>
      <c r="L12" s="992"/>
      <c r="M12" s="992"/>
      <c r="N12" s="76"/>
      <c r="P12" s="27" t="s">
        <v>30</v>
      </c>
      <c r="Q12" s="993"/>
      <c r="R12" s="993"/>
      <c r="S12" s="28"/>
      <c r="T12"/>
      <c r="U12" s="29" t="s">
        <v>46</v>
      </c>
      <c r="V12" s="994"/>
      <c r="W12" s="994"/>
      <c r="X12"/>
      <c r="AB12" s="59"/>
      <c r="AC12" s="59"/>
      <c r="AD12" s="59"/>
      <c r="AE12" s="59"/>
    </row>
    <row r="13" spans="1:32" s="17" customFormat="1" ht="23.25" customHeight="1" x14ac:dyDescent="0.2">
      <c r="A13" s="992" t="s">
        <v>73</v>
      </c>
      <c r="B13" s="992"/>
      <c r="C13" s="992"/>
      <c r="D13" s="992"/>
      <c r="E13" s="992"/>
      <c r="F13" s="992"/>
      <c r="G13" s="992"/>
      <c r="H13" s="992"/>
      <c r="I13" s="992"/>
      <c r="J13" s="992"/>
      <c r="K13" s="992"/>
      <c r="L13" s="992"/>
      <c r="M13" s="992"/>
      <c r="N13" s="76"/>
      <c r="O13" s="31"/>
      <c r="P13" s="31" t="s">
        <v>31</v>
      </c>
      <c r="Q13" s="991"/>
      <c r="R13" s="99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92" t="s">
        <v>74</v>
      </c>
      <c r="B14" s="992"/>
      <c r="C14" s="992"/>
      <c r="D14" s="992"/>
      <c r="E14" s="992"/>
      <c r="F14" s="992"/>
      <c r="G14" s="992"/>
      <c r="H14" s="992"/>
      <c r="I14" s="992"/>
      <c r="J14" s="992"/>
      <c r="K14" s="992"/>
      <c r="L14" s="992"/>
      <c r="M14" s="99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5" t="s">
        <v>75</v>
      </c>
      <c r="B15" s="995"/>
      <c r="C15" s="995"/>
      <c r="D15" s="995"/>
      <c r="E15" s="995"/>
      <c r="F15" s="995"/>
      <c r="G15" s="995"/>
      <c r="H15" s="995"/>
      <c r="I15" s="995"/>
      <c r="J15" s="995"/>
      <c r="K15" s="995"/>
      <c r="L15" s="995"/>
      <c r="M15" s="995"/>
      <c r="N15" s="77"/>
      <c r="O15"/>
      <c r="P15" s="996" t="s">
        <v>61</v>
      </c>
      <c r="Q15" s="996"/>
      <c r="R15" s="996"/>
      <c r="S15" s="996"/>
      <c r="T15" s="9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7"/>
      <c r="Q16" s="997"/>
      <c r="R16" s="997"/>
      <c r="S16" s="997"/>
      <c r="T16" s="9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7" t="s">
        <v>59</v>
      </c>
      <c r="B17" s="967" t="s">
        <v>49</v>
      </c>
      <c r="C17" s="1000" t="s">
        <v>48</v>
      </c>
      <c r="D17" s="1002" t="s">
        <v>50</v>
      </c>
      <c r="E17" s="1003"/>
      <c r="F17" s="967" t="s">
        <v>21</v>
      </c>
      <c r="G17" s="967" t="s">
        <v>24</v>
      </c>
      <c r="H17" s="967" t="s">
        <v>22</v>
      </c>
      <c r="I17" s="967" t="s">
        <v>23</v>
      </c>
      <c r="J17" s="967" t="s">
        <v>16</v>
      </c>
      <c r="K17" s="967" t="s">
        <v>66</v>
      </c>
      <c r="L17" s="967" t="s">
        <v>64</v>
      </c>
      <c r="M17" s="967" t="s">
        <v>2</v>
      </c>
      <c r="N17" s="967" t="s">
        <v>63</v>
      </c>
      <c r="O17" s="967" t="s">
        <v>25</v>
      </c>
      <c r="P17" s="1002" t="s">
        <v>17</v>
      </c>
      <c r="Q17" s="1006"/>
      <c r="R17" s="1006"/>
      <c r="S17" s="1006"/>
      <c r="T17" s="1003"/>
      <c r="U17" s="998" t="s">
        <v>56</v>
      </c>
      <c r="V17" s="999"/>
      <c r="W17" s="967" t="s">
        <v>6</v>
      </c>
      <c r="X17" s="967" t="s">
        <v>41</v>
      </c>
      <c r="Y17" s="969" t="s">
        <v>54</v>
      </c>
      <c r="Z17" s="971" t="s">
        <v>18</v>
      </c>
      <c r="AA17" s="973" t="s">
        <v>60</v>
      </c>
      <c r="AB17" s="973" t="s">
        <v>19</v>
      </c>
      <c r="AC17" s="973" t="s">
        <v>65</v>
      </c>
      <c r="AD17" s="975" t="s">
        <v>57</v>
      </c>
      <c r="AE17" s="976"/>
      <c r="AF17" s="977"/>
      <c r="AG17" s="82"/>
      <c r="BD17" s="81" t="s">
        <v>62</v>
      </c>
    </row>
    <row r="18" spans="1:68" ht="14.25" customHeight="1" x14ac:dyDescent="0.2">
      <c r="A18" s="968"/>
      <c r="B18" s="968"/>
      <c r="C18" s="1001"/>
      <c r="D18" s="1004"/>
      <c r="E18" s="1005"/>
      <c r="F18" s="968"/>
      <c r="G18" s="968"/>
      <c r="H18" s="968"/>
      <c r="I18" s="968"/>
      <c r="J18" s="968"/>
      <c r="K18" s="968"/>
      <c r="L18" s="968"/>
      <c r="M18" s="968"/>
      <c r="N18" s="968"/>
      <c r="O18" s="968"/>
      <c r="P18" s="1004"/>
      <c r="Q18" s="1007"/>
      <c r="R18" s="1007"/>
      <c r="S18" s="1007"/>
      <c r="T18" s="1005"/>
      <c r="U18" s="83" t="s">
        <v>44</v>
      </c>
      <c r="V18" s="83" t="s">
        <v>43</v>
      </c>
      <c r="W18" s="968"/>
      <c r="X18" s="968"/>
      <c r="Y18" s="970"/>
      <c r="Z18" s="972"/>
      <c r="AA18" s="974"/>
      <c r="AB18" s="974"/>
      <c r="AC18" s="974"/>
      <c r="AD18" s="978"/>
      <c r="AE18" s="979"/>
      <c r="AF18" s="980"/>
      <c r="AG18" s="82"/>
      <c r="BD18" s="81"/>
    </row>
    <row r="19" spans="1:68" ht="27.75" hidden="1" customHeight="1" x14ac:dyDescent="0.2">
      <c r="A19" s="686" t="s">
        <v>76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8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9"/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70"/>
      <c r="P24" s="666" t="s">
        <v>40</v>
      </c>
      <c r="Q24" s="667"/>
      <c r="R24" s="667"/>
      <c r="S24" s="667"/>
      <c r="T24" s="667"/>
      <c r="U24" s="667"/>
      <c r="V24" s="66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9"/>
      <c r="B25" s="669"/>
      <c r="C25" s="669"/>
      <c r="D25" s="669"/>
      <c r="E25" s="669"/>
      <c r="F25" s="669"/>
      <c r="G25" s="669"/>
      <c r="H25" s="669"/>
      <c r="I25" s="669"/>
      <c r="J25" s="669"/>
      <c r="K25" s="669"/>
      <c r="L25" s="669"/>
      <c r="M25" s="669"/>
      <c r="N25" s="669"/>
      <c r="O25" s="670"/>
      <c r="P25" s="666" t="s">
        <v>40</v>
      </c>
      <c r="Q25" s="667"/>
      <c r="R25" s="667"/>
      <c r="S25" s="667"/>
      <c r="T25" s="667"/>
      <c r="U25" s="667"/>
      <c r="V25" s="66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73">
        <v>4680115887619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9"/>
      <c r="B32" s="669"/>
      <c r="C32" s="669"/>
      <c r="D32" s="669"/>
      <c r="E32" s="669"/>
      <c r="F32" s="669"/>
      <c r="G32" s="669"/>
      <c r="H32" s="669"/>
      <c r="I32" s="669"/>
      <c r="J32" s="669"/>
      <c r="K32" s="669"/>
      <c r="L32" s="669"/>
      <c r="M32" s="669"/>
      <c r="N32" s="669"/>
      <c r="O32" s="670"/>
      <c r="P32" s="666" t="s">
        <v>40</v>
      </c>
      <c r="Q32" s="667"/>
      <c r="R32" s="667"/>
      <c r="S32" s="667"/>
      <c r="T32" s="667"/>
      <c r="U32" s="667"/>
      <c r="V32" s="66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9"/>
      <c r="B33" s="669"/>
      <c r="C33" s="669"/>
      <c r="D33" s="669"/>
      <c r="E33" s="669"/>
      <c r="F33" s="669"/>
      <c r="G33" s="669"/>
      <c r="H33" s="669"/>
      <c r="I33" s="669"/>
      <c r="J33" s="669"/>
      <c r="K33" s="669"/>
      <c r="L33" s="669"/>
      <c r="M33" s="669"/>
      <c r="N33" s="669"/>
      <c r="O33" s="670"/>
      <c r="P33" s="666" t="s">
        <v>40</v>
      </c>
      <c r="Q33" s="667"/>
      <c r="R33" s="667"/>
      <c r="S33" s="667"/>
      <c r="T33" s="667"/>
      <c r="U33" s="667"/>
      <c r="V33" s="66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6" t="s">
        <v>45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72" t="s">
        <v>86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73">
        <v>4680115889354</v>
      </c>
      <c r="E37" s="67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5"/>
      <c r="R37" s="675"/>
      <c r="S37" s="675"/>
      <c r="T37" s="67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73">
        <v>4680115888463</v>
      </c>
      <c r="E38" s="67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5"/>
      <c r="R38" s="675"/>
      <c r="S38" s="675"/>
      <c r="T38" s="67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73">
        <v>4680115889590</v>
      </c>
      <c r="E39" s="67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5"/>
      <c r="R39" s="675"/>
      <c r="S39" s="675"/>
      <c r="T39" s="67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73">
        <v>4680115888272</v>
      </c>
      <c r="E40" s="67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5"/>
      <c r="R40" s="675"/>
      <c r="S40" s="675"/>
      <c r="T40" s="67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73">
        <v>4680115888364</v>
      </c>
      <c r="E41" s="67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6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5"/>
      <c r="R41" s="675"/>
      <c r="S41" s="675"/>
      <c r="T41" s="67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9"/>
      <c r="B42" s="669"/>
      <c r="C42" s="669"/>
      <c r="D42" s="669"/>
      <c r="E42" s="669"/>
      <c r="F42" s="669"/>
      <c r="G42" s="669"/>
      <c r="H42" s="669"/>
      <c r="I42" s="669"/>
      <c r="J42" s="669"/>
      <c r="K42" s="669"/>
      <c r="L42" s="669"/>
      <c r="M42" s="669"/>
      <c r="N42" s="669"/>
      <c r="O42" s="670"/>
      <c r="P42" s="666" t="s">
        <v>40</v>
      </c>
      <c r="Q42" s="667"/>
      <c r="R42" s="667"/>
      <c r="S42" s="667"/>
      <c r="T42" s="667"/>
      <c r="U42" s="667"/>
      <c r="V42" s="66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9"/>
      <c r="B43" s="669"/>
      <c r="C43" s="669"/>
      <c r="D43" s="669"/>
      <c r="E43" s="669"/>
      <c r="F43" s="669"/>
      <c r="G43" s="669"/>
      <c r="H43" s="669"/>
      <c r="I43" s="669"/>
      <c r="J43" s="669"/>
      <c r="K43" s="669"/>
      <c r="L43" s="669"/>
      <c r="M43" s="669"/>
      <c r="N43" s="669"/>
      <c r="O43" s="670"/>
      <c r="P43" s="666" t="s">
        <v>40</v>
      </c>
      <c r="Q43" s="667"/>
      <c r="R43" s="667"/>
      <c r="S43" s="667"/>
      <c r="T43" s="667"/>
      <c r="U43" s="667"/>
      <c r="V43" s="66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6" t="s">
        <v>120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86"/>
      <c r="W44" s="686"/>
      <c r="X44" s="686"/>
      <c r="Y44" s="686"/>
      <c r="Z44" s="686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72" t="s">
        <v>122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73">
        <v>4607091385670</v>
      </c>
      <c r="E47" s="67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5"/>
      <c r="R47" s="675"/>
      <c r="S47" s="675"/>
      <c r="T47" s="676"/>
      <c r="U47" s="39" t="s">
        <v>46</v>
      </c>
      <c r="V47" s="39" t="s">
        <v>46</v>
      </c>
      <c r="W47" s="40" t="s">
        <v>0</v>
      </c>
      <c r="X47" s="58">
        <v>250</v>
      </c>
      <c r="Y47" s="55">
        <f>IFERROR(IF(X47="",0,CEILING((X47/$H47),1)*$H47),"")</f>
        <v>259.20000000000005</v>
      </c>
      <c r="Z47" s="41">
        <f>IFERROR(IF(Y47=0,"",ROUNDUP(Y47/H47,0)*0.01898),"")</f>
        <v>0.45552000000000004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259.4907407407407</v>
      </c>
      <c r="BN47" s="78">
        <f>IFERROR(Y47*I47/H47,"0")</f>
        <v>269.04000000000002</v>
      </c>
      <c r="BO47" s="78">
        <f>IFERROR(1/J47*(X47/H47),"0")</f>
        <v>0.36168981481481477</v>
      </c>
      <c r="BP47" s="78">
        <f>IFERROR(1/J47*(Y47/H47),"0")</f>
        <v>0.37500000000000006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73">
        <v>4680115887725</v>
      </c>
      <c r="E48" s="67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5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5"/>
      <c r="R48" s="675"/>
      <c r="S48" s="675"/>
      <c r="T48" s="67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73">
        <v>4607091385687</v>
      </c>
      <c r="E49" s="67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5"/>
      <c r="R49" s="675"/>
      <c r="S49" s="675"/>
      <c r="T49" s="676"/>
      <c r="U49" s="39" t="s">
        <v>46</v>
      </c>
      <c r="V49" s="39" t="s">
        <v>46</v>
      </c>
      <c r="W49" s="40" t="s">
        <v>0</v>
      </c>
      <c r="X49" s="58">
        <v>200</v>
      </c>
      <c r="Y49" s="55">
        <f>IFERROR(IF(X49="",0,CEILING((X49/$H49),1)*$H49),"")</f>
        <v>200</v>
      </c>
      <c r="Z49" s="41">
        <f>IFERROR(IF(Y49=0,"",ROUNDUP(Y49/H49,0)*0.00902),"")</f>
        <v>0.45100000000000001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209.50000000000003</v>
      </c>
      <c r="BN49" s="78">
        <f>IFERROR(Y49*I49/H49,"0")</f>
        <v>209.50000000000003</v>
      </c>
      <c r="BO49" s="78">
        <f>IFERROR(1/J49*(X49/H49),"0")</f>
        <v>0.37878787878787878</v>
      </c>
      <c r="BP49" s="78">
        <f>IFERROR(1/J49*(Y49/H49),"0")</f>
        <v>0.37878787878787878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73">
        <v>4680115882539</v>
      </c>
      <c r="E50" s="67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5"/>
      <c r="R50" s="675"/>
      <c r="S50" s="675"/>
      <c r="T50" s="67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70"/>
      <c r="P51" s="666" t="s">
        <v>40</v>
      </c>
      <c r="Q51" s="667"/>
      <c r="R51" s="667"/>
      <c r="S51" s="667"/>
      <c r="T51" s="667"/>
      <c r="U51" s="667"/>
      <c r="V51" s="668"/>
      <c r="W51" s="42" t="s">
        <v>39</v>
      </c>
      <c r="X51" s="43">
        <f>IFERROR(X47/H47,"0")+IFERROR(X48/H48,"0")+IFERROR(X49/H49,"0")+IFERROR(X50/H50,"0")</f>
        <v>73.148148148148152</v>
      </c>
      <c r="Y51" s="43">
        <f>IFERROR(Y47/H47,"0")+IFERROR(Y48/H48,"0")+IFERROR(Y49/H49,"0")+IFERROR(Y50/H50,"0")</f>
        <v>74</v>
      </c>
      <c r="Z51" s="43">
        <f>IFERROR(IF(Z47="",0,Z47),"0")+IFERROR(IF(Z48="",0,Z48),"0")+IFERROR(IF(Z49="",0,Z49),"0")+IFERROR(IF(Z50="",0,Z50),"0")</f>
        <v>0.90651999999999999</v>
      </c>
      <c r="AA51" s="67"/>
      <c r="AB51" s="67"/>
      <c r="AC51" s="67"/>
    </row>
    <row r="52" spans="1:68" x14ac:dyDescent="0.2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70"/>
      <c r="P52" s="666" t="s">
        <v>40</v>
      </c>
      <c r="Q52" s="667"/>
      <c r="R52" s="667"/>
      <c r="S52" s="667"/>
      <c r="T52" s="667"/>
      <c r="U52" s="667"/>
      <c r="V52" s="668"/>
      <c r="W52" s="42" t="s">
        <v>0</v>
      </c>
      <c r="X52" s="43">
        <f>IFERROR(SUM(X47:X50),"0")</f>
        <v>450</v>
      </c>
      <c r="Y52" s="43">
        <f>IFERROR(SUM(Y47:Y50),"0")</f>
        <v>459.20000000000005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72" t="s">
        <v>122</v>
      </c>
      <c r="B54" s="672"/>
      <c r="C54" s="672"/>
      <c r="D54" s="672"/>
      <c r="E54" s="672"/>
      <c r="F54" s="672"/>
      <c r="G54" s="672"/>
      <c r="H54" s="672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Y54" s="672"/>
      <c r="Z54" s="67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73">
        <v>4680115885882</v>
      </c>
      <c r="E55" s="67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5"/>
      <c r="R55" s="675"/>
      <c r="S55" s="675"/>
      <c r="T55" s="67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73">
        <v>4680115881426</v>
      </c>
      <c r="E56" s="67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5"/>
      <c r="R56" s="675"/>
      <c r="S56" s="675"/>
      <c r="T56" s="67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73">
        <v>4680115880283</v>
      </c>
      <c r="E57" s="67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5"/>
      <c r="R57" s="675"/>
      <c r="S57" s="675"/>
      <c r="T57" s="67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73">
        <v>4680115881525</v>
      </c>
      <c r="E58" s="67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5"/>
      <c r="R58" s="675"/>
      <c r="S58" s="675"/>
      <c r="T58" s="67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73">
        <v>4680115885899</v>
      </c>
      <c r="E59" s="67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673">
        <v>4680115881419</v>
      </c>
      <c r="E60" s="67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>
        <v>585</v>
      </c>
      <c r="Y60" s="55">
        <f t="shared" si="0"/>
        <v>585</v>
      </c>
      <c r="Z60" s="41">
        <f>IFERROR(IF(Y60=0,"",ROUNDUP(Y60/H60,0)*0.00902),"")</f>
        <v>1.1726000000000001</v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609.70000000000005</v>
      </c>
      <c r="BN60" s="78">
        <f t="shared" si="2"/>
        <v>609.70000000000005</v>
      </c>
      <c r="BO60" s="78">
        <f t="shared" si="3"/>
        <v>0.98484848484848486</v>
      </c>
      <c r="BP60" s="78">
        <f t="shared" si="4"/>
        <v>0.98484848484848486</v>
      </c>
    </row>
    <row r="61" spans="1:68" x14ac:dyDescent="0.2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70"/>
      <c r="P61" s="666" t="s">
        <v>40</v>
      </c>
      <c r="Q61" s="667"/>
      <c r="R61" s="667"/>
      <c r="S61" s="667"/>
      <c r="T61" s="667"/>
      <c r="U61" s="667"/>
      <c r="V61" s="668"/>
      <c r="W61" s="42" t="s">
        <v>39</v>
      </c>
      <c r="X61" s="43">
        <f>IFERROR(X55/H55,"0")+IFERROR(X56/H56,"0")+IFERROR(X57/H57,"0")+IFERROR(X58/H58,"0")+IFERROR(X59/H59,"0")+IFERROR(X60/H60,"0")</f>
        <v>130</v>
      </c>
      <c r="Y61" s="43">
        <f>IFERROR(Y55/H55,"0")+IFERROR(Y56/H56,"0")+IFERROR(Y57/H57,"0")+IFERROR(Y58/H58,"0")+IFERROR(Y59/H59,"0")+IFERROR(Y60/H60,"0")</f>
        <v>130</v>
      </c>
      <c r="Z61" s="43">
        <f>IFERROR(IF(Z55="",0,Z55),"0")+IFERROR(IF(Z56="",0,Z56),"0")+IFERROR(IF(Z57="",0,Z57),"0")+IFERROR(IF(Z58="",0,Z58),"0")+IFERROR(IF(Z59="",0,Z59),"0")+IFERROR(IF(Z60="",0,Z60),"0")</f>
        <v>1.1726000000000001</v>
      </c>
      <c r="AA61" s="67"/>
      <c r="AB61" s="67"/>
      <c r="AC61" s="67"/>
    </row>
    <row r="62" spans="1:68" x14ac:dyDescent="0.2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70"/>
      <c r="P62" s="666" t="s">
        <v>40</v>
      </c>
      <c r="Q62" s="667"/>
      <c r="R62" s="667"/>
      <c r="S62" s="667"/>
      <c r="T62" s="667"/>
      <c r="U62" s="667"/>
      <c r="V62" s="668"/>
      <c r="W62" s="42" t="s">
        <v>0</v>
      </c>
      <c r="X62" s="43">
        <f>IFERROR(SUM(X55:X60),"0")</f>
        <v>585</v>
      </c>
      <c r="Y62" s="43">
        <f>IFERROR(SUM(Y55:Y60),"0")</f>
        <v>585</v>
      </c>
      <c r="Z62" s="42"/>
      <c r="AA62" s="67"/>
      <c r="AB62" s="67"/>
      <c r="AC62" s="67"/>
    </row>
    <row r="63" spans="1:68" ht="14.25" hidden="1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673">
        <v>4680115881440</v>
      </c>
      <c r="E64" s="67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>
        <v>50</v>
      </c>
      <c r="Y64" s="55">
        <f>IFERROR(IF(X64="",0,CEILING((X64/$H64),1)*$H64),"")</f>
        <v>54</v>
      </c>
      <c r="Z64" s="41">
        <f>IFERROR(IF(Y64=0,"",ROUNDUP(Y64/H64,0)*0.01898),"")</f>
        <v>9.4899999999999998E-2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51.898148148148145</v>
      </c>
      <c r="BN64" s="78">
        <f>IFERROR(Y64*I64/H64,"0")</f>
        <v>56.05</v>
      </c>
      <c r="BO64" s="78">
        <f>IFERROR(1/J64*(X64/H64),"0")</f>
        <v>7.2337962962962965E-2</v>
      </c>
      <c r="BP64" s="78">
        <f>IFERROR(1/J64*(Y64/H64),"0")</f>
        <v>7.8125E-2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73">
        <v>4680115885950</v>
      </c>
      <c r="E65" s="67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73">
        <v>4680115887688</v>
      </c>
      <c r="E66" s="67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5"/>
      <c r="R66" s="675"/>
      <c r="S66" s="675"/>
      <c r="T66" s="67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673">
        <v>4680115881433</v>
      </c>
      <c r="E67" s="67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5"/>
      <c r="R67" s="675"/>
      <c r="S67" s="675"/>
      <c r="T67" s="676"/>
      <c r="U67" s="39" t="s">
        <v>46</v>
      </c>
      <c r="V67" s="39" t="s">
        <v>46</v>
      </c>
      <c r="W67" s="40" t="s">
        <v>0</v>
      </c>
      <c r="X67" s="58">
        <v>112.5</v>
      </c>
      <c r="Y67" s="55">
        <f>IFERROR(IF(X67="",0,CEILING((X67/$H67),1)*$H67),"")</f>
        <v>113.4</v>
      </c>
      <c r="Z67" s="41">
        <f>IFERROR(IF(Y67=0,"",ROUNDUP(Y67/H67,0)*0.00651),"")</f>
        <v>0.27342</v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119.99999999999999</v>
      </c>
      <c r="BN67" s="78">
        <f>IFERROR(Y67*I67/H67,"0")</f>
        <v>120.95999999999998</v>
      </c>
      <c r="BO67" s="78">
        <f>IFERROR(1/J67*(X67/H67),"0")</f>
        <v>0.22893772893772893</v>
      </c>
      <c r="BP67" s="78">
        <f>IFERROR(1/J67*(Y67/H67),"0")</f>
        <v>0.23076923076923078</v>
      </c>
    </row>
    <row r="68" spans="1:68" x14ac:dyDescent="0.2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70"/>
      <c r="P68" s="666" t="s">
        <v>40</v>
      </c>
      <c r="Q68" s="667"/>
      <c r="R68" s="667"/>
      <c r="S68" s="667"/>
      <c r="T68" s="667"/>
      <c r="U68" s="667"/>
      <c r="V68" s="668"/>
      <c r="W68" s="42" t="s">
        <v>39</v>
      </c>
      <c r="X68" s="43">
        <f>IFERROR(X64/H64,"0")+IFERROR(X65/H65,"0")+IFERROR(X66/H66,"0")+IFERROR(X67/H67,"0")</f>
        <v>46.296296296296291</v>
      </c>
      <c r="Y68" s="43">
        <f>IFERROR(Y64/H64,"0")+IFERROR(Y65/H65,"0")+IFERROR(Y66/H66,"0")+IFERROR(Y67/H67,"0")</f>
        <v>47</v>
      </c>
      <c r="Z68" s="43">
        <f>IFERROR(IF(Z64="",0,Z64),"0")+IFERROR(IF(Z65="",0,Z65),"0")+IFERROR(IF(Z66="",0,Z66),"0")+IFERROR(IF(Z67="",0,Z67),"0")</f>
        <v>0.36831999999999998</v>
      </c>
      <c r="AA68" s="67"/>
      <c r="AB68" s="67"/>
      <c r="AC68" s="67"/>
    </row>
    <row r="69" spans="1:68" x14ac:dyDescent="0.2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70"/>
      <c r="P69" s="666" t="s">
        <v>40</v>
      </c>
      <c r="Q69" s="667"/>
      <c r="R69" s="667"/>
      <c r="S69" s="667"/>
      <c r="T69" s="667"/>
      <c r="U69" s="667"/>
      <c r="V69" s="668"/>
      <c r="W69" s="42" t="s">
        <v>0</v>
      </c>
      <c r="X69" s="43">
        <f>IFERROR(SUM(X64:X67),"0")</f>
        <v>162.5</v>
      </c>
      <c r="Y69" s="43">
        <f>IFERROR(SUM(Y64:Y67),"0")</f>
        <v>167.4</v>
      </c>
      <c r="Z69" s="42"/>
      <c r="AA69" s="67"/>
      <c r="AB69" s="67"/>
      <c r="AC69" s="67"/>
    </row>
    <row r="70" spans="1:68" ht="14.25" hidden="1" customHeight="1" x14ac:dyDescent="0.25">
      <c r="A70" s="672" t="s">
        <v>86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73">
        <v>4680115884311</v>
      </c>
      <c r="E71" s="67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73">
        <v>4680115884403</v>
      </c>
      <c r="E72" s="67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73">
        <v>4680115884403</v>
      </c>
      <c r="E73" s="67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4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5"/>
      <c r="R73" s="675"/>
      <c r="S73" s="675"/>
      <c r="T73" s="67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70"/>
      <c r="P74" s="666" t="s">
        <v>40</v>
      </c>
      <c r="Q74" s="667"/>
      <c r="R74" s="667"/>
      <c r="S74" s="667"/>
      <c r="T74" s="667"/>
      <c r="U74" s="667"/>
      <c r="V74" s="668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70"/>
      <c r="P75" s="666" t="s">
        <v>40</v>
      </c>
      <c r="Q75" s="667"/>
      <c r="R75" s="667"/>
      <c r="S75" s="667"/>
      <c r="T75" s="667"/>
      <c r="U75" s="667"/>
      <c r="V75" s="668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72" t="s">
        <v>173</v>
      </c>
      <c r="B76" s="672"/>
      <c r="C76" s="672"/>
      <c r="D76" s="672"/>
      <c r="E76" s="672"/>
      <c r="F76" s="672"/>
      <c r="G76" s="672"/>
      <c r="H76" s="672"/>
      <c r="I76" s="672"/>
      <c r="J76" s="672"/>
      <c r="K76" s="672"/>
      <c r="L76" s="672"/>
      <c r="M76" s="672"/>
      <c r="N76" s="672"/>
      <c r="O76" s="672"/>
      <c r="P76" s="672"/>
      <c r="Q76" s="672"/>
      <c r="R76" s="672"/>
      <c r="S76" s="672"/>
      <c r="T76" s="672"/>
      <c r="U76" s="672"/>
      <c r="V76" s="672"/>
      <c r="W76" s="672"/>
      <c r="X76" s="672"/>
      <c r="Y76" s="672"/>
      <c r="Z76" s="672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73">
        <v>4680115881532</v>
      </c>
      <c r="E77" s="67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73">
        <v>4680115881532</v>
      </c>
      <c r="E78" s="67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4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5"/>
      <c r="R78" s="675"/>
      <c r="S78" s="675"/>
      <c r="T78" s="67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73">
        <v>4680115881464</v>
      </c>
      <c r="E79" s="67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5"/>
      <c r="R79" s="675"/>
      <c r="S79" s="675"/>
      <c r="T79" s="67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73">
        <v>4680115881464</v>
      </c>
      <c r="E80" s="67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5"/>
      <c r="R80" s="675"/>
      <c r="S80" s="675"/>
      <c r="T80" s="67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70"/>
      <c r="P81" s="666" t="s">
        <v>40</v>
      </c>
      <c r="Q81" s="667"/>
      <c r="R81" s="667"/>
      <c r="S81" s="667"/>
      <c r="T81" s="667"/>
      <c r="U81" s="667"/>
      <c r="V81" s="668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70"/>
      <c r="P82" s="666" t="s">
        <v>40</v>
      </c>
      <c r="Q82" s="667"/>
      <c r="R82" s="667"/>
      <c r="S82" s="667"/>
      <c r="T82" s="667"/>
      <c r="U82" s="667"/>
      <c r="V82" s="668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71" t="s">
        <v>182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72" t="s">
        <v>122</v>
      </c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72"/>
      <c r="P84" s="672"/>
      <c r="Q84" s="672"/>
      <c r="R84" s="672"/>
      <c r="S84" s="672"/>
      <c r="T84" s="672"/>
      <c r="U84" s="672"/>
      <c r="V84" s="672"/>
      <c r="W84" s="672"/>
      <c r="X84" s="672"/>
      <c r="Y84" s="672"/>
      <c r="Z84" s="672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673">
        <v>4680115881327</v>
      </c>
      <c r="E85" s="67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5"/>
      <c r="R85" s="675"/>
      <c r="S85" s="675"/>
      <c r="T85" s="676"/>
      <c r="U85" s="39" t="s">
        <v>46</v>
      </c>
      <c r="V85" s="39" t="s">
        <v>46</v>
      </c>
      <c r="W85" s="40" t="s">
        <v>0</v>
      </c>
      <c r="X85" s="58">
        <v>130</v>
      </c>
      <c r="Y85" s="55">
        <f>IFERROR(IF(X85="",0,CEILING((X85/$H85),1)*$H85),"")</f>
        <v>140.4</v>
      </c>
      <c r="Z85" s="41">
        <f>IFERROR(IF(Y85=0,"",ROUNDUP(Y85/H85,0)*0.01898),"")</f>
        <v>0.24674000000000001</v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134.93518518518519</v>
      </c>
      <c r="BN85" s="78">
        <f>IFERROR(Y85*I85/H85,"0")</f>
        <v>145.73000000000002</v>
      </c>
      <c r="BO85" s="78">
        <f>IFERROR(1/J85*(X85/H85),"0")</f>
        <v>0.18807870370370369</v>
      </c>
      <c r="BP85" s="78">
        <f>IFERROR(1/J85*(Y85/H85),"0")</f>
        <v>0.203125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73">
        <v>4680115887732</v>
      </c>
      <c r="E86" s="67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5"/>
      <c r="R86" s="675"/>
      <c r="S86" s="675"/>
      <c r="T86" s="67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73">
        <v>4680115887732</v>
      </c>
      <c r="E87" s="67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6" t="s">
        <v>190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73">
        <v>4680115881518</v>
      </c>
      <c r="E88" s="67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673">
        <v>4680115881303</v>
      </c>
      <c r="E89" s="67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>
        <v>630</v>
      </c>
      <c r="Y89" s="55">
        <f>IFERROR(IF(X89="",0,CEILING((X89/$H89),1)*$H89),"")</f>
        <v>630</v>
      </c>
      <c r="Z89" s="41">
        <f>IFERROR(IF(Y89=0,"",ROUNDUP(Y89/H89,0)*0.00902),"")</f>
        <v>1.2627999999999999</v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656.6</v>
      </c>
      <c r="BN89" s="78">
        <f>IFERROR(Y89*I89/H89,"0")</f>
        <v>656.6</v>
      </c>
      <c r="BO89" s="78">
        <f>IFERROR(1/J89*(X89/H89),"0")</f>
        <v>1.0606060606060606</v>
      </c>
      <c r="BP89" s="78">
        <f>IFERROR(1/J89*(Y89/H89),"0")</f>
        <v>1.0606060606060606</v>
      </c>
    </row>
    <row r="90" spans="1:68" x14ac:dyDescent="0.2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70"/>
      <c r="P90" s="666" t="s">
        <v>40</v>
      </c>
      <c r="Q90" s="667"/>
      <c r="R90" s="667"/>
      <c r="S90" s="667"/>
      <c r="T90" s="667"/>
      <c r="U90" s="667"/>
      <c r="V90" s="668"/>
      <c r="W90" s="42" t="s">
        <v>39</v>
      </c>
      <c r="X90" s="43">
        <f>IFERROR(X85/H85,"0")+IFERROR(X86/H86,"0")+IFERROR(X87/H87,"0")+IFERROR(X88/H88,"0")+IFERROR(X89/H89,"0")</f>
        <v>152.03703703703704</v>
      </c>
      <c r="Y90" s="43">
        <f>IFERROR(Y85/H85,"0")+IFERROR(Y86/H86,"0")+IFERROR(Y87/H87,"0")+IFERROR(Y88/H88,"0")+IFERROR(Y89/H89,"0")</f>
        <v>153</v>
      </c>
      <c r="Z90" s="43">
        <f>IFERROR(IF(Z85="",0,Z85),"0")+IFERROR(IF(Z86="",0,Z86),"0")+IFERROR(IF(Z87="",0,Z87),"0")+IFERROR(IF(Z88="",0,Z88),"0")+IFERROR(IF(Z89="",0,Z89),"0")</f>
        <v>1.5095399999999999</v>
      </c>
      <c r="AA90" s="67"/>
      <c r="AB90" s="67"/>
      <c r="AC90" s="67"/>
    </row>
    <row r="91" spans="1:68" x14ac:dyDescent="0.2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70"/>
      <c r="P91" s="666" t="s">
        <v>40</v>
      </c>
      <c r="Q91" s="667"/>
      <c r="R91" s="667"/>
      <c r="S91" s="667"/>
      <c r="T91" s="667"/>
      <c r="U91" s="667"/>
      <c r="V91" s="668"/>
      <c r="W91" s="42" t="s">
        <v>0</v>
      </c>
      <c r="X91" s="43">
        <f>IFERROR(SUM(X85:X89),"0")</f>
        <v>760</v>
      </c>
      <c r="Y91" s="43">
        <f>IFERROR(SUM(Y85:Y89),"0")</f>
        <v>770.4</v>
      </c>
      <c r="Z91" s="42"/>
      <c r="AA91" s="67"/>
      <c r="AB91" s="67"/>
      <c r="AC91" s="67"/>
    </row>
    <row r="92" spans="1:68" ht="14.25" hidden="1" customHeight="1" x14ac:dyDescent="0.25">
      <c r="A92" s="672" t="s">
        <v>86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673">
        <v>4607091386967</v>
      </c>
      <c r="E93" s="67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5"/>
      <c r="R93" s="675"/>
      <c r="S93" s="675"/>
      <c r="T93" s="67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7" t="s">
        <v>199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673">
        <v>4680115884953</v>
      </c>
      <c r="E96" s="67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9" t="s">
        <v>203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customHeight="1" x14ac:dyDescent="0.25">
      <c r="A97" s="63" t="s">
        <v>205</v>
      </c>
      <c r="B97" s="63" t="s">
        <v>206</v>
      </c>
      <c r="C97" s="36">
        <v>4301051718</v>
      </c>
      <c r="D97" s="673">
        <v>4607091385731</v>
      </c>
      <c r="E97" s="67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>
        <v>540</v>
      </c>
      <c r="Y97" s="55">
        <f t="shared" si="5"/>
        <v>540</v>
      </c>
      <c r="Z97" s="41">
        <f>IFERROR(IF(Y97=0,"",ROUNDUP(Y97/H97,0)*0.00651),"")</f>
        <v>1.302</v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590.4</v>
      </c>
      <c r="BN97" s="78">
        <f t="shared" si="7"/>
        <v>590.4</v>
      </c>
      <c r="BO97" s="78">
        <f t="shared" si="8"/>
        <v>1.098901098901099</v>
      </c>
      <c r="BP97" s="78">
        <f t="shared" si="9"/>
        <v>1.098901098901099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673">
        <v>4607091385731</v>
      </c>
      <c r="E98" s="67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31" t="s">
        <v>208</v>
      </c>
      <c r="Q98" s="675"/>
      <c r="R98" s="675"/>
      <c r="S98" s="675"/>
      <c r="T98" s="67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673">
        <v>4680115880894</v>
      </c>
      <c r="E99" s="67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5"/>
      <c r="R99" s="675"/>
      <c r="S99" s="675"/>
      <c r="T99" s="67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70"/>
      <c r="P100" s="666" t="s">
        <v>40</v>
      </c>
      <c r="Q100" s="667"/>
      <c r="R100" s="667"/>
      <c r="S100" s="667"/>
      <c r="T100" s="667"/>
      <c r="U100" s="667"/>
      <c r="V100" s="668"/>
      <c r="W100" s="42" t="s">
        <v>39</v>
      </c>
      <c r="X100" s="43">
        <f>IFERROR(X93/H93,"0")+IFERROR(X94/H94,"0")+IFERROR(X95/H95,"0")+IFERROR(X96/H96,"0")+IFERROR(X97/H97,"0")+IFERROR(X98/H98,"0")+IFERROR(X99/H99,"0")</f>
        <v>200</v>
      </c>
      <c r="Y100" s="43">
        <f>IFERROR(Y93/H93,"0")+IFERROR(Y94/H94,"0")+IFERROR(Y95/H95,"0")+IFERROR(Y96/H96,"0")+IFERROR(Y97/H97,"0")+IFERROR(Y98/H98,"0")+IFERROR(Y99/H99,"0")</f>
        <v>200</v>
      </c>
      <c r="Z100" s="43">
        <f>IFERROR(IF(Z93="",0,Z93),"0")+IFERROR(IF(Z94="",0,Z94),"0")+IFERROR(IF(Z95="",0,Z95),"0")+IFERROR(IF(Z96="",0,Z96),"0")+IFERROR(IF(Z97="",0,Z97),"0")+IFERROR(IF(Z98="",0,Z98),"0")+IFERROR(IF(Z99="",0,Z99),"0")</f>
        <v>1.302</v>
      </c>
      <c r="AA100" s="67"/>
      <c r="AB100" s="67"/>
      <c r="AC100" s="67"/>
    </row>
    <row r="101" spans="1:68" x14ac:dyDescent="0.2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70"/>
      <c r="P101" s="666" t="s">
        <v>40</v>
      </c>
      <c r="Q101" s="667"/>
      <c r="R101" s="667"/>
      <c r="S101" s="667"/>
      <c r="T101" s="667"/>
      <c r="U101" s="667"/>
      <c r="V101" s="668"/>
      <c r="W101" s="42" t="s">
        <v>0</v>
      </c>
      <c r="X101" s="43">
        <f>IFERROR(SUM(X93:X99),"0")</f>
        <v>540</v>
      </c>
      <c r="Y101" s="43">
        <f>IFERROR(SUM(Y93:Y99),"0")</f>
        <v>540</v>
      </c>
      <c r="Z101" s="42"/>
      <c r="AA101" s="67"/>
      <c r="AB101" s="67"/>
      <c r="AC101" s="67"/>
    </row>
    <row r="102" spans="1:68" ht="16.5" hidden="1" customHeight="1" x14ac:dyDescent="0.25">
      <c r="A102" s="671" t="s">
        <v>212</v>
      </c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  <c r="AA102" s="65"/>
      <c r="AB102" s="65"/>
      <c r="AC102" s="79"/>
    </row>
    <row r="103" spans="1:68" ht="14.25" hidden="1" customHeight="1" x14ac:dyDescent="0.25">
      <c r="A103" s="672" t="s">
        <v>122</v>
      </c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72"/>
      <c r="P103" s="672"/>
      <c r="Q103" s="672"/>
      <c r="R103" s="672"/>
      <c r="S103" s="672"/>
      <c r="T103" s="672"/>
      <c r="U103" s="672"/>
      <c r="V103" s="672"/>
      <c r="W103" s="672"/>
      <c r="X103" s="672"/>
      <c r="Y103" s="672"/>
      <c r="Z103" s="672"/>
      <c r="AA103" s="66"/>
      <c r="AB103" s="66"/>
      <c r="AC103" s="80"/>
    </row>
    <row r="104" spans="1:68" ht="37.5" customHeight="1" x14ac:dyDescent="0.25">
      <c r="A104" s="63" t="s">
        <v>213</v>
      </c>
      <c r="B104" s="63" t="s">
        <v>214</v>
      </c>
      <c r="C104" s="36">
        <v>4301011514</v>
      </c>
      <c r="D104" s="673">
        <v>4680115882133</v>
      </c>
      <c r="E104" s="67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>
        <v>50</v>
      </c>
      <c r="Y104" s="55">
        <f t="shared" ref="Y104:Y111" si="10">IFERROR(IF(X104="",0,CEILING((X104/$H104),1)*$H104),"")</f>
        <v>54</v>
      </c>
      <c r="Z104" s="41">
        <f>IFERROR(IF(Y104=0,"",ROUNDUP(Y104/H104,0)*0.01898),"")</f>
        <v>9.4899999999999998E-2</v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51.898148148148145</v>
      </c>
      <c r="BN104" s="78">
        <f t="shared" ref="BN104:BN111" si="12">IFERROR(Y104*I104/H104,"0")</f>
        <v>56.05</v>
      </c>
      <c r="BO104" s="78">
        <f t="shared" ref="BO104:BO111" si="13">IFERROR(1/J104*(X104/H104),"0")</f>
        <v>7.2337962962962965E-2</v>
      </c>
      <c r="BP104" s="78">
        <f t="shared" ref="BP104:BP111" si="14">IFERROR(1/J104*(Y104/H104),"0")</f>
        <v>7.8125E-2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673">
        <v>4680115887718</v>
      </c>
      <c r="E105" s="67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2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673">
        <v>4680115887718</v>
      </c>
      <c r="E106" s="67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2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673">
        <v>4680115887718</v>
      </c>
      <c r="E107" s="67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673">
        <v>4680115880269</v>
      </c>
      <c r="E108" s="67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customHeight="1" x14ac:dyDescent="0.25">
      <c r="A109" s="63" t="s">
        <v>223</v>
      </c>
      <c r="B109" s="63" t="s">
        <v>224</v>
      </c>
      <c r="C109" s="36">
        <v>4301011415</v>
      </c>
      <c r="D109" s="673">
        <v>4680115880429</v>
      </c>
      <c r="E109" s="67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5"/>
      <c r="R109" s="675"/>
      <c r="S109" s="675"/>
      <c r="T109" s="676"/>
      <c r="U109" s="39" t="s">
        <v>46</v>
      </c>
      <c r="V109" s="39" t="s">
        <v>46</v>
      </c>
      <c r="W109" s="40" t="s">
        <v>0</v>
      </c>
      <c r="X109" s="58">
        <v>585</v>
      </c>
      <c r="Y109" s="55">
        <f t="shared" si="10"/>
        <v>585</v>
      </c>
      <c r="Z109" s="41">
        <f>IFERROR(IF(Y109=0,"",ROUNDUP(Y109/H109,0)*0.00902),"")</f>
        <v>1.1726000000000001</v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609.70000000000005</v>
      </c>
      <c r="BN109" s="78">
        <f t="shared" si="12"/>
        <v>609.70000000000005</v>
      </c>
      <c r="BO109" s="78">
        <f t="shared" si="13"/>
        <v>0.98484848484848486</v>
      </c>
      <c r="BP109" s="78">
        <f t="shared" si="14"/>
        <v>0.98484848484848486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673">
        <v>4680115880429</v>
      </c>
      <c r="E110" s="67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3" t="s">
        <v>226</v>
      </c>
      <c r="Q110" s="675"/>
      <c r="R110" s="675"/>
      <c r="S110" s="675"/>
      <c r="T110" s="67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673">
        <v>4680115881457</v>
      </c>
      <c r="E111" s="67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5"/>
      <c r="R111" s="675"/>
      <c r="S111" s="675"/>
      <c r="T111" s="67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70"/>
      <c r="P112" s="666" t="s">
        <v>40</v>
      </c>
      <c r="Q112" s="667"/>
      <c r="R112" s="667"/>
      <c r="S112" s="667"/>
      <c r="T112" s="667"/>
      <c r="U112" s="667"/>
      <c r="V112" s="668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134.62962962962962</v>
      </c>
      <c r="Y112" s="43">
        <f>IFERROR(Y104/H104,"0")+IFERROR(Y105/H105,"0")+IFERROR(Y106/H106,"0")+IFERROR(Y107/H107,"0")+IFERROR(Y108/H108,"0")+IFERROR(Y109/H109,"0")+IFERROR(Y110/H110,"0")+IFERROR(Y111/H111,"0")</f>
        <v>135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1.2675000000000001</v>
      </c>
      <c r="AA112" s="67"/>
      <c r="AB112" s="67"/>
      <c r="AC112" s="67"/>
    </row>
    <row r="113" spans="1:68" x14ac:dyDescent="0.2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70"/>
      <c r="P113" s="666" t="s">
        <v>40</v>
      </c>
      <c r="Q113" s="667"/>
      <c r="R113" s="667"/>
      <c r="S113" s="667"/>
      <c r="T113" s="667"/>
      <c r="U113" s="667"/>
      <c r="V113" s="668"/>
      <c r="W113" s="42" t="s">
        <v>0</v>
      </c>
      <c r="X113" s="43">
        <f>IFERROR(SUM(X104:X111),"0")</f>
        <v>635</v>
      </c>
      <c r="Y113" s="43">
        <f>IFERROR(SUM(Y104:Y111),"0")</f>
        <v>639</v>
      </c>
      <c r="Z113" s="42"/>
      <c r="AA113" s="67"/>
      <c r="AB113" s="67"/>
      <c r="AC113" s="67"/>
    </row>
    <row r="114" spans="1:68" ht="14.25" hidden="1" customHeight="1" x14ac:dyDescent="0.25">
      <c r="A114" s="672" t="s">
        <v>155</v>
      </c>
      <c r="B114" s="672"/>
      <c r="C114" s="672"/>
      <c r="D114" s="672"/>
      <c r="E114" s="672"/>
      <c r="F114" s="672"/>
      <c r="G114" s="672"/>
      <c r="H114" s="672"/>
      <c r="I114" s="672"/>
      <c r="J114" s="672"/>
      <c r="K114" s="672"/>
      <c r="L114" s="672"/>
      <c r="M114" s="672"/>
      <c r="N114" s="672"/>
      <c r="O114" s="672"/>
      <c r="P114" s="672"/>
      <c r="Q114" s="672"/>
      <c r="R114" s="672"/>
      <c r="S114" s="672"/>
      <c r="T114" s="672"/>
      <c r="U114" s="672"/>
      <c r="V114" s="672"/>
      <c r="W114" s="672"/>
      <c r="X114" s="672"/>
      <c r="Y114" s="672"/>
      <c r="Z114" s="67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673">
        <v>4680115881488</v>
      </c>
      <c r="E115" s="67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673">
        <v>4680115887664</v>
      </c>
      <c r="E116" s="67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673">
        <v>4680115887664</v>
      </c>
      <c r="E117" s="67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673">
        <v>4680115882775</v>
      </c>
      <c r="E118" s="67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5"/>
      <c r="R118" s="675"/>
      <c r="S118" s="675"/>
      <c r="T118" s="67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673">
        <v>4680115880658</v>
      </c>
      <c r="E119" s="67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5"/>
      <c r="R119" s="675"/>
      <c r="S119" s="675"/>
      <c r="T119" s="67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70"/>
      <c r="P120" s="666" t="s">
        <v>40</v>
      </c>
      <c r="Q120" s="667"/>
      <c r="R120" s="667"/>
      <c r="S120" s="667"/>
      <c r="T120" s="667"/>
      <c r="U120" s="667"/>
      <c r="V120" s="668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70"/>
      <c r="P121" s="666" t="s">
        <v>40</v>
      </c>
      <c r="Q121" s="667"/>
      <c r="R121" s="667"/>
      <c r="S121" s="667"/>
      <c r="T121" s="667"/>
      <c r="U121" s="667"/>
      <c r="V121" s="668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72" t="s">
        <v>86</v>
      </c>
      <c r="B122" s="672"/>
      <c r="C122" s="672"/>
      <c r="D122" s="672"/>
      <c r="E122" s="672"/>
      <c r="F122" s="672"/>
      <c r="G122" s="672"/>
      <c r="H122" s="672"/>
      <c r="I122" s="672"/>
      <c r="J122" s="672"/>
      <c r="K122" s="672"/>
      <c r="L122" s="672"/>
      <c r="M122" s="672"/>
      <c r="N122" s="672"/>
      <c r="O122" s="672"/>
      <c r="P122" s="672"/>
      <c r="Q122" s="672"/>
      <c r="R122" s="672"/>
      <c r="S122" s="672"/>
      <c r="T122" s="672"/>
      <c r="U122" s="672"/>
      <c r="V122" s="672"/>
      <c r="W122" s="672"/>
      <c r="X122" s="672"/>
      <c r="Y122" s="672"/>
      <c r="Z122" s="672"/>
      <c r="AA122" s="66"/>
      <c r="AB122" s="66"/>
      <c r="AC122" s="80"/>
    </row>
    <row r="123" spans="1:68" ht="27" customHeight="1" x14ac:dyDescent="0.25">
      <c r="A123" s="63" t="s">
        <v>242</v>
      </c>
      <c r="B123" s="63" t="s">
        <v>243</v>
      </c>
      <c r="C123" s="36">
        <v>4301051724</v>
      </c>
      <c r="D123" s="673">
        <v>4607091385168</v>
      </c>
      <c r="E123" s="67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>
        <v>400</v>
      </c>
      <c r="Y123" s="55">
        <f t="shared" ref="Y123:Y130" si="15">IFERROR(IF(X123="",0,CEILING((X123/$H123),1)*$H123),"")</f>
        <v>405</v>
      </c>
      <c r="Z123" s="41">
        <f>IFERROR(IF(Y123=0,"",ROUNDUP(Y123/H123,0)*0.01898),"")</f>
        <v>0.94900000000000007</v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424.09876543209879</v>
      </c>
      <c r="BN123" s="78">
        <f t="shared" ref="BN123:BN130" si="17">IFERROR(Y123*I123/H123,"0")</f>
        <v>429.4</v>
      </c>
      <c r="BO123" s="78">
        <f t="shared" ref="BO123:BO130" si="18">IFERROR(1/J123*(X123/H123),"0")</f>
        <v>0.77160493827160492</v>
      </c>
      <c r="BP123" s="78">
        <f t="shared" ref="BP123:BP130" si="19">IFERROR(1/J123*(Y123/H123),"0")</f>
        <v>0.78125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673">
        <v>4607091385168</v>
      </c>
      <c r="E124" s="67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7" t="s">
        <v>246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673">
        <v>4607091383256</v>
      </c>
      <c r="E125" s="67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5"/>
      <c r="R125" s="675"/>
      <c r="S125" s="675"/>
      <c r="T125" s="67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673">
        <v>4607091383256</v>
      </c>
      <c r="E126" s="67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9" t="s">
        <v>250</v>
      </c>
      <c r="Q126" s="675"/>
      <c r="R126" s="675"/>
      <c r="S126" s="675"/>
      <c r="T126" s="67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customHeight="1" x14ac:dyDescent="0.25">
      <c r="A127" s="63" t="s">
        <v>251</v>
      </c>
      <c r="B127" s="63" t="s">
        <v>252</v>
      </c>
      <c r="C127" s="36">
        <v>4301051721</v>
      </c>
      <c r="D127" s="673">
        <v>4607091385748</v>
      </c>
      <c r="E127" s="67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1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5"/>
      <c r="R127" s="675"/>
      <c r="S127" s="675"/>
      <c r="T127" s="676"/>
      <c r="U127" s="39" t="s">
        <v>46</v>
      </c>
      <c r="V127" s="39" t="s">
        <v>46</v>
      </c>
      <c r="W127" s="40" t="s">
        <v>0</v>
      </c>
      <c r="X127" s="58">
        <v>585</v>
      </c>
      <c r="Y127" s="55">
        <f t="shared" si="15"/>
        <v>585.90000000000009</v>
      </c>
      <c r="Z127" s="41">
        <f t="shared" si="20"/>
        <v>1.4126700000000001</v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639.6</v>
      </c>
      <c r="BN127" s="78">
        <f t="shared" si="17"/>
        <v>640.58400000000006</v>
      </c>
      <c r="BO127" s="78">
        <f t="shared" si="18"/>
        <v>1.1904761904761905</v>
      </c>
      <c r="BP127" s="78">
        <f t="shared" si="19"/>
        <v>1.1923076923076925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673">
        <v>4607091385748</v>
      </c>
      <c r="E128" s="67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11" t="s">
        <v>254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673">
        <v>4680115884533</v>
      </c>
      <c r="E129" s="67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9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5"/>
      <c r="R129" s="675"/>
      <c r="S129" s="675"/>
      <c r="T129" s="67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673">
        <v>4680115884533</v>
      </c>
      <c r="E130" s="67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902" t="s">
        <v>259</v>
      </c>
      <c r="Q130" s="675"/>
      <c r="R130" s="675"/>
      <c r="S130" s="675"/>
      <c r="T130" s="67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70"/>
      <c r="P131" s="666" t="s">
        <v>40</v>
      </c>
      <c r="Q131" s="667"/>
      <c r="R131" s="667"/>
      <c r="S131" s="667"/>
      <c r="T131" s="667"/>
      <c r="U131" s="667"/>
      <c r="V131" s="668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266.04938271604937</v>
      </c>
      <c r="Y131" s="43">
        <f>IFERROR(Y123/H123,"0")+IFERROR(Y124/H124,"0")+IFERROR(Y125/H125,"0")+IFERROR(Y126/H126,"0")+IFERROR(Y127/H127,"0")+IFERROR(Y128/H128,"0")+IFERROR(Y129/H129,"0")+IFERROR(Y130/H130,"0")</f>
        <v>267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2.3616700000000002</v>
      </c>
      <c r="AA131" s="67"/>
      <c r="AB131" s="67"/>
      <c r="AC131" s="67"/>
    </row>
    <row r="132" spans="1:68" x14ac:dyDescent="0.2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70"/>
      <c r="P132" s="666" t="s">
        <v>40</v>
      </c>
      <c r="Q132" s="667"/>
      <c r="R132" s="667"/>
      <c r="S132" s="667"/>
      <c r="T132" s="667"/>
      <c r="U132" s="667"/>
      <c r="V132" s="668"/>
      <c r="W132" s="42" t="s">
        <v>0</v>
      </c>
      <c r="X132" s="43">
        <f>IFERROR(SUM(X123:X130),"0")</f>
        <v>985</v>
      </c>
      <c r="Y132" s="43">
        <f>IFERROR(SUM(Y123:Y130),"0")</f>
        <v>990.90000000000009</v>
      </c>
      <c r="Z132" s="42"/>
      <c r="AA132" s="67"/>
      <c r="AB132" s="67"/>
      <c r="AC132" s="67"/>
    </row>
    <row r="133" spans="1:68" ht="14.25" hidden="1" customHeight="1" x14ac:dyDescent="0.25">
      <c r="A133" s="672" t="s">
        <v>173</v>
      </c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  <c r="AA133" s="66"/>
      <c r="AB133" s="66"/>
      <c r="AC133" s="80"/>
    </row>
    <row r="134" spans="1:68" ht="16.5" customHeight="1" x14ac:dyDescent="0.25">
      <c r="A134" s="63" t="s">
        <v>260</v>
      </c>
      <c r="B134" s="63" t="s">
        <v>261</v>
      </c>
      <c r="C134" s="36">
        <v>4301060317</v>
      </c>
      <c r="D134" s="673">
        <v>4680115880238</v>
      </c>
      <c r="E134" s="67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23.1</v>
      </c>
      <c r="Y134" s="55">
        <f>IFERROR(IF(X134="",0,CEILING((X134/$H134),1)*$H134),"")</f>
        <v>23.759999999999998</v>
      </c>
      <c r="Z134" s="41">
        <f>IFERROR(IF(Y134=0,"",ROUNDUP(Y134/H134,0)*0.00651),"")</f>
        <v>7.8119999999999995E-2</v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26.11</v>
      </c>
      <c r="BN134" s="78">
        <f>IFERROR(Y134*I134/H134,"0")</f>
        <v>26.855999999999998</v>
      </c>
      <c r="BO134" s="78">
        <f>IFERROR(1/J134*(X134/H134),"0")</f>
        <v>6.4102564102564111E-2</v>
      </c>
      <c r="BP134" s="78">
        <f>IFERROR(1/J134*(Y134/H134),"0")</f>
        <v>6.5934065934065936E-2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673">
        <v>4680115880238</v>
      </c>
      <c r="E135" s="67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4" t="s">
        <v>264</v>
      </c>
      <c r="Q135" s="675"/>
      <c r="R135" s="675"/>
      <c r="S135" s="675"/>
      <c r="T135" s="67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70"/>
      <c r="P136" s="666" t="s">
        <v>40</v>
      </c>
      <c r="Q136" s="667"/>
      <c r="R136" s="667"/>
      <c r="S136" s="667"/>
      <c r="T136" s="667"/>
      <c r="U136" s="667"/>
      <c r="V136" s="668"/>
      <c r="W136" s="42" t="s">
        <v>39</v>
      </c>
      <c r="X136" s="43">
        <f>IFERROR(X134/H134,"0")+IFERROR(X135/H135,"0")</f>
        <v>11.666666666666668</v>
      </c>
      <c r="Y136" s="43">
        <f>IFERROR(Y134/H134,"0")+IFERROR(Y135/H135,"0")</f>
        <v>11.999999999999998</v>
      </c>
      <c r="Z136" s="43">
        <f>IFERROR(IF(Z134="",0,Z134),"0")+IFERROR(IF(Z135="",0,Z135),"0")</f>
        <v>7.8119999999999995E-2</v>
      </c>
      <c r="AA136" s="67"/>
      <c r="AB136" s="67"/>
      <c r="AC136" s="67"/>
    </row>
    <row r="137" spans="1:68" x14ac:dyDescent="0.2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70"/>
      <c r="P137" s="666" t="s">
        <v>40</v>
      </c>
      <c r="Q137" s="667"/>
      <c r="R137" s="667"/>
      <c r="S137" s="667"/>
      <c r="T137" s="667"/>
      <c r="U137" s="667"/>
      <c r="V137" s="668"/>
      <c r="W137" s="42" t="s">
        <v>0</v>
      </c>
      <c r="X137" s="43">
        <f>IFERROR(SUM(X134:X135),"0")</f>
        <v>23.1</v>
      </c>
      <c r="Y137" s="43">
        <f>IFERROR(SUM(Y134:Y135),"0")</f>
        <v>23.759999999999998</v>
      </c>
      <c r="Z137" s="42"/>
      <c r="AA137" s="67"/>
      <c r="AB137" s="67"/>
      <c r="AC137" s="67"/>
    </row>
    <row r="138" spans="1:68" ht="16.5" hidden="1" customHeight="1" x14ac:dyDescent="0.25">
      <c r="A138" s="671" t="s">
        <v>265</v>
      </c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  <c r="AA138" s="65"/>
      <c r="AB138" s="65"/>
      <c r="AC138" s="79"/>
    </row>
    <row r="139" spans="1:68" ht="14.25" hidden="1" customHeight="1" x14ac:dyDescent="0.25">
      <c r="A139" s="672" t="s">
        <v>122</v>
      </c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72"/>
      <c r="P139" s="672"/>
      <c r="Q139" s="672"/>
      <c r="R139" s="672"/>
      <c r="S139" s="672"/>
      <c r="T139" s="672"/>
      <c r="U139" s="672"/>
      <c r="V139" s="672"/>
      <c r="W139" s="672"/>
      <c r="X139" s="672"/>
      <c r="Y139" s="672"/>
      <c r="Z139" s="672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673">
        <v>4680115882577</v>
      </c>
      <c r="E140" s="67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5"/>
      <c r="R140" s="675"/>
      <c r="S140" s="675"/>
      <c r="T140" s="67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266</v>
      </c>
      <c r="B141" s="63" t="s">
        <v>270</v>
      </c>
      <c r="C141" s="36">
        <v>4301011564</v>
      </c>
      <c r="D141" s="673">
        <v>4680115882577</v>
      </c>
      <c r="E141" s="67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5"/>
      <c r="R141" s="675"/>
      <c r="S141" s="675"/>
      <c r="T141" s="676"/>
      <c r="U141" s="39" t="s">
        <v>46</v>
      </c>
      <c r="V141" s="39" t="s">
        <v>46</v>
      </c>
      <c r="W141" s="40" t="s">
        <v>0</v>
      </c>
      <c r="X141" s="58">
        <v>60</v>
      </c>
      <c r="Y141" s="55">
        <f>IFERROR(IF(X141="",0,CEILING((X141/$H141),1)*$H141),"")</f>
        <v>60.800000000000004</v>
      </c>
      <c r="Z141" s="41">
        <f>IFERROR(IF(Y141=0,"",ROUNDUP(Y141/H141,0)*0.00651),"")</f>
        <v>0.12369000000000001</v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63.374999999999993</v>
      </c>
      <c r="BN141" s="78">
        <f>IFERROR(Y141*I141/H141,"0")</f>
        <v>64.22</v>
      </c>
      <c r="BO141" s="78">
        <f>IFERROR(1/J141*(X141/H141),"0")</f>
        <v>0.10302197802197803</v>
      </c>
      <c r="BP141" s="78">
        <f>IFERROR(1/J141*(Y141/H141),"0")</f>
        <v>0.1043956043956044</v>
      </c>
    </row>
    <row r="142" spans="1:68" x14ac:dyDescent="0.2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70"/>
      <c r="P142" s="666" t="s">
        <v>40</v>
      </c>
      <c r="Q142" s="667"/>
      <c r="R142" s="667"/>
      <c r="S142" s="667"/>
      <c r="T142" s="667"/>
      <c r="U142" s="667"/>
      <c r="V142" s="668"/>
      <c r="W142" s="42" t="s">
        <v>39</v>
      </c>
      <c r="X142" s="43">
        <f>IFERROR(X140/H140,"0")+IFERROR(X141/H141,"0")</f>
        <v>18.75</v>
      </c>
      <c r="Y142" s="43">
        <f>IFERROR(Y140/H140,"0")+IFERROR(Y141/H141,"0")</f>
        <v>19</v>
      </c>
      <c r="Z142" s="43">
        <f>IFERROR(IF(Z140="",0,Z140),"0")+IFERROR(IF(Z141="",0,Z141),"0")</f>
        <v>0.12369000000000001</v>
      </c>
      <c r="AA142" s="67"/>
      <c r="AB142" s="67"/>
      <c r="AC142" s="67"/>
    </row>
    <row r="143" spans="1:68" x14ac:dyDescent="0.2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70"/>
      <c r="P143" s="666" t="s">
        <v>40</v>
      </c>
      <c r="Q143" s="667"/>
      <c r="R143" s="667"/>
      <c r="S143" s="667"/>
      <c r="T143" s="667"/>
      <c r="U143" s="667"/>
      <c r="V143" s="668"/>
      <c r="W143" s="42" t="s">
        <v>0</v>
      </c>
      <c r="X143" s="43">
        <f>IFERROR(SUM(X140:X141),"0")</f>
        <v>60</v>
      </c>
      <c r="Y143" s="43">
        <f>IFERROR(SUM(Y140:Y141),"0")</f>
        <v>60.800000000000004</v>
      </c>
      <c r="Z143" s="42"/>
      <c r="AA143" s="67"/>
      <c r="AB143" s="67"/>
      <c r="AC143" s="67"/>
    </row>
    <row r="144" spans="1:68" ht="14.25" hidden="1" customHeight="1" x14ac:dyDescent="0.25">
      <c r="A144" s="672" t="s">
        <v>77</v>
      </c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72"/>
      <c r="P144" s="672"/>
      <c r="Q144" s="672"/>
      <c r="R144" s="672"/>
      <c r="S144" s="672"/>
      <c r="T144" s="672"/>
      <c r="U144" s="672"/>
      <c r="V144" s="672"/>
      <c r="W144" s="672"/>
      <c r="X144" s="672"/>
      <c r="Y144" s="672"/>
      <c r="Z144" s="672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673">
        <v>4680115883444</v>
      </c>
      <c r="E145" s="67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5"/>
      <c r="R145" s="675"/>
      <c r="S145" s="675"/>
      <c r="T145" s="67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673">
        <v>4680115883444</v>
      </c>
      <c r="E146" s="67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5"/>
      <c r="R146" s="675"/>
      <c r="S146" s="675"/>
      <c r="T146" s="67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70"/>
      <c r="P147" s="666" t="s">
        <v>40</v>
      </c>
      <c r="Q147" s="667"/>
      <c r="R147" s="667"/>
      <c r="S147" s="667"/>
      <c r="T147" s="667"/>
      <c r="U147" s="667"/>
      <c r="V147" s="66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70"/>
      <c r="P148" s="666" t="s">
        <v>40</v>
      </c>
      <c r="Q148" s="667"/>
      <c r="R148" s="667"/>
      <c r="S148" s="667"/>
      <c r="T148" s="667"/>
      <c r="U148" s="667"/>
      <c r="V148" s="66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672" t="s">
        <v>86</v>
      </c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2"/>
      <c r="T149" s="672"/>
      <c r="U149" s="672"/>
      <c r="V149" s="672"/>
      <c r="W149" s="672"/>
      <c r="X149" s="672"/>
      <c r="Y149" s="672"/>
      <c r="Z149" s="672"/>
      <c r="AA149" s="66"/>
      <c r="AB149" s="66"/>
      <c r="AC149" s="80"/>
    </row>
    <row r="150" spans="1:68" ht="16.5" customHeight="1" x14ac:dyDescent="0.25">
      <c r="A150" s="63" t="s">
        <v>275</v>
      </c>
      <c r="B150" s="63" t="s">
        <v>276</v>
      </c>
      <c r="C150" s="36">
        <v>4301051476</v>
      </c>
      <c r="D150" s="673">
        <v>4680115882584</v>
      </c>
      <c r="E150" s="67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9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36.300000000000004</v>
      </c>
      <c r="Y150" s="55">
        <f>IFERROR(IF(X150="",0,CEILING((X150/$H150),1)*$H150),"")</f>
        <v>36.96</v>
      </c>
      <c r="Z150" s="41">
        <f>IFERROR(IF(Y150=0,"",ROUNDUP(Y150/H150,0)*0.00651),"")</f>
        <v>9.1139999999999999E-2</v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39.985000000000007</v>
      </c>
      <c r="BN150" s="78">
        <f>IFERROR(Y150*I150/H150,"0")</f>
        <v>40.711999999999996</v>
      </c>
      <c r="BO150" s="78">
        <f>IFERROR(1/J150*(X150/H150),"0")</f>
        <v>7.5549450549450559E-2</v>
      </c>
      <c r="BP150" s="78">
        <f>IFERROR(1/J150*(Y150/H150),"0")</f>
        <v>7.6923076923076927E-2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673">
        <v>4680115882584</v>
      </c>
      <c r="E151" s="67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70"/>
      <c r="P152" s="666" t="s">
        <v>40</v>
      </c>
      <c r="Q152" s="667"/>
      <c r="R152" s="667"/>
      <c r="S152" s="667"/>
      <c r="T152" s="667"/>
      <c r="U152" s="667"/>
      <c r="V152" s="668"/>
      <c r="W152" s="42" t="s">
        <v>39</v>
      </c>
      <c r="X152" s="43">
        <f>IFERROR(X150/H150,"0")+IFERROR(X151/H151,"0")</f>
        <v>13.750000000000002</v>
      </c>
      <c r="Y152" s="43">
        <f>IFERROR(Y150/H150,"0")+IFERROR(Y151/H151,"0")</f>
        <v>14</v>
      </c>
      <c r="Z152" s="43">
        <f>IFERROR(IF(Z150="",0,Z150),"0")+IFERROR(IF(Z151="",0,Z151),"0")</f>
        <v>9.1139999999999999E-2</v>
      </c>
      <c r="AA152" s="67"/>
      <c r="AB152" s="67"/>
      <c r="AC152" s="67"/>
    </row>
    <row r="153" spans="1:68" x14ac:dyDescent="0.2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70"/>
      <c r="P153" s="666" t="s">
        <v>40</v>
      </c>
      <c r="Q153" s="667"/>
      <c r="R153" s="667"/>
      <c r="S153" s="667"/>
      <c r="T153" s="667"/>
      <c r="U153" s="667"/>
      <c r="V153" s="668"/>
      <c r="W153" s="42" t="s">
        <v>0</v>
      </c>
      <c r="X153" s="43">
        <f>IFERROR(SUM(X150:X151),"0")</f>
        <v>36.300000000000004</v>
      </c>
      <c r="Y153" s="43">
        <f>IFERROR(SUM(Y150:Y151),"0")</f>
        <v>36.96</v>
      </c>
      <c r="Z153" s="42"/>
      <c r="AA153" s="67"/>
      <c r="AB153" s="67"/>
      <c r="AC153" s="67"/>
    </row>
    <row r="154" spans="1:68" ht="16.5" hidden="1" customHeight="1" x14ac:dyDescent="0.25">
      <c r="A154" s="671" t="s">
        <v>278</v>
      </c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  <c r="AA154" s="65"/>
      <c r="AB154" s="65"/>
      <c r="AC154" s="79"/>
    </row>
    <row r="155" spans="1:68" ht="14.25" hidden="1" customHeight="1" x14ac:dyDescent="0.25">
      <c r="A155" s="672" t="s">
        <v>86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673">
        <v>4680115888203</v>
      </c>
      <c r="E156" s="67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5"/>
      <c r="R156" s="675"/>
      <c r="S156" s="675"/>
      <c r="T156" s="67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673">
        <v>4680115888180</v>
      </c>
      <c r="E157" s="67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9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673">
        <v>4680115888180</v>
      </c>
      <c r="E158" s="67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673">
        <v>4680115888197</v>
      </c>
      <c r="E159" s="67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5"/>
      <c r="R159" s="675"/>
      <c r="S159" s="675"/>
      <c r="T159" s="67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673">
        <v>4680115888197</v>
      </c>
      <c r="E160" s="67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5"/>
      <c r="R160" s="675"/>
      <c r="S160" s="675"/>
      <c r="T160" s="67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673">
        <v>4680115888210</v>
      </c>
      <c r="E161" s="67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5"/>
      <c r="R161" s="675"/>
      <c r="S161" s="675"/>
      <c r="T161" s="67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673">
        <v>4680115888210</v>
      </c>
      <c r="E162" s="67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70"/>
      <c r="P163" s="666" t="s">
        <v>40</v>
      </c>
      <c r="Q163" s="667"/>
      <c r="R163" s="667"/>
      <c r="S163" s="667"/>
      <c r="T163" s="667"/>
      <c r="U163" s="667"/>
      <c r="V163" s="668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70"/>
      <c r="P164" s="666" t="s">
        <v>40</v>
      </c>
      <c r="Q164" s="667"/>
      <c r="R164" s="667"/>
      <c r="S164" s="667"/>
      <c r="T164" s="667"/>
      <c r="U164" s="667"/>
      <c r="V164" s="668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72" t="s">
        <v>294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673">
        <v>4680115889132</v>
      </c>
      <c r="E166" s="67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70"/>
      <c r="P167" s="666" t="s">
        <v>40</v>
      </c>
      <c r="Q167" s="667"/>
      <c r="R167" s="667"/>
      <c r="S167" s="667"/>
      <c r="T167" s="667"/>
      <c r="U167" s="667"/>
      <c r="V167" s="668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70"/>
      <c r="P168" s="666" t="s">
        <v>40</v>
      </c>
      <c r="Q168" s="667"/>
      <c r="R168" s="667"/>
      <c r="S168" s="667"/>
      <c r="T168" s="667"/>
      <c r="U168" s="667"/>
      <c r="V168" s="668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671" t="s">
        <v>120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"/>
      <c r="AB169" s="65"/>
      <c r="AC169" s="79"/>
    </row>
    <row r="170" spans="1:68" ht="14.25" hidden="1" customHeight="1" x14ac:dyDescent="0.25">
      <c r="A170" s="672" t="s">
        <v>122</v>
      </c>
      <c r="B170" s="672"/>
      <c r="C170" s="672"/>
      <c r="D170" s="672"/>
      <c r="E170" s="672"/>
      <c r="F170" s="672"/>
      <c r="G170" s="672"/>
      <c r="H170" s="672"/>
      <c r="I170" s="672"/>
      <c r="J170" s="672"/>
      <c r="K170" s="672"/>
      <c r="L170" s="672"/>
      <c r="M170" s="672"/>
      <c r="N170" s="672"/>
      <c r="O170" s="672"/>
      <c r="P170" s="672"/>
      <c r="Q170" s="672"/>
      <c r="R170" s="672"/>
      <c r="S170" s="672"/>
      <c r="T170" s="672"/>
      <c r="U170" s="672"/>
      <c r="V170" s="672"/>
      <c r="W170" s="672"/>
      <c r="X170" s="672"/>
      <c r="Y170" s="672"/>
      <c r="Z170" s="672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673">
        <v>4680115887374</v>
      </c>
      <c r="E171" s="67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673">
        <v>4607091384604</v>
      </c>
      <c r="E172" s="67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673">
        <v>4680115888876</v>
      </c>
      <c r="E173" s="67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8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70"/>
      <c r="P174" s="666" t="s">
        <v>40</v>
      </c>
      <c r="Q174" s="667"/>
      <c r="R174" s="667"/>
      <c r="S174" s="667"/>
      <c r="T174" s="667"/>
      <c r="U174" s="667"/>
      <c r="V174" s="668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70"/>
      <c r="P175" s="666" t="s">
        <v>40</v>
      </c>
      <c r="Q175" s="667"/>
      <c r="R175" s="667"/>
      <c r="S175" s="667"/>
      <c r="T175" s="667"/>
      <c r="U175" s="667"/>
      <c r="V175" s="668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72" t="s">
        <v>155</v>
      </c>
      <c r="B176" s="672"/>
      <c r="C176" s="672"/>
      <c r="D176" s="672"/>
      <c r="E176" s="672"/>
      <c r="F176" s="672"/>
      <c r="G176" s="672"/>
      <c r="H176" s="672"/>
      <c r="I176" s="672"/>
      <c r="J176" s="672"/>
      <c r="K176" s="672"/>
      <c r="L176" s="672"/>
      <c r="M176" s="672"/>
      <c r="N176" s="672"/>
      <c r="O176" s="672"/>
      <c r="P176" s="672"/>
      <c r="Q176" s="672"/>
      <c r="R176" s="672"/>
      <c r="S176" s="672"/>
      <c r="T176" s="672"/>
      <c r="U176" s="672"/>
      <c r="V176" s="672"/>
      <c r="W176" s="672"/>
      <c r="X176" s="672"/>
      <c r="Y176" s="672"/>
      <c r="Z176" s="672"/>
      <c r="AA176" s="66"/>
      <c r="AB176" s="66"/>
      <c r="AC176" s="80"/>
    </row>
    <row r="177" spans="1:68" ht="16.5" customHeight="1" x14ac:dyDescent="0.25">
      <c r="A177" s="63" t="s">
        <v>310</v>
      </c>
      <c r="B177" s="63" t="s">
        <v>311</v>
      </c>
      <c r="C177" s="36">
        <v>4301020410</v>
      </c>
      <c r="D177" s="673">
        <v>4680115887695</v>
      </c>
      <c r="E177" s="67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5"/>
      <c r="R177" s="675"/>
      <c r="S177" s="675"/>
      <c r="T177" s="676"/>
      <c r="U177" s="39" t="s">
        <v>46</v>
      </c>
      <c r="V177" s="39" t="s">
        <v>46</v>
      </c>
      <c r="W177" s="40" t="s">
        <v>0</v>
      </c>
      <c r="X177" s="58">
        <v>12</v>
      </c>
      <c r="Y177" s="55">
        <f>IFERROR(IF(X177="",0,CEILING((X177/$H177),1)*$H177),"")</f>
        <v>12.24</v>
      </c>
      <c r="Z177" s="41">
        <f>IFERROR(IF(Y177=0,"",ROUNDUP(Y177/H177,0)*0.00556),"")</f>
        <v>9.4519999999999993E-2</v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14.166666666666666</v>
      </c>
      <c r="BN177" s="78">
        <f>IFERROR(Y177*I177/H177,"0")</f>
        <v>14.450000000000001</v>
      </c>
      <c r="BO177" s="78">
        <f>IFERROR(1/J177*(X177/H177),"0")</f>
        <v>6.6137566137566134E-2</v>
      </c>
      <c r="BP177" s="78">
        <f>IFERROR(1/J177*(Y177/H177),"0")</f>
        <v>6.7460317460317457E-2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673">
        <v>4680115889491</v>
      </c>
      <c r="E178" s="67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5"/>
      <c r="R178" s="675"/>
      <c r="S178" s="675"/>
      <c r="T178" s="67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x14ac:dyDescent="0.2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70"/>
      <c r="P179" s="666" t="s">
        <v>40</v>
      </c>
      <c r="Q179" s="667"/>
      <c r="R179" s="667"/>
      <c r="S179" s="667"/>
      <c r="T179" s="667"/>
      <c r="U179" s="667"/>
      <c r="V179" s="668"/>
      <c r="W179" s="42" t="s">
        <v>39</v>
      </c>
      <c r="X179" s="43">
        <f>IFERROR(X177/H177,"0")+IFERROR(X178/H178,"0")</f>
        <v>16.666666666666668</v>
      </c>
      <c r="Y179" s="43">
        <f>IFERROR(Y177/H177,"0")+IFERROR(Y178/H178,"0")</f>
        <v>17</v>
      </c>
      <c r="Z179" s="43">
        <f>IFERROR(IF(Z177="",0,Z177),"0")+IFERROR(IF(Z178="",0,Z178),"0")</f>
        <v>9.4519999999999993E-2</v>
      </c>
      <c r="AA179" s="67"/>
      <c r="AB179" s="67"/>
      <c r="AC179" s="67"/>
    </row>
    <row r="180" spans="1:68" x14ac:dyDescent="0.2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70"/>
      <c r="P180" s="666" t="s">
        <v>40</v>
      </c>
      <c r="Q180" s="667"/>
      <c r="R180" s="667"/>
      <c r="S180" s="667"/>
      <c r="T180" s="667"/>
      <c r="U180" s="667"/>
      <c r="V180" s="668"/>
      <c r="W180" s="42" t="s">
        <v>0</v>
      </c>
      <c r="X180" s="43">
        <f>IFERROR(SUM(X177:X178),"0")</f>
        <v>12</v>
      </c>
      <c r="Y180" s="43">
        <f>IFERROR(SUM(Y177:Y178),"0")</f>
        <v>12.24</v>
      </c>
      <c r="Z180" s="42"/>
      <c r="AA180" s="67"/>
      <c r="AB180" s="67"/>
      <c r="AC180" s="67"/>
    </row>
    <row r="181" spans="1:68" ht="14.25" hidden="1" customHeight="1" x14ac:dyDescent="0.25">
      <c r="A181" s="672" t="s">
        <v>77</v>
      </c>
      <c r="B181" s="672"/>
      <c r="C181" s="672"/>
      <c r="D181" s="672"/>
      <c r="E181" s="672"/>
      <c r="F181" s="672"/>
      <c r="G181" s="672"/>
      <c r="H181" s="672"/>
      <c r="I181" s="672"/>
      <c r="J181" s="672"/>
      <c r="K181" s="672"/>
      <c r="L181" s="672"/>
      <c r="M181" s="672"/>
      <c r="N181" s="672"/>
      <c r="O181" s="672"/>
      <c r="P181" s="672"/>
      <c r="Q181" s="672"/>
      <c r="R181" s="672"/>
      <c r="S181" s="672"/>
      <c r="T181" s="672"/>
      <c r="U181" s="672"/>
      <c r="V181" s="672"/>
      <c r="W181" s="672"/>
      <c r="X181" s="672"/>
      <c r="Y181" s="672"/>
      <c r="Z181" s="672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673">
        <v>4680115887428</v>
      </c>
      <c r="E182" s="67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5"/>
      <c r="R182" s="675"/>
      <c r="S182" s="675"/>
      <c r="T182" s="676"/>
      <c r="U182" s="39" t="s">
        <v>46</v>
      </c>
      <c r="V182" s="39" t="s">
        <v>46</v>
      </c>
      <c r="W182" s="40" t="s">
        <v>0</v>
      </c>
      <c r="X182" s="58">
        <v>200</v>
      </c>
      <c r="Y182" s="55">
        <f t="shared" ref="Y182:Y195" si="27">IFERROR(IF(X182="",0,CEILING((X182/$H182),1)*$H182),"")</f>
        <v>203</v>
      </c>
      <c r="Z182" s="41">
        <f t="shared" ref="Z182:Z187" si="28">IFERROR(IF(Y182=0,"",ROUNDUP(Y182/H182,0)*0.00902),"")</f>
        <v>0.52316000000000007</v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210.85714285714286</v>
      </c>
      <c r="BN182" s="78">
        <f t="shared" ref="BN182:BN195" si="30">IFERROR(Y182*I182/H182,"0")</f>
        <v>214.01999999999998</v>
      </c>
      <c r="BO182" s="78">
        <f t="shared" ref="BO182:BO195" si="31">IFERROR(1/J182*(X182/H182),"0")</f>
        <v>0.43290043290043295</v>
      </c>
      <c r="BP182" s="78">
        <f t="shared" ref="BP182:BP195" si="32">IFERROR(1/J182*(Y182/H182),"0")</f>
        <v>0.43939393939393939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673">
        <v>4680115889170</v>
      </c>
      <c r="E183" s="67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5"/>
      <c r="R183" s="675"/>
      <c r="S183" s="675"/>
      <c r="T183" s="67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673">
        <v>4680115887398</v>
      </c>
      <c r="E184" s="67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5"/>
      <c r="R184" s="675"/>
      <c r="S184" s="675"/>
      <c r="T184" s="676"/>
      <c r="U184" s="39" t="s">
        <v>46</v>
      </c>
      <c r="V184" s="39" t="s">
        <v>46</v>
      </c>
      <c r="W184" s="40" t="s">
        <v>0</v>
      </c>
      <c r="X184" s="58">
        <v>400</v>
      </c>
      <c r="Y184" s="55">
        <f t="shared" si="27"/>
        <v>402.5</v>
      </c>
      <c r="Z184" s="41">
        <f t="shared" si="28"/>
        <v>1.0373000000000001</v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421.71428571428572</v>
      </c>
      <c r="BN184" s="78">
        <f t="shared" si="30"/>
        <v>424.34999999999997</v>
      </c>
      <c r="BO184" s="78">
        <f t="shared" si="31"/>
        <v>0.8658008658008659</v>
      </c>
      <c r="BP184" s="78">
        <f t="shared" si="32"/>
        <v>0.87121212121212122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673">
        <v>4680115887398</v>
      </c>
      <c r="E185" s="67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4" t="s">
        <v>326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customHeight="1" x14ac:dyDescent="0.25">
      <c r="A186" s="63" t="s">
        <v>328</v>
      </c>
      <c r="B186" s="63" t="s">
        <v>329</v>
      </c>
      <c r="C186" s="36">
        <v>4301031497</v>
      </c>
      <c r="D186" s="673">
        <v>4680115887336</v>
      </c>
      <c r="E186" s="67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>
        <v>400</v>
      </c>
      <c r="Y186" s="55">
        <f t="shared" si="27"/>
        <v>402.5</v>
      </c>
      <c r="Z186" s="41">
        <f t="shared" si="28"/>
        <v>1.0373000000000001</v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421.71428571428572</v>
      </c>
      <c r="BN186" s="78">
        <f t="shared" si="30"/>
        <v>424.34999999999997</v>
      </c>
      <c r="BO186" s="78">
        <f t="shared" si="31"/>
        <v>0.8658008658008659</v>
      </c>
      <c r="BP186" s="78">
        <f t="shared" si="32"/>
        <v>0.87121212121212122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673">
        <v>4680115887336</v>
      </c>
      <c r="E187" s="67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6" t="s">
        <v>332</v>
      </c>
      <c r="Q187" s="675"/>
      <c r="R187" s="675"/>
      <c r="S187" s="675"/>
      <c r="T187" s="67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673">
        <v>4680115887787</v>
      </c>
      <c r="E188" s="67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5"/>
      <c r="R188" s="675"/>
      <c r="S188" s="675"/>
      <c r="T188" s="67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673">
        <v>4680115887787</v>
      </c>
      <c r="E189" s="67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8" t="s">
        <v>338</v>
      </c>
      <c r="Q189" s="675"/>
      <c r="R189" s="675"/>
      <c r="S189" s="675"/>
      <c r="T189" s="67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673">
        <v>4680115887503</v>
      </c>
      <c r="E190" s="67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673">
        <v>4680115887763</v>
      </c>
      <c r="E191" s="67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5"/>
      <c r="R191" s="675"/>
      <c r="S191" s="675"/>
      <c r="T191" s="67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673">
        <v>4680115887480</v>
      </c>
      <c r="E192" s="67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5"/>
      <c r="R192" s="675"/>
      <c r="S192" s="675"/>
      <c r="T192" s="676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673">
        <v>4680115887480</v>
      </c>
      <c r="E193" s="67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6" t="s">
        <v>347</v>
      </c>
      <c r="Q193" s="675"/>
      <c r="R193" s="675"/>
      <c r="S193" s="675"/>
      <c r="T193" s="67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673">
        <v>4680115888067</v>
      </c>
      <c r="E194" s="67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5"/>
      <c r="R194" s="675"/>
      <c r="S194" s="675"/>
      <c r="T194" s="67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673">
        <v>4680115887435</v>
      </c>
      <c r="E195" s="67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5"/>
      <c r="R195" s="675"/>
      <c r="S195" s="675"/>
      <c r="T195" s="676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x14ac:dyDescent="0.2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70"/>
      <c r="P196" s="666" t="s">
        <v>40</v>
      </c>
      <c r="Q196" s="667"/>
      <c r="R196" s="667"/>
      <c r="S196" s="667"/>
      <c r="T196" s="667"/>
      <c r="U196" s="667"/>
      <c r="V196" s="668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285.71428571428572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288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2.5977600000000001</v>
      </c>
      <c r="AA196" s="67"/>
      <c r="AB196" s="67"/>
      <c r="AC196" s="67"/>
    </row>
    <row r="197" spans="1:68" x14ac:dyDescent="0.2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70"/>
      <c r="P197" s="666" t="s">
        <v>40</v>
      </c>
      <c r="Q197" s="667"/>
      <c r="R197" s="667"/>
      <c r="S197" s="667"/>
      <c r="T197" s="667"/>
      <c r="U197" s="667"/>
      <c r="V197" s="668"/>
      <c r="W197" s="42" t="s">
        <v>0</v>
      </c>
      <c r="X197" s="43">
        <f>IFERROR(SUM(X182:X195),"0")</f>
        <v>1000</v>
      </c>
      <c r="Y197" s="43">
        <f>IFERROR(SUM(Y182:Y195),"0")</f>
        <v>1008</v>
      </c>
      <c r="Z197" s="42"/>
      <c r="AA197" s="67"/>
      <c r="AB197" s="67"/>
      <c r="AC197" s="67"/>
    </row>
    <row r="198" spans="1:68" ht="14.25" hidden="1" customHeight="1" x14ac:dyDescent="0.25">
      <c r="A198" s="672" t="s">
        <v>86</v>
      </c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72"/>
      <c r="P198" s="672"/>
      <c r="Q198" s="672"/>
      <c r="R198" s="672"/>
      <c r="S198" s="672"/>
      <c r="T198" s="672"/>
      <c r="U198" s="672"/>
      <c r="V198" s="672"/>
      <c r="W198" s="672"/>
      <c r="X198" s="672"/>
      <c r="Y198" s="672"/>
      <c r="Z198" s="67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673">
        <v>4680115888395</v>
      </c>
      <c r="E199" s="67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673">
        <v>4680115888371</v>
      </c>
      <c r="E200" s="67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7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5"/>
      <c r="R200" s="675"/>
      <c r="S200" s="675"/>
      <c r="T200" s="67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673">
        <v>4680115887459</v>
      </c>
      <c r="E201" s="67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5"/>
      <c r="R201" s="675"/>
      <c r="S201" s="675"/>
      <c r="T201" s="67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70"/>
      <c r="P202" s="666" t="s">
        <v>40</v>
      </c>
      <c r="Q202" s="667"/>
      <c r="R202" s="667"/>
      <c r="S202" s="667"/>
      <c r="T202" s="667"/>
      <c r="U202" s="667"/>
      <c r="V202" s="668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70"/>
      <c r="P203" s="666" t="s">
        <v>40</v>
      </c>
      <c r="Q203" s="667"/>
      <c r="R203" s="667"/>
      <c r="S203" s="667"/>
      <c r="T203" s="667"/>
      <c r="U203" s="667"/>
      <c r="V203" s="668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72" t="s">
        <v>294</v>
      </c>
      <c r="B204" s="672"/>
      <c r="C204" s="672"/>
      <c r="D204" s="672"/>
      <c r="E204" s="672"/>
      <c r="F204" s="672"/>
      <c r="G204" s="672"/>
      <c r="H204" s="672"/>
      <c r="I204" s="672"/>
      <c r="J204" s="672"/>
      <c r="K204" s="672"/>
      <c r="L204" s="672"/>
      <c r="M204" s="672"/>
      <c r="N204" s="672"/>
      <c r="O204" s="672"/>
      <c r="P204" s="672"/>
      <c r="Q204" s="672"/>
      <c r="R204" s="672"/>
      <c r="S204" s="672"/>
      <c r="T204" s="672"/>
      <c r="U204" s="672"/>
      <c r="V204" s="672"/>
      <c r="W204" s="672"/>
      <c r="X204" s="672"/>
      <c r="Y204" s="672"/>
      <c r="Z204" s="67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673">
        <v>4680115889026</v>
      </c>
      <c r="E205" s="67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5"/>
      <c r="R205" s="675"/>
      <c r="S205" s="675"/>
      <c r="T205" s="67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70"/>
      <c r="P206" s="666" t="s">
        <v>40</v>
      </c>
      <c r="Q206" s="667"/>
      <c r="R206" s="667"/>
      <c r="S206" s="667"/>
      <c r="T206" s="667"/>
      <c r="U206" s="667"/>
      <c r="V206" s="668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70"/>
      <c r="P207" s="666" t="s">
        <v>40</v>
      </c>
      <c r="Q207" s="667"/>
      <c r="R207" s="667"/>
      <c r="S207" s="667"/>
      <c r="T207" s="667"/>
      <c r="U207" s="667"/>
      <c r="V207" s="668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672" t="s">
        <v>366</v>
      </c>
      <c r="B208" s="672"/>
      <c r="C208" s="672"/>
      <c r="D208" s="672"/>
      <c r="E208" s="672"/>
      <c r="F208" s="672"/>
      <c r="G208" s="672"/>
      <c r="H208" s="672"/>
      <c r="I208" s="672"/>
      <c r="J208" s="672"/>
      <c r="K208" s="672"/>
      <c r="L208" s="672"/>
      <c r="M208" s="672"/>
      <c r="N208" s="672"/>
      <c r="O208" s="672"/>
      <c r="P208" s="672"/>
      <c r="Q208" s="672"/>
      <c r="R208" s="672"/>
      <c r="S208" s="672"/>
      <c r="T208" s="672"/>
      <c r="U208" s="672"/>
      <c r="V208" s="672"/>
      <c r="W208" s="672"/>
      <c r="X208" s="672"/>
      <c r="Y208" s="672"/>
      <c r="Z208" s="67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673">
        <v>4680115889033</v>
      </c>
      <c r="E209" s="67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70"/>
      <c r="P210" s="666" t="s">
        <v>40</v>
      </c>
      <c r="Q210" s="667"/>
      <c r="R210" s="667"/>
      <c r="S210" s="667"/>
      <c r="T210" s="667"/>
      <c r="U210" s="667"/>
      <c r="V210" s="668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70"/>
      <c r="P211" s="666" t="s">
        <v>40</v>
      </c>
      <c r="Q211" s="667"/>
      <c r="R211" s="667"/>
      <c r="S211" s="667"/>
      <c r="T211" s="667"/>
      <c r="U211" s="667"/>
      <c r="V211" s="668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686" t="s">
        <v>370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54"/>
      <c r="AB212" s="54"/>
      <c r="AC212" s="54"/>
    </row>
    <row r="213" spans="1:68" ht="16.5" hidden="1" customHeight="1" x14ac:dyDescent="0.25">
      <c r="A213" s="671" t="s">
        <v>371</v>
      </c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  <c r="AA213" s="65"/>
      <c r="AB213" s="65"/>
      <c r="AC213" s="79"/>
    </row>
    <row r="214" spans="1:68" ht="14.25" hidden="1" customHeight="1" x14ac:dyDescent="0.25">
      <c r="A214" s="672" t="s">
        <v>122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673">
        <v>4607091383423</v>
      </c>
      <c r="E215" s="67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673">
        <v>4680115888760</v>
      </c>
      <c r="E216" s="67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673">
        <v>4680115888807</v>
      </c>
      <c r="E217" s="67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673">
        <v>4680115888852</v>
      </c>
      <c r="E218" s="67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673">
        <v>4680115886957</v>
      </c>
      <c r="E219" s="67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customHeight="1" x14ac:dyDescent="0.25">
      <c r="A220" s="63" t="s">
        <v>386</v>
      </c>
      <c r="B220" s="63" t="s">
        <v>387</v>
      </c>
      <c r="C220" s="36">
        <v>4301012098</v>
      </c>
      <c r="D220" s="673">
        <v>4680115885660</v>
      </c>
      <c r="E220" s="67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6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250</v>
      </c>
      <c r="Y220" s="55">
        <f t="shared" si="33"/>
        <v>259.20000000000005</v>
      </c>
      <c r="Z220" s="41">
        <f t="shared" si="34"/>
        <v>0.45552000000000004</v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259.4907407407407</v>
      </c>
      <c r="BN220" s="78">
        <f t="shared" si="36"/>
        <v>269.04000000000002</v>
      </c>
      <c r="BO220" s="78">
        <f t="shared" si="37"/>
        <v>0.36168981481481477</v>
      </c>
      <c r="BP220" s="78">
        <f t="shared" si="38"/>
        <v>0.37500000000000006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673">
        <v>4680115886773</v>
      </c>
      <c r="E221" s="67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6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x14ac:dyDescent="0.2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70"/>
      <c r="P222" s="666" t="s">
        <v>40</v>
      </c>
      <c r="Q222" s="667"/>
      <c r="R222" s="667"/>
      <c r="S222" s="667"/>
      <c r="T222" s="667"/>
      <c r="U222" s="667"/>
      <c r="V222" s="668"/>
      <c r="W222" s="42" t="s">
        <v>39</v>
      </c>
      <c r="X222" s="43">
        <f>IFERROR(X215/H215,"0")+IFERROR(X216/H216,"0")+IFERROR(X217/H217,"0")+IFERROR(X218/H218,"0")+IFERROR(X219/H219,"0")+IFERROR(X220/H220,"0")+IFERROR(X221/H221,"0")</f>
        <v>23.148148148148145</v>
      </c>
      <c r="Y222" s="43">
        <f>IFERROR(Y215/H215,"0")+IFERROR(Y216/H216,"0")+IFERROR(Y217/H217,"0")+IFERROR(Y218/H218,"0")+IFERROR(Y219/H219,"0")+IFERROR(Y220/H220,"0")+IFERROR(Y221/H221,"0")</f>
        <v>24.000000000000004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0.45552000000000004</v>
      </c>
      <c r="AA222" s="67"/>
      <c r="AB222" s="67"/>
      <c r="AC222" s="67"/>
    </row>
    <row r="223" spans="1:68" x14ac:dyDescent="0.2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70"/>
      <c r="P223" s="666" t="s">
        <v>40</v>
      </c>
      <c r="Q223" s="667"/>
      <c r="R223" s="667"/>
      <c r="S223" s="667"/>
      <c r="T223" s="667"/>
      <c r="U223" s="667"/>
      <c r="V223" s="668"/>
      <c r="W223" s="42" t="s">
        <v>0</v>
      </c>
      <c r="X223" s="43">
        <f>IFERROR(SUM(X215:X221),"0")</f>
        <v>250</v>
      </c>
      <c r="Y223" s="43">
        <f>IFERROR(SUM(Y215:Y221),"0")</f>
        <v>259.20000000000005</v>
      </c>
      <c r="Z223" s="42"/>
      <c r="AA223" s="67"/>
      <c r="AB223" s="67"/>
      <c r="AC223" s="67"/>
    </row>
    <row r="224" spans="1:68" ht="16.5" hidden="1" customHeight="1" x14ac:dyDescent="0.25">
      <c r="A224" s="671" t="s">
        <v>392</v>
      </c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  <c r="AA224" s="65"/>
      <c r="AB224" s="65"/>
      <c r="AC224" s="79"/>
    </row>
    <row r="225" spans="1:68" ht="14.25" hidden="1" customHeight="1" x14ac:dyDescent="0.25">
      <c r="A225" s="672" t="s">
        <v>155</v>
      </c>
      <c r="B225" s="672"/>
      <c r="C225" s="672"/>
      <c r="D225" s="672"/>
      <c r="E225" s="672"/>
      <c r="F225" s="672"/>
      <c r="G225" s="672"/>
      <c r="H225" s="672"/>
      <c r="I225" s="672"/>
      <c r="J225" s="672"/>
      <c r="K225" s="672"/>
      <c r="L225" s="672"/>
      <c r="M225" s="672"/>
      <c r="N225" s="672"/>
      <c r="O225" s="672"/>
      <c r="P225" s="672"/>
      <c r="Q225" s="672"/>
      <c r="R225" s="672"/>
      <c r="S225" s="672"/>
      <c r="T225" s="672"/>
      <c r="U225" s="672"/>
      <c r="V225" s="672"/>
      <c r="W225" s="672"/>
      <c r="X225" s="672"/>
      <c r="Y225" s="672"/>
      <c r="Z225" s="67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673">
        <v>4680115886223</v>
      </c>
      <c r="E226" s="67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70"/>
      <c r="P227" s="666" t="s">
        <v>40</v>
      </c>
      <c r="Q227" s="667"/>
      <c r="R227" s="667"/>
      <c r="S227" s="667"/>
      <c r="T227" s="667"/>
      <c r="U227" s="667"/>
      <c r="V227" s="668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70"/>
      <c r="P228" s="666" t="s">
        <v>40</v>
      </c>
      <c r="Q228" s="667"/>
      <c r="R228" s="667"/>
      <c r="S228" s="667"/>
      <c r="T228" s="667"/>
      <c r="U228" s="667"/>
      <c r="V228" s="668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72" t="s">
        <v>77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673">
        <v>4680115880993</v>
      </c>
      <c r="E230" s="67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customHeight="1" x14ac:dyDescent="0.25">
      <c r="A231" s="63" t="s">
        <v>399</v>
      </c>
      <c r="B231" s="63" t="s">
        <v>400</v>
      </c>
      <c r="C231" s="36">
        <v>4301031204</v>
      </c>
      <c r="D231" s="673">
        <v>4680115881761</v>
      </c>
      <c r="E231" s="67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40</v>
      </c>
      <c r="Y231" s="55">
        <f t="shared" si="39"/>
        <v>42</v>
      </c>
      <c r="Z231" s="41">
        <f>IFERROR(IF(Y231=0,"",ROUNDUP(Y231/H231,0)*0.00902),"")</f>
        <v>9.0200000000000002E-2</v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42.38095238095238</v>
      </c>
      <c r="BN231" s="78">
        <f t="shared" si="41"/>
        <v>44.5</v>
      </c>
      <c r="BO231" s="78">
        <f t="shared" si="42"/>
        <v>7.2150072150072145E-2</v>
      </c>
      <c r="BP231" s="78">
        <f t="shared" si="43"/>
        <v>7.575757575757576E-2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673">
        <v>4680115881563</v>
      </c>
      <c r="E232" s="67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customHeight="1" x14ac:dyDescent="0.25">
      <c r="A233" s="63" t="s">
        <v>405</v>
      </c>
      <c r="B233" s="63" t="s">
        <v>406</v>
      </c>
      <c r="C233" s="36">
        <v>4301031447</v>
      </c>
      <c r="D233" s="673">
        <v>4680115887565</v>
      </c>
      <c r="E233" s="67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5"/>
      <c r="R233" s="675"/>
      <c r="S233" s="675"/>
      <c r="T233" s="676"/>
      <c r="U233" s="39" t="s">
        <v>46</v>
      </c>
      <c r="V233" s="39" t="s">
        <v>46</v>
      </c>
      <c r="W233" s="40" t="s">
        <v>0</v>
      </c>
      <c r="X233" s="58">
        <v>8</v>
      </c>
      <c r="Y233" s="55">
        <f t="shared" si="39"/>
        <v>8</v>
      </c>
      <c r="Z233" s="41">
        <f>IFERROR(IF(Y233=0,"",ROUNDUP(Y233/H233,0)*0.00556),"")</f>
        <v>5.5599999999999997E-2</v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9.3000000000000007</v>
      </c>
      <c r="BN233" s="78">
        <f t="shared" si="41"/>
        <v>9.3000000000000007</v>
      </c>
      <c r="BO233" s="78">
        <f t="shared" si="42"/>
        <v>3.968253968253968E-2</v>
      </c>
      <c r="BP233" s="78">
        <f t="shared" si="43"/>
        <v>3.968253968253968E-2</v>
      </c>
    </row>
    <row r="234" spans="1:68" ht="27" customHeight="1" x14ac:dyDescent="0.25">
      <c r="A234" s="63" t="s">
        <v>408</v>
      </c>
      <c r="B234" s="63" t="s">
        <v>409</v>
      </c>
      <c r="C234" s="36">
        <v>4301031199</v>
      </c>
      <c r="D234" s="673">
        <v>4680115880986</v>
      </c>
      <c r="E234" s="67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5"/>
      <c r="R234" s="675"/>
      <c r="S234" s="675"/>
      <c r="T234" s="676"/>
      <c r="U234" s="39" t="s">
        <v>46</v>
      </c>
      <c r="V234" s="39" t="s">
        <v>46</v>
      </c>
      <c r="W234" s="40" t="s">
        <v>0</v>
      </c>
      <c r="X234" s="58">
        <v>70</v>
      </c>
      <c r="Y234" s="55">
        <f t="shared" si="39"/>
        <v>71.400000000000006</v>
      </c>
      <c r="Z234" s="41">
        <f t="shared" ref="Z234:Z239" si="44">IFERROR(IF(Y234=0,"",ROUNDUP(Y234/H234,0)*0.00502),"")</f>
        <v>0.17068</v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74.333333333333329</v>
      </c>
      <c r="BN234" s="78">
        <f t="shared" si="41"/>
        <v>75.820000000000007</v>
      </c>
      <c r="BO234" s="78">
        <f t="shared" si="42"/>
        <v>0.14245014245014245</v>
      </c>
      <c r="BP234" s="78">
        <f t="shared" si="43"/>
        <v>0.14529914529914531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673">
        <v>4680115887213</v>
      </c>
      <c r="E235" s="67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5"/>
      <c r="R235" s="675"/>
      <c r="S235" s="675"/>
      <c r="T235" s="67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customHeight="1" x14ac:dyDescent="0.25">
      <c r="A236" s="63" t="s">
        <v>413</v>
      </c>
      <c r="B236" s="63" t="s">
        <v>414</v>
      </c>
      <c r="C236" s="36">
        <v>4301031205</v>
      </c>
      <c r="D236" s="673">
        <v>4680115881785</v>
      </c>
      <c r="E236" s="67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175</v>
      </c>
      <c r="Y236" s="55">
        <f t="shared" si="39"/>
        <v>176.4</v>
      </c>
      <c r="Z236" s="41">
        <f t="shared" si="44"/>
        <v>0.42168</v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185.83333333333331</v>
      </c>
      <c r="BN236" s="78">
        <f t="shared" si="41"/>
        <v>187.32</v>
      </c>
      <c r="BO236" s="78">
        <f t="shared" si="42"/>
        <v>0.35612535612535612</v>
      </c>
      <c r="BP236" s="78">
        <f t="shared" si="43"/>
        <v>0.35897435897435903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673">
        <v>4680115888432</v>
      </c>
      <c r="E237" s="67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5"/>
      <c r="R237" s="675"/>
      <c r="S237" s="675"/>
      <c r="T237" s="67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673">
        <v>4680115888104</v>
      </c>
      <c r="E238" s="67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5"/>
      <c r="R238" s="675"/>
      <c r="S238" s="675"/>
      <c r="T238" s="67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673">
        <v>4680115886537</v>
      </c>
      <c r="E239" s="67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5"/>
      <c r="R239" s="675"/>
      <c r="S239" s="675"/>
      <c r="T239" s="67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customHeight="1" x14ac:dyDescent="0.25">
      <c r="A240" s="63" t="s">
        <v>424</v>
      </c>
      <c r="B240" s="63" t="s">
        <v>425</v>
      </c>
      <c r="C240" s="36">
        <v>4301031279</v>
      </c>
      <c r="D240" s="673">
        <v>4680115887596</v>
      </c>
      <c r="E240" s="67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5"/>
      <c r="R240" s="675"/>
      <c r="S240" s="675"/>
      <c r="T240" s="676"/>
      <c r="U240" s="39" t="s">
        <v>46</v>
      </c>
      <c r="V240" s="39" t="s">
        <v>46</v>
      </c>
      <c r="W240" s="40" t="s">
        <v>0</v>
      </c>
      <c r="X240" s="58">
        <v>8</v>
      </c>
      <c r="Y240" s="55">
        <f t="shared" si="39"/>
        <v>8</v>
      </c>
      <c r="Z240" s="41">
        <f>IFERROR(IF(Y240=0,"",ROUNDUP(Y240/H240,0)*0.00417),"")</f>
        <v>4.1700000000000001E-2</v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10.1</v>
      </c>
      <c r="BN240" s="78">
        <f t="shared" si="41"/>
        <v>10.1</v>
      </c>
      <c r="BO240" s="78">
        <f t="shared" si="42"/>
        <v>2.976190476190476E-2</v>
      </c>
      <c r="BP240" s="78">
        <f t="shared" si="43"/>
        <v>2.976190476190476E-2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673">
        <v>4680115881679</v>
      </c>
      <c r="E241" s="67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673">
        <v>4680115880191</v>
      </c>
      <c r="E242" s="67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673">
        <v>4680115883963</v>
      </c>
      <c r="E243" s="67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5"/>
      <c r="R243" s="675"/>
      <c r="S243" s="675"/>
      <c r="T243" s="67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x14ac:dyDescent="0.2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70"/>
      <c r="P244" s="666" t="s">
        <v>40</v>
      </c>
      <c r="Q244" s="667"/>
      <c r="R244" s="667"/>
      <c r="S244" s="667"/>
      <c r="T244" s="667"/>
      <c r="U244" s="667"/>
      <c r="V244" s="668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146.19047619047618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148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0.77985999999999989</v>
      </c>
      <c r="AA244" s="67"/>
      <c r="AB244" s="67"/>
      <c r="AC244" s="67"/>
    </row>
    <row r="245" spans="1:68" x14ac:dyDescent="0.2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70"/>
      <c r="P245" s="666" t="s">
        <v>40</v>
      </c>
      <c r="Q245" s="667"/>
      <c r="R245" s="667"/>
      <c r="S245" s="667"/>
      <c r="T245" s="667"/>
      <c r="U245" s="667"/>
      <c r="V245" s="668"/>
      <c r="W245" s="42" t="s">
        <v>0</v>
      </c>
      <c r="X245" s="43">
        <f>IFERROR(SUM(X230:X243),"0")</f>
        <v>301</v>
      </c>
      <c r="Y245" s="43">
        <f>IFERROR(SUM(Y230:Y243),"0")</f>
        <v>305.8</v>
      </c>
      <c r="Z245" s="42"/>
      <c r="AA245" s="67"/>
      <c r="AB245" s="67"/>
      <c r="AC245" s="67"/>
    </row>
    <row r="246" spans="1:68" ht="14.25" hidden="1" customHeight="1" x14ac:dyDescent="0.25">
      <c r="A246" s="672" t="s">
        <v>86</v>
      </c>
      <c r="B246" s="672"/>
      <c r="C246" s="672"/>
      <c r="D246" s="672"/>
      <c r="E246" s="672"/>
      <c r="F246" s="672"/>
      <c r="G246" s="672"/>
      <c r="H246" s="672"/>
      <c r="I246" s="672"/>
      <c r="J246" s="672"/>
      <c r="K246" s="672"/>
      <c r="L246" s="672"/>
      <c r="M246" s="672"/>
      <c r="N246" s="672"/>
      <c r="O246" s="672"/>
      <c r="P246" s="672"/>
      <c r="Q246" s="672"/>
      <c r="R246" s="672"/>
      <c r="S246" s="672"/>
      <c r="T246" s="672"/>
      <c r="U246" s="672"/>
      <c r="V246" s="672"/>
      <c r="W246" s="672"/>
      <c r="X246" s="672"/>
      <c r="Y246" s="672"/>
      <c r="Z246" s="67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673">
        <v>4680115888692</v>
      </c>
      <c r="E247" s="67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673">
        <v>4680115888722</v>
      </c>
      <c r="E248" s="67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5"/>
      <c r="R248" s="675"/>
      <c r="S248" s="675"/>
      <c r="T248" s="67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673">
        <v>4680115888951</v>
      </c>
      <c r="E249" s="67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5"/>
      <c r="R249" s="675"/>
      <c r="S249" s="675"/>
      <c r="T249" s="67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673">
        <v>4680115888975</v>
      </c>
      <c r="E250" s="67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5"/>
      <c r="R250" s="675"/>
      <c r="S250" s="675"/>
      <c r="T250" s="67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673">
        <v>4680115888982</v>
      </c>
      <c r="E251" s="67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70"/>
      <c r="P252" s="666" t="s">
        <v>40</v>
      </c>
      <c r="Q252" s="667"/>
      <c r="R252" s="667"/>
      <c r="S252" s="667"/>
      <c r="T252" s="667"/>
      <c r="U252" s="667"/>
      <c r="V252" s="668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70"/>
      <c r="P253" s="666" t="s">
        <v>40</v>
      </c>
      <c r="Q253" s="667"/>
      <c r="R253" s="667"/>
      <c r="S253" s="667"/>
      <c r="T253" s="667"/>
      <c r="U253" s="667"/>
      <c r="V253" s="668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72" t="s">
        <v>294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673">
        <v>4680115886780</v>
      </c>
      <c r="E255" s="67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3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673">
        <v>4680115886742</v>
      </c>
      <c r="E256" s="67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673">
        <v>4680115886766</v>
      </c>
      <c r="E257" s="67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70"/>
      <c r="P258" s="666" t="s">
        <v>40</v>
      </c>
      <c r="Q258" s="667"/>
      <c r="R258" s="667"/>
      <c r="S258" s="667"/>
      <c r="T258" s="667"/>
      <c r="U258" s="667"/>
      <c r="V258" s="668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70"/>
      <c r="P259" s="666" t="s">
        <v>40</v>
      </c>
      <c r="Q259" s="667"/>
      <c r="R259" s="667"/>
      <c r="S259" s="667"/>
      <c r="T259" s="667"/>
      <c r="U259" s="667"/>
      <c r="V259" s="668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72" t="s">
        <v>456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673">
        <v>4680115886797</v>
      </c>
      <c r="E261" s="67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5"/>
      <c r="R261" s="675"/>
      <c r="S261" s="675"/>
      <c r="T261" s="67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70"/>
      <c r="P262" s="666" t="s">
        <v>40</v>
      </c>
      <c r="Q262" s="667"/>
      <c r="R262" s="667"/>
      <c r="S262" s="667"/>
      <c r="T262" s="667"/>
      <c r="U262" s="667"/>
      <c r="V262" s="668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70"/>
      <c r="P263" s="666" t="s">
        <v>40</v>
      </c>
      <c r="Q263" s="667"/>
      <c r="R263" s="667"/>
      <c r="S263" s="667"/>
      <c r="T263" s="667"/>
      <c r="U263" s="667"/>
      <c r="V263" s="668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671" t="s">
        <v>459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"/>
      <c r="AB264" s="65"/>
      <c r="AC264" s="79"/>
    </row>
    <row r="265" spans="1:68" ht="14.25" hidden="1" customHeight="1" x14ac:dyDescent="0.25">
      <c r="A265" s="672" t="s">
        <v>122</v>
      </c>
      <c r="B265" s="672"/>
      <c r="C265" s="672"/>
      <c r="D265" s="672"/>
      <c r="E265" s="672"/>
      <c r="F265" s="672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673">
        <v>4680115881402</v>
      </c>
      <c r="E266" s="67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673">
        <v>4680115881396</v>
      </c>
      <c r="E267" s="67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70"/>
      <c r="P268" s="666" t="s">
        <v>40</v>
      </c>
      <c r="Q268" s="667"/>
      <c r="R268" s="667"/>
      <c r="S268" s="667"/>
      <c r="T268" s="667"/>
      <c r="U268" s="667"/>
      <c r="V268" s="668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70"/>
      <c r="P269" s="666" t="s">
        <v>40</v>
      </c>
      <c r="Q269" s="667"/>
      <c r="R269" s="667"/>
      <c r="S269" s="667"/>
      <c r="T269" s="667"/>
      <c r="U269" s="667"/>
      <c r="V269" s="668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72" t="s">
        <v>155</v>
      </c>
      <c r="B270" s="672"/>
      <c r="C270" s="672"/>
      <c r="D270" s="672"/>
      <c r="E270" s="672"/>
      <c r="F270" s="672"/>
      <c r="G270" s="672"/>
      <c r="H270" s="672"/>
      <c r="I270" s="672"/>
      <c r="J270" s="672"/>
      <c r="K270" s="672"/>
      <c r="L270" s="672"/>
      <c r="M270" s="672"/>
      <c r="N270" s="672"/>
      <c r="O270" s="672"/>
      <c r="P270" s="672"/>
      <c r="Q270" s="672"/>
      <c r="R270" s="672"/>
      <c r="S270" s="672"/>
      <c r="T270" s="672"/>
      <c r="U270" s="672"/>
      <c r="V270" s="672"/>
      <c r="W270" s="672"/>
      <c r="X270" s="672"/>
      <c r="Y270" s="672"/>
      <c r="Z270" s="67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673">
        <v>4680115882935</v>
      </c>
      <c r="E271" s="67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673">
        <v>4680115880764</v>
      </c>
      <c r="E272" s="67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70"/>
      <c r="P273" s="666" t="s">
        <v>40</v>
      </c>
      <c r="Q273" s="667"/>
      <c r="R273" s="667"/>
      <c r="S273" s="667"/>
      <c r="T273" s="667"/>
      <c r="U273" s="667"/>
      <c r="V273" s="668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70"/>
      <c r="P274" s="666" t="s">
        <v>40</v>
      </c>
      <c r="Q274" s="667"/>
      <c r="R274" s="667"/>
      <c r="S274" s="667"/>
      <c r="T274" s="667"/>
      <c r="U274" s="667"/>
      <c r="V274" s="668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72" t="s">
        <v>77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6"/>
      <c r="AB275" s="66"/>
      <c r="AC275" s="80"/>
    </row>
    <row r="276" spans="1:68" ht="27" hidden="1" customHeight="1" x14ac:dyDescent="0.25">
      <c r="A276" s="63" t="s">
        <v>470</v>
      </c>
      <c r="B276" s="63" t="s">
        <v>471</v>
      </c>
      <c r="C276" s="36">
        <v>4301031224</v>
      </c>
      <c r="D276" s="673">
        <v>4680115882683</v>
      </c>
      <c r="E276" s="67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5"/>
      <c r="R276" s="675"/>
      <c r="S276" s="675"/>
      <c r="T276" s="67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3" si="45"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0</v>
      </c>
      <c r="BN276" s="78">
        <f t="shared" ref="BN276:BN283" si="47">IFERROR(Y276*I276/H276,"0")</f>
        <v>0</v>
      </c>
      <c r="BO276" s="78">
        <f t="shared" ref="BO276:BO283" si="48">IFERROR(1/J276*(X276/H276),"0")</f>
        <v>0</v>
      </c>
      <c r="BP276" s="78">
        <f t="shared" ref="BP276:BP283" si="49">IFERROR(1/J276*(Y276/H276),"0")</f>
        <v>0</v>
      </c>
    </row>
    <row r="277" spans="1:68" ht="27" customHeight="1" x14ac:dyDescent="0.25">
      <c r="A277" s="63" t="s">
        <v>473</v>
      </c>
      <c r="B277" s="63" t="s">
        <v>474</v>
      </c>
      <c r="C277" s="36">
        <v>4301031230</v>
      </c>
      <c r="D277" s="673">
        <v>4680115882690</v>
      </c>
      <c r="E277" s="67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>
        <v>150</v>
      </c>
      <c r="Y277" s="55">
        <f t="shared" si="45"/>
        <v>151.20000000000002</v>
      </c>
      <c r="Z277" s="41">
        <f>IFERROR(IF(Y277=0,"",ROUNDUP(Y277/H277,0)*0.00902),"")</f>
        <v>0.25256000000000001</v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155.27777777777777</v>
      </c>
      <c r="BN277" s="78">
        <f t="shared" si="47"/>
        <v>156.52000000000001</v>
      </c>
      <c r="BO277" s="78">
        <f t="shared" si="48"/>
        <v>0.21043771043771042</v>
      </c>
      <c r="BP277" s="78">
        <f t="shared" si="49"/>
        <v>0.21212121212121213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4301031220</v>
      </c>
      <c r="D278" s="673">
        <v>4680115882669</v>
      </c>
      <c r="E278" s="67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5"/>
        <v>0</v>
      </c>
      <c r="Z278" s="41" t="str">
        <f>IFERROR(IF(Y278=0,"",ROUNDUP(Y278/H278,0)*0.00902),"")</f>
        <v/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0</v>
      </c>
      <c r="BN278" s="78">
        <f t="shared" si="47"/>
        <v>0</v>
      </c>
      <c r="BO278" s="78">
        <f t="shared" si="48"/>
        <v>0</v>
      </c>
      <c r="BP278" s="78">
        <f t="shared" si="49"/>
        <v>0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673">
        <v>4680115882676</v>
      </c>
      <c r="E279" s="67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5"/>
      <c r="R279" s="675"/>
      <c r="S279" s="675"/>
      <c r="T279" s="676"/>
      <c r="U279" s="39" t="s">
        <v>46</v>
      </c>
      <c r="V279" s="39" t="s">
        <v>46</v>
      </c>
      <c r="W279" s="40" t="s">
        <v>0</v>
      </c>
      <c r="X279" s="58">
        <v>150</v>
      </c>
      <c r="Y279" s="55">
        <f t="shared" si="45"/>
        <v>151.20000000000002</v>
      </c>
      <c r="Z279" s="41">
        <f>IFERROR(IF(Y279=0,"",ROUNDUP(Y279/H279,0)*0.00902),"")</f>
        <v>0.25256000000000001</v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155.27777777777777</v>
      </c>
      <c r="BN279" s="78">
        <f t="shared" si="47"/>
        <v>156.52000000000001</v>
      </c>
      <c r="BO279" s="78">
        <f t="shared" si="48"/>
        <v>0.21043771043771042</v>
      </c>
      <c r="BP279" s="78">
        <f t="shared" si="49"/>
        <v>0.21212121212121213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673">
        <v>4680115884014</v>
      </c>
      <c r="E280" s="67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5"/>
      <c r="R280" s="675"/>
      <c r="S280" s="675"/>
      <c r="T280" s="67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673">
        <v>4680115884007</v>
      </c>
      <c r="E281" s="67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5"/>
      <c r="R281" s="675"/>
      <c r="S281" s="675"/>
      <c r="T281" s="67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673">
        <v>4680115884038</v>
      </c>
      <c r="E282" s="67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5"/>
      <c r="R282" s="675"/>
      <c r="S282" s="675"/>
      <c r="T282" s="67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673">
        <v>4680115884021</v>
      </c>
      <c r="E283" s="67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x14ac:dyDescent="0.2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70"/>
      <c r="P284" s="666" t="s">
        <v>40</v>
      </c>
      <c r="Q284" s="667"/>
      <c r="R284" s="667"/>
      <c r="S284" s="667"/>
      <c r="T284" s="667"/>
      <c r="U284" s="667"/>
      <c r="V284" s="668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55.55555555555555</v>
      </c>
      <c r="Y284" s="43">
        <f>IFERROR(Y276/H276,"0")+IFERROR(Y277/H277,"0")+IFERROR(Y278/H278,"0")+IFERROR(Y279/H279,"0")+IFERROR(Y280/H280,"0")+IFERROR(Y281/H281,"0")+IFERROR(Y282/H282,"0")+IFERROR(Y283/H283,"0")</f>
        <v>56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0.50512000000000001</v>
      </c>
      <c r="AA284" s="67"/>
      <c r="AB284" s="67"/>
      <c r="AC284" s="67"/>
    </row>
    <row r="285" spans="1:68" x14ac:dyDescent="0.2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70"/>
      <c r="P285" s="666" t="s">
        <v>40</v>
      </c>
      <c r="Q285" s="667"/>
      <c r="R285" s="667"/>
      <c r="S285" s="667"/>
      <c r="T285" s="667"/>
      <c r="U285" s="667"/>
      <c r="V285" s="668"/>
      <c r="W285" s="42" t="s">
        <v>0</v>
      </c>
      <c r="X285" s="43">
        <f>IFERROR(SUM(X276:X283),"0")</f>
        <v>300</v>
      </c>
      <c r="Y285" s="43">
        <f>IFERROR(SUM(Y276:Y283),"0")</f>
        <v>302.40000000000003</v>
      </c>
      <c r="Z285" s="42"/>
      <c r="AA285" s="67"/>
      <c r="AB285" s="67"/>
      <c r="AC285" s="67"/>
    </row>
    <row r="286" spans="1:68" ht="14.25" hidden="1" customHeight="1" x14ac:dyDescent="0.25">
      <c r="A286" s="672" t="s">
        <v>86</v>
      </c>
      <c r="B286" s="672"/>
      <c r="C286" s="672"/>
      <c r="D286" s="672"/>
      <c r="E286" s="672"/>
      <c r="F286" s="672"/>
      <c r="G286" s="672"/>
      <c r="H286" s="672"/>
      <c r="I286" s="672"/>
      <c r="J286" s="672"/>
      <c r="K286" s="672"/>
      <c r="L286" s="672"/>
      <c r="M286" s="672"/>
      <c r="N286" s="672"/>
      <c r="O286" s="672"/>
      <c r="P286" s="672"/>
      <c r="Q286" s="672"/>
      <c r="R286" s="672"/>
      <c r="S286" s="672"/>
      <c r="T286" s="672"/>
      <c r="U286" s="672"/>
      <c r="V286" s="672"/>
      <c r="W286" s="672"/>
      <c r="X286" s="672"/>
      <c r="Y286" s="672"/>
      <c r="Z286" s="672"/>
      <c r="AA286" s="66"/>
      <c r="AB286" s="66"/>
      <c r="AC286" s="80"/>
    </row>
    <row r="287" spans="1:68" ht="27" customHeight="1" x14ac:dyDescent="0.25">
      <c r="A287" s="63" t="s">
        <v>490</v>
      </c>
      <c r="B287" s="63" t="s">
        <v>491</v>
      </c>
      <c r="C287" s="36">
        <v>4301051408</v>
      </c>
      <c r="D287" s="673">
        <v>4680115881594</v>
      </c>
      <c r="E287" s="67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>
        <v>300</v>
      </c>
      <c r="Y287" s="55">
        <f t="shared" ref="Y287:Y298" si="50">IFERROR(IF(X287="",0,CEILING((X287/$H287),1)*$H287),"")</f>
        <v>307.8</v>
      </c>
      <c r="Z287" s="41">
        <f>IFERROR(IF(Y287=0,"",ROUNDUP(Y287/H287,0)*0.01898),"")</f>
        <v>0.72123999999999999</v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318.2962962962963</v>
      </c>
      <c r="BN287" s="78">
        <f t="shared" ref="BN287:BN298" si="52">IFERROR(Y287*I287/H287,"0")</f>
        <v>326.572</v>
      </c>
      <c r="BO287" s="78">
        <f t="shared" ref="BO287:BO298" si="53">IFERROR(1/J287*(X287/H287),"0")</f>
        <v>0.57870370370370372</v>
      </c>
      <c r="BP287" s="78">
        <f t="shared" ref="BP287:BP298" si="54">IFERROR(1/J287*(Y287/H287),"0")</f>
        <v>0.59375</v>
      </c>
    </row>
    <row r="288" spans="1:68" ht="27" customHeight="1" x14ac:dyDescent="0.25">
      <c r="A288" s="63" t="s">
        <v>493</v>
      </c>
      <c r="B288" s="63" t="s">
        <v>494</v>
      </c>
      <c r="C288" s="36">
        <v>4301051411</v>
      </c>
      <c r="D288" s="673">
        <v>4680115881617</v>
      </c>
      <c r="E288" s="67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>
        <v>300</v>
      </c>
      <c r="Y288" s="55">
        <f t="shared" si="50"/>
        <v>307.8</v>
      </c>
      <c r="Z288" s="41">
        <f>IFERROR(IF(Y288=0,"",ROUNDUP(Y288/H288,0)*0.01898),"")</f>
        <v>0.72123999999999999</v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317.62962962962968</v>
      </c>
      <c r="BN288" s="78">
        <f t="shared" si="52"/>
        <v>325.88800000000003</v>
      </c>
      <c r="BO288" s="78">
        <f t="shared" si="53"/>
        <v>0.57870370370370372</v>
      </c>
      <c r="BP288" s="78">
        <f t="shared" si="54"/>
        <v>0.59375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673">
        <v>4680115880573</v>
      </c>
      <c r="E289" s="67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673">
        <v>4680115882195</v>
      </c>
      <c r="E290" s="67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5"/>
      <c r="R290" s="675"/>
      <c r="S290" s="675"/>
      <c r="T290" s="67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673">
        <v>4680115882607</v>
      </c>
      <c r="E291" s="67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5"/>
      <c r="R291" s="675"/>
      <c r="S291" s="675"/>
      <c r="T291" s="67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673">
        <v>4680115882607</v>
      </c>
      <c r="E292" s="67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5"/>
      <c r="R292" s="675"/>
      <c r="S292" s="675"/>
      <c r="T292" s="67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673">
        <v>4680115880092</v>
      </c>
      <c r="E293" s="67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673">
        <v>4680115889064</v>
      </c>
      <c r="E294" s="67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5"/>
      <c r="R294" s="675"/>
      <c r="S294" s="675"/>
      <c r="T294" s="67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673">
        <v>4680115880221</v>
      </c>
      <c r="E295" s="67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5"/>
      <c r="R295" s="675"/>
      <c r="S295" s="675"/>
      <c r="T295" s="67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4301051945</v>
      </c>
      <c r="D296" s="673">
        <v>4680115880504</v>
      </c>
      <c r="E296" s="67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5"/>
      <c r="R296" s="675"/>
      <c r="S296" s="675"/>
      <c r="T296" s="676"/>
      <c r="U296" s="39" t="s">
        <v>46</v>
      </c>
      <c r="V296" s="39" t="s">
        <v>46</v>
      </c>
      <c r="W296" s="40" t="s">
        <v>0</v>
      </c>
      <c r="X296" s="58">
        <v>60</v>
      </c>
      <c r="Y296" s="55">
        <f t="shared" si="50"/>
        <v>60</v>
      </c>
      <c r="Z296" s="41">
        <f>IFERROR(IF(Y296=0,"",ROUNDUP(Y296/H296,0)*0.00651),"")</f>
        <v>0.16275000000000001</v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66.300000000000011</v>
      </c>
      <c r="BN296" s="78">
        <f t="shared" si="52"/>
        <v>66.300000000000011</v>
      </c>
      <c r="BO296" s="78">
        <f t="shared" si="53"/>
        <v>0.13736263736263737</v>
      </c>
      <c r="BP296" s="78">
        <f t="shared" si="54"/>
        <v>0.13736263736263737</v>
      </c>
    </row>
    <row r="297" spans="1:68" ht="27" customHeight="1" x14ac:dyDescent="0.25">
      <c r="A297" s="63" t="s">
        <v>515</v>
      </c>
      <c r="B297" s="63" t="s">
        <v>516</v>
      </c>
      <c r="C297" s="36">
        <v>4301051410</v>
      </c>
      <c r="D297" s="673">
        <v>4680115882164</v>
      </c>
      <c r="E297" s="67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>
        <v>640</v>
      </c>
      <c r="Y297" s="55">
        <f t="shared" si="50"/>
        <v>640.79999999999995</v>
      </c>
      <c r="Z297" s="41">
        <f>IFERROR(IF(Y297=0,"",ROUNDUP(Y297/H297,0)*0.00651),"")</f>
        <v>1.73817</v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708.8</v>
      </c>
      <c r="BN297" s="78">
        <f t="shared" si="52"/>
        <v>709.68599999999992</v>
      </c>
      <c r="BO297" s="78">
        <f t="shared" si="53"/>
        <v>1.4652014652014653</v>
      </c>
      <c r="BP297" s="78">
        <f t="shared" si="54"/>
        <v>1.4670329670329672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673">
        <v>4680115888340</v>
      </c>
      <c r="E298" s="67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5"/>
      <c r="R298" s="675"/>
      <c r="S298" s="675"/>
      <c r="T298" s="67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70"/>
      <c r="P299" s="666" t="s">
        <v>40</v>
      </c>
      <c r="Q299" s="667"/>
      <c r="R299" s="667"/>
      <c r="S299" s="667"/>
      <c r="T299" s="667"/>
      <c r="U299" s="667"/>
      <c r="V299" s="668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365.74074074074076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368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3.3433999999999999</v>
      </c>
      <c r="AA299" s="67"/>
      <c r="AB299" s="67"/>
      <c r="AC299" s="67"/>
    </row>
    <row r="300" spans="1:68" x14ac:dyDescent="0.2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70"/>
      <c r="P300" s="666" t="s">
        <v>40</v>
      </c>
      <c r="Q300" s="667"/>
      <c r="R300" s="667"/>
      <c r="S300" s="667"/>
      <c r="T300" s="667"/>
      <c r="U300" s="667"/>
      <c r="V300" s="668"/>
      <c r="W300" s="42" t="s">
        <v>0</v>
      </c>
      <c r="X300" s="43">
        <f>IFERROR(SUM(X287:X298),"0")</f>
        <v>1300</v>
      </c>
      <c r="Y300" s="43">
        <f>IFERROR(SUM(Y287:Y298),"0")</f>
        <v>1316.4</v>
      </c>
      <c r="Z300" s="42"/>
      <c r="AA300" s="67"/>
      <c r="AB300" s="67"/>
      <c r="AC300" s="67"/>
    </row>
    <row r="301" spans="1:68" ht="14.25" hidden="1" customHeight="1" x14ac:dyDescent="0.25">
      <c r="A301" s="672" t="s">
        <v>173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6"/>
      <c r="AB301" s="66"/>
      <c r="AC301" s="80"/>
    </row>
    <row r="302" spans="1:68" ht="27" customHeight="1" x14ac:dyDescent="0.25">
      <c r="A302" s="63" t="s">
        <v>521</v>
      </c>
      <c r="B302" s="63" t="s">
        <v>522</v>
      </c>
      <c r="C302" s="36">
        <v>4301060463</v>
      </c>
      <c r="D302" s="673">
        <v>4680115880818</v>
      </c>
      <c r="E302" s="67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>
        <v>40</v>
      </c>
      <c r="Y302" s="55">
        <f>IFERROR(IF(X302="",0,CEILING((X302/$H302),1)*$H302),"")</f>
        <v>40.799999999999997</v>
      </c>
      <c r="Z302" s="41">
        <f>IFERROR(IF(Y302=0,"",ROUNDUP(Y302/H302,0)*0.00651),"")</f>
        <v>0.11067</v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44.20000000000001</v>
      </c>
      <c r="BN302" s="78">
        <f>IFERROR(Y302*I302/H302,"0")</f>
        <v>45.084000000000003</v>
      </c>
      <c r="BO302" s="78">
        <f>IFERROR(1/J302*(X302/H302),"0")</f>
        <v>9.1575091575091583E-2</v>
      </c>
      <c r="BP302" s="78">
        <f>IFERROR(1/J302*(Y302/H302),"0")</f>
        <v>9.3406593406593408E-2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673">
        <v>4680115880801</v>
      </c>
      <c r="E303" s="67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x14ac:dyDescent="0.2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70"/>
      <c r="P304" s="666" t="s">
        <v>40</v>
      </c>
      <c r="Q304" s="667"/>
      <c r="R304" s="667"/>
      <c r="S304" s="667"/>
      <c r="T304" s="667"/>
      <c r="U304" s="667"/>
      <c r="V304" s="668"/>
      <c r="W304" s="42" t="s">
        <v>39</v>
      </c>
      <c r="X304" s="43">
        <f>IFERROR(X302/H302,"0")+IFERROR(X303/H303,"0")</f>
        <v>16.666666666666668</v>
      </c>
      <c r="Y304" s="43">
        <f>IFERROR(Y302/H302,"0")+IFERROR(Y303/H303,"0")</f>
        <v>17</v>
      </c>
      <c r="Z304" s="43">
        <f>IFERROR(IF(Z302="",0,Z302),"0")+IFERROR(IF(Z303="",0,Z303),"0")</f>
        <v>0.11067</v>
      </c>
      <c r="AA304" s="67"/>
      <c r="AB304" s="67"/>
      <c r="AC304" s="67"/>
    </row>
    <row r="305" spans="1:68" x14ac:dyDescent="0.2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70"/>
      <c r="P305" s="666" t="s">
        <v>40</v>
      </c>
      <c r="Q305" s="667"/>
      <c r="R305" s="667"/>
      <c r="S305" s="667"/>
      <c r="T305" s="667"/>
      <c r="U305" s="667"/>
      <c r="V305" s="668"/>
      <c r="W305" s="42" t="s">
        <v>0</v>
      </c>
      <c r="X305" s="43">
        <f>IFERROR(SUM(X302:X303),"0")</f>
        <v>40</v>
      </c>
      <c r="Y305" s="43">
        <f>IFERROR(SUM(Y302:Y303),"0")</f>
        <v>40.799999999999997</v>
      </c>
      <c r="Z305" s="42"/>
      <c r="AA305" s="67"/>
      <c r="AB305" s="67"/>
      <c r="AC305" s="67"/>
    </row>
    <row r="306" spans="1:68" ht="16.5" hidden="1" customHeight="1" x14ac:dyDescent="0.25">
      <c r="A306" s="671" t="s">
        <v>527</v>
      </c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  <c r="AA306" s="65"/>
      <c r="AB306" s="65"/>
      <c r="AC306" s="79"/>
    </row>
    <row r="307" spans="1:68" ht="14.25" hidden="1" customHeight="1" x14ac:dyDescent="0.25">
      <c r="A307" s="672" t="s">
        <v>122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673">
        <v>4680115884137</v>
      </c>
      <c r="E308" s="67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5"/>
      <c r="R308" s="675"/>
      <c r="S308" s="675"/>
      <c r="T308" s="67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673">
        <v>4680115884236</v>
      </c>
      <c r="E309" s="67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673">
        <v>4680115884175</v>
      </c>
      <c r="E310" s="67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customHeight="1" x14ac:dyDescent="0.25">
      <c r="A311" s="63" t="s">
        <v>536</v>
      </c>
      <c r="B311" s="63" t="s">
        <v>537</v>
      </c>
      <c r="C311" s="36">
        <v>4301011824</v>
      </c>
      <c r="D311" s="673">
        <v>4680115884144</v>
      </c>
      <c r="E311" s="67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40</v>
      </c>
      <c r="Y311" s="55">
        <f t="shared" si="55"/>
        <v>40</v>
      </c>
      <c r="Z311" s="41">
        <f>IFERROR(IF(Y311=0,"",ROUNDUP(Y311/H311,0)*0.00902),"")</f>
        <v>9.0200000000000002E-2</v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41.900000000000006</v>
      </c>
      <c r="BN311" s="78">
        <f t="shared" si="57"/>
        <v>41.900000000000006</v>
      </c>
      <c r="BO311" s="78">
        <f t="shared" si="58"/>
        <v>7.575757575757576E-2</v>
      </c>
      <c r="BP311" s="78">
        <f t="shared" si="59"/>
        <v>7.575757575757576E-2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673">
        <v>4680115886551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673">
        <v>4680115887282</v>
      </c>
      <c r="E313" s="67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673">
        <v>4680115884205</v>
      </c>
      <c r="E314" s="67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5"/>
      <c r="R314" s="675"/>
      <c r="S314" s="675"/>
      <c r="T314" s="67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x14ac:dyDescent="0.2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70"/>
      <c r="P315" s="666" t="s">
        <v>40</v>
      </c>
      <c r="Q315" s="667"/>
      <c r="R315" s="667"/>
      <c r="S315" s="667"/>
      <c r="T315" s="667"/>
      <c r="U315" s="667"/>
      <c r="V315" s="668"/>
      <c r="W315" s="42" t="s">
        <v>39</v>
      </c>
      <c r="X315" s="43">
        <f>IFERROR(X308/H308,"0")+IFERROR(X309/H309,"0")+IFERROR(X310/H310,"0")+IFERROR(X311/H311,"0")+IFERROR(X312/H312,"0")+IFERROR(X313/H313,"0")+IFERROR(X314/H314,"0")</f>
        <v>10</v>
      </c>
      <c r="Y315" s="43">
        <f>IFERROR(Y308/H308,"0")+IFERROR(Y309/H309,"0")+IFERROR(Y310/H310,"0")+IFERROR(Y311/H311,"0")+IFERROR(Y312/H312,"0")+IFERROR(Y313/H313,"0")+IFERROR(Y314/H314,"0")</f>
        <v>10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9.0200000000000002E-2</v>
      </c>
      <c r="AA315" s="67"/>
      <c r="AB315" s="67"/>
      <c r="AC315" s="67"/>
    </row>
    <row r="316" spans="1:68" x14ac:dyDescent="0.2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70"/>
      <c r="P316" s="666" t="s">
        <v>40</v>
      </c>
      <c r="Q316" s="667"/>
      <c r="R316" s="667"/>
      <c r="S316" s="667"/>
      <c r="T316" s="667"/>
      <c r="U316" s="667"/>
      <c r="V316" s="668"/>
      <c r="W316" s="42" t="s">
        <v>0</v>
      </c>
      <c r="X316" s="43">
        <f>IFERROR(SUM(X308:X314),"0")</f>
        <v>40</v>
      </c>
      <c r="Y316" s="43">
        <f>IFERROR(SUM(Y308:Y314),"0")</f>
        <v>40</v>
      </c>
      <c r="Z316" s="42"/>
      <c r="AA316" s="67"/>
      <c r="AB316" s="67"/>
      <c r="AC316" s="67"/>
    </row>
    <row r="317" spans="1:68" ht="14.25" hidden="1" customHeight="1" x14ac:dyDescent="0.25">
      <c r="A317" s="672" t="s">
        <v>155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673">
        <v>4680115885981</v>
      </c>
      <c r="E318" s="67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70"/>
      <c r="P319" s="666" t="s">
        <v>40</v>
      </c>
      <c r="Q319" s="667"/>
      <c r="R319" s="667"/>
      <c r="S319" s="667"/>
      <c r="T319" s="667"/>
      <c r="U319" s="667"/>
      <c r="V319" s="66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70"/>
      <c r="P320" s="666" t="s">
        <v>40</v>
      </c>
      <c r="Q320" s="667"/>
      <c r="R320" s="667"/>
      <c r="S320" s="667"/>
      <c r="T320" s="667"/>
      <c r="U320" s="667"/>
      <c r="V320" s="66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2" t="s">
        <v>549</v>
      </c>
      <c r="B321" s="672"/>
      <c r="C321" s="672"/>
      <c r="D321" s="672"/>
      <c r="E321" s="672"/>
      <c r="F321" s="672"/>
      <c r="G321" s="672"/>
      <c r="H321" s="672"/>
      <c r="I321" s="672"/>
      <c r="J321" s="672"/>
      <c r="K321" s="672"/>
      <c r="L321" s="672"/>
      <c r="M321" s="672"/>
      <c r="N321" s="672"/>
      <c r="O321" s="672"/>
      <c r="P321" s="672"/>
      <c r="Q321" s="672"/>
      <c r="R321" s="672"/>
      <c r="S321" s="672"/>
      <c r="T321" s="672"/>
      <c r="U321" s="672"/>
      <c r="V321" s="672"/>
      <c r="W321" s="672"/>
      <c r="X321" s="672"/>
      <c r="Y321" s="672"/>
      <c r="Z321" s="672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673">
        <v>4680115886803</v>
      </c>
      <c r="E322" s="67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5"/>
      <c r="R322" s="675"/>
      <c r="S322" s="675"/>
      <c r="T322" s="67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70"/>
      <c r="P323" s="666" t="s">
        <v>40</v>
      </c>
      <c r="Q323" s="667"/>
      <c r="R323" s="667"/>
      <c r="S323" s="667"/>
      <c r="T323" s="667"/>
      <c r="U323" s="667"/>
      <c r="V323" s="668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70"/>
      <c r="P324" s="666" t="s">
        <v>40</v>
      </c>
      <c r="Q324" s="667"/>
      <c r="R324" s="667"/>
      <c r="S324" s="667"/>
      <c r="T324" s="667"/>
      <c r="U324" s="667"/>
      <c r="V324" s="668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672" t="s">
        <v>366</v>
      </c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72"/>
      <c r="P325" s="672"/>
      <c r="Q325" s="672"/>
      <c r="R325" s="672"/>
      <c r="S325" s="672"/>
      <c r="T325" s="672"/>
      <c r="U325" s="672"/>
      <c r="V325" s="672"/>
      <c r="W325" s="672"/>
      <c r="X325" s="672"/>
      <c r="Y325" s="672"/>
      <c r="Z325" s="67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673">
        <v>4680115886704</v>
      </c>
      <c r="E326" s="67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673">
        <v>4680115886681</v>
      </c>
      <c r="E327" s="67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673">
        <v>4680115886735</v>
      </c>
      <c r="E328" s="67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70"/>
      <c r="P329" s="666" t="s">
        <v>40</v>
      </c>
      <c r="Q329" s="667"/>
      <c r="R329" s="667"/>
      <c r="S329" s="667"/>
      <c r="T329" s="667"/>
      <c r="U329" s="667"/>
      <c r="V329" s="668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70"/>
      <c r="P330" s="666" t="s">
        <v>40</v>
      </c>
      <c r="Q330" s="667"/>
      <c r="R330" s="667"/>
      <c r="S330" s="667"/>
      <c r="T330" s="667"/>
      <c r="U330" s="667"/>
      <c r="V330" s="668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71" t="s">
        <v>560</v>
      </c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  <c r="AA331" s="65"/>
      <c r="AB331" s="65"/>
      <c r="AC331" s="79"/>
    </row>
    <row r="332" spans="1:68" ht="14.25" hidden="1" customHeight="1" x14ac:dyDescent="0.25">
      <c r="A332" s="672" t="s">
        <v>122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673">
        <v>4680115885837</v>
      </c>
      <c r="E333" s="67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673">
        <v>4680115887237</v>
      </c>
      <c r="E334" s="67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9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673">
        <v>4680115885806</v>
      </c>
      <c r="E335" s="67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5"/>
      <c r="R335" s="675"/>
      <c r="S335" s="675"/>
      <c r="T335" s="67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673">
        <v>4680115885844</v>
      </c>
      <c r="E336" s="67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5"/>
      <c r="R336" s="675"/>
      <c r="S336" s="675"/>
      <c r="T336" s="67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673">
        <v>4680115885820</v>
      </c>
      <c r="E337" s="67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5"/>
      <c r="R337" s="675"/>
      <c r="S337" s="675"/>
      <c r="T337" s="67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70"/>
      <c r="P338" s="666" t="s">
        <v>40</v>
      </c>
      <c r="Q338" s="667"/>
      <c r="R338" s="667"/>
      <c r="S338" s="667"/>
      <c r="T338" s="667"/>
      <c r="U338" s="667"/>
      <c r="V338" s="668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70"/>
      <c r="P339" s="666" t="s">
        <v>40</v>
      </c>
      <c r="Q339" s="667"/>
      <c r="R339" s="667"/>
      <c r="S339" s="667"/>
      <c r="T339" s="667"/>
      <c r="U339" s="667"/>
      <c r="V339" s="668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71" t="s">
        <v>576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72" t="s">
        <v>86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673">
        <v>4680115886186</v>
      </c>
      <c r="E342" s="67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5"/>
      <c r="R342" s="675"/>
      <c r="S342" s="675"/>
      <c r="T342" s="67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580</v>
      </c>
      <c r="B343" s="63" t="s">
        <v>581</v>
      </c>
      <c r="C343" s="36">
        <v>4301051795</v>
      </c>
      <c r="D343" s="673">
        <v>4680115881228</v>
      </c>
      <c r="E343" s="67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5"/>
      <c r="R343" s="675"/>
      <c r="S343" s="675"/>
      <c r="T343" s="676"/>
      <c r="U343" s="39" t="s">
        <v>46</v>
      </c>
      <c r="V343" s="39" t="s">
        <v>46</v>
      </c>
      <c r="W343" s="40" t="s">
        <v>0</v>
      </c>
      <c r="X343" s="58">
        <v>120</v>
      </c>
      <c r="Y343" s="55">
        <f>IFERROR(IF(X343="",0,CEILING((X343/$H343),1)*$H343),"")</f>
        <v>120</v>
      </c>
      <c r="Z343" s="41">
        <f>IFERROR(IF(Y343=0,"",ROUNDUP(Y343/H343,0)*0.00651),"")</f>
        <v>0.32550000000000001</v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132.60000000000002</v>
      </c>
      <c r="BN343" s="78">
        <f>IFERROR(Y343*I343/H343,"0")</f>
        <v>132.60000000000002</v>
      </c>
      <c r="BO343" s="78">
        <f>IFERROR(1/J343*(X343/H343),"0")</f>
        <v>0.27472527472527475</v>
      </c>
      <c r="BP343" s="78">
        <f>IFERROR(1/J343*(Y343/H343),"0")</f>
        <v>0.27472527472527475</v>
      </c>
    </row>
    <row r="344" spans="1:68" ht="27" customHeight="1" x14ac:dyDescent="0.25">
      <c r="A344" s="63" t="s">
        <v>583</v>
      </c>
      <c r="B344" s="63" t="s">
        <v>584</v>
      </c>
      <c r="C344" s="36">
        <v>4301051388</v>
      </c>
      <c r="D344" s="673">
        <v>4680115881211</v>
      </c>
      <c r="E344" s="67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5"/>
      <c r="R344" s="675"/>
      <c r="S344" s="675"/>
      <c r="T344" s="676"/>
      <c r="U344" s="39" t="s">
        <v>46</v>
      </c>
      <c r="V344" s="39" t="s">
        <v>46</v>
      </c>
      <c r="W344" s="40" t="s">
        <v>0</v>
      </c>
      <c r="X344" s="58">
        <v>520</v>
      </c>
      <c r="Y344" s="55">
        <f>IFERROR(IF(X344="",0,CEILING((X344/$H344),1)*$H344),"")</f>
        <v>520.79999999999995</v>
      </c>
      <c r="Z344" s="41">
        <f>IFERROR(IF(Y344=0,"",ROUNDUP(Y344/H344,0)*0.00651),"")</f>
        <v>1.4126700000000001</v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559.00000000000011</v>
      </c>
      <c r="BN344" s="78">
        <f>IFERROR(Y344*I344/H344,"0")</f>
        <v>559.86</v>
      </c>
      <c r="BO344" s="78">
        <f>IFERROR(1/J344*(X344/H344),"0")</f>
        <v>1.1904761904761907</v>
      </c>
      <c r="BP344" s="78">
        <f>IFERROR(1/J344*(Y344/H344),"0")</f>
        <v>1.1923076923076923</v>
      </c>
    </row>
    <row r="345" spans="1:68" x14ac:dyDescent="0.2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70"/>
      <c r="P345" s="666" t="s">
        <v>40</v>
      </c>
      <c r="Q345" s="667"/>
      <c r="R345" s="667"/>
      <c r="S345" s="667"/>
      <c r="T345" s="667"/>
      <c r="U345" s="667"/>
      <c r="V345" s="668"/>
      <c r="W345" s="42" t="s">
        <v>39</v>
      </c>
      <c r="X345" s="43">
        <f>IFERROR(X342/H342,"0")+IFERROR(X343/H343,"0")+IFERROR(X344/H344,"0")</f>
        <v>266.66666666666669</v>
      </c>
      <c r="Y345" s="43">
        <f>IFERROR(Y342/H342,"0")+IFERROR(Y343/H343,"0")+IFERROR(Y344/H344,"0")</f>
        <v>267</v>
      </c>
      <c r="Z345" s="43">
        <f>IFERROR(IF(Z342="",0,Z342),"0")+IFERROR(IF(Z343="",0,Z343),"0")+IFERROR(IF(Z344="",0,Z344),"0")</f>
        <v>1.7381700000000002</v>
      </c>
      <c r="AA345" s="67"/>
      <c r="AB345" s="67"/>
      <c r="AC345" s="67"/>
    </row>
    <row r="346" spans="1:68" x14ac:dyDescent="0.2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70"/>
      <c r="P346" s="666" t="s">
        <v>40</v>
      </c>
      <c r="Q346" s="667"/>
      <c r="R346" s="667"/>
      <c r="S346" s="667"/>
      <c r="T346" s="667"/>
      <c r="U346" s="667"/>
      <c r="V346" s="668"/>
      <c r="W346" s="42" t="s">
        <v>0</v>
      </c>
      <c r="X346" s="43">
        <f>IFERROR(SUM(X342:X344),"0")</f>
        <v>640</v>
      </c>
      <c r="Y346" s="43">
        <f>IFERROR(SUM(Y342:Y344),"0")</f>
        <v>640.79999999999995</v>
      </c>
      <c r="Z346" s="42"/>
      <c r="AA346" s="67"/>
      <c r="AB346" s="67"/>
      <c r="AC346" s="67"/>
    </row>
    <row r="347" spans="1:68" ht="16.5" hidden="1" customHeight="1" x14ac:dyDescent="0.25">
      <c r="A347" s="671" t="s">
        <v>585</v>
      </c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  <c r="AA347" s="65"/>
      <c r="AB347" s="65"/>
      <c r="AC347" s="79"/>
    </row>
    <row r="348" spans="1:68" ht="14.25" hidden="1" customHeight="1" x14ac:dyDescent="0.25">
      <c r="A348" s="672" t="s">
        <v>77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673">
        <v>4680115888319</v>
      </c>
      <c r="E349" s="67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673">
        <v>4680115884700</v>
      </c>
      <c r="E350" s="67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673">
        <v>4680115880344</v>
      </c>
      <c r="E351" s="67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673">
        <v>4680115886919</v>
      </c>
      <c r="E352" s="67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8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5"/>
      <c r="R352" s="675"/>
      <c r="S352" s="675"/>
      <c r="T352" s="67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673">
        <v>4680115883970</v>
      </c>
      <c r="E353" s="67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8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5"/>
      <c r="R353" s="675"/>
      <c r="S353" s="675"/>
      <c r="T353" s="67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70"/>
      <c r="P354" s="666" t="s">
        <v>40</v>
      </c>
      <c r="Q354" s="667"/>
      <c r="R354" s="667"/>
      <c r="S354" s="667"/>
      <c r="T354" s="667"/>
      <c r="U354" s="667"/>
      <c r="V354" s="668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70"/>
      <c r="P355" s="666" t="s">
        <v>40</v>
      </c>
      <c r="Q355" s="667"/>
      <c r="R355" s="667"/>
      <c r="S355" s="667"/>
      <c r="T355" s="667"/>
      <c r="U355" s="667"/>
      <c r="V355" s="668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72" t="s">
        <v>86</v>
      </c>
      <c r="B356" s="672"/>
      <c r="C356" s="672"/>
      <c r="D356" s="672"/>
      <c r="E356" s="672"/>
      <c r="F356" s="672"/>
      <c r="G356" s="672"/>
      <c r="H356" s="672"/>
      <c r="I356" s="672"/>
      <c r="J356" s="672"/>
      <c r="K356" s="672"/>
      <c r="L356" s="672"/>
      <c r="M356" s="672"/>
      <c r="N356" s="672"/>
      <c r="O356" s="672"/>
      <c r="P356" s="672"/>
      <c r="Q356" s="672"/>
      <c r="R356" s="672"/>
      <c r="S356" s="672"/>
      <c r="T356" s="672"/>
      <c r="U356" s="672"/>
      <c r="V356" s="672"/>
      <c r="W356" s="672"/>
      <c r="X356" s="672"/>
      <c r="Y356" s="672"/>
      <c r="Z356" s="67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673">
        <v>4680115884618</v>
      </c>
      <c r="E357" s="67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673">
        <v>4680115887114</v>
      </c>
      <c r="E358" s="67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70"/>
      <c r="P359" s="666" t="s">
        <v>40</v>
      </c>
      <c r="Q359" s="667"/>
      <c r="R359" s="667"/>
      <c r="S359" s="667"/>
      <c r="T359" s="667"/>
      <c r="U359" s="667"/>
      <c r="V359" s="66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70"/>
      <c r="P360" s="666" t="s">
        <v>40</v>
      </c>
      <c r="Q360" s="667"/>
      <c r="R360" s="667"/>
      <c r="S360" s="667"/>
      <c r="T360" s="667"/>
      <c r="U360" s="667"/>
      <c r="V360" s="66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606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72" t="s">
        <v>122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6"/>
      <c r="AB362" s="66"/>
      <c r="AC362" s="80"/>
    </row>
    <row r="363" spans="1:68" ht="27" customHeight="1" x14ac:dyDescent="0.25">
      <c r="A363" s="63" t="s">
        <v>607</v>
      </c>
      <c r="B363" s="63" t="s">
        <v>608</v>
      </c>
      <c r="C363" s="36">
        <v>4301012324</v>
      </c>
      <c r="D363" s="673">
        <v>4680115887947</v>
      </c>
      <c r="E363" s="67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5"/>
      <c r="R363" s="675"/>
      <c r="S363" s="675"/>
      <c r="T363" s="676"/>
      <c r="U363" s="39" t="s">
        <v>46</v>
      </c>
      <c r="V363" s="39" t="s">
        <v>46</v>
      </c>
      <c r="W363" s="40" t="s">
        <v>0</v>
      </c>
      <c r="X363" s="58">
        <v>350</v>
      </c>
      <c r="Y363" s="55">
        <f>IFERROR(IF(X363="",0,CEILING((X363/$H363),1)*$H363),"")</f>
        <v>351</v>
      </c>
      <c r="Z363" s="41">
        <f>IFERROR(IF(Y363=0,"",ROUNDUP(Y363/H363,0)*0.01898),"")</f>
        <v>0.85409999999999997</v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368.39743589743597</v>
      </c>
      <c r="BN363" s="78">
        <f>IFERROR(Y363*I363/H363,"0")</f>
        <v>369.45000000000005</v>
      </c>
      <c r="BO363" s="78">
        <f>IFERROR(1/J363*(X363/H363),"0")</f>
        <v>0.70112179487179493</v>
      </c>
      <c r="BP363" s="78">
        <f>IFERROR(1/J363*(Y363/H363),"0")</f>
        <v>0.703125</v>
      </c>
    </row>
    <row r="364" spans="1:68" ht="27" customHeight="1" x14ac:dyDescent="0.25">
      <c r="A364" s="63" t="s">
        <v>609</v>
      </c>
      <c r="B364" s="63" t="s">
        <v>610</v>
      </c>
      <c r="C364" s="36">
        <v>4301012325</v>
      </c>
      <c r="D364" s="673">
        <v>4680115887978</v>
      </c>
      <c r="E364" s="67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5"/>
      <c r="R364" s="675"/>
      <c r="S364" s="675"/>
      <c r="T364" s="676"/>
      <c r="U364" s="39" t="s">
        <v>46</v>
      </c>
      <c r="V364" s="39" t="s">
        <v>46</v>
      </c>
      <c r="W364" s="40" t="s">
        <v>0</v>
      </c>
      <c r="X364" s="58">
        <v>400</v>
      </c>
      <c r="Y364" s="55">
        <f>IFERROR(IF(X364="",0,CEILING((X364/$H364),1)*$H364),"")</f>
        <v>405.59999999999997</v>
      </c>
      <c r="Z364" s="41">
        <f>IFERROR(IF(Y364=0,"",ROUNDUP(Y364/H364,0)*0.01898),"")</f>
        <v>0.98696000000000006</v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421.02564102564111</v>
      </c>
      <c r="BN364" s="78">
        <f>IFERROR(Y364*I364/H364,"0")</f>
        <v>426.92</v>
      </c>
      <c r="BO364" s="78">
        <f>IFERROR(1/J364*(X364/H364),"0")</f>
        <v>0.80128205128205132</v>
      </c>
      <c r="BP364" s="78">
        <f>IFERROR(1/J364*(Y364/H364),"0")</f>
        <v>0.8125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673">
        <v>4680115887992</v>
      </c>
      <c r="E365" s="67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70"/>
      <c r="P366" s="666" t="s">
        <v>40</v>
      </c>
      <c r="Q366" s="667"/>
      <c r="R366" s="667"/>
      <c r="S366" s="667"/>
      <c r="T366" s="667"/>
      <c r="U366" s="667"/>
      <c r="V366" s="668"/>
      <c r="W366" s="42" t="s">
        <v>39</v>
      </c>
      <c r="X366" s="43">
        <f>IFERROR(X363/H363,"0")+IFERROR(X364/H364,"0")+IFERROR(X365/H365,"0")</f>
        <v>96.15384615384616</v>
      </c>
      <c r="Y366" s="43">
        <f>IFERROR(Y363/H363,"0")+IFERROR(Y364/H364,"0")+IFERROR(Y365/H365,"0")</f>
        <v>97</v>
      </c>
      <c r="Z366" s="43">
        <f>IFERROR(IF(Z363="",0,Z363),"0")+IFERROR(IF(Z364="",0,Z364),"0")+IFERROR(IF(Z365="",0,Z365),"0")</f>
        <v>1.8410600000000001</v>
      </c>
      <c r="AA366" s="67"/>
      <c r="AB366" s="67"/>
      <c r="AC366" s="67"/>
    </row>
    <row r="367" spans="1:68" x14ac:dyDescent="0.2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70"/>
      <c r="P367" s="666" t="s">
        <v>40</v>
      </c>
      <c r="Q367" s="667"/>
      <c r="R367" s="667"/>
      <c r="S367" s="667"/>
      <c r="T367" s="667"/>
      <c r="U367" s="667"/>
      <c r="V367" s="668"/>
      <c r="W367" s="42" t="s">
        <v>0</v>
      </c>
      <c r="X367" s="43">
        <f>IFERROR(SUM(X363:X365),"0")</f>
        <v>750</v>
      </c>
      <c r="Y367" s="43">
        <f>IFERROR(SUM(Y363:Y365),"0")</f>
        <v>756.59999999999991</v>
      </c>
      <c r="Z367" s="42"/>
      <c r="AA367" s="67"/>
      <c r="AB367" s="67"/>
      <c r="AC367" s="67"/>
    </row>
    <row r="368" spans="1:68" ht="16.5" hidden="1" customHeight="1" x14ac:dyDescent="0.25">
      <c r="A368" s="671" t="s">
        <v>615</v>
      </c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  <c r="AA368" s="65"/>
      <c r="AB368" s="65"/>
      <c r="AC368" s="79"/>
    </row>
    <row r="369" spans="1:68" ht="14.25" hidden="1" customHeight="1" x14ac:dyDescent="0.25">
      <c r="A369" s="672" t="s">
        <v>122</v>
      </c>
      <c r="B369" s="672"/>
      <c r="C369" s="672"/>
      <c r="D369" s="672"/>
      <c r="E369" s="672"/>
      <c r="F369" s="672"/>
      <c r="G369" s="672"/>
      <c r="H369" s="672"/>
      <c r="I369" s="672"/>
      <c r="J369" s="672"/>
      <c r="K369" s="672"/>
      <c r="L369" s="672"/>
      <c r="M369" s="672"/>
      <c r="N369" s="672"/>
      <c r="O369" s="672"/>
      <c r="P369" s="672"/>
      <c r="Q369" s="672"/>
      <c r="R369" s="672"/>
      <c r="S369" s="672"/>
      <c r="T369" s="672"/>
      <c r="U369" s="672"/>
      <c r="V369" s="672"/>
      <c r="W369" s="672"/>
      <c r="X369" s="672"/>
      <c r="Y369" s="672"/>
      <c r="Z369" s="67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673">
        <v>4607091386004</v>
      </c>
      <c r="E370" s="67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675"/>
      <c r="R370" s="675"/>
      <c r="S370" s="675"/>
      <c r="T370" s="67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673">
        <v>4680115887190</v>
      </c>
      <c r="E371" s="67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675"/>
      <c r="R371" s="675"/>
      <c r="S371" s="675"/>
      <c r="T371" s="67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673">
        <v>4680115887138</v>
      </c>
      <c r="E372" s="67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673">
        <v>4680115885554</v>
      </c>
      <c r="E373" s="67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673">
        <v>4680115887220</v>
      </c>
      <c r="E374" s="67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673">
        <v>4680115885608</v>
      </c>
      <c r="E375" s="67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75"/>
      <c r="R375" s="675"/>
      <c r="S375" s="675"/>
      <c r="T375" s="67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70"/>
      <c r="P376" s="666" t="s">
        <v>40</v>
      </c>
      <c r="Q376" s="667"/>
      <c r="R376" s="667"/>
      <c r="S376" s="667"/>
      <c r="T376" s="667"/>
      <c r="U376" s="667"/>
      <c r="V376" s="668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70"/>
      <c r="P377" s="666" t="s">
        <v>40</v>
      </c>
      <c r="Q377" s="667"/>
      <c r="R377" s="667"/>
      <c r="S377" s="667"/>
      <c r="T377" s="667"/>
      <c r="U377" s="667"/>
      <c r="V377" s="668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72" t="s">
        <v>77</v>
      </c>
      <c r="B378" s="672"/>
      <c r="C378" s="672"/>
      <c r="D378" s="672"/>
      <c r="E378" s="672"/>
      <c r="F378" s="672"/>
      <c r="G378" s="672"/>
      <c r="H378" s="672"/>
      <c r="I378" s="672"/>
      <c r="J378" s="672"/>
      <c r="K378" s="672"/>
      <c r="L378" s="672"/>
      <c r="M378" s="672"/>
      <c r="N378" s="672"/>
      <c r="O378" s="672"/>
      <c r="P378" s="672"/>
      <c r="Q378" s="672"/>
      <c r="R378" s="672"/>
      <c r="S378" s="672"/>
      <c r="T378" s="672"/>
      <c r="U378" s="672"/>
      <c r="V378" s="672"/>
      <c r="W378" s="672"/>
      <c r="X378" s="672"/>
      <c r="Y378" s="672"/>
      <c r="Z378" s="672"/>
      <c r="AA378" s="66"/>
      <c r="AB378" s="66"/>
      <c r="AC378" s="80"/>
    </row>
    <row r="379" spans="1:68" ht="27" hidden="1" customHeight="1" x14ac:dyDescent="0.25">
      <c r="A379" s="63" t="s">
        <v>633</v>
      </c>
      <c r="B379" s="63" t="s">
        <v>634</v>
      </c>
      <c r="C379" s="36">
        <v>4301030878</v>
      </c>
      <c r="D379" s="673">
        <v>4607091387193</v>
      </c>
      <c r="E379" s="67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4301031153</v>
      </c>
      <c r="D380" s="673">
        <v>4607091387230</v>
      </c>
      <c r="E380" s="67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673">
        <v>4607091387292</v>
      </c>
      <c r="E381" s="67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673">
        <v>4607091387285</v>
      </c>
      <c r="E382" s="67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75"/>
      <c r="R382" s="675"/>
      <c r="S382" s="675"/>
      <c r="T382" s="67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customHeight="1" x14ac:dyDescent="0.25">
      <c r="A383" s="63" t="s">
        <v>644</v>
      </c>
      <c r="B383" s="63" t="s">
        <v>645</v>
      </c>
      <c r="C383" s="36">
        <v>4301031305</v>
      </c>
      <c r="D383" s="673">
        <v>4607091389845</v>
      </c>
      <c r="E383" s="67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75"/>
      <c r="R383" s="675"/>
      <c r="S383" s="675"/>
      <c r="T383" s="676"/>
      <c r="U383" s="39" t="s">
        <v>46</v>
      </c>
      <c r="V383" s="39" t="s">
        <v>46</v>
      </c>
      <c r="W383" s="40" t="s">
        <v>0</v>
      </c>
      <c r="X383" s="58">
        <v>175</v>
      </c>
      <c r="Y383" s="55">
        <f t="shared" si="65"/>
        <v>176.4</v>
      </c>
      <c r="Z383" s="41">
        <f>IFERROR(IF(Y383=0,"",ROUNDUP(Y383/H383,0)*0.00502),"")</f>
        <v>0.42168</v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183.33333333333334</v>
      </c>
      <c r="BN383" s="78">
        <f t="shared" si="67"/>
        <v>184.8</v>
      </c>
      <c r="BO383" s="78">
        <f t="shared" si="68"/>
        <v>0.35612535612535612</v>
      </c>
      <c r="BP383" s="78">
        <f t="shared" si="69"/>
        <v>0.35897435897435903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673">
        <v>4680115887442</v>
      </c>
      <c r="E384" s="67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75"/>
      <c r="R384" s="675"/>
      <c r="S384" s="675"/>
      <c r="T384" s="67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customHeight="1" x14ac:dyDescent="0.25">
      <c r="A385" s="63" t="s">
        <v>649</v>
      </c>
      <c r="B385" s="63" t="s">
        <v>650</v>
      </c>
      <c r="C385" s="36">
        <v>4301031066</v>
      </c>
      <c r="D385" s="673">
        <v>4607091383836</v>
      </c>
      <c r="E385" s="67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60</v>
      </c>
      <c r="Y385" s="55">
        <f t="shared" si="65"/>
        <v>61.2</v>
      </c>
      <c r="Z385" s="41">
        <f>IFERROR(IF(Y385=0,"",ROUNDUP(Y385/H385,0)*0.00651),"")</f>
        <v>0.22134000000000001</v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67.600000000000009</v>
      </c>
      <c r="BN385" s="78">
        <f t="shared" si="67"/>
        <v>68.951999999999998</v>
      </c>
      <c r="BO385" s="78">
        <f t="shared" si="68"/>
        <v>0.18315018315018317</v>
      </c>
      <c r="BP385" s="78">
        <f t="shared" si="69"/>
        <v>0.18681318681318682</v>
      </c>
    </row>
    <row r="386" spans="1:68" x14ac:dyDescent="0.2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70"/>
      <c r="P386" s="666" t="s">
        <v>40</v>
      </c>
      <c r="Q386" s="667"/>
      <c r="R386" s="667"/>
      <c r="S386" s="667"/>
      <c r="T386" s="667"/>
      <c r="U386" s="667"/>
      <c r="V386" s="668"/>
      <c r="W386" s="42" t="s">
        <v>39</v>
      </c>
      <c r="X386" s="43">
        <f>IFERROR(X379/H379,"0")+IFERROR(X380/H380,"0")+IFERROR(X381/H381,"0")+IFERROR(X382/H382,"0")+IFERROR(X383/H383,"0")+IFERROR(X384/H384,"0")+IFERROR(X385/H385,"0")</f>
        <v>116.66666666666666</v>
      </c>
      <c r="Y386" s="43">
        <f>IFERROR(Y379/H379,"0")+IFERROR(Y380/H380,"0")+IFERROR(Y381/H381,"0")+IFERROR(Y382/H382,"0")+IFERROR(Y383/H383,"0")+IFERROR(Y384/H384,"0")+IFERROR(Y385/H385,"0")</f>
        <v>118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0.64302000000000004</v>
      </c>
      <c r="AA386" s="67"/>
      <c r="AB386" s="67"/>
      <c r="AC386" s="67"/>
    </row>
    <row r="387" spans="1:68" x14ac:dyDescent="0.2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70"/>
      <c r="P387" s="666" t="s">
        <v>40</v>
      </c>
      <c r="Q387" s="667"/>
      <c r="R387" s="667"/>
      <c r="S387" s="667"/>
      <c r="T387" s="667"/>
      <c r="U387" s="667"/>
      <c r="V387" s="668"/>
      <c r="W387" s="42" t="s">
        <v>0</v>
      </c>
      <c r="X387" s="43">
        <f>IFERROR(SUM(X379:X385),"0")</f>
        <v>235</v>
      </c>
      <c r="Y387" s="43">
        <f>IFERROR(SUM(Y379:Y385),"0")</f>
        <v>237.60000000000002</v>
      </c>
      <c r="Z387" s="42"/>
      <c r="AA387" s="67"/>
      <c r="AB387" s="67"/>
      <c r="AC387" s="67"/>
    </row>
    <row r="388" spans="1:68" ht="14.25" hidden="1" customHeight="1" x14ac:dyDescent="0.25">
      <c r="A388" s="672" t="s">
        <v>86</v>
      </c>
      <c r="B388" s="672"/>
      <c r="C388" s="672"/>
      <c r="D388" s="672"/>
      <c r="E388" s="672"/>
      <c r="F388" s="672"/>
      <c r="G388" s="672"/>
      <c r="H388" s="672"/>
      <c r="I388" s="672"/>
      <c r="J388" s="672"/>
      <c r="K388" s="672"/>
      <c r="L388" s="672"/>
      <c r="M388" s="672"/>
      <c r="N388" s="672"/>
      <c r="O388" s="672"/>
      <c r="P388" s="672"/>
      <c r="Q388" s="672"/>
      <c r="R388" s="672"/>
      <c r="S388" s="672"/>
      <c r="T388" s="672"/>
      <c r="U388" s="672"/>
      <c r="V388" s="672"/>
      <c r="W388" s="672"/>
      <c r="X388" s="672"/>
      <c r="Y388" s="672"/>
      <c r="Z388" s="672"/>
      <c r="AA388" s="66"/>
      <c r="AB388" s="66"/>
      <c r="AC388" s="80"/>
    </row>
    <row r="389" spans="1:68" ht="27" hidden="1" customHeight="1" x14ac:dyDescent="0.25">
      <c r="A389" s="63" t="s">
        <v>652</v>
      </c>
      <c r="B389" s="63" t="s">
        <v>653</v>
      </c>
      <c r="C389" s="36">
        <v>4301051100</v>
      </c>
      <c r="D389" s="673">
        <v>4607091387766</v>
      </c>
      <c r="E389" s="67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75"/>
      <c r="R389" s="675"/>
      <c r="S389" s="675"/>
      <c r="T389" s="67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673">
        <v>4607091387957</v>
      </c>
      <c r="E390" s="67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75"/>
      <c r="R390" s="675"/>
      <c r="S390" s="675"/>
      <c r="T390" s="67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673">
        <v>4607091387964</v>
      </c>
      <c r="E391" s="67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75"/>
      <c r="R391" s="675"/>
      <c r="S391" s="675"/>
      <c r="T391" s="67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673">
        <v>4680115884588</v>
      </c>
      <c r="E392" s="67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70"/>
      <c r="P393" s="666" t="s">
        <v>40</v>
      </c>
      <c r="Q393" s="667"/>
      <c r="R393" s="667"/>
      <c r="S393" s="667"/>
      <c r="T393" s="667"/>
      <c r="U393" s="667"/>
      <c r="V393" s="668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70"/>
      <c r="P394" s="666" t="s">
        <v>40</v>
      </c>
      <c r="Q394" s="667"/>
      <c r="R394" s="667"/>
      <c r="S394" s="667"/>
      <c r="T394" s="667"/>
      <c r="U394" s="667"/>
      <c r="V394" s="668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672" t="s">
        <v>173</v>
      </c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72"/>
      <c r="P395" s="672"/>
      <c r="Q395" s="672"/>
      <c r="R395" s="672"/>
      <c r="S395" s="672"/>
      <c r="T395" s="672"/>
      <c r="U395" s="672"/>
      <c r="V395" s="672"/>
      <c r="W395" s="672"/>
      <c r="X395" s="672"/>
      <c r="Y395" s="672"/>
      <c r="Z395" s="672"/>
      <c r="AA395" s="66"/>
      <c r="AB395" s="66"/>
      <c r="AC395" s="80"/>
    </row>
    <row r="396" spans="1:68" ht="27" customHeight="1" x14ac:dyDescent="0.25">
      <c r="A396" s="63" t="s">
        <v>663</v>
      </c>
      <c r="B396" s="63" t="s">
        <v>664</v>
      </c>
      <c r="C396" s="36">
        <v>4301060387</v>
      </c>
      <c r="D396" s="673">
        <v>4607091380880</v>
      </c>
      <c r="E396" s="67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75"/>
      <c r="R396" s="675"/>
      <c r="S396" s="675"/>
      <c r="T396" s="676"/>
      <c r="U396" s="39" t="s">
        <v>46</v>
      </c>
      <c r="V396" s="39" t="s">
        <v>46</v>
      </c>
      <c r="W396" s="40" t="s">
        <v>0</v>
      </c>
      <c r="X396" s="58">
        <v>300</v>
      </c>
      <c r="Y396" s="55">
        <f>IFERROR(IF(X396="",0,CEILING((X396/$H396),1)*$H396),"")</f>
        <v>302.40000000000003</v>
      </c>
      <c r="Z396" s="41">
        <f>IFERROR(IF(Y396=0,"",ROUNDUP(Y396/H396,0)*0.01898),"")</f>
        <v>0.68328</v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317.64285714285711</v>
      </c>
      <c r="BN396" s="78">
        <f>IFERROR(Y396*I396/H396,"0")</f>
        <v>320.18400000000003</v>
      </c>
      <c r="BO396" s="78">
        <f>IFERROR(1/J396*(X396/H396),"0")</f>
        <v>0.5580357142857143</v>
      </c>
      <c r="BP396" s="78">
        <f>IFERROR(1/J396*(Y396/H396),"0")</f>
        <v>0.5625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673">
        <v>4607091384482</v>
      </c>
      <c r="E397" s="67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7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75"/>
      <c r="R397" s="675"/>
      <c r="S397" s="675"/>
      <c r="T397" s="676"/>
      <c r="U397" s="39" t="s">
        <v>46</v>
      </c>
      <c r="V397" s="39" t="s">
        <v>46</v>
      </c>
      <c r="W397" s="40" t="s">
        <v>0</v>
      </c>
      <c r="X397" s="58">
        <v>400</v>
      </c>
      <c r="Y397" s="55">
        <f>IFERROR(IF(X397="",0,CEILING((X397/$H397),1)*$H397),"")</f>
        <v>405.59999999999997</v>
      </c>
      <c r="Z397" s="41">
        <f>IFERROR(IF(Y397=0,"",ROUNDUP(Y397/H397,0)*0.01898),"")</f>
        <v>0.98696000000000006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425.33333333333337</v>
      </c>
      <c r="BN397" s="78">
        <f>IFERROR(Y397*I397/H397,"0")</f>
        <v>431.28799999999995</v>
      </c>
      <c r="BO397" s="78">
        <f>IFERROR(1/J397*(X397/H397),"0")</f>
        <v>0.80128205128205132</v>
      </c>
      <c r="BP397" s="78">
        <f>IFERROR(1/J397*(Y397/H397),"0")</f>
        <v>0.8125</v>
      </c>
    </row>
    <row r="398" spans="1:68" ht="27" hidden="1" customHeight="1" x14ac:dyDescent="0.25">
      <c r="A398" s="63" t="s">
        <v>669</v>
      </c>
      <c r="B398" s="63" t="s">
        <v>670</v>
      </c>
      <c r="C398" s="36">
        <v>4301060484</v>
      </c>
      <c r="D398" s="673">
        <v>4607091380897</v>
      </c>
      <c r="E398" s="67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7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75"/>
      <c r="R398" s="675"/>
      <c r="S398" s="675"/>
      <c r="T398" s="67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70"/>
      <c r="P399" s="666" t="s">
        <v>40</v>
      </c>
      <c r="Q399" s="667"/>
      <c r="R399" s="667"/>
      <c r="S399" s="667"/>
      <c r="T399" s="667"/>
      <c r="U399" s="667"/>
      <c r="V399" s="668"/>
      <c r="W399" s="42" t="s">
        <v>39</v>
      </c>
      <c r="X399" s="43">
        <f>IFERROR(X396/H396,"0")+IFERROR(X397/H397,"0")+IFERROR(X398/H398,"0")</f>
        <v>86.996336996336993</v>
      </c>
      <c r="Y399" s="43">
        <f>IFERROR(Y396/H396,"0")+IFERROR(Y397/H397,"0")+IFERROR(Y398/H398,"0")</f>
        <v>88</v>
      </c>
      <c r="Z399" s="43">
        <f>IFERROR(IF(Z396="",0,Z396),"0")+IFERROR(IF(Z397="",0,Z397),"0")+IFERROR(IF(Z398="",0,Z398),"0")</f>
        <v>1.6702400000000002</v>
      </c>
      <c r="AA399" s="67"/>
      <c r="AB399" s="67"/>
      <c r="AC399" s="67"/>
    </row>
    <row r="400" spans="1:68" x14ac:dyDescent="0.2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70"/>
      <c r="P400" s="666" t="s">
        <v>40</v>
      </c>
      <c r="Q400" s="667"/>
      <c r="R400" s="667"/>
      <c r="S400" s="667"/>
      <c r="T400" s="667"/>
      <c r="U400" s="667"/>
      <c r="V400" s="668"/>
      <c r="W400" s="42" t="s">
        <v>0</v>
      </c>
      <c r="X400" s="43">
        <f>IFERROR(SUM(X396:X398),"0")</f>
        <v>700</v>
      </c>
      <c r="Y400" s="43">
        <f>IFERROR(SUM(Y396:Y398),"0")</f>
        <v>708</v>
      </c>
      <c r="Z400" s="42"/>
      <c r="AA400" s="67"/>
      <c r="AB400" s="67"/>
      <c r="AC400" s="67"/>
    </row>
    <row r="401" spans="1:68" ht="14.25" hidden="1" customHeight="1" x14ac:dyDescent="0.25">
      <c r="A401" s="672" t="s">
        <v>294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673">
        <v>4607091388381</v>
      </c>
      <c r="E402" s="67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673">
        <v>4607091388374</v>
      </c>
      <c r="E403" s="67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673">
        <v>4607091383102</v>
      </c>
      <c r="E404" s="67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673">
        <v>4607091388404</v>
      </c>
      <c r="E405" s="67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70"/>
      <c r="P406" s="666" t="s">
        <v>40</v>
      </c>
      <c r="Q406" s="667"/>
      <c r="R406" s="667"/>
      <c r="S406" s="667"/>
      <c r="T406" s="667"/>
      <c r="U406" s="667"/>
      <c r="V406" s="66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70"/>
      <c r="P407" s="666" t="s">
        <v>40</v>
      </c>
      <c r="Q407" s="667"/>
      <c r="R407" s="667"/>
      <c r="S407" s="667"/>
      <c r="T407" s="667"/>
      <c r="U407" s="667"/>
      <c r="V407" s="66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672" t="s">
        <v>681</v>
      </c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72"/>
      <c r="P408" s="672"/>
      <c r="Q408" s="672"/>
      <c r="R408" s="672"/>
      <c r="S408" s="672"/>
      <c r="T408" s="672"/>
      <c r="U408" s="672"/>
      <c r="V408" s="672"/>
      <c r="W408" s="672"/>
      <c r="X408" s="672"/>
      <c r="Y408" s="672"/>
      <c r="Z408" s="67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673">
        <v>4680115881808</v>
      </c>
      <c r="E409" s="67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7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75"/>
      <c r="R409" s="675"/>
      <c r="S409" s="675"/>
      <c r="T409" s="67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673">
        <v>4680115881822</v>
      </c>
      <c r="E410" s="67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75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75"/>
      <c r="R410" s="675"/>
      <c r="S410" s="675"/>
      <c r="T410" s="67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673">
        <v>4680115880016</v>
      </c>
      <c r="E411" s="67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75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70"/>
      <c r="P412" s="666" t="s">
        <v>40</v>
      </c>
      <c r="Q412" s="667"/>
      <c r="R412" s="667"/>
      <c r="S412" s="667"/>
      <c r="T412" s="667"/>
      <c r="U412" s="667"/>
      <c r="V412" s="66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70"/>
      <c r="P413" s="666" t="s">
        <v>40</v>
      </c>
      <c r="Q413" s="667"/>
      <c r="R413" s="667"/>
      <c r="S413" s="667"/>
      <c r="T413" s="667"/>
      <c r="U413" s="667"/>
      <c r="V413" s="66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72" t="s">
        <v>690</v>
      </c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72"/>
      <c r="P414" s="672"/>
      <c r="Q414" s="672"/>
      <c r="R414" s="672"/>
      <c r="S414" s="672"/>
      <c r="T414" s="672"/>
      <c r="U414" s="672"/>
      <c r="V414" s="672"/>
      <c r="W414" s="672"/>
      <c r="X414" s="672"/>
      <c r="Y414" s="672"/>
      <c r="Z414" s="672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673">
        <v>4680115888678</v>
      </c>
      <c r="E415" s="67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75"/>
      <c r="R415" s="675"/>
      <c r="S415" s="675"/>
      <c r="T415" s="67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673">
        <v>4680115888654</v>
      </c>
      <c r="E416" s="67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7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75"/>
      <c r="R416" s="675"/>
      <c r="S416" s="675"/>
      <c r="T416" s="67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673">
        <v>4680115888753</v>
      </c>
      <c r="E417" s="67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70"/>
      <c r="P418" s="666" t="s">
        <v>40</v>
      </c>
      <c r="Q418" s="667"/>
      <c r="R418" s="667"/>
      <c r="S418" s="667"/>
      <c r="T418" s="667"/>
      <c r="U418" s="667"/>
      <c r="V418" s="66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70"/>
      <c r="P419" s="666" t="s">
        <v>40</v>
      </c>
      <c r="Q419" s="667"/>
      <c r="R419" s="667"/>
      <c r="S419" s="667"/>
      <c r="T419" s="667"/>
      <c r="U419" s="667"/>
      <c r="V419" s="66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71" t="s">
        <v>699</v>
      </c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  <c r="AA420" s="65"/>
      <c r="AB420" s="65"/>
      <c r="AC420" s="79"/>
    </row>
    <row r="421" spans="1:68" ht="14.25" hidden="1" customHeight="1" x14ac:dyDescent="0.25">
      <c r="A421" s="672" t="s">
        <v>86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673">
        <v>4680115889415</v>
      </c>
      <c r="E422" s="67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673">
        <v>4680115889422</v>
      </c>
      <c r="E423" s="67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7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675"/>
      <c r="R423" s="675"/>
      <c r="S423" s="675"/>
      <c r="T423" s="67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70"/>
      <c r="P424" s="666" t="s">
        <v>40</v>
      </c>
      <c r="Q424" s="667"/>
      <c r="R424" s="667"/>
      <c r="S424" s="667"/>
      <c r="T424" s="667"/>
      <c r="U424" s="667"/>
      <c r="V424" s="668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70"/>
      <c r="P425" s="666" t="s">
        <v>40</v>
      </c>
      <c r="Q425" s="667"/>
      <c r="R425" s="667"/>
      <c r="S425" s="667"/>
      <c r="T425" s="667"/>
      <c r="U425" s="667"/>
      <c r="V425" s="668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671" t="s">
        <v>706</v>
      </c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  <c r="AA426" s="65"/>
      <c r="AB426" s="65"/>
      <c r="AC426" s="79"/>
    </row>
    <row r="427" spans="1:68" ht="14.25" hidden="1" customHeight="1" x14ac:dyDescent="0.25">
      <c r="A427" s="672" t="s">
        <v>86</v>
      </c>
      <c r="B427" s="672"/>
      <c r="C427" s="672"/>
      <c r="D427" s="672"/>
      <c r="E427" s="672"/>
      <c r="F427" s="672"/>
      <c r="G427" s="672"/>
      <c r="H427" s="672"/>
      <c r="I427" s="672"/>
      <c r="J427" s="672"/>
      <c r="K427" s="672"/>
      <c r="L427" s="672"/>
      <c r="M427" s="672"/>
      <c r="N427" s="672"/>
      <c r="O427" s="672"/>
      <c r="P427" s="672"/>
      <c r="Q427" s="672"/>
      <c r="R427" s="672"/>
      <c r="S427" s="672"/>
      <c r="T427" s="672"/>
      <c r="U427" s="672"/>
      <c r="V427" s="672"/>
      <c r="W427" s="672"/>
      <c r="X427" s="672"/>
      <c r="Y427" s="672"/>
      <c r="Z427" s="672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673">
        <v>4607091387919</v>
      </c>
      <c r="E428" s="67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7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673">
        <v>4680115883604</v>
      </c>
      <c r="E429" s="67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7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75"/>
      <c r="R429" s="675"/>
      <c r="S429" s="675"/>
      <c r="T429" s="676"/>
      <c r="U429" s="39" t="s">
        <v>46</v>
      </c>
      <c r="V429" s="39" t="s">
        <v>46</v>
      </c>
      <c r="W429" s="40" t="s">
        <v>0</v>
      </c>
      <c r="X429" s="58">
        <v>350</v>
      </c>
      <c r="Y429" s="55">
        <f>IFERROR(IF(X429="",0,CEILING((X429/$H429),1)*$H429),"")</f>
        <v>350.7</v>
      </c>
      <c r="Z429" s="41">
        <f>IFERROR(IF(Y429=0,"",ROUNDUP(Y429/H429,0)*0.00651),"")</f>
        <v>1.08717</v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391.99999999999994</v>
      </c>
      <c r="BN429" s="78">
        <f>IFERROR(Y429*I429/H429,"0")</f>
        <v>392.78399999999993</v>
      </c>
      <c r="BO429" s="78">
        <f>IFERROR(1/J429*(X429/H429),"0")</f>
        <v>0.91575091575091572</v>
      </c>
      <c r="BP429" s="78">
        <f>IFERROR(1/J429*(Y429/H429),"0")</f>
        <v>0.91758241758241765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4301051864</v>
      </c>
      <c r="D430" s="673">
        <v>4680115883567</v>
      </c>
      <c r="E430" s="67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7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75"/>
      <c r="R430" s="675"/>
      <c r="S430" s="675"/>
      <c r="T430" s="67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x14ac:dyDescent="0.2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70"/>
      <c r="P431" s="666" t="s">
        <v>40</v>
      </c>
      <c r="Q431" s="667"/>
      <c r="R431" s="667"/>
      <c r="S431" s="667"/>
      <c r="T431" s="667"/>
      <c r="U431" s="667"/>
      <c r="V431" s="668"/>
      <c r="W431" s="42" t="s">
        <v>39</v>
      </c>
      <c r="X431" s="43">
        <f>IFERROR(X428/H428,"0")+IFERROR(X429/H429,"0")+IFERROR(X430/H430,"0")</f>
        <v>166.66666666666666</v>
      </c>
      <c r="Y431" s="43">
        <f>IFERROR(Y428/H428,"0")+IFERROR(Y429/H429,"0")+IFERROR(Y430/H430,"0")</f>
        <v>167</v>
      </c>
      <c r="Z431" s="43">
        <f>IFERROR(IF(Z428="",0,Z428),"0")+IFERROR(IF(Z429="",0,Z429),"0")+IFERROR(IF(Z430="",0,Z430),"0")</f>
        <v>1.08717</v>
      </c>
      <c r="AA431" s="67"/>
      <c r="AB431" s="67"/>
      <c r="AC431" s="67"/>
    </row>
    <row r="432" spans="1:68" x14ac:dyDescent="0.2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70"/>
      <c r="P432" s="666" t="s">
        <v>40</v>
      </c>
      <c r="Q432" s="667"/>
      <c r="R432" s="667"/>
      <c r="S432" s="667"/>
      <c r="T432" s="667"/>
      <c r="U432" s="667"/>
      <c r="V432" s="668"/>
      <c r="W432" s="42" t="s">
        <v>0</v>
      </c>
      <c r="X432" s="43">
        <f>IFERROR(SUM(X428:X430),"0")</f>
        <v>350</v>
      </c>
      <c r="Y432" s="43">
        <f>IFERROR(SUM(Y428:Y430),"0")</f>
        <v>350.7</v>
      </c>
      <c r="Z432" s="42"/>
      <c r="AA432" s="67"/>
      <c r="AB432" s="67"/>
      <c r="AC432" s="67"/>
    </row>
    <row r="433" spans="1:68" ht="27.75" hidden="1" customHeight="1" x14ac:dyDescent="0.2">
      <c r="A433" s="686" t="s">
        <v>716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54"/>
      <c r="AB433" s="54"/>
      <c r="AC433" s="54"/>
    </row>
    <row r="434" spans="1:68" ht="16.5" hidden="1" customHeight="1" x14ac:dyDescent="0.25">
      <c r="A434" s="671" t="s">
        <v>717</v>
      </c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  <c r="AA434" s="65"/>
      <c r="AB434" s="65"/>
      <c r="AC434" s="79"/>
    </row>
    <row r="435" spans="1:68" ht="14.25" hidden="1" customHeight="1" x14ac:dyDescent="0.25">
      <c r="A435" s="672" t="s">
        <v>122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customHeight="1" x14ac:dyDescent="0.25">
      <c r="A436" s="63" t="s">
        <v>718</v>
      </c>
      <c r="B436" s="63" t="s">
        <v>719</v>
      </c>
      <c r="C436" s="36">
        <v>4301012332</v>
      </c>
      <c r="D436" s="673">
        <v>4680115888401</v>
      </c>
      <c r="E436" s="67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600</v>
      </c>
      <c r="Y436" s="55">
        <f t="shared" ref="Y436:Y443" si="70">IFERROR(IF(X436="",0,CEILING((X436/$H436),1)*$H436),"")</f>
        <v>600</v>
      </c>
      <c r="Z436" s="41">
        <f>IFERROR(IF(Y436=0,"",ROUNDUP(Y436/H436,0)*0.02175),"")</f>
        <v>0.86999999999999988</v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618.79999999999995</v>
      </c>
      <c r="BN436" s="78">
        <f t="shared" ref="BN436:BN443" si="72">IFERROR(Y436*I436/H436,"0")</f>
        <v>618.79999999999995</v>
      </c>
      <c r="BO436" s="78">
        <f t="shared" ref="BO436:BO443" si="73">IFERROR(1/J436*(X436/H436),"0")</f>
        <v>0.83333333333333326</v>
      </c>
      <c r="BP436" s="78">
        <f t="shared" ref="BP436:BP443" si="74">IFERROR(1/J436*(Y436/H436),"0")</f>
        <v>0.83333333333333326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673">
        <v>4680115884847</v>
      </c>
      <c r="E437" s="67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7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>
        <v>1800</v>
      </c>
      <c r="Y437" s="55">
        <f t="shared" si="70"/>
        <v>1800</v>
      </c>
      <c r="Z437" s="41">
        <f>IFERROR(IF(Y437=0,"",ROUNDUP(Y437/H437,0)*0.02175),"")</f>
        <v>2.61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1856.4</v>
      </c>
      <c r="BN437" s="78">
        <f t="shared" si="72"/>
        <v>1856.4</v>
      </c>
      <c r="BO437" s="78">
        <f t="shared" si="73"/>
        <v>2.5</v>
      </c>
      <c r="BP437" s="78">
        <f t="shared" si="74"/>
        <v>2.5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673">
        <v>4680115884854</v>
      </c>
      <c r="E438" s="67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1000</v>
      </c>
      <c r="Y438" s="55">
        <f t="shared" si="70"/>
        <v>1005</v>
      </c>
      <c r="Z438" s="41">
        <f>IFERROR(IF(Y438=0,"",ROUNDUP(Y438/H438,0)*0.02175),"")</f>
        <v>1.4572499999999999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1031.3333333333333</v>
      </c>
      <c r="BN438" s="78">
        <f t="shared" si="72"/>
        <v>1036.49</v>
      </c>
      <c r="BO438" s="78">
        <f t="shared" si="73"/>
        <v>1.3888888888888888</v>
      </c>
      <c r="BP438" s="78">
        <f t="shared" si="74"/>
        <v>1.3958333333333333</v>
      </c>
    </row>
    <row r="439" spans="1:68" ht="27" customHeight="1" x14ac:dyDescent="0.25">
      <c r="A439" s="63" t="s">
        <v>727</v>
      </c>
      <c r="B439" s="63" t="s">
        <v>728</v>
      </c>
      <c r="C439" s="36">
        <v>4301011867</v>
      </c>
      <c r="D439" s="673">
        <v>4680115884830</v>
      </c>
      <c r="E439" s="67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7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75"/>
      <c r="R439" s="675"/>
      <c r="S439" s="675"/>
      <c r="T439" s="676"/>
      <c r="U439" s="39" t="s">
        <v>46</v>
      </c>
      <c r="V439" s="39" t="s">
        <v>46</v>
      </c>
      <c r="W439" s="40" t="s">
        <v>0</v>
      </c>
      <c r="X439" s="58">
        <v>1000</v>
      </c>
      <c r="Y439" s="55">
        <f t="shared" si="70"/>
        <v>1005</v>
      </c>
      <c r="Z439" s="41">
        <f>IFERROR(IF(Y439=0,"",ROUNDUP(Y439/H439,0)*0.02175),"")</f>
        <v>1.4572499999999999</v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1031.3333333333333</v>
      </c>
      <c r="BN439" s="78">
        <f t="shared" si="72"/>
        <v>1036.49</v>
      </c>
      <c r="BO439" s="78">
        <f t="shared" si="73"/>
        <v>1.3888888888888888</v>
      </c>
      <c r="BP439" s="78">
        <f t="shared" si="74"/>
        <v>1.3958333333333333</v>
      </c>
    </row>
    <row r="440" spans="1:68" ht="27" customHeight="1" x14ac:dyDescent="0.25">
      <c r="A440" s="63" t="s">
        <v>730</v>
      </c>
      <c r="B440" s="63" t="s">
        <v>731</v>
      </c>
      <c r="C440" s="36">
        <v>4301012356</v>
      </c>
      <c r="D440" s="673">
        <v>4680115889231</v>
      </c>
      <c r="E440" s="67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75"/>
      <c r="R440" s="675"/>
      <c r="S440" s="675"/>
      <c r="T440" s="676"/>
      <c r="U440" s="39" t="s">
        <v>46</v>
      </c>
      <c r="V440" s="39" t="s">
        <v>46</v>
      </c>
      <c r="W440" s="40" t="s">
        <v>0</v>
      </c>
      <c r="X440" s="58">
        <v>300</v>
      </c>
      <c r="Y440" s="55">
        <f t="shared" si="70"/>
        <v>300</v>
      </c>
      <c r="Z440" s="41">
        <f>IFERROR(IF(Y440=0,"",ROUNDUP(Y440/H440,0)*0.02175),"")</f>
        <v>0.43499999999999994</v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309.39999999999998</v>
      </c>
      <c r="BN440" s="78">
        <f t="shared" si="72"/>
        <v>309.39999999999998</v>
      </c>
      <c r="BO440" s="78">
        <f t="shared" si="73"/>
        <v>0.41666666666666663</v>
      </c>
      <c r="BP440" s="78">
        <f t="shared" si="74"/>
        <v>0.41666666666666663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673">
        <v>4680115882638</v>
      </c>
      <c r="E441" s="67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7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75"/>
      <c r="R441" s="675"/>
      <c r="S441" s="675"/>
      <c r="T441" s="67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673">
        <v>4680115884922</v>
      </c>
      <c r="E442" s="67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75"/>
      <c r="R442" s="675"/>
      <c r="S442" s="675"/>
      <c r="T442" s="67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673">
        <v>4680115884861</v>
      </c>
      <c r="E443" s="67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75"/>
      <c r="R443" s="675"/>
      <c r="S443" s="675"/>
      <c r="T443" s="67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70"/>
      <c r="P444" s="666" t="s">
        <v>40</v>
      </c>
      <c r="Q444" s="667"/>
      <c r="R444" s="667"/>
      <c r="S444" s="667"/>
      <c r="T444" s="667"/>
      <c r="U444" s="667"/>
      <c r="V444" s="668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313.33333333333337</v>
      </c>
      <c r="Y444" s="43">
        <f>IFERROR(Y436/H436,"0")+IFERROR(Y437/H437,"0")+IFERROR(Y438/H438,"0")+IFERROR(Y439/H439,"0")+IFERROR(Y440/H440,"0")+IFERROR(Y441/H441,"0")+IFERROR(Y442/H442,"0")+IFERROR(Y443/H443,"0")</f>
        <v>314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6.8294999999999995</v>
      </c>
      <c r="AA444" s="67"/>
      <c r="AB444" s="67"/>
      <c r="AC444" s="67"/>
    </row>
    <row r="445" spans="1:68" x14ac:dyDescent="0.2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70"/>
      <c r="P445" s="666" t="s">
        <v>40</v>
      </c>
      <c r="Q445" s="667"/>
      <c r="R445" s="667"/>
      <c r="S445" s="667"/>
      <c r="T445" s="667"/>
      <c r="U445" s="667"/>
      <c r="V445" s="668"/>
      <c r="W445" s="42" t="s">
        <v>0</v>
      </c>
      <c r="X445" s="43">
        <f>IFERROR(SUM(X436:X443),"0")</f>
        <v>4700</v>
      </c>
      <c r="Y445" s="43">
        <f>IFERROR(SUM(Y436:Y443),"0")</f>
        <v>4710</v>
      </c>
      <c r="Z445" s="42"/>
      <c r="AA445" s="67"/>
      <c r="AB445" s="67"/>
      <c r="AC445" s="67"/>
    </row>
    <row r="446" spans="1:68" ht="14.25" hidden="1" customHeight="1" x14ac:dyDescent="0.25">
      <c r="A446" s="672" t="s">
        <v>155</v>
      </c>
      <c r="B446" s="672"/>
      <c r="C446" s="672"/>
      <c r="D446" s="672"/>
      <c r="E446" s="672"/>
      <c r="F446" s="672"/>
      <c r="G446" s="672"/>
      <c r="H446" s="672"/>
      <c r="I446" s="672"/>
      <c r="J446" s="672"/>
      <c r="K446" s="672"/>
      <c r="L446" s="672"/>
      <c r="M446" s="672"/>
      <c r="N446" s="672"/>
      <c r="O446" s="672"/>
      <c r="P446" s="672"/>
      <c r="Q446" s="672"/>
      <c r="R446" s="672"/>
      <c r="S446" s="672"/>
      <c r="T446" s="672"/>
      <c r="U446" s="672"/>
      <c r="V446" s="672"/>
      <c r="W446" s="672"/>
      <c r="X446" s="672"/>
      <c r="Y446" s="672"/>
      <c r="Z446" s="672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673">
        <v>4607091383980</v>
      </c>
      <c r="E447" s="67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1000</v>
      </c>
      <c r="Y447" s="55">
        <f>IFERROR(IF(X447="",0,CEILING((X447/$H447),1)*$H447),"")</f>
        <v>1005</v>
      </c>
      <c r="Z447" s="41">
        <f>IFERROR(IF(Y447=0,"",ROUNDUP(Y447/H447,0)*0.02175),"")</f>
        <v>1.4572499999999999</v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1031.3333333333333</v>
      </c>
      <c r="BN447" s="78">
        <f>IFERROR(Y447*I447/H447,"0")</f>
        <v>1036.49</v>
      </c>
      <c r="BO447" s="78">
        <f>IFERROR(1/J447*(X447/H447),"0")</f>
        <v>1.3888888888888888</v>
      </c>
      <c r="BP447" s="78">
        <f>IFERROR(1/J447*(Y447/H447),"0")</f>
        <v>1.3958333333333333</v>
      </c>
    </row>
    <row r="448" spans="1:68" ht="27" customHeight="1" x14ac:dyDescent="0.25">
      <c r="A448" s="63" t="s">
        <v>745</v>
      </c>
      <c r="B448" s="63" t="s">
        <v>746</v>
      </c>
      <c r="C448" s="36">
        <v>4301020355</v>
      </c>
      <c r="D448" s="673">
        <v>4680115888425</v>
      </c>
      <c r="E448" s="67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72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>
        <v>200</v>
      </c>
      <c r="Y448" s="55">
        <f>IFERROR(IF(X448="",0,CEILING((X448/$H448),1)*$H448),"")</f>
        <v>210</v>
      </c>
      <c r="Z448" s="41">
        <f>IFERROR(IF(Y448=0,"",ROUNDUP(Y448/H448,0)*0.02175),"")</f>
        <v>0.30449999999999999</v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206.26666666666668</v>
      </c>
      <c r="BN448" s="78">
        <f>IFERROR(Y448*I448/H448,"0")</f>
        <v>216.58</v>
      </c>
      <c r="BO448" s="78">
        <f>IFERROR(1/J448*(X448/H448),"0")</f>
        <v>0.27777777777777779</v>
      </c>
      <c r="BP448" s="78">
        <f>IFERROR(1/J448*(Y448/H448),"0")</f>
        <v>0.29166666666666663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673">
        <v>4607091384178</v>
      </c>
      <c r="E449" s="67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7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70"/>
      <c r="P450" s="666" t="s">
        <v>40</v>
      </c>
      <c r="Q450" s="667"/>
      <c r="R450" s="667"/>
      <c r="S450" s="667"/>
      <c r="T450" s="667"/>
      <c r="U450" s="667"/>
      <c r="V450" s="668"/>
      <c r="W450" s="42" t="s">
        <v>39</v>
      </c>
      <c r="X450" s="43">
        <f>IFERROR(X447/H447,"0")+IFERROR(X448/H448,"0")+IFERROR(X449/H449,"0")</f>
        <v>80</v>
      </c>
      <c r="Y450" s="43">
        <f>IFERROR(Y447/H447,"0")+IFERROR(Y448/H448,"0")+IFERROR(Y449/H449,"0")</f>
        <v>81</v>
      </c>
      <c r="Z450" s="43">
        <f>IFERROR(IF(Z447="",0,Z447),"0")+IFERROR(IF(Z448="",0,Z448),"0")+IFERROR(IF(Z449="",0,Z449),"0")</f>
        <v>1.7617499999999999</v>
      </c>
      <c r="AA450" s="67"/>
      <c r="AB450" s="67"/>
      <c r="AC450" s="67"/>
    </row>
    <row r="451" spans="1:68" x14ac:dyDescent="0.2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70"/>
      <c r="P451" s="666" t="s">
        <v>40</v>
      </c>
      <c r="Q451" s="667"/>
      <c r="R451" s="667"/>
      <c r="S451" s="667"/>
      <c r="T451" s="667"/>
      <c r="U451" s="667"/>
      <c r="V451" s="668"/>
      <c r="W451" s="42" t="s">
        <v>0</v>
      </c>
      <c r="X451" s="43">
        <f>IFERROR(SUM(X447:X449),"0")</f>
        <v>1200</v>
      </c>
      <c r="Y451" s="43">
        <f>IFERROR(SUM(Y447:Y449),"0")</f>
        <v>1215</v>
      </c>
      <c r="Z451" s="42"/>
      <c r="AA451" s="67"/>
      <c r="AB451" s="67"/>
      <c r="AC451" s="67"/>
    </row>
    <row r="452" spans="1:68" ht="14.25" hidden="1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673">
        <v>4607091383928</v>
      </c>
      <c r="E453" s="67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customHeight="1" x14ac:dyDescent="0.25">
      <c r="A454" s="63" t="s">
        <v>754</v>
      </c>
      <c r="B454" s="63" t="s">
        <v>755</v>
      </c>
      <c r="C454" s="36">
        <v>4301051897</v>
      </c>
      <c r="D454" s="673">
        <v>4607091384260</v>
      </c>
      <c r="E454" s="67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7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>
        <v>50</v>
      </c>
      <c r="Y454" s="55">
        <f>IFERROR(IF(X454="",0,CEILING((X454/$H454),1)*$H454),"")</f>
        <v>54</v>
      </c>
      <c r="Z454" s="41">
        <f>IFERROR(IF(Y454=0,"",ROUNDUP(Y454/H454,0)*0.01898),"")</f>
        <v>0.11388000000000001</v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52.74444444444444</v>
      </c>
      <c r="BN454" s="78">
        <f>IFERROR(Y454*I454/H454,"0")</f>
        <v>56.963999999999992</v>
      </c>
      <c r="BO454" s="78">
        <f>IFERROR(1/J454*(X454/H454),"0")</f>
        <v>8.6805555555555552E-2</v>
      </c>
      <c r="BP454" s="78">
        <f>IFERROR(1/J454*(Y454/H454),"0")</f>
        <v>9.375E-2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673">
        <v>4680115889538</v>
      </c>
      <c r="E455" s="67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73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75"/>
      <c r="R455" s="675"/>
      <c r="S455" s="675"/>
      <c r="T455" s="67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70"/>
      <c r="P456" s="666" t="s">
        <v>40</v>
      </c>
      <c r="Q456" s="667"/>
      <c r="R456" s="667"/>
      <c r="S456" s="667"/>
      <c r="T456" s="667"/>
      <c r="U456" s="667"/>
      <c r="V456" s="668"/>
      <c r="W456" s="42" t="s">
        <v>39</v>
      </c>
      <c r="X456" s="43">
        <f>IFERROR(X453/H453,"0")+IFERROR(X454/H454,"0")+IFERROR(X455/H455,"0")</f>
        <v>5.5555555555555554</v>
      </c>
      <c r="Y456" s="43">
        <f>IFERROR(Y453/H453,"0")+IFERROR(Y454/H454,"0")+IFERROR(Y455/H455,"0")</f>
        <v>6</v>
      </c>
      <c r="Z456" s="43">
        <f>IFERROR(IF(Z453="",0,Z453),"0")+IFERROR(IF(Z454="",0,Z454),"0")+IFERROR(IF(Z455="",0,Z455),"0")</f>
        <v>0.11388000000000001</v>
      </c>
      <c r="AA456" s="67"/>
      <c r="AB456" s="67"/>
      <c r="AC456" s="67"/>
    </row>
    <row r="457" spans="1:68" x14ac:dyDescent="0.2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70"/>
      <c r="P457" s="666" t="s">
        <v>40</v>
      </c>
      <c r="Q457" s="667"/>
      <c r="R457" s="667"/>
      <c r="S457" s="667"/>
      <c r="T457" s="667"/>
      <c r="U457" s="667"/>
      <c r="V457" s="668"/>
      <c r="W457" s="42" t="s">
        <v>0</v>
      </c>
      <c r="X457" s="43">
        <f>IFERROR(SUM(X453:X455),"0")</f>
        <v>50</v>
      </c>
      <c r="Y457" s="43">
        <f>IFERROR(SUM(Y453:Y455),"0")</f>
        <v>54</v>
      </c>
      <c r="Z457" s="42"/>
      <c r="AA457" s="67"/>
      <c r="AB457" s="67"/>
      <c r="AC457" s="67"/>
    </row>
    <row r="458" spans="1:68" ht="14.25" hidden="1" customHeight="1" x14ac:dyDescent="0.25">
      <c r="A458" s="672" t="s">
        <v>173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673">
        <v>4680115889545</v>
      </c>
      <c r="E459" s="67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7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673">
        <v>4607091384673</v>
      </c>
      <c r="E460" s="67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7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75"/>
      <c r="R460" s="675"/>
      <c r="S460" s="675"/>
      <c r="T460" s="67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70"/>
      <c r="P461" s="666" t="s">
        <v>40</v>
      </c>
      <c r="Q461" s="667"/>
      <c r="R461" s="667"/>
      <c r="S461" s="667"/>
      <c r="T461" s="667"/>
      <c r="U461" s="667"/>
      <c r="V461" s="668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70"/>
      <c r="P462" s="666" t="s">
        <v>40</v>
      </c>
      <c r="Q462" s="667"/>
      <c r="R462" s="667"/>
      <c r="S462" s="667"/>
      <c r="T462" s="667"/>
      <c r="U462" s="667"/>
      <c r="V462" s="668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671" t="s">
        <v>766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"/>
      <c r="AB463" s="65"/>
      <c r="AC463" s="79"/>
    </row>
    <row r="464" spans="1:68" ht="14.25" hidden="1" customHeight="1" x14ac:dyDescent="0.25">
      <c r="A464" s="672" t="s">
        <v>122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6"/>
      <c r="AB464" s="66"/>
      <c r="AC464" s="80"/>
    </row>
    <row r="465" spans="1:68" ht="27" customHeight="1" x14ac:dyDescent="0.25">
      <c r="A465" s="63" t="s">
        <v>767</v>
      </c>
      <c r="B465" s="63" t="s">
        <v>768</v>
      </c>
      <c r="C465" s="36">
        <v>4301011875</v>
      </c>
      <c r="D465" s="673">
        <v>4680115884885</v>
      </c>
      <c r="E465" s="67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7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>
        <v>49.667250000000024</v>
      </c>
      <c r="Y465" s="55">
        <f>IFERROR(IF(X465="",0,CEILING((X465/$H465),1)*$H465),"")</f>
        <v>60</v>
      </c>
      <c r="Z465" s="41">
        <f>IFERROR(IF(Y465=0,"",ROUNDUP(Y465/H465,0)*0.01898),"")</f>
        <v>9.4899999999999998E-2</v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51.364214375000024</v>
      </c>
      <c r="BN465" s="78">
        <f>IFERROR(Y465*I465/H465,"0")</f>
        <v>62.050000000000004</v>
      </c>
      <c r="BO465" s="78">
        <f>IFERROR(1/J465*(X465/H465),"0")</f>
        <v>6.4670898437500027E-2</v>
      </c>
      <c r="BP465" s="78">
        <f>IFERROR(1/J465*(Y465/H465),"0")</f>
        <v>7.8125E-2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673">
        <v>4680115884908</v>
      </c>
      <c r="E466" s="67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7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75"/>
      <c r="R466" s="675"/>
      <c r="S466" s="675"/>
      <c r="T466" s="67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70"/>
      <c r="P467" s="666" t="s">
        <v>40</v>
      </c>
      <c r="Q467" s="667"/>
      <c r="R467" s="667"/>
      <c r="S467" s="667"/>
      <c r="T467" s="667"/>
      <c r="U467" s="667"/>
      <c r="V467" s="668"/>
      <c r="W467" s="42" t="s">
        <v>39</v>
      </c>
      <c r="X467" s="43">
        <f>IFERROR(X465/H465,"0")+IFERROR(X466/H466,"0")</f>
        <v>4.1389375000000017</v>
      </c>
      <c r="Y467" s="43">
        <f>IFERROR(Y465/H465,"0")+IFERROR(Y466/H466,"0")</f>
        <v>5</v>
      </c>
      <c r="Z467" s="43">
        <f>IFERROR(IF(Z465="",0,Z465),"0")+IFERROR(IF(Z466="",0,Z466),"0")</f>
        <v>9.4899999999999998E-2</v>
      </c>
      <c r="AA467" s="67"/>
      <c r="AB467" s="67"/>
      <c r="AC467" s="67"/>
    </row>
    <row r="468" spans="1:68" x14ac:dyDescent="0.2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70"/>
      <c r="P468" s="666" t="s">
        <v>40</v>
      </c>
      <c r="Q468" s="667"/>
      <c r="R468" s="667"/>
      <c r="S468" s="667"/>
      <c r="T468" s="667"/>
      <c r="U468" s="667"/>
      <c r="V468" s="668"/>
      <c r="W468" s="42" t="s">
        <v>0</v>
      </c>
      <c r="X468" s="43">
        <f>IFERROR(SUM(X465:X466),"0")</f>
        <v>49.667250000000024</v>
      </c>
      <c r="Y468" s="43">
        <f>IFERROR(SUM(Y465:Y466),"0")</f>
        <v>60</v>
      </c>
      <c r="Z468" s="42"/>
      <c r="AA468" s="67"/>
      <c r="AB468" s="67"/>
      <c r="AC468" s="67"/>
    </row>
    <row r="469" spans="1:68" ht="14.25" hidden="1" customHeight="1" x14ac:dyDescent="0.25">
      <c r="A469" s="672" t="s">
        <v>77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673">
        <v>4607091384802</v>
      </c>
      <c r="E470" s="67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75"/>
      <c r="R470" s="675"/>
      <c r="S470" s="675"/>
      <c r="T470" s="67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70"/>
      <c r="P471" s="666" t="s">
        <v>40</v>
      </c>
      <c r="Q471" s="667"/>
      <c r="R471" s="667"/>
      <c r="S471" s="667"/>
      <c r="T471" s="667"/>
      <c r="U471" s="667"/>
      <c r="V471" s="668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70"/>
      <c r="P472" s="666" t="s">
        <v>40</v>
      </c>
      <c r="Q472" s="667"/>
      <c r="R472" s="667"/>
      <c r="S472" s="667"/>
      <c r="T472" s="667"/>
      <c r="U472" s="667"/>
      <c r="V472" s="668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72" t="s">
        <v>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673">
        <v>4607091384246</v>
      </c>
      <c r="E474" s="67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7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673">
        <v>4607091384253</v>
      </c>
      <c r="E475" s="67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673">
        <v>4607091384253</v>
      </c>
      <c r="E476" s="67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7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70"/>
      <c r="P477" s="666" t="s">
        <v>40</v>
      </c>
      <c r="Q477" s="667"/>
      <c r="R477" s="667"/>
      <c r="S477" s="667"/>
      <c r="T477" s="667"/>
      <c r="U477" s="667"/>
      <c r="V477" s="668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70"/>
      <c r="P478" s="666" t="s">
        <v>40</v>
      </c>
      <c r="Q478" s="667"/>
      <c r="R478" s="667"/>
      <c r="S478" s="667"/>
      <c r="T478" s="667"/>
      <c r="U478" s="667"/>
      <c r="V478" s="668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686" t="s">
        <v>782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54"/>
      <c r="AB479" s="54"/>
      <c r="AC479" s="54"/>
    </row>
    <row r="480" spans="1:68" ht="16.5" hidden="1" customHeight="1" x14ac:dyDescent="0.25">
      <c r="A480" s="671" t="s">
        <v>783</v>
      </c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  <c r="AA480" s="65"/>
      <c r="AB480" s="65"/>
      <c r="AC480" s="79"/>
    </row>
    <row r="481" spans="1:68" ht="14.25" hidden="1" customHeight="1" x14ac:dyDescent="0.25">
      <c r="A481" s="672" t="s">
        <v>77</v>
      </c>
      <c r="B481" s="672"/>
      <c r="C481" s="672"/>
      <c r="D481" s="672"/>
      <c r="E481" s="672"/>
      <c r="F481" s="672"/>
      <c r="G481" s="672"/>
      <c r="H481" s="672"/>
      <c r="I481" s="672"/>
      <c r="J481" s="672"/>
      <c r="K481" s="672"/>
      <c r="L481" s="672"/>
      <c r="M481" s="672"/>
      <c r="N481" s="672"/>
      <c r="O481" s="672"/>
      <c r="P481" s="672"/>
      <c r="Q481" s="672"/>
      <c r="R481" s="672"/>
      <c r="S481" s="672"/>
      <c r="T481" s="672"/>
      <c r="U481" s="672"/>
      <c r="V481" s="672"/>
      <c r="W481" s="672"/>
      <c r="X481" s="672"/>
      <c r="Y481" s="672"/>
      <c r="Z481" s="672"/>
      <c r="AA481" s="66"/>
      <c r="AB481" s="66"/>
      <c r="AC481" s="80"/>
    </row>
    <row r="482" spans="1:68" ht="27" hidden="1" customHeight="1" x14ac:dyDescent="0.25">
      <c r="A482" s="63" t="s">
        <v>784</v>
      </c>
      <c r="B482" s="63" t="s">
        <v>785</v>
      </c>
      <c r="C482" s="36">
        <v>4301031405</v>
      </c>
      <c r="D482" s="673">
        <v>4680115886100</v>
      </c>
      <c r="E482" s="67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75"/>
      <c r="R482" s="675"/>
      <c r="S482" s="675"/>
      <c r="T482" s="67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673">
        <v>4680115886124</v>
      </c>
      <c r="E483" s="67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7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673">
        <v>4607091384338</v>
      </c>
      <c r="E484" s="67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673">
        <v>4680115883161</v>
      </c>
      <c r="E485" s="67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673">
        <v>4607091389531</v>
      </c>
      <c r="E486" s="67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75"/>
      <c r="R486" s="675"/>
      <c r="S486" s="675"/>
      <c r="T486" s="67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673">
        <v>4607091384345</v>
      </c>
      <c r="E487" s="67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7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75"/>
      <c r="R487" s="675"/>
      <c r="S487" s="675"/>
      <c r="T487" s="67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hidden="1" x14ac:dyDescent="0.2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70"/>
      <c r="P488" s="666" t="s">
        <v>40</v>
      </c>
      <c r="Q488" s="667"/>
      <c r="R488" s="667"/>
      <c r="S488" s="667"/>
      <c r="T488" s="667"/>
      <c r="U488" s="667"/>
      <c r="V488" s="668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hidden="1" x14ac:dyDescent="0.2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70"/>
      <c r="P489" s="666" t="s">
        <v>40</v>
      </c>
      <c r="Q489" s="667"/>
      <c r="R489" s="667"/>
      <c r="S489" s="667"/>
      <c r="T489" s="667"/>
      <c r="U489" s="667"/>
      <c r="V489" s="668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72" t="s">
        <v>86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673">
        <v>4607091384352</v>
      </c>
      <c r="E491" s="67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70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673">
        <v>4607091389654</v>
      </c>
      <c r="E492" s="67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70"/>
      <c r="P493" s="666" t="s">
        <v>40</v>
      </c>
      <c r="Q493" s="667"/>
      <c r="R493" s="667"/>
      <c r="S493" s="667"/>
      <c r="T493" s="667"/>
      <c r="U493" s="667"/>
      <c r="V493" s="668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70"/>
      <c r="P494" s="666" t="s">
        <v>40</v>
      </c>
      <c r="Q494" s="667"/>
      <c r="R494" s="667"/>
      <c r="S494" s="667"/>
      <c r="T494" s="667"/>
      <c r="U494" s="667"/>
      <c r="V494" s="668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671" t="s">
        <v>806</v>
      </c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  <c r="AA495" s="65"/>
      <c r="AB495" s="65"/>
      <c r="AC495" s="79"/>
    </row>
    <row r="496" spans="1:68" ht="14.25" hidden="1" customHeight="1" x14ac:dyDescent="0.25">
      <c r="A496" s="672" t="s">
        <v>155</v>
      </c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72"/>
      <c r="P496" s="672"/>
      <c r="Q496" s="672"/>
      <c r="R496" s="672"/>
      <c r="S496" s="672"/>
      <c r="T496" s="672"/>
      <c r="U496" s="672"/>
      <c r="V496" s="672"/>
      <c r="W496" s="672"/>
      <c r="X496" s="672"/>
      <c r="Y496" s="672"/>
      <c r="Z496" s="67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673">
        <v>4680115885240</v>
      </c>
      <c r="E497" s="67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7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675"/>
      <c r="R497" s="675"/>
      <c r="S497" s="675"/>
      <c r="T497" s="67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70"/>
      <c r="P498" s="666" t="s">
        <v>40</v>
      </c>
      <c r="Q498" s="667"/>
      <c r="R498" s="667"/>
      <c r="S498" s="667"/>
      <c r="T498" s="667"/>
      <c r="U498" s="667"/>
      <c r="V498" s="668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70"/>
      <c r="P499" s="666" t="s">
        <v>40</v>
      </c>
      <c r="Q499" s="667"/>
      <c r="R499" s="667"/>
      <c r="S499" s="667"/>
      <c r="T499" s="667"/>
      <c r="U499" s="667"/>
      <c r="V499" s="668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672" t="s">
        <v>77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hidden="1" customHeight="1" x14ac:dyDescent="0.25">
      <c r="A501" s="63" t="s">
        <v>810</v>
      </c>
      <c r="B501" s="63" t="s">
        <v>811</v>
      </c>
      <c r="C501" s="36">
        <v>4301031407</v>
      </c>
      <c r="D501" s="673">
        <v>4680115886094</v>
      </c>
      <c r="E501" s="67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7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673">
        <v>4680115880771</v>
      </c>
      <c r="E502" s="67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675"/>
      <c r="R502" s="675"/>
      <c r="S502" s="675"/>
      <c r="T502" s="67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673">
        <v>4607091389500</v>
      </c>
      <c r="E503" s="67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675"/>
      <c r="R503" s="675"/>
      <c r="S503" s="675"/>
      <c r="T503" s="67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idden="1" x14ac:dyDescent="0.2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70"/>
      <c r="P504" s="666" t="s">
        <v>40</v>
      </c>
      <c r="Q504" s="667"/>
      <c r="R504" s="667"/>
      <c r="S504" s="667"/>
      <c r="T504" s="667"/>
      <c r="U504" s="667"/>
      <c r="V504" s="668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70"/>
      <c r="P505" s="666" t="s">
        <v>40</v>
      </c>
      <c r="Q505" s="667"/>
      <c r="R505" s="667"/>
      <c r="S505" s="667"/>
      <c r="T505" s="667"/>
      <c r="U505" s="667"/>
      <c r="V505" s="668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hidden="1" customHeight="1" x14ac:dyDescent="0.2">
      <c r="A506" s="686" t="s">
        <v>818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54"/>
      <c r="AB506" s="54"/>
      <c r="AC506" s="54"/>
    </row>
    <row r="507" spans="1:68" ht="16.5" hidden="1" customHeight="1" x14ac:dyDescent="0.25">
      <c r="A507" s="671" t="s">
        <v>818</v>
      </c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  <c r="AA507" s="65"/>
      <c r="AB507" s="65"/>
      <c r="AC507" s="79"/>
    </row>
    <row r="508" spans="1:68" ht="14.25" hidden="1" customHeight="1" x14ac:dyDescent="0.25">
      <c r="A508" s="672" t="s">
        <v>122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customHeight="1" x14ac:dyDescent="0.25">
      <c r="A509" s="63" t="s">
        <v>819</v>
      </c>
      <c r="B509" s="63" t="s">
        <v>820</v>
      </c>
      <c r="C509" s="36">
        <v>4301011769</v>
      </c>
      <c r="D509" s="673">
        <v>4607091389067</v>
      </c>
      <c r="E509" s="67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7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>
        <v>70</v>
      </c>
      <c r="Y509" s="55">
        <f t="shared" ref="Y509:Y517" si="80">IFERROR(IF(X509="",0,CEILING((X509/$H509),1)*$H509),"")</f>
        <v>73.92</v>
      </c>
      <c r="Z509" s="41">
        <f t="shared" ref="Z509:Z514" si="81">IFERROR(IF(Y509=0,"",ROUNDUP(Y509/H509,0)*0.01196),"")</f>
        <v>0.16744000000000001</v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74.640151515151501</v>
      </c>
      <c r="BN509" s="78">
        <f t="shared" ref="BN509:BN517" si="83">IFERROR(Y509*I509/H509,"0")</f>
        <v>78.819999999999993</v>
      </c>
      <c r="BO509" s="78">
        <f t="shared" ref="BO509:BO517" si="84">IFERROR(1/J509*(X509/H509),"0")</f>
        <v>0.12747668997668998</v>
      </c>
      <c r="BP509" s="78">
        <f t="shared" ref="BP509:BP517" si="85">IFERROR(1/J509*(Y509/H509),"0")</f>
        <v>0.13461538461538464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673">
        <v>4680115889576</v>
      </c>
      <c r="E510" s="67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673">
        <v>4680115885271</v>
      </c>
      <c r="E511" s="67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675"/>
      <c r="R511" s="675"/>
      <c r="S511" s="675"/>
      <c r="T511" s="67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4301011369</v>
      </c>
      <c r="D512" s="673">
        <v>4680115885226</v>
      </c>
      <c r="E512" s="67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70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675"/>
      <c r="R512" s="675"/>
      <c r="S512" s="675"/>
      <c r="T512" s="67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673">
        <v>4680115884502</v>
      </c>
      <c r="E513" s="67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6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675"/>
      <c r="R513" s="675"/>
      <c r="S513" s="675"/>
      <c r="T513" s="67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673">
        <v>4607091389104</v>
      </c>
      <c r="E514" s="67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>
        <v>200</v>
      </c>
      <c r="Y514" s="55">
        <f t="shared" si="80"/>
        <v>200.64000000000001</v>
      </c>
      <c r="Z514" s="41">
        <f t="shared" si="81"/>
        <v>0.45448</v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213.25757575757575</v>
      </c>
      <c r="BN514" s="78">
        <f t="shared" si="83"/>
        <v>213.94</v>
      </c>
      <c r="BO514" s="78">
        <f t="shared" si="84"/>
        <v>0.36421911421911418</v>
      </c>
      <c r="BP514" s="78">
        <f t="shared" si="85"/>
        <v>0.36538461538461542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673">
        <v>4680115886391</v>
      </c>
      <c r="E515" s="67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75"/>
      <c r="R515" s="675"/>
      <c r="S515" s="675"/>
      <c r="T515" s="67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customHeight="1" x14ac:dyDescent="0.25">
      <c r="A516" s="63" t="s">
        <v>838</v>
      </c>
      <c r="B516" s="63" t="s">
        <v>839</v>
      </c>
      <c r="C516" s="36">
        <v>4301012048</v>
      </c>
      <c r="D516" s="673">
        <v>4680115880603</v>
      </c>
      <c r="E516" s="67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6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75"/>
      <c r="R516" s="675"/>
      <c r="S516" s="675"/>
      <c r="T516" s="676"/>
      <c r="U516" s="39" t="s">
        <v>46</v>
      </c>
      <c r="V516" s="39" t="s">
        <v>46</v>
      </c>
      <c r="W516" s="40" t="s">
        <v>0</v>
      </c>
      <c r="X516" s="58">
        <v>72</v>
      </c>
      <c r="Y516" s="55">
        <f t="shared" si="80"/>
        <v>72</v>
      </c>
      <c r="Z516" s="41">
        <f>IFERROR(IF(Y516=0,"",ROUNDUP(Y516/H516,0)*0.00902),"")</f>
        <v>0.1353</v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103.65</v>
      </c>
      <c r="BN516" s="78">
        <f t="shared" si="83"/>
        <v>103.65</v>
      </c>
      <c r="BO516" s="78">
        <f t="shared" si="84"/>
        <v>0.11363636363636365</v>
      </c>
      <c r="BP516" s="78">
        <f t="shared" si="85"/>
        <v>0.11363636363636365</v>
      </c>
    </row>
    <row r="517" spans="1:68" ht="27" customHeight="1" x14ac:dyDescent="0.25">
      <c r="A517" s="63" t="s">
        <v>840</v>
      </c>
      <c r="B517" s="63" t="s">
        <v>841</v>
      </c>
      <c r="C517" s="36">
        <v>4301012034</v>
      </c>
      <c r="D517" s="673">
        <v>4607091389982</v>
      </c>
      <c r="E517" s="67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7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75"/>
      <c r="R517" s="675"/>
      <c r="S517" s="675"/>
      <c r="T517" s="676"/>
      <c r="U517" s="39" t="s">
        <v>46</v>
      </c>
      <c r="V517" s="39" t="s">
        <v>46</v>
      </c>
      <c r="W517" s="40" t="s">
        <v>0</v>
      </c>
      <c r="X517" s="58">
        <v>180</v>
      </c>
      <c r="Y517" s="55">
        <f t="shared" si="80"/>
        <v>182.4</v>
      </c>
      <c r="Z517" s="41">
        <f>IFERROR(IF(Y517=0,"",ROUNDUP(Y517/H517,0)*0.00902),"")</f>
        <v>0.34276000000000001</v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259.125</v>
      </c>
      <c r="BN517" s="78">
        <f t="shared" si="83"/>
        <v>262.58000000000004</v>
      </c>
      <c r="BO517" s="78">
        <f t="shared" si="84"/>
        <v>0.28409090909090912</v>
      </c>
      <c r="BP517" s="78">
        <f t="shared" si="85"/>
        <v>0.2878787878787879</v>
      </c>
    </row>
    <row r="518" spans="1:68" x14ac:dyDescent="0.2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70"/>
      <c r="P518" s="666" t="s">
        <v>40</v>
      </c>
      <c r="Q518" s="667"/>
      <c r="R518" s="667"/>
      <c r="S518" s="667"/>
      <c r="T518" s="667"/>
      <c r="U518" s="667"/>
      <c r="V518" s="668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103.63636363636363</v>
      </c>
      <c r="Y518" s="43">
        <f>IFERROR(Y509/H509,"0")+IFERROR(Y510/H510,"0")+IFERROR(Y511/H511,"0")+IFERROR(Y512/H512,"0")+IFERROR(Y513/H513,"0")+IFERROR(Y514/H514,"0")+IFERROR(Y515/H515,"0")+IFERROR(Y516/H516,"0")+IFERROR(Y517/H517,"0")</f>
        <v>105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1.09998</v>
      </c>
      <c r="AA518" s="67"/>
      <c r="AB518" s="67"/>
      <c r="AC518" s="67"/>
    </row>
    <row r="519" spans="1:68" x14ac:dyDescent="0.2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70"/>
      <c r="P519" s="666" t="s">
        <v>40</v>
      </c>
      <c r="Q519" s="667"/>
      <c r="R519" s="667"/>
      <c r="S519" s="667"/>
      <c r="T519" s="667"/>
      <c r="U519" s="667"/>
      <c r="V519" s="668"/>
      <c r="W519" s="42" t="s">
        <v>0</v>
      </c>
      <c r="X519" s="43">
        <f>IFERROR(SUM(X509:X517),"0")</f>
        <v>522</v>
      </c>
      <c r="Y519" s="43">
        <f>IFERROR(SUM(Y509:Y517),"0")</f>
        <v>528.96</v>
      </c>
      <c r="Z519" s="42"/>
      <c r="AA519" s="67"/>
      <c r="AB519" s="67"/>
      <c r="AC519" s="67"/>
    </row>
    <row r="520" spans="1:68" ht="14.25" hidden="1" customHeight="1" x14ac:dyDescent="0.25">
      <c r="A520" s="672" t="s">
        <v>155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6"/>
      <c r="AB520" s="66"/>
      <c r="AC520" s="80"/>
    </row>
    <row r="521" spans="1:68" ht="16.5" customHeight="1" x14ac:dyDescent="0.25">
      <c r="A521" s="63" t="s">
        <v>842</v>
      </c>
      <c r="B521" s="63" t="s">
        <v>843</v>
      </c>
      <c r="C521" s="36">
        <v>4301020334</v>
      </c>
      <c r="D521" s="673">
        <v>4607091388930</v>
      </c>
      <c r="E521" s="67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70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75"/>
      <c r="R521" s="675"/>
      <c r="S521" s="675"/>
      <c r="T521" s="676"/>
      <c r="U521" s="39" t="s">
        <v>46</v>
      </c>
      <c r="V521" s="39" t="s">
        <v>46</v>
      </c>
      <c r="W521" s="40" t="s">
        <v>0</v>
      </c>
      <c r="X521" s="58">
        <v>250</v>
      </c>
      <c r="Y521" s="55">
        <f>IFERROR(IF(X521="",0,CEILING((X521/$H521),1)*$H521),"")</f>
        <v>253.44</v>
      </c>
      <c r="Z521" s="41">
        <f>IFERROR(IF(Y521=0,"",ROUNDUP(Y521/H521,0)*0.01196),"")</f>
        <v>0.57408000000000003</v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266.57196969696969</v>
      </c>
      <c r="BN521" s="78">
        <f>IFERROR(Y521*I521/H521,"0")</f>
        <v>270.23999999999995</v>
      </c>
      <c r="BO521" s="78">
        <f>IFERROR(1/J521*(X521/H521),"0")</f>
        <v>0.45527389277389274</v>
      </c>
      <c r="BP521" s="78">
        <f>IFERROR(1/J521*(Y521/H521),"0")</f>
        <v>0.46153846153846156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673">
        <v>4680115886407</v>
      </c>
      <c r="E522" s="67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70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75"/>
      <c r="R522" s="675"/>
      <c r="S522" s="675"/>
      <c r="T522" s="67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customHeight="1" x14ac:dyDescent="0.25">
      <c r="A523" s="63" t="s">
        <v>847</v>
      </c>
      <c r="B523" s="63" t="s">
        <v>848</v>
      </c>
      <c r="C523" s="36">
        <v>4301020385</v>
      </c>
      <c r="D523" s="673">
        <v>4680115880054</v>
      </c>
      <c r="E523" s="67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75"/>
      <c r="R523" s="675"/>
      <c r="S523" s="675"/>
      <c r="T523" s="676"/>
      <c r="U523" s="39" t="s">
        <v>46</v>
      </c>
      <c r="V523" s="39" t="s">
        <v>46</v>
      </c>
      <c r="W523" s="40" t="s">
        <v>0</v>
      </c>
      <c r="X523" s="58">
        <v>60</v>
      </c>
      <c r="Y523" s="55">
        <f>IFERROR(IF(X523="",0,CEILING((X523/$H523),1)*$H523),"")</f>
        <v>62.4</v>
      </c>
      <c r="Z523" s="41">
        <f>IFERROR(IF(Y523=0,"",ROUNDUP(Y523/H523,0)*0.00902),"")</f>
        <v>0.11726</v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86.375000000000014</v>
      </c>
      <c r="BN523" s="78">
        <f>IFERROR(Y523*I523/H523,"0")</f>
        <v>89.830000000000013</v>
      </c>
      <c r="BO523" s="78">
        <f>IFERROR(1/J523*(X523/H523),"0")</f>
        <v>9.4696969696969696E-2</v>
      </c>
      <c r="BP523" s="78">
        <f>IFERROR(1/J523*(Y523/H523),"0")</f>
        <v>9.8484848484848481E-2</v>
      </c>
    </row>
    <row r="524" spans="1:68" x14ac:dyDescent="0.2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70"/>
      <c r="P524" s="666" t="s">
        <v>40</v>
      </c>
      <c r="Q524" s="667"/>
      <c r="R524" s="667"/>
      <c r="S524" s="667"/>
      <c r="T524" s="667"/>
      <c r="U524" s="667"/>
      <c r="V524" s="668"/>
      <c r="W524" s="42" t="s">
        <v>39</v>
      </c>
      <c r="X524" s="43">
        <f>IFERROR(X521/H521,"0")+IFERROR(X522/H522,"0")+IFERROR(X523/H523,"0")</f>
        <v>59.848484848484844</v>
      </c>
      <c r="Y524" s="43">
        <f>IFERROR(Y521/H521,"0")+IFERROR(Y522/H522,"0")+IFERROR(Y523/H523,"0")</f>
        <v>61</v>
      </c>
      <c r="Z524" s="43">
        <f>IFERROR(IF(Z521="",0,Z521),"0")+IFERROR(IF(Z522="",0,Z522),"0")+IFERROR(IF(Z523="",0,Z523),"0")</f>
        <v>0.69134000000000007</v>
      </c>
      <c r="AA524" s="67"/>
      <c r="AB524" s="67"/>
      <c r="AC524" s="67"/>
    </row>
    <row r="525" spans="1:68" x14ac:dyDescent="0.2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70"/>
      <c r="P525" s="666" t="s">
        <v>40</v>
      </c>
      <c r="Q525" s="667"/>
      <c r="R525" s="667"/>
      <c r="S525" s="667"/>
      <c r="T525" s="667"/>
      <c r="U525" s="667"/>
      <c r="V525" s="668"/>
      <c r="W525" s="42" t="s">
        <v>0</v>
      </c>
      <c r="X525" s="43">
        <f>IFERROR(SUM(X521:X523),"0")</f>
        <v>310</v>
      </c>
      <c r="Y525" s="43">
        <f>IFERROR(SUM(Y521:Y523),"0")</f>
        <v>315.83999999999997</v>
      </c>
      <c r="Z525" s="42"/>
      <c r="AA525" s="67"/>
      <c r="AB525" s="67"/>
      <c r="AC525" s="67"/>
    </row>
    <row r="526" spans="1:68" ht="14.25" hidden="1" customHeight="1" x14ac:dyDescent="0.25">
      <c r="A526" s="672" t="s">
        <v>77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6"/>
      <c r="AB526" s="66"/>
      <c r="AC526" s="80"/>
    </row>
    <row r="527" spans="1:68" ht="27" customHeight="1" x14ac:dyDescent="0.25">
      <c r="A527" s="63" t="s">
        <v>849</v>
      </c>
      <c r="B527" s="63" t="s">
        <v>850</v>
      </c>
      <c r="C527" s="36">
        <v>4301031349</v>
      </c>
      <c r="D527" s="673">
        <v>4680115883116</v>
      </c>
      <c r="E527" s="67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6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75"/>
      <c r="R527" s="675"/>
      <c r="S527" s="675"/>
      <c r="T527" s="676"/>
      <c r="U527" s="39" t="s">
        <v>46</v>
      </c>
      <c r="V527" s="39" t="s">
        <v>46</v>
      </c>
      <c r="W527" s="40" t="s">
        <v>0</v>
      </c>
      <c r="X527" s="58">
        <v>50</v>
      </c>
      <c r="Y527" s="55">
        <f t="shared" ref="Y527:Y533" si="86">IFERROR(IF(X527="",0,CEILING((X527/$H527),1)*$H527),"")</f>
        <v>52.800000000000004</v>
      </c>
      <c r="Z527" s="41">
        <f>IFERROR(IF(Y527=0,"",ROUNDUP(Y527/H527,0)*0.01196),"")</f>
        <v>0.1196</v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53.314393939393938</v>
      </c>
      <c r="BN527" s="78">
        <f t="shared" ref="BN527:BN533" si="88">IFERROR(Y527*I527/H527,"0")</f>
        <v>56.3</v>
      </c>
      <c r="BO527" s="78">
        <f t="shared" ref="BO527:BO533" si="89">IFERROR(1/J527*(X527/H527),"0")</f>
        <v>9.1054778554778545E-2</v>
      </c>
      <c r="BP527" s="78">
        <f t="shared" ref="BP527:BP533" si="90">IFERROR(1/J527*(Y527/H527),"0")</f>
        <v>9.6153846153846159E-2</v>
      </c>
    </row>
    <row r="528" spans="1:68" ht="27" customHeight="1" x14ac:dyDescent="0.25">
      <c r="A528" s="63" t="s">
        <v>852</v>
      </c>
      <c r="B528" s="63" t="s">
        <v>853</v>
      </c>
      <c r="C528" s="36">
        <v>4301031350</v>
      </c>
      <c r="D528" s="673">
        <v>4680115883093</v>
      </c>
      <c r="E528" s="67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75"/>
      <c r="R528" s="675"/>
      <c r="S528" s="675"/>
      <c r="T528" s="676"/>
      <c r="U528" s="39" t="s">
        <v>46</v>
      </c>
      <c r="V528" s="39" t="s">
        <v>46</v>
      </c>
      <c r="W528" s="40" t="s">
        <v>0</v>
      </c>
      <c r="X528" s="58">
        <v>30</v>
      </c>
      <c r="Y528" s="55">
        <f t="shared" si="86"/>
        <v>31.68</v>
      </c>
      <c r="Z528" s="41">
        <f>IFERROR(IF(Y528=0,"",ROUNDUP(Y528/H528,0)*0.01196),"")</f>
        <v>7.1760000000000004E-2</v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31.988636363636363</v>
      </c>
      <c r="BN528" s="78">
        <f t="shared" si="88"/>
        <v>33.779999999999994</v>
      </c>
      <c r="BO528" s="78">
        <f t="shared" si="89"/>
        <v>5.4632867132867136E-2</v>
      </c>
      <c r="BP528" s="78">
        <f t="shared" si="90"/>
        <v>5.7692307692307696E-2</v>
      </c>
    </row>
    <row r="529" spans="1:68" ht="27" customHeight="1" x14ac:dyDescent="0.25">
      <c r="A529" s="63" t="s">
        <v>855</v>
      </c>
      <c r="B529" s="63" t="s">
        <v>856</v>
      </c>
      <c r="C529" s="36">
        <v>4301031353</v>
      </c>
      <c r="D529" s="673">
        <v>4680115883109</v>
      </c>
      <c r="E529" s="67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6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75"/>
      <c r="R529" s="675"/>
      <c r="S529" s="675"/>
      <c r="T529" s="676"/>
      <c r="U529" s="39" t="s">
        <v>46</v>
      </c>
      <c r="V529" s="39" t="s">
        <v>46</v>
      </c>
      <c r="W529" s="40" t="s">
        <v>0</v>
      </c>
      <c r="X529" s="58">
        <v>120</v>
      </c>
      <c r="Y529" s="55">
        <f t="shared" si="86"/>
        <v>121.44000000000001</v>
      </c>
      <c r="Z529" s="41">
        <f>IFERROR(IF(Y529=0,"",ROUNDUP(Y529/H529,0)*0.01196),"")</f>
        <v>0.27507999999999999</v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127.95454545454545</v>
      </c>
      <c r="BN529" s="78">
        <f t="shared" si="88"/>
        <v>129.49</v>
      </c>
      <c r="BO529" s="78">
        <f t="shared" si="89"/>
        <v>0.21853146853146854</v>
      </c>
      <c r="BP529" s="78">
        <f t="shared" si="90"/>
        <v>0.22115384615384617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673">
        <v>4680115882072</v>
      </c>
      <c r="E530" s="67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69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75"/>
      <c r="R530" s="675"/>
      <c r="S530" s="675"/>
      <c r="T530" s="67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673">
        <v>4680115882102</v>
      </c>
      <c r="E531" s="67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75"/>
      <c r="R531" s="675"/>
      <c r="S531" s="675"/>
      <c r="T531" s="67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673">
        <v>4680115882102</v>
      </c>
      <c r="E532" s="67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75"/>
      <c r="R532" s="675"/>
      <c r="S532" s="675"/>
      <c r="T532" s="67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customHeight="1" x14ac:dyDescent="0.25">
      <c r="A533" s="63" t="s">
        <v>863</v>
      </c>
      <c r="B533" s="63" t="s">
        <v>864</v>
      </c>
      <c r="C533" s="36">
        <v>4301031417</v>
      </c>
      <c r="D533" s="673">
        <v>4680115882096</v>
      </c>
      <c r="E533" s="67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6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75"/>
      <c r="R533" s="675"/>
      <c r="S533" s="675"/>
      <c r="T533" s="676"/>
      <c r="U533" s="39" t="s">
        <v>46</v>
      </c>
      <c r="V533" s="39" t="s">
        <v>46</v>
      </c>
      <c r="W533" s="40" t="s">
        <v>0</v>
      </c>
      <c r="X533" s="58">
        <v>108</v>
      </c>
      <c r="Y533" s="55">
        <f t="shared" si="86"/>
        <v>110.39999999999999</v>
      </c>
      <c r="Z533" s="41">
        <f>IFERROR(IF(Y533=0,"",ROUNDUP(Y533/H533,0)*0.00902),"")</f>
        <v>0.20746000000000001</v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150.07500000000002</v>
      </c>
      <c r="BN533" s="78">
        <f t="shared" si="88"/>
        <v>153.41</v>
      </c>
      <c r="BO533" s="78">
        <f t="shared" si="89"/>
        <v>0.17045454545454547</v>
      </c>
      <c r="BP533" s="78">
        <f t="shared" si="90"/>
        <v>0.17424242424242425</v>
      </c>
    </row>
    <row r="534" spans="1:68" x14ac:dyDescent="0.2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70"/>
      <c r="P534" s="666" t="s">
        <v>40</v>
      </c>
      <c r="Q534" s="667"/>
      <c r="R534" s="667"/>
      <c r="S534" s="667"/>
      <c r="T534" s="667"/>
      <c r="U534" s="667"/>
      <c r="V534" s="668"/>
      <c r="W534" s="42" t="s">
        <v>39</v>
      </c>
      <c r="X534" s="43">
        <f>IFERROR(X527/H527,"0")+IFERROR(X528/H528,"0")+IFERROR(X529/H529,"0")+IFERROR(X530/H530,"0")+IFERROR(X531/H531,"0")+IFERROR(X532/H532,"0")+IFERROR(X533/H533,"0")</f>
        <v>60.378787878787875</v>
      </c>
      <c r="Y534" s="43">
        <f>IFERROR(Y527/H527,"0")+IFERROR(Y528/H528,"0")+IFERROR(Y529/H529,"0")+IFERROR(Y530/H530,"0")+IFERROR(Y531/H531,"0")+IFERROR(Y532/H532,"0")+IFERROR(Y533/H533,"0")</f>
        <v>62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0.67389999999999994</v>
      </c>
      <c r="AA534" s="67"/>
      <c r="AB534" s="67"/>
      <c r="AC534" s="67"/>
    </row>
    <row r="535" spans="1:68" x14ac:dyDescent="0.2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70"/>
      <c r="P535" s="666" t="s">
        <v>40</v>
      </c>
      <c r="Q535" s="667"/>
      <c r="R535" s="667"/>
      <c r="S535" s="667"/>
      <c r="T535" s="667"/>
      <c r="U535" s="667"/>
      <c r="V535" s="668"/>
      <c r="W535" s="42" t="s">
        <v>0</v>
      </c>
      <c r="X535" s="43">
        <f>IFERROR(SUM(X527:X533),"0")</f>
        <v>308</v>
      </c>
      <c r="Y535" s="43">
        <f>IFERROR(SUM(Y527:Y533),"0")</f>
        <v>316.32</v>
      </c>
      <c r="Z535" s="42"/>
      <c r="AA535" s="67"/>
      <c r="AB535" s="67"/>
      <c r="AC535" s="67"/>
    </row>
    <row r="536" spans="1:68" ht="27.75" hidden="1" customHeight="1" x14ac:dyDescent="0.2">
      <c r="A536" s="686" t="s">
        <v>865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54"/>
      <c r="AB536" s="54"/>
      <c r="AC536" s="54"/>
    </row>
    <row r="537" spans="1:68" ht="16.5" hidden="1" customHeight="1" x14ac:dyDescent="0.25">
      <c r="A537" s="671" t="s">
        <v>865</v>
      </c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  <c r="AA537" s="65"/>
      <c r="AB537" s="65"/>
      <c r="AC537" s="79"/>
    </row>
    <row r="538" spans="1:68" ht="14.25" hidden="1" customHeight="1" x14ac:dyDescent="0.25">
      <c r="A538" s="672" t="s">
        <v>122</v>
      </c>
      <c r="B538" s="672"/>
      <c r="C538" s="672"/>
      <c r="D538" s="672"/>
      <c r="E538" s="672"/>
      <c r="F538" s="672"/>
      <c r="G538" s="672"/>
      <c r="H538" s="672"/>
      <c r="I538" s="672"/>
      <c r="J538" s="672"/>
      <c r="K538" s="672"/>
      <c r="L538" s="672"/>
      <c r="M538" s="672"/>
      <c r="N538" s="672"/>
      <c r="O538" s="672"/>
      <c r="P538" s="672"/>
      <c r="Q538" s="672"/>
      <c r="R538" s="672"/>
      <c r="S538" s="672"/>
      <c r="T538" s="672"/>
      <c r="U538" s="672"/>
      <c r="V538" s="672"/>
      <c r="W538" s="672"/>
      <c r="X538" s="672"/>
      <c r="Y538" s="672"/>
      <c r="Z538" s="672"/>
      <c r="AA538" s="66"/>
      <c r="AB538" s="66"/>
      <c r="AC538" s="80"/>
    </row>
    <row r="539" spans="1:68" ht="27" customHeight="1" x14ac:dyDescent="0.25">
      <c r="A539" s="63" t="s">
        <v>866</v>
      </c>
      <c r="B539" s="63" t="s">
        <v>867</v>
      </c>
      <c r="C539" s="36">
        <v>4301011584</v>
      </c>
      <c r="D539" s="673">
        <v>4640242180564</v>
      </c>
      <c r="E539" s="67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675"/>
      <c r="R539" s="675"/>
      <c r="S539" s="675"/>
      <c r="T539" s="676"/>
      <c r="U539" s="39" t="s">
        <v>46</v>
      </c>
      <c r="V539" s="39" t="s">
        <v>46</v>
      </c>
      <c r="W539" s="40" t="s">
        <v>0</v>
      </c>
      <c r="X539" s="58">
        <v>200</v>
      </c>
      <c r="Y539" s="55">
        <f>IFERROR(IF(X539="",0,CEILING((X539/$H539),1)*$H539),"")</f>
        <v>204</v>
      </c>
      <c r="Z539" s="41">
        <f>IFERROR(IF(Y539=0,"",ROUNDUP(Y539/H539,0)*0.01898),"")</f>
        <v>0.32266</v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206.83333333333334</v>
      </c>
      <c r="BN539" s="78">
        <f>IFERROR(Y539*I539/H539,"0")</f>
        <v>210.97</v>
      </c>
      <c r="BO539" s="78">
        <f>IFERROR(1/J539*(X539/H539),"0")</f>
        <v>0.26041666666666669</v>
      </c>
      <c r="BP539" s="78">
        <f>IFERROR(1/J539*(Y539/H539),"0")</f>
        <v>0.265625</v>
      </c>
    </row>
    <row r="540" spans="1:68" x14ac:dyDescent="0.2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70"/>
      <c r="P540" s="666" t="s">
        <v>40</v>
      </c>
      <c r="Q540" s="667"/>
      <c r="R540" s="667"/>
      <c r="S540" s="667"/>
      <c r="T540" s="667"/>
      <c r="U540" s="667"/>
      <c r="V540" s="668"/>
      <c r="W540" s="42" t="s">
        <v>39</v>
      </c>
      <c r="X540" s="43">
        <f>IFERROR(X539/H539,"0")</f>
        <v>16.666666666666668</v>
      </c>
      <c r="Y540" s="43">
        <f>IFERROR(Y539/H539,"0")</f>
        <v>17</v>
      </c>
      <c r="Z540" s="43">
        <f>IFERROR(IF(Z539="",0,Z539),"0")</f>
        <v>0.32266</v>
      </c>
      <c r="AA540" s="67"/>
      <c r="AB540" s="67"/>
      <c r="AC540" s="67"/>
    </row>
    <row r="541" spans="1:68" x14ac:dyDescent="0.2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70"/>
      <c r="P541" s="666" t="s">
        <v>40</v>
      </c>
      <c r="Q541" s="667"/>
      <c r="R541" s="667"/>
      <c r="S541" s="667"/>
      <c r="T541" s="667"/>
      <c r="U541" s="667"/>
      <c r="V541" s="668"/>
      <c r="W541" s="42" t="s">
        <v>0</v>
      </c>
      <c r="X541" s="43">
        <f>IFERROR(SUM(X539:X539),"0")</f>
        <v>200</v>
      </c>
      <c r="Y541" s="43">
        <f>IFERROR(SUM(Y539:Y539),"0")</f>
        <v>204</v>
      </c>
      <c r="Z541" s="42"/>
      <c r="AA541" s="67"/>
      <c r="AB541" s="67"/>
      <c r="AC541" s="67"/>
    </row>
    <row r="542" spans="1:68" ht="14.25" hidden="1" customHeight="1" x14ac:dyDescent="0.25">
      <c r="A542" s="672" t="s">
        <v>155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673">
        <v>4640242180519</v>
      </c>
      <c r="E543" s="67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6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675"/>
      <c r="R543" s="675"/>
      <c r="S543" s="675"/>
      <c r="T543" s="67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70"/>
      <c r="P544" s="666" t="s">
        <v>40</v>
      </c>
      <c r="Q544" s="667"/>
      <c r="R544" s="667"/>
      <c r="S544" s="667"/>
      <c r="T544" s="667"/>
      <c r="U544" s="667"/>
      <c r="V544" s="66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70"/>
      <c r="P545" s="666" t="s">
        <v>40</v>
      </c>
      <c r="Q545" s="667"/>
      <c r="R545" s="667"/>
      <c r="S545" s="667"/>
      <c r="T545" s="667"/>
      <c r="U545" s="667"/>
      <c r="V545" s="66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72" t="s">
        <v>77</v>
      </c>
      <c r="B546" s="672"/>
      <c r="C546" s="672"/>
      <c r="D546" s="672"/>
      <c r="E546" s="672"/>
      <c r="F546" s="672"/>
      <c r="G546" s="672"/>
      <c r="H546" s="672"/>
      <c r="I546" s="672"/>
      <c r="J546" s="672"/>
      <c r="K546" s="672"/>
      <c r="L546" s="672"/>
      <c r="M546" s="672"/>
      <c r="N546" s="672"/>
      <c r="O546" s="672"/>
      <c r="P546" s="672"/>
      <c r="Q546" s="672"/>
      <c r="R546" s="672"/>
      <c r="S546" s="672"/>
      <c r="T546" s="672"/>
      <c r="U546" s="672"/>
      <c r="V546" s="672"/>
      <c r="W546" s="672"/>
      <c r="X546" s="672"/>
      <c r="Y546" s="672"/>
      <c r="Z546" s="672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673">
        <v>4640242180595</v>
      </c>
      <c r="E547" s="67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68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75"/>
      <c r="R547" s="675"/>
      <c r="S547" s="675"/>
      <c r="T547" s="67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70"/>
      <c r="P548" s="666" t="s">
        <v>40</v>
      </c>
      <c r="Q548" s="667"/>
      <c r="R548" s="667"/>
      <c r="S548" s="667"/>
      <c r="T548" s="667"/>
      <c r="U548" s="667"/>
      <c r="V548" s="668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70"/>
      <c r="P549" s="666" t="s">
        <v>40</v>
      </c>
      <c r="Q549" s="667"/>
      <c r="R549" s="667"/>
      <c r="S549" s="667"/>
      <c r="T549" s="667"/>
      <c r="U549" s="667"/>
      <c r="V549" s="668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72" t="s">
        <v>86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6"/>
      <c r="AB550" s="66"/>
      <c r="AC550" s="80"/>
    </row>
    <row r="551" spans="1:68" ht="27" customHeight="1" x14ac:dyDescent="0.25">
      <c r="A551" s="63" t="s">
        <v>875</v>
      </c>
      <c r="B551" s="63" t="s">
        <v>876</v>
      </c>
      <c r="C551" s="36">
        <v>4301052043</v>
      </c>
      <c r="D551" s="673">
        <v>4640242180533</v>
      </c>
      <c r="E551" s="67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675"/>
      <c r="R551" s="675"/>
      <c r="S551" s="675"/>
      <c r="T551" s="676"/>
      <c r="U551" s="39" t="s">
        <v>46</v>
      </c>
      <c r="V551" s="39" t="s">
        <v>46</v>
      </c>
      <c r="W551" s="40" t="s">
        <v>0</v>
      </c>
      <c r="X551" s="58">
        <v>250</v>
      </c>
      <c r="Y551" s="55">
        <f>IFERROR(IF(X551="",0,CEILING((X551/$H551),1)*$H551),"")</f>
        <v>252</v>
      </c>
      <c r="Z551" s="41">
        <f>IFERROR(IF(Y551=0,"",ROUNDUP(Y551/H551,0)*0.01898),"")</f>
        <v>0.53144000000000002</v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263.72222222222223</v>
      </c>
      <c r="BN551" s="78">
        <f>IFERROR(Y551*I551/H551,"0")</f>
        <v>265.83199999999999</v>
      </c>
      <c r="BO551" s="78">
        <f>IFERROR(1/J551*(X551/H551),"0")</f>
        <v>0.43402777777777779</v>
      </c>
      <c r="BP551" s="78">
        <f>IFERROR(1/J551*(Y551/H551),"0")</f>
        <v>0.4375</v>
      </c>
    </row>
    <row r="552" spans="1:68" x14ac:dyDescent="0.2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70"/>
      <c r="P552" s="666" t="s">
        <v>40</v>
      </c>
      <c r="Q552" s="667"/>
      <c r="R552" s="667"/>
      <c r="S552" s="667"/>
      <c r="T552" s="667"/>
      <c r="U552" s="667"/>
      <c r="V552" s="668"/>
      <c r="W552" s="42" t="s">
        <v>39</v>
      </c>
      <c r="X552" s="43">
        <f>IFERROR(X551/H551,"0")</f>
        <v>27.777777777777779</v>
      </c>
      <c r="Y552" s="43">
        <f>IFERROR(Y551/H551,"0")</f>
        <v>28</v>
      </c>
      <c r="Z552" s="43">
        <f>IFERROR(IF(Z551="",0,Z551),"0")</f>
        <v>0.53144000000000002</v>
      </c>
      <c r="AA552" s="67"/>
      <c r="AB552" s="67"/>
      <c r="AC552" s="67"/>
    </row>
    <row r="553" spans="1:68" x14ac:dyDescent="0.2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70"/>
      <c r="P553" s="666" t="s">
        <v>40</v>
      </c>
      <c r="Q553" s="667"/>
      <c r="R553" s="667"/>
      <c r="S553" s="667"/>
      <c r="T553" s="667"/>
      <c r="U553" s="667"/>
      <c r="V553" s="668"/>
      <c r="W553" s="42" t="s">
        <v>0</v>
      </c>
      <c r="X553" s="43">
        <f>IFERROR(SUM(X551:X551),"0")</f>
        <v>250</v>
      </c>
      <c r="Y553" s="43">
        <f>IFERROR(SUM(Y551:Y551),"0")</f>
        <v>252</v>
      </c>
      <c r="Z553" s="42"/>
      <c r="AA553" s="67"/>
      <c r="AB553" s="67"/>
      <c r="AC553" s="67"/>
    </row>
    <row r="554" spans="1:68" ht="14.25" hidden="1" customHeight="1" x14ac:dyDescent="0.25">
      <c r="A554" s="672" t="s">
        <v>173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673">
        <v>4640242180120</v>
      </c>
      <c r="E555" s="67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75"/>
      <c r="R555" s="675"/>
      <c r="S555" s="675"/>
      <c r="T555" s="67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673">
        <v>4640242180137</v>
      </c>
      <c r="E556" s="67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68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75"/>
      <c r="R556" s="675"/>
      <c r="S556" s="675"/>
      <c r="T556" s="67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70"/>
      <c r="P557" s="666" t="s">
        <v>40</v>
      </c>
      <c r="Q557" s="667"/>
      <c r="R557" s="667"/>
      <c r="S557" s="667"/>
      <c r="T557" s="667"/>
      <c r="U557" s="667"/>
      <c r="V557" s="66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70"/>
      <c r="P558" s="666" t="s">
        <v>40</v>
      </c>
      <c r="Q558" s="667"/>
      <c r="R558" s="667"/>
      <c r="S558" s="667"/>
      <c r="T558" s="667"/>
      <c r="U558" s="667"/>
      <c r="V558" s="66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71" t="s">
        <v>884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"/>
      <c r="AB559" s="65"/>
      <c r="AC559" s="79"/>
    </row>
    <row r="560" spans="1:68" ht="14.25" hidden="1" customHeight="1" x14ac:dyDescent="0.25">
      <c r="A560" s="672" t="s">
        <v>155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673">
        <v>4640242180090</v>
      </c>
      <c r="E561" s="67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6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675"/>
      <c r="R561" s="675"/>
      <c r="S561" s="675"/>
      <c r="T561" s="67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70"/>
      <c r="P562" s="666" t="s">
        <v>40</v>
      </c>
      <c r="Q562" s="667"/>
      <c r="R562" s="667"/>
      <c r="S562" s="667"/>
      <c r="T562" s="667"/>
      <c r="U562" s="667"/>
      <c r="V562" s="66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70"/>
      <c r="P563" s="666" t="s">
        <v>40</v>
      </c>
      <c r="Q563" s="667"/>
      <c r="R563" s="667"/>
      <c r="S563" s="667"/>
      <c r="T563" s="667"/>
      <c r="U563" s="667"/>
      <c r="V563" s="66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80"/>
      <c r="P564" s="677" t="s">
        <v>33</v>
      </c>
      <c r="Q564" s="678"/>
      <c r="R564" s="678"/>
      <c r="S564" s="678"/>
      <c r="T564" s="678"/>
      <c r="U564" s="678"/>
      <c r="V564" s="679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17744.56725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17908.080000000002</v>
      </c>
      <c r="Z564" s="42"/>
      <c r="AA564" s="67"/>
      <c r="AB564" s="67"/>
      <c r="AC564" s="67"/>
    </row>
    <row r="565" spans="1:68" x14ac:dyDescent="0.2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80"/>
      <c r="P565" s="677" t="s">
        <v>34</v>
      </c>
      <c r="Q565" s="678"/>
      <c r="R565" s="678"/>
      <c r="S565" s="678"/>
      <c r="T565" s="678"/>
      <c r="U565" s="678"/>
      <c r="V565" s="679"/>
      <c r="W565" s="42" t="s">
        <v>0</v>
      </c>
      <c r="X565" s="43">
        <f>IFERROR(SUM(BM22:BM561),"0")</f>
        <v>18838.278964378082</v>
      </c>
      <c r="Y565" s="43">
        <f>IFERROR(SUM(BN22:BN561),"0")</f>
        <v>19012.566000000006</v>
      </c>
      <c r="Z565" s="42"/>
      <c r="AA565" s="67"/>
      <c r="AB565" s="67"/>
      <c r="AC565" s="67"/>
    </row>
    <row r="566" spans="1:68" x14ac:dyDescent="0.2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80"/>
      <c r="P566" s="677" t="s">
        <v>35</v>
      </c>
      <c r="Q566" s="678"/>
      <c r="R566" s="678"/>
      <c r="S566" s="678"/>
      <c r="T566" s="678"/>
      <c r="U566" s="678"/>
      <c r="V566" s="679"/>
      <c r="W566" s="42" t="s">
        <v>20</v>
      </c>
      <c r="X566" s="44">
        <f>ROUNDUP(SUM(BO22:BO561),0)</f>
        <v>32</v>
      </c>
      <c r="Y566" s="44">
        <f>ROUNDUP(SUM(BP22:BP561),0)</f>
        <v>32</v>
      </c>
      <c r="Z566" s="42"/>
      <c r="AA566" s="67"/>
      <c r="AB566" s="67"/>
      <c r="AC566" s="67"/>
    </row>
    <row r="567" spans="1:68" x14ac:dyDescent="0.2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80"/>
      <c r="P567" s="677" t="s">
        <v>36</v>
      </c>
      <c r="Q567" s="678"/>
      <c r="R567" s="678"/>
      <c r="S567" s="678"/>
      <c r="T567" s="678"/>
      <c r="U567" s="678"/>
      <c r="V567" s="679"/>
      <c r="W567" s="42" t="s">
        <v>0</v>
      </c>
      <c r="X567" s="43">
        <f>GrossWeightTotal+PalletQtyTotal*25</f>
        <v>19638.278964378082</v>
      </c>
      <c r="Y567" s="43">
        <f>GrossWeightTotalR+PalletQtyTotalR*25</f>
        <v>19812.566000000006</v>
      </c>
      <c r="Z567" s="42"/>
      <c r="AA567" s="67"/>
      <c r="AB567" s="67"/>
      <c r="AC567" s="67"/>
    </row>
    <row r="568" spans="1:68" x14ac:dyDescent="0.2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80"/>
      <c r="P568" s="677" t="s">
        <v>37</v>
      </c>
      <c r="Q568" s="678"/>
      <c r="R568" s="678"/>
      <c r="S568" s="678"/>
      <c r="T568" s="678"/>
      <c r="U568" s="678"/>
      <c r="V568" s="679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3370.4957905235201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3395</v>
      </c>
      <c r="Z568" s="42"/>
      <c r="AA568" s="67"/>
      <c r="AB568" s="67"/>
      <c r="AC568" s="67"/>
    </row>
    <row r="569" spans="1:68" ht="14.25" hidden="1" x14ac:dyDescent="0.2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80"/>
      <c r="P569" s="677" t="s">
        <v>38</v>
      </c>
      <c r="Q569" s="678"/>
      <c r="R569" s="678"/>
      <c r="S569" s="678"/>
      <c r="T569" s="678"/>
      <c r="U569" s="678"/>
      <c r="V569" s="679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36.257160000000006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62" t="s">
        <v>120</v>
      </c>
      <c r="E571" s="662" t="s">
        <v>120</v>
      </c>
      <c r="F571" s="662" t="s">
        <v>120</v>
      </c>
      <c r="G571" s="662" t="s">
        <v>120</v>
      </c>
      <c r="H571" s="662" t="s">
        <v>120</v>
      </c>
      <c r="I571" s="662" t="s">
        <v>120</v>
      </c>
      <c r="J571" s="662" t="s">
        <v>120</v>
      </c>
      <c r="K571" s="662" t="s">
        <v>370</v>
      </c>
      <c r="L571" s="662" t="s">
        <v>370</v>
      </c>
      <c r="M571" s="662" t="s">
        <v>370</v>
      </c>
      <c r="N571" s="663"/>
      <c r="O571" s="662" t="s">
        <v>370</v>
      </c>
      <c r="P571" s="662" t="s">
        <v>370</v>
      </c>
      <c r="Q571" s="662" t="s">
        <v>370</v>
      </c>
      <c r="R571" s="662" t="s">
        <v>370</v>
      </c>
      <c r="S571" s="662" t="s">
        <v>370</v>
      </c>
      <c r="T571" s="662" t="s">
        <v>370</v>
      </c>
      <c r="U571" s="662" t="s">
        <v>370</v>
      </c>
      <c r="V571" s="662" t="s">
        <v>370</v>
      </c>
      <c r="W571" s="662" t="s">
        <v>716</v>
      </c>
      <c r="X571" s="662" t="s">
        <v>716</v>
      </c>
      <c r="Y571" s="662" t="s">
        <v>782</v>
      </c>
      <c r="Z571" s="662" t="s">
        <v>782</v>
      </c>
      <c r="AA571" s="85" t="s">
        <v>818</v>
      </c>
      <c r="AB571" s="662" t="s">
        <v>865</v>
      </c>
      <c r="AC571" s="662" t="s">
        <v>865</v>
      </c>
      <c r="AF571" s="1"/>
    </row>
    <row r="572" spans="1:68" ht="14.25" customHeight="1" thickTop="1" x14ac:dyDescent="0.2">
      <c r="A572" s="664" t="s">
        <v>10</v>
      </c>
      <c r="B572" s="662" t="s">
        <v>76</v>
      </c>
      <c r="C572" s="662" t="s">
        <v>104</v>
      </c>
      <c r="D572" s="662" t="s">
        <v>121</v>
      </c>
      <c r="E572" s="662" t="s">
        <v>137</v>
      </c>
      <c r="F572" s="662" t="s">
        <v>182</v>
      </c>
      <c r="G572" s="662" t="s">
        <v>212</v>
      </c>
      <c r="H572" s="662" t="s">
        <v>265</v>
      </c>
      <c r="I572" s="662" t="s">
        <v>278</v>
      </c>
      <c r="J572" s="662" t="s">
        <v>120</v>
      </c>
      <c r="K572" s="662" t="s">
        <v>371</v>
      </c>
      <c r="L572" s="662" t="s">
        <v>392</v>
      </c>
      <c r="M572" s="662" t="s">
        <v>459</v>
      </c>
      <c r="N572" s="1"/>
      <c r="O572" s="662" t="s">
        <v>527</v>
      </c>
      <c r="P572" s="662" t="s">
        <v>560</v>
      </c>
      <c r="Q572" s="662" t="s">
        <v>576</v>
      </c>
      <c r="R572" s="662" t="s">
        <v>585</v>
      </c>
      <c r="S572" s="662" t="s">
        <v>606</v>
      </c>
      <c r="T572" s="662" t="s">
        <v>615</v>
      </c>
      <c r="U572" s="662" t="s">
        <v>699</v>
      </c>
      <c r="V572" s="662" t="s">
        <v>706</v>
      </c>
      <c r="W572" s="662" t="s">
        <v>717</v>
      </c>
      <c r="X572" s="662" t="s">
        <v>766</v>
      </c>
      <c r="Y572" s="662" t="s">
        <v>783</v>
      </c>
      <c r="Z572" s="662" t="s">
        <v>806</v>
      </c>
      <c r="AA572" s="662" t="s">
        <v>818</v>
      </c>
      <c r="AB572" s="662" t="s">
        <v>865</v>
      </c>
      <c r="AC572" s="662" t="s">
        <v>884</v>
      </c>
      <c r="AF572" s="1"/>
    </row>
    <row r="573" spans="1:68" ht="13.5" thickBot="1" x14ac:dyDescent="0.25">
      <c r="A573" s="665"/>
      <c r="B573" s="662"/>
      <c r="C573" s="662"/>
      <c r="D573" s="662"/>
      <c r="E573" s="662"/>
      <c r="F573" s="662"/>
      <c r="G573" s="662"/>
      <c r="H573" s="662"/>
      <c r="I573" s="662"/>
      <c r="J573" s="662"/>
      <c r="K573" s="662"/>
      <c r="L573" s="662"/>
      <c r="M573" s="662"/>
      <c r="N573" s="1"/>
      <c r="O573" s="662"/>
      <c r="P573" s="662"/>
      <c r="Q573" s="662"/>
      <c r="R573" s="662"/>
      <c r="S573" s="662"/>
      <c r="T573" s="662"/>
      <c r="U573" s="662"/>
      <c r="V573" s="662"/>
      <c r="W573" s="662"/>
      <c r="X573" s="662"/>
      <c r="Y573" s="662"/>
      <c r="Z573" s="662"/>
      <c r="AA573" s="662"/>
      <c r="AB573" s="662"/>
      <c r="AC573" s="662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459.20000000000005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752.4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1310.4000000000001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1653.66</v>
      </c>
      <c r="H574" s="52">
        <f>IFERROR(Y140*1,"0")+IFERROR(Y141*1,"0")+IFERROR(Y145*1,"0")+IFERROR(Y146*1,"0")+IFERROR(Y150*1,"0")+IFERROR(Y151*1,"0")</f>
        <v>97.76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1020.24</v>
      </c>
      <c r="K574" s="52">
        <f>IFERROR(Y215*1,"0")+IFERROR(Y216*1,"0")+IFERROR(Y217*1,"0")+IFERROR(Y218*1,"0")+IFERROR(Y219*1,"0")+IFERROR(Y220*1,"0")+IFERROR(Y221*1,"0")</f>
        <v>259.20000000000005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305.8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1659.6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40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640.79999999999995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756.59999999999991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945.59999999999991</v>
      </c>
      <c r="U574" s="52">
        <f>IFERROR(Y422*1,"0")+IFERROR(Y423*1,"0")</f>
        <v>0</v>
      </c>
      <c r="V574" s="52">
        <f>IFERROR(Y428*1,"0")+IFERROR(Y429*1,"0")+IFERROR(Y430*1,"0")</f>
        <v>350.7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5979</v>
      </c>
      <c r="X574" s="52">
        <f>IFERROR(Y465*1,"0")+IFERROR(Y466*1,"0")+IFERROR(Y470*1,"0")+IFERROR(Y474*1,"0")+IFERROR(Y475*1,"0")+IFERROR(Y476*1,"0")</f>
        <v>60</v>
      </c>
      <c r="Y574" s="52">
        <f>IFERROR(Y482*1,"0")+IFERROR(Y483*1,"0")+IFERROR(Y484*1,"0")+IFERROR(Y485*1,"0")+IFERROR(Y486*1,"0")+IFERROR(Y487*1,"0")+IFERROR(Y491*1,"0")+IFERROR(Y492*1,"0")</f>
        <v>0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1161.1200000000001</v>
      </c>
      <c r="AB574" s="52">
        <f>IFERROR(Y539*1,"0")+IFERROR(Y543*1,"0")+IFERROR(Y547*1,"0")+IFERROR(Y551*1,"0")+IFERROR(Y555*1,"0")+IFERROR(Y556*1,"0")</f>
        <v>456</v>
      </c>
      <c r="AC574" s="52">
        <f>IFERROR(Y561*1,"0")</f>
        <v>0</v>
      </c>
      <c r="AF574" s="1"/>
    </row>
  </sheetData>
  <sheetProtection algorithmName="SHA-512" hashValue="/la5K21b+9fb4XZsaNGDix5jdxJZGcjNIsRXmqbs+nw6apAh89DHkD/Z+CSLKMfD/iQsb4DfAyvud1NdMnWZKg==" saltValue="jPxKyQzBGA2UP59i2hjJW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00,00"/>
        <filter val="1 300,00"/>
        <filter val="1 800,00"/>
        <filter val="10,00"/>
        <filter val="103,64"/>
        <filter val="108,00"/>
        <filter val="11,67"/>
        <filter val="112,50"/>
        <filter val="116,67"/>
        <filter val="12,00"/>
        <filter val="120,00"/>
        <filter val="13,75"/>
        <filter val="130,00"/>
        <filter val="134,63"/>
        <filter val="146,19"/>
        <filter val="150,00"/>
        <filter val="152,04"/>
        <filter val="16,67"/>
        <filter val="162,50"/>
        <filter val="166,67"/>
        <filter val="17 744,57"/>
        <filter val="175,00"/>
        <filter val="18 838,28"/>
        <filter val="18,75"/>
        <filter val="180,00"/>
        <filter val="19 638,28"/>
        <filter val="200,00"/>
        <filter val="23,10"/>
        <filter val="23,15"/>
        <filter val="235,00"/>
        <filter val="250,00"/>
        <filter val="266,05"/>
        <filter val="266,67"/>
        <filter val="27,78"/>
        <filter val="285,71"/>
        <filter val="3 370,50"/>
        <filter val="30,00"/>
        <filter val="300,00"/>
        <filter val="301,00"/>
        <filter val="308,00"/>
        <filter val="310,00"/>
        <filter val="313,33"/>
        <filter val="32"/>
        <filter val="350,00"/>
        <filter val="36,30"/>
        <filter val="365,74"/>
        <filter val="4 700,00"/>
        <filter val="4,14"/>
        <filter val="40,00"/>
        <filter val="400,00"/>
        <filter val="450,00"/>
        <filter val="46,30"/>
        <filter val="49,67"/>
        <filter val="5,56"/>
        <filter val="50,00"/>
        <filter val="520,00"/>
        <filter val="522,00"/>
        <filter val="540,00"/>
        <filter val="55,56"/>
        <filter val="585,00"/>
        <filter val="59,85"/>
        <filter val="60,00"/>
        <filter val="60,38"/>
        <filter val="600,00"/>
        <filter val="630,00"/>
        <filter val="635,00"/>
        <filter val="640,00"/>
        <filter val="70,00"/>
        <filter val="700,00"/>
        <filter val="72,00"/>
        <filter val="73,15"/>
        <filter val="750,00"/>
        <filter val="760,00"/>
        <filter val="8,00"/>
        <filter val="80,00"/>
        <filter val="87,00"/>
        <filter val="96,15"/>
        <filter val="985,00"/>
      </filters>
    </filterColumn>
    <filterColumn colId="29" showButton="0"/>
    <filterColumn colId="30" showButton="0"/>
  </autoFilter>
  <dataConsolidate/>
  <mergeCells count="10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9" spans="2:8" x14ac:dyDescent="0.2">
      <c r="B9" s="53" t="s">
        <v>897</v>
      </c>
      <c r="C9" s="53" t="s">
        <v>892</v>
      </c>
      <c r="D9" s="53" t="s">
        <v>46</v>
      </c>
      <c r="E9" s="53" t="s">
        <v>46</v>
      </c>
    </row>
    <row r="11" spans="2:8" x14ac:dyDescent="0.2">
      <c r="B11" s="53" t="s">
        <v>897</v>
      </c>
      <c r="C11" s="53" t="s">
        <v>895</v>
      </c>
      <c r="D11" s="53" t="s">
        <v>46</v>
      </c>
      <c r="E11" s="53" t="s">
        <v>46</v>
      </c>
    </row>
    <row r="13" spans="2:8" x14ac:dyDescent="0.2">
      <c r="B13" s="53" t="s">
        <v>898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899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900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901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908</v>
      </c>
      <c r="C23" s="53" t="s">
        <v>46</v>
      </c>
      <c r="D23" s="53" t="s">
        <v>46</v>
      </c>
      <c r="E23" s="53" t="s">
        <v>46</v>
      </c>
    </row>
  </sheetData>
  <sheetProtection algorithmName="SHA-512" hashValue="5EDNTrVHJg7CEfJTVZOOlx73cI4LoQAjqCSvWOXhxyAHpSV9pg6hd86JPEflUAMu8ZdWDOOrgs/4NNLEHgfGig==" saltValue="GSpUlHhH+vgIvx9rKkO6y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2026-09-04T13:16:27Z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