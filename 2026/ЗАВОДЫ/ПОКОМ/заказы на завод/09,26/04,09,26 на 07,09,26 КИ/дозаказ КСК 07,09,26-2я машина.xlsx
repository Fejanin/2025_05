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56D4E49-B663-4499-8988-20D89F87D4F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заказа'!$A$18:$AF$565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заказа'!$X$561:$X$561</definedName>
    <definedName name="GrossWeightTotalR">'Бланк заказа'!$Y$561:$Y$561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заказа'!$X$562:$X$562</definedName>
    <definedName name="PalletQtyTotalR">'Бланк заказа'!$Y$562:$Y$562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заказа'!$B$197:$B$197</definedName>
    <definedName name="ProductId101">'Бланк заказа'!$B$201:$B$201</definedName>
    <definedName name="ProductId102">'Бланк заказа'!$B$205:$B$205</definedName>
    <definedName name="ProductId103">'Бланк заказа'!$B$211:$B$211</definedName>
    <definedName name="ProductId104">'Бланк заказа'!$B$212:$B$212</definedName>
    <definedName name="ProductId105">'Бланк заказа'!$B$213:$B$213</definedName>
    <definedName name="ProductId106">'Бланк заказа'!$B$214:$B$214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заказа'!$B$222:$B$222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заказа'!$B$324:$B$324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заказа'!$B$411:$B$411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заказа'!$B$418:$B$418</definedName>
    <definedName name="ProductId221">'Бланк заказа'!$B$419:$B$419</definedName>
    <definedName name="ProductId222">'Бланк заказа'!$B$424:$B$424</definedName>
    <definedName name="ProductId223">'Бланк заказа'!$B$425:$B$425</definedName>
    <definedName name="ProductId224">'Бланк заказа'!$B$426:$B$426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заказа'!$B$451:$B$451</definedName>
    <definedName name="ProductId239">'Бланк заказа'!$B$455:$B$455</definedName>
    <definedName name="ProductId24">'Бланк заказа'!$B$65:$B$65</definedName>
    <definedName name="ProductId240">'Бланк заказа'!$B$456:$B$456</definedName>
    <definedName name="ProductId241">'Бланк заказа'!$B$461:$B$461</definedName>
    <definedName name="ProductId242">'Бланк заказа'!$B$462:$B$462</definedName>
    <definedName name="ProductId243">'Бланк заказа'!$B$466:$B$466</definedName>
    <definedName name="ProductId244">'Бланк заказа'!$B$470:$B$470</definedName>
    <definedName name="ProductId245">'Бланк заказа'!$B$471:$B$471</definedName>
    <definedName name="ProductId246">'Бланк заказа'!$B$472:$B$472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заказа'!$B$487:$B$487</definedName>
    <definedName name="ProductId254">'Бланк заказа'!$B$488:$B$488</definedName>
    <definedName name="ProductId255">'Бланк заказа'!$B$493:$B$493</definedName>
    <definedName name="ProductId256">'Бланк заказа'!$B$497:$B$497</definedName>
    <definedName name="ProductId257">'Бланк заказа'!$B$498:$B$498</definedName>
    <definedName name="ProductId258">'Бланк заказа'!$B$499:$B$499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заказа'!$B$71:$B$71</definedName>
    <definedName name="ProductId270">'Бланк заказа'!$B$519:$B$519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заказа'!$B$535:$B$535</definedName>
    <definedName name="ProductId279">'Бланк заказа'!$B$539:$B$539</definedName>
    <definedName name="ProductId28">'Бланк заказа'!$B$72:$B$72</definedName>
    <definedName name="ProductId280">'Бланк заказа'!$B$543:$B$543</definedName>
    <definedName name="ProductId281">'Бланк заказа'!$B$547:$B$547</definedName>
    <definedName name="ProductId282">'Бланк заказа'!$B$551:$B$551</definedName>
    <definedName name="ProductId283">'Бланк заказа'!$B$552:$B$552</definedName>
    <definedName name="ProductId284">'Бланк заказа'!$B$557:$B$557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заказа'!$B$132:$B$132</definedName>
    <definedName name="ProductId66">'Бланк заказа'!$B$133:$B$133</definedName>
    <definedName name="ProductId67">'Бланк заказа'!$B$138:$B$138</definedName>
    <definedName name="ProductId68">'Бланк заказа'!$B$139:$B$139</definedName>
    <definedName name="ProductId69">'Бланк заказа'!$B$143:$B$143</definedName>
    <definedName name="ProductId7">'Бланк заказа'!$B$31:$B$31</definedName>
    <definedName name="ProductId70">'Бланк заказа'!$B$144:$B$144</definedName>
    <definedName name="ProductId71">'Бланк заказа'!$B$148:$B$148</definedName>
    <definedName name="ProductId72">'Бланк заказа'!$B$149:$B$149</definedName>
    <definedName name="ProductId73">'Бланк заказа'!$B$154:$B$154</definedName>
    <definedName name="ProductId74">'Бланк заказа'!$B$155:$B$155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заказа'!$B$164:$B$164</definedName>
    <definedName name="ProductId81">'Бланк заказа'!$B$169:$B$169</definedName>
    <definedName name="ProductId82">'Бланк заказа'!$B$170:$B$170</definedName>
    <definedName name="ProductId83">'Бланк заказа'!$B$171:$B$171</definedName>
    <definedName name="ProductId84">'Бланк заказа'!$B$175:$B$175</definedName>
    <definedName name="ProductId85">'Бланк заказа'!$B$176:$B$176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заказа'!$B$195:$B$195</definedName>
    <definedName name="ProductId99">'Бланк заказа'!$B$196:$B$196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заказа'!$X$197:$X$197</definedName>
    <definedName name="SalesQty101">'Бланк заказа'!$X$201:$X$201</definedName>
    <definedName name="SalesQty102">'Бланк заказа'!$X$205:$X$205</definedName>
    <definedName name="SalesQty103">'Бланк заказа'!$X$211:$X$211</definedName>
    <definedName name="SalesQty104">'Бланк заказа'!$X$212:$X$212</definedName>
    <definedName name="SalesQty105">'Бланк заказа'!$X$213:$X$213</definedName>
    <definedName name="SalesQty106">'Бланк заказа'!$X$214:$X$214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заказа'!$X$222:$X$222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заказа'!$X$324:$X$324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заказа'!$X$411:$X$411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заказа'!$X$418:$X$418</definedName>
    <definedName name="SalesQty221">'Бланк заказа'!$X$419:$X$419</definedName>
    <definedName name="SalesQty222">'Бланк заказа'!$X$424:$X$424</definedName>
    <definedName name="SalesQty223">'Бланк заказа'!$X$425:$X$425</definedName>
    <definedName name="SalesQty224">'Бланк заказа'!$X$426:$X$426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заказа'!$X$451:$X$451</definedName>
    <definedName name="SalesQty239">'Бланк заказа'!$X$455:$X$455</definedName>
    <definedName name="SalesQty24">'Бланк заказа'!$X$65:$X$65</definedName>
    <definedName name="SalesQty240">'Бланк заказа'!$X$456:$X$456</definedName>
    <definedName name="SalesQty241">'Бланк заказа'!$X$461:$X$461</definedName>
    <definedName name="SalesQty242">'Бланк заказа'!$X$462:$X$462</definedName>
    <definedName name="SalesQty243">'Бланк заказа'!$X$466:$X$466</definedName>
    <definedName name="SalesQty244">'Бланк заказа'!$X$470:$X$470</definedName>
    <definedName name="SalesQty245">'Бланк заказа'!$X$471:$X$471</definedName>
    <definedName name="SalesQty246">'Бланк заказа'!$X$472:$X$472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заказа'!$X$487:$X$487</definedName>
    <definedName name="SalesQty254">'Бланк заказа'!$X$488:$X$488</definedName>
    <definedName name="SalesQty255">'Бланк заказа'!$X$493:$X$493</definedName>
    <definedName name="SalesQty256">'Бланк заказа'!$X$497:$X$497</definedName>
    <definedName name="SalesQty257">'Бланк заказа'!$X$498:$X$498</definedName>
    <definedName name="SalesQty258">'Бланк заказа'!$X$499:$X$499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заказа'!$X$71:$X$71</definedName>
    <definedName name="SalesQty270">'Бланк заказа'!$X$519:$X$519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заказа'!$X$535:$X$535</definedName>
    <definedName name="SalesQty279">'Бланк заказа'!$X$539:$X$539</definedName>
    <definedName name="SalesQty28">'Бланк заказа'!$X$72:$X$72</definedName>
    <definedName name="SalesQty280">'Бланк заказа'!$X$543:$X$543</definedName>
    <definedName name="SalesQty281">'Бланк заказа'!$X$547:$X$547</definedName>
    <definedName name="SalesQty282">'Бланк заказа'!$X$551:$X$551</definedName>
    <definedName name="SalesQty283">'Бланк заказа'!$X$552:$X$552</definedName>
    <definedName name="SalesQty284">'Бланк заказа'!$X$557:$X$557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заказа'!$X$132:$X$132</definedName>
    <definedName name="SalesQty66">'Бланк заказа'!$X$133:$X$133</definedName>
    <definedName name="SalesQty67">'Бланк заказа'!$X$138:$X$138</definedName>
    <definedName name="SalesQty68">'Бланк заказа'!$X$139:$X$139</definedName>
    <definedName name="SalesQty69">'Бланк заказа'!$X$143:$X$143</definedName>
    <definedName name="SalesQty7">'Бланк заказа'!$X$31:$X$31</definedName>
    <definedName name="SalesQty70">'Бланк заказа'!$X$144:$X$144</definedName>
    <definedName name="SalesQty71">'Бланк заказа'!$X$148:$X$148</definedName>
    <definedName name="SalesQty72">'Бланк заказа'!$X$149:$X$149</definedName>
    <definedName name="SalesQty73">'Бланк заказа'!$X$154:$X$154</definedName>
    <definedName name="SalesQty74">'Бланк заказа'!$X$155:$X$155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заказа'!$X$164:$X$164</definedName>
    <definedName name="SalesQty81">'Бланк заказа'!$X$169:$X$169</definedName>
    <definedName name="SalesQty82">'Бланк заказа'!$X$170:$X$170</definedName>
    <definedName name="SalesQty83">'Бланк заказа'!$X$171:$X$171</definedName>
    <definedName name="SalesQty84">'Бланк заказа'!$X$175:$X$175</definedName>
    <definedName name="SalesQty85">'Бланк заказа'!$X$176:$X$176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заказа'!$X$195:$X$195</definedName>
    <definedName name="SalesQty99">'Бланк заказа'!$X$196:$X$196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заказа'!$Y$197:$Y$197</definedName>
    <definedName name="SalesRoundBox101">'Бланк заказа'!$Y$201:$Y$201</definedName>
    <definedName name="SalesRoundBox102">'Бланк заказа'!$Y$205:$Y$205</definedName>
    <definedName name="SalesRoundBox103">'Бланк заказа'!$Y$211:$Y$211</definedName>
    <definedName name="SalesRoundBox104">'Бланк заказа'!$Y$212:$Y$212</definedName>
    <definedName name="SalesRoundBox105">'Бланк заказа'!$Y$213:$Y$213</definedName>
    <definedName name="SalesRoundBox106">'Бланк заказа'!$Y$214:$Y$214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заказа'!$Y$222:$Y$222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заказа'!$Y$324:$Y$324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заказа'!$Y$411:$Y$411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заказа'!$Y$418:$Y$418</definedName>
    <definedName name="SalesRoundBox221">'Бланк заказа'!$Y$419:$Y$419</definedName>
    <definedName name="SalesRoundBox222">'Бланк заказа'!$Y$424:$Y$424</definedName>
    <definedName name="SalesRoundBox223">'Бланк заказа'!$Y$425:$Y$425</definedName>
    <definedName name="SalesRoundBox224">'Бланк заказа'!$Y$426:$Y$426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заказа'!$Y$451:$Y$451</definedName>
    <definedName name="SalesRoundBox239">'Бланк заказа'!$Y$455:$Y$455</definedName>
    <definedName name="SalesRoundBox24">'Бланк заказа'!$Y$65:$Y$65</definedName>
    <definedName name="SalesRoundBox240">'Бланк заказа'!$Y$456:$Y$456</definedName>
    <definedName name="SalesRoundBox241">'Бланк заказа'!$Y$461:$Y$461</definedName>
    <definedName name="SalesRoundBox242">'Бланк заказа'!$Y$462:$Y$462</definedName>
    <definedName name="SalesRoundBox243">'Бланк заказа'!$Y$466:$Y$466</definedName>
    <definedName name="SalesRoundBox244">'Бланк заказа'!$Y$470:$Y$470</definedName>
    <definedName name="SalesRoundBox245">'Бланк заказа'!$Y$471:$Y$471</definedName>
    <definedName name="SalesRoundBox246">'Бланк заказа'!$Y$472:$Y$472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заказа'!$Y$487:$Y$487</definedName>
    <definedName name="SalesRoundBox254">'Бланк заказа'!$Y$488:$Y$488</definedName>
    <definedName name="SalesRoundBox255">'Бланк заказа'!$Y$493:$Y$493</definedName>
    <definedName name="SalesRoundBox256">'Бланк заказа'!$Y$497:$Y$497</definedName>
    <definedName name="SalesRoundBox257">'Бланк заказа'!$Y$498:$Y$498</definedName>
    <definedName name="SalesRoundBox258">'Бланк заказа'!$Y$499:$Y$499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заказа'!$Y$71:$Y$71</definedName>
    <definedName name="SalesRoundBox270">'Бланк заказа'!$Y$519:$Y$519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заказа'!$Y$535:$Y$535</definedName>
    <definedName name="SalesRoundBox279">'Бланк заказа'!$Y$539:$Y$539</definedName>
    <definedName name="SalesRoundBox28">'Бланк заказа'!$Y$72:$Y$72</definedName>
    <definedName name="SalesRoundBox280">'Бланк заказа'!$Y$543:$Y$543</definedName>
    <definedName name="SalesRoundBox281">'Бланк заказа'!$Y$547:$Y$547</definedName>
    <definedName name="SalesRoundBox282">'Бланк заказа'!$Y$551:$Y$551</definedName>
    <definedName name="SalesRoundBox283">'Бланк заказа'!$Y$552:$Y$552</definedName>
    <definedName name="SalesRoundBox284">'Бланк заказа'!$Y$557:$Y$557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заказа'!$Y$132:$Y$132</definedName>
    <definedName name="SalesRoundBox66">'Бланк заказа'!$Y$133:$Y$133</definedName>
    <definedName name="SalesRoundBox67">'Бланк заказа'!$Y$138:$Y$138</definedName>
    <definedName name="SalesRoundBox68">'Бланк заказа'!$Y$139:$Y$139</definedName>
    <definedName name="SalesRoundBox69">'Бланк заказа'!$Y$143:$Y$143</definedName>
    <definedName name="SalesRoundBox7">'Бланк заказа'!$Y$31:$Y$31</definedName>
    <definedName name="SalesRoundBox70">'Бланк заказа'!$Y$144:$Y$144</definedName>
    <definedName name="SalesRoundBox71">'Бланк заказа'!$Y$148:$Y$148</definedName>
    <definedName name="SalesRoundBox72">'Бланк заказа'!$Y$149:$Y$149</definedName>
    <definedName name="SalesRoundBox73">'Бланк заказа'!$Y$154:$Y$154</definedName>
    <definedName name="SalesRoundBox74">'Бланк заказа'!$Y$155:$Y$155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заказа'!$Y$164:$Y$164</definedName>
    <definedName name="SalesRoundBox81">'Бланк заказа'!$Y$169:$Y$169</definedName>
    <definedName name="SalesRoundBox82">'Бланк заказа'!$Y$170:$Y$170</definedName>
    <definedName name="SalesRoundBox83">'Бланк заказа'!$Y$171:$Y$171</definedName>
    <definedName name="SalesRoundBox84">'Бланк заказа'!$Y$175:$Y$175</definedName>
    <definedName name="SalesRoundBox85">'Бланк заказа'!$Y$176:$Y$176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заказа'!$Y$195:$Y$195</definedName>
    <definedName name="SalesRoundBox99">'Бланк заказа'!$Y$196:$Y$196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заказа'!$W$197:$W$197</definedName>
    <definedName name="UnitOfMeasure101">'Бланк заказа'!$W$201:$W$201</definedName>
    <definedName name="UnitOfMeasure102">'Бланк заказа'!$W$205:$W$205</definedName>
    <definedName name="UnitOfMeasure103">'Бланк заказа'!$W$211:$W$211</definedName>
    <definedName name="UnitOfMeasure104">'Бланк заказа'!$W$212:$W$212</definedName>
    <definedName name="UnitOfMeasure105">'Бланк заказа'!$W$213:$W$213</definedName>
    <definedName name="UnitOfMeasure106">'Бланк заказа'!$W$214:$W$214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заказа'!$W$222:$W$222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заказа'!$W$324:$W$324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заказа'!$W$411:$W$411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заказа'!$W$418:$W$418</definedName>
    <definedName name="UnitOfMeasure221">'Бланк заказа'!$W$419:$W$419</definedName>
    <definedName name="UnitOfMeasure222">'Бланк заказа'!$W$424:$W$424</definedName>
    <definedName name="UnitOfMeasure223">'Бланк заказа'!$W$425:$W$425</definedName>
    <definedName name="UnitOfMeasure224">'Бланк заказа'!$W$426:$W$426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заказа'!$W$451:$W$451</definedName>
    <definedName name="UnitOfMeasure239">'Бланк заказа'!$W$455:$W$455</definedName>
    <definedName name="UnitOfMeasure24">'Бланк заказа'!$W$65:$W$65</definedName>
    <definedName name="UnitOfMeasure240">'Бланк заказа'!$W$456:$W$456</definedName>
    <definedName name="UnitOfMeasure241">'Бланк заказа'!$W$461:$W$461</definedName>
    <definedName name="UnitOfMeasure242">'Бланк заказа'!$W$462:$W$462</definedName>
    <definedName name="UnitOfMeasure243">'Бланк заказа'!$W$466:$W$466</definedName>
    <definedName name="UnitOfMeasure244">'Бланк заказа'!$W$470:$W$470</definedName>
    <definedName name="UnitOfMeasure245">'Бланк заказа'!$W$471:$W$471</definedName>
    <definedName name="UnitOfMeasure246">'Бланк заказа'!$W$472:$W$472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заказа'!$W$487:$W$487</definedName>
    <definedName name="UnitOfMeasure254">'Бланк заказа'!$W$488:$W$488</definedName>
    <definedName name="UnitOfMeasure255">'Бланк заказа'!$W$493:$W$493</definedName>
    <definedName name="UnitOfMeasure256">'Бланк заказа'!$W$497:$W$497</definedName>
    <definedName name="UnitOfMeasure257">'Бланк заказа'!$W$498:$W$498</definedName>
    <definedName name="UnitOfMeasure258">'Бланк заказа'!$W$499:$W$499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заказа'!$W$71:$W$71</definedName>
    <definedName name="UnitOfMeasure270">'Бланк заказа'!$W$519:$W$519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заказа'!$W$535:$W$535</definedName>
    <definedName name="UnitOfMeasure279">'Бланк заказа'!$W$539:$W$539</definedName>
    <definedName name="UnitOfMeasure28">'Бланк заказа'!$W$72:$W$72</definedName>
    <definedName name="UnitOfMeasure280">'Бланк заказа'!$W$543:$W$543</definedName>
    <definedName name="UnitOfMeasure281">'Бланк заказа'!$W$547:$W$547</definedName>
    <definedName name="UnitOfMeasure282">'Бланк заказа'!$W$551:$W$551</definedName>
    <definedName name="UnitOfMeasure283">'Бланк заказа'!$W$552:$W$552</definedName>
    <definedName name="UnitOfMeasure284">'Бланк заказа'!$W$557:$W$557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заказа'!$W$132:$W$132</definedName>
    <definedName name="UnitOfMeasure66">'Бланк заказа'!$W$133:$W$133</definedName>
    <definedName name="UnitOfMeasure67">'Бланк заказа'!$W$138:$W$138</definedName>
    <definedName name="UnitOfMeasure68">'Бланк заказа'!$W$139:$W$139</definedName>
    <definedName name="UnitOfMeasure69">'Бланк заказа'!$W$143:$W$143</definedName>
    <definedName name="UnitOfMeasure7">'Бланк заказа'!$W$31:$W$31</definedName>
    <definedName name="UnitOfMeasure70">'Бланк заказа'!$W$144:$W$144</definedName>
    <definedName name="UnitOfMeasure71">'Бланк заказа'!$W$148:$W$148</definedName>
    <definedName name="UnitOfMeasure72">'Бланк заказа'!$W$149:$W$149</definedName>
    <definedName name="UnitOfMeasure73">'Бланк заказа'!$W$154:$W$154</definedName>
    <definedName name="UnitOfMeasure74">'Бланк заказа'!$W$155:$W$155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заказа'!$W$164:$W$164</definedName>
    <definedName name="UnitOfMeasure81">'Бланк заказа'!$W$169:$W$169</definedName>
    <definedName name="UnitOfMeasure82">'Бланк заказа'!$W$170:$W$170</definedName>
    <definedName name="UnitOfMeasure83">'Бланк заказа'!$W$171:$W$171</definedName>
    <definedName name="UnitOfMeasure84">'Бланк заказа'!$W$175:$W$175</definedName>
    <definedName name="UnitOfMeasure85">'Бланк заказа'!$W$176:$W$176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заказа'!$W$195:$W$195</definedName>
    <definedName name="UnitOfMeasure99">'Бланк заказа'!$W$196:$W$196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9" i="2" l="1"/>
  <c r="X558" i="2"/>
  <c r="BO557" i="2"/>
  <c r="BM557" i="2"/>
  <c r="Y557" i="2"/>
  <c r="AC570" i="2" s="1"/>
  <c r="P557" i="2"/>
  <c r="X554" i="2"/>
  <c r="X553" i="2"/>
  <c r="BO552" i="2"/>
  <c r="BM552" i="2"/>
  <c r="Y552" i="2"/>
  <c r="BP552" i="2" s="1"/>
  <c r="P552" i="2"/>
  <c r="BO551" i="2"/>
  <c r="BM551" i="2"/>
  <c r="Y551" i="2"/>
  <c r="P551" i="2"/>
  <c r="X549" i="2"/>
  <c r="X548" i="2"/>
  <c r="BO547" i="2"/>
  <c r="BM547" i="2"/>
  <c r="Y547" i="2"/>
  <c r="P547" i="2"/>
  <c r="X545" i="2"/>
  <c r="X544" i="2"/>
  <c r="BO543" i="2"/>
  <c r="BM543" i="2"/>
  <c r="Y543" i="2"/>
  <c r="Z543" i="2" s="1"/>
  <c r="Z544" i="2" s="1"/>
  <c r="P543" i="2"/>
  <c r="X541" i="2"/>
  <c r="X540" i="2"/>
  <c r="BO539" i="2"/>
  <c r="BM539" i="2"/>
  <c r="Y539" i="2"/>
  <c r="BP539" i="2" s="1"/>
  <c r="P539" i="2"/>
  <c r="X537" i="2"/>
  <c r="X536" i="2"/>
  <c r="BO535" i="2"/>
  <c r="BM535" i="2"/>
  <c r="Y535" i="2"/>
  <c r="P535" i="2"/>
  <c r="X531" i="2"/>
  <c r="X530" i="2"/>
  <c r="BO529" i="2"/>
  <c r="BM529" i="2"/>
  <c r="Y529" i="2"/>
  <c r="Z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BP523" i="2"/>
  <c r="BO523" i="2"/>
  <c r="BM523" i="2"/>
  <c r="Y523" i="2"/>
  <c r="BN523" i="2" s="1"/>
  <c r="P523" i="2"/>
  <c r="X521" i="2"/>
  <c r="X520" i="2"/>
  <c r="BO519" i="2"/>
  <c r="BM519" i="2"/>
  <c r="Y519" i="2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P507" i="2"/>
  <c r="BO506" i="2"/>
  <c r="BM506" i="2"/>
  <c r="Y506" i="2"/>
  <c r="Z506" i="2" s="1"/>
  <c r="P506" i="2"/>
  <c r="BO505" i="2"/>
  <c r="BM505" i="2"/>
  <c r="Y505" i="2"/>
  <c r="P505" i="2"/>
  <c r="X501" i="2"/>
  <c r="X500" i="2"/>
  <c r="BO499" i="2"/>
  <c r="BM499" i="2"/>
  <c r="Y499" i="2"/>
  <c r="Z499" i="2" s="1"/>
  <c r="P499" i="2"/>
  <c r="BO498" i="2"/>
  <c r="BM498" i="2"/>
  <c r="Y498" i="2"/>
  <c r="P498" i="2"/>
  <c r="BO497" i="2"/>
  <c r="BM497" i="2"/>
  <c r="Y497" i="2"/>
  <c r="Z497" i="2" s="1"/>
  <c r="P497" i="2"/>
  <c r="X495" i="2"/>
  <c r="X494" i="2"/>
  <c r="BO493" i="2"/>
  <c r="BM493" i="2"/>
  <c r="Y493" i="2"/>
  <c r="Y494" i="2" s="1"/>
  <c r="P493" i="2"/>
  <c r="X490" i="2"/>
  <c r="X489" i="2"/>
  <c r="BO488" i="2"/>
  <c r="BM488" i="2"/>
  <c r="Y488" i="2"/>
  <c r="BP488" i="2" s="1"/>
  <c r="P488" i="2"/>
  <c r="BO487" i="2"/>
  <c r="BM487" i="2"/>
  <c r="Y487" i="2"/>
  <c r="BN487" i="2" s="1"/>
  <c r="P487" i="2"/>
  <c r="X485" i="2"/>
  <c r="X484" i="2"/>
  <c r="BO483" i="2"/>
  <c r="BM483" i="2"/>
  <c r="Y483" i="2"/>
  <c r="BP483" i="2" s="1"/>
  <c r="P483" i="2"/>
  <c r="BO482" i="2"/>
  <c r="BM482" i="2"/>
  <c r="Y482" i="2"/>
  <c r="BP482" i="2" s="1"/>
  <c r="P482" i="2"/>
  <c r="BO481" i="2"/>
  <c r="BM481" i="2"/>
  <c r="Y481" i="2"/>
  <c r="P481" i="2"/>
  <c r="BO480" i="2"/>
  <c r="BM480" i="2"/>
  <c r="Y480" i="2"/>
  <c r="Z480" i="2" s="1"/>
  <c r="P480" i="2"/>
  <c r="BO479" i="2"/>
  <c r="BM479" i="2"/>
  <c r="Y479" i="2"/>
  <c r="BP479" i="2" s="1"/>
  <c r="P479" i="2"/>
  <c r="BO478" i="2"/>
  <c r="BM478" i="2"/>
  <c r="Y478" i="2"/>
  <c r="BP478" i="2" s="1"/>
  <c r="P478" i="2"/>
  <c r="X474" i="2"/>
  <c r="X473" i="2"/>
  <c r="BO472" i="2"/>
  <c r="BM472" i="2"/>
  <c r="Y472" i="2"/>
  <c r="BP472" i="2" s="1"/>
  <c r="P472" i="2"/>
  <c r="BO471" i="2"/>
  <c r="BM471" i="2"/>
  <c r="Y471" i="2"/>
  <c r="BP471" i="2" s="1"/>
  <c r="P471" i="2"/>
  <c r="BO470" i="2"/>
  <c r="BM470" i="2"/>
  <c r="Y470" i="2"/>
  <c r="P470" i="2"/>
  <c r="X468" i="2"/>
  <c r="X467" i="2"/>
  <c r="BO466" i="2"/>
  <c r="BM466" i="2"/>
  <c r="Y466" i="2"/>
  <c r="P466" i="2"/>
  <c r="X464" i="2"/>
  <c r="X463" i="2"/>
  <c r="BO462" i="2"/>
  <c r="BM462" i="2"/>
  <c r="Y462" i="2"/>
  <c r="BP462" i="2" s="1"/>
  <c r="P462" i="2"/>
  <c r="BO461" i="2"/>
  <c r="BM461" i="2"/>
  <c r="Y461" i="2"/>
  <c r="Y463" i="2" s="1"/>
  <c r="P461" i="2"/>
  <c r="X458" i="2"/>
  <c r="X457" i="2"/>
  <c r="BO456" i="2"/>
  <c r="BM456" i="2"/>
  <c r="Y456" i="2"/>
  <c r="Z456" i="2" s="1"/>
  <c r="P456" i="2"/>
  <c r="BO455" i="2"/>
  <c r="BM455" i="2"/>
  <c r="Y455" i="2"/>
  <c r="Y458" i="2" s="1"/>
  <c r="P455" i="2"/>
  <c r="X453" i="2"/>
  <c r="X452" i="2"/>
  <c r="BO451" i="2"/>
  <c r="BM451" i="2"/>
  <c r="Y451" i="2"/>
  <c r="P451" i="2"/>
  <c r="BO450" i="2"/>
  <c r="BM450" i="2"/>
  <c r="Y450" i="2"/>
  <c r="P450" i="2"/>
  <c r="BO449" i="2"/>
  <c r="BM449" i="2"/>
  <c r="Y449" i="2"/>
  <c r="P449" i="2"/>
  <c r="X447" i="2"/>
  <c r="X446" i="2"/>
  <c r="BO445" i="2"/>
  <c r="BM445" i="2"/>
  <c r="Y445" i="2"/>
  <c r="BN445" i="2" s="1"/>
  <c r="P445" i="2"/>
  <c r="BO444" i="2"/>
  <c r="BM444" i="2"/>
  <c r="Y444" i="2"/>
  <c r="Z444" i="2" s="1"/>
  <c r="P444" i="2"/>
  <c r="BO443" i="2"/>
  <c r="BM443" i="2"/>
  <c r="Y443" i="2"/>
  <c r="Y447" i="2" s="1"/>
  <c r="P443" i="2"/>
  <c r="X441" i="2"/>
  <c r="X440" i="2"/>
  <c r="BO439" i="2"/>
  <c r="BM439" i="2"/>
  <c r="Y439" i="2"/>
  <c r="P439" i="2"/>
  <c r="BO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P436" i="2"/>
  <c r="BO435" i="2"/>
  <c r="BM435" i="2"/>
  <c r="Y435" i="2"/>
  <c r="BN435" i="2" s="1"/>
  <c r="P435" i="2"/>
  <c r="BO434" i="2"/>
  <c r="BM434" i="2"/>
  <c r="Y434" i="2"/>
  <c r="Z434" i="2" s="1"/>
  <c r="P434" i="2"/>
  <c r="BO433" i="2"/>
  <c r="BM433" i="2"/>
  <c r="Y433" i="2"/>
  <c r="BP433" i="2" s="1"/>
  <c r="P433" i="2"/>
  <c r="BO432" i="2"/>
  <c r="BM432" i="2"/>
  <c r="Y432" i="2"/>
  <c r="P432" i="2"/>
  <c r="X428" i="2"/>
  <c r="X427" i="2"/>
  <c r="BO426" i="2"/>
  <c r="BM426" i="2"/>
  <c r="Y426" i="2"/>
  <c r="BP426" i="2" s="1"/>
  <c r="P426" i="2"/>
  <c r="BO425" i="2"/>
  <c r="BM425" i="2"/>
  <c r="Y425" i="2"/>
  <c r="BP425" i="2" s="1"/>
  <c r="P425" i="2"/>
  <c r="BO424" i="2"/>
  <c r="BM424" i="2"/>
  <c r="Y424" i="2"/>
  <c r="BP424" i="2" s="1"/>
  <c r="P424" i="2"/>
  <c r="X421" i="2"/>
  <c r="X420" i="2"/>
  <c r="BO419" i="2"/>
  <c r="BM419" i="2"/>
  <c r="Y419" i="2"/>
  <c r="BP419" i="2" s="1"/>
  <c r="P419" i="2"/>
  <c r="BP418" i="2"/>
  <c r="BO418" i="2"/>
  <c r="BM418" i="2"/>
  <c r="Y418" i="2"/>
  <c r="BN418" i="2" s="1"/>
  <c r="P418" i="2"/>
  <c r="X415" i="2"/>
  <c r="X414" i="2"/>
  <c r="BO413" i="2"/>
  <c r="BM413" i="2"/>
  <c r="Y413" i="2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BN399" i="2" s="1"/>
  <c r="P399" i="2"/>
  <c r="BO398" i="2"/>
  <c r="BM398" i="2"/>
  <c r="Y398" i="2"/>
  <c r="Z398" i="2" s="1"/>
  <c r="P398" i="2"/>
  <c r="X396" i="2"/>
  <c r="X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X390" i="2"/>
  <c r="X389" i="2"/>
  <c r="BO388" i="2"/>
  <c r="BM388" i="2"/>
  <c r="Y388" i="2"/>
  <c r="BN388" i="2" s="1"/>
  <c r="P388" i="2"/>
  <c r="BO387" i="2"/>
  <c r="BM387" i="2"/>
  <c r="Y387" i="2"/>
  <c r="Z387" i="2" s="1"/>
  <c r="P387" i="2"/>
  <c r="BO386" i="2"/>
  <c r="BM386" i="2"/>
  <c r="Y386" i="2"/>
  <c r="BP386" i="2" s="1"/>
  <c r="P386" i="2"/>
  <c r="BO385" i="2"/>
  <c r="BM385" i="2"/>
  <c r="Y385" i="2"/>
  <c r="P385" i="2"/>
  <c r="X383" i="2"/>
  <c r="X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P379" i="2" s="1"/>
  <c r="P379" i="2"/>
  <c r="BO378" i="2"/>
  <c r="BM378" i="2"/>
  <c r="Y378" i="2"/>
  <c r="BN378" i="2" s="1"/>
  <c r="P378" i="2"/>
  <c r="BO377" i="2"/>
  <c r="BM377" i="2"/>
  <c r="Y377" i="2"/>
  <c r="Z377" i="2" s="1"/>
  <c r="P377" i="2"/>
  <c r="BO376" i="2"/>
  <c r="BM376" i="2"/>
  <c r="Y376" i="2"/>
  <c r="BP376" i="2" s="1"/>
  <c r="P376" i="2"/>
  <c r="BO375" i="2"/>
  <c r="BM375" i="2"/>
  <c r="Y375" i="2"/>
  <c r="Z375" i="2" s="1"/>
  <c r="P375" i="2"/>
  <c r="X373" i="2"/>
  <c r="X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P369" i="2" s="1"/>
  <c r="P369" i="2"/>
  <c r="BO368" i="2"/>
  <c r="BM368" i="2"/>
  <c r="Y368" i="2"/>
  <c r="BN368" i="2" s="1"/>
  <c r="P368" i="2"/>
  <c r="BO367" i="2"/>
  <c r="BM367" i="2"/>
  <c r="Y367" i="2"/>
  <c r="Z367" i="2" s="1"/>
  <c r="P367" i="2"/>
  <c r="BO366" i="2"/>
  <c r="BM366" i="2"/>
  <c r="Y366" i="2"/>
  <c r="P366" i="2"/>
  <c r="X363" i="2"/>
  <c r="X362" i="2"/>
  <c r="BO361" i="2"/>
  <c r="BM361" i="2"/>
  <c r="Y361" i="2"/>
  <c r="BP361" i="2" s="1"/>
  <c r="P361" i="2"/>
  <c r="BO360" i="2"/>
  <c r="BM360" i="2"/>
  <c r="Y360" i="2"/>
  <c r="BP360" i="2" s="1"/>
  <c r="P360" i="2"/>
  <c r="BO359" i="2"/>
  <c r="BM359" i="2"/>
  <c r="Y359" i="2"/>
  <c r="BP359" i="2" s="1"/>
  <c r="P359" i="2"/>
  <c r="X356" i="2"/>
  <c r="X355" i="2"/>
  <c r="BO354" i="2"/>
  <c r="BM354" i="2"/>
  <c r="Y354" i="2"/>
  <c r="Z354" i="2" s="1"/>
  <c r="P354" i="2"/>
  <c r="BO353" i="2"/>
  <c r="BM353" i="2"/>
  <c r="Y353" i="2"/>
  <c r="BN353" i="2" s="1"/>
  <c r="P353" i="2"/>
  <c r="X351" i="2"/>
  <c r="X350" i="2"/>
  <c r="BO349" i="2"/>
  <c r="BM349" i="2"/>
  <c r="Y349" i="2"/>
  <c r="P349" i="2"/>
  <c r="BO348" i="2"/>
  <c r="BM348" i="2"/>
  <c r="Y348" i="2"/>
  <c r="P348" i="2"/>
  <c r="BO347" i="2"/>
  <c r="BM347" i="2"/>
  <c r="Y347" i="2"/>
  <c r="BP347" i="2" s="1"/>
  <c r="P347" i="2"/>
  <c r="BO346" i="2"/>
  <c r="BM346" i="2"/>
  <c r="Y346" i="2"/>
  <c r="BN346" i="2" s="1"/>
  <c r="P346" i="2"/>
  <c r="BP345" i="2"/>
  <c r="BO345" i="2"/>
  <c r="BM345" i="2"/>
  <c r="Y345" i="2"/>
  <c r="P345" i="2"/>
  <c r="X342" i="2"/>
  <c r="X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BN338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BO331" i="2"/>
  <c r="BM331" i="2"/>
  <c r="Y331" i="2"/>
  <c r="Z331" i="2" s="1"/>
  <c r="P331" i="2"/>
  <c r="BO330" i="2"/>
  <c r="BM330" i="2"/>
  <c r="Y330" i="2"/>
  <c r="BP330" i="2" s="1"/>
  <c r="P330" i="2"/>
  <c r="BO329" i="2"/>
  <c r="BM329" i="2"/>
  <c r="Y329" i="2"/>
  <c r="BP329" i="2" s="1"/>
  <c r="P329" i="2"/>
  <c r="X326" i="2"/>
  <c r="X325" i="2"/>
  <c r="BO324" i="2"/>
  <c r="BM324" i="2"/>
  <c r="Z324" i="2"/>
  <c r="Y324" i="2"/>
  <c r="BN324" i="2" s="1"/>
  <c r="P324" i="2"/>
  <c r="BO323" i="2"/>
  <c r="BM323" i="2"/>
  <c r="Y323" i="2"/>
  <c r="BP323" i="2" s="1"/>
  <c r="P323" i="2"/>
  <c r="BO322" i="2"/>
  <c r="BM322" i="2"/>
  <c r="Y322" i="2"/>
  <c r="Y326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N310" i="2"/>
  <c r="BM310" i="2"/>
  <c r="Z310" i="2"/>
  <c r="Y310" i="2"/>
  <c r="BP310" i="2" s="1"/>
  <c r="P310" i="2"/>
  <c r="BO309" i="2"/>
  <c r="BM309" i="2"/>
  <c r="Y309" i="2"/>
  <c r="BN309" i="2" s="1"/>
  <c r="P309" i="2"/>
  <c r="BO308" i="2"/>
  <c r="BM308" i="2"/>
  <c r="Y308" i="2"/>
  <c r="BP308" i="2" s="1"/>
  <c r="P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P305" i="2"/>
  <c r="BO304" i="2"/>
  <c r="BM304" i="2"/>
  <c r="Y304" i="2"/>
  <c r="P304" i="2"/>
  <c r="X301" i="2"/>
  <c r="X300" i="2"/>
  <c r="BO299" i="2"/>
  <c r="BN299" i="2"/>
  <c r="BM299" i="2"/>
  <c r="Z299" i="2"/>
  <c r="Y299" i="2"/>
  <c r="BP299" i="2" s="1"/>
  <c r="P299" i="2"/>
  <c r="BO298" i="2"/>
  <c r="BM298" i="2"/>
  <c r="Y298" i="2"/>
  <c r="BN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BN288" i="2" s="1"/>
  <c r="P288" i="2"/>
  <c r="BO287" i="2"/>
  <c r="BM287" i="2"/>
  <c r="Y287" i="2"/>
  <c r="P287" i="2"/>
  <c r="BO286" i="2"/>
  <c r="BM286" i="2"/>
  <c r="Y286" i="2"/>
  <c r="BP286" i="2" s="1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P283" i="2"/>
  <c r="X281" i="2"/>
  <c r="X280" i="2"/>
  <c r="BO279" i="2"/>
  <c r="BM279" i="2"/>
  <c r="Y279" i="2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BN273" i="2" s="1"/>
  <c r="P273" i="2"/>
  <c r="BO272" i="2"/>
  <c r="BM272" i="2"/>
  <c r="Y272" i="2"/>
  <c r="P272" i="2"/>
  <c r="X270" i="2"/>
  <c r="X269" i="2"/>
  <c r="BO268" i="2"/>
  <c r="BM268" i="2"/>
  <c r="Y268" i="2"/>
  <c r="BN268" i="2" s="1"/>
  <c r="P268" i="2"/>
  <c r="BO267" i="2"/>
  <c r="BM267" i="2"/>
  <c r="Y267" i="2"/>
  <c r="P267" i="2"/>
  <c r="X265" i="2"/>
  <c r="X264" i="2"/>
  <c r="BO263" i="2"/>
  <c r="BM263" i="2"/>
  <c r="Y263" i="2"/>
  <c r="BP263" i="2" s="1"/>
  <c r="P263" i="2"/>
  <c r="BO262" i="2"/>
  <c r="BM262" i="2"/>
  <c r="Y262" i="2"/>
  <c r="P262" i="2"/>
  <c r="X259" i="2"/>
  <c r="X258" i="2"/>
  <c r="BO257" i="2"/>
  <c r="BM257" i="2"/>
  <c r="Y257" i="2"/>
  <c r="Y258" i="2" s="1"/>
  <c r="P257" i="2"/>
  <c r="X255" i="2"/>
  <c r="X254" i="2"/>
  <c r="BO253" i="2"/>
  <c r="BM253" i="2"/>
  <c r="Y253" i="2"/>
  <c r="BP253" i="2" s="1"/>
  <c r="P253" i="2"/>
  <c r="BO252" i="2"/>
  <c r="BM252" i="2"/>
  <c r="Y252" i="2"/>
  <c r="Z252" i="2" s="1"/>
  <c r="P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N245" i="2" s="1"/>
  <c r="P245" i="2"/>
  <c r="BO244" i="2"/>
  <c r="BM244" i="2"/>
  <c r="Y244" i="2"/>
  <c r="Z244" i="2" s="1"/>
  <c r="P244" i="2"/>
  <c r="BO243" i="2"/>
  <c r="BM243" i="2"/>
  <c r="Y243" i="2"/>
  <c r="P243" i="2"/>
  <c r="X241" i="2"/>
  <c r="X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P228" i="2" s="1"/>
  <c r="P228" i="2"/>
  <c r="BP227" i="2"/>
  <c r="BO227" i="2"/>
  <c r="BM227" i="2"/>
  <c r="Y227" i="2"/>
  <c r="P227" i="2"/>
  <c r="BO226" i="2"/>
  <c r="BM226" i="2"/>
  <c r="Y226" i="2"/>
  <c r="P226" i="2"/>
  <c r="X224" i="2"/>
  <c r="X223" i="2"/>
  <c r="BO222" i="2"/>
  <c r="BM222" i="2"/>
  <c r="Y222" i="2"/>
  <c r="Z222" i="2" s="1"/>
  <c r="Z223" i="2" s="1"/>
  <c r="P222" i="2"/>
  <c r="X219" i="2"/>
  <c r="X218" i="2"/>
  <c r="BO217" i="2"/>
  <c r="BM217" i="2"/>
  <c r="Y217" i="2"/>
  <c r="P217" i="2"/>
  <c r="BO216" i="2"/>
  <c r="BM216" i="2"/>
  <c r="Y216" i="2"/>
  <c r="BP216" i="2" s="1"/>
  <c r="P216" i="2"/>
  <c r="BO215" i="2"/>
  <c r="BM215" i="2"/>
  <c r="Y215" i="2"/>
  <c r="P215" i="2"/>
  <c r="BO214" i="2"/>
  <c r="BM214" i="2"/>
  <c r="Y214" i="2"/>
  <c r="BN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O211" i="2"/>
  <c r="BM211" i="2"/>
  <c r="Y211" i="2"/>
  <c r="Z211" i="2" s="1"/>
  <c r="P211" i="2"/>
  <c r="X207" i="2"/>
  <c r="X206" i="2"/>
  <c r="BO205" i="2"/>
  <c r="BM205" i="2"/>
  <c r="Y205" i="2"/>
  <c r="P205" i="2"/>
  <c r="X203" i="2"/>
  <c r="X202" i="2"/>
  <c r="BO201" i="2"/>
  <c r="BM201" i="2"/>
  <c r="Y201" i="2"/>
  <c r="BP201" i="2" s="1"/>
  <c r="P201" i="2"/>
  <c r="X199" i="2"/>
  <c r="X198" i="2"/>
  <c r="BO197" i="2"/>
  <c r="BM197" i="2"/>
  <c r="Y197" i="2"/>
  <c r="BP197" i="2" s="1"/>
  <c r="P197" i="2"/>
  <c r="BO196" i="2"/>
  <c r="BM196" i="2"/>
  <c r="Y196" i="2"/>
  <c r="P196" i="2"/>
  <c r="BO195" i="2"/>
  <c r="BM195" i="2"/>
  <c r="Y195" i="2"/>
  <c r="P195" i="2"/>
  <c r="X193" i="2"/>
  <c r="X192" i="2"/>
  <c r="BO191" i="2"/>
  <c r="BM191" i="2"/>
  <c r="Y191" i="2"/>
  <c r="BP191" i="2" s="1"/>
  <c r="P191" i="2"/>
  <c r="BO190" i="2"/>
  <c r="BM190" i="2"/>
  <c r="Y190" i="2"/>
  <c r="BN190" i="2" s="1"/>
  <c r="P190" i="2"/>
  <c r="BO189" i="2"/>
  <c r="BM189" i="2"/>
  <c r="Y189" i="2"/>
  <c r="P189" i="2"/>
  <c r="BO188" i="2"/>
  <c r="BM188" i="2"/>
  <c r="Y188" i="2"/>
  <c r="BP188" i="2" s="1"/>
  <c r="P188" i="2"/>
  <c r="BO187" i="2"/>
  <c r="BM187" i="2"/>
  <c r="Y187" i="2"/>
  <c r="Z187" i="2" s="1"/>
  <c r="P187" i="2"/>
  <c r="BO186" i="2"/>
  <c r="BM186" i="2"/>
  <c r="Y186" i="2"/>
  <c r="BP186" i="2" s="1"/>
  <c r="BO185" i="2"/>
  <c r="BM185" i="2"/>
  <c r="Y185" i="2"/>
  <c r="Z185" i="2" s="1"/>
  <c r="P185" i="2"/>
  <c r="BO184" i="2"/>
  <c r="BM184" i="2"/>
  <c r="Y184" i="2"/>
  <c r="BP184" i="2" s="1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Z181" i="2" s="1"/>
  <c r="P181" i="2"/>
  <c r="BO180" i="2"/>
  <c r="BM180" i="2"/>
  <c r="Y180" i="2"/>
  <c r="P180" i="2"/>
  <c r="X178" i="2"/>
  <c r="X177" i="2"/>
  <c r="BO176" i="2"/>
  <c r="BM176" i="2"/>
  <c r="Y176" i="2"/>
  <c r="BP176" i="2" s="1"/>
  <c r="P176" i="2"/>
  <c r="BO175" i="2"/>
  <c r="BM175" i="2"/>
  <c r="Y175" i="2"/>
  <c r="BN175" i="2" s="1"/>
  <c r="P175" i="2"/>
  <c r="X173" i="2"/>
  <c r="X172" i="2"/>
  <c r="BO171" i="2"/>
  <c r="BM171" i="2"/>
  <c r="Y171" i="2"/>
  <c r="BN171" i="2" s="1"/>
  <c r="P171" i="2"/>
  <c r="BO170" i="2"/>
  <c r="BM170" i="2"/>
  <c r="Y170" i="2"/>
  <c r="Z170" i="2" s="1"/>
  <c r="P170" i="2"/>
  <c r="BO169" i="2"/>
  <c r="BM169" i="2"/>
  <c r="Y169" i="2"/>
  <c r="P169" i="2"/>
  <c r="X166" i="2"/>
  <c r="X165" i="2"/>
  <c r="BO164" i="2"/>
  <c r="BM164" i="2"/>
  <c r="Y164" i="2"/>
  <c r="Y165" i="2" s="1"/>
  <c r="P164" i="2"/>
  <c r="X162" i="2"/>
  <c r="X161" i="2"/>
  <c r="BO160" i="2"/>
  <c r="BM160" i="2"/>
  <c r="Y160" i="2"/>
  <c r="BP160" i="2" s="1"/>
  <c r="P160" i="2"/>
  <c r="BO159" i="2"/>
  <c r="BM159" i="2"/>
  <c r="Y159" i="2"/>
  <c r="BN159" i="2" s="1"/>
  <c r="P159" i="2"/>
  <c r="BP158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N148" i="2" s="1"/>
  <c r="P148" i="2"/>
  <c r="X146" i="2"/>
  <c r="X145" i="2"/>
  <c r="BO144" i="2"/>
  <c r="BM144" i="2"/>
  <c r="Y144" i="2"/>
  <c r="BP144" i="2" s="1"/>
  <c r="P144" i="2"/>
  <c r="BO143" i="2"/>
  <c r="BM143" i="2"/>
  <c r="Y143" i="2"/>
  <c r="BP143" i="2" s="1"/>
  <c r="P143" i="2"/>
  <c r="X141" i="2"/>
  <c r="X140" i="2"/>
  <c r="BO139" i="2"/>
  <c r="BM139" i="2"/>
  <c r="Y139" i="2"/>
  <c r="BP139" i="2" s="1"/>
  <c r="P139" i="2"/>
  <c r="BO138" i="2"/>
  <c r="BM138" i="2"/>
  <c r="Y138" i="2"/>
  <c r="P138" i="2"/>
  <c r="X135" i="2"/>
  <c r="X134" i="2"/>
  <c r="BO133" i="2"/>
  <c r="BM133" i="2"/>
  <c r="Y133" i="2"/>
  <c r="BP133" i="2" s="1"/>
  <c r="BO132" i="2"/>
  <c r="BM132" i="2"/>
  <c r="Y132" i="2"/>
  <c r="BN132" i="2" s="1"/>
  <c r="P132" i="2"/>
  <c r="X130" i="2"/>
  <c r="X129" i="2"/>
  <c r="BO128" i="2"/>
  <c r="BM128" i="2"/>
  <c r="Y128" i="2"/>
  <c r="BP128" i="2" s="1"/>
  <c r="BO127" i="2"/>
  <c r="BM127" i="2"/>
  <c r="Y127" i="2"/>
  <c r="BN127" i="2" s="1"/>
  <c r="P127" i="2"/>
  <c r="BO126" i="2"/>
  <c r="BM126" i="2"/>
  <c r="Y126" i="2"/>
  <c r="BO125" i="2"/>
  <c r="BM125" i="2"/>
  <c r="Y125" i="2"/>
  <c r="BP125" i="2" s="1"/>
  <c r="P125" i="2"/>
  <c r="BO124" i="2"/>
  <c r="BM124" i="2"/>
  <c r="Y124" i="2"/>
  <c r="BP124" i="2" s="1"/>
  <c r="P124" i="2"/>
  <c r="BO123" i="2"/>
  <c r="BM123" i="2"/>
  <c r="Y123" i="2"/>
  <c r="BN123" i="2" s="1"/>
  <c r="BO122" i="2"/>
  <c r="BM122" i="2"/>
  <c r="Y122" i="2"/>
  <c r="BN122" i="2" s="1"/>
  <c r="P122" i="2"/>
  <c r="X120" i="2"/>
  <c r="X119" i="2"/>
  <c r="BO118" i="2"/>
  <c r="BM118" i="2"/>
  <c r="Y118" i="2"/>
  <c r="P118" i="2"/>
  <c r="BO117" i="2"/>
  <c r="BM117" i="2"/>
  <c r="Y117" i="2"/>
  <c r="Z117" i="2" s="1"/>
  <c r="P117" i="2"/>
  <c r="BO116" i="2"/>
  <c r="BM116" i="2"/>
  <c r="Y116" i="2"/>
  <c r="Z116" i="2" s="1"/>
  <c r="P116" i="2"/>
  <c r="BO115" i="2"/>
  <c r="BM115" i="2"/>
  <c r="Y115" i="2"/>
  <c r="BP115" i="2" s="1"/>
  <c r="P115" i="2"/>
  <c r="BP114" i="2"/>
  <c r="BO114" i="2"/>
  <c r="BM114" i="2"/>
  <c r="Y114" i="2"/>
  <c r="BN114" i="2" s="1"/>
  <c r="P114" i="2"/>
  <c r="X112" i="2"/>
  <c r="X111" i="2"/>
  <c r="BO110" i="2"/>
  <c r="BM110" i="2"/>
  <c r="Y110" i="2"/>
  <c r="BN110" i="2" s="1"/>
  <c r="P110" i="2"/>
  <c r="BO109" i="2"/>
  <c r="BM109" i="2"/>
  <c r="Y109" i="2"/>
  <c r="BP109" i="2" s="1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P106" i="2"/>
  <c r="BO105" i="2"/>
  <c r="BM105" i="2"/>
  <c r="Y105" i="2"/>
  <c r="BN105" i="2" s="1"/>
  <c r="P105" i="2"/>
  <c r="BO104" i="2"/>
  <c r="BM104" i="2"/>
  <c r="Y104" i="2"/>
  <c r="BN104" i="2" s="1"/>
  <c r="P104" i="2"/>
  <c r="BO103" i="2"/>
  <c r="BM103" i="2"/>
  <c r="Y103" i="2"/>
  <c r="P103" i="2"/>
  <c r="X100" i="2"/>
  <c r="X99" i="2"/>
  <c r="BP98" i="2"/>
  <c r="BO98" i="2"/>
  <c r="BM98" i="2"/>
  <c r="Y98" i="2"/>
  <c r="BN98" i="2" s="1"/>
  <c r="P98" i="2"/>
  <c r="BO97" i="2"/>
  <c r="BM97" i="2"/>
  <c r="Y97" i="2"/>
  <c r="BP97" i="2" s="1"/>
  <c r="BO96" i="2"/>
  <c r="BM96" i="2"/>
  <c r="Y96" i="2"/>
  <c r="Z96" i="2" s="1"/>
  <c r="P96" i="2"/>
  <c r="BP95" i="2"/>
  <c r="BO95" i="2"/>
  <c r="BN95" i="2"/>
  <c r="BM95" i="2"/>
  <c r="Z95" i="2"/>
  <c r="Y95" i="2"/>
  <c r="P95" i="2"/>
  <c r="BO94" i="2"/>
  <c r="BM94" i="2"/>
  <c r="Y94" i="2"/>
  <c r="BO93" i="2"/>
  <c r="BM93" i="2"/>
  <c r="Y93" i="2"/>
  <c r="Z93" i="2" s="1"/>
  <c r="P93" i="2"/>
  <c r="X91" i="2"/>
  <c r="X90" i="2"/>
  <c r="BO89" i="2"/>
  <c r="BM89" i="2"/>
  <c r="Y89" i="2"/>
  <c r="BP89" i="2" s="1"/>
  <c r="P89" i="2"/>
  <c r="BO88" i="2"/>
  <c r="BM88" i="2"/>
  <c r="Y88" i="2"/>
  <c r="Z88" i="2" s="1"/>
  <c r="P88" i="2"/>
  <c r="BO87" i="2"/>
  <c r="BM87" i="2"/>
  <c r="Y87" i="2"/>
  <c r="BN87" i="2" s="1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Z65" i="2" s="1"/>
  <c r="P65" i="2"/>
  <c r="BO64" i="2"/>
  <c r="BM64" i="2"/>
  <c r="Y64" i="2"/>
  <c r="P64" i="2"/>
  <c r="X62" i="2"/>
  <c r="X61" i="2"/>
  <c r="BO60" i="2"/>
  <c r="BM60" i="2"/>
  <c r="Y60" i="2"/>
  <c r="BP60" i="2" s="1"/>
  <c r="P60" i="2"/>
  <c r="BO59" i="2"/>
  <c r="BM59" i="2"/>
  <c r="Y59" i="2"/>
  <c r="P59" i="2"/>
  <c r="BO58" i="2"/>
  <c r="BM58" i="2"/>
  <c r="Y58" i="2"/>
  <c r="BN58" i="2" s="1"/>
  <c r="P58" i="2"/>
  <c r="BO57" i="2"/>
  <c r="BM57" i="2"/>
  <c r="Y57" i="2"/>
  <c r="BN57" i="2" s="1"/>
  <c r="P57" i="2"/>
  <c r="BO56" i="2"/>
  <c r="BM56" i="2"/>
  <c r="Z56" i="2"/>
  <c r="Y56" i="2"/>
  <c r="BN56" i="2" s="1"/>
  <c r="P56" i="2"/>
  <c r="BO55" i="2"/>
  <c r="BM55" i="2"/>
  <c r="Y55" i="2"/>
  <c r="Z55" i="2" s="1"/>
  <c r="P55" i="2"/>
  <c r="X52" i="2"/>
  <c r="X51" i="2"/>
  <c r="BO50" i="2"/>
  <c r="BM50" i="2"/>
  <c r="Y50" i="2"/>
  <c r="P50" i="2"/>
  <c r="BO49" i="2"/>
  <c r="BN49" i="2"/>
  <c r="BM49" i="2"/>
  <c r="Z49" i="2"/>
  <c r="Y49" i="2"/>
  <c r="BP49" i="2" s="1"/>
  <c r="P49" i="2"/>
  <c r="BO48" i="2"/>
  <c r="BM48" i="2"/>
  <c r="Y48" i="2"/>
  <c r="BN48" i="2" s="1"/>
  <c r="P48" i="2"/>
  <c r="BO47" i="2"/>
  <c r="BM47" i="2"/>
  <c r="Y47" i="2"/>
  <c r="D570" i="2" s="1"/>
  <c r="P47" i="2"/>
  <c r="X43" i="2"/>
  <c r="X42" i="2"/>
  <c r="BO41" i="2"/>
  <c r="BM41" i="2"/>
  <c r="Y41" i="2"/>
  <c r="Z41" i="2" s="1"/>
  <c r="P41" i="2"/>
  <c r="BO40" i="2"/>
  <c r="BM40" i="2"/>
  <c r="Y40" i="2"/>
  <c r="BP40" i="2" s="1"/>
  <c r="P40" i="2"/>
  <c r="BP39" i="2"/>
  <c r="BO39" i="2"/>
  <c r="BM39" i="2"/>
  <c r="Y39" i="2"/>
  <c r="BN39" i="2" s="1"/>
  <c r="P39" i="2"/>
  <c r="BO38" i="2"/>
  <c r="BM38" i="2"/>
  <c r="Y38" i="2"/>
  <c r="P38" i="2"/>
  <c r="BO37" i="2"/>
  <c r="BM37" i="2"/>
  <c r="Y37" i="2"/>
  <c r="BN37" i="2" s="1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BP27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BP22" i="2" s="1"/>
  <c r="P22" i="2"/>
  <c r="H10" i="2"/>
  <c r="A9" i="2"/>
  <c r="H9" i="2" s="1"/>
  <c r="D7" i="2"/>
  <c r="Q6" i="2"/>
  <c r="P2" i="2"/>
  <c r="Z37" i="2" l="1"/>
  <c r="Z48" i="2"/>
  <c r="Z67" i="2"/>
  <c r="Z183" i="2"/>
  <c r="Z184" i="2"/>
  <c r="BN184" i="2"/>
  <c r="Z291" i="2"/>
  <c r="BN291" i="2"/>
  <c r="Y315" i="2"/>
  <c r="Y341" i="2"/>
  <c r="Z379" i="2"/>
  <c r="BN23" i="2"/>
  <c r="BN40" i="2"/>
  <c r="BP58" i="2"/>
  <c r="BP59" i="2"/>
  <c r="BN59" i="2"/>
  <c r="Z59" i="2"/>
  <c r="BP64" i="2"/>
  <c r="BN64" i="2"/>
  <c r="Z64" i="2"/>
  <c r="BN85" i="2"/>
  <c r="BP85" i="2"/>
  <c r="BN125" i="2"/>
  <c r="BN126" i="2"/>
  <c r="Z126" i="2"/>
  <c r="BN143" i="2"/>
  <c r="BP195" i="2"/>
  <c r="BN195" i="2"/>
  <c r="Z195" i="2"/>
  <c r="BN229" i="2"/>
  <c r="BN246" i="2"/>
  <c r="Y249" i="2"/>
  <c r="BN252" i="2"/>
  <c r="BN306" i="2"/>
  <c r="BN331" i="2"/>
  <c r="BN375" i="2"/>
  <c r="BN385" i="2"/>
  <c r="BP385" i="2"/>
  <c r="BN392" i="2"/>
  <c r="BN411" i="2"/>
  <c r="BN425" i="2"/>
  <c r="BN450" i="2"/>
  <c r="BP450" i="2"/>
  <c r="BN461" i="2"/>
  <c r="BN510" i="2"/>
  <c r="BP510" i="2"/>
  <c r="BN513" i="2"/>
  <c r="BN525" i="2"/>
  <c r="BN551" i="2"/>
  <c r="Z551" i="2"/>
  <c r="BN30" i="2"/>
  <c r="Z31" i="2"/>
  <c r="BP37" i="2"/>
  <c r="BP48" i="2"/>
  <c r="Z58" i="2"/>
  <c r="BN77" i="2"/>
  <c r="G570" i="2"/>
  <c r="BP106" i="2"/>
  <c r="BN106" i="2"/>
  <c r="Z106" i="2"/>
  <c r="BN115" i="2"/>
  <c r="BN128" i="2"/>
  <c r="BN133" i="2"/>
  <c r="Y135" i="2"/>
  <c r="BN139" i="2"/>
  <c r="Z139" i="2"/>
  <c r="BN157" i="2"/>
  <c r="BP169" i="2"/>
  <c r="BN169" i="2"/>
  <c r="Z169" i="2"/>
  <c r="BN181" i="2"/>
  <c r="BP215" i="2"/>
  <c r="Z215" i="2"/>
  <c r="BP236" i="2"/>
  <c r="BN236" i="2"/>
  <c r="Z236" i="2"/>
  <c r="BN238" i="2"/>
  <c r="BN262" i="2"/>
  <c r="BP262" i="2"/>
  <c r="BP272" i="2"/>
  <c r="BN272" i="2"/>
  <c r="Z272" i="2"/>
  <c r="Y280" i="2"/>
  <c r="BN275" i="2"/>
  <c r="BP275" i="2"/>
  <c r="BP279" i="2"/>
  <c r="BN279" i="2"/>
  <c r="Z279" i="2"/>
  <c r="BP283" i="2"/>
  <c r="BN283" i="2"/>
  <c r="Z283" i="2"/>
  <c r="BN289" i="2"/>
  <c r="BN293" i="2"/>
  <c r="BN322" i="2"/>
  <c r="BP349" i="2"/>
  <c r="BN349" i="2"/>
  <c r="Z349" i="2"/>
  <c r="BN367" i="2"/>
  <c r="Y396" i="2"/>
  <c r="BN401" i="2"/>
  <c r="BN437" i="2"/>
  <c r="BN480" i="2"/>
  <c r="BP519" i="2"/>
  <c r="Z519" i="2"/>
  <c r="Y536" i="2"/>
  <c r="BP535" i="2"/>
  <c r="BN60" i="2"/>
  <c r="Y81" i="2"/>
  <c r="BN80" i="2"/>
  <c r="BN86" i="2"/>
  <c r="BN93" i="2"/>
  <c r="BN107" i="2"/>
  <c r="BN116" i="2"/>
  <c r="BN187" i="2"/>
  <c r="Y198" i="2"/>
  <c r="BN211" i="2"/>
  <c r="Y241" i="2"/>
  <c r="BN232" i="2"/>
  <c r="BN244" i="2"/>
  <c r="BN257" i="2"/>
  <c r="BN263" i="2"/>
  <c r="BN277" i="2"/>
  <c r="BN285" i="2"/>
  <c r="Y300" i="2"/>
  <c r="BN314" i="2"/>
  <c r="BP324" i="2"/>
  <c r="BN347" i="2"/>
  <c r="BN360" i="2"/>
  <c r="BN371" i="2"/>
  <c r="BN387" i="2"/>
  <c r="BN393" i="2"/>
  <c r="BN426" i="2"/>
  <c r="BN438" i="2"/>
  <c r="BN456" i="2"/>
  <c r="BN462" i="2"/>
  <c r="BN482" i="2"/>
  <c r="BN506" i="2"/>
  <c r="BN511" i="2"/>
  <c r="Y521" i="2"/>
  <c r="BN517" i="2"/>
  <c r="BN527" i="2"/>
  <c r="X560" i="2"/>
  <c r="X562" i="2"/>
  <c r="BP29" i="2"/>
  <c r="BP103" i="2"/>
  <c r="BP507" i="2"/>
  <c r="BN507" i="2"/>
  <c r="Z47" i="2"/>
  <c r="BP47" i="2"/>
  <c r="Y52" i="2"/>
  <c r="BP57" i="2"/>
  <c r="BP66" i="2"/>
  <c r="Z78" i="2"/>
  <c r="Z103" i="2"/>
  <c r="Z105" i="2"/>
  <c r="BP105" i="2"/>
  <c r="Z110" i="2"/>
  <c r="BP110" i="2"/>
  <c r="Z123" i="2"/>
  <c r="BP127" i="2"/>
  <c r="BP132" i="2"/>
  <c r="Z158" i="2"/>
  <c r="BN158" i="2"/>
  <c r="Y203" i="2"/>
  <c r="Z201" i="2"/>
  <c r="Z202" i="2" s="1"/>
  <c r="BN217" i="2"/>
  <c r="BP217" i="2"/>
  <c r="Z217" i="2"/>
  <c r="BN227" i="2"/>
  <c r="Z227" i="2"/>
  <c r="BN318" i="2"/>
  <c r="Y319" i="2"/>
  <c r="Z318" i="2"/>
  <c r="Z319" i="2" s="1"/>
  <c r="Y335" i="2"/>
  <c r="Y334" i="2"/>
  <c r="BN329" i="2"/>
  <c r="BN345" i="2"/>
  <c r="Y350" i="2"/>
  <c r="Z345" i="2"/>
  <c r="BN413" i="2"/>
  <c r="BP413" i="2"/>
  <c r="Z413" i="2"/>
  <c r="BP466" i="2"/>
  <c r="Y467" i="2"/>
  <c r="Z466" i="2"/>
  <c r="Z467" i="2" s="1"/>
  <c r="BN498" i="2"/>
  <c r="BP498" i="2"/>
  <c r="Y541" i="2"/>
  <c r="Y540" i="2"/>
  <c r="Z539" i="2"/>
  <c r="Z540" i="2" s="1"/>
  <c r="Y32" i="2"/>
  <c r="BP41" i="2"/>
  <c r="Y166" i="2"/>
  <c r="BP164" i="2"/>
  <c r="Z164" i="2"/>
  <c r="Z165" i="2" s="1"/>
  <c r="Y193" i="2"/>
  <c r="BN180" i="2"/>
  <c r="Y207" i="2"/>
  <c r="Y206" i="2"/>
  <c r="BN205" i="2"/>
  <c r="BP205" i="2"/>
  <c r="Z205" i="2"/>
  <c r="Z206" i="2" s="1"/>
  <c r="BN348" i="2"/>
  <c r="BP348" i="2"/>
  <c r="Z348" i="2"/>
  <c r="BN381" i="2"/>
  <c r="BP381" i="2"/>
  <c r="Z381" i="2"/>
  <c r="BN436" i="2"/>
  <c r="Z436" i="2"/>
  <c r="BP23" i="2"/>
  <c r="BN29" i="2"/>
  <c r="Y43" i="2"/>
  <c r="BN41" i="2"/>
  <c r="Z57" i="2"/>
  <c r="Z60" i="2"/>
  <c r="Y68" i="2"/>
  <c r="Z66" i="2"/>
  <c r="Z68" i="2" s="1"/>
  <c r="BN72" i="2"/>
  <c r="Z80" i="2"/>
  <c r="BP87" i="2"/>
  <c r="BN88" i="2"/>
  <c r="BP104" i="2"/>
  <c r="Y120" i="2"/>
  <c r="Y129" i="2"/>
  <c r="Z125" i="2"/>
  <c r="Z127" i="2"/>
  <c r="Z132" i="2"/>
  <c r="H570" i="2"/>
  <c r="BP138" i="2"/>
  <c r="BN164" i="2"/>
  <c r="Z197" i="2"/>
  <c r="BN197" i="2"/>
  <c r="Z340" i="2"/>
  <c r="BN340" i="2"/>
  <c r="BP400" i="2"/>
  <c r="Z400" i="2"/>
  <c r="BP455" i="2"/>
  <c r="Y548" i="2"/>
  <c r="BP547" i="2"/>
  <c r="Z189" i="2"/>
  <c r="BN189" i="2"/>
  <c r="BP267" i="2"/>
  <c r="BN267" i="2"/>
  <c r="BP287" i="2"/>
  <c r="BN287" i="2"/>
  <c r="Y312" i="2"/>
  <c r="BN304" i="2"/>
  <c r="BP304" i="2"/>
  <c r="Z304" i="2"/>
  <c r="Z451" i="2"/>
  <c r="BN451" i="2"/>
  <c r="X561" i="2"/>
  <c r="X564" i="2"/>
  <c r="Y33" i="2"/>
  <c r="C570" i="2"/>
  <c r="BN47" i="2"/>
  <c r="Z61" i="2"/>
  <c r="BP56" i="2"/>
  <c r="BP67" i="2"/>
  <c r="Y75" i="2"/>
  <c r="Y99" i="2"/>
  <c r="Z104" i="2"/>
  <c r="Z107" i="2"/>
  <c r="BP116" i="2"/>
  <c r="BN117" i="2"/>
  <c r="Z118" i="2"/>
  <c r="Y119" i="2"/>
  <c r="Z122" i="2"/>
  <c r="BP122" i="2"/>
  <c r="BP126" i="2"/>
  <c r="Z138" i="2"/>
  <c r="Z140" i="2" s="1"/>
  <c r="Y141" i="2"/>
  <c r="Y162" i="2"/>
  <c r="Z156" i="2"/>
  <c r="BN156" i="2"/>
  <c r="BP189" i="2"/>
  <c r="Z213" i="2"/>
  <c r="BN213" i="2"/>
  <c r="BN230" i="2"/>
  <c r="BP230" i="2"/>
  <c r="Z230" i="2"/>
  <c r="BP333" i="2"/>
  <c r="BN333" i="2"/>
  <c r="Z333" i="2"/>
  <c r="W570" i="2"/>
  <c r="BN433" i="2"/>
  <c r="Z433" i="2"/>
  <c r="BP436" i="2"/>
  <c r="BN439" i="2"/>
  <c r="BP439" i="2"/>
  <c r="Z439" i="2"/>
  <c r="BP451" i="2"/>
  <c r="Z455" i="2"/>
  <c r="Z457" i="2" s="1"/>
  <c r="BN455" i="2"/>
  <c r="BP470" i="2"/>
  <c r="BN470" i="2"/>
  <c r="Z470" i="2"/>
  <c r="Z481" i="2"/>
  <c r="BN481" i="2"/>
  <c r="BP181" i="2"/>
  <c r="BP187" i="2"/>
  <c r="BN188" i="2"/>
  <c r="BN215" i="2"/>
  <c r="BP222" i="2"/>
  <c r="BN228" i="2"/>
  <c r="BP234" i="2"/>
  <c r="Y264" i="2"/>
  <c r="Q570" i="2"/>
  <c r="BP353" i="2"/>
  <c r="Y363" i="2"/>
  <c r="BP377" i="2"/>
  <c r="BP407" i="2"/>
  <c r="Y484" i="2"/>
  <c r="BP487" i="2"/>
  <c r="BP499" i="2"/>
  <c r="AA570" i="2"/>
  <c r="BP505" i="2"/>
  <c r="Y544" i="2"/>
  <c r="I570" i="2"/>
  <c r="BP171" i="2"/>
  <c r="Y177" i="2"/>
  <c r="Y178" i="2"/>
  <c r="BP211" i="2"/>
  <c r="Y240" i="2"/>
  <c r="BP226" i="2"/>
  <c r="Z229" i="2"/>
  <c r="Z238" i="2"/>
  <c r="Z246" i="2"/>
  <c r="Y255" i="2"/>
  <c r="BP252" i="2"/>
  <c r="Y281" i="2"/>
  <c r="BP285" i="2"/>
  <c r="Z289" i="2"/>
  <c r="Z322" i="2"/>
  <c r="BP331" i="2"/>
  <c r="Z338" i="2"/>
  <c r="BP338" i="2"/>
  <c r="Y351" i="2"/>
  <c r="Z347" i="2"/>
  <c r="Z353" i="2"/>
  <c r="Z360" i="2"/>
  <c r="Z369" i="2"/>
  <c r="BP387" i="2"/>
  <c r="Z393" i="2"/>
  <c r="BP399" i="2"/>
  <c r="Z401" i="2"/>
  <c r="Y409" i="2"/>
  <c r="Z407" i="2"/>
  <c r="Z424" i="2"/>
  <c r="Z426" i="2"/>
  <c r="Y428" i="2"/>
  <c r="BP435" i="2"/>
  <c r="Z438" i="2"/>
  <c r="Z443" i="2"/>
  <c r="BP445" i="2"/>
  <c r="Y453" i="2"/>
  <c r="X570" i="2"/>
  <c r="Z462" i="2"/>
  <c r="Y464" i="2"/>
  <c r="BP480" i="2"/>
  <c r="Z482" i="2"/>
  <c r="Z487" i="2"/>
  <c r="Z570" i="2"/>
  <c r="BP493" i="2"/>
  <c r="Z509" i="2"/>
  <c r="Z513" i="2"/>
  <c r="Z149" i="2"/>
  <c r="Y150" i="2"/>
  <c r="Z154" i="2"/>
  <c r="BP154" i="2"/>
  <c r="Z160" i="2"/>
  <c r="J570" i="2"/>
  <c r="Z171" i="2"/>
  <c r="Z172" i="2" s="1"/>
  <c r="Z175" i="2"/>
  <c r="BP175" i="2"/>
  <c r="Z191" i="2"/>
  <c r="BN222" i="2"/>
  <c r="Y223" i="2"/>
  <c r="Z226" i="2"/>
  <c r="Z228" i="2"/>
  <c r="BP232" i="2"/>
  <c r="BN234" i="2"/>
  <c r="Y248" i="2"/>
  <c r="BP244" i="2"/>
  <c r="Z257" i="2"/>
  <c r="Z258" i="2" s="1"/>
  <c r="BP257" i="2"/>
  <c r="Y259" i="2"/>
  <c r="Z263" i="2"/>
  <c r="Z273" i="2"/>
  <c r="BP273" i="2"/>
  <c r="Y296" i="2"/>
  <c r="Z293" i="2"/>
  <c r="Y311" i="2"/>
  <c r="BP306" i="2"/>
  <c r="BN308" i="2"/>
  <c r="Z314" i="2"/>
  <c r="Z315" i="2" s="1"/>
  <c r="BP314" i="2"/>
  <c r="Z346" i="2"/>
  <c r="BP346" i="2"/>
  <c r="T570" i="2"/>
  <c r="BP367" i="2"/>
  <c r="Z371" i="2"/>
  <c r="BP375" i="2"/>
  <c r="BN377" i="2"/>
  <c r="Z392" i="2"/>
  <c r="Z399" i="2"/>
  <c r="Z405" i="2"/>
  <c r="BP405" i="2"/>
  <c r="Y408" i="2"/>
  <c r="Z411" i="2"/>
  <c r="Y421" i="2"/>
  <c r="Z425" i="2"/>
  <c r="Z435" i="2"/>
  <c r="Z437" i="2"/>
  <c r="Z445" i="2"/>
  <c r="Z449" i="2"/>
  <c r="Z461" i="2"/>
  <c r="Z463" i="2" s="1"/>
  <c r="BP461" i="2"/>
  <c r="Z472" i="2"/>
  <c r="Y489" i="2"/>
  <c r="Z493" i="2"/>
  <c r="Z494" i="2" s="1"/>
  <c r="Y501" i="2"/>
  <c r="BN499" i="2"/>
  <c r="BN505" i="2"/>
  <c r="BP511" i="2"/>
  <c r="Y514" i="2"/>
  <c r="BP525" i="2"/>
  <c r="BN526" i="2"/>
  <c r="BP551" i="2"/>
  <c r="Z355" i="2"/>
  <c r="BP88" i="2"/>
  <c r="Z28" i="2"/>
  <c r="BP30" i="2"/>
  <c r="Z40" i="2"/>
  <c r="BN55" i="2"/>
  <c r="BN65" i="2"/>
  <c r="BP77" i="2"/>
  <c r="Z86" i="2"/>
  <c r="BP93" i="2"/>
  <c r="BN96" i="2"/>
  <c r="Z115" i="2"/>
  <c r="BP117" i="2"/>
  <c r="Z128" i="2"/>
  <c r="Z133" i="2"/>
  <c r="BP148" i="2"/>
  <c r="Z157" i="2"/>
  <c r="BP159" i="2"/>
  <c r="BN170" i="2"/>
  <c r="Z180" i="2"/>
  <c r="BP182" i="2"/>
  <c r="BN185" i="2"/>
  <c r="Z188" i="2"/>
  <c r="BP190" i="2"/>
  <c r="Z212" i="2"/>
  <c r="BP214" i="2"/>
  <c r="Z233" i="2"/>
  <c r="BP235" i="2"/>
  <c r="Z243" i="2"/>
  <c r="BP245" i="2"/>
  <c r="Z253" i="2"/>
  <c r="BP268" i="2"/>
  <c r="Z276" i="2"/>
  <c r="BP278" i="2"/>
  <c r="Z286" i="2"/>
  <c r="BP288" i="2"/>
  <c r="BP298" i="2"/>
  <c r="Z307" i="2"/>
  <c r="BP309" i="2"/>
  <c r="Y320" i="2"/>
  <c r="Z330" i="2"/>
  <c r="BP332" i="2"/>
  <c r="BN354" i="2"/>
  <c r="Z366" i="2"/>
  <c r="BP368" i="2"/>
  <c r="Z376" i="2"/>
  <c r="BP378" i="2"/>
  <c r="Z386" i="2"/>
  <c r="BP388" i="2"/>
  <c r="BN398" i="2"/>
  <c r="Z419" i="2"/>
  <c r="BN434" i="2"/>
  <c r="BN444" i="2"/>
  <c r="BP456" i="2"/>
  <c r="Y468" i="2"/>
  <c r="Z479" i="2"/>
  <c r="BP481" i="2"/>
  <c r="BP506" i="2"/>
  <c r="Y515" i="2"/>
  <c r="Z524" i="2"/>
  <c r="BP526" i="2"/>
  <c r="Y553" i="2"/>
  <c r="K570" i="2"/>
  <c r="BN449" i="2"/>
  <c r="Y452" i="2"/>
  <c r="BN472" i="2"/>
  <c r="Y485" i="2"/>
  <c r="BN497" i="2"/>
  <c r="Y500" i="2"/>
  <c r="BN509" i="2"/>
  <c r="BN519" i="2"/>
  <c r="BN529" i="2"/>
  <c r="BN543" i="2"/>
  <c r="L570" i="2"/>
  <c r="F9" i="2"/>
  <c r="BP55" i="2"/>
  <c r="BP65" i="2"/>
  <c r="Z73" i="2"/>
  <c r="Z89" i="2"/>
  <c r="Z94" i="2"/>
  <c r="BP96" i="2"/>
  <c r="Y100" i="2"/>
  <c r="Z144" i="2"/>
  <c r="BP170" i="2"/>
  <c r="BP185" i="2"/>
  <c r="Y199" i="2"/>
  <c r="BN212" i="2"/>
  <c r="Y224" i="2"/>
  <c r="BN233" i="2"/>
  <c r="BN243" i="2"/>
  <c r="BN253" i="2"/>
  <c r="Y269" i="2"/>
  <c r="BN276" i="2"/>
  <c r="BN286" i="2"/>
  <c r="Z294" i="2"/>
  <c r="BN307" i="2"/>
  <c r="BN330" i="2"/>
  <c r="Y342" i="2"/>
  <c r="BP354" i="2"/>
  <c r="BN366" i="2"/>
  <c r="BN376" i="2"/>
  <c r="BN386" i="2"/>
  <c r="Y389" i="2"/>
  <c r="BP398" i="2"/>
  <c r="Z406" i="2"/>
  <c r="BN419" i="2"/>
  <c r="Z432" i="2"/>
  <c r="BP434" i="2"/>
  <c r="BP444" i="2"/>
  <c r="Y457" i="2"/>
  <c r="BN479" i="2"/>
  <c r="Y490" i="2"/>
  <c r="Z512" i="2"/>
  <c r="BN524" i="2"/>
  <c r="Y537" i="2"/>
  <c r="Y549" i="2"/>
  <c r="M570" i="2"/>
  <c r="Y440" i="2"/>
  <c r="BP449" i="2"/>
  <c r="BP497" i="2"/>
  <c r="Z507" i="2"/>
  <c r="Z517" i="2"/>
  <c r="Z527" i="2"/>
  <c r="BP529" i="2"/>
  <c r="BP543" i="2"/>
  <c r="Y554" i="2"/>
  <c r="O570" i="2"/>
  <c r="J9" i="2"/>
  <c r="BP28" i="2"/>
  <c r="Z38" i="2"/>
  <c r="Z50" i="2"/>
  <c r="BN73" i="2"/>
  <c r="BN89" i="2"/>
  <c r="BN94" i="2"/>
  <c r="Z97" i="2"/>
  <c r="Z108" i="2"/>
  <c r="BN144" i="2"/>
  <c r="Z155" i="2"/>
  <c r="BP180" i="2"/>
  <c r="Z186" i="2"/>
  <c r="Z196" i="2"/>
  <c r="Z198" i="2" s="1"/>
  <c r="Z231" i="2"/>
  <c r="BP243" i="2"/>
  <c r="Z251" i="2"/>
  <c r="Y265" i="2"/>
  <c r="Z274" i="2"/>
  <c r="Z284" i="2"/>
  <c r="BN294" i="2"/>
  <c r="Z305" i="2"/>
  <c r="Z339" i="2"/>
  <c r="Y355" i="2"/>
  <c r="BP366" i="2"/>
  <c r="Z394" i="2"/>
  <c r="BN406" i="2"/>
  <c r="BN432" i="2"/>
  <c r="BN512" i="2"/>
  <c r="P570" i="2"/>
  <c r="A10" i="2"/>
  <c r="Y24" i="2"/>
  <c r="BN31" i="2"/>
  <c r="Y111" i="2"/>
  <c r="BN118" i="2"/>
  <c r="BN160" i="2"/>
  <c r="BN183" i="2"/>
  <c r="BN191" i="2"/>
  <c r="Y218" i="2"/>
  <c r="Y270" i="2"/>
  <c r="Y325" i="2"/>
  <c r="BN369" i="2"/>
  <c r="Y372" i="2"/>
  <c r="BN379" i="2"/>
  <c r="Y382" i="2"/>
  <c r="Y390" i="2"/>
  <c r="Y414" i="2"/>
  <c r="Y473" i="2"/>
  <c r="Y520" i="2"/>
  <c r="Y530" i="2"/>
  <c r="BN50" i="2"/>
  <c r="Y62" i="2"/>
  <c r="Z71" i="2"/>
  <c r="Z87" i="2"/>
  <c r="BP94" i="2"/>
  <c r="BN97" i="2"/>
  <c r="BN108" i="2"/>
  <c r="Y134" i="2"/>
  <c r="BN155" i="2"/>
  <c r="Z176" i="2"/>
  <c r="Z177" i="2" s="1"/>
  <c r="BN186" i="2"/>
  <c r="BN196" i="2"/>
  <c r="BN231" i="2"/>
  <c r="Z239" i="2"/>
  <c r="BN251" i="2"/>
  <c r="Y254" i="2"/>
  <c r="Z262" i="2"/>
  <c r="Z264" i="2" s="1"/>
  <c r="BN274" i="2"/>
  <c r="BN284" i="2"/>
  <c r="Z292" i="2"/>
  <c r="BN305" i="2"/>
  <c r="BN339" i="2"/>
  <c r="Z361" i="2"/>
  <c r="BN394" i="2"/>
  <c r="Y420" i="2"/>
  <c r="BP432" i="2"/>
  <c r="Y441" i="2"/>
  <c r="Z450" i="2"/>
  <c r="Z452" i="2" s="1"/>
  <c r="Z498" i="2"/>
  <c r="Z500" i="2" s="1"/>
  <c r="Z510" i="2"/>
  <c r="Z557" i="2"/>
  <c r="Z558" i="2" s="1"/>
  <c r="R570" i="2"/>
  <c r="BP78" i="2"/>
  <c r="BN103" i="2"/>
  <c r="BP118" i="2"/>
  <c r="BP123" i="2"/>
  <c r="Y140" i="2"/>
  <c r="BP149" i="2"/>
  <c r="BN201" i="2"/>
  <c r="BN226" i="2"/>
  <c r="Z267" i="2"/>
  <c r="Z277" i="2"/>
  <c r="Z287" i="2"/>
  <c r="Z308" i="2"/>
  <c r="BP322" i="2"/>
  <c r="Y356" i="2"/>
  <c r="Y402" i="2"/>
  <c r="BN493" i="2"/>
  <c r="Z505" i="2"/>
  <c r="BP517" i="2"/>
  <c r="BN539" i="2"/>
  <c r="S570" i="2"/>
  <c r="BN78" i="2"/>
  <c r="F10" i="2"/>
  <c r="BN38" i="2"/>
  <c r="Y25" i="2"/>
  <c r="BP38" i="2"/>
  <c r="BP50" i="2"/>
  <c r="BN71" i="2"/>
  <c r="Y74" i="2"/>
  <c r="Y82" i="2"/>
  <c r="Y90" i="2"/>
  <c r="Y112" i="2"/>
  <c r="Y145" i="2"/>
  <c r="BP155" i="2"/>
  <c r="BN176" i="2"/>
  <c r="BP196" i="2"/>
  <c r="Y219" i="2"/>
  <c r="BN239" i="2"/>
  <c r="BP251" i="2"/>
  <c r="BP274" i="2"/>
  <c r="BN292" i="2"/>
  <c r="Y295" i="2"/>
  <c r="BP305" i="2"/>
  <c r="BP339" i="2"/>
  <c r="BN361" i="2"/>
  <c r="Y373" i="2"/>
  <c r="Y383" i="2"/>
  <c r="BP394" i="2"/>
  <c r="Y415" i="2"/>
  <c r="Y474" i="2"/>
  <c r="Y531" i="2"/>
  <c r="Y545" i="2"/>
  <c r="BN557" i="2"/>
  <c r="B570" i="2"/>
  <c r="U570" i="2"/>
  <c r="Y61" i="2"/>
  <c r="Z216" i="2"/>
  <c r="Z237" i="2"/>
  <c r="Z247" i="2"/>
  <c r="Z290" i="2"/>
  <c r="Z323" i="2"/>
  <c r="Z325" i="2" s="1"/>
  <c r="Z359" i="2"/>
  <c r="Z370" i="2"/>
  <c r="Z380" i="2"/>
  <c r="Y395" i="2"/>
  <c r="Y403" i="2"/>
  <c r="Z412" i="2"/>
  <c r="Z471" i="2"/>
  <c r="Z483" i="2"/>
  <c r="Z508" i="2"/>
  <c r="Z518" i="2"/>
  <c r="Z528" i="2"/>
  <c r="BP557" i="2"/>
  <c r="V570" i="2"/>
  <c r="Y130" i="2"/>
  <c r="Z22" i="2"/>
  <c r="Z24" i="2" s="1"/>
  <c r="Y51" i="2"/>
  <c r="Z79" i="2"/>
  <c r="Z109" i="2"/>
  <c r="Z124" i="2"/>
  <c r="Z27" i="2"/>
  <c r="Z39" i="2"/>
  <c r="Z85" i="2"/>
  <c r="Z90" i="2" s="1"/>
  <c r="Y91" i="2"/>
  <c r="Z98" i="2"/>
  <c r="Z114" i="2"/>
  <c r="Z119" i="2" s="1"/>
  <c r="Y146" i="2"/>
  <c r="Y172" i="2"/>
  <c r="Y202" i="2"/>
  <c r="Z275" i="2"/>
  <c r="Z329" i="2"/>
  <c r="Z385" i="2"/>
  <c r="Z418" i="2"/>
  <c r="Z420" i="2" s="1"/>
  <c r="BN443" i="2"/>
  <c r="Y446" i="2"/>
  <c r="BN466" i="2"/>
  <c r="Z478" i="2"/>
  <c r="Z488" i="2"/>
  <c r="Z489" i="2" s="1"/>
  <c r="Z523" i="2"/>
  <c r="Z535" i="2"/>
  <c r="Z536" i="2" s="1"/>
  <c r="Z547" i="2"/>
  <c r="Z548" i="2" s="1"/>
  <c r="Y161" i="2"/>
  <c r="BN124" i="2"/>
  <c r="Y151" i="2"/>
  <c r="BN216" i="2"/>
  <c r="BN237" i="2"/>
  <c r="BN247" i="2"/>
  <c r="BN290" i="2"/>
  <c r="Y301" i="2"/>
  <c r="BN323" i="2"/>
  <c r="BN359" i="2"/>
  <c r="Y362" i="2"/>
  <c r="BN370" i="2"/>
  <c r="BN380" i="2"/>
  <c r="BN412" i="2"/>
  <c r="BN471" i="2"/>
  <c r="BN483" i="2"/>
  <c r="BN508" i="2"/>
  <c r="BN518" i="2"/>
  <c r="BN528" i="2"/>
  <c r="Z552" i="2"/>
  <c r="Y558" i="2"/>
  <c r="E570" i="2"/>
  <c r="Y69" i="2"/>
  <c r="Y192" i="2"/>
  <c r="BN22" i="2"/>
  <c r="BN79" i="2"/>
  <c r="Y42" i="2"/>
  <c r="Z143" i="2"/>
  <c r="Z145" i="2" s="1"/>
  <c r="BP443" i="2"/>
  <c r="BN478" i="2"/>
  <c r="BN488" i="2"/>
  <c r="BN535" i="2"/>
  <c r="BN547" i="2"/>
  <c r="F570" i="2"/>
  <c r="Y570" i="2"/>
  <c r="BN109" i="2"/>
  <c r="Z72" i="2"/>
  <c r="BN138" i="2"/>
  <c r="Z148" i="2"/>
  <c r="Z159" i="2"/>
  <c r="Y173" i="2"/>
  <c r="Z182" i="2"/>
  <c r="Z190" i="2"/>
  <c r="Z214" i="2"/>
  <c r="Z235" i="2"/>
  <c r="Z245" i="2"/>
  <c r="Z268" i="2"/>
  <c r="Z278" i="2"/>
  <c r="Z288" i="2"/>
  <c r="Z298" i="2"/>
  <c r="Z300" i="2" s="1"/>
  <c r="Z309" i="2"/>
  <c r="Z332" i="2"/>
  <c r="Z368" i="2"/>
  <c r="Z378" i="2"/>
  <c r="Z388" i="2"/>
  <c r="BN400" i="2"/>
  <c r="BN424" i="2"/>
  <c r="Y427" i="2"/>
  <c r="Y495" i="2"/>
  <c r="BN552" i="2"/>
  <c r="Y559" i="2"/>
  <c r="AB570" i="2"/>
  <c r="Z81" i="2" l="1"/>
  <c r="Z341" i="2"/>
  <c r="Z161" i="2"/>
  <c r="Z520" i="2"/>
  <c r="Z269" i="2"/>
  <c r="Z382" i="2"/>
  <c r="Z218" i="2"/>
  <c r="Z553" i="2"/>
  <c r="Z530" i="2"/>
  <c r="Z484" i="2"/>
  <c r="Z99" i="2"/>
  <c r="Z32" i="2"/>
  <c r="Z414" i="2"/>
  <c r="Z51" i="2"/>
  <c r="Z134" i="2"/>
  <c r="Z395" i="2"/>
  <c r="Z402" i="2"/>
  <c r="X563" i="2"/>
  <c r="Z446" i="2"/>
  <c r="Z440" i="2"/>
  <c r="Z280" i="2"/>
  <c r="Z42" i="2"/>
  <c r="Z311" i="2"/>
  <c r="Y562" i="2"/>
  <c r="Z408" i="2"/>
  <c r="Z240" i="2"/>
  <c r="Z150" i="2"/>
  <c r="Z129" i="2"/>
  <c r="Z473" i="2"/>
  <c r="Z254" i="2"/>
  <c r="Z111" i="2"/>
  <c r="Z427" i="2"/>
  <c r="Z350" i="2"/>
  <c r="Z295" i="2"/>
  <c r="Z192" i="2"/>
  <c r="Z362" i="2"/>
  <c r="Z74" i="2"/>
  <c r="Y564" i="2"/>
  <c r="Z248" i="2"/>
  <c r="Z514" i="2"/>
  <c r="Z389" i="2"/>
  <c r="Z334" i="2"/>
  <c r="Y561" i="2"/>
  <c r="Z372" i="2"/>
  <c r="Y560" i="2"/>
  <c r="Y563" i="2" l="1"/>
  <c r="Z565" i="2"/>
</calcChain>
</file>

<file path=xl/sharedStrings.xml><?xml version="1.0" encoding="utf-8"?>
<sst xmlns="http://schemas.openxmlformats.org/spreadsheetml/2006/main" count="4310" uniqueCount="900">
  <si>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</si>
  <si>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</si>
  <si>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</si>
  <si>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</si>
  <si>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</si>
  <si>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</si>
  <si>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</si>
  <si>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</si>
  <si>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</si>
  <si>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</si>
  <si>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</si>
  <si>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</si>
  <si>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</si>
  <si>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</si>
  <si>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</si>
  <si>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</si>
  <si>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</si>
  <si>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</si>
  <si>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</si>
  <si>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</si>
  <si>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</si>
  <si>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</si>
  <si>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</si>
  <si>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</si>
  <si>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</si>
  <si>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</si>
  <si>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</si>
  <si>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</si>
  <si>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</si>
  <si>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</si>
  <si>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</si>
  <si>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</si>
  <si>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</si>
  <si>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</si>
  <si>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</si>
  <si>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</si>
  <si>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</si>
  <si>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</si>
  <si>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</si>
  <si>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</si>
  <si>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</si>
  <si>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</si>
  <si>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</si>
  <si>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</si>
  <si>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</si>
  <si>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</si>
  <si>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</si>
  <si>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</si>
  <si>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</si>
  <si>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</si>
  <si>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</si>
  <si>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</si>
  <si>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</si>
  <si>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</si>
  <si>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</si>
  <si>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</si>
  <si>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</si>
  <si>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</si>
  <si>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</si>
  <si>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</si>
  <si>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</si>
  <si>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</si>
  <si>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</si>
  <si>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</si>
  <si>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</si>
  <si>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</si>
  <si>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</si>
  <si>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01.09.2026</t>
  </si>
  <si>
    <t>27.08.2026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</si>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</sst>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5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10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0"/>
  <sheetViews>
    <sheetView showGridLines="0" tabSelected="1" zoomScaleNormal="100" zoomScaleSheetLayoutView="100" workbookViewId="0">
      <selection activeCell="AA433" sqref="AA43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6" t="s">
        <v>26</v>
      </c>
      <c r="E1" s="996"/>
      <c r="F1" s="996"/>
      <c r="G1" s="14" t="s">
        <v>66</v>
      </c>
      <c r="H1" s="996" t="s">
        <v>47</v>
      </c>
      <c r="I1" s="996"/>
      <c r="J1" s="996"/>
      <c r="K1" s="996"/>
      <c r="L1" s="996"/>
      <c r="M1" s="996"/>
      <c r="N1" s="996"/>
      <c r="O1" s="996"/>
      <c r="P1" s="996"/>
      <c r="Q1" s="996"/>
      <c r="R1" s="997" t="s">
        <v>67</v>
      </c>
      <c r="S1" s="998"/>
      <c r="T1" s="99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9"/>
      <c r="R2" s="999"/>
      <c r="S2" s="999"/>
      <c r="T2" s="999"/>
      <c r="U2" s="999"/>
      <c r="V2" s="999"/>
      <c r="W2" s="99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9"/>
      <c r="Q3" s="999"/>
      <c r="R3" s="999"/>
      <c r="S3" s="999"/>
      <c r="T3" s="999"/>
      <c r="U3" s="999"/>
      <c r="V3" s="999"/>
      <c r="W3" s="99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00" t="s">
        <v>8</v>
      </c>
      <c r="B5" s="1000"/>
      <c r="C5" s="1000"/>
      <c r="D5" s="1001"/>
      <c r="E5" s="1001"/>
      <c r="F5" s="1002" t="s">
        <v>14</v>
      </c>
      <c r="G5" s="1002"/>
      <c r="H5" s="1001" t="s">
        <v>899</v>
      </c>
      <c r="I5" s="1001"/>
      <c r="J5" s="1001"/>
      <c r="K5" s="1001"/>
      <c r="L5" s="1001"/>
      <c r="M5" s="1001"/>
      <c r="N5" s="72"/>
      <c r="P5" s="27" t="s">
        <v>4</v>
      </c>
      <c r="Q5" s="1003">
        <v>46272</v>
      </c>
      <c r="R5" s="1003"/>
      <c r="T5" s="1004" t="s">
        <v>3</v>
      </c>
      <c r="U5" s="1005"/>
      <c r="V5" s="1006" t="s">
        <v>879</v>
      </c>
      <c r="W5" s="1007"/>
      <c r="AB5" s="59"/>
      <c r="AC5" s="59"/>
      <c r="AD5" s="59"/>
      <c r="AE5" s="59"/>
    </row>
    <row r="6" spans="1:32" s="17" customFormat="1" ht="24" customHeight="1" x14ac:dyDescent="0.2">
      <c r="A6" s="1000" t="s">
        <v>1</v>
      </c>
      <c r="B6" s="1000"/>
      <c r="C6" s="1000"/>
      <c r="D6" s="1008" t="s">
        <v>880</v>
      </c>
      <c r="E6" s="1008"/>
      <c r="F6" s="1008"/>
      <c r="G6" s="1008"/>
      <c r="H6" s="1008"/>
      <c r="I6" s="1008"/>
      <c r="J6" s="1008"/>
      <c r="K6" s="1008"/>
      <c r="L6" s="1008"/>
      <c r="M6" s="1008"/>
      <c r="N6" s="73"/>
      <c r="P6" s="27" t="s">
        <v>27</v>
      </c>
      <c r="Q6" s="1009" t="str">
        <f>IF(Q5=0," ",CHOOSE(WEEKDAY(Q5,2),"Понедельник","Вторник","Среда","Четверг","Пятница","Суббота","Воскресенье"))</f>
        <v>Понедельник</v>
      </c>
      <c r="R6" s="1009"/>
      <c r="T6" s="1010" t="s">
        <v>5</v>
      </c>
      <c r="U6" s="1011"/>
      <c r="V6" s="1012" t="s">
        <v>69</v>
      </c>
      <c r="W6" s="101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18" t="str">
        <f>IFERROR(VLOOKUP(DeliveryAddress,Table,3,0),1)</f>
        <v>1</v>
      </c>
      <c r="E7" s="1019"/>
      <c r="F7" s="1019"/>
      <c r="G7" s="1019"/>
      <c r="H7" s="1019"/>
      <c r="I7" s="1019"/>
      <c r="J7" s="1019"/>
      <c r="K7" s="1019"/>
      <c r="L7" s="1019"/>
      <c r="M7" s="1020"/>
      <c r="N7" s="74"/>
      <c r="P7" s="29"/>
      <c r="Q7" s="48"/>
      <c r="R7" s="48"/>
      <c r="T7" s="1010"/>
      <c r="U7" s="1011"/>
      <c r="V7" s="1014"/>
      <c r="W7" s="1015"/>
      <c r="AB7" s="59"/>
      <c r="AC7" s="59"/>
      <c r="AD7" s="59"/>
      <c r="AE7" s="59"/>
    </row>
    <row r="8" spans="1:32" s="17" customFormat="1" ht="25.5" customHeight="1" x14ac:dyDescent="0.2">
      <c r="A8" s="1021" t="s">
        <v>57</v>
      </c>
      <c r="B8" s="1021"/>
      <c r="C8" s="1021"/>
      <c r="D8" s="1022"/>
      <c r="E8" s="1022"/>
      <c r="F8" s="1022"/>
      <c r="G8" s="1022"/>
      <c r="H8" s="1022"/>
      <c r="I8" s="1022"/>
      <c r="J8" s="1022"/>
      <c r="K8" s="1022"/>
      <c r="L8" s="1022"/>
      <c r="M8" s="1022"/>
      <c r="N8" s="75"/>
      <c r="P8" s="27" t="s">
        <v>11</v>
      </c>
      <c r="Q8" s="981">
        <v>0.41666666666666669</v>
      </c>
      <c r="R8" s="981"/>
      <c r="T8" s="1010"/>
      <c r="U8" s="1011"/>
      <c r="V8" s="1014"/>
      <c r="W8" s="1015"/>
      <c r="AB8" s="59"/>
      <c r="AC8" s="59"/>
      <c r="AD8" s="59"/>
      <c r="AE8" s="59"/>
    </row>
    <row r="9" spans="1:32" s="17" customFormat="1" ht="39.950000000000003" customHeight="1" x14ac:dyDescent="0.2">
      <c r="A9" s="97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1"/>
      <c r="C9" s="971"/>
      <c r="D9" s="972" t="s">
        <v>46</v>
      </c>
      <c r="E9" s="973"/>
      <c r="F9" s="97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1"/>
      <c r="H9" s="1023" t="str">
        <f>IF(AND($A$9="Тип доверенности/получателя при получении в адресе перегруза:",$D$9="Разовая доверенность"),"Введите ФИО","")</f>
        <v/>
      </c>
      <c r="I9" s="1023"/>
      <c r="J9" s="10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23"/>
      <c r="L9" s="1023"/>
      <c r="M9" s="1023"/>
      <c r="N9" s="70"/>
      <c r="P9" s="31" t="s">
        <v>15</v>
      </c>
      <c r="Q9" s="1024"/>
      <c r="R9" s="1024"/>
      <c r="T9" s="1010"/>
      <c r="U9" s="1011"/>
      <c r="V9" s="1016"/>
      <c r="W9" s="101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7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1"/>
      <c r="C10" s="971"/>
      <c r="D10" s="972"/>
      <c r="E10" s="973"/>
      <c r="F10" s="97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1"/>
      <c r="H10" s="974" t="str">
        <f>IFERROR(VLOOKUP($D$10,Proxy,2,FALSE),"")</f>
        <v/>
      </c>
      <c r="I10" s="974"/>
      <c r="J10" s="974"/>
      <c r="K10" s="974"/>
      <c r="L10" s="974"/>
      <c r="M10" s="974"/>
      <c r="N10" s="71"/>
      <c r="P10" s="31" t="s">
        <v>32</v>
      </c>
      <c r="Q10" s="975"/>
      <c r="R10" s="975"/>
      <c r="U10" s="29" t="s">
        <v>12</v>
      </c>
      <c r="V10" s="976" t="s">
        <v>70</v>
      </c>
      <c r="W10" s="977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78"/>
      <c r="R11" s="978"/>
      <c r="U11" s="29" t="s">
        <v>28</v>
      </c>
      <c r="V11" s="979" t="s">
        <v>898</v>
      </c>
      <c r="W11" s="979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80" t="s">
        <v>71</v>
      </c>
      <c r="B12" s="980"/>
      <c r="C12" s="980"/>
      <c r="D12" s="980"/>
      <c r="E12" s="980"/>
      <c r="F12" s="980"/>
      <c r="G12" s="980"/>
      <c r="H12" s="980"/>
      <c r="I12" s="980"/>
      <c r="J12" s="980"/>
      <c r="K12" s="980"/>
      <c r="L12" s="980"/>
      <c r="M12" s="980"/>
      <c r="N12" s="76"/>
      <c r="P12" s="27" t="s">
        <v>30</v>
      </c>
      <c r="Q12" s="981"/>
      <c r="R12" s="981"/>
      <c r="S12" s="28"/>
      <c r="T12"/>
      <c r="U12" s="29" t="s">
        <v>46</v>
      </c>
      <c r="V12" s="982"/>
      <c r="W12" s="982"/>
      <c r="X12"/>
      <c r="AB12" s="59"/>
      <c r="AC12" s="59"/>
      <c r="AD12" s="59"/>
      <c r="AE12" s="59"/>
    </row>
    <row r="13" spans="1:32" s="17" customFormat="1" ht="23.25" customHeight="1" x14ac:dyDescent="0.2">
      <c r="A13" s="980" t="s">
        <v>72</v>
      </c>
      <c r="B13" s="980"/>
      <c r="C13" s="980"/>
      <c r="D13" s="980"/>
      <c r="E13" s="980"/>
      <c r="F13" s="980"/>
      <c r="G13" s="980"/>
      <c r="H13" s="980"/>
      <c r="I13" s="980"/>
      <c r="J13" s="980"/>
      <c r="K13" s="980"/>
      <c r="L13" s="980"/>
      <c r="M13" s="980"/>
      <c r="N13" s="76"/>
      <c r="O13" s="31"/>
      <c r="P13" s="31" t="s">
        <v>31</v>
      </c>
      <c r="Q13" s="979"/>
      <c r="R13" s="979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80" t="s">
        <v>73</v>
      </c>
      <c r="B14" s="980"/>
      <c r="C14" s="980"/>
      <c r="D14" s="980"/>
      <c r="E14" s="980"/>
      <c r="F14" s="980"/>
      <c r="G14" s="980"/>
      <c r="H14" s="980"/>
      <c r="I14" s="980"/>
      <c r="J14" s="980"/>
      <c r="K14" s="980"/>
      <c r="L14" s="980"/>
      <c r="M14" s="980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83" t="s">
        <v>74</v>
      </c>
      <c r="B15" s="983"/>
      <c r="C15" s="983"/>
      <c r="D15" s="983"/>
      <c r="E15" s="983"/>
      <c r="F15" s="983"/>
      <c r="G15" s="983"/>
      <c r="H15" s="983"/>
      <c r="I15" s="983"/>
      <c r="J15" s="983"/>
      <c r="K15" s="983"/>
      <c r="L15" s="983"/>
      <c r="M15" s="983"/>
      <c r="N15" s="77"/>
      <c r="O15"/>
      <c r="P15" s="984" t="s">
        <v>60</v>
      </c>
      <c r="Q15" s="984"/>
      <c r="R15" s="984"/>
      <c r="S15" s="984"/>
      <c r="T15" s="984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85"/>
      <c r="Q16" s="985"/>
      <c r="R16" s="985"/>
      <c r="S16" s="985"/>
      <c r="T16" s="985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55" t="s">
        <v>58</v>
      </c>
      <c r="B17" s="955" t="s">
        <v>49</v>
      </c>
      <c r="C17" s="988" t="s">
        <v>48</v>
      </c>
      <c r="D17" s="990" t="s">
        <v>50</v>
      </c>
      <c r="E17" s="991"/>
      <c r="F17" s="955" t="s">
        <v>21</v>
      </c>
      <c r="G17" s="955" t="s">
        <v>24</v>
      </c>
      <c r="H17" s="955" t="s">
        <v>22</v>
      </c>
      <c r="I17" s="955" t="s">
        <v>23</v>
      </c>
      <c r="J17" s="955" t="s">
        <v>16</v>
      </c>
      <c r="K17" s="955" t="s">
        <v>65</v>
      </c>
      <c r="L17" s="955" t="s">
        <v>63</v>
      </c>
      <c r="M17" s="955" t="s">
        <v>2</v>
      </c>
      <c r="N17" s="955" t="s">
        <v>62</v>
      </c>
      <c r="O17" s="955" t="s">
        <v>25</v>
      </c>
      <c r="P17" s="990" t="s">
        <v>17</v>
      </c>
      <c r="Q17" s="994"/>
      <c r="R17" s="994"/>
      <c r="S17" s="994"/>
      <c r="T17" s="991"/>
      <c r="U17" s="986" t="s">
        <v>55</v>
      </c>
      <c r="V17" s="987"/>
      <c r="W17" s="955" t="s">
        <v>6</v>
      </c>
      <c r="X17" s="955" t="s">
        <v>41</v>
      </c>
      <c r="Y17" s="957" t="s">
        <v>54</v>
      </c>
      <c r="Z17" s="959" t="s">
        <v>18</v>
      </c>
      <c r="AA17" s="961" t="s">
        <v>59</v>
      </c>
      <c r="AB17" s="961" t="s">
        <v>19</v>
      </c>
      <c r="AC17" s="961" t="s">
        <v>64</v>
      </c>
      <c r="AD17" s="963" t="s">
        <v>56</v>
      </c>
      <c r="AE17" s="964"/>
      <c r="AF17" s="965"/>
      <c r="AG17" s="82"/>
      <c r="BD17" s="81" t="s">
        <v>61</v>
      </c>
    </row>
    <row r="18" spans="1:68" ht="14.25" customHeight="1" x14ac:dyDescent="0.2">
      <c r="A18" s="956"/>
      <c r="B18" s="956"/>
      <c r="C18" s="989"/>
      <c r="D18" s="992"/>
      <c r="E18" s="993"/>
      <c r="F18" s="956"/>
      <c r="G18" s="956"/>
      <c r="H18" s="956"/>
      <c r="I18" s="956"/>
      <c r="J18" s="956"/>
      <c r="K18" s="956"/>
      <c r="L18" s="956"/>
      <c r="M18" s="956"/>
      <c r="N18" s="956"/>
      <c r="O18" s="956"/>
      <c r="P18" s="992"/>
      <c r="Q18" s="995"/>
      <c r="R18" s="995"/>
      <c r="S18" s="995"/>
      <c r="T18" s="993"/>
      <c r="U18" s="83" t="s">
        <v>44</v>
      </c>
      <c r="V18" s="83" t="s">
        <v>43</v>
      </c>
      <c r="W18" s="956"/>
      <c r="X18" s="956"/>
      <c r="Y18" s="958"/>
      <c r="Z18" s="960"/>
      <c r="AA18" s="962"/>
      <c r="AB18" s="962"/>
      <c r="AC18" s="962"/>
      <c r="AD18" s="966"/>
      <c r="AE18" s="967"/>
      <c r="AF18" s="968"/>
      <c r="AG18" s="82"/>
      <c r="BD18" s="81"/>
    </row>
    <row r="19" spans="1:68" ht="27.75" hidden="1" customHeight="1" x14ac:dyDescent="0.2">
      <c r="A19" s="678" t="s">
        <v>75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54"/>
      <c r="AB19" s="54"/>
      <c r="AC19" s="54"/>
    </row>
    <row r="20" spans="1:68" ht="16.5" hidden="1" customHeight="1" x14ac:dyDescent="0.25">
      <c r="A20" s="663" t="s">
        <v>75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5"/>
      <c r="AB20" s="65"/>
      <c r="AC20" s="79"/>
    </row>
    <row r="21" spans="1:68" ht="14.25" hidden="1" customHeight="1" x14ac:dyDescent="0.25">
      <c r="A21" s="664" t="s">
        <v>76</v>
      </c>
      <c r="B21" s="664"/>
      <c r="C21" s="664"/>
      <c r="D21" s="664"/>
      <c r="E21" s="664"/>
      <c r="F21" s="664"/>
      <c r="G21" s="664"/>
      <c r="H21" s="664"/>
      <c r="I21" s="664"/>
      <c r="J21" s="664"/>
      <c r="K21" s="664"/>
      <c r="L21" s="664"/>
      <c r="M21" s="664"/>
      <c r="N21" s="664"/>
      <c r="O21" s="664"/>
      <c r="P21" s="664"/>
      <c r="Q21" s="664"/>
      <c r="R21" s="664"/>
      <c r="S21" s="664"/>
      <c r="T21" s="664"/>
      <c r="U21" s="664"/>
      <c r="V21" s="664"/>
      <c r="W21" s="664"/>
      <c r="X21" s="664"/>
      <c r="Y21" s="664"/>
      <c r="Z21" s="664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665">
        <v>4680115886643</v>
      </c>
      <c r="E22" s="665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96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67"/>
      <c r="R22" s="667"/>
      <c r="S22" s="667"/>
      <c r="T22" s="668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665">
        <v>4680115889071</v>
      </c>
      <c r="E23" s="665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970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67"/>
      <c r="R23" s="667"/>
      <c r="S23" s="667"/>
      <c r="T23" s="668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1"/>
      <c r="B24" s="661"/>
      <c r="C24" s="661"/>
      <c r="D24" s="661"/>
      <c r="E24" s="661"/>
      <c r="F24" s="661"/>
      <c r="G24" s="661"/>
      <c r="H24" s="661"/>
      <c r="I24" s="661"/>
      <c r="J24" s="661"/>
      <c r="K24" s="661"/>
      <c r="L24" s="661"/>
      <c r="M24" s="661"/>
      <c r="N24" s="661"/>
      <c r="O24" s="662"/>
      <c r="P24" s="658" t="s">
        <v>40</v>
      </c>
      <c r="Q24" s="659"/>
      <c r="R24" s="659"/>
      <c r="S24" s="659"/>
      <c r="T24" s="659"/>
      <c r="U24" s="659"/>
      <c r="V24" s="660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1"/>
      <c r="B25" s="661"/>
      <c r="C25" s="661"/>
      <c r="D25" s="661"/>
      <c r="E25" s="661"/>
      <c r="F25" s="661"/>
      <c r="G25" s="661"/>
      <c r="H25" s="661"/>
      <c r="I25" s="661"/>
      <c r="J25" s="661"/>
      <c r="K25" s="661"/>
      <c r="L25" s="661"/>
      <c r="M25" s="661"/>
      <c r="N25" s="661"/>
      <c r="O25" s="662"/>
      <c r="P25" s="658" t="s">
        <v>40</v>
      </c>
      <c r="Q25" s="659"/>
      <c r="R25" s="659"/>
      <c r="S25" s="659"/>
      <c r="T25" s="659"/>
      <c r="U25" s="659"/>
      <c r="V25" s="660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64" t="s">
        <v>85</v>
      </c>
      <c r="B26" s="664"/>
      <c r="C26" s="664"/>
      <c r="D26" s="664"/>
      <c r="E26" s="664"/>
      <c r="F26" s="664"/>
      <c r="G26" s="664"/>
      <c r="H26" s="664"/>
      <c r="I26" s="664"/>
      <c r="J26" s="664"/>
      <c r="K26" s="664"/>
      <c r="L26" s="664"/>
      <c r="M26" s="664"/>
      <c r="N26" s="664"/>
      <c r="O26" s="664"/>
      <c r="P26" s="664"/>
      <c r="Q26" s="664"/>
      <c r="R26" s="664"/>
      <c r="S26" s="664"/>
      <c r="T26" s="664"/>
      <c r="U26" s="664"/>
      <c r="V26" s="664"/>
      <c r="W26" s="664"/>
      <c r="X26" s="664"/>
      <c r="Y26" s="664"/>
      <c r="Z26" s="664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665">
        <v>4680115885912</v>
      </c>
      <c r="E27" s="665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9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67"/>
      <c r="R27" s="667"/>
      <c r="S27" s="667"/>
      <c r="T27" s="668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665">
        <v>4607091388237</v>
      </c>
      <c r="E28" s="665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95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67"/>
      <c r="R28" s="667"/>
      <c r="S28" s="667"/>
      <c r="T28" s="668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665">
        <v>4680115887350</v>
      </c>
      <c r="E29" s="665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95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67"/>
      <c r="R29" s="667"/>
      <c r="S29" s="667"/>
      <c r="T29" s="668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665">
        <v>4680115885905</v>
      </c>
      <c r="E30" s="665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95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67"/>
      <c r="R30" s="667"/>
      <c r="S30" s="667"/>
      <c r="T30" s="668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665">
        <v>4680115887619</v>
      </c>
      <c r="E31" s="665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9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67"/>
      <c r="R31" s="667"/>
      <c r="S31" s="667"/>
      <c r="T31" s="668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1"/>
      <c r="B32" s="661"/>
      <c r="C32" s="661"/>
      <c r="D32" s="661"/>
      <c r="E32" s="661"/>
      <c r="F32" s="661"/>
      <c r="G32" s="661"/>
      <c r="H32" s="661"/>
      <c r="I32" s="661"/>
      <c r="J32" s="661"/>
      <c r="K32" s="661"/>
      <c r="L32" s="661"/>
      <c r="M32" s="661"/>
      <c r="N32" s="661"/>
      <c r="O32" s="662"/>
      <c r="P32" s="658" t="s">
        <v>40</v>
      </c>
      <c r="Q32" s="659"/>
      <c r="R32" s="659"/>
      <c r="S32" s="659"/>
      <c r="T32" s="659"/>
      <c r="U32" s="659"/>
      <c r="V32" s="660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1"/>
      <c r="B33" s="661"/>
      <c r="C33" s="661"/>
      <c r="D33" s="661"/>
      <c r="E33" s="661"/>
      <c r="F33" s="661"/>
      <c r="G33" s="661"/>
      <c r="H33" s="661"/>
      <c r="I33" s="661"/>
      <c r="J33" s="661"/>
      <c r="K33" s="661"/>
      <c r="L33" s="661"/>
      <c r="M33" s="661"/>
      <c r="N33" s="661"/>
      <c r="O33" s="662"/>
      <c r="P33" s="658" t="s">
        <v>40</v>
      </c>
      <c r="Q33" s="659"/>
      <c r="R33" s="659"/>
      <c r="S33" s="659"/>
      <c r="T33" s="659"/>
      <c r="U33" s="659"/>
      <c r="V33" s="660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78" t="s">
        <v>45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54"/>
      <c r="AB34" s="54"/>
      <c r="AC34" s="54"/>
    </row>
    <row r="35" spans="1:68" ht="16.5" hidden="1" customHeight="1" x14ac:dyDescent="0.25">
      <c r="A35" s="663" t="s">
        <v>103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5"/>
      <c r="AB35" s="65"/>
      <c r="AC35" s="79"/>
    </row>
    <row r="36" spans="1:68" ht="14.25" hidden="1" customHeight="1" x14ac:dyDescent="0.25">
      <c r="A36" s="664" t="s">
        <v>85</v>
      </c>
      <c r="B36" s="664"/>
      <c r="C36" s="664"/>
      <c r="D36" s="664"/>
      <c r="E36" s="664"/>
      <c r="F36" s="664"/>
      <c r="G36" s="664"/>
      <c r="H36" s="664"/>
      <c r="I36" s="664"/>
      <c r="J36" s="664"/>
      <c r="K36" s="664"/>
      <c r="L36" s="664"/>
      <c r="M36" s="664"/>
      <c r="N36" s="664"/>
      <c r="O36" s="664"/>
      <c r="P36" s="664"/>
      <c r="Q36" s="664"/>
      <c r="R36" s="664"/>
      <c r="S36" s="664"/>
      <c r="T36" s="664"/>
      <c r="U36" s="664"/>
      <c r="V36" s="664"/>
      <c r="W36" s="664"/>
      <c r="X36" s="664"/>
      <c r="Y36" s="664"/>
      <c r="Z36" s="664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665">
        <v>4680115889354</v>
      </c>
      <c r="E37" s="665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94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67"/>
      <c r="R37" s="667"/>
      <c r="S37" s="667"/>
      <c r="T37" s="668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66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665">
        <v>4680115888463</v>
      </c>
      <c r="E38" s="665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94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67"/>
      <c r="R38" s="667"/>
      <c r="S38" s="667"/>
      <c r="T38" s="668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66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665">
        <v>4680115889590</v>
      </c>
      <c r="E39" s="665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94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67"/>
      <c r="R39" s="667"/>
      <c r="S39" s="667"/>
      <c r="T39" s="668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66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4301052184</v>
      </c>
      <c r="D40" s="665">
        <v>4680115888272</v>
      </c>
      <c r="E40" s="665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94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67"/>
      <c r="R40" s="667"/>
      <c r="S40" s="667"/>
      <c r="T40" s="668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115</v>
      </c>
      <c r="AG40" s="78"/>
      <c r="AJ40" s="84" t="s">
        <v>46</v>
      </c>
      <c r="AK40" s="84">
        <v>0</v>
      </c>
      <c r="BB40" s="107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116</v>
      </c>
      <c r="B41" s="63" t="s">
        <v>117</v>
      </c>
      <c r="C41" s="36">
        <v>4301052188</v>
      </c>
      <c r="D41" s="665">
        <v>4680115888364</v>
      </c>
      <c r="E41" s="665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94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67"/>
      <c r="R41" s="667"/>
      <c r="S41" s="667"/>
      <c r="T41" s="668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118</v>
      </c>
      <c r="AG41" s="78"/>
      <c r="AJ41" s="84" t="s">
        <v>46</v>
      </c>
      <c r="AK41" s="84">
        <v>0</v>
      </c>
      <c r="BB41" s="109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1"/>
      <c r="B42" s="661"/>
      <c r="C42" s="661"/>
      <c r="D42" s="661"/>
      <c r="E42" s="661"/>
      <c r="F42" s="661"/>
      <c r="G42" s="661"/>
      <c r="H42" s="661"/>
      <c r="I42" s="661"/>
      <c r="J42" s="661"/>
      <c r="K42" s="661"/>
      <c r="L42" s="661"/>
      <c r="M42" s="661"/>
      <c r="N42" s="661"/>
      <c r="O42" s="662"/>
      <c r="P42" s="658" t="s">
        <v>40</v>
      </c>
      <c r="Q42" s="659"/>
      <c r="R42" s="659"/>
      <c r="S42" s="659"/>
      <c r="T42" s="659"/>
      <c r="U42" s="659"/>
      <c r="V42" s="660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1"/>
      <c r="B43" s="661"/>
      <c r="C43" s="661"/>
      <c r="D43" s="661"/>
      <c r="E43" s="661"/>
      <c r="F43" s="661"/>
      <c r="G43" s="661"/>
      <c r="H43" s="661"/>
      <c r="I43" s="661"/>
      <c r="J43" s="661"/>
      <c r="K43" s="661"/>
      <c r="L43" s="661"/>
      <c r="M43" s="661"/>
      <c r="N43" s="661"/>
      <c r="O43" s="662"/>
      <c r="P43" s="658" t="s">
        <v>40</v>
      </c>
      <c r="Q43" s="659"/>
      <c r="R43" s="659"/>
      <c r="S43" s="659"/>
      <c r="T43" s="659"/>
      <c r="U43" s="659"/>
      <c r="V43" s="660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78" t="s">
        <v>119</v>
      </c>
      <c r="B44" s="678"/>
      <c r="C44" s="678"/>
      <c r="D44" s="678"/>
      <c r="E44" s="678"/>
      <c r="F44" s="678"/>
      <c r="G44" s="678"/>
      <c r="H44" s="678"/>
      <c r="I44" s="678"/>
      <c r="J44" s="678"/>
      <c r="K44" s="678"/>
      <c r="L44" s="678"/>
      <c r="M44" s="678"/>
      <c r="N44" s="678"/>
      <c r="O44" s="678"/>
      <c r="P44" s="678"/>
      <c r="Q44" s="678"/>
      <c r="R44" s="678"/>
      <c r="S44" s="678"/>
      <c r="T44" s="678"/>
      <c r="U44" s="678"/>
      <c r="V44" s="678"/>
      <c r="W44" s="678"/>
      <c r="X44" s="678"/>
      <c r="Y44" s="678"/>
      <c r="Z44" s="678"/>
      <c r="AA44" s="54"/>
      <c r="AB44" s="54"/>
      <c r="AC44" s="54"/>
    </row>
    <row r="45" spans="1:68" ht="16.5" hidden="1" customHeight="1" x14ac:dyDescent="0.25">
      <c r="A45" s="663" t="s">
        <v>120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5"/>
      <c r="AB45" s="65"/>
      <c r="AC45" s="79"/>
    </row>
    <row r="46" spans="1:68" ht="14.25" hidden="1" customHeight="1" x14ac:dyDescent="0.25">
      <c r="A46" s="664" t="s">
        <v>121</v>
      </c>
      <c r="B46" s="664"/>
      <c r="C46" s="664"/>
      <c r="D46" s="664"/>
      <c r="E46" s="664"/>
      <c r="F46" s="664"/>
      <c r="G46" s="664"/>
      <c r="H46" s="664"/>
      <c r="I46" s="664"/>
      <c r="J46" s="664"/>
      <c r="K46" s="664"/>
      <c r="L46" s="664"/>
      <c r="M46" s="664"/>
      <c r="N46" s="664"/>
      <c r="O46" s="664"/>
      <c r="P46" s="664"/>
      <c r="Q46" s="664"/>
      <c r="R46" s="664"/>
      <c r="S46" s="664"/>
      <c r="T46" s="664"/>
      <c r="U46" s="664"/>
      <c r="V46" s="664"/>
      <c r="W46" s="664"/>
      <c r="X46" s="664"/>
      <c r="Y46" s="664"/>
      <c r="Z46" s="664"/>
      <c r="AA46" s="66"/>
      <c r="AB46" s="66"/>
      <c r="AC46" s="80"/>
    </row>
    <row r="47" spans="1:68" ht="16.5" hidden="1" customHeight="1" x14ac:dyDescent="0.25">
      <c r="A47" s="63" t="s">
        <v>122</v>
      </c>
      <c r="B47" s="63" t="s">
        <v>123</v>
      </c>
      <c r="C47" s="36">
        <v>4301011380</v>
      </c>
      <c r="D47" s="665">
        <v>4607091385670</v>
      </c>
      <c r="E47" s="665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126</v>
      </c>
      <c r="L47" s="37" t="s">
        <v>46</v>
      </c>
      <c r="M47" s="38" t="s">
        <v>125</v>
      </c>
      <c r="N47" s="38"/>
      <c r="O47" s="37">
        <v>50</v>
      </c>
      <c r="P47" s="94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67"/>
      <c r="R47" s="667"/>
      <c r="S47" s="667"/>
      <c r="T47" s="668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124</v>
      </c>
      <c r="AG47" s="78"/>
      <c r="AJ47" s="84" t="s">
        <v>46</v>
      </c>
      <c r="AK47" s="84">
        <v>0</v>
      </c>
      <c r="BB47" s="111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127</v>
      </c>
      <c r="B48" s="63" t="s">
        <v>128</v>
      </c>
      <c r="C48" s="36">
        <v>4301012053</v>
      </c>
      <c r="D48" s="665">
        <v>4680115887725</v>
      </c>
      <c r="E48" s="665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130</v>
      </c>
      <c r="L48" s="37" t="s">
        <v>46</v>
      </c>
      <c r="M48" s="38" t="s">
        <v>80</v>
      </c>
      <c r="N48" s="38"/>
      <c r="O48" s="37">
        <v>30</v>
      </c>
      <c r="P48" s="93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67"/>
      <c r="R48" s="667"/>
      <c r="S48" s="667"/>
      <c r="T48" s="668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129</v>
      </c>
      <c r="AG48" s="78"/>
      <c r="AJ48" s="84" t="s">
        <v>46</v>
      </c>
      <c r="AK48" s="84">
        <v>0</v>
      </c>
      <c r="BB48" s="113" t="s">
        <v>66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131</v>
      </c>
      <c r="B49" s="63" t="s">
        <v>132</v>
      </c>
      <c r="C49" s="36">
        <v>4301011382</v>
      </c>
      <c r="D49" s="665">
        <v>4607091385687</v>
      </c>
      <c r="E49" s="665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133</v>
      </c>
      <c r="L49" s="37" t="s">
        <v>46</v>
      </c>
      <c r="M49" s="38" t="s">
        <v>89</v>
      </c>
      <c r="N49" s="38"/>
      <c r="O49" s="37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67"/>
      <c r="R49" s="667"/>
      <c r="S49" s="667"/>
      <c r="T49" s="668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124</v>
      </c>
      <c r="AG49" s="78"/>
      <c r="AJ49" s="84" t="s">
        <v>46</v>
      </c>
      <c r="AK49" s="84">
        <v>0</v>
      </c>
      <c r="BB49" s="115" t="s">
        <v>66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134</v>
      </c>
      <c r="B50" s="63" t="s">
        <v>135</v>
      </c>
      <c r="C50" s="36">
        <v>4301011565</v>
      </c>
      <c r="D50" s="665">
        <v>4680115882539</v>
      </c>
      <c r="E50" s="665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133</v>
      </c>
      <c r="L50" s="37" t="s">
        <v>46</v>
      </c>
      <c r="M50" s="38" t="s">
        <v>89</v>
      </c>
      <c r="N50" s="38"/>
      <c r="O50" s="37">
        <v>50</v>
      </c>
      <c r="P50" s="94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67"/>
      <c r="R50" s="667"/>
      <c r="S50" s="667"/>
      <c r="T50" s="668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124</v>
      </c>
      <c r="AG50" s="78"/>
      <c r="AJ50" s="84" t="s">
        <v>46</v>
      </c>
      <c r="AK50" s="84">
        <v>0</v>
      </c>
      <c r="BB50" s="117" t="s">
        <v>66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1"/>
      <c r="B51" s="661"/>
      <c r="C51" s="661"/>
      <c r="D51" s="661"/>
      <c r="E51" s="661"/>
      <c r="F51" s="661"/>
      <c r="G51" s="661"/>
      <c r="H51" s="661"/>
      <c r="I51" s="661"/>
      <c r="J51" s="661"/>
      <c r="K51" s="661"/>
      <c r="L51" s="661"/>
      <c r="M51" s="661"/>
      <c r="N51" s="661"/>
      <c r="O51" s="662"/>
      <c r="P51" s="658" t="s">
        <v>40</v>
      </c>
      <c r="Q51" s="659"/>
      <c r="R51" s="659"/>
      <c r="S51" s="659"/>
      <c r="T51" s="659"/>
      <c r="U51" s="659"/>
      <c r="V51" s="660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1"/>
      <c r="B52" s="661"/>
      <c r="C52" s="661"/>
      <c r="D52" s="661"/>
      <c r="E52" s="661"/>
      <c r="F52" s="661"/>
      <c r="G52" s="661"/>
      <c r="H52" s="661"/>
      <c r="I52" s="661"/>
      <c r="J52" s="661"/>
      <c r="K52" s="661"/>
      <c r="L52" s="661"/>
      <c r="M52" s="661"/>
      <c r="N52" s="661"/>
      <c r="O52" s="662"/>
      <c r="P52" s="658" t="s">
        <v>40</v>
      </c>
      <c r="Q52" s="659"/>
      <c r="R52" s="659"/>
      <c r="S52" s="659"/>
      <c r="T52" s="659"/>
      <c r="U52" s="659"/>
      <c r="V52" s="660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63" t="s">
        <v>136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5"/>
      <c r="AB53" s="65"/>
      <c r="AC53" s="79"/>
    </row>
    <row r="54" spans="1:68" ht="14.25" hidden="1" customHeight="1" x14ac:dyDescent="0.25">
      <c r="A54" s="664" t="s">
        <v>121</v>
      </c>
      <c r="B54" s="664"/>
      <c r="C54" s="664"/>
      <c r="D54" s="664"/>
      <c r="E54" s="664"/>
      <c r="F54" s="664"/>
      <c r="G54" s="664"/>
      <c r="H54" s="664"/>
      <c r="I54" s="664"/>
      <c r="J54" s="664"/>
      <c r="K54" s="664"/>
      <c r="L54" s="664"/>
      <c r="M54" s="664"/>
      <c r="N54" s="664"/>
      <c r="O54" s="664"/>
      <c r="P54" s="664"/>
      <c r="Q54" s="664"/>
      <c r="R54" s="664"/>
      <c r="S54" s="664"/>
      <c r="T54" s="664"/>
      <c r="U54" s="664"/>
      <c r="V54" s="664"/>
      <c r="W54" s="664"/>
      <c r="X54" s="664"/>
      <c r="Y54" s="664"/>
      <c r="Z54" s="664"/>
      <c r="AA54" s="66"/>
      <c r="AB54" s="66"/>
      <c r="AC54" s="80"/>
    </row>
    <row r="55" spans="1:68" ht="27" hidden="1" customHeight="1" x14ac:dyDescent="0.25">
      <c r="A55" s="63" t="s">
        <v>137</v>
      </c>
      <c r="B55" s="63" t="s">
        <v>138</v>
      </c>
      <c r="C55" s="36">
        <v>4301012161</v>
      </c>
      <c r="D55" s="665">
        <v>4680115885882</v>
      </c>
      <c r="E55" s="665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126</v>
      </c>
      <c r="L55" s="37" t="s">
        <v>46</v>
      </c>
      <c r="M55" s="38" t="s">
        <v>125</v>
      </c>
      <c r="N55" s="38"/>
      <c r="O55" s="37">
        <v>50</v>
      </c>
      <c r="P55" s="94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67"/>
      <c r="R55" s="667"/>
      <c r="S55" s="667"/>
      <c r="T55" s="668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139</v>
      </c>
      <c r="AG55" s="78"/>
      <c r="AJ55" s="84" t="s">
        <v>46</v>
      </c>
      <c r="AK55" s="84">
        <v>0</v>
      </c>
      <c r="BB55" s="119" t="s">
        <v>66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140</v>
      </c>
      <c r="B56" s="63" t="s">
        <v>141</v>
      </c>
      <c r="C56" s="36">
        <v>4301011816</v>
      </c>
      <c r="D56" s="665">
        <v>4680115881426</v>
      </c>
      <c r="E56" s="665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126</v>
      </c>
      <c r="L56" s="37" t="s">
        <v>46</v>
      </c>
      <c r="M56" s="38" t="s">
        <v>125</v>
      </c>
      <c r="N56" s="38"/>
      <c r="O56" s="37">
        <v>50</v>
      </c>
      <c r="P56" s="9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67"/>
      <c r="R56" s="667"/>
      <c r="S56" s="667"/>
      <c r="T56" s="668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65">
        <v>4680115880283</v>
      </c>
      <c r="E57" s="665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133</v>
      </c>
      <c r="L57" s="37" t="s">
        <v>46</v>
      </c>
      <c r="M57" s="38" t="s">
        <v>125</v>
      </c>
      <c r="N57" s="38"/>
      <c r="O57" s="37">
        <v>45</v>
      </c>
      <c r="P57" s="943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67"/>
      <c r="R57" s="667"/>
      <c r="S57" s="667"/>
      <c r="T57" s="668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4301011806</v>
      </c>
      <c r="D58" s="665">
        <v>4680115881525</v>
      </c>
      <c r="E58" s="665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133</v>
      </c>
      <c r="L58" s="37" t="s">
        <v>46</v>
      </c>
      <c r="M58" s="38" t="s">
        <v>125</v>
      </c>
      <c r="N58" s="38"/>
      <c r="O58" s="37">
        <v>50</v>
      </c>
      <c r="P58" s="93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67"/>
      <c r="R58" s="667"/>
      <c r="S58" s="667"/>
      <c r="T58" s="668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66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4301012165</v>
      </c>
      <c r="D59" s="665">
        <v>4680115885899</v>
      </c>
      <c r="E59" s="665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90</v>
      </c>
      <c r="L59" s="37" t="s">
        <v>46</v>
      </c>
      <c r="M59" s="38" t="s">
        <v>125</v>
      </c>
      <c r="N59" s="38"/>
      <c r="O59" s="37">
        <v>50</v>
      </c>
      <c r="P59" s="93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67"/>
      <c r="R59" s="667"/>
      <c r="S59" s="667"/>
      <c r="T59" s="668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139</v>
      </c>
      <c r="AG59" s="78"/>
      <c r="AJ59" s="84" t="s">
        <v>46</v>
      </c>
      <c r="AK59" s="84">
        <v>0</v>
      </c>
      <c r="BB59" s="127" t="s">
        <v>66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151</v>
      </c>
      <c r="B60" s="63" t="s">
        <v>152</v>
      </c>
      <c r="C60" s="36">
        <v>4301011801</v>
      </c>
      <c r="D60" s="665">
        <v>4680115881419</v>
      </c>
      <c r="E60" s="665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133</v>
      </c>
      <c r="L60" s="37" t="s">
        <v>46</v>
      </c>
      <c r="M60" s="38" t="s">
        <v>125</v>
      </c>
      <c r="N60" s="38"/>
      <c r="O60" s="37">
        <v>50</v>
      </c>
      <c r="P60" s="9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67"/>
      <c r="R60" s="667"/>
      <c r="S60" s="667"/>
      <c r="T60" s="668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153</v>
      </c>
      <c r="AG60" s="78"/>
      <c r="AJ60" s="84" t="s">
        <v>46</v>
      </c>
      <c r="AK60" s="84">
        <v>0</v>
      </c>
      <c r="BB60" s="129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1"/>
      <c r="B61" s="661"/>
      <c r="C61" s="661"/>
      <c r="D61" s="661"/>
      <c r="E61" s="661"/>
      <c r="F61" s="661"/>
      <c r="G61" s="661"/>
      <c r="H61" s="661"/>
      <c r="I61" s="661"/>
      <c r="J61" s="661"/>
      <c r="K61" s="661"/>
      <c r="L61" s="661"/>
      <c r="M61" s="661"/>
      <c r="N61" s="661"/>
      <c r="O61" s="662"/>
      <c r="P61" s="658" t="s">
        <v>40</v>
      </c>
      <c r="Q61" s="659"/>
      <c r="R61" s="659"/>
      <c r="S61" s="659"/>
      <c r="T61" s="659"/>
      <c r="U61" s="659"/>
      <c r="V61" s="660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1"/>
      <c r="B62" s="661"/>
      <c r="C62" s="661"/>
      <c r="D62" s="661"/>
      <c r="E62" s="661"/>
      <c r="F62" s="661"/>
      <c r="G62" s="661"/>
      <c r="H62" s="661"/>
      <c r="I62" s="661"/>
      <c r="J62" s="661"/>
      <c r="K62" s="661"/>
      <c r="L62" s="661"/>
      <c r="M62" s="661"/>
      <c r="N62" s="661"/>
      <c r="O62" s="662"/>
      <c r="P62" s="658" t="s">
        <v>40</v>
      </c>
      <c r="Q62" s="659"/>
      <c r="R62" s="659"/>
      <c r="S62" s="659"/>
      <c r="T62" s="659"/>
      <c r="U62" s="659"/>
      <c r="V62" s="660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64" t="s">
        <v>154</v>
      </c>
      <c r="B63" s="664"/>
      <c r="C63" s="664"/>
      <c r="D63" s="664"/>
      <c r="E63" s="664"/>
      <c r="F63" s="664"/>
      <c r="G63" s="664"/>
      <c r="H63" s="664"/>
      <c r="I63" s="664"/>
      <c r="J63" s="664"/>
      <c r="K63" s="664"/>
      <c r="L63" s="664"/>
      <c r="M63" s="664"/>
      <c r="N63" s="664"/>
      <c r="O63" s="664"/>
      <c r="P63" s="664"/>
      <c r="Q63" s="664"/>
      <c r="R63" s="664"/>
      <c r="S63" s="664"/>
      <c r="T63" s="664"/>
      <c r="U63" s="664"/>
      <c r="V63" s="664"/>
      <c r="W63" s="664"/>
      <c r="X63" s="664"/>
      <c r="Y63" s="664"/>
      <c r="Z63" s="664"/>
      <c r="AA63" s="66"/>
      <c r="AB63" s="66"/>
      <c r="AC63" s="80"/>
    </row>
    <row r="64" spans="1:68" ht="16.5" hidden="1" customHeight="1" x14ac:dyDescent="0.25">
      <c r="A64" s="63" t="s">
        <v>155</v>
      </c>
      <c r="B64" s="63" t="s">
        <v>156</v>
      </c>
      <c r="C64" s="36">
        <v>4301020298</v>
      </c>
      <c r="D64" s="665">
        <v>4680115881440</v>
      </c>
      <c r="E64" s="665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126</v>
      </c>
      <c r="L64" s="37" t="s">
        <v>46</v>
      </c>
      <c r="M64" s="38" t="s">
        <v>125</v>
      </c>
      <c r="N64" s="38"/>
      <c r="O64" s="37">
        <v>50</v>
      </c>
      <c r="P64" s="93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67"/>
      <c r="R64" s="667"/>
      <c r="S64" s="667"/>
      <c r="T64" s="668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158</v>
      </c>
      <c r="B65" s="63" t="s">
        <v>159</v>
      </c>
      <c r="C65" s="36">
        <v>4301020358</v>
      </c>
      <c r="D65" s="665">
        <v>4680115885950</v>
      </c>
      <c r="E65" s="665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90</v>
      </c>
      <c r="L65" s="37" t="s">
        <v>46</v>
      </c>
      <c r="M65" s="38" t="s">
        <v>89</v>
      </c>
      <c r="N65" s="38"/>
      <c r="O65" s="37">
        <v>50</v>
      </c>
      <c r="P65" s="9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67"/>
      <c r="R65" s="667"/>
      <c r="S65" s="667"/>
      <c r="T65" s="668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66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4301020371</v>
      </c>
      <c r="D66" s="665">
        <v>4680115887688</v>
      </c>
      <c r="E66" s="665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130</v>
      </c>
      <c r="L66" s="37" t="s">
        <v>46</v>
      </c>
      <c r="M66" s="38" t="s">
        <v>80</v>
      </c>
      <c r="N66" s="38"/>
      <c r="O66" s="37">
        <v>30</v>
      </c>
      <c r="P66" s="93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67"/>
      <c r="R66" s="667"/>
      <c r="S66" s="667"/>
      <c r="T66" s="668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163</v>
      </c>
      <c r="B67" s="63" t="s">
        <v>164</v>
      </c>
      <c r="C67" s="36">
        <v>4301020296</v>
      </c>
      <c r="D67" s="665">
        <v>4680115881433</v>
      </c>
      <c r="E67" s="665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90</v>
      </c>
      <c r="L67" s="37" t="s">
        <v>46</v>
      </c>
      <c r="M67" s="38" t="s">
        <v>125</v>
      </c>
      <c r="N67" s="38"/>
      <c r="O67" s="37">
        <v>50</v>
      </c>
      <c r="P67" s="93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67"/>
      <c r="R67" s="667"/>
      <c r="S67" s="667"/>
      <c r="T67" s="668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157</v>
      </c>
      <c r="AG67" s="78"/>
      <c r="AJ67" s="84" t="s">
        <v>46</v>
      </c>
      <c r="AK67" s="84">
        <v>0</v>
      </c>
      <c r="BB67" s="137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1"/>
      <c r="B68" s="661"/>
      <c r="C68" s="661"/>
      <c r="D68" s="661"/>
      <c r="E68" s="661"/>
      <c r="F68" s="661"/>
      <c r="G68" s="661"/>
      <c r="H68" s="661"/>
      <c r="I68" s="661"/>
      <c r="J68" s="661"/>
      <c r="K68" s="661"/>
      <c r="L68" s="661"/>
      <c r="M68" s="661"/>
      <c r="N68" s="661"/>
      <c r="O68" s="662"/>
      <c r="P68" s="658" t="s">
        <v>40</v>
      </c>
      <c r="Q68" s="659"/>
      <c r="R68" s="659"/>
      <c r="S68" s="659"/>
      <c r="T68" s="659"/>
      <c r="U68" s="659"/>
      <c r="V68" s="660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1"/>
      <c r="B69" s="661"/>
      <c r="C69" s="661"/>
      <c r="D69" s="661"/>
      <c r="E69" s="661"/>
      <c r="F69" s="661"/>
      <c r="G69" s="661"/>
      <c r="H69" s="661"/>
      <c r="I69" s="661"/>
      <c r="J69" s="661"/>
      <c r="K69" s="661"/>
      <c r="L69" s="661"/>
      <c r="M69" s="661"/>
      <c r="N69" s="661"/>
      <c r="O69" s="662"/>
      <c r="P69" s="658" t="s">
        <v>40</v>
      </c>
      <c r="Q69" s="659"/>
      <c r="R69" s="659"/>
      <c r="S69" s="659"/>
      <c r="T69" s="659"/>
      <c r="U69" s="659"/>
      <c r="V69" s="660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64" t="s">
        <v>85</v>
      </c>
      <c r="B70" s="664"/>
      <c r="C70" s="664"/>
      <c r="D70" s="664"/>
      <c r="E70" s="664"/>
      <c r="F70" s="664"/>
      <c r="G70" s="664"/>
      <c r="H70" s="664"/>
      <c r="I70" s="664"/>
      <c r="J70" s="664"/>
      <c r="K70" s="664"/>
      <c r="L70" s="664"/>
      <c r="M70" s="664"/>
      <c r="N70" s="664"/>
      <c r="O70" s="664"/>
      <c r="P70" s="664"/>
      <c r="Q70" s="664"/>
      <c r="R70" s="664"/>
      <c r="S70" s="664"/>
      <c r="T70" s="664"/>
      <c r="U70" s="664"/>
      <c r="V70" s="664"/>
      <c r="W70" s="664"/>
      <c r="X70" s="664"/>
      <c r="Y70" s="664"/>
      <c r="Z70" s="664"/>
      <c r="AA70" s="66"/>
      <c r="AB70" s="66"/>
      <c r="AC70" s="80"/>
    </row>
    <row r="71" spans="1:68" ht="16.5" hidden="1" customHeight="1" x14ac:dyDescent="0.25">
      <c r="A71" s="63" t="s">
        <v>165</v>
      </c>
      <c r="B71" s="63" t="s">
        <v>166</v>
      </c>
      <c r="C71" s="36">
        <v>4301051837</v>
      </c>
      <c r="D71" s="665">
        <v>4680115884311</v>
      </c>
      <c r="E71" s="665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40</v>
      </c>
      <c r="P71" s="92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67"/>
      <c r="R71" s="667"/>
      <c r="S71" s="667"/>
      <c r="T71" s="668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168</v>
      </c>
      <c r="B72" s="63" t="s">
        <v>169</v>
      </c>
      <c r="C72" s="36">
        <v>4301051929</v>
      </c>
      <c r="D72" s="665">
        <v>4680115884403</v>
      </c>
      <c r="E72" s="665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9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67"/>
      <c r="R72" s="667"/>
      <c r="S72" s="667"/>
      <c r="T72" s="668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168</v>
      </c>
      <c r="B73" s="63" t="s">
        <v>171</v>
      </c>
      <c r="C73" s="36">
        <v>4301052083</v>
      </c>
      <c r="D73" s="665">
        <v>4680115884403</v>
      </c>
      <c r="E73" s="665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928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67"/>
      <c r="R73" s="667"/>
      <c r="S73" s="667"/>
      <c r="T73" s="668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170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1"/>
      <c r="B74" s="661"/>
      <c r="C74" s="661"/>
      <c r="D74" s="661"/>
      <c r="E74" s="661"/>
      <c r="F74" s="661"/>
      <c r="G74" s="661"/>
      <c r="H74" s="661"/>
      <c r="I74" s="661"/>
      <c r="J74" s="661"/>
      <c r="K74" s="661"/>
      <c r="L74" s="661"/>
      <c r="M74" s="661"/>
      <c r="N74" s="661"/>
      <c r="O74" s="662"/>
      <c r="P74" s="658" t="s">
        <v>40</v>
      </c>
      <c r="Q74" s="659"/>
      <c r="R74" s="659"/>
      <c r="S74" s="659"/>
      <c r="T74" s="659"/>
      <c r="U74" s="659"/>
      <c r="V74" s="660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1"/>
      <c r="B75" s="661"/>
      <c r="C75" s="661"/>
      <c r="D75" s="661"/>
      <c r="E75" s="661"/>
      <c r="F75" s="661"/>
      <c r="G75" s="661"/>
      <c r="H75" s="661"/>
      <c r="I75" s="661"/>
      <c r="J75" s="661"/>
      <c r="K75" s="661"/>
      <c r="L75" s="661"/>
      <c r="M75" s="661"/>
      <c r="N75" s="661"/>
      <c r="O75" s="662"/>
      <c r="P75" s="658" t="s">
        <v>40</v>
      </c>
      <c r="Q75" s="659"/>
      <c r="R75" s="659"/>
      <c r="S75" s="659"/>
      <c r="T75" s="659"/>
      <c r="U75" s="659"/>
      <c r="V75" s="660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64" t="s">
        <v>172</v>
      </c>
      <c r="B76" s="664"/>
      <c r="C76" s="664"/>
      <c r="D76" s="664"/>
      <c r="E76" s="664"/>
      <c r="F76" s="664"/>
      <c r="G76" s="664"/>
      <c r="H76" s="664"/>
      <c r="I76" s="664"/>
      <c r="J76" s="664"/>
      <c r="K76" s="664"/>
      <c r="L76" s="664"/>
      <c r="M76" s="664"/>
      <c r="N76" s="664"/>
      <c r="O76" s="664"/>
      <c r="P76" s="664"/>
      <c r="Q76" s="664"/>
      <c r="R76" s="664"/>
      <c r="S76" s="664"/>
      <c r="T76" s="664"/>
      <c r="U76" s="664"/>
      <c r="V76" s="664"/>
      <c r="W76" s="664"/>
      <c r="X76" s="664"/>
      <c r="Y76" s="664"/>
      <c r="Z76" s="66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665">
        <v>4680115881532</v>
      </c>
      <c r="E77" s="665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126</v>
      </c>
      <c r="L77" s="37" t="s">
        <v>46</v>
      </c>
      <c r="M77" s="38" t="s">
        <v>96</v>
      </c>
      <c r="N77" s="38"/>
      <c r="O77" s="37">
        <v>30</v>
      </c>
      <c r="P77" s="92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67"/>
      <c r="R77" s="667"/>
      <c r="S77" s="667"/>
      <c r="T77" s="668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65">
        <v>4680115881532</v>
      </c>
      <c r="E78" s="665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126</v>
      </c>
      <c r="L78" s="37" t="s">
        <v>46</v>
      </c>
      <c r="M78" s="38" t="s">
        <v>96</v>
      </c>
      <c r="N78" s="38"/>
      <c r="O78" s="37">
        <v>30</v>
      </c>
      <c r="P78" s="93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67"/>
      <c r="R78" s="667"/>
      <c r="S78" s="667"/>
      <c r="T78" s="668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4301060351</v>
      </c>
      <c r="D79" s="665">
        <v>4680115881464</v>
      </c>
      <c r="E79" s="665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133</v>
      </c>
      <c r="L79" s="37" t="s">
        <v>46</v>
      </c>
      <c r="M79" s="38" t="s">
        <v>89</v>
      </c>
      <c r="N79" s="38"/>
      <c r="O79" s="37">
        <v>30</v>
      </c>
      <c r="P79" s="920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67"/>
      <c r="R79" s="667"/>
      <c r="S79" s="667"/>
      <c r="T79" s="668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177</v>
      </c>
      <c r="B80" s="63" t="s">
        <v>180</v>
      </c>
      <c r="C80" s="36">
        <v>4301060527</v>
      </c>
      <c r="D80" s="665">
        <v>4680115881464</v>
      </c>
      <c r="E80" s="665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133</v>
      </c>
      <c r="L80" s="37" t="s">
        <v>46</v>
      </c>
      <c r="M80" s="38" t="s">
        <v>89</v>
      </c>
      <c r="N80" s="38"/>
      <c r="O80" s="37">
        <v>30</v>
      </c>
      <c r="P80" s="92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67"/>
      <c r="R80" s="667"/>
      <c r="S80" s="667"/>
      <c r="T80" s="668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179</v>
      </c>
      <c r="AG80" s="78"/>
      <c r="AJ80" s="84" t="s">
        <v>46</v>
      </c>
      <c r="AK80" s="84">
        <v>0</v>
      </c>
      <c r="BB80" s="151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1"/>
      <c r="B81" s="661"/>
      <c r="C81" s="661"/>
      <c r="D81" s="661"/>
      <c r="E81" s="661"/>
      <c r="F81" s="661"/>
      <c r="G81" s="661"/>
      <c r="H81" s="661"/>
      <c r="I81" s="661"/>
      <c r="J81" s="661"/>
      <c r="K81" s="661"/>
      <c r="L81" s="661"/>
      <c r="M81" s="661"/>
      <c r="N81" s="661"/>
      <c r="O81" s="662"/>
      <c r="P81" s="658" t="s">
        <v>40</v>
      </c>
      <c r="Q81" s="659"/>
      <c r="R81" s="659"/>
      <c r="S81" s="659"/>
      <c r="T81" s="659"/>
      <c r="U81" s="659"/>
      <c r="V81" s="660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1"/>
      <c r="B82" s="661"/>
      <c r="C82" s="661"/>
      <c r="D82" s="661"/>
      <c r="E82" s="661"/>
      <c r="F82" s="661"/>
      <c r="G82" s="661"/>
      <c r="H82" s="661"/>
      <c r="I82" s="661"/>
      <c r="J82" s="661"/>
      <c r="K82" s="661"/>
      <c r="L82" s="661"/>
      <c r="M82" s="661"/>
      <c r="N82" s="661"/>
      <c r="O82" s="662"/>
      <c r="P82" s="658" t="s">
        <v>40</v>
      </c>
      <c r="Q82" s="659"/>
      <c r="R82" s="659"/>
      <c r="S82" s="659"/>
      <c r="T82" s="659"/>
      <c r="U82" s="659"/>
      <c r="V82" s="660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63" t="s">
        <v>181</v>
      </c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63"/>
      <c r="P83" s="663"/>
      <c r="Q83" s="663"/>
      <c r="R83" s="663"/>
      <c r="S83" s="663"/>
      <c r="T83" s="663"/>
      <c r="U83" s="663"/>
      <c r="V83" s="663"/>
      <c r="W83" s="663"/>
      <c r="X83" s="663"/>
      <c r="Y83" s="663"/>
      <c r="Z83" s="663"/>
      <c r="AA83" s="65"/>
      <c r="AB83" s="65"/>
      <c r="AC83" s="79"/>
    </row>
    <row r="84" spans="1:68" ht="14.25" hidden="1" customHeight="1" x14ac:dyDescent="0.25">
      <c r="A84" s="664" t="s">
        <v>121</v>
      </c>
      <c r="B84" s="664"/>
      <c r="C84" s="664"/>
      <c r="D84" s="664"/>
      <c r="E84" s="664"/>
      <c r="F84" s="664"/>
      <c r="G84" s="664"/>
      <c r="H84" s="664"/>
      <c r="I84" s="664"/>
      <c r="J84" s="664"/>
      <c r="K84" s="664"/>
      <c r="L84" s="664"/>
      <c r="M84" s="664"/>
      <c r="N84" s="664"/>
      <c r="O84" s="664"/>
      <c r="P84" s="664"/>
      <c r="Q84" s="664"/>
      <c r="R84" s="664"/>
      <c r="S84" s="664"/>
      <c r="T84" s="664"/>
      <c r="U84" s="664"/>
      <c r="V84" s="664"/>
      <c r="W84" s="664"/>
      <c r="X84" s="664"/>
      <c r="Y84" s="664"/>
      <c r="Z84" s="664"/>
      <c r="AA84" s="66"/>
      <c r="AB84" s="66"/>
      <c r="AC84" s="80"/>
    </row>
    <row r="85" spans="1:68" ht="27" hidden="1" customHeight="1" x14ac:dyDescent="0.25">
      <c r="A85" s="63" t="s">
        <v>182</v>
      </c>
      <c r="B85" s="63" t="s">
        <v>183</v>
      </c>
      <c r="C85" s="36">
        <v>4301011468</v>
      </c>
      <c r="D85" s="665">
        <v>4680115881327</v>
      </c>
      <c r="E85" s="665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126</v>
      </c>
      <c r="L85" s="37" t="s">
        <v>46</v>
      </c>
      <c r="M85" s="38" t="s">
        <v>96</v>
      </c>
      <c r="N85" s="38"/>
      <c r="O85" s="37">
        <v>50</v>
      </c>
      <c r="P85" s="92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67"/>
      <c r="R85" s="667"/>
      <c r="S85" s="667"/>
      <c r="T85" s="668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184</v>
      </c>
      <c r="AG85" s="78"/>
      <c r="AJ85" s="84" t="s">
        <v>46</v>
      </c>
      <c r="AK85" s="84">
        <v>0</v>
      </c>
      <c r="BB85" s="153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4301011261</v>
      </c>
      <c r="D86" s="665">
        <v>4680115887732</v>
      </c>
      <c r="E86" s="665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130</v>
      </c>
      <c r="L86" s="37" t="s">
        <v>46</v>
      </c>
      <c r="M86" s="38" t="s">
        <v>80</v>
      </c>
      <c r="N86" s="38"/>
      <c r="O86" s="37">
        <v>30</v>
      </c>
      <c r="P86" s="92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67"/>
      <c r="R86" s="667"/>
      <c r="S86" s="667"/>
      <c r="T86" s="668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185</v>
      </c>
      <c r="B87" s="63" t="s">
        <v>188</v>
      </c>
      <c r="C87" s="36">
        <v>4301012392</v>
      </c>
      <c r="D87" s="665">
        <v>4680115887732</v>
      </c>
      <c r="E87" s="665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130</v>
      </c>
      <c r="L87" s="37" t="s">
        <v>46</v>
      </c>
      <c r="M87" s="38" t="s">
        <v>80</v>
      </c>
      <c r="N87" s="38"/>
      <c r="O87" s="37">
        <v>30</v>
      </c>
      <c r="P87" s="924" t="s">
        <v>189</v>
      </c>
      <c r="Q87" s="667"/>
      <c r="R87" s="667"/>
      <c r="S87" s="667"/>
      <c r="T87" s="668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187</v>
      </c>
      <c r="AG87" s="78"/>
      <c r="AJ87" s="84" t="s">
        <v>46</v>
      </c>
      <c r="AK87" s="84">
        <v>0</v>
      </c>
      <c r="BB87" s="157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190</v>
      </c>
      <c r="B88" s="63" t="s">
        <v>191</v>
      </c>
      <c r="C88" s="36">
        <v>4301011476</v>
      </c>
      <c r="D88" s="665">
        <v>4680115881518</v>
      </c>
      <c r="E88" s="665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133</v>
      </c>
      <c r="L88" s="37" t="s">
        <v>46</v>
      </c>
      <c r="M88" s="38" t="s">
        <v>89</v>
      </c>
      <c r="N88" s="38"/>
      <c r="O88" s="37">
        <v>50</v>
      </c>
      <c r="P88" s="92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67"/>
      <c r="R88" s="667"/>
      <c r="S88" s="667"/>
      <c r="T88" s="668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184</v>
      </c>
      <c r="AG88" s="78"/>
      <c r="AJ88" s="84" t="s">
        <v>46</v>
      </c>
      <c r="AK88" s="84">
        <v>0</v>
      </c>
      <c r="BB88" s="159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4301011443</v>
      </c>
      <c r="D89" s="665">
        <v>4680115881303</v>
      </c>
      <c r="E89" s="665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133</v>
      </c>
      <c r="L89" s="37" t="s">
        <v>46</v>
      </c>
      <c r="M89" s="38" t="s">
        <v>96</v>
      </c>
      <c r="N89" s="38"/>
      <c r="O89" s="37">
        <v>50</v>
      </c>
      <c r="P89" s="9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67"/>
      <c r="R89" s="667"/>
      <c r="S89" s="667"/>
      <c r="T89" s="668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184</v>
      </c>
      <c r="AG89" s="78"/>
      <c r="AJ89" s="84" t="s">
        <v>46</v>
      </c>
      <c r="AK89" s="84">
        <v>0</v>
      </c>
      <c r="BB89" s="161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1"/>
      <c r="B90" s="661"/>
      <c r="C90" s="661"/>
      <c r="D90" s="661"/>
      <c r="E90" s="661"/>
      <c r="F90" s="661"/>
      <c r="G90" s="661"/>
      <c r="H90" s="661"/>
      <c r="I90" s="661"/>
      <c r="J90" s="661"/>
      <c r="K90" s="661"/>
      <c r="L90" s="661"/>
      <c r="M90" s="661"/>
      <c r="N90" s="661"/>
      <c r="O90" s="662"/>
      <c r="P90" s="658" t="s">
        <v>40</v>
      </c>
      <c r="Q90" s="659"/>
      <c r="R90" s="659"/>
      <c r="S90" s="659"/>
      <c r="T90" s="659"/>
      <c r="U90" s="659"/>
      <c r="V90" s="660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1"/>
      <c r="B91" s="661"/>
      <c r="C91" s="661"/>
      <c r="D91" s="661"/>
      <c r="E91" s="661"/>
      <c r="F91" s="661"/>
      <c r="G91" s="661"/>
      <c r="H91" s="661"/>
      <c r="I91" s="661"/>
      <c r="J91" s="661"/>
      <c r="K91" s="661"/>
      <c r="L91" s="661"/>
      <c r="M91" s="661"/>
      <c r="N91" s="661"/>
      <c r="O91" s="662"/>
      <c r="P91" s="658" t="s">
        <v>40</v>
      </c>
      <c r="Q91" s="659"/>
      <c r="R91" s="659"/>
      <c r="S91" s="659"/>
      <c r="T91" s="659"/>
      <c r="U91" s="659"/>
      <c r="V91" s="660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64" t="s">
        <v>85</v>
      </c>
      <c r="B92" s="664"/>
      <c r="C92" s="664"/>
      <c r="D92" s="664"/>
      <c r="E92" s="664"/>
      <c r="F92" s="664"/>
      <c r="G92" s="664"/>
      <c r="H92" s="664"/>
      <c r="I92" s="664"/>
      <c r="J92" s="664"/>
      <c r="K92" s="664"/>
      <c r="L92" s="664"/>
      <c r="M92" s="664"/>
      <c r="N92" s="664"/>
      <c r="O92" s="664"/>
      <c r="P92" s="664"/>
      <c r="Q92" s="664"/>
      <c r="R92" s="664"/>
      <c r="S92" s="664"/>
      <c r="T92" s="664"/>
      <c r="U92" s="664"/>
      <c r="V92" s="664"/>
      <c r="W92" s="664"/>
      <c r="X92" s="664"/>
      <c r="Y92" s="664"/>
      <c r="Z92" s="664"/>
      <c r="AA92" s="66"/>
      <c r="AB92" s="66"/>
      <c r="AC92" s="80"/>
    </row>
    <row r="93" spans="1:68" ht="27" hidden="1" customHeight="1" x14ac:dyDescent="0.25">
      <c r="A93" s="63" t="s">
        <v>194</v>
      </c>
      <c r="B93" s="63" t="s">
        <v>195</v>
      </c>
      <c r="C93" s="36">
        <v>4301051712</v>
      </c>
      <c r="D93" s="665">
        <v>4607091386967</v>
      </c>
      <c r="E93" s="665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126</v>
      </c>
      <c r="L93" s="37" t="s">
        <v>46</v>
      </c>
      <c r="M93" s="38" t="s">
        <v>96</v>
      </c>
      <c r="N93" s="38"/>
      <c r="O93" s="37">
        <v>45</v>
      </c>
      <c r="P93" s="9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67"/>
      <c r="R93" s="667"/>
      <c r="S93" s="667"/>
      <c r="T93" s="668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8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196</v>
      </c>
      <c r="AG93" s="78"/>
      <c r="AJ93" s="84" t="s">
        <v>46</v>
      </c>
      <c r="AK93" s="84">
        <v>0</v>
      </c>
      <c r="BB93" s="163" t="s">
        <v>66</v>
      </c>
      <c r="BM93" s="78">
        <f t="shared" ref="BM93:BM98" si="6">IFERROR(X93*I93/H93,"0")</f>
        <v>0</v>
      </c>
      <c r="BN93" s="78">
        <f t="shared" ref="BN93:BN98" si="7">IFERROR(Y93*I93/H93,"0")</f>
        <v>0</v>
      </c>
      <c r="BO93" s="78">
        <f t="shared" ref="BO93:BO98" si="8">IFERROR(1/J93*(X93/H93),"0")</f>
        <v>0</v>
      </c>
      <c r="BP93" s="78">
        <f t="shared" ref="BP93:BP98" si="9">IFERROR(1/J93*(Y93/H93),"0")</f>
        <v>0</v>
      </c>
    </row>
    <row r="94" spans="1:68" ht="27" hidden="1" customHeight="1" x14ac:dyDescent="0.25">
      <c r="A94" s="63" t="s">
        <v>194</v>
      </c>
      <c r="B94" s="63" t="s">
        <v>197</v>
      </c>
      <c r="C94" s="36">
        <v>4301052101</v>
      </c>
      <c r="D94" s="665">
        <v>4607091386967</v>
      </c>
      <c r="E94" s="665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126</v>
      </c>
      <c r="L94" s="37" t="s">
        <v>46</v>
      </c>
      <c r="M94" s="38" t="s">
        <v>96</v>
      </c>
      <c r="N94" s="38"/>
      <c r="O94" s="37">
        <v>45</v>
      </c>
      <c r="P94" s="915" t="s">
        <v>198</v>
      </c>
      <c r="Q94" s="667"/>
      <c r="R94" s="667"/>
      <c r="S94" s="667"/>
      <c r="T94" s="668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196</v>
      </c>
      <c r="AG94" s="78"/>
      <c r="AJ94" s="84" t="s">
        <v>46</v>
      </c>
      <c r="AK94" s="84">
        <v>0</v>
      </c>
      <c r="BB94" s="165" t="s">
        <v>66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4301051788</v>
      </c>
      <c r="D95" s="665">
        <v>4680115884953</v>
      </c>
      <c r="E95" s="665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90</v>
      </c>
      <c r="L95" s="37" t="s">
        <v>46</v>
      </c>
      <c r="M95" s="38" t="s">
        <v>89</v>
      </c>
      <c r="N95" s="38"/>
      <c r="O95" s="37">
        <v>45</v>
      </c>
      <c r="P95" s="91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67"/>
      <c r="R95" s="667"/>
      <c r="S95" s="667"/>
      <c r="T95" s="668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196</v>
      </c>
      <c r="AG95" s="78"/>
      <c r="AJ95" s="84" t="s">
        <v>46</v>
      </c>
      <c r="AK95" s="84">
        <v>0</v>
      </c>
      <c r="BB95" s="167" t="s">
        <v>66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4301051718</v>
      </c>
      <c r="D96" s="665">
        <v>4607091385731</v>
      </c>
      <c r="E96" s="665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90</v>
      </c>
      <c r="L96" s="37" t="s">
        <v>46</v>
      </c>
      <c r="M96" s="38" t="s">
        <v>96</v>
      </c>
      <c r="N96" s="38"/>
      <c r="O96" s="37">
        <v>45</v>
      </c>
      <c r="P96" s="9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6" s="667"/>
      <c r="R96" s="667"/>
      <c r="S96" s="667"/>
      <c r="T96" s="668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196</v>
      </c>
      <c r="AG96" s="78"/>
      <c r="AJ96" s="84" t="s">
        <v>46</v>
      </c>
      <c r="AK96" s="84">
        <v>0</v>
      </c>
      <c r="BB96" s="169" t="s">
        <v>66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201</v>
      </c>
      <c r="B97" s="63" t="s">
        <v>203</v>
      </c>
      <c r="C97" s="36">
        <v>4301052094</v>
      </c>
      <c r="D97" s="665">
        <v>4607091385731</v>
      </c>
      <c r="E97" s="665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918" t="s">
        <v>204</v>
      </c>
      <c r="Q97" s="667"/>
      <c r="R97" s="667"/>
      <c r="S97" s="667"/>
      <c r="T97" s="668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196</v>
      </c>
      <c r="AG97" s="78"/>
      <c r="AJ97" s="84" t="s">
        <v>46</v>
      </c>
      <c r="AK97" s="84">
        <v>0</v>
      </c>
      <c r="BB97" s="171" t="s">
        <v>66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665">
        <v>4680115880894</v>
      </c>
      <c r="E98" s="665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67"/>
      <c r="R98" s="667"/>
      <c r="S98" s="667"/>
      <c r="T98" s="668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207</v>
      </c>
      <c r="AG98" s="78"/>
      <c r="AJ98" s="84" t="s">
        <v>46</v>
      </c>
      <c r="AK98" s="84">
        <v>0</v>
      </c>
      <c r="BB98" s="173" t="s">
        <v>66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idden="1" x14ac:dyDescent="0.2">
      <c r="A99" s="661"/>
      <c r="B99" s="661"/>
      <c r="C99" s="661"/>
      <c r="D99" s="661"/>
      <c r="E99" s="661"/>
      <c r="F99" s="661"/>
      <c r="G99" s="661"/>
      <c r="H99" s="661"/>
      <c r="I99" s="661"/>
      <c r="J99" s="661"/>
      <c r="K99" s="661"/>
      <c r="L99" s="661"/>
      <c r="M99" s="661"/>
      <c r="N99" s="661"/>
      <c r="O99" s="662"/>
      <c r="P99" s="658" t="s">
        <v>40</v>
      </c>
      <c r="Q99" s="659"/>
      <c r="R99" s="659"/>
      <c r="S99" s="659"/>
      <c r="T99" s="659"/>
      <c r="U99" s="659"/>
      <c r="V99" s="660"/>
      <c r="W99" s="42" t="s">
        <v>39</v>
      </c>
      <c r="X99" s="43">
        <f>IFERROR(X93/H93,"0")+IFERROR(X94/H94,"0")+IFERROR(X95/H95,"0")+IFERROR(X96/H96,"0")+IFERROR(X97/H97,"0")+IFERROR(X98/H98,"0")</f>
        <v>0</v>
      </c>
      <c r="Y99" s="43">
        <f>IFERROR(Y93/H93,"0")+IFERROR(Y94/H94,"0")+IFERROR(Y95/H95,"0")+IFERROR(Y96/H96,"0")+IFERROR(Y97/H97,"0")+IFERROR(Y98/H98,"0")</f>
        <v>0</v>
      </c>
      <c r="Z99" s="43">
        <f>IFERROR(IF(Z93="",0,Z93),"0")+IFERROR(IF(Z94="",0,Z94),"0")+IFERROR(IF(Z95="",0,Z95),"0")+IFERROR(IF(Z96="",0,Z96),"0")+IFERROR(IF(Z97="",0,Z97),"0")+IFERROR(IF(Z98="",0,Z98),"0")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661"/>
      <c r="B100" s="661"/>
      <c r="C100" s="661"/>
      <c r="D100" s="661"/>
      <c r="E100" s="661"/>
      <c r="F100" s="661"/>
      <c r="G100" s="661"/>
      <c r="H100" s="661"/>
      <c r="I100" s="661"/>
      <c r="J100" s="661"/>
      <c r="K100" s="661"/>
      <c r="L100" s="661"/>
      <c r="M100" s="661"/>
      <c r="N100" s="661"/>
      <c r="O100" s="662"/>
      <c r="P100" s="658" t="s">
        <v>40</v>
      </c>
      <c r="Q100" s="659"/>
      <c r="R100" s="659"/>
      <c r="S100" s="659"/>
      <c r="T100" s="659"/>
      <c r="U100" s="659"/>
      <c r="V100" s="660"/>
      <c r="W100" s="42" t="s">
        <v>0</v>
      </c>
      <c r="X100" s="43">
        <f>IFERROR(SUM(X93:X98),"0")</f>
        <v>0</v>
      </c>
      <c r="Y100" s="43">
        <f>IFERROR(SUM(Y93:Y98),"0")</f>
        <v>0</v>
      </c>
      <c r="Z100" s="42"/>
      <c r="AA100" s="67"/>
      <c r="AB100" s="67"/>
      <c r="AC100" s="67"/>
    </row>
    <row r="101" spans="1:68" ht="16.5" hidden="1" customHeight="1" x14ac:dyDescent="0.25">
      <c r="A101" s="663" t="s">
        <v>208</v>
      </c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63"/>
      <c r="P101" s="663"/>
      <c r="Q101" s="663"/>
      <c r="R101" s="663"/>
      <c r="S101" s="663"/>
      <c r="T101" s="663"/>
      <c r="U101" s="663"/>
      <c r="V101" s="663"/>
      <c r="W101" s="663"/>
      <c r="X101" s="663"/>
      <c r="Y101" s="663"/>
      <c r="Z101" s="663"/>
      <c r="AA101" s="65"/>
      <c r="AB101" s="65"/>
      <c r="AC101" s="79"/>
    </row>
    <row r="102" spans="1:68" ht="14.25" hidden="1" customHeight="1" x14ac:dyDescent="0.25">
      <c r="A102" s="664" t="s">
        <v>121</v>
      </c>
      <c r="B102" s="664"/>
      <c r="C102" s="664"/>
      <c r="D102" s="664"/>
      <c r="E102" s="664"/>
      <c r="F102" s="664"/>
      <c r="G102" s="664"/>
      <c r="H102" s="664"/>
      <c r="I102" s="664"/>
      <c r="J102" s="664"/>
      <c r="K102" s="664"/>
      <c r="L102" s="664"/>
      <c r="M102" s="664"/>
      <c r="N102" s="664"/>
      <c r="O102" s="664"/>
      <c r="P102" s="664"/>
      <c r="Q102" s="664"/>
      <c r="R102" s="664"/>
      <c r="S102" s="664"/>
      <c r="T102" s="664"/>
      <c r="U102" s="664"/>
      <c r="V102" s="664"/>
      <c r="W102" s="664"/>
      <c r="X102" s="664"/>
      <c r="Y102" s="664"/>
      <c r="Z102" s="664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665">
        <v>4680115882133</v>
      </c>
      <c r="E103" s="665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126</v>
      </c>
      <c r="L103" s="37" t="s">
        <v>46</v>
      </c>
      <c r="M103" s="38" t="s">
        <v>125</v>
      </c>
      <c r="N103" s="38"/>
      <c r="O103" s="37">
        <v>50</v>
      </c>
      <c r="P103" s="90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67"/>
      <c r="R103" s="667"/>
      <c r="S103" s="667"/>
      <c r="T103" s="668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10" si="10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211</v>
      </c>
      <c r="AG103" s="78"/>
      <c r="AJ103" s="84" t="s">
        <v>46</v>
      </c>
      <c r="AK103" s="84">
        <v>0</v>
      </c>
      <c r="BB103" s="175" t="s">
        <v>66</v>
      </c>
      <c r="BM103" s="78">
        <f t="shared" ref="BM103:BM110" si="11">IFERROR(X103*I103/H103,"0")</f>
        <v>0</v>
      </c>
      <c r="BN103" s="78">
        <f t="shared" ref="BN103:BN110" si="12">IFERROR(Y103*I103/H103,"0")</f>
        <v>0</v>
      </c>
      <c r="BO103" s="78">
        <f t="shared" ref="BO103:BO110" si="13">IFERROR(1/J103*(X103/H103),"0")</f>
        <v>0</v>
      </c>
      <c r="BP103" s="78">
        <f t="shared" ref="BP103:BP110" si="14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665">
        <v>4680115887718</v>
      </c>
      <c r="E104" s="665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130</v>
      </c>
      <c r="L104" s="37" t="s">
        <v>46</v>
      </c>
      <c r="M104" s="38" t="s">
        <v>80</v>
      </c>
      <c r="N104" s="38"/>
      <c r="O104" s="37">
        <v>30</v>
      </c>
      <c r="P104" s="90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67"/>
      <c r="R104" s="667"/>
      <c r="S104" s="667"/>
      <c r="T104" s="668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214</v>
      </c>
      <c r="AG104" s="78"/>
      <c r="AJ104" s="84" t="s">
        <v>46</v>
      </c>
      <c r="AK104" s="84">
        <v>0</v>
      </c>
      <c r="BB104" s="177" t="s">
        <v>66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665">
        <v>4680115887718</v>
      </c>
      <c r="E105" s="665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130</v>
      </c>
      <c r="L105" s="37" t="s">
        <v>46</v>
      </c>
      <c r="M105" s="38" t="s">
        <v>80</v>
      </c>
      <c r="N105" s="38"/>
      <c r="O105" s="37">
        <v>30</v>
      </c>
      <c r="P105" s="90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67"/>
      <c r="R105" s="667"/>
      <c r="S105" s="667"/>
      <c r="T105" s="668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214</v>
      </c>
      <c r="AG105" s="78"/>
      <c r="AJ105" s="84" t="s">
        <v>46</v>
      </c>
      <c r="AK105" s="84">
        <v>0</v>
      </c>
      <c r="BB105" s="179" t="s">
        <v>66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212</v>
      </c>
      <c r="B106" s="63" t="s">
        <v>216</v>
      </c>
      <c r="C106" s="36">
        <v>4301012379</v>
      </c>
      <c r="D106" s="665">
        <v>4680115887718</v>
      </c>
      <c r="E106" s="665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130</v>
      </c>
      <c r="L106" s="37" t="s">
        <v>46</v>
      </c>
      <c r="M106" s="38" t="s">
        <v>80</v>
      </c>
      <c r="N106" s="38"/>
      <c r="O106" s="37">
        <v>30</v>
      </c>
      <c r="P106" s="91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67"/>
      <c r="R106" s="667"/>
      <c r="S106" s="667"/>
      <c r="T106" s="668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214</v>
      </c>
      <c r="AG106" s="78"/>
      <c r="AJ106" s="84" t="s">
        <v>46</v>
      </c>
      <c r="AK106" s="84">
        <v>0</v>
      </c>
      <c r="BB106" s="181" t="s">
        <v>66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hidden="1" customHeight="1" x14ac:dyDescent="0.25">
      <c r="A107" s="63" t="s">
        <v>217</v>
      </c>
      <c r="B107" s="63" t="s">
        <v>218</v>
      </c>
      <c r="C107" s="36">
        <v>4301011417</v>
      </c>
      <c r="D107" s="665">
        <v>4680115880269</v>
      </c>
      <c r="E107" s="665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133</v>
      </c>
      <c r="L107" s="37" t="s">
        <v>46</v>
      </c>
      <c r="M107" s="38" t="s">
        <v>89</v>
      </c>
      <c r="N107" s="38"/>
      <c r="O107" s="37">
        <v>50</v>
      </c>
      <c r="P107" s="9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67"/>
      <c r="R107" s="667"/>
      <c r="S107" s="667"/>
      <c r="T107" s="668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66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219</v>
      </c>
      <c r="B108" s="63" t="s">
        <v>220</v>
      </c>
      <c r="C108" s="36">
        <v>4301011415</v>
      </c>
      <c r="D108" s="665">
        <v>4680115880429</v>
      </c>
      <c r="E108" s="665"/>
      <c r="F108" s="62">
        <v>0.45</v>
      </c>
      <c r="G108" s="37">
        <v>10</v>
      </c>
      <c r="H108" s="62">
        <v>4.5</v>
      </c>
      <c r="I108" s="62">
        <v>4.6900000000000004</v>
      </c>
      <c r="J108" s="37">
        <v>132</v>
      </c>
      <c r="K108" s="37" t="s">
        <v>133</v>
      </c>
      <c r="L108" s="37" t="s">
        <v>46</v>
      </c>
      <c r="M108" s="38" t="s">
        <v>89</v>
      </c>
      <c r="N108" s="38"/>
      <c r="O108" s="37">
        <v>50</v>
      </c>
      <c r="P108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67"/>
      <c r="R108" s="667"/>
      <c r="S108" s="667"/>
      <c r="T108" s="668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211</v>
      </c>
      <c r="AG108" s="78"/>
      <c r="AJ108" s="84" t="s">
        <v>46</v>
      </c>
      <c r="AK108" s="84">
        <v>0</v>
      </c>
      <c r="BB108" s="185" t="s">
        <v>66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219</v>
      </c>
      <c r="B109" s="63" t="s">
        <v>221</v>
      </c>
      <c r="C109" s="36">
        <v>4301012254</v>
      </c>
      <c r="D109" s="665">
        <v>4680115880429</v>
      </c>
      <c r="E109" s="665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133</v>
      </c>
      <c r="L109" s="37" t="s">
        <v>46</v>
      </c>
      <c r="M109" s="38" t="s">
        <v>125</v>
      </c>
      <c r="N109" s="38"/>
      <c r="O109" s="37">
        <v>50</v>
      </c>
      <c r="P109" s="900" t="s">
        <v>222</v>
      </c>
      <c r="Q109" s="667"/>
      <c r="R109" s="667"/>
      <c r="S109" s="667"/>
      <c r="T109" s="668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223</v>
      </c>
      <c r="AG109" s="78"/>
      <c r="AJ109" s="84" t="s">
        <v>46</v>
      </c>
      <c r="AK109" s="84">
        <v>0</v>
      </c>
      <c r="BB109" s="187" t="s">
        <v>66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665">
        <v>4680115881457</v>
      </c>
      <c r="E110" s="665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133</v>
      </c>
      <c r="L110" s="37" t="s">
        <v>46</v>
      </c>
      <c r="M110" s="38" t="s">
        <v>89</v>
      </c>
      <c r="N110" s="38"/>
      <c r="O110" s="37">
        <v>50</v>
      </c>
      <c r="P110" s="90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67"/>
      <c r="R110" s="667"/>
      <c r="S110" s="667"/>
      <c r="T110" s="668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211</v>
      </c>
      <c r="AG110" s="78"/>
      <c r="AJ110" s="84" t="s">
        <v>46</v>
      </c>
      <c r="AK110" s="84">
        <v>0</v>
      </c>
      <c r="BB110" s="189" t="s">
        <v>66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idden="1" x14ac:dyDescent="0.2">
      <c r="A111" s="661"/>
      <c r="B111" s="661"/>
      <c r="C111" s="661"/>
      <c r="D111" s="661"/>
      <c r="E111" s="661"/>
      <c r="F111" s="661"/>
      <c r="G111" s="661"/>
      <c r="H111" s="661"/>
      <c r="I111" s="661"/>
      <c r="J111" s="661"/>
      <c r="K111" s="661"/>
      <c r="L111" s="661"/>
      <c r="M111" s="661"/>
      <c r="N111" s="661"/>
      <c r="O111" s="662"/>
      <c r="P111" s="658" t="s">
        <v>40</v>
      </c>
      <c r="Q111" s="659"/>
      <c r="R111" s="659"/>
      <c r="S111" s="659"/>
      <c r="T111" s="659"/>
      <c r="U111" s="659"/>
      <c r="V111" s="660"/>
      <c r="W111" s="42" t="s">
        <v>39</v>
      </c>
      <c r="X111" s="43">
        <f>IFERROR(X103/H103,"0")+IFERROR(X104/H104,"0")+IFERROR(X105/H105,"0")+IFERROR(X106/H106,"0")+IFERROR(X107/H107,"0")+IFERROR(X108/H108,"0")+IFERROR(X109/H109,"0")+IFERROR(X110/H110,"0")</f>
        <v>0</v>
      </c>
      <c r="Y111" s="43">
        <f>IFERROR(Y103/H103,"0")+IFERROR(Y104/H104,"0")+IFERROR(Y105/H105,"0")+IFERROR(Y106/H106,"0")+IFERROR(Y107/H107,"0")+IFERROR(Y108/H108,"0")+IFERROR(Y109/H109,"0")+IFERROR(Y110/H110,"0")</f>
        <v>0</v>
      </c>
      <c r="Z111" s="43">
        <f>IFERROR(IF(Z103="",0,Z103),"0")+IFERROR(IF(Z104="",0,Z104),"0")+IFERROR(IF(Z105="",0,Z105),"0")+IFERROR(IF(Z106="",0,Z106),"0")+IFERROR(IF(Z107="",0,Z107),"0")+IFERROR(IF(Z108="",0,Z108),"0")+IFERROR(IF(Z109="",0,Z109),"0")+IFERROR(IF(Z110="",0,Z110),"0")</f>
        <v>0</v>
      </c>
      <c r="AA111" s="67"/>
      <c r="AB111" s="67"/>
      <c r="AC111" s="67"/>
    </row>
    <row r="112" spans="1:68" hidden="1" x14ac:dyDescent="0.2">
      <c r="A112" s="661"/>
      <c r="B112" s="661"/>
      <c r="C112" s="661"/>
      <c r="D112" s="661"/>
      <c r="E112" s="661"/>
      <c r="F112" s="661"/>
      <c r="G112" s="661"/>
      <c r="H112" s="661"/>
      <c r="I112" s="661"/>
      <c r="J112" s="661"/>
      <c r="K112" s="661"/>
      <c r="L112" s="661"/>
      <c r="M112" s="661"/>
      <c r="N112" s="661"/>
      <c r="O112" s="662"/>
      <c r="P112" s="658" t="s">
        <v>40</v>
      </c>
      <c r="Q112" s="659"/>
      <c r="R112" s="659"/>
      <c r="S112" s="659"/>
      <c r="T112" s="659"/>
      <c r="U112" s="659"/>
      <c r="V112" s="660"/>
      <c r="W112" s="42" t="s">
        <v>0</v>
      </c>
      <c r="X112" s="43">
        <f>IFERROR(SUM(X103:X110),"0")</f>
        <v>0</v>
      </c>
      <c r="Y112" s="43">
        <f>IFERROR(SUM(Y103:Y110),"0")</f>
        <v>0</v>
      </c>
      <c r="Z112" s="42"/>
      <c r="AA112" s="67"/>
      <c r="AB112" s="67"/>
      <c r="AC112" s="67"/>
    </row>
    <row r="113" spans="1:68" ht="14.25" hidden="1" customHeight="1" x14ac:dyDescent="0.25">
      <c r="A113" s="664" t="s">
        <v>154</v>
      </c>
      <c r="B113" s="664"/>
      <c r="C113" s="664"/>
      <c r="D113" s="664"/>
      <c r="E113" s="664"/>
      <c r="F113" s="664"/>
      <c r="G113" s="664"/>
      <c r="H113" s="664"/>
      <c r="I113" s="664"/>
      <c r="J113" s="664"/>
      <c r="K113" s="664"/>
      <c r="L113" s="664"/>
      <c r="M113" s="664"/>
      <c r="N113" s="664"/>
      <c r="O113" s="664"/>
      <c r="P113" s="664"/>
      <c r="Q113" s="664"/>
      <c r="R113" s="664"/>
      <c r="S113" s="664"/>
      <c r="T113" s="664"/>
      <c r="U113" s="664"/>
      <c r="V113" s="664"/>
      <c r="W113" s="664"/>
      <c r="X113" s="664"/>
      <c r="Y113" s="664"/>
      <c r="Z113" s="664"/>
      <c r="AA113" s="66"/>
      <c r="AB113" s="66"/>
      <c r="AC113" s="80"/>
    </row>
    <row r="114" spans="1:68" ht="27" hidden="1" customHeight="1" x14ac:dyDescent="0.25">
      <c r="A114" s="63" t="s">
        <v>226</v>
      </c>
      <c r="B114" s="63" t="s">
        <v>227</v>
      </c>
      <c r="C114" s="36">
        <v>4301020391</v>
      </c>
      <c r="D114" s="665">
        <v>4680115881488</v>
      </c>
      <c r="E114" s="665"/>
      <c r="F114" s="62">
        <v>1.35</v>
      </c>
      <c r="G114" s="37">
        <v>8</v>
      </c>
      <c r="H114" s="62">
        <v>10.8</v>
      </c>
      <c r="I114" s="62">
        <v>11.21</v>
      </c>
      <c r="J114" s="37">
        <v>64</v>
      </c>
      <c r="K114" s="37" t="s">
        <v>126</v>
      </c>
      <c r="L114" s="37" t="s">
        <v>46</v>
      </c>
      <c r="M114" s="38" t="s">
        <v>125</v>
      </c>
      <c r="N114" s="38"/>
      <c r="O114" s="37">
        <v>55</v>
      </c>
      <c r="P114" s="90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4" s="667"/>
      <c r="R114" s="667"/>
      <c r="S114" s="667"/>
      <c r="T114" s="668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IFERROR(IF(Y114=0,"",ROUNDUP(Y114/H114,0)*0.01898),"")</f>
        <v/>
      </c>
      <c r="AA114" s="68" t="s">
        <v>46</v>
      </c>
      <c r="AB114" s="69" t="s">
        <v>46</v>
      </c>
      <c r="AC114" s="190" t="s">
        <v>228</v>
      </c>
      <c r="AG114" s="78"/>
      <c r="AJ114" s="84" t="s">
        <v>46</v>
      </c>
      <c r="AK114" s="84">
        <v>0</v>
      </c>
      <c r="BB114" s="191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229</v>
      </c>
      <c r="B115" s="63" t="s">
        <v>230</v>
      </c>
      <c r="C115" s="36">
        <v>4301020186</v>
      </c>
      <c r="D115" s="665">
        <v>4680115887664</v>
      </c>
      <c r="E115" s="665"/>
      <c r="F115" s="62">
        <v>0.1</v>
      </c>
      <c r="G115" s="37">
        <v>10</v>
      </c>
      <c r="H115" s="62">
        <v>1</v>
      </c>
      <c r="I115" s="62">
        <v>1.21</v>
      </c>
      <c r="J115" s="37">
        <v>392</v>
      </c>
      <c r="K115" s="37" t="s">
        <v>232</v>
      </c>
      <c r="L115" s="37" t="s">
        <v>46</v>
      </c>
      <c r="M115" s="38" t="s">
        <v>80</v>
      </c>
      <c r="N115" s="38"/>
      <c r="O115" s="37">
        <v>30</v>
      </c>
      <c r="P115" s="90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5" s="667"/>
      <c r="R115" s="667"/>
      <c r="S115" s="667"/>
      <c r="T115" s="668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IFERROR(IF(Y115=0,"",ROUNDUP(Y115/H115,0)*0.00358),"")</f>
        <v/>
      </c>
      <c r="AA115" s="68" t="s">
        <v>46</v>
      </c>
      <c r="AB115" s="69" t="s">
        <v>46</v>
      </c>
      <c r="AC115" s="192" t="s">
        <v>231</v>
      </c>
      <c r="AG115" s="78"/>
      <c r="AJ115" s="84" t="s">
        <v>46</v>
      </c>
      <c r="AK115" s="84">
        <v>0</v>
      </c>
      <c r="BB115" s="193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229</v>
      </c>
      <c r="B116" s="63" t="s">
        <v>233</v>
      </c>
      <c r="C116" s="36">
        <v>4301020430</v>
      </c>
      <c r="D116" s="665">
        <v>4680115887664</v>
      </c>
      <c r="E116" s="665"/>
      <c r="F116" s="62">
        <v>0.1</v>
      </c>
      <c r="G116" s="37">
        <v>8</v>
      </c>
      <c r="H116" s="62">
        <v>0.8</v>
      </c>
      <c r="I116" s="62">
        <v>0.98799999999999999</v>
      </c>
      <c r="J116" s="37">
        <v>392</v>
      </c>
      <c r="K116" s="37" t="s">
        <v>232</v>
      </c>
      <c r="L116" s="37" t="s">
        <v>46</v>
      </c>
      <c r="M116" s="38" t="s">
        <v>80</v>
      </c>
      <c r="N116" s="38"/>
      <c r="O116" s="37">
        <v>30</v>
      </c>
      <c r="P116" s="90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67"/>
      <c r="R116" s="667"/>
      <c r="S116" s="667"/>
      <c r="T116" s="668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231</v>
      </c>
      <c r="AG116" s="78"/>
      <c r="AJ116" s="84" t="s">
        <v>46</v>
      </c>
      <c r="AK116" s="84">
        <v>0</v>
      </c>
      <c r="BB116" s="195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234</v>
      </c>
      <c r="B117" s="63" t="s">
        <v>235</v>
      </c>
      <c r="C117" s="36">
        <v>4301020393</v>
      </c>
      <c r="D117" s="665">
        <v>4680115882775</v>
      </c>
      <c r="E117" s="665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81</v>
      </c>
      <c r="L117" s="37" t="s">
        <v>46</v>
      </c>
      <c r="M117" s="38" t="s">
        <v>125</v>
      </c>
      <c r="N117" s="38"/>
      <c r="O117" s="37">
        <v>55</v>
      </c>
      <c r="P117" s="90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67"/>
      <c r="R117" s="667"/>
      <c r="S117" s="667"/>
      <c r="T117" s="668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228</v>
      </c>
      <c r="AG117" s="78"/>
      <c r="AJ117" s="84" t="s">
        <v>46</v>
      </c>
      <c r="AK117" s="84">
        <v>0</v>
      </c>
      <c r="BB117" s="197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236</v>
      </c>
      <c r="B118" s="63" t="s">
        <v>237</v>
      </c>
      <c r="C118" s="36">
        <v>4301020392</v>
      </c>
      <c r="D118" s="665">
        <v>4680115880658</v>
      </c>
      <c r="E118" s="665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90</v>
      </c>
      <c r="L118" s="37" t="s">
        <v>46</v>
      </c>
      <c r="M118" s="38" t="s">
        <v>125</v>
      </c>
      <c r="N118" s="38"/>
      <c r="O118" s="37">
        <v>55</v>
      </c>
      <c r="P118" s="90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67"/>
      <c r="R118" s="667"/>
      <c r="S118" s="667"/>
      <c r="T118" s="668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228</v>
      </c>
      <c r="AG118" s="78"/>
      <c r="AJ118" s="84" t="s">
        <v>46</v>
      </c>
      <c r="AK118" s="84">
        <v>0</v>
      </c>
      <c r="BB118" s="199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idden="1" x14ac:dyDescent="0.2">
      <c r="A119" s="661"/>
      <c r="B119" s="661"/>
      <c r="C119" s="661"/>
      <c r="D119" s="661"/>
      <c r="E119" s="661"/>
      <c r="F119" s="661"/>
      <c r="G119" s="661"/>
      <c r="H119" s="661"/>
      <c r="I119" s="661"/>
      <c r="J119" s="661"/>
      <c r="K119" s="661"/>
      <c r="L119" s="661"/>
      <c r="M119" s="661"/>
      <c r="N119" s="661"/>
      <c r="O119" s="662"/>
      <c r="P119" s="658" t="s">
        <v>40</v>
      </c>
      <c r="Q119" s="659"/>
      <c r="R119" s="659"/>
      <c r="S119" s="659"/>
      <c r="T119" s="659"/>
      <c r="U119" s="659"/>
      <c r="V119" s="660"/>
      <c r="W119" s="42" t="s">
        <v>39</v>
      </c>
      <c r="X119" s="43">
        <f>IFERROR(X114/H114,"0")+IFERROR(X115/H115,"0")+IFERROR(X116/H116,"0")+IFERROR(X117/H117,"0")+IFERROR(X118/H118,"0")</f>
        <v>0</v>
      </c>
      <c r="Y119" s="43">
        <f>IFERROR(Y114/H114,"0")+IFERROR(Y115/H115,"0")+IFERROR(Y116/H116,"0")+IFERROR(Y117/H117,"0")+IFERROR(Y118/H118,"0")</f>
        <v>0</v>
      </c>
      <c r="Z119" s="43">
        <f>IFERROR(IF(Z114="",0,Z114),"0")+IFERROR(IF(Z115="",0,Z115),"0")+IFERROR(IF(Z116="",0,Z116),"0")+IFERROR(IF(Z117="",0,Z117),"0")+IFERROR(IF(Z118="",0,Z118),"0")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hidden="1" x14ac:dyDescent="0.2">
      <c r="A120" s="661"/>
      <c r="B120" s="661"/>
      <c r="C120" s="661"/>
      <c r="D120" s="661"/>
      <c r="E120" s="661"/>
      <c r="F120" s="661"/>
      <c r="G120" s="661"/>
      <c r="H120" s="661"/>
      <c r="I120" s="661"/>
      <c r="J120" s="661"/>
      <c r="K120" s="661"/>
      <c r="L120" s="661"/>
      <c r="M120" s="661"/>
      <c r="N120" s="661"/>
      <c r="O120" s="662"/>
      <c r="P120" s="658" t="s">
        <v>40</v>
      </c>
      <c r="Q120" s="659"/>
      <c r="R120" s="659"/>
      <c r="S120" s="659"/>
      <c r="T120" s="659"/>
      <c r="U120" s="659"/>
      <c r="V120" s="660"/>
      <c r="W120" s="42" t="s">
        <v>0</v>
      </c>
      <c r="X120" s="43">
        <f>IFERROR(SUM(X114:X118),"0")</f>
        <v>0</v>
      </c>
      <c r="Y120" s="43">
        <f>IFERROR(SUM(Y114:Y118),"0")</f>
        <v>0</v>
      </c>
      <c r="Z120" s="42"/>
      <c r="AA120" s="67"/>
      <c r="AB120" s="67"/>
      <c r="AC120" s="67"/>
    </row>
    <row r="121" spans="1:68" ht="14.25" hidden="1" customHeight="1" x14ac:dyDescent="0.25">
      <c r="A121" s="664" t="s">
        <v>85</v>
      </c>
      <c r="B121" s="664"/>
      <c r="C121" s="664"/>
      <c r="D121" s="664"/>
      <c r="E121" s="664"/>
      <c r="F121" s="664"/>
      <c r="G121" s="664"/>
      <c r="H121" s="664"/>
      <c r="I121" s="664"/>
      <c r="J121" s="664"/>
      <c r="K121" s="664"/>
      <c r="L121" s="664"/>
      <c r="M121" s="664"/>
      <c r="N121" s="664"/>
      <c r="O121" s="664"/>
      <c r="P121" s="664"/>
      <c r="Q121" s="664"/>
      <c r="R121" s="664"/>
      <c r="S121" s="664"/>
      <c r="T121" s="664"/>
      <c r="U121" s="664"/>
      <c r="V121" s="664"/>
      <c r="W121" s="664"/>
      <c r="X121" s="664"/>
      <c r="Y121" s="664"/>
      <c r="Z121" s="664"/>
      <c r="AA121" s="66"/>
      <c r="AB121" s="66"/>
      <c r="AC121" s="80"/>
    </row>
    <row r="122" spans="1:68" ht="27" hidden="1" customHeight="1" x14ac:dyDescent="0.25">
      <c r="A122" s="63" t="s">
        <v>238</v>
      </c>
      <c r="B122" s="63" t="s">
        <v>239</v>
      </c>
      <c r="C122" s="36">
        <v>4301051724</v>
      </c>
      <c r="D122" s="665">
        <v>4607091385168</v>
      </c>
      <c r="E122" s="665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126</v>
      </c>
      <c r="L122" s="37" t="s">
        <v>46</v>
      </c>
      <c r="M122" s="38" t="s">
        <v>96</v>
      </c>
      <c r="N122" s="38"/>
      <c r="O122" s="37">
        <v>45</v>
      </c>
      <c r="P122" s="89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2" s="667"/>
      <c r="R122" s="667"/>
      <c r="S122" s="667"/>
      <c r="T122" s="668"/>
      <c r="U122" s="39" t="s">
        <v>46</v>
      </c>
      <c r="V122" s="39" t="s">
        <v>46</v>
      </c>
      <c r="W122" s="40" t="s">
        <v>0</v>
      </c>
      <c r="X122" s="58">
        <v>0</v>
      </c>
      <c r="Y122" s="55">
        <f t="shared" ref="Y122:Y128" si="15">IFERROR(IF(X122="",0,CEILING((X122/$H122),1)*$H122),"")</f>
        <v>0</v>
      </c>
      <c r="Z122" s="41" t="str">
        <f>IFERROR(IF(Y122=0,"",ROUNDUP(Y122/H122,0)*0.01898),"")</f>
        <v/>
      </c>
      <c r="AA122" s="68" t="s">
        <v>46</v>
      </c>
      <c r="AB122" s="69" t="s">
        <v>46</v>
      </c>
      <c r="AC122" s="200" t="s">
        <v>240</v>
      </c>
      <c r="AG122" s="78"/>
      <c r="AJ122" s="84" t="s">
        <v>46</v>
      </c>
      <c r="AK122" s="84">
        <v>0</v>
      </c>
      <c r="BB122" s="201" t="s">
        <v>66</v>
      </c>
      <c r="BM122" s="78">
        <f t="shared" ref="BM122:BM128" si="16">IFERROR(X122*I122/H122,"0")</f>
        <v>0</v>
      </c>
      <c r="BN122" s="78">
        <f t="shared" ref="BN122:BN128" si="17">IFERROR(Y122*I122/H122,"0")</f>
        <v>0</v>
      </c>
      <c r="BO122" s="78">
        <f t="shared" ref="BO122:BO128" si="18">IFERROR(1/J122*(X122/H122),"0")</f>
        <v>0</v>
      </c>
      <c r="BP122" s="78">
        <f t="shared" ref="BP122:BP128" si="19">IFERROR(1/J122*(Y122/H122),"0")</f>
        <v>0</v>
      </c>
    </row>
    <row r="123" spans="1:68" ht="27" hidden="1" customHeight="1" x14ac:dyDescent="0.25">
      <c r="A123" s="63" t="s">
        <v>238</v>
      </c>
      <c r="B123" s="63" t="s">
        <v>241</v>
      </c>
      <c r="C123" s="36">
        <v>4301052088</v>
      </c>
      <c r="D123" s="665">
        <v>4607091385168</v>
      </c>
      <c r="E123" s="665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126</v>
      </c>
      <c r="L123" s="37" t="s">
        <v>46</v>
      </c>
      <c r="M123" s="38" t="s">
        <v>89</v>
      </c>
      <c r="N123" s="38"/>
      <c r="O123" s="37">
        <v>45</v>
      </c>
      <c r="P123" s="894" t="s">
        <v>242</v>
      </c>
      <c r="Q123" s="667"/>
      <c r="R123" s="667"/>
      <c r="S123" s="667"/>
      <c r="T123" s="668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si="15"/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240</v>
      </c>
      <c r="AG123" s="78"/>
      <c r="AJ123" s="84" t="s">
        <v>46</v>
      </c>
      <c r="AK123" s="84">
        <v>0</v>
      </c>
      <c r="BB123" s="203" t="s">
        <v>66</v>
      </c>
      <c r="BM123" s="78">
        <f t="shared" si="16"/>
        <v>0</v>
      </c>
      <c r="BN123" s="78">
        <f t="shared" si="17"/>
        <v>0</v>
      </c>
      <c r="BO123" s="78">
        <f t="shared" si="18"/>
        <v>0</v>
      </c>
      <c r="BP123" s="78">
        <f t="shared" si="19"/>
        <v>0</v>
      </c>
    </row>
    <row r="124" spans="1:68" ht="27" hidden="1" customHeight="1" x14ac:dyDescent="0.25">
      <c r="A124" s="63" t="s">
        <v>243</v>
      </c>
      <c r="B124" s="63" t="s">
        <v>244</v>
      </c>
      <c r="C124" s="36">
        <v>4301051730</v>
      </c>
      <c r="D124" s="665">
        <v>4607091383256</v>
      </c>
      <c r="E124" s="665"/>
      <c r="F124" s="62">
        <v>0.33</v>
      </c>
      <c r="G124" s="37">
        <v>6</v>
      </c>
      <c r="H124" s="62">
        <v>1.98</v>
      </c>
      <c r="I124" s="62">
        <v>2.226</v>
      </c>
      <c r="J124" s="37">
        <v>182</v>
      </c>
      <c r="K124" s="37" t="s">
        <v>90</v>
      </c>
      <c r="L124" s="37" t="s">
        <v>46</v>
      </c>
      <c r="M124" s="38" t="s">
        <v>96</v>
      </c>
      <c r="N124" s="38"/>
      <c r="O124" s="37">
        <v>45</v>
      </c>
      <c r="P124" s="89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4" s="667"/>
      <c r="R124" s="667"/>
      <c r="S124" s="667"/>
      <c r="T124" s="668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IFERROR(IF(Y124=0,"",ROUNDUP(Y124/H124,0)*0.00651),"")</f>
        <v/>
      </c>
      <c r="AA124" s="68" t="s">
        <v>46</v>
      </c>
      <c r="AB124" s="69" t="s">
        <v>46</v>
      </c>
      <c r="AC124" s="204" t="s">
        <v>240</v>
      </c>
      <c r="AG124" s="78"/>
      <c r="AJ124" s="84" t="s">
        <v>46</v>
      </c>
      <c r="AK124" s="84">
        <v>0</v>
      </c>
      <c r="BB124" s="205" t="s">
        <v>66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245</v>
      </c>
      <c r="B125" s="63" t="s">
        <v>246</v>
      </c>
      <c r="C125" s="36">
        <v>4301051721</v>
      </c>
      <c r="D125" s="665">
        <v>4607091385748</v>
      </c>
      <c r="E125" s="665"/>
      <c r="F125" s="62">
        <v>0.45</v>
      </c>
      <c r="G125" s="37">
        <v>6</v>
      </c>
      <c r="H125" s="62">
        <v>2.7</v>
      </c>
      <c r="I125" s="62">
        <v>2.952</v>
      </c>
      <c r="J125" s="37">
        <v>182</v>
      </c>
      <c r="K125" s="37" t="s">
        <v>90</v>
      </c>
      <c r="L125" s="37" t="s">
        <v>46</v>
      </c>
      <c r="M125" s="38" t="s">
        <v>96</v>
      </c>
      <c r="N125" s="38"/>
      <c r="O125" s="37">
        <v>45</v>
      </c>
      <c r="P125" s="89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5" s="667"/>
      <c r="R125" s="667"/>
      <c r="S125" s="667"/>
      <c r="T125" s="668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240</v>
      </c>
      <c r="AG125" s="78"/>
      <c r="AJ125" s="84" t="s">
        <v>46</v>
      </c>
      <c r="AK125" s="84">
        <v>0</v>
      </c>
      <c r="BB125" s="207" t="s">
        <v>66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245</v>
      </c>
      <c r="B126" s="63" t="s">
        <v>247</v>
      </c>
      <c r="C126" s="36">
        <v>4301052086</v>
      </c>
      <c r="D126" s="665">
        <v>4607091385748</v>
      </c>
      <c r="E126" s="665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90</v>
      </c>
      <c r="L126" s="37" t="s">
        <v>46</v>
      </c>
      <c r="M126" s="38" t="s">
        <v>89</v>
      </c>
      <c r="N126" s="38"/>
      <c r="O126" s="37">
        <v>45</v>
      </c>
      <c r="P126" s="897" t="s">
        <v>248</v>
      </c>
      <c r="Q126" s="667"/>
      <c r="R126" s="667"/>
      <c r="S126" s="667"/>
      <c r="T126" s="668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8" t="s">
        <v>240</v>
      </c>
      <c r="AG126" s="78"/>
      <c r="AJ126" s="84" t="s">
        <v>46</v>
      </c>
      <c r="AK126" s="84">
        <v>0</v>
      </c>
      <c r="BB126" s="209" t="s">
        <v>66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16.5" hidden="1" customHeight="1" x14ac:dyDescent="0.25">
      <c r="A127" s="63" t="s">
        <v>249</v>
      </c>
      <c r="B127" s="63" t="s">
        <v>250</v>
      </c>
      <c r="C127" s="36">
        <v>4301051740</v>
      </c>
      <c r="D127" s="665">
        <v>4680115884533</v>
      </c>
      <c r="E127" s="665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45</v>
      </c>
      <c r="P127" s="89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67"/>
      <c r="R127" s="667"/>
      <c r="S127" s="667"/>
      <c r="T127" s="668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10" t="s">
        <v>251</v>
      </c>
      <c r="AG127" s="78"/>
      <c r="AJ127" s="84" t="s">
        <v>46</v>
      </c>
      <c r="AK127" s="84">
        <v>0</v>
      </c>
      <c r="BB127" s="211" t="s">
        <v>66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16.5" hidden="1" customHeight="1" x14ac:dyDescent="0.25">
      <c r="A128" s="63" t="s">
        <v>249</v>
      </c>
      <c r="B128" s="63" t="s">
        <v>252</v>
      </c>
      <c r="C128" s="36">
        <v>4301052085</v>
      </c>
      <c r="D128" s="665">
        <v>4680115884533</v>
      </c>
      <c r="E128" s="665"/>
      <c r="F128" s="62">
        <v>0.3</v>
      </c>
      <c r="G128" s="37">
        <v>6</v>
      </c>
      <c r="H128" s="62">
        <v>1.8</v>
      </c>
      <c r="I128" s="62">
        <v>1.98</v>
      </c>
      <c r="J128" s="37">
        <v>182</v>
      </c>
      <c r="K128" s="37" t="s">
        <v>90</v>
      </c>
      <c r="L128" s="37" t="s">
        <v>46</v>
      </c>
      <c r="M128" s="38" t="s">
        <v>89</v>
      </c>
      <c r="N128" s="38"/>
      <c r="O128" s="37">
        <v>45</v>
      </c>
      <c r="P128" s="899" t="s">
        <v>253</v>
      </c>
      <c r="Q128" s="667"/>
      <c r="R128" s="667"/>
      <c r="S128" s="667"/>
      <c r="T128" s="668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>IFERROR(IF(Y128=0,"",ROUNDUP(Y128/H128,0)*0.00651),"")</f>
        <v/>
      </c>
      <c r="AA128" s="68" t="s">
        <v>46</v>
      </c>
      <c r="AB128" s="69" t="s">
        <v>46</v>
      </c>
      <c r="AC128" s="212" t="s">
        <v>251</v>
      </c>
      <c r="AG128" s="78"/>
      <c r="AJ128" s="84" t="s">
        <v>46</v>
      </c>
      <c r="AK128" s="84">
        <v>0</v>
      </c>
      <c r="BB128" s="213" t="s">
        <v>66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idden="1" x14ac:dyDescent="0.2">
      <c r="A129" s="661"/>
      <c r="B129" s="661"/>
      <c r="C129" s="661"/>
      <c r="D129" s="661"/>
      <c r="E129" s="661"/>
      <c r="F129" s="661"/>
      <c r="G129" s="661"/>
      <c r="H129" s="661"/>
      <c r="I129" s="661"/>
      <c r="J129" s="661"/>
      <c r="K129" s="661"/>
      <c r="L129" s="661"/>
      <c r="M129" s="661"/>
      <c r="N129" s="661"/>
      <c r="O129" s="662"/>
      <c r="P129" s="658" t="s">
        <v>40</v>
      </c>
      <c r="Q129" s="659"/>
      <c r="R129" s="659"/>
      <c r="S129" s="659"/>
      <c r="T129" s="659"/>
      <c r="U129" s="659"/>
      <c r="V129" s="660"/>
      <c r="W129" s="42" t="s">
        <v>39</v>
      </c>
      <c r="X129" s="43">
        <f>IFERROR(X122/H122,"0")+IFERROR(X123/H123,"0")+IFERROR(X124/H124,"0")+IFERROR(X125/H125,"0")+IFERROR(X126/H126,"0")+IFERROR(X127/H127,"0")+IFERROR(X128/H128,"0")</f>
        <v>0</v>
      </c>
      <c r="Y129" s="43">
        <f>IFERROR(Y122/H122,"0")+IFERROR(Y123/H123,"0")+IFERROR(Y124/H124,"0")+IFERROR(Y125/H125,"0")+IFERROR(Y126/H126,"0")+IFERROR(Y127/H127,"0")+IFERROR(Y128/H128,"0")</f>
        <v>0</v>
      </c>
      <c r="Z129" s="43">
        <f>IFERROR(IF(Z122="",0,Z122),"0")+IFERROR(IF(Z123="",0,Z123),"0")+IFERROR(IF(Z124="",0,Z124),"0")+IFERROR(IF(Z125="",0,Z125),"0")+IFERROR(IF(Z126="",0,Z126),"0")+IFERROR(IF(Z127="",0,Z127),"0")+IFERROR(IF(Z128="",0,Z128),"0")</f>
        <v>0</v>
      </c>
      <c r="AA129" s="67"/>
      <c r="AB129" s="67"/>
      <c r="AC129" s="67"/>
    </row>
    <row r="130" spans="1:68" hidden="1" x14ac:dyDescent="0.2">
      <c r="A130" s="661"/>
      <c r="B130" s="661"/>
      <c r="C130" s="661"/>
      <c r="D130" s="661"/>
      <c r="E130" s="661"/>
      <c r="F130" s="661"/>
      <c r="G130" s="661"/>
      <c r="H130" s="661"/>
      <c r="I130" s="661"/>
      <c r="J130" s="661"/>
      <c r="K130" s="661"/>
      <c r="L130" s="661"/>
      <c r="M130" s="661"/>
      <c r="N130" s="661"/>
      <c r="O130" s="662"/>
      <c r="P130" s="658" t="s">
        <v>40</v>
      </c>
      <c r="Q130" s="659"/>
      <c r="R130" s="659"/>
      <c r="S130" s="659"/>
      <c r="T130" s="659"/>
      <c r="U130" s="659"/>
      <c r="V130" s="660"/>
      <c r="W130" s="42" t="s">
        <v>0</v>
      </c>
      <c r="X130" s="43">
        <f>IFERROR(SUM(X122:X128),"0")</f>
        <v>0</v>
      </c>
      <c r="Y130" s="43">
        <f>IFERROR(SUM(Y122:Y128),"0")</f>
        <v>0</v>
      </c>
      <c r="Z130" s="42"/>
      <c r="AA130" s="67"/>
      <c r="AB130" s="67"/>
      <c r="AC130" s="67"/>
    </row>
    <row r="131" spans="1:68" ht="14.25" hidden="1" customHeight="1" x14ac:dyDescent="0.25">
      <c r="A131" s="664" t="s">
        <v>172</v>
      </c>
      <c r="B131" s="664"/>
      <c r="C131" s="664"/>
      <c r="D131" s="664"/>
      <c r="E131" s="664"/>
      <c r="F131" s="664"/>
      <c r="G131" s="664"/>
      <c r="H131" s="664"/>
      <c r="I131" s="664"/>
      <c r="J131" s="664"/>
      <c r="K131" s="664"/>
      <c r="L131" s="664"/>
      <c r="M131" s="664"/>
      <c r="N131" s="664"/>
      <c r="O131" s="664"/>
      <c r="P131" s="664"/>
      <c r="Q131" s="664"/>
      <c r="R131" s="664"/>
      <c r="S131" s="664"/>
      <c r="T131" s="664"/>
      <c r="U131" s="664"/>
      <c r="V131" s="664"/>
      <c r="W131" s="664"/>
      <c r="X131" s="664"/>
      <c r="Y131" s="664"/>
      <c r="Z131" s="664"/>
      <c r="AA131" s="66"/>
      <c r="AB131" s="66"/>
      <c r="AC131" s="80"/>
    </row>
    <row r="132" spans="1:68" ht="16.5" hidden="1" customHeight="1" x14ac:dyDescent="0.25">
      <c r="A132" s="63" t="s">
        <v>254</v>
      </c>
      <c r="B132" s="63" t="s">
        <v>255</v>
      </c>
      <c r="C132" s="36">
        <v>4301060317</v>
      </c>
      <c r="D132" s="665">
        <v>4680115880238</v>
      </c>
      <c r="E132" s="665"/>
      <c r="F132" s="62">
        <v>0.33</v>
      </c>
      <c r="G132" s="37">
        <v>6</v>
      </c>
      <c r="H132" s="62">
        <v>1.98</v>
      </c>
      <c r="I132" s="62">
        <v>2.238</v>
      </c>
      <c r="J132" s="37">
        <v>182</v>
      </c>
      <c r="K132" s="37" t="s">
        <v>90</v>
      </c>
      <c r="L132" s="37" t="s">
        <v>46</v>
      </c>
      <c r="M132" s="38" t="s">
        <v>89</v>
      </c>
      <c r="N132" s="38"/>
      <c r="O132" s="37">
        <v>40</v>
      </c>
      <c r="P132" s="889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67"/>
      <c r="R132" s="667"/>
      <c r="S132" s="667"/>
      <c r="T132" s="668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14" t="s">
        <v>256</v>
      </c>
      <c r="AG132" s="78"/>
      <c r="AJ132" s="84" t="s">
        <v>46</v>
      </c>
      <c r="AK132" s="84">
        <v>0</v>
      </c>
      <c r="BB132" s="215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16.5" hidden="1" customHeight="1" x14ac:dyDescent="0.25">
      <c r="A133" s="63" t="s">
        <v>254</v>
      </c>
      <c r="B133" s="63" t="s">
        <v>257</v>
      </c>
      <c r="C133" s="36">
        <v>4301060525</v>
      </c>
      <c r="D133" s="665">
        <v>4680115880238</v>
      </c>
      <c r="E133" s="665"/>
      <c r="F133" s="62">
        <v>0.33</v>
      </c>
      <c r="G133" s="37">
        <v>6</v>
      </c>
      <c r="H133" s="62">
        <v>1.98</v>
      </c>
      <c r="I133" s="62">
        <v>2.238</v>
      </c>
      <c r="J133" s="37">
        <v>182</v>
      </c>
      <c r="K133" s="37" t="s">
        <v>90</v>
      </c>
      <c r="L133" s="37" t="s">
        <v>46</v>
      </c>
      <c r="M133" s="38" t="s">
        <v>89</v>
      </c>
      <c r="N133" s="38"/>
      <c r="O133" s="37">
        <v>40</v>
      </c>
      <c r="P133" s="890" t="s">
        <v>258</v>
      </c>
      <c r="Q133" s="667"/>
      <c r="R133" s="667"/>
      <c r="S133" s="667"/>
      <c r="T133" s="668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16" t="s">
        <v>256</v>
      </c>
      <c r="AG133" s="78"/>
      <c r="AJ133" s="84" t="s">
        <v>46</v>
      </c>
      <c r="AK133" s="84">
        <v>0</v>
      </c>
      <c r="BB133" s="217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661"/>
      <c r="B134" s="661"/>
      <c r="C134" s="661"/>
      <c r="D134" s="661"/>
      <c r="E134" s="661"/>
      <c r="F134" s="661"/>
      <c r="G134" s="661"/>
      <c r="H134" s="661"/>
      <c r="I134" s="661"/>
      <c r="J134" s="661"/>
      <c r="K134" s="661"/>
      <c r="L134" s="661"/>
      <c r="M134" s="661"/>
      <c r="N134" s="661"/>
      <c r="O134" s="662"/>
      <c r="P134" s="658" t="s">
        <v>40</v>
      </c>
      <c r="Q134" s="659"/>
      <c r="R134" s="659"/>
      <c r="S134" s="659"/>
      <c r="T134" s="659"/>
      <c r="U134" s="659"/>
      <c r="V134" s="660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661"/>
      <c r="B135" s="661"/>
      <c r="C135" s="661"/>
      <c r="D135" s="661"/>
      <c r="E135" s="661"/>
      <c r="F135" s="661"/>
      <c r="G135" s="661"/>
      <c r="H135" s="661"/>
      <c r="I135" s="661"/>
      <c r="J135" s="661"/>
      <c r="K135" s="661"/>
      <c r="L135" s="661"/>
      <c r="M135" s="661"/>
      <c r="N135" s="661"/>
      <c r="O135" s="662"/>
      <c r="P135" s="658" t="s">
        <v>40</v>
      </c>
      <c r="Q135" s="659"/>
      <c r="R135" s="659"/>
      <c r="S135" s="659"/>
      <c r="T135" s="659"/>
      <c r="U135" s="659"/>
      <c r="V135" s="660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6.5" hidden="1" customHeight="1" x14ac:dyDescent="0.25">
      <c r="A136" s="663" t="s">
        <v>259</v>
      </c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63"/>
      <c r="P136" s="663"/>
      <c r="Q136" s="663"/>
      <c r="R136" s="663"/>
      <c r="S136" s="663"/>
      <c r="T136" s="663"/>
      <c r="U136" s="663"/>
      <c r="V136" s="663"/>
      <c r="W136" s="663"/>
      <c r="X136" s="663"/>
      <c r="Y136" s="663"/>
      <c r="Z136" s="663"/>
      <c r="AA136" s="65"/>
      <c r="AB136" s="65"/>
      <c r="AC136" s="79"/>
    </row>
    <row r="137" spans="1:68" ht="14.25" hidden="1" customHeight="1" x14ac:dyDescent="0.25">
      <c r="A137" s="664" t="s">
        <v>121</v>
      </c>
      <c r="B137" s="664"/>
      <c r="C137" s="664"/>
      <c r="D137" s="664"/>
      <c r="E137" s="664"/>
      <c r="F137" s="664"/>
      <c r="G137" s="664"/>
      <c r="H137" s="664"/>
      <c r="I137" s="664"/>
      <c r="J137" s="664"/>
      <c r="K137" s="664"/>
      <c r="L137" s="664"/>
      <c r="M137" s="664"/>
      <c r="N137" s="664"/>
      <c r="O137" s="664"/>
      <c r="P137" s="664"/>
      <c r="Q137" s="664"/>
      <c r="R137" s="664"/>
      <c r="S137" s="664"/>
      <c r="T137" s="664"/>
      <c r="U137" s="664"/>
      <c r="V137" s="664"/>
      <c r="W137" s="664"/>
      <c r="X137" s="664"/>
      <c r="Y137" s="664"/>
      <c r="Z137" s="664"/>
      <c r="AA137" s="66"/>
      <c r="AB137" s="66"/>
      <c r="AC137" s="80"/>
    </row>
    <row r="138" spans="1:68" ht="27" hidden="1" customHeight="1" x14ac:dyDescent="0.25">
      <c r="A138" s="63" t="s">
        <v>260</v>
      </c>
      <c r="B138" s="63" t="s">
        <v>261</v>
      </c>
      <c r="C138" s="36">
        <v>4301011562</v>
      </c>
      <c r="D138" s="665">
        <v>4680115882577</v>
      </c>
      <c r="E138" s="665"/>
      <c r="F138" s="62">
        <v>0.4</v>
      </c>
      <c r="G138" s="37">
        <v>8</v>
      </c>
      <c r="H138" s="62">
        <v>3.2</v>
      </c>
      <c r="I138" s="62">
        <v>3.38</v>
      </c>
      <c r="J138" s="37">
        <v>182</v>
      </c>
      <c r="K138" s="37" t="s">
        <v>90</v>
      </c>
      <c r="L138" s="37" t="s">
        <v>46</v>
      </c>
      <c r="M138" s="38" t="s">
        <v>263</v>
      </c>
      <c r="N138" s="38"/>
      <c r="O138" s="37">
        <v>90</v>
      </c>
      <c r="P138" s="89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67"/>
      <c r="R138" s="667"/>
      <c r="S138" s="667"/>
      <c r="T138" s="668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8" t="s">
        <v>262</v>
      </c>
      <c r="AG138" s="78"/>
      <c r="AJ138" s="84" t="s">
        <v>46</v>
      </c>
      <c r="AK138" s="84">
        <v>0</v>
      </c>
      <c r="BB138" s="219" t="s">
        <v>66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hidden="1" customHeight="1" x14ac:dyDescent="0.25">
      <c r="A139" s="63" t="s">
        <v>260</v>
      </c>
      <c r="B139" s="63" t="s">
        <v>264</v>
      </c>
      <c r="C139" s="36">
        <v>4301011564</v>
      </c>
      <c r="D139" s="665">
        <v>4680115882577</v>
      </c>
      <c r="E139" s="665"/>
      <c r="F139" s="62">
        <v>0.4</v>
      </c>
      <c r="G139" s="37">
        <v>8</v>
      </c>
      <c r="H139" s="62">
        <v>3.2</v>
      </c>
      <c r="I139" s="62">
        <v>3.38</v>
      </c>
      <c r="J139" s="37">
        <v>182</v>
      </c>
      <c r="K139" s="37" t="s">
        <v>90</v>
      </c>
      <c r="L139" s="37" t="s">
        <v>46</v>
      </c>
      <c r="M139" s="38" t="s">
        <v>263</v>
      </c>
      <c r="N139" s="38"/>
      <c r="O139" s="37">
        <v>90</v>
      </c>
      <c r="P139" s="8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9" s="667"/>
      <c r="R139" s="667"/>
      <c r="S139" s="667"/>
      <c r="T139" s="668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IFERROR(IF(Y139=0,"",ROUNDUP(Y139/H139,0)*0.00651),"")</f>
        <v/>
      </c>
      <c r="AA139" s="68" t="s">
        <v>46</v>
      </c>
      <c r="AB139" s="69" t="s">
        <v>46</v>
      </c>
      <c r="AC139" s="220" t="s">
        <v>262</v>
      </c>
      <c r="AG139" s="78"/>
      <c r="AJ139" s="84" t="s">
        <v>46</v>
      </c>
      <c r="AK139" s="84">
        <v>0</v>
      </c>
      <c r="BB139" s="221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idden="1" x14ac:dyDescent="0.2">
      <c r="A140" s="661"/>
      <c r="B140" s="661"/>
      <c r="C140" s="661"/>
      <c r="D140" s="661"/>
      <c r="E140" s="661"/>
      <c r="F140" s="661"/>
      <c r="G140" s="661"/>
      <c r="H140" s="661"/>
      <c r="I140" s="661"/>
      <c r="J140" s="661"/>
      <c r="K140" s="661"/>
      <c r="L140" s="661"/>
      <c r="M140" s="661"/>
      <c r="N140" s="661"/>
      <c r="O140" s="662"/>
      <c r="P140" s="658" t="s">
        <v>40</v>
      </c>
      <c r="Q140" s="659"/>
      <c r="R140" s="659"/>
      <c r="S140" s="659"/>
      <c r="T140" s="659"/>
      <c r="U140" s="659"/>
      <c r="V140" s="660"/>
      <c r="W140" s="42" t="s">
        <v>39</v>
      </c>
      <c r="X140" s="43">
        <f>IFERROR(X138/H138,"0")+IFERROR(X139/H139,"0")</f>
        <v>0</v>
      </c>
      <c r="Y140" s="43">
        <f>IFERROR(Y138/H138,"0")+IFERROR(Y139/H139,"0")</f>
        <v>0</v>
      </c>
      <c r="Z140" s="43">
        <f>IFERROR(IF(Z138="",0,Z138),"0")+IFERROR(IF(Z139="",0,Z139),"0")</f>
        <v>0</v>
      </c>
      <c r="AA140" s="67"/>
      <c r="AB140" s="67"/>
      <c r="AC140" s="67"/>
    </row>
    <row r="141" spans="1:68" hidden="1" x14ac:dyDescent="0.2">
      <c r="A141" s="661"/>
      <c r="B141" s="661"/>
      <c r="C141" s="661"/>
      <c r="D141" s="661"/>
      <c r="E141" s="661"/>
      <c r="F141" s="661"/>
      <c r="G141" s="661"/>
      <c r="H141" s="661"/>
      <c r="I141" s="661"/>
      <c r="J141" s="661"/>
      <c r="K141" s="661"/>
      <c r="L141" s="661"/>
      <c r="M141" s="661"/>
      <c r="N141" s="661"/>
      <c r="O141" s="662"/>
      <c r="P141" s="658" t="s">
        <v>40</v>
      </c>
      <c r="Q141" s="659"/>
      <c r="R141" s="659"/>
      <c r="S141" s="659"/>
      <c r="T141" s="659"/>
      <c r="U141" s="659"/>
      <c r="V141" s="660"/>
      <c r="W141" s="42" t="s">
        <v>0</v>
      </c>
      <c r="X141" s="43">
        <f>IFERROR(SUM(X138:X139),"0")</f>
        <v>0</v>
      </c>
      <c r="Y141" s="43">
        <f>IFERROR(SUM(Y138:Y139),"0")</f>
        <v>0</v>
      </c>
      <c r="Z141" s="42"/>
      <c r="AA141" s="67"/>
      <c r="AB141" s="67"/>
      <c r="AC141" s="67"/>
    </row>
    <row r="142" spans="1:68" ht="14.25" hidden="1" customHeight="1" x14ac:dyDescent="0.25">
      <c r="A142" s="664" t="s">
        <v>76</v>
      </c>
      <c r="B142" s="664"/>
      <c r="C142" s="664"/>
      <c r="D142" s="664"/>
      <c r="E142" s="664"/>
      <c r="F142" s="664"/>
      <c r="G142" s="664"/>
      <c r="H142" s="664"/>
      <c r="I142" s="664"/>
      <c r="J142" s="664"/>
      <c r="K142" s="664"/>
      <c r="L142" s="664"/>
      <c r="M142" s="664"/>
      <c r="N142" s="664"/>
      <c r="O142" s="664"/>
      <c r="P142" s="664"/>
      <c r="Q142" s="664"/>
      <c r="R142" s="664"/>
      <c r="S142" s="664"/>
      <c r="T142" s="664"/>
      <c r="U142" s="664"/>
      <c r="V142" s="664"/>
      <c r="W142" s="664"/>
      <c r="X142" s="664"/>
      <c r="Y142" s="664"/>
      <c r="Z142" s="664"/>
      <c r="AA142" s="66"/>
      <c r="AB142" s="66"/>
      <c r="AC142" s="80"/>
    </row>
    <row r="143" spans="1:68" ht="27" hidden="1" customHeight="1" x14ac:dyDescent="0.25">
      <c r="A143" s="63" t="s">
        <v>265</v>
      </c>
      <c r="B143" s="63" t="s">
        <v>266</v>
      </c>
      <c r="C143" s="36">
        <v>4301031234</v>
      </c>
      <c r="D143" s="665">
        <v>4680115883444</v>
      </c>
      <c r="E143" s="665"/>
      <c r="F143" s="62">
        <v>0.35</v>
      </c>
      <c r="G143" s="37">
        <v>8</v>
      </c>
      <c r="H143" s="62">
        <v>2.8</v>
      </c>
      <c r="I143" s="62">
        <v>3.0680000000000001</v>
      </c>
      <c r="J143" s="37">
        <v>182</v>
      </c>
      <c r="K143" s="37" t="s">
        <v>90</v>
      </c>
      <c r="L143" s="37" t="s">
        <v>46</v>
      </c>
      <c r="M143" s="38" t="s">
        <v>263</v>
      </c>
      <c r="N143" s="38"/>
      <c r="O143" s="37">
        <v>90</v>
      </c>
      <c r="P143" s="88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67"/>
      <c r="R143" s="667"/>
      <c r="S143" s="667"/>
      <c r="T143" s="668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22" t="s">
        <v>267</v>
      </c>
      <c r="AG143" s="78"/>
      <c r="AJ143" s="84" t="s">
        <v>46</v>
      </c>
      <c r="AK143" s="84">
        <v>0</v>
      </c>
      <c r="BB143" s="223" t="s">
        <v>66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t="27" hidden="1" customHeight="1" x14ac:dyDescent="0.25">
      <c r="A144" s="63" t="s">
        <v>265</v>
      </c>
      <c r="B144" s="63" t="s">
        <v>268</v>
      </c>
      <c r="C144" s="36">
        <v>4301031235</v>
      </c>
      <c r="D144" s="665">
        <v>4680115883444</v>
      </c>
      <c r="E144" s="665"/>
      <c r="F144" s="62">
        <v>0.35</v>
      </c>
      <c r="G144" s="37">
        <v>8</v>
      </c>
      <c r="H144" s="62">
        <v>2.8</v>
      </c>
      <c r="I144" s="62">
        <v>3.0680000000000001</v>
      </c>
      <c r="J144" s="37">
        <v>182</v>
      </c>
      <c r="K144" s="37" t="s">
        <v>90</v>
      </c>
      <c r="L144" s="37" t="s">
        <v>46</v>
      </c>
      <c r="M144" s="38" t="s">
        <v>263</v>
      </c>
      <c r="N144" s="38"/>
      <c r="O144" s="37">
        <v>90</v>
      </c>
      <c r="P144" s="88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4" s="667"/>
      <c r="R144" s="667"/>
      <c r="S144" s="667"/>
      <c r="T144" s="668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24" t="s">
        <v>267</v>
      </c>
      <c r="AG144" s="78"/>
      <c r="AJ144" s="84" t="s">
        <v>46</v>
      </c>
      <c r="AK144" s="84">
        <v>0</v>
      </c>
      <c r="BB144" s="225" t="s">
        <v>66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idden="1" x14ac:dyDescent="0.2">
      <c r="A145" s="661"/>
      <c r="B145" s="661"/>
      <c r="C145" s="661"/>
      <c r="D145" s="661"/>
      <c r="E145" s="661"/>
      <c r="F145" s="661"/>
      <c r="G145" s="661"/>
      <c r="H145" s="661"/>
      <c r="I145" s="661"/>
      <c r="J145" s="661"/>
      <c r="K145" s="661"/>
      <c r="L145" s="661"/>
      <c r="M145" s="661"/>
      <c r="N145" s="661"/>
      <c r="O145" s="662"/>
      <c r="P145" s="658" t="s">
        <v>40</v>
      </c>
      <c r="Q145" s="659"/>
      <c r="R145" s="659"/>
      <c r="S145" s="659"/>
      <c r="T145" s="659"/>
      <c r="U145" s="659"/>
      <c r="V145" s="660"/>
      <c r="W145" s="42" t="s">
        <v>39</v>
      </c>
      <c r="X145" s="43">
        <f>IFERROR(X143/H143,"0")+IFERROR(X144/H144,"0")</f>
        <v>0</v>
      </c>
      <c r="Y145" s="43">
        <f>IFERROR(Y143/H143,"0")+IFERROR(Y144/H144,"0")</f>
        <v>0</v>
      </c>
      <c r="Z145" s="43">
        <f>IFERROR(IF(Z143="",0,Z143),"0")+IFERROR(IF(Z144="",0,Z144),"0")</f>
        <v>0</v>
      </c>
      <c r="AA145" s="67"/>
      <c r="AB145" s="67"/>
      <c r="AC145" s="67"/>
    </row>
    <row r="146" spans="1:68" hidden="1" x14ac:dyDescent="0.2">
      <c r="A146" s="661"/>
      <c r="B146" s="661"/>
      <c r="C146" s="661"/>
      <c r="D146" s="661"/>
      <c r="E146" s="661"/>
      <c r="F146" s="661"/>
      <c r="G146" s="661"/>
      <c r="H146" s="661"/>
      <c r="I146" s="661"/>
      <c r="J146" s="661"/>
      <c r="K146" s="661"/>
      <c r="L146" s="661"/>
      <c r="M146" s="661"/>
      <c r="N146" s="661"/>
      <c r="O146" s="662"/>
      <c r="P146" s="658" t="s">
        <v>40</v>
      </c>
      <c r="Q146" s="659"/>
      <c r="R146" s="659"/>
      <c r="S146" s="659"/>
      <c r="T146" s="659"/>
      <c r="U146" s="659"/>
      <c r="V146" s="660"/>
      <c r="W146" s="42" t="s">
        <v>0</v>
      </c>
      <c r="X146" s="43">
        <f>IFERROR(SUM(X143:X144),"0")</f>
        <v>0</v>
      </c>
      <c r="Y146" s="43">
        <f>IFERROR(SUM(Y143:Y144),"0")</f>
        <v>0</v>
      </c>
      <c r="Z146" s="42"/>
      <c r="AA146" s="67"/>
      <c r="AB146" s="67"/>
      <c r="AC146" s="67"/>
    </row>
    <row r="147" spans="1:68" ht="14.25" hidden="1" customHeight="1" x14ac:dyDescent="0.25">
      <c r="A147" s="664" t="s">
        <v>85</v>
      </c>
      <c r="B147" s="664"/>
      <c r="C147" s="664"/>
      <c r="D147" s="664"/>
      <c r="E147" s="664"/>
      <c r="F147" s="664"/>
      <c r="G147" s="664"/>
      <c r="H147" s="664"/>
      <c r="I147" s="664"/>
      <c r="J147" s="664"/>
      <c r="K147" s="664"/>
      <c r="L147" s="664"/>
      <c r="M147" s="664"/>
      <c r="N147" s="664"/>
      <c r="O147" s="664"/>
      <c r="P147" s="664"/>
      <c r="Q147" s="664"/>
      <c r="R147" s="664"/>
      <c r="S147" s="664"/>
      <c r="T147" s="664"/>
      <c r="U147" s="664"/>
      <c r="V147" s="664"/>
      <c r="W147" s="664"/>
      <c r="X147" s="664"/>
      <c r="Y147" s="664"/>
      <c r="Z147" s="664"/>
      <c r="AA147" s="66"/>
      <c r="AB147" s="66"/>
      <c r="AC147" s="80"/>
    </row>
    <row r="148" spans="1:68" ht="16.5" hidden="1" customHeight="1" x14ac:dyDescent="0.25">
      <c r="A148" s="63" t="s">
        <v>269</v>
      </c>
      <c r="B148" s="63" t="s">
        <v>270</v>
      </c>
      <c r="C148" s="36">
        <v>4301051476</v>
      </c>
      <c r="D148" s="665">
        <v>4680115882584</v>
      </c>
      <c r="E148" s="665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263</v>
      </c>
      <c r="N148" s="38"/>
      <c r="O148" s="37">
        <v>60</v>
      </c>
      <c r="P148" s="8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67"/>
      <c r="R148" s="667"/>
      <c r="S148" s="667"/>
      <c r="T148" s="668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6" t="s">
        <v>262</v>
      </c>
      <c r="AG148" s="78"/>
      <c r="AJ148" s="84" t="s">
        <v>46</v>
      </c>
      <c r="AK148" s="84">
        <v>0</v>
      </c>
      <c r="BB148" s="227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269</v>
      </c>
      <c r="B149" s="63" t="s">
        <v>271</v>
      </c>
      <c r="C149" s="36">
        <v>4301051477</v>
      </c>
      <c r="D149" s="665">
        <v>4680115882584</v>
      </c>
      <c r="E149" s="665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263</v>
      </c>
      <c r="N149" s="38"/>
      <c r="O149" s="37">
        <v>60</v>
      </c>
      <c r="P149" s="88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67"/>
      <c r="R149" s="667"/>
      <c r="S149" s="667"/>
      <c r="T149" s="668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8" t="s">
        <v>262</v>
      </c>
      <c r="AG149" s="78"/>
      <c r="AJ149" s="84" t="s">
        <v>46</v>
      </c>
      <c r="AK149" s="84">
        <v>0</v>
      </c>
      <c r="BB149" s="229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61"/>
      <c r="B150" s="661"/>
      <c r="C150" s="661"/>
      <c r="D150" s="661"/>
      <c r="E150" s="661"/>
      <c r="F150" s="661"/>
      <c r="G150" s="661"/>
      <c r="H150" s="661"/>
      <c r="I150" s="661"/>
      <c r="J150" s="661"/>
      <c r="K150" s="661"/>
      <c r="L150" s="661"/>
      <c r="M150" s="661"/>
      <c r="N150" s="661"/>
      <c r="O150" s="662"/>
      <c r="P150" s="658" t="s">
        <v>40</v>
      </c>
      <c r="Q150" s="659"/>
      <c r="R150" s="659"/>
      <c r="S150" s="659"/>
      <c r="T150" s="659"/>
      <c r="U150" s="659"/>
      <c r="V150" s="660"/>
      <c r="W150" s="42" t="s">
        <v>39</v>
      </c>
      <c r="X150" s="43">
        <f>IFERROR(X148/H148,"0")+IFERROR(X149/H149,"0")</f>
        <v>0</v>
      </c>
      <c r="Y150" s="43">
        <f>IFERROR(Y148/H148,"0")+IFERROR(Y149/H149,"0")</f>
        <v>0</v>
      </c>
      <c r="Z150" s="43">
        <f>IFERROR(IF(Z148="",0,Z148),"0")+IFERROR(IF(Z149="",0,Z149),"0")</f>
        <v>0</v>
      </c>
      <c r="AA150" s="67"/>
      <c r="AB150" s="67"/>
      <c r="AC150" s="67"/>
    </row>
    <row r="151" spans="1:68" hidden="1" x14ac:dyDescent="0.2">
      <c r="A151" s="661"/>
      <c r="B151" s="661"/>
      <c r="C151" s="661"/>
      <c r="D151" s="661"/>
      <c r="E151" s="661"/>
      <c r="F151" s="661"/>
      <c r="G151" s="661"/>
      <c r="H151" s="661"/>
      <c r="I151" s="661"/>
      <c r="J151" s="661"/>
      <c r="K151" s="661"/>
      <c r="L151" s="661"/>
      <c r="M151" s="661"/>
      <c r="N151" s="661"/>
      <c r="O151" s="662"/>
      <c r="P151" s="658" t="s">
        <v>40</v>
      </c>
      <c r="Q151" s="659"/>
      <c r="R151" s="659"/>
      <c r="S151" s="659"/>
      <c r="T151" s="659"/>
      <c r="U151" s="659"/>
      <c r="V151" s="660"/>
      <c r="W151" s="42" t="s">
        <v>0</v>
      </c>
      <c r="X151" s="43">
        <f>IFERROR(SUM(X148:X149),"0")</f>
        <v>0</v>
      </c>
      <c r="Y151" s="43">
        <f>IFERROR(SUM(Y148:Y149),"0")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63" t="s">
        <v>272</v>
      </c>
      <c r="B152" s="663"/>
      <c r="C152" s="663"/>
      <c r="D152" s="663"/>
      <c r="E152" s="663"/>
      <c r="F152" s="663"/>
      <c r="G152" s="663"/>
      <c r="H152" s="663"/>
      <c r="I152" s="663"/>
      <c r="J152" s="663"/>
      <c r="K152" s="663"/>
      <c r="L152" s="663"/>
      <c r="M152" s="663"/>
      <c r="N152" s="663"/>
      <c r="O152" s="663"/>
      <c r="P152" s="663"/>
      <c r="Q152" s="663"/>
      <c r="R152" s="663"/>
      <c r="S152" s="663"/>
      <c r="T152" s="663"/>
      <c r="U152" s="663"/>
      <c r="V152" s="663"/>
      <c r="W152" s="663"/>
      <c r="X152" s="663"/>
      <c r="Y152" s="663"/>
      <c r="Z152" s="663"/>
      <c r="AA152" s="65"/>
      <c r="AB152" s="65"/>
      <c r="AC152" s="79"/>
    </row>
    <row r="153" spans="1:68" ht="14.25" hidden="1" customHeight="1" x14ac:dyDescent="0.25">
      <c r="A153" s="664" t="s">
        <v>85</v>
      </c>
      <c r="B153" s="664"/>
      <c r="C153" s="664"/>
      <c r="D153" s="664"/>
      <c r="E153" s="664"/>
      <c r="F153" s="664"/>
      <c r="G153" s="664"/>
      <c r="H153" s="664"/>
      <c r="I153" s="664"/>
      <c r="J153" s="664"/>
      <c r="K153" s="664"/>
      <c r="L153" s="664"/>
      <c r="M153" s="664"/>
      <c r="N153" s="664"/>
      <c r="O153" s="664"/>
      <c r="P153" s="664"/>
      <c r="Q153" s="664"/>
      <c r="R153" s="664"/>
      <c r="S153" s="664"/>
      <c r="T153" s="664"/>
      <c r="U153" s="664"/>
      <c r="V153" s="664"/>
      <c r="W153" s="664"/>
      <c r="X153" s="664"/>
      <c r="Y153" s="664"/>
      <c r="Z153" s="664"/>
      <c r="AA153" s="66"/>
      <c r="AB153" s="66"/>
      <c r="AC153" s="80"/>
    </row>
    <row r="154" spans="1:68" ht="27" hidden="1" customHeight="1" x14ac:dyDescent="0.25">
      <c r="A154" s="63" t="s">
        <v>273</v>
      </c>
      <c r="B154" s="63" t="s">
        <v>274</v>
      </c>
      <c r="C154" s="36">
        <v>4301052254</v>
      </c>
      <c r="D154" s="665">
        <v>4680115888203</v>
      </c>
      <c r="E154" s="665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8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67"/>
      <c r="R154" s="667"/>
      <c r="S154" s="667"/>
      <c r="T154" s="668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ref="Y154:Y160" si="20">IFERROR(IF(X154="",0,CEILING((X154/$H154),1)*$H154),"")</f>
        <v>0</v>
      </c>
      <c r="Z154" s="41" t="str">
        <f t="shared" ref="Z154:Z160" si="21">IFERROR(IF(Y154=0,"",ROUNDUP(Y154/H154,0)*0.00651),"")</f>
        <v/>
      </c>
      <c r="AA154" s="68" t="s">
        <v>46</v>
      </c>
      <c r="AB154" s="69" t="s">
        <v>46</v>
      </c>
      <c r="AC154" s="230" t="s">
        <v>275</v>
      </c>
      <c r="AG154" s="78"/>
      <c r="AJ154" s="84" t="s">
        <v>46</v>
      </c>
      <c r="AK154" s="84">
        <v>0</v>
      </c>
      <c r="BB154" s="231" t="s">
        <v>66</v>
      </c>
      <c r="BM154" s="78">
        <f t="shared" ref="BM154:BM160" si="22">IFERROR(X154*I154/H154,"0")</f>
        <v>0</v>
      </c>
      <c r="BN154" s="78">
        <f t="shared" ref="BN154:BN160" si="23">IFERROR(Y154*I154/H154,"0")</f>
        <v>0</v>
      </c>
      <c r="BO154" s="78">
        <f t="shared" ref="BO154:BO160" si="24">IFERROR(1/J154*(X154/H154),"0")</f>
        <v>0</v>
      </c>
      <c r="BP154" s="78">
        <f t="shared" ref="BP154:BP160" si="25">IFERROR(1/J154*(Y154/H154),"0")</f>
        <v>0</v>
      </c>
    </row>
    <row r="155" spans="1:68" ht="27" hidden="1" customHeight="1" x14ac:dyDescent="0.25">
      <c r="A155" s="63" t="s">
        <v>276</v>
      </c>
      <c r="B155" s="63" t="s">
        <v>277</v>
      </c>
      <c r="C155" s="36">
        <v>4301052172</v>
      </c>
      <c r="D155" s="665">
        <v>4680115888180</v>
      </c>
      <c r="E155" s="665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87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67"/>
      <c r="R155" s="667"/>
      <c r="S155" s="667"/>
      <c r="T155" s="668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20"/>
        <v>0</v>
      </c>
      <c r="Z155" s="41" t="str">
        <f t="shared" si="21"/>
        <v/>
      </c>
      <c r="AA155" s="68" t="s">
        <v>46</v>
      </c>
      <c r="AB155" s="69" t="s">
        <v>46</v>
      </c>
      <c r="AC155" s="232" t="s">
        <v>278</v>
      </c>
      <c r="AG155" s="78"/>
      <c r="AJ155" s="84" t="s">
        <v>46</v>
      </c>
      <c r="AK155" s="84">
        <v>0</v>
      </c>
      <c r="BB155" s="233" t="s">
        <v>66</v>
      </c>
      <c r="BM155" s="78">
        <f t="shared" si="22"/>
        <v>0</v>
      </c>
      <c r="BN155" s="78">
        <f t="shared" si="23"/>
        <v>0</v>
      </c>
      <c r="BO155" s="78">
        <f t="shared" si="24"/>
        <v>0</v>
      </c>
      <c r="BP155" s="78">
        <f t="shared" si="25"/>
        <v>0</v>
      </c>
    </row>
    <row r="156" spans="1:68" ht="27" hidden="1" customHeight="1" x14ac:dyDescent="0.25">
      <c r="A156" s="63" t="s">
        <v>276</v>
      </c>
      <c r="B156" s="63" t="s">
        <v>279</v>
      </c>
      <c r="C156" s="36">
        <v>4301052252</v>
      </c>
      <c r="D156" s="665">
        <v>4680115888180</v>
      </c>
      <c r="E156" s="665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88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6" s="667"/>
      <c r="R156" s="667"/>
      <c r="S156" s="667"/>
      <c r="T156" s="668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si="20"/>
        <v>0</v>
      </c>
      <c r="Z156" s="41" t="str">
        <f t="shared" si="21"/>
        <v/>
      </c>
      <c r="AA156" s="68" t="s">
        <v>46</v>
      </c>
      <c r="AB156" s="69" t="s">
        <v>46</v>
      </c>
      <c r="AC156" s="234" t="s">
        <v>278</v>
      </c>
      <c r="AG156" s="78"/>
      <c r="AJ156" s="84" t="s">
        <v>46</v>
      </c>
      <c r="AK156" s="84">
        <v>0</v>
      </c>
      <c r="BB156" s="235" t="s">
        <v>66</v>
      </c>
      <c r="BM156" s="78">
        <f t="shared" si="22"/>
        <v>0</v>
      </c>
      <c r="BN156" s="78">
        <f t="shared" si="23"/>
        <v>0</v>
      </c>
      <c r="BO156" s="78">
        <f t="shared" si="24"/>
        <v>0</v>
      </c>
      <c r="BP156" s="78">
        <f t="shared" si="25"/>
        <v>0</v>
      </c>
    </row>
    <row r="157" spans="1:68" ht="27" hidden="1" customHeight="1" x14ac:dyDescent="0.25">
      <c r="A157" s="63" t="s">
        <v>280</v>
      </c>
      <c r="B157" s="63" t="s">
        <v>281</v>
      </c>
      <c r="C157" s="36">
        <v>4301052173</v>
      </c>
      <c r="D157" s="665">
        <v>4680115888197</v>
      </c>
      <c r="E157" s="665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881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7" s="667"/>
      <c r="R157" s="667"/>
      <c r="S157" s="667"/>
      <c r="T157" s="668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0"/>
        <v>0</v>
      </c>
      <c r="Z157" s="41" t="str">
        <f t="shared" si="21"/>
        <v/>
      </c>
      <c r="AA157" s="68" t="s">
        <v>46</v>
      </c>
      <c r="AB157" s="69" t="s">
        <v>46</v>
      </c>
      <c r="AC157" s="236" t="s">
        <v>282</v>
      </c>
      <c r="AG157" s="78"/>
      <c r="AJ157" s="84" t="s">
        <v>46</v>
      </c>
      <c r="AK157" s="84">
        <v>0</v>
      </c>
      <c r="BB157" s="237" t="s">
        <v>66</v>
      </c>
      <c r="BM157" s="78">
        <f t="shared" si="22"/>
        <v>0</v>
      </c>
      <c r="BN157" s="78">
        <f t="shared" si="23"/>
        <v>0</v>
      </c>
      <c r="BO157" s="78">
        <f t="shared" si="24"/>
        <v>0</v>
      </c>
      <c r="BP157" s="78">
        <f t="shared" si="25"/>
        <v>0</v>
      </c>
    </row>
    <row r="158" spans="1:68" ht="27" hidden="1" customHeight="1" x14ac:dyDescent="0.25">
      <c r="A158" s="63" t="s">
        <v>280</v>
      </c>
      <c r="B158" s="63" t="s">
        <v>283</v>
      </c>
      <c r="C158" s="36">
        <v>4301052253</v>
      </c>
      <c r="D158" s="665">
        <v>4680115888197</v>
      </c>
      <c r="E158" s="665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90</v>
      </c>
      <c r="L158" s="37" t="s">
        <v>46</v>
      </c>
      <c r="M158" s="38" t="s">
        <v>96</v>
      </c>
      <c r="N158" s="38"/>
      <c r="O158" s="37">
        <v>40</v>
      </c>
      <c r="P158" s="882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8" s="667"/>
      <c r="R158" s="667"/>
      <c r="S158" s="667"/>
      <c r="T158" s="668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0"/>
        <v>0</v>
      </c>
      <c r="Z158" s="41" t="str">
        <f t="shared" si="21"/>
        <v/>
      </c>
      <c r="AA158" s="68" t="s">
        <v>46</v>
      </c>
      <c r="AB158" s="69" t="s">
        <v>46</v>
      </c>
      <c r="AC158" s="238" t="s">
        <v>282</v>
      </c>
      <c r="AG158" s="78"/>
      <c r="AJ158" s="84" t="s">
        <v>46</v>
      </c>
      <c r="AK158" s="84">
        <v>0</v>
      </c>
      <c r="BB158" s="239" t="s">
        <v>66</v>
      </c>
      <c r="BM158" s="78">
        <f t="shared" si="22"/>
        <v>0</v>
      </c>
      <c r="BN158" s="78">
        <f t="shared" si="23"/>
        <v>0</v>
      </c>
      <c r="BO158" s="78">
        <f t="shared" si="24"/>
        <v>0</v>
      </c>
      <c r="BP158" s="78">
        <f t="shared" si="25"/>
        <v>0</v>
      </c>
    </row>
    <row r="159" spans="1:68" ht="27" hidden="1" customHeight="1" x14ac:dyDescent="0.25">
      <c r="A159" s="63" t="s">
        <v>284</v>
      </c>
      <c r="B159" s="63" t="s">
        <v>285</v>
      </c>
      <c r="C159" s="36">
        <v>4301052175</v>
      </c>
      <c r="D159" s="665">
        <v>4680115888210</v>
      </c>
      <c r="E159" s="665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90</v>
      </c>
      <c r="L159" s="37" t="s">
        <v>46</v>
      </c>
      <c r="M159" s="38" t="s">
        <v>96</v>
      </c>
      <c r="N159" s="38"/>
      <c r="O159" s="37">
        <v>40</v>
      </c>
      <c r="P159" s="88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9" s="667"/>
      <c r="R159" s="667"/>
      <c r="S159" s="667"/>
      <c r="T159" s="668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0"/>
        <v>0</v>
      </c>
      <c r="Z159" s="41" t="str">
        <f t="shared" si="21"/>
        <v/>
      </c>
      <c r="AA159" s="68" t="s">
        <v>46</v>
      </c>
      <c r="AB159" s="69" t="s">
        <v>46</v>
      </c>
      <c r="AC159" s="240" t="s">
        <v>286</v>
      </c>
      <c r="AG159" s="78"/>
      <c r="AJ159" s="84" t="s">
        <v>46</v>
      </c>
      <c r="AK159" s="84">
        <v>0</v>
      </c>
      <c r="BB159" s="241" t="s">
        <v>66</v>
      </c>
      <c r="BM159" s="78">
        <f t="shared" si="22"/>
        <v>0</v>
      </c>
      <c r="BN159" s="78">
        <f t="shared" si="23"/>
        <v>0</v>
      </c>
      <c r="BO159" s="78">
        <f t="shared" si="24"/>
        <v>0</v>
      </c>
      <c r="BP159" s="78">
        <f t="shared" si="25"/>
        <v>0</v>
      </c>
    </row>
    <row r="160" spans="1:68" ht="27" hidden="1" customHeight="1" x14ac:dyDescent="0.25">
      <c r="A160" s="63" t="s">
        <v>284</v>
      </c>
      <c r="B160" s="63" t="s">
        <v>287</v>
      </c>
      <c r="C160" s="36">
        <v>4301052255</v>
      </c>
      <c r="D160" s="665">
        <v>4680115888210</v>
      </c>
      <c r="E160" s="665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90</v>
      </c>
      <c r="L160" s="37" t="s">
        <v>46</v>
      </c>
      <c r="M160" s="38" t="s">
        <v>96</v>
      </c>
      <c r="N160" s="38"/>
      <c r="O160" s="37">
        <v>40</v>
      </c>
      <c r="P160" s="8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0" s="667"/>
      <c r="R160" s="667"/>
      <c r="S160" s="667"/>
      <c r="T160" s="668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0"/>
        <v>0</v>
      </c>
      <c r="Z160" s="41" t="str">
        <f t="shared" si="21"/>
        <v/>
      </c>
      <c r="AA160" s="68" t="s">
        <v>46</v>
      </c>
      <c r="AB160" s="69" t="s">
        <v>46</v>
      </c>
      <c r="AC160" s="242" t="s">
        <v>286</v>
      </c>
      <c r="AG160" s="78"/>
      <c r="AJ160" s="84" t="s">
        <v>46</v>
      </c>
      <c r="AK160" s="84">
        <v>0</v>
      </c>
      <c r="BB160" s="243" t="s">
        <v>66</v>
      </c>
      <c r="BM160" s="78">
        <f t="shared" si="22"/>
        <v>0</v>
      </c>
      <c r="BN160" s="78">
        <f t="shared" si="23"/>
        <v>0</v>
      </c>
      <c r="BO160" s="78">
        <f t="shared" si="24"/>
        <v>0</v>
      </c>
      <c r="BP160" s="78">
        <f t="shared" si="25"/>
        <v>0</v>
      </c>
    </row>
    <row r="161" spans="1:68" hidden="1" x14ac:dyDescent="0.2">
      <c r="A161" s="661"/>
      <c r="B161" s="661"/>
      <c r="C161" s="661"/>
      <c r="D161" s="661"/>
      <c r="E161" s="661"/>
      <c r="F161" s="661"/>
      <c r="G161" s="661"/>
      <c r="H161" s="661"/>
      <c r="I161" s="661"/>
      <c r="J161" s="661"/>
      <c r="K161" s="661"/>
      <c r="L161" s="661"/>
      <c r="M161" s="661"/>
      <c r="N161" s="661"/>
      <c r="O161" s="662"/>
      <c r="P161" s="658" t="s">
        <v>40</v>
      </c>
      <c r="Q161" s="659"/>
      <c r="R161" s="659"/>
      <c r="S161" s="659"/>
      <c r="T161" s="659"/>
      <c r="U161" s="659"/>
      <c r="V161" s="660"/>
      <c r="W161" s="42" t="s">
        <v>39</v>
      </c>
      <c r="X161" s="43">
        <f>IFERROR(X154/H154,"0")+IFERROR(X155/H155,"0")+IFERROR(X156/H156,"0")+IFERROR(X157/H157,"0")+IFERROR(X158/H158,"0")+IFERROR(X159/H159,"0")+IFERROR(X160/H160,"0")</f>
        <v>0</v>
      </c>
      <c r="Y161" s="43">
        <f>IFERROR(Y154/H154,"0")+IFERROR(Y155/H155,"0")+IFERROR(Y156/H156,"0")+IFERROR(Y157/H157,"0")+IFERROR(Y158/H158,"0")+IFERROR(Y159/H159,"0")+IFERROR(Y160/H160,"0")</f>
        <v>0</v>
      </c>
      <c r="Z161" s="43">
        <f>IFERROR(IF(Z154="",0,Z154),"0")+IFERROR(IF(Z155="",0,Z155),"0")+IFERROR(IF(Z156="",0,Z156),"0")+IFERROR(IF(Z157="",0,Z157),"0")+IFERROR(IF(Z158="",0,Z158),"0")+IFERROR(IF(Z159="",0,Z159),"0")+IFERROR(IF(Z160="",0,Z160),"0")</f>
        <v>0</v>
      </c>
      <c r="AA161" s="67"/>
      <c r="AB161" s="67"/>
      <c r="AC161" s="67"/>
    </row>
    <row r="162" spans="1:68" hidden="1" x14ac:dyDescent="0.2">
      <c r="A162" s="661"/>
      <c r="B162" s="661"/>
      <c r="C162" s="661"/>
      <c r="D162" s="661"/>
      <c r="E162" s="661"/>
      <c r="F162" s="661"/>
      <c r="G162" s="661"/>
      <c r="H162" s="661"/>
      <c r="I162" s="661"/>
      <c r="J162" s="661"/>
      <c r="K162" s="661"/>
      <c r="L162" s="661"/>
      <c r="M162" s="661"/>
      <c r="N162" s="661"/>
      <c r="O162" s="662"/>
      <c r="P162" s="658" t="s">
        <v>40</v>
      </c>
      <c r="Q162" s="659"/>
      <c r="R162" s="659"/>
      <c r="S162" s="659"/>
      <c r="T162" s="659"/>
      <c r="U162" s="659"/>
      <c r="V162" s="660"/>
      <c r="W162" s="42" t="s">
        <v>0</v>
      </c>
      <c r="X162" s="43">
        <f>IFERROR(SUM(X154:X160),"0")</f>
        <v>0</v>
      </c>
      <c r="Y162" s="43">
        <f>IFERROR(SUM(Y154:Y160),"0")</f>
        <v>0</v>
      </c>
      <c r="Z162" s="42"/>
      <c r="AA162" s="67"/>
      <c r="AB162" s="67"/>
      <c r="AC162" s="67"/>
    </row>
    <row r="163" spans="1:68" ht="14.25" hidden="1" customHeight="1" x14ac:dyDescent="0.25">
      <c r="A163" s="664" t="s">
        <v>288</v>
      </c>
      <c r="B163" s="664"/>
      <c r="C163" s="664"/>
      <c r="D163" s="664"/>
      <c r="E163" s="664"/>
      <c r="F163" s="664"/>
      <c r="G163" s="664"/>
      <c r="H163" s="664"/>
      <c r="I163" s="664"/>
      <c r="J163" s="664"/>
      <c r="K163" s="664"/>
      <c r="L163" s="664"/>
      <c r="M163" s="664"/>
      <c r="N163" s="664"/>
      <c r="O163" s="664"/>
      <c r="P163" s="664"/>
      <c r="Q163" s="664"/>
      <c r="R163" s="664"/>
      <c r="S163" s="664"/>
      <c r="T163" s="664"/>
      <c r="U163" s="664"/>
      <c r="V163" s="664"/>
      <c r="W163" s="664"/>
      <c r="X163" s="664"/>
      <c r="Y163" s="664"/>
      <c r="Z163" s="664"/>
      <c r="AA163" s="66"/>
      <c r="AB163" s="66"/>
      <c r="AC163" s="80"/>
    </row>
    <row r="164" spans="1:68" ht="27" hidden="1" customHeight="1" x14ac:dyDescent="0.25">
      <c r="A164" s="63" t="s">
        <v>289</v>
      </c>
      <c r="B164" s="63" t="s">
        <v>290</v>
      </c>
      <c r="C164" s="36">
        <v>4301032067</v>
      </c>
      <c r="D164" s="665">
        <v>4680115889132</v>
      </c>
      <c r="E164" s="665"/>
      <c r="F164" s="62">
        <v>0.04</v>
      </c>
      <c r="G164" s="37">
        <v>8</v>
      </c>
      <c r="H164" s="62">
        <v>0.32</v>
      </c>
      <c r="I164" s="62">
        <v>0.5</v>
      </c>
      <c r="J164" s="37">
        <v>330</v>
      </c>
      <c r="K164" s="37" t="s">
        <v>294</v>
      </c>
      <c r="L164" s="37" t="s">
        <v>46</v>
      </c>
      <c r="M164" s="38" t="s">
        <v>293</v>
      </c>
      <c r="N164" s="38"/>
      <c r="O164" s="37">
        <v>120</v>
      </c>
      <c r="P164" s="87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4" s="667"/>
      <c r="R164" s="667"/>
      <c r="S164" s="667"/>
      <c r="T164" s="668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IFERROR(IF(Y164=0,"",ROUNDUP(Y164/H164,0)*0.00337),"")</f>
        <v/>
      </c>
      <c r="AA164" s="68" t="s">
        <v>46</v>
      </c>
      <c r="AB164" s="69" t="s">
        <v>46</v>
      </c>
      <c r="AC164" s="244" t="s">
        <v>291</v>
      </c>
      <c r="AG164" s="78"/>
      <c r="AJ164" s="84" t="s">
        <v>46</v>
      </c>
      <c r="AK164" s="84">
        <v>0</v>
      </c>
      <c r="BB164" s="245" t="s">
        <v>292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661"/>
      <c r="B165" s="661"/>
      <c r="C165" s="661"/>
      <c r="D165" s="661"/>
      <c r="E165" s="661"/>
      <c r="F165" s="661"/>
      <c r="G165" s="661"/>
      <c r="H165" s="661"/>
      <c r="I165" s="661"/>
      <c r="J165" s="661"/>
      <c r="K165" s="661"/>
      <c r="L165" s="661"/>
      <c r="M165" s="661"/>
      <c r="N165" s="661"/>
      <c r="O165" s="662"/>
      <c r="P165" s="658" t="s">
        <v>40</v>
      </c>
      <c r="Q165" s="659"/>
      <c r="R165" s="659"/>
      <c r="S165" s="659"/>
      <c r="T165" s="659"/>
      <c r="U165" s="659"/>
      <c r="V165" s="660"/>
      <c r="W165" s="42" t="s">
        <v>39</v>
      </c>
      <c r="X165" s="43">
        <f>IFERROR(X164/H164,"0")</f>
        <v>0</v>
      </c>
      <c r="Y165" s="43">
        <f>IFERROR(Y164/H164,"0")</f>
        <v>0</v>
      </c>
      <c r="Z165" s="43">
        <f>IFERROR(IF(Z164="",0,Z164),"0")</f>
        <v>0</v>
      </c>
      <c r="AA165" s="67"/>
      <c r="AB165" s="67"/>
      <c r="AC165" s="67"/>
    </row>
    <row r="166" spans="1:68" hidden="1" x14ac:dyDescent="0.2">
      <c r="A166" s="661"/>
      <c r="B166" s="661"/>
      <c r="C166" s="661"/>
      <c r="D166" s="661"/>
      <c r="E166" s="661"/>
      <c r="F166" s="661"/>
      <c r="G166" s="661"/>
      <c r="H166" s="661"/>
      <c r="I166" s="661"/>
      <c r="J166" s="661"/>
      <c r="K166" s="661"/>
      <c r="L166" s="661"/>
      <c r="M166" s="661"/>
      <c r="N166" s="661"/>
      <c r="O166" s="662"/>
      <c r="P166" s="658" t="s">
        <v>40</v>
      </c>
      <c r="Q166" s="659"/>
      <c r="R166" s="659"/>
      <c r="S166" s="659"/>
      <c r="T166" s="659"/>
      <c r="U166" s="659"/>
      <c r="V166" s="660"/>
      <c r="W166" s="42" t="s">
        <v>0</v>
      </c>
      <c r="X166" s="43">
        <f>IFERROR(SUM(X164:X164),"0")</f>
        <v>0</v>
      </c>
      <c r="Y166" s="43">
        <f>IFERROR(SUM(Y164:Y164),"0")</f>
        <v>0</v>
      </c>
      <c r="Z166" s="42"/>
      <c r="AA166" s="67"/>
      <c r="AB166" s="67"/>
      <c r="AC166" s="67"/>
    </row>
    <row r="167" spans="1:68" ht="16.5" hidden="1" customHeight="1" x14ac:dyDescent="0.25">
      <c r="A167" s="663" t="s">
        <v>119</v>
      </c>
      <c r="B167" s="663"/>
      <c r="C167" s="663"/>
      <c r="D167" s="663"/>
      <c r="E167" s="663"/>
      <c r="F167" s="663"/>
      <c r="G167" s="663"/>
      <c r="H167" s="663"/>
      <c r="I167" s="663"/>
      <c r="J167" s="663"/>
      <c r="K167" s="663"/>
      <c r="L167" s="663"/>
      <c r="M167" s="663"/>
      <c r="N167" s="663"/>
      <c r="O167" s="663"/>
      <c r="P167" s="663"/>
      <c r="Q167" s="663"/>
      <c r="R167" s="663"/>
      <c r="S167" s="663"/>
      <c r="T167" s="663"/>
      <c r="U167" s="663"/>
      <c r="V167" s="663"/>
      <c r="W167" s="663"/>
      <c r="X167" s="663"/>
      <c r="Y167" s="663"/>
      <c r="Z167" s="663"/>
      <c r="AA167" s="65"/>
      <c r="AB167" s="65"/>
      <c r="AC167" s="79"/>
    </row>
    <row r="168" spans="1:68" ht="14.25" hidden="1" customHeight="1" x14ac:dyDescent="0.25">
      <c r="A168" s="664" t="s">
        <v>121</v>
      </c>
      <c r="B168" s="664"/>
      <c r="C168" s="664"/>
      <c r="D168" s="664"/>
      <c r="E168" s="664"/>
      <c r="F168" s="664"/>
      <c r="G168" s="664"/>
      <c r="H168" s="664"/>
      <c r="I168" s="664"/>
      <c r="J168" s="664"/>
      <c r="K168" s="664"/>
      <c r="L168" s="664"/>
      <c r="M168" s="664"/>
      <c r="N168" s="664"/>
      <c r="O168" s="664"/>
      <c r="P168" s="664"/>
      <c r="Q168" s="664"/>
      <c r="R168" s="664"/>
      <c r="S168" s="664"/>
      <c r="T168" s="664"/>
      <c r="U168" s="664"/>
      <c r="V168" s="664"/>
      <c r="W168" s="664"/>
      <c r="X168" s="664"/>
      <c r="Y168" s="664"/>
      <c r="Z168" s="664"/>
      <c r="AA168" s="66"/>
      <c r="AB168" s="66"/>
      <c r="AC168" s="80"/>
    </row>
    <row r="169" spans="1:68" ht="27" hidden="1" customHeight="1" x14ac:dyDescent="0.25">
      <c r="A169" s="63" t="s">
        <v>295</v>
      </c>
      <c r="B169" s="63" t="s">
        <v>296</v>
      </c>
      <c r="C169" s="36">
        <v>4301012338</v>
      </c>
      <c r="D169" s="665">
        <v>4680115887374</v>
      </c>
      <c r="E169" s="665"/>
      <c r="F169" s="62">
        <v>1</v>
      </c>
      <c r="G169" s="37">
        <v>6</v>
      </c>
      <c r="H169" s="62">
        <v>6</v>
      </c>
      <c r="I169" s="62">
        <v>6.35</v>
      </c>
      <c r="J169" s="37">
        <v>104</v>
      </c>
      <c r="K169" s="37" t="s">
        <v>126</v>
      </c>
      <c r="L169" s="37" t="s">
        <v>46</v>
      </c>
      <c r="M169" s="38" t="s">
        <v>125</v>
      </c>
      <c r="N169" s="38"/>
      <c r="O169" s="37">
        <v>55</v>
      </c>
      <c r="P169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9" s="667"/>
      <c r="R169" s="667"/>
      <c r="S169" s="667"/>
      <c r="T169" s="668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IFERROR(IF(Y169=0,"",ROUNDUP(Y169/H169,0)*0.01196),"")</f>
        <v/>
      </c>
      <c r="AA169" s="68" t="s">
        <v>46</v>
      </c>
      <c r="AB169" s="69" t="s">
        <v>46</v>
      </c>
      <c r="AC169" s="246" t="s">
        <v>297</v>
      </c>
      <c r="AG169" s="78"/>
      <c r="AJ169" s="84" t="s">
        <v>46</v>
      </c>
      <c r="AK169" s="84">
        <v>0</v>
      </c>
      <c r="BB169" s="247" t="s">
        <v>66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27" hidden="1" customHeight="1" x14ac:dyDescent="0.25">
      <c r="A170" s="63" t="s">
        <v>298</v>
      </c>
      <c r="B170" s="63" t="s">
        <v>299</v>
      </c>
      <c r="C170" s="36">
        <v>4301011705</v>
      </c>
      <c r="D170" s="665">
        <v>4607091384604</v>
      </c>
      <c r="E170" s="665"/>
      <c r="F170" s="62">
        <v>0.4</v>
      </c>
      <c r="G170" s="37">
        <v>10</v>
      </c>
      <c r="H170" s="62">
        <v>4</v>
      </c>
      <c r="I170" s="62">
        <v>4.1900000000000004</v>
      </c>
      <c r="J170" s="37">
        <v>132</v>
      </c>
      <c r="K170" s="37" t="s">
        <v>133</v>
      </c>
      <c r="L170" s="37" t="s">
        <v>46</v>
      </c>
      <c r="M170" s="38" t="s">
        <v>125</v>
      </c>
      <c r="N170" s="38"/>
      <c r="O170" s="37">
        <v>50</v>
      </c>
      <c r="P170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0" s="667"/>
      <c r="R170" s="667"/>
      <c r="S170" s="667"/>
      <c r="T170" s="668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IFERROR(IF(Y170=0,"",ROUNDUP(Y170/H170,0)*0.00902),"")</f>
        <v/>
      </c>
      <c r="AA170" s="68" t="s">
        <v>46</v>
      </c>
      <c r="AB170" s="69" t="s">
        <v>46</v>
      </c>
      <c r="AC170" s="248" t="s">
        <v>300</v>
      </c>
      <c r="AG170" s="78"/>
      <c r="AJ170" s="84" t="s">
        <v>46</v>
      </c>
      <c r="AK170" s="84">
        <v>0</v>
      </c>
      <c r="BB170" s="249" t="s">
        <v>66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16.5" hidden="1" customHeight="1" x14ac:dyDescent="0.25">
      <c r="A171" s="63" t="s">
        <v>301</v>
      </c>
      <c r="B171" s="63" t="s">
        <v>302</v>
      </c>
      <c r="C171" s="36">
        <v>4301012344</v>
      </c>
      <c r="D171" s="665">
        <v>4680115888876</v>
      </c>
      <c r="E171" s="665"/>
      <c r="F171" s="62">
        <v>0.43</v>
      </c>
      <c r="G171" s="37">
        <v>6</v>
      </c>
      <c r="H171" s="62">
        <v>2.58</v>
      </c>
      <c r="I171" s="62">
        <v>2.76</v>
      </c>
      <c r="J171" s="37">
        <v>182</v>
      </c>
      <c r="K171" s="37" t="s">
        <v>90</v>
      </c>
      <c r="L171" s="37" t="s">
        <v>46</v>
      </c>
      <c r="M171" s="38" t="s">
        <v>89</v>
      </c>
      <c r="N171" s="38"/>
      <c r="O171" s="37">
        <v>55</v>
      </c>
      <c r="P171" s="8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1" s="667"/>
      <c r="R171" s="667"/>
      <c r="S171" s="667"/>
      <c r="T171" s="668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IFERROR(IF(Y171=0,"",ROUNDUP(Y171/H171,0)*0.00651),"")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66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idden="1" x14ac:dyDescent="0.2">
      <c r="A172" s="661"/>
      <c r="B172" s="661"/>
      <c r="C172" s="661"/>
      <c r="D172" s="661"/>
      <c r="E172" s="661"/>
      <c r="F172" s="661"/>
      <c r="G172" s="661"/>
      <c r="H172" s="661"/>
      <c r="I172" s="661"/>
      <c r="J172" s="661"/>
      <c r="K172" s="661"/>
      <c r="L172" s="661"/>
      <c r="M172" s="661"/>
      <c r="N172" s="661"/>
      <c r="O172" s="662"/>
      <c r="P172" s="658" t="s">
        <v>40</v>
      </c>
      <c r="Q172" s="659"/>
      <c r="R172" s="659"/>
      <c r="S172" s="659"/>
      <c r="T172" s="659"/>
      <c r="U172" s="659"/>
      <c r="V172" s="660"/>
      <c r="W172" s="42" t="s">
        <v>39</v>
      </c>
      <c r="X172" s="43">
        <f>IFERROR(X169/H169,"0")+IFERROR(X170/H170,"0")+IFERROR(X171/H171,"0")</f>
        <v>0</v>
      </c>
      <c r="Y172" s="43">
        <f>IFERROR(Y169/H169,"0")+IFERROR(Y170/H170,"0")+IFERROR(Y171/H171,"0")</f>
        <v>0</v>
      </c>
      <c r="Z172" s="43">
        <f>IFERROR(IF(Z169="",0,Z169),"0")+IFERROR(IF(Z170="",0,Z170),"0")+IFERROR(IF(Z171="",0,Z171),"0")</f>
        <v>0</v>
      </c>
      <c r="AA172" s="67"/>
      <c r="AB172" s="67"/>
      <c r="AC172" s="67"/>
    </row>
    <row r="173" spans="1:68" hidden="1" x14ac:dyDescent="0.2">
      <c r="A173" s="661"/>
      <c r="B173" s="661"/>
      <c r="C173" s="661"/>
      <c r="D173" s="661"/>
      <c r="E173" s="661"/>
      <c r="F173" s="661"/>
      <c r="G173" s="661"/>
      <c r="H173" s="661"/>
      <c r="I173" s="661"/>
      <c r="J173" s="661"/>
      <c r="K173" s="661"/>
      <c r="L173" s="661"/>
      <c r="M173" s="661"/>
      <c r="N173" s="661"/>
      <c r="O173" s="662"/>
      <c r="P173" s="658" t="s">
        <v>40</v>
      </c>
      <c r="Q173" s="659"/>
      <c r="R173" s="659"/>
      <c r="S173" s="659"/>
      <c r="T173" s="659"/>
      <c r="U173" s="659"/>
      <c r="V173" s="660"/>
      <c r="W173" s="42" t="s">
        <v>0</v>
      </c>
      <c r="X173" s="43">
        <f>IFERROR(SUM(X169:X171),"0")</f>
        <v>0</v>
      </c>
      <c r="Y173" s="43">
        <f>IFERROR(SUM(Y169:Y171),"0")</f>
        <v>0</v>
      </c>
      <c r="Z173" s="42"/>
      <c r="AA173" s="67"/>
      <c r="AB173" s="67"/>
      <c r="AC173" s="67"/>
    </row>
    <row r="174" spans="1:68" ht="14.25" hidden="1" customHeight="1" x14ac:dyDescent="0.25">
      <c r="A174" s="664" t="s">
        <v>154</v>
      </c>
      <c r="B174" s="664"/>
      <c r="C174" s="664"/>
      <c r="D174" s="664"/>
      <c r="E174" s="664"/>
      <c r="F174" s="664"/>
      <c r="G174" s="664"/>
      <c r="H174" s="664"/>
      <c r="I174" s="664"/>
      <c r="J174" s="664"/>
      <c r="K174" s="664"/>
      <c r="L174" s="664"/>
      <c r="M174" s="664"/>
      <c r="N174" s="664"/>
      <c r="O174" s="664"/>
      <c r="P174" s="664"/>
      <c r="Q174" s="664"/>
      <c r="R174" s="664"/>
      <c r="S174" s="664"/>
      <c r="T174" s="664"/>
      <c r="U174" s="664"/>
      <c r="V174" s="664"/>
      <c r="W174" s="664"/>
      <c r="X174" s="664"/>
      <c r="Y174" s="664"/>
      <c r="Z174" s="664"/>
      <c r="AA174" s="66"/>
      <c r="AB174" s="66"/>
      <c r="AC174" s="80"/>
    </row>
    <row r="175" spans="1:68" ht="16.5" hidden="1" customHeight="1" x14ac:dyDescent="0.25">
      <c r="A175" s="63" t="s">
        <v>304</v>
      </c>
      <c r="B175" s="63" t="s">
        <v>305</v>
      </c>
      <c r="C175" s="36">
        <v>4301020410</v>
      </c>
      <c r="D175" s="665">
        <v>4680115887695</v>
      </c>
      <c r="E175" s="665"/>
      <c r="F175" s="62">
        <v>0.12</v>
      </c>
      <c r="G175" s="37">
        <v>6</v>
      </c>
      <c r="H175" s="62">
        <v>0.72</v>
      </c>
      <c r="I175" s="62">
        <v>0.85</v>
      </c>
      <c r="J175" s="37">
        <v>252</v>
      </c>
      <c r="K175" s="37" t="s">
        <v>81</v>
      </c>
      <c r="L175" s="37" t="s">
        <v>46</v>
      </c>
      <c r="M175" s="38" t="s">
        <v>80</v>
      </c>
      <c r="N175" s="38"/>
      <c r="O175" s="37">
        <v>30</v>
      </c>
      <c r="P175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5" s="667"/>
      <c r="R175" s="667"/>
      <c r="S175" s="667"/>
      <c r="T175" s="668"/>
      <c r="U175" s="39" t="s">
        <v>46</v>
      </c>
      <c r="V175" s="39" t="s">
        <v>46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IFERROR(IF(Y175=0,"",ROUNDUP(Y175/H175,0)*0.00556),"")</f>
        <v/>
      </c>
      <c r="AA175" s="68" t="s">
        <v>46</v>
      </c>
      <c r="AB175" s="69" t="s">
        <v>46</v>
      </c>
      <c r="AC175" s="252" t="s">
        <v>306</v>
      </c>
      <c r="AG175" s="78"/>
      <c r="AJ175" s="84" t="s">
        <v>46</v>
      </c>
      <c r="AK175" s="84">
        <v>0</v>
      </c>
      <c r="BB175" s="253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16.5" hidden="1" customHeight="1" x14ac:dyDescent="0.25">
      <c r="A176" s="63" t="s">
        <v>307</v>
      </c>
      <c r="B176" s="63" t="s">
        <v>308</v>
      </c>
      <c r="C176" s="36">
        <v>4301020439</v>
      </c>
      <c r="D176" s="665">
        <v>4680115889491</v>
      </c>
      <c r="E176" s="665"/>
      <c r="F176" s="62">
        <v>0.3</v>
      </c>
      <c r="G176" s="37">
        <v>8</v>
      </c>
      <c r="H176" s="62">
        <v>2.4</v>
      </c>
      <c r="I176" s="62">
        <v>2.5</v>
      </c>
      <c r="J176" s="37">
        <v>234</v>
      </c>
      <c r="K176" s="37" t="s">
        <v>81</v>
      </c>
      <c r="L176" s="37" t="s">
        <v>46</v>
      </c>
      <c r="M176" s="38" t="s">
        <v>125</v>
      </c>
      <c r="N176" s="38"/>
      <c r="O176" s="37">
        <v>55</v>
      </c>
      <c r="P176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6" s="667"/>
      <c r="R176" s="667"/>
      <c r="S176" s="667"/>
      <c r="T176" s="668"/>
      <c r="U176" s="39" t="s">
        <v>46</v>
      </c>
      <c r="V176" s="39" t="s">
        <v>46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54" t="s">
        <v>309</v>
      </c>
      <c r="AG176" s="78"/>
      <c r="AJ176" s="84" t="s">
        <v>46</v>
      </c>
      <c r="AK176" s="84">
        <v>0</v>
      </c>
      <c r="BB176" s="255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hidden="1" x14ac:dyDescent="0.2">
      <c r="A177" s="661"/>
      <c r="B177" s="661"/>
      <c r="C177" s="661"/>
      <c r="D177" s="661"/>
      <c r="E177" s="661"/>
      <c r="F177" s="661"/>
      <c r="G177" s="661"/>
      <c r="H177" s="661"/>
      <c r="I177" s="661"/>
      <c r="J177" s="661"/>
      <c r="K177" s="661"/>
      <c r="L177" s="661"/>
      <c r="M177" s="661"/>
      <c r="N177" s="661"/>
      <c r="O177" s="662"/>
      <c r="P177" s="658" t="s">
        <v>40</v>
      </c>
      <c r="Q177" s="659"/>
      <c r="R177" s="659"/>
      <c r="S177" s="659"/>
      <c r="T177" s="659"/>
      <c r="U177" s="659"/>
      <c r="V177" s="660"/>
      <c r="W177" s="42" t="s">
        <v>39</v>
      </c>
      <c r="X177" s="43">
        <f>IFERROR(X175/H175,"0")+IFERROR(X176/H176,"0")</f>
        <v>0</v>
      </c>
      <c r="Y177" s="43">
        <f>IFERROR(Y175/H175,"0")+IFERROR(Y176/H176,"0")</f>
        <v>0</v>
      </c>
      <c r="Z177" s="43">
        <f>IFERROR(IF(Z175="",0,Z175),"0")+IFERROR(IF(Z176="",0,Z176),"0")</f>
        <v>0</v>
      </c>
      <c r="AA177" s="67"/>
      <c r="AB177" s="67"/>
      <c r="AC177" s="67"/>
    </row>
    <row r="178" spans="1:68" hidden="1" x14ac:dyDescent="0.2">
      <c r="A178" s="661"/>
      <c r="B178" s="661"/>
      <c r="C178" s="661"/>
      <c r="D178" s="661"/>
      <c r="E178" s="661"/>
      <c r="F178" s="661"/>
      <c r="G178" s="661"/>
      <c r="H178" s="661"/>
      <c r="I178" s="661"/>
      <c r="J178" s="661"/>
      <c r="K178" s="661"/>
      <c r="L178" s="661"/>
      <c r="M178" s="661"/>
      <c r="N178" s="661"/>
      <c r="O178" s="662"/>
      <c r="P178" s="658" t="s">
        <v>40</v>
      </c>
      <c r="Q178" s="659"/>
      <c r="R178" s="659"/>
      <c r="S178" s="659"/>
      <c r="T178" s="659"/>
      <c r="U178" s="659"/>
      <c r="V178" s="660"/>
      <c r="W178" s="42" t="s">
        <v>0</v>
      </c>
      <c r="X178" s="43">
        <f>IFERROR(SUM(X175:X176),"0")</f>
        <v>0</v>
      </c>
      <c r="Y178" s="43">
        <f>IFERROR(SUM(Y175:Y176),"0")</f>
        <v>0</v>
      </c>
      <c r="Z178" s="42"/>
      <c r="AA178" s="67"/>
      <c r="AB178" s="67"/>
      <c r="AC178" s="67"/>
    </row>
    <row r="179" spans="1:68" ht="14.25" hidden="1" customHeight="1" x14ac:dyDescent="0.25">
      <c r="A179" s="664" t="s">
        <v>76</v>
      </c>
      <c r="B179" s="664"/>
      <c r="C179" s="664"/>
      <c r="D179" s="664"/>
      <c r="E179" s="664"/>
      <c r="F179" s="664"/>
      <c r="G179" s="664"/>
      <c r="H179" s="664"/>
      <c r="I179" s="664"/>
      <c r="J179" s="664"/>
      <c r="K179" s="664"/>
      <c r="L179" s="664"/>
      <c r="M179" s="664"/>
      <c r="N179" s="664"/>
      <c r="O179" s="664"/>
      <c r="P179" s="664"/>
      <c r="Q179" s="664"/>
      <c r="R179" s="664"/>
      <c r="S179" s="664"/>
      <c r="T179" s="664"/>
      <c r="U179" s="664"/>
      <c r="V179" s="664"/>
      <c r="W179" s="664"/>
      <c r="X179" s="664"/>
      <c r="Y179" s="664"/>
      <c r="Z179" s="664"/>
      <c r="AA179" s="66"/>
      <c r="AB179" s="66"/>
      <c r="AC179" s="80"/>
    </row>
    <row r="180" spans="1:68" ht="27" hidden="1" customHeight="1" x14ac:dyDescent="0.25">
      <c r="A180" s="63" t="s">
        <v>310</v>
      </c>
      <c r="B180" s="63" t="s">
        <v>311</v>
      </c>
      <c r="C180" s="36">
        <v>4301031496</v>
      </c>
      <c r="D180" s="665">
        <v>4680115887428</v>
      </c>
      <c r="E180" s="665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133</v>
      </c>
      <c r="L180" s="37" t="s">
        <v>46</v>
      </c>
      <c r="M180" s="38" t="s">
        <v>80</v>
      </c>
      <c r="N180" s="38"/>
      <c r="O180" s="37">
        <v>40</v>
      </c>
      <c r="P180" s="87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0" s="667"/>
      <c r="R180" s="667"/>
      <c r="S180" s="667"/>
      <c r="T180" s="668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ref="Y180:Y191" si="26">IFERROR(IF(X180="",0,CEILING((X180/$H180),1)*$H180),"")</f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6" t="s">
        <v>312</v>
      </c>
      <c r="AG180" s="78"/>
      <c r="AJ180" s="84" t="s">
        <v>46</v>
      </c>
      <c r="AK180" s="84">
        <v>0</v>
      </c>
      <c r="BB180" s="257" t="s">
        <v>66</v>
      </c>
      <c r="BM180" s="78">
        <f t="shared" ref="BM180:BM191" si="27">IFERROR(X180*I180/H180,"0")</f>
        <v>0</v>
      </c>
      <c r="BN180" s="78">
        <f t="shared" ref="BN180:BN191" si="28">IFERROR(Y180*I180/H180,"0")</f>
        <v>0</v>
      </c>
      <c r="BO180" s="78">
        <f t="shared" ref="BO180:BO191" si="29">IFERROR(1/J180*(X180/H180),"0")</f>
        <v>0</v>
      </c>
      <c r="BP180" s="78">
        <f t="shared" ref="BP180:BP191" si="30">IFERROR(1/J180*(Y180/H180),"0")</f>
        <v>0</v>
      </c>
    </row>
    <row r="181" spans="1:68" ht="27" hidden="1" customHeight="1" x14ac:dyDescent="0.25">
      <c r="A181" s="63" t="s">
        <v>313</v>
      </c>
      <c r="B181" s="63" t="s">
        <v>314</v>
      </c>
      <c r="C181" s="36">
        <v>4301031509</v>
      </c>
      <c r="D181" s="665">
        <v>4680115889170</v>
      </c>
      <c r="E181" s="665"/>
      <c r="F181" s="62">
        <v>0.7</v>
      </c>
      <c r="G181" s="37">
        <v>5</v>
      </c>
      <c r="H181" s="62">
        <v>3.5</v>
      </c>
      <c r="I181" s="62">
        <v>3.7650000000000001</v>
      </c>
      <c r="J181" s="37">
        <v>132</v>
      </c>
      <c r="K181" s="37" t="s">
        <v>133</v>
      </c>
      <c r="L181" s="37" t="s">
        <v>46</v>
      </c>
      <c r="M181" s="38" t="s">
        <v>80</v>
      </c>
      <c r="N181" s="38"/>
      <c r="O181" s="37">
        <v>45</v>
      </c>
      <c r="P181" s="87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1" s="667"/>
      <c r="R181" s="667"/>
      <c r="S181" s="667"/>
      <c r="T181" s="668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6"/>
        <v>0</v>
      </c>
      <c r="Z181" s="41" t="str">
        <f>IFERROR(IF(Y181=0,"",ROUNDUP(Y181/H181,0)*0.00902),"")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66</v>
      </c>
      <c r="BM181" s="78">
        <f t="shared" si="27"/>
        <v>0</v>
      </c>
      <c r="BN181" s="78">
        <f t="shared" si="28"/>
        <v>0</v>
      </c>
      <c r="BO181" s="78">
        <f t="shared" si="29"/>
        <v>0</v>
      </c>
      <c r="BP181" s="78">
        <f t="shared" si="30"/>
        <v>0</v>
      </c>
    </row>
    <row r="182" spans="1:68" ht="27" hidden="1" customHeight="1" x14ac:dyDescent="0.25">
      <c r="A182" s="63" t="s">
        <v>316</v>
      </c>
      <c r="B182" s="63" t="s">
        <v>317</v>
      </c>
      <c r="C182" s="36">
        <v>4301031498</v>
      </c>
      <c r="D182" s="665">
        <v>4680115887398</v>
      </c>
      <c r="E182" s="665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133</v>
      </c>
      <c r="L182" s="37" t="s">
        <v>46</v>
      </c>
      <c r="M182" s="38" t="s">
        <v>80</v>
      </c>
      <c r="N182" s="38"/>
      <c r="O182" s="37">
        <v>40</v>
      </c>
      <c r="P182" s="87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2" s="667"/>
      <c r="R182" s="667"/>
      <c r="S182" s="667"/>
      <c r="T182" s="668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6"/>
        <v>0</v>
      </c>
      <c r="Z182" s="41" t="str">
        <f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66</v>
      </c>
      <c r="BM182" s="78">
        <f t="shared" si="27"/>
        <v>0</v>
      </c>
      <c r="BN182" s="78">
        <f t="shared" si="28"/>
        <v>0</v>
      </c>
      <c r="BO182" s="78">
        <f t="shared" si="29"/>
        <v>0</v>
      </c>
      <c r="BP182" s="78">
        <f t="shared" si="30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4301031497</v>
      </c>
      <c r="D183" s="665">
        <v>4680115887336</v>
      </c>
      <c r="E183" s="665"/>
      <c r="F183" s="62">
        <v>0.7</v>
      </c>
      <c r="G183" s="37">
        <v>5</v>
      </c>
      <c r="H183" s="62">
        <v>3.5</v>
      </c>
      <c r="I183" s="62">
        <v>3.69</v>
      </c>
      <c r="J183" s="37">
        <v>132</v>
      </c>
      <c r="K183" s="37" t="s">
        <v>133</v>
      </c>
      <c r="L183" s="37" t="s">
        <v>46</v>
      </c>
      <c r="M183" s="38" t="s">
        <v>80</v>
      </c>
      <c r="N183" s="38"/>
      <c r="O183" s="37">
        <v>40</v>
      </c>
      <c r="P183" s="87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3" s="667"/>
      <c r="R183" s="667"/>
      <c r="S183" s="667"/>
      <c r="T183" s="668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6"/>
        <v>0</v>
      </c>
      <c r="Z183" s="41" t="str">
        <f>IFERROR(IF(Y183=0,"",ROUNDUP(Y183/H183,0)*0.00902),"")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66</v>
      </c>
      <c r="BM183" s="78">
        <f t="shared" si="27"/>
        <v>0</v>
      </c>
      <c r="BN183" s="78">
        <f t="shared" si="28"/>
        <v>0</v>
      </c>
      <c r="BO183" s="78">
        <f t="shared" si="29"/>
        <v>0</v>
      </c>
      <c r="BP183" s="78">
        <f t="shared" si="30"/>
        <v>0</v>
      </c>
    </row>
    <row r="184" spans="1:68" ht="27" hidden="1" customHeight="1" x14ac:dyDescent="0.25">
      <c r="A184" s="63" t="s">
        <v>319</v>
      </c>
      <c r="B184" s="63" t="s">
        <v>322</v>
      </c>
      <c r="C184" s="36">
        <v>4301031520</v>
      </c>
      <c r="D184" s="665">
        <v>4680115887336</v>
      </c>
      <c r="E184" s="665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133</v>
      </c>
      <c r="L184" s="37" t="s">
        <v>46</v>
      </c>
      <c r="M184" s="38" t="s">
        <v>80</v>
      </c>
      <c r="N184" s="38"/>
      <c r="O184" s="37">
        <v>45</v>
      </c>
      <c r="P184" s="860" t="s">
        <v>323</v>
      </c>
      <c r="Q184" s="667"/>
      <c r="R184" s="667"/>
      <c r="S184" s="667"/>
      <c r="T184" s="668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6"/>
        <v>0</v>
      </c>
      <c r="Z184" s="41" t="str">
        <f>IFERROR(IF(Y184=0,"",ROUNDUP(Y184/H184,0)*0.00902),"")</f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66</v>
      </c>
      <c r="BM184" s="78">
        <f t="shared" si="27"/>
        <v>0</v>
      </c>
      <c r="BN184" s="78">
        <f t="shared" si="28"/>
        <v>0</v>
      </c>
      <c r="BO184" s="78">
        <f t="shared" si="29"/>
        <v>0</v>
      </c>
      <c r="BP184" s="78">
        <f t="shared" si="30"/>
        <v>0</v>
      </c>
    </row>
    <row r="185" spans="1:68" ht="16.5" hidden="1" customHeight="1" x14ac:dyDescent="0.25">
      <c r="A185" s="63" t="s">
        <v>325</v>
      </c>
      <c r="B185" s="63" t="s">
        <v>326</v>
      </c>
      <c r="C185" s="36">
        <v>4301032049</v>
      </c>
      <c r="D185" s="665">
        <v>4680115887787</v>
      </c>
      <c r="E185" s="665"/>
      <c r="F185" s="62">
        <v>0.09</v>
      </c>
      <c r="G185" s="37">
        <v>10</v>
      </c>
      <c r="H185" s="62">
        <v>0.9</v>
      </c>
      <c r="I185" s="62">
        <v>1.1100000000000001</v>
      </c>
      <c r="J185" s="37">
        <v>336</v>
      </c>
      <c r="K185" s="37" t="s">
        <v>130</v>
      </c>
      <c r="L185" s="37" t="s">
        <v>46</v>
      </c>
      <c r="M185" s="38" t="s">
        <v>80</v>
      </c>
      <c r="N185" s="38"/>
      <c r="O185" s="37">
        <v>45</v>
      </c>
      <c r="P185" s="8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5" s="667"/>
      <c r="R185" s="667"/>
      <c r="S185" s="667"/>
      <c r="T185" s="668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6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66</v>
      </c>
      <c r="BM185" s="78">
        <f t="shared" si="27"/>
        <v>0</v>
      </c>
      <c r="BN185" s="78">
        <f t="shared" si="28"/>
        <v>0</v>
      </c>
      <c r="BO185" s="78">
        <f t="shared" si="29"/>
        <v>0</v>
      </c>
      <c r="BP185" s="78">
        <f t="shared" si="30"/>
        <v>0</v>
      </c>
    </row>
    <row r="186" spans="1:68" ht="16.5" hidden="1" customHeight="1" x14ac:dyDescent="0.25">
      <c r="A186" s="63" t="s">
        <v>325</v>
      </c>
      <c r="B186" s="63" t="s">
        <v>328</v>
      </c>
      <c r="C186" s="36">
        <v>4301031528</v>
      </c>
      <c r="D186" s="665">
        <v>4680115887787</v>
      </c>
      <c r="E186" s="665"/>
      <c r="F186" s="62">
        <v>0.09</v>
      </c>
      <c r="G186" s="37">
        <v>10</v>
      </c>
      <c r="H186" s="62">
        <v>0.9</v>
      </c>
      <c r="I186" s="62">
        <v>1.1100000000000001</v>
      </c>
      <c r="J186" s="37">
        <v>192</v>
      </c>
      <c r="K186" s="37" t="s">
        <v>130</v>
      </c>
      <c r="L186" s="37" t="s">
        <v>46</v>
      </c>
      <c r="M186" s="38" t="s">
        <v>80</v>
      </c>
      <c r="N186" s="38"/>
      <c r="O186" s="37">
        <v>45</v>
      </c>
      <c r="P186" s="862" t="s">
        <v>329</v>
      </c>
      <c r="Q186" s="667"/>
      <c r="R186" s="667"/>
      <c r="S186" s="667"/>
      <c r="T186" s="668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6"/>
        <v>0</v>
      </c>
      <c r="Z186" s="41" t="str">
        <f>IFERROR(IF(Y186=0,"",ROUNDUP(Y186/H186,0)*0.00726),"")</f>
        <v/>
      </c>
      <c r="AA186" s="68" t="s">
        <v>46</v>
      </c>
      <c r="AB186" s="69" t="s">
        <v>46</v>
      </c>
      <c r="AC186" s="268" t="s">
        <v>327</v>
      </c>
      <c r="AG186" s="78"/>
      <c r="AJ186" s="84" t="s">
        <v>46</v>
      </c>
      <c r="AK186" s="84">
        <v>0</v>
      </c>
      <c r="BB186" s="269" t="s">
        <v>66</v>
      </c>
      <c r="BM186" s="78">
        <f t="shared" si="27"/>
        <v>0</v>
      </c>
      <c r="BN186" s="78">
        <f t="shared" si="28"/>
        <v>0</v>
      </c>
      <c r="BO186" s="78">
        <f t="shared" si="29"/>
        <v>0</v>
      </c>
      <c r="BP186" s="78">
        <f t="shared" si="30"/>
        <v>0</v>
      </c>
    </row>
    <row r="187" spans="1:68" ht="27" hidden="1" customHeight="1" x14ac:dyDescent="0.25">
      <c r="A187" s="63" t="s">
        <v>330</v>
      </c>
      <c r="B187" s="63" t="s">
        <v>331</v>
      </c>
      <c r="C187" s="36">
        <v>4301031448</v>
      </c>
      <c r="D187" s="665">
        <v>4680115887503</v>
      </c>
      <c r="E187" s="665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6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7" s="667"/>
      <c r="R187" s="667"/>
      <c r="S187" s="667"/>
      <c r="T187" s="668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6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70" t="s">
        <v>312</v>
      </c>
      <c r="AG187" s="78"/>
      <c r="AJ187" s="84" t="s">
        <v>46</v>
      </c>
      <c r="AK187" s="84">
        <v>0</v>
      </c>
      <c r="BB187" s="271" t="s">
        <v>66</v>
      </c>
      <c r="BM187" s="78">
        <f t="shared" si="27"/>
        <v>0</v>
      </c>
      <c r="BN187" s="78">
        <f t="shared" si="28"/>
        <v>0</v>
      </c>
      <c r="BO187" s="78">
        <f t="shared" si="29"/>
        <v>0</v>
      </c>
      <c r="BP187" s="78">
        <f t="shared" si="30"/>
        <v>0</v>
      </c>
    </row>
    <row r="188" spans="1:68" ht="27" hidden="1" customHeight="1" x14ac:dyDescent="0.25">
      <c r="A188" s="63" t="s">
        <v>332</v>
      </c>
      <c r="B188" s="63" t="s">
        <v>333</v>
      </c>
      <c r="C188" s="36">
        <v>4301031389</v>
      </c>
      <c r="D188" s="665">
        <v>4680115887763</v>
      </c>
      <c r="E188" s="665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130</v>
      </c>
      <c r="L188" s="37" t="s">
        <v>46</v>
      </c>
      <c r="M188" s="38" t="s">
        <v>80</v>
      </c>
      <c r="N188" s="38"/>
      <c r="O188" s="37">
        <v>45</v>
      </c>
      <c r="P188" s="86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8" s="667"/>
      <c r="R188" s="667"/>
      <c r="S188" s="667"/>
      <c r="T188" s="668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6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334</v>
      </c>
      <c r="AG188" s="78"/>
      <c r="AJ188" s="84" t="s">
        <v>46</v>
      </c>
      <c r="AK188" s="84">
        <v>0</v>
      </c>
      <c r="BB188" s="273" t="s">
        <v>66</v>
      </c>
      <c r="BM188" s="78">
        <f t="shared" si="27"/>
        <v>0</v>
      </c>
      <c r="BN188" s="78">
        <f t="shared" si="28"/>
        <v>0</v>
      </c>
      <c r="BO188" s="78">
        <f t="shared" si="29"/>
        <v>0</v>
      </c>
      <c r="BP188" s="78">
        <f t="shared" si="30"/>
        <v>0</v>
      </c>
    </row>
    <row r="189" spans="1:68" ht="27" hidden="1" customHeight="1" x14ac:dyDescent="0.25">
      <c r="A189" s="63" t="s">
        <v>335</v>
      </c>
      <c r="B189" s="63" t="s">
        <v>336</v>
      </c>
      <c r="C189" s="36">
        <v>4301031454</v>
      </c>
      <c r="D189" s="665">
        <v>4680115887480</v>
      </c>
      <c r="E189" s="665"/>
      <c r="F189" s="62">
        <v>0.28000000000000003</v>
      </c>
      <c r="G189" s="37">
        <v>6</v>
      </c>
      <c r="H189" s="62">
        <v>1.68</v>
      </c>
      <c r="I189" s="62">
        <v>1.78</v>
      </c>
      <c r="J189" s="37">
        <v>234</v>
      </c>
      <c r="K189" s="37" t="s">
        <v>81</v>
      </c>
      <c r="L189" s="37" t="s">
        <v>46</v>
      </c>
      <c r="M189" s="38" t="s">
        <v>80</v>
      </c>
      <c r="N189" s="38"/>
      <c r="O189" s="37">
        <v>40</v>
      </c>
      <c r="P189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9" s="667"/>
      <c r="R189" s="667"/>
      <c r="S189" s="667"/>
      <c r="T189" s="668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6"/>
        <v>0</v>
      </c>
      <c r="Z189" s="41" t="str">
        <f>IFERROR(IF(Y189=0,"",ROUNDUP(Y189/H189,0)*0.00502),"")</f>
        <v/>
      </c>
      <c r="AA189" s="68" t="s">
        <v>46</v>
      </c>
      <c r="AB189" s="69" t="s">
        <v>46</v>
      </c>
      <c r="AC189" s="274" t="s">
        <v>318</v>
      </c>
      <c r="AG189" s="78"/>
      <c r="AJ189" s="84" t="s">
        <v>46</v>
      </c>
      <c r="AK189" s="84">
        <v>0</v>
      </c>
      <c r="BB189" s="275" t="s">
        <v>66</v>
      </c>
      <c r="BM189" s="78">
        <f t="shared" si="27"/>
        <v>0</v>
      </c>
      <c r="BN189" s="78">
        <f t="shared" si="28"/>
        <v>0</v>
      </c>
      <c r="BO189" s="78">
        <f t="shared" si="29"/>
        <v>0</v>
      </c>
      <c r="BP189" s="78">
        <f t="shared" si="30"/>
        <v>0</v>
      </c>
    </row>
    <row r="190" spans="1:68" ht="27" hidden="1" customHeight="1" x14ac:dyDescent="0.25">
      <c r="A190" s="63" t="s">
        <v>337</v>
      </c>
      <c r="B190" s="63" t="s">
        <v>338</v>
      </c>
      <c r="C190" s="36">
        <v>4301031434</v>
      </c>
      <c r="D190" s="665">
        <v>4680115888067</v>
      </c>
      <c r="E190" s="665"/>
      <c r="F190" s="62">
        <v>0.09</v>
      </c>
      <c r="G190" s="37">
        <v>10</v>
      </c>
      <c r="H190" s="62">
        <v>0.9</v>
      </c>
      <c r="I190" s="62">
        <v>1</v>
      </c>
      <c r="J190" s="37">
        <v>336</v>
      </c>
      <c r="K190" s="37" t="s">
        <v>130</v>
      </c>
      <c r="L190" s="37" t="s">
        <v>46</v>
      </c>
      <c r="M190" s="38" t="s">
        <v>80</v>
      </c>
      <c r="N190" s="38"/>
      <c r="O190" s="37">
        <v>45</v>
      </c>
      <c r="P190" s="86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0" s="667"/>
      <c r="R190" s="667"/>
      <c r="S190" s="667"/>
      <c r="T190" s="668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6"/>
        <v>0</v>
      </c>
      <c r="Z190" s="41" t="str">
        <f>IFERROR(IF(Y190=0,"",ROUNDUP(Y190/H190,0)*0.00417),"")</f>
        <v/>
      </c>
      <c r="AA190" s="68" t="s">
        <v>46</v>
      </c>
      <c r="AB190" s="69" t="s">
        <v>46</v>
      </c>
      <c r="AC190" s="276" t="s">
        <v>339</v>
      </c>
      <c r="AG190" s="78"/>
      <c r="AJ190" s="84" t="s">
        <v>46</v>
      </c>
      <c r="AK190" s="84">
        <v>0</v>
      </c>
      <c r="BB190" s="277" t="s">
        <v>66</v>
      </c>
      <c r="BM190" s="78">
        <f t="shared" si="27"/>
        <v>0</v>
      </c>
      <c r="BN190" s="78">
        <f t="shared" si="28"/>
        <v>0</v>
      </c>
      <c r="BO190" s="78">
        <f t="shared" si="29"/>
        <v>0</v>
      </c>
      <c r="BP190" s="78">
        <f t="shared" si="30"/>
        <v>0</v>
      </c>
    </row>
    <row r="191" spans="1:68" ht="27" hidden="1" customHeight="1" x14ac:dyDescent="0.25">
      <c r="A191" s="63" t="s">
        <v>340</v>
      </c>
      <c r="B191" s="63" t="s">
        <v>341</v>
      </c>
      <c r="C191" s="36">
        <v>4301031519</v>
      </c>
      <c r="D191" s="665">
        <v>4680115887435</v>
      </c>
      <c r="E191" s="665"/>
      <c r="F191" s="62">
        <v>0.28000000000000003</v>
      </c>
      <c r="G191" s="37">
        <v>6</v>
      </c>
      <c r="H191" s="62">
        <v>1.68</v>
      </c>
      <c r="I191" s="62">
        <v>1.78</v>
      </c>
      <c r="J191" s="37">
        <v>234</v>
      </c>
      <c r="K191" s="37" t="s">
        <v>81</v>
      </c>
      <c r="L191" s="37" t="s">
        <v>46</v>
      </c>
      <c r="M191" s="38" t="s">
        <v>80</v>
      </c>
      <c r="N191" s="38"/>
      <c r="O191" s="37">
        <v>45</v>
      </c>
      <c r="P191" s="867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1" s="667"/>
      <c r="R191" s="667"/>
      <c r="S191" s="667"/>
      <c r="T191" s="668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6"/>
        <v>0</v>
      </c>
      <c r="Z191" s="41" t="str">
        <f>IFERROR(IF(Y191=0,"",ROUNDUP(Y191/H191,0)*0.00502),"")</f>
        <v/>
      </c>
      <c r="AA191" s="68" t="s">
        <v>46</v>
      </c>
      <c r="AB191" s="69" t="s">
        <v>46</v>
      </c>
      <c r="AC191" s="278" t="s">
        <v>324</v>
      </c>
      <c r="AG191" s="78"/>
      <c r="AJ191" s="84" t="s">
        <v>46</v>
      </c>
      <c r="AK191" s="84">
        <v>0</v>
      </c>
      <c r="BB191" s="279" t="s">
        <v>66</v>
      </c>
      <c r="BM191" s="78">
        <f t="shared" si="27"/>
        <v>0</v>
      </c>
      <c r="BN191" s="78">
        <f t="shared" si="28"/>
        <v>0</v>
      </c>
      <c r="BO191" s="78">
        <f t="shared" si="29"/>
        <v>0</v>
      </c>
      <c r="BP191" s="78">
        <f t="shared" si="30"/>
        <v>0</v>
      </c>
    </row>
    <row r="192" spans="1:68" hidden="1" x14ac:dyDescent="0.2">
      <c r="A192" s="661"/>
      <c r="B192" s="661"/>
      <c r="C192" s="661"/>
      <c r="D192" s="661"/>
      <c r="E192" s="661"/>
      <c r="F192" s="661"/>
      <c r="G192" s="661"/>
      <c r="H192" s="661"/>
      <c r="I192" s="661"/>
      <c r="J192" s="661"/>
      <c r="K192" s="661"/>
      <c r="L192" s="661"/>
      <c r="M192" s="661"/>
      <c r="N192" s="661"/>
      <c r="O192" s="662"/>
      <c r="P192" s="658" t="s">
        <v>40</v>
      </c>
      <c r="Q192" s="659"/>
      <c r="R192" s="659"/>
      <c r="S192" s="659"/>
      <c r="T192" s="659"/>
      <c r="U192" s="659"/>
      <c r="V192" s="660"/>
      <c r="W192" s="42" t="s">
        <v>39</v>
      </c>
      <c r="X192" s="43">
        <f>IFERROR(X180/H180,"0")+IFERROR(X181/H181,"0")+IFERROR(X182/H182,"0")+IFERROR(X183/H183,"0")+IFERROR(X184/H184,"0")+IFERROR(X185/H185,"0")+IFERROR(X186/H186,"0")+IFERROR(X187/H187,"0")+IFERROR(X188/H188,"0")+IFERROR(X189/H189,"0")+IFERROR(X190/H190,"0")+IFERROR(X191/H191,"0")</f>
        <v>0</v>
      </c>
      <c r="Y192" s="43">
        <f>IFERROR(Y180/H180,"0")+IFERROR(Y181/H181,"0")+IFERROR(Y182/H182,"0")+IFERROR(Y183/H183,"0")+IFERROR(Y184/H184,"0")+IFERROR(Y185/H185,"0")+IFERROR(Y186/H186,"0")+IFERROR(Y187/H187,"0")+IFERROR(Y188/H188,"0")+IFERROR(Y189/H189,"0")+IFERROR(Y190/H190,"0")+IFERROR(Y191/H191,"0")</f>
        <v>0</v>
      </c>
      <c r="Z192" s="43">
        <f>IFERROR(IF(Z180="",0,Z180),"0")+IFERROR(IF(Z181="",0,Z181),"0")+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</f>
        <v>0</v>
      </c>
      <c r="AA192" s="67"/>
      <c r="AB192" s="67"/>
      <c r="AC192" s="67"/>
    </row>
    <row r="193" spans="1:68" hidden="1" x14ac:dyDescent="0.2">
      <c r="A193" s="661"/>
      <c r="B193" s="661"/>
      <c r="C193" s="661"/>
      <c r="D193" s="661"/>
      <c r="E193" s="661"/>
      <c r="F193" s="661"/>
      <c r="G193" s="661"/>
      <c r="H193" s="661"/>
      <c r="I193" s="661"/>
      <c r="J193" s="661"/>
      <c r="K193" s="661"/>
      <c r="L193" s="661"/>
      <c r="M193" s="661"/>
      <c r="N193" s="661"/>
      <c r="O193" s="662"/>
      <c r="P193" s="658" t="s">
        <v>40</v>
      </c>
      <c r="Q193" s="659"/>
      <c r="R193" s="659"/>
      <c r="S193" s="659"/>
      <c r="T193" s="659"/>
      <c r="U193" s="659"/>
      <c r="V193" s="660"/>
      <c r="W193" s="42" t="s">
        <v>0</v>
      </c>
      <c r="X193" s="43">
        <f>IFERROR(SUM(X180:X191),"0")</f>
        <v>0</v>
      </c>
      <c r="Y193" s="43">
        <f>IFERROR(SUM(Y180:Y191),"0")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64" t="s">
        <v>85</v>
      </c>
      <c r="B194" s="664"/>
      <c r="C194" s="664"/>
      <c r="D194" s="664"/>
      <c r="E194" s="664"/>
      <c r="F194" s="664"/>
      <c r="G194" s="664"/>
      <c r="H194" s="664"/>
      <c r="I194" s="664"/>
      <c r="J194" s="664"/>
      <c r="K194" s="664"/>
      <c r="L194" s="664"/>
      <c r="M194" s="664"/>
      <c r="N194" s="664"/>
      <c r="O194" s="664"/>
      <c r="P194" s="664"/>
      <c r="Q194" s="664"/>
      <c r="R194" s="664"/>
      <c r="S194" s="664"/>
      <c r="T194" s="664"/>
      <c r="U194" s="664"/>
      <c r="V194" s="664"/>
      <c r="W194" s="664"/>
      <c r="X194" s="664"/>
      <c r="Y194" s="664"/>
      <c r="Z194" s="664"/>
      <c r="AA194" s="66"/>
      <c r="AB194" s="66"/>
      <c r="AC194" s="80"/>
    </row>
    <row r="195" spans="1:68" ht="16.5" hidden="1" customHeight="1" x14ac:dyDescent="0.25">
      <c r="A195" s="63" t="s">
        <v>342</v>
      </c>
      <c r="B195" s="63" t="s">
        <v>343</v>
      </c>
      <c r="C195" s="36">
        <v>4301052193</v>
      </c>
      <c r="D195" s="665">
        <v>4680115888395</v>
      </c>
      <c r="E195" s="665"/>
      <c r="F195" s="62">
        <v>0.42</v>
      </c>
      <c r="G195" s="37">
        <v>6</v>
      </c>
      <c r="H195" s="62">
        <v>2.52</v>
      </c>
      <c r="I195" s="62">
        <v>2.766</v>
      </c>
      <c r="J195" s="37">
        <v>182</v>
      </c>
      <c r="K195" s="37" t="s">
        <v>90</v>
      </c>
      <c r="L195" s="37" t="s">
        <v>46</v>
      </c>
      <c r="M195" s="38" t="s">
        <v>96</v>
      </c>
      <c r="N195" s="38"/>
      <c r="O195" s="37">
        <v>40</v>
      </c>
      <c r="P195" s="85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5" s="667"/>
      <c r="R195" s="667"/>
      <c r="S195" s="667"/>
      <c r="T195" s="668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IFERROR(IF(Y195=0,"",ROUNDUP(Y195/H195,0)*0.00651),"")</f>
        <v/>
      </c>
      <c r="AA195" s="68" t="s">
        <v>46</v>
      </c>
      <c r="AB195" s="69" t="s">
        <v>46</v>
      </c>
      <c r="AC195" s="280" t="s">
        <v>344</v>
      </c>
      <c r="AG195" s="78"/>
      <c r="AJ195" s="84" t="s">
        <v>46</v>
      </c>
      <c r="AK195" s="84">
        <v>0</v>
      </c>
      <c r="BB195" s="281" t="s">
        <v>66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16.5" hidden="1" customHeight="1" x14ac:dyDescent="0.25">
      <c r="A196" s="63" t="s">
        <v>345</v>
      </c>
      <c r="B196" s="63" t="s">
        <v>346</v>
      </c>
      <c r="C196" s="36">
        <v>4301052191</v>
      </c>
      <c r="D196" s="665">
        <v>4680115888371</v>
      </c>
      <c r="E196" s="665"/>
      <c r="F196" s="62">
        <v>0.42</v>
      </c>
      <c r="G196" s="37">
        <v>6</v>
      </c>
      <c r="H196" s="62">
        <v>2.52</v>
      </c>
      <c r="I196" s="62">
        <v>2.766</v>
      </c>
      <c r="J196" s="37">
        <v>182</v>
      </c>
      <c r="K196" s="37" t="s">
        <v>90</v>
      </c>
      <c r="L196" s="37" t="s">
        <v>46</v>
      </c>
      <c r="M196" s="38" t="s">
        <v>96</v>
      </c>
      <c r="N196" s="38"/>
      <c r="O196" s="37">
        <v>40</v>
      </c>
      <c r="P196" s="857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6" s="667"/>
      <c r="R196" s="667"/>
      <c r="S196" s="667"/>
      <c r="T196" s="668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IFERROR(IF(Y196=0,"",ROUNDUP(Y196/H196,0)*0.00651),"")</f>
        <v/>
      </c>
      <c r="AA196" s="68" t="s">
        <v>46</v>
      </c>
      <c r="AB196" s="69" t="s">
        <v>46</v>
      </c>
      <c r="AC196" s="282" t="s">
        <v>347</v>
      </c>
      <c r="AG196" s="78"/>
      <c r="AJ196" s="84" t="s">
        <v>46</v>
      </c>
      <c r="AK196" s="84">
        <v>0</v>
      </c>
      <c r="BB196" s="283" t="s">
        <v>66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hidden="1" customHeight="1" x14ac:dyDescent="0.25">
      <c r="A197" s="63" t="s">
        <v>348</v>
      </c>
      <c r="B197" s="63" t="s">
        <v>349</v>
      </c>
      <c r="C197" s="36">
        <v>4301052064</v>
      </c>
      <c r="D197" s="665">
        <v>4680115887459</v>
      </c>
      <c r="E197" s="665"/>
      <c r="F197" s="62">
        <v>0.3</v>
      </c>
      <c r="G197" s="37">
        <v>6</v>
      </c>
      <c r="H197" s="62">
        <v>1.8</v>
      </c>
      <c r="I197" s="62">
        <v>2.0579999999999998</v>
      </c>
      <c r="J197" s="37">
        <v>182</v>
      </c>
      <c r="K197" s="37" t="s">
        <v>90</v>
      </c>
      <c r="L197" s="37" t="s">
        <v>46</v>
      </c>
      <c r="M197" s="38" t="s">
        <v>89</v>
      </c>
      <c r="N197" s="38"/>
      <c r="O197" s="37">
        <v>45</v>
      </c>
      <c r="P197" s="85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7" s="667"/>
      <c r="R197" s="667"/>
      <c r="S197" s="667"/>
      <c r="T197" s="668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IFERROR(IF(Y197=0,"",ROUNDUP(Y197/H197,0)*0.00651),"")</f>
        <v/>
      </c>
      <c r="AA197" s="68" t="s">
        <v>46</v>
      </c>
      <c r="AB197" s="69" t="s">
        <v>46</v>
      </c>
      <c r="AC197" s="284" t="s">
        <v>350</v>
      </c>
      <c r="AG197" s="78"/>
      <c r="AJ197" s="84" t="s">
        <v>46</v>
      </c>
      <c r="AK197" s="84">
        <v>0</v>
      </c>
      <c r="BB197" s="285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idden="1" x14ac:dyDescent="0.2">
      <c r="A198" s="661"/>
      <c r="B198" s="661"/>
      <c r="C198" s="661"/>
      <c r="D198" s="661"/>
      <c r="E198" s="661"/>
      <c r="F198" s="661"/>
      <c r="G198" s="661"/>
      <c r="H198" s="661"/>
      <c r="I198" s="661"/>
      <c r="J198" s="661"/>
      <c r="K198" s="661"/>
      <c r="L198" s="661"/>
      <c r="M198" s="661"/>
      <c r="N198" s="661"/>
      <c r="O198" s="662"/>
      <c r="P198" s="658" t="s">
        <v>40</v>
      </c>
      <c r="Q198" s="659"/>
      <c r="R198" s="659"/>
      <c r="S198" s="659"/>
      <c r="T198" s="659"/>
      <c r="U198" s="659"/>
      <c r="V198" s="660"/>
      <c r="W198" s="42" t="s">
        <v>39</v>
      </c>
      <c r="X198" s="43">
        <f>IFERROR(X195/H195,"0")+IFERROR(X196/H196,"0")+IFERROR(X197/H197,"0")</f>
        <v>0</v>
      </c>
      <c r="Y198" s="43">
        <f>IFERROR(Y195/H195,"0")+IFERROR(Y196/H196,"0")+IFERROR(Y197/H197,"0")</f>
        <v>0</v>
      </c>
      <c r="Z198" s="43">
        <f>IFERROR(IF(Z195="",0,Z195),"0")+IFERROR(IF(Z196="",0,Z196),"0")+IFERROR(IF(Z197="",0,Z197),"0")</f>
        <v>0</v>
      </c>
      <c r="AA198" s="67"/>
      <c r="AB198" s="67"/>
      <c r="AC198" s="67"/>
    </row>
    <row r="199" spans="1:68" hidden="1" x14ac:dyDescent="0.2">
      <c r="A199" s="661"/>
      <c r="B199" s="661"/>
      <c r="C199" s="661"/>
      <c r="D199" s="661"/>
      <c r="E199" s="661"/>
      <c r="F199" s="661"/>
      <c r="G199" s="661"/>
      <c r="H199" s="661"/>
      <c r="I199" s="661"/>
      <c r="J199" s="661"/>
      <c r="K199" s="661"/>
      <c r="L199" s="661"/>
      <c r="M199" s="661"/>
      <c r="N199" s="661"/>
      <c r="O199" s="662"/>
      <c r="P199" s="658" t="s">
        <v>40</v>
      </c>
      <c r="Q199" s="659"/>
      <c r="R199" s="659"/>
      <c r="S199" s="659"/>
      <c r="T199" s="659"/>
      <c r="U199" s="659"/>
      <c r="V199" s="660"/>
      <c r="W199" s="42" t="s">
        <v>0</v>
      </c>
      <c r="X199" s="43">
        <f>IFERROR(SUM(X195:X197),"0")</f>
        <v>0</v>
      </c>
      <c r="Y199" s="43">
        <f>IFERROR(SUM(Y195:Y197),"0")</f>
        <v>0</v>
      </c>
      <c r="Z199" s="42"/>
      <c r="AA199" s="67"/>
      <c r="AB199" s="67"/>
      <c r="AC199" s="67"/>
    </row>
    <row r="200" spans="1:68" ht="14.25" hidden="1" customHeight="1" x14ac:dyDescent="0.25">
      <c r="A200" s="664" t="s">
        <v>288</v>
      </c>
      <c r="B200" s="664"/>
      <c r="C200" s="664"/>
      <c r="D200" s="664"/>
      <c r="E200" s="664"/>
      <c r="F200" s="664"/>
      <c r="G200" s="664"/>
      <c r="H200" s="664"/>
      <c r="I200" s="664"/>
      <c r="J200" s="664"/>
      <c r="K200" s="664"/>
      <c r="L200" s="664"/>
      <c r="M200" s="664"/>
      <c r="N200" s="664"/>
      <c r="O200" s="664"/>
      <c r="P200" s="664"/>
      <c r="Q200" s="664"/>
      <c r="R200" s="664"/>
      <c r="S200" s="664"/>
      <c r="T200" s="664"/>
      <c r="U200" s="664"/>
      <c r="V200" s="664"/>
      <c r="W200" s="664"/>
      <c r="X200" s="664"/>
      <c r="Y200" s="664"/>
      <c r="Z200" s="664"/>
      <c r="AA200" s="66"/>
      <c r="AB200" s="66"/>
      <c r="AC200" s="80"/>
    </row>
    <row r="201" spans="1:68" ht="16.5" hidden="1" customHeight="1" x14ac:dyDescent="0.25">
      <c r="A201" s="63" t="s">
        <v>351</v>
      </c>
      <c r="B201" s="63" t="s">
        <v>352</v>
      </c>
      <c r="C201" s="36">
        <v>4301032058</v>
      </c>
      <c r="D201" s="665">
        <v>4680115889026</v>
      </c>
      <c r="E201" s="665"/>
      <c r="F201" s="62">
        <v>0.06</v>
      </c>
      <c r="G201" s="37">
        <v>18</v>
      </c>
      <c r="H201" s="62">
        <v>1.08</v>
      </c>
      <c r="I201" s="62">
        <v>1.36</v>
      </c>
      <c r="J201" s="37">
        <v>216</v>
      </c>
      <c r="K201" s="37" t="s">
        <v>354</v>
      </c>
      <c r="L201" s="37" t="s">
        <v>46</v>
      </c>
      <c r="M201" s="38" t="s">
        <v>293</v>
      </c>
      <c r="N201" s="38"/>
      <c r="O201" s="37">
        <v>60</v>
      </c>
      <c r="P201" s="859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1" s="667"/>
      <c r="R201" s="667"/>
      <c r="S201" s="667"/>
      <c r="T201" s="668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IFERROR(IF(Y201=0,"",ROUNDUP(Y201/H201,0)*0.0059),"")</f>
        <v/>
      </c>
      <c r="AA201" s="68" t="s">
        <v>46</v>
      </c>
      <c r="AB201" s="69" t="s">
        <v>46</v>
      </c>
      <c r="AC201" s="286" t="s">
        <v>353</v>
      </c>
      <c r="AG201" s="78"/>
      <c r="AJ201" s="84" t="s">
        <v>46</v>
      </c>
      <c r="AK201" s="84">
        <v>0</v>
      </c>
      <c r="BB201" s="287" t="s">
        <v>66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1"/>
      <c r="B202" s="661"/>
      <c r="C202" s="661"/>
      <c r="D202" s="661"/>
      <c r="E202" s="661"/>
      <c r="F202" s="661"/>
      <c r="G202" s="661"/>
      <c r="H202" s="661"/>
      <c r="I202" s="661"/>
      <c r="J202" s="661"/>
      <c r="K202" s="661"/>
      <c r="L202" s="661"/>
      <c r="M202" s="661"/>
      <c r="N202" s="661"/>
      <c r="O202" s="662"/>
      <c r="P202" s="658" t="s">
        <v>40</v>
      </c>
      <c r="Q202" s="659"/>
      <c r="R202" s="659"/>
      <c r="S202" s="659"/>
      <c r="T202" s="659"/>
      <c r="U202" s="659"/>
      <c r="V202" s="660"/>
      <c r="W202" s="42" t="s">
        <v>39</v>
      </c>
      <c r="X202" s="43">
        <f>IFERROR(X201/H201,"0")</f>
        <v>0</v>
      </c>
      <c r="Y202" s="43">
        <f>IFERROR(Y201/H201,"0")</f>
        <v>0</v>
      </c>
      <c r="Z202" s="43">
        <f>IFERROR(IF(Z201="",0,Z201),"0")</f>
        <v>0</v>
      </c>
      <c r="AA202" s="67"/>
      <c r="AB202" s="67"/>
      <c r="AC202" s="67"/>
    </row>
    <row r="203" spans="1:68" hidden="1" x14ac:dyDescent="0.2">
      <c r="A203" s="661"/>
      <c r="B203" s="661"/>
      <c r="C203" s="661"/>
      <c r="D203" s="661"/>
      <c r="E203" s="661"/>
      <c r="F203" s="661"/>
      <c r="G203" s="661"/>
      <c r="H203" s="661"/>
      <c r="I203" s="661"/>
      <c r="J203" s="661"/>
      <c r="K203" s="661"/>
      <c r="L203" s="661"/>
      <c r="M203" s="661"/>
      <c r="N203" s="661"/>
      <c r="O203" s="662"/>
      <c r="P203" s="658" t="s">
        <v>40</v>
      </c>
      <c r="Q203" s="659"/>
      <c r="R203" s="659"/>
      <c r="S203" s="659"/>
      <c r="T203" s="659"/>
      <c r="U203" s="659"/>
      <c r="V203" s="660"/>
      <c r="W203" s="42" t="s">
        <v>0</v>
      </c>
      <c r="X203" s="43">
        <f>IFERROR(SUM(X201:X201),"0")</f>
        <v>0</v>
      </c>
      <c r="Y203" s="43">
        <f>IFERROR(SUM(Y201:Y201),"0")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64" t="s">
        <v>355</v>
      </c>
      <c r="B204" s="664"/>
      <c r="C204" s="664"/>
      <c r="D204" s="664"/>
      <c r="E204" s="664"/>
      <c r="F204" s="664"/>
      <c r="G204" s="664"/>
      <c r="H204" s="664"/>
      <c r="I204" s="664"/>
      <c r="J204" s="664"/>
      <c r="K204" s="664"/>
      <c r="L204" s="664"/>
      <c r="M204" s="664"/>
      <c r="N204" s="664"/>
      <c r="O204" s="664"/>
      <c r="P204" s="664"/>
      <c r="Q204" s="664"/>
      <c r="R204" s="664"/>
      <c r="S204" s="664"/>
      <c r="T204" s="664"/>
      <c r="U204" s="664"/>
      <c r="V204" s="664"/>
      <c r="W204" s="664"/>
      <c r="X204" s="664"/>
      <c r="Y204" s="664"/>
      <c r="Z204" s="664"/>
      <c r="AA204" s="66"/>
      <c r="AB204" s="66"/>
      <c r="AC204" s="80"/>
    </row>
    <row r="205" spans="1:68" ht="27" hidden="1" customHeight="1" x14ac:dyDescent="0.25">
      <c r="A205" s="63" t="s">
        <v>356</v>
      </c>
      <c r="B205" s="63" t="s">
        <v>357</v>
      </c>
      <c r="C205" s="36">
        <v>4301041009</v>
      </c>
      <c r="D205" s="665">
        <v>4680115889033</v>
      </c>
      <c r="E205" s="665"/>
      <c r="F205" s="62">
        <v>0.11</v>
      </c>
      <c r="G205" s="37">
        <v>15</v>
      </c>
      <c r="H205" s="62">
        <v>1.65</v>
      </c>
      <c r="I205" s="62">
        <v>1.9</v>
      </c>
      <c r="J205" s="37">
        <v>216</v>
      </c>
      <c r="K205" s="37" t="s">
        <v>354</v>
      </c>
      <c r="L205" s="37" t="s">
        <v>46</v>
      </c>
      <c r="M205" s="38" t="s">
        <v>293</v>
      </c>
      <c r="N205" s="38"/>
      <c r="O205" s="37">
        <v>60</v>
      </c>
      <c r="P205" s="85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5" s="667"/>
      <c r="R205" s="667"/>
      <c r="S205" s="667"/>
      <c r="T205" s="668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88" t="s">
        <v>358</v>
      </c>
      <c r="AG205" s="78"/>
      <c r="AJ205" s="84" t="s">
        <v>46</v>
      </c>
      <c r="AK205" s="84">
        <v>0</v>
      </c>
      <c r="BB205" s="289" t="s">
        <v>66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1"/>
      <c r="B206" s="661"/>
      <c r="C206" s="661"/>
      <c r="D206" s="661"/>
      <c r="E206" s="661"/>
      <c r="F206" s="661"/>
      <c r="G206" s="661"/>
      <c r="H206" s="661"/>
      <c r="I206" s="661"/>
      <c r="J206" s="661"/>
      <c r="K206" s="661"/>
      <c r="L206" s="661"/>
      <c r="M206" s="661"/>
      <c r="N206" s="661"/>
      <c r="O206" s="662"/>
      <c r="P206" s="658" t="s">
        <v>40</v>
      </c>
      <c r="Q206" s="659"/>
      <c r="R206" s="659"/>
      <c r="S206" s="659"/>
      <c r="T206" s="659"/>
      <c r="U206" s="659"/>
      <c r="V206" s="660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1"/>
      <c r="B207" s="661"/>
      <c r="C207" s="661"/>
      <c r="D207" s="661"/>
      <c r="E207" s="661"/>
      <c r="F207" s="661"/>
      <c r="G207" s="661"/>
      <c r="H207" s="661"/>
      <c r="I207" s="661"/>
      <c r="J207" s="661"/>
      <c r="K207" s="661"/>
      <c r="L207" s="661"/>
      <c r="M207" s="661"/>
      <c r="N207" s="661"/>
      <c r="O207" s="662"/>
      <c r="P207" s="658" t="s">
        <v>40</v>
      </c>
      <c r="Q207" s="659"/>
      <c r="R207" s="659"/>
      <c r="S207" s="659"/>
      <c r="T207" s="659"/>
      <c r="U207" s="659"/>
      <c r="V207" s="660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27.75" hidden="1" customHeight="1" x14ac:dyDescent="0.2">
      <c r="A208" s="678" t="s">
        <v>359</v>
      </c>
      <c r="B208" s="678"/>
      <c r="C208" s="678"/>
      <c r="D208" s="678"/>
      <c r="E208" s="678"/>
      <c r="F208" s="678"/>
      <c r="G208" s="678"/>
      <c r="H208" s="678"/>
      <c r="I208" s="678"/>
      <c r="J208" s="678"/>
      <c r="K208" s="678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  <c r="Y208" s="678"/>
      <c r="Z208" s="678"/>
      <c r="AA208" s="54"/>
      <c r="AB208" s="54"/>
      <c r="AC208" s="54"/>
    </row>
    <row r="209" spans="1:68" ht="16.5" hidden="1" customHeight="1" x14ac:dyDescent="0.25">
      <c r="A209" s="663" t="s">
        <v>360</v>
      </c>
      <c r="B209" s="663"/>
      <c r="C209" s="663"/>
      <c r="D209" s="663"/>
      <c r="E209" s="663"/>
      <c r="F209" s="663"/>
      <c r="G209" s="663"/>
      <c r="H209" s="663"/>
      <c r="I209" s="663"/>
      <c r="J209" s="663"/>
      <c r="K209" s="663"/>
      <c r="L209" s="663"/>
      <c r="M209" s="663"/>
      <c r="N209" s="663"/>
      <c r="O209" s="663"/>
      <c r="P209" s="663"/>
      <c r="Q209" s="663"/>
      <c r="R209" s="663"/>
      <c r="S209" s="663"/>
      <c r="T209" s="663"/>
      <c r="U209" s="663"/>
      <c r="V209" s="663"/>
      <c r="W209" s="663"/>
      <c r="X209" s="663"/>
      <c r="Y209" s="663"/>
      <c r="Z209" s="663"/>
      <c r="AA209" s="65"/>
      <c r="AB209" s="65"/>
      <c r="AC209" s="79"/>
    </row>
    <row r="210" spans="1:68" ht="14.25" hidden="1" customHeight="1" x14ac:dyDescent="0.25">
      <c r="A210" s="664" t="s">
        <v>121</v>
      </c>
      <c r="B210" s="664"/>
      <c r="C210" s="664"/>
      <c r="D210" s="664"/>
      <c r="E210" s="664"/>
      <c r="F210" s="664"/>
      <c r="G210" s="664"/>
      <c r="H210" s="664"/>
      <c r="I210" s="664"/>
      <c r="J210" s="664"/>
      <c r="K210" s="664"/>
      <c r="L210" s="664"/>
      <c r="M210" s="664"/>
      <c r="N210" s="664"/>
      <c r="O210" s="664"/>
      <c r="P210" s="664"/>
      <c r="Q210" s="664"/>
      <c r="R210" s="664"/>
      <c r="S210" s="664"/>
      <c r="T210" s="664"/>
      <c r="U210" s="664"/>
      <c r="V210" s="664"/>
      <c r="W210" s="664"/>
      <c r="X210" s="664"/>
      <c r="Y210" s="664"/>
      <c r="Z210" s="664"/>
      <c r="AA210" s="66"/>
      <c r="AB210" s="66"/>
      <c r="AC210" s="80"/>
    </row>
    <row r="211" spans="1:68" ht="27" hidden="1" customHeight="1" x14ac:dyDescent="0.25">
      <c r="A211" s="63" t="s">
        <v>361</v>
      </c>
      <c r="B211" s="63" t="s">
        <v>362</v>
      </c>
      <c r="C211" s="36">
        <v>4301011223</v>
      </c>
      <c r="D211" s="665">
        <v>4607091383423</v>
      </c>
      <c r="E211" s="665"/>
      <c r="F211" s="62">
        <v>1.35</v>
      </c>
      <c r="G211" s="37">
        <v>8</v>
      </c>
      <c r="H211" s="62">
        <v>10.8</v>
      </c>
      <c r="I211" s="62">
        <v>11.305999999999999</v>
      </c>
      <c r="J211" s="37">
        <v>64</v>
      </c>
      <c r="K211" s="37" t="s">
        <v>126</v>
      </c>
      <c r="L211" s="37" t="s">
        <v>46</v>
      </c>
      <c r="M211" s="38" t="s">
        <v>89</v>
      </c>
      <c r="N211" s="38"/>
      <c r="O211" s="37">
        <v>35</v>
      </c>
      <c r="P211" s="85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1" s="667"/>
      <c r="R211" s="667"/>
      <c r="S211" s="667"/>
      <c r="T211" s="668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ref="Y211:Y217" si="31">IFERROR(IF(X211="",0,CEILING((X211/$H211),1)*$H211),"")</f>
        <v>0</v>
      </c>
      <c r="Z211" s="41" t="str">
        <f t="shared" ref="Z211:Z217" si="32">IFERROR(IF(Y211=0,"",ROUNDUP(Y211/H211,0)*0.01898),"")</f>
        <v/>
      </c>
      <c r="AA211" s="68" t="s">
        <v>46</v>
      </c>
      <c r="AB211" s="69" t="s">
        <v>46</v>
      </c>
      <c r="AC211" s="290" t="s">
        <v>124</v>
      </c>
      <c r="AG211" s="78"/>
      <c r="AJ211" s="84" t="s">
        <v>46</v>
      </c>
      <c r="AK211" s="84">
        <v>0</v>
      </c>
      <c r="BB211" s="291" t="s">
        <v>66</v>
      </c>
      <c r="BM211" s="78">
        <f t="shared" ref="BM211:BM217" si="33">IFERROR(X211*I211/H211,"0")</f>
        <v>0</v>
      </c>
      <c r="BN211" s="78">
        <f t="shared" ref="BN211:BN217" si="34">IFERROR(Y211*I211/H211,"0")</f>
        <v>0</v>
      </c>
      <c r="BO211" s="78">
        <f t="shared" ref="BO211:BO217" si="35">IFERROR(1/J211*(X211/H211),"0")</f>
        <v>0</v>
      </c>
      <c r="BP211" s="78">
        <f t="shared" ref="BP211:BP217" si="36">IFERROR(1/J211*(Y211/H211),"0")</f>
        <v>0</v>
      </c>
    </row>
    <row r="212" spans="1:68" ht="27" hidden="1" customHeight="1" x14ac:dyDescent="0.25">
      <c r="A212" s="63" t="s">
        <v>363</v>
      </c>
      <c r="B212" s="63" t="s">
        <v>364</v>
      </c>
      <c r="C212" s="36">
        <v>4301012340</v>
      </c>
      <c r="D212" s="665">
        <v>4680115888760</v>
      </c>
      <c r="E212" s="665"/>
      <c r="F212" s="62">
        <v>1.4</v>
      </c>
      <c r="G212" s="37">
        <v>6</v>
      </c>
      <c r="H212" s="62">
        <v>8.4</v>
      </c>
      <c r="I212" s="62">
        <v>8.81</v>
      </c>
      <c r="J212" s="37">
        <v>64</v>
      </c>
      <c r="K212" s="37" t="s">
        <v>126</v>
      </c>
      <c r="L212" s="37" t="s">
        <v>46</v>
      </c>
      <c r="M212" s="38" t="s">
        <v>89</v>
      </c>
      <c r="N212" s="38"/>
      <c r="O212" s="37">
        <v>35</v>
      </c>
      <c r="P212" s="85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2" s="667"/>
      <c r="R212" s="667"/>
      <c r="S212" s="667"/>
      <c r="T212" s="668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31"/>
        <v>0</v>
      </c>
      <c r="Z212" s="41" t="str">
        <f t="shared" si="32"/>
        <v/>
      </c>
      <c r="AA212" s="68" t="s">
        <v>46</v>
      </c>
      <c r="AB212" s="69" t="s">
        <v>46</v>
      </c>
      <c r="AC212" s="292" t="s">
        <v>365</v>
      </c>
      <c r="AG212" s="78"/>
      <c r="AJ212" s="84" t="s">
        <v>46</v>
      </c>
      <c r="AK212" s="84">
        <v>0</v>
      </c>
      <c r="BB212" s="293" t="s">
        <v>66</v>
      </c>
      <c r="BM212" s="78">
        <f t="shared" si="33"/>
        <v>0</v>
      </c>
      <c r="BN212" s="78">
        <f t="shared" si="34"/>
        <v>0</v>
      </c>
      <c r="BO212" s="78">
        <f t="shared" si="35"/>
        <v>0</v>
      </c>
      <c r="BP212" s="78">
        <f t="shared" si="36"/>
        <v>0</v>
      </c>
    </row>
    <row r="213" spans="1:68" ht="27" hidden="1" customHeight="1" x14ac:dyDescent="0.25">
      <c r="A213" s="63" t="s">
        <v>366</v>
      </c>
      <c r="B213" s="63" t="s">
        <v>367</v>
      </c>
      <c r="C213" s="36">
        <v>4301012341</v>
      </c>
      <c r="D213" s="665">
        <v>4680115888807</v>
      </c>
      <c r="E213" s="665"/>
      <c r="F213" s="62">
        <v>1.4</v>
      </c>
      <c r="G213" s="37">
        <v>6</v>
      </c>
      <c r="H213" s="62">
        <v>8.4</v>
      </c>
      <c r="I213" s="62">
        <v>8.81</v>
      </c>
      <c r="J213" s="37">
        <v>64</v>
      </c>
      <c r="K213" s="37" t="s">
        <v>126</v>
      </c>
      <c r="L213" s="37" t="s">
        <v>46</v>
      </c>
      <c r="M213" s="38" t="s">
        <v>89</v>
      </c>
      <c r="N213" s="38"/>
      <c r="O213" s="37">
        <v>35</v>
      </c>
      <c r="P213" s="85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3" s="667"/>
      <c r="R213" s="667"/>
      <c r="S213" s="667"/>
      <c r="T213" s="668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31"/>
        <v>0</v>
      </c>
      <c r="Z213" s="41" t="str">
        <f t="shared" si="32"/>
        <v/>
      </c>
      <c r="AA213" s="68" t="s">
        <v>46</v>
      </c>
      <c r="AB213" s="69" t="s">
        <v>46</v>
      </c>
      <c r="AC213" s="294" t="s">
        <v>368</v>
      </c>
      <c r="AG213" s="78"/>
      <c r="AJ213" s="84" t="s">
        <v>46</v>
      </c>
      <c r="AK213" s="84">
        <v>0</v>
      </c>
      <c r="BB213" s="295" t="s">
        <v>66</v>
      </c>
      <c r="BM213" s="78">
        <f t="shared" si="33"/>
        <v>0</v>
      </c>
      <c r="BN213" s="78">
        <f t="shared" si="34"/>
        <v>0</v>
      </c>
      <c r="BO213" s="78">
        <f t="shared" si="35"/>
        <v>0</v>
      </c>
      <c r="BP213" s="78">
        <f t="shared" si="36"/>
        <v>0</v>
      </c>
    </row>
    <row r="214" spans="1:68" ht="27" hidden="1" customHeight="1" x14ac:dyDescent="0.25">
      <c r="A214" s="63" t="s">
        <v>369</v>
      </c>
      <c r="B214" s="63" t="s">
        <v>370</v>
      </c>
      <c r="C214" s="36">
        <v>4301012342</v>
      </c>
      <c r="D214" s="665">
        <v>4680115888852</v>
      </c>
      <c r="E214" s="665"/>
      <c r="F214" s="62">
        <v>0.9</v>
      </c>
      <c r="G214" s="37">
        <v>6</v>
      </c>
      <c r="H214" s="62">
        <v>5.4</v>
      </c>
      <c r="I214" s="62">
        <v>5.81</v>
      </c>
      <c r="J214" s="37">
        <v>64</v>
      </c>
      <c r="K214" s="37" t="s">
        <v>126</v>
      </c>
      <c r="L214" s="37" t="s">
        <v>46</v>
      </c>
      <c r="M214" s="38" t="s">
        <v>89</v>
      </c>
      <c r="N214" s="38"/>
      <c r="O214" s="37">
        <v>35</v>
      </c>
      <c r="P214" s="85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4" s="667"/>
      <c r="R214" s="667"/>
      <c r="S214" s="667"/>
      <c r="T214" s="668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31"/>
        <v>0</v>
      </c>
      <c r="Z214" s="41" t="str">
        <f t="shared" si="32"/>
        <v/>
      </c>
      <c r="AA214" s="68" t="s">
        <v>46</v>
      </c>
      <c r="AB214" s="69" t="s">
        <v>46</v>
      </c>
      <c r="AC214" s="296" t="s">
        <v>371</v>
      </c>
      <c r="AG214" s="78"/>
      <c r="AJ214" s="84" t="s">
        <v>46</v>
      </c>
      <c r="AK214" s="84">
        <v>0</v>
      </c>
      <c r="BB214" s="297" t="s">
        <v>66</v>
      </c>
      <c r="BM214" s="78">
        <f t="shared" si="33"/>
        <v>0</v>
      </c>
      <c r="BN214" s="78">
        <f t="shared" si="34"/>
        <v>0</v>
      </c>
      <c r="BO214" s="78">
        <f t="shared" si="35"/>
        <v>0</v>
      </c>
      <c r="BP214" s="78">
        <f t="shared" si="36"/>
        <v>0</v>
      </c>
    </row>
    <row r="215" spans="1:68" ht="37.5" hidden="1" customHeight="1" x14ac:dyDescent="0.25">
      <c r="A215" s="63" t="s">
        <v>372</v>
      </c>
      <c r="B215" s="63" t="s">
        <v>373</v>
      </c>
      <c r="C215" s="36">
        <v>4301012370</v>
      </c>
      <c r="D215" s="665">
        <v>4680115886957</v>
      </c>
      <c r="E215" s="665"/>
      <c r="F215" s="62">
        <v>1.35</v>
      </c>
      <c r="G215" s="37">
        <v>8</v>
      </c>
      <c r="H215" s="62">
        <v>10.8</v>
      </c>
      <c r="I215" s="62">
        <v>11.29</v>
      </c>
      <c r="J215" s="37">
        <v>64</v>
      </c>
      <c r="K215" s="37" t="s">
        <v>126</v>
      </c>
      <c r="L215" s="37" t="s">
        <v>46</v>
      </c>
      <c r="M215" s="38" t="s">
        <v>89</v>
      </c>
      <c r="N215" s="38"/>
      <c r="O215" s="37">
        <v>35</v>
      </c>
      <c r="P215" s="85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5" s="667"/>
      <c r="R215" s="667"/>
      <c r="S215" s="667"/>
      <c r="T215" s="668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31"/>
        <v>0</v>
      </c>
      <c r="Z215" s="41" t="str">
        <f t="shared" si="32"/>
        <v/>
      </c>
      <c r="AA215" s="68" t="s">
        <v>46</v>
      </c>
      <c r="AB215" s="69" t="s">
        <v>46</v>
      </c>
      <c r="AC215" s="298" t="s">
        <v>374</v>
      </c>
      <c r="AG215" s="78"/>
      <c r="AJ215" s="84" t="s">
        <v>46</v>
      </c>
      <c r="AK215" s="84">
        <v>0</v>
      </c>
      <c r="BB215" s="299" t="s">
        <v>66</v>
      </c>
      <c r="BM215" s="78">
        <f t="shared" si="33"/>
        <v>0</v>
      </c>
      <c r="BN215" s="78">
        <f t="shared" si="34"/>
        <v>0</v>
      </c>
      <c r="BO215" s="78">
        <f t="shared" si="35"/>
        <v>0</v>
      </c>
      <c r="BP215" s="78">
        <f t="shared" si="36"/>
        <v>0</v>
      </c>
    </row>
    <row r="216" spans="1:68" ht="27" hidden="1" customHeight="1" x14ac:dyDescent="0.25">
      <c r="A216" s="63" t="s">
        <v>375</v>
      </c>
      <c r="B216" s="63" t="s">
        <v>376</v>
      </c>
      <c r="C216" s="36">
        <v>4301012098</v>
      </c>
      <c r="D216" s="665">
        <v>4680115885660</v>
      </c>
      <c r="E216" s="665"/>
      <c r="F216" s="62">
        <v>1.35</v>
      </c>
      <c r="G216" s="37">
        <v>8</v>
      </c>
      <c r="H216" s="62">
        <v>10.8</v>
      </c>
      <c r="I216" s="62">
        <v>11.21</v>
      </c>
      <c r="J216" s="37">
        <v>64</v>
      </c>
      <c r="K216" s="37" t="s">
        <v>126</v>
      </c>
      <c r="L216" s="37" t="s">
        <v>46</v>
      </c>
      <c r="M216" s="38" t="s">
        <v>89</v>
      </c>
      <c r="N216" s="38"/>
      <c r="O216" s="37">
        <v>35</v>
      </c>
      <c r="P216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6" s="667"/>
      <c r="R216" s="667"/>
      <c r="S216" s="667"/>
      <c r="T216" s="668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1"/>
        <v>0</v>
      </c>
      <c r="Z216" s="41" t="str">
        <f t="shared" si="32"/>
        <v/>
      </c>
      <c r="AA216" s="68" t="s">
        <v>46</v>
      </c>
      <c r="AB216" s="69" t="s">
        <v>46</v>
      </c>
      <c r="AC216" s="300" t="s">
        <v>377</v>
      </c>
      <c r="AG216" s="78"/>
      <c r="AJ216" s="84" t="s">
        <v>46</v>
      </c>
      <c r="AK216" s="84">
        <v>0</v>
      </c>
      <c r="BB216" s="301" t="s">
        <v>66</v>
      </c>
      <c r="BM216" s="78">
        <f t="shared" si="33"/>
        <v>0</v>
      </c>
      <c r="BN216" s="78">
        <f t="shared" si="34"/>
        <v>0</v>
      </c>
      <c r="BO216" s="78">
        <f t="shared" si="35"/>
        <v>0</v>
      </c>
      <c r="BP216" s="78">
        <f t="shared" si="36"/>
        <v>0</v>
      </c>
    </row>
    <row r="217" spans="1:68" ht="27" hidden="1" customHeight="1" x14ac:dyDescent="0.25">
      <c r="A217" s="63" t="s">
        <v>378</v>
      </c>
      <c r="B217" s="63" t="s">
        <v>379</v>
      </c>
      <c r="C217" s="36">
        <v>4301012369</v>
      </c>
      <c r="D217" s="665">
        <v>4680115886773</v>
      </c>
      <c r="E217" s="665"/>
      <c r="F217" s="62">
        <v>0.9</v>
      </c>
      <c r="G217" s="37">
        <v>10</v>
      </c>
      <c r="H217" s="62">
        <v>9</v>
      </c>
      <c r="I217" s="62">
        <v>9.51</v>
      </c>
      <c r="J217" s="37">
        <v>64</v>
      </c>
      <c r="K217" s="37" t="s">
        <v>126</v>
      </c>
      <c r="L217" s="37" t="s">
        <v>46</v>
      </c>
      <c r="M217" s="38" t="s">
        <v>89</v>
      </c>
      <c r="N217" s="38"/>
      <c r="O217" s="37">
        <v>35</v>
      </c>
      <c r="P217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7" s="667"/>
      <c r="R217" s="667"/>
      <c r="S217" s="667"/>
      <c r="T217" s="668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1"/>
        <v>0</v>
      </c>
      <c r="Z217" s="41" t="str">
        <f t="shared" si="32"/>
        <v/>
      </c>
      <c r="AA217" s="68" t="s">
        <v>46</v>
      </c>
      <c r="AB217" s="69" t="s">
        <v>46</v>
      </c>
      <c r="AC217" s="302" t="s">
        <v>380</v>
      </c>
      <c r="AG217" s="78"/>
      <c r="AJ217" s="84" t="s">
        <v>46</v>
      </c>
      <c r="AK217" s="84">
        <v>0</v>
      </c>
      <c r="BB217" s="303" t="s">
        <v>66</v>
      </c>
      <c r="BM217" s="78">
        <f t="shared" si="33"/>
        <v>0</v>
      </c>
      <c r="BN217" s="78">
        <f t="shared" si="34"/>
        <v>0</v>
      </c>
      <c r="BO217" s="78">
        <f t="shared" si="35"/>
        <v>0</v>
      </c>
      <c r="BP217" s="78">
        <f t="shared" si="36"/>
        <v>0</v>
      </c>
    </row>
    <row r="218" spans="1:68" hidden="1" x14ac:dyDescent="0.2">
      <c r="A218" s="661"/>
      <c r="B218" s="661"/>
      <c r="C218" s="661"/>
      <c r="D218" s="661"/>
      <c r="E218" s="661"/>
      <c r="F218" s="661"/>
      <c r="G218" s="661"/>
      <c r="H218" s="661"/>
      <c r="I218" s="661"/>
      <c r="J218" s="661"/>
      <c r="K218" s="661"/>
      <c r="L218" s="661"/>
      <c r="M218" s="661"/>
      <c r="N218" s="661"/>
      <c r="O218" s="662"/>
      <c r="P218" s="658" t="s">
        <v>40</v>
      </c>
      <c r="Q218" s="659"/>
      <c r="R218" s="659"/>
      <c r="S218" s="659"/>
      <c r="T218" s="659"/>
      <c r="U218" s="659"/>
      <c r="V218" s="660"/>
      <c r="W218" s="42" t="s">
        <v>39</v>
      </c>
      <c r="X218" s="43">
        <f>IFERROR(X211/H211,"0")+IFERROR(X212/H212,"0")+IFERROR(X213/H213,"0")+IFERROR(X214/H214,"0")+IFERROR(X215/H215,"0")+IFERROR(X216/H216,"0")+IFERROR(X217/H217,"0")</f>
        <v>0</v>
      </c>
      <c r="Y218" s="43">
        <f>IFERROR(Y211/H211,"0")+IFERROR(Y212/H212,"0")+IFERROR(Y213/H213,"0")+IFERROR(Y214/H214,"0")+IFERROR(Y215/H215,"0")+IFERROR(Y216/H216,"0")+IFERROR(Y217/H217,"0")</f>
        <v>0</v>
      </c>
      <c r="Z218" s="43">
        <f>IFERROR(IF(Z211="",0,Z211),"0")+IFERROR(IF(Z212="",0,Z212),"0")+IFERROR(IF(Z213="",0,Z213),"0")+IFERROR(IF(Z214="",0,Z214),"0")+IFERROR(IF(Z215="",0,Z215),"0")+IFERROR(IF(Z216="",0,Z216),"0")+IFERROR(IF(Z217="",0,Z217),"0")</f>
        <v>0</v>
      </c>
      <c r="AA218" s="67"/>
      <c r="AB218" s="67"/>
      <c r="AC218" s="67"/>
    </row>
    <row r="219" spans="1:68" hidden="1" x14ac:dyDescent="0.2">
      <c r="A219" s="661"/>
      <c r="B219" s="661"/>
      <c r="C219" s="661"/>
      <c r="D219" s="661"/>
      <c r="E219" s="661"/>
      <c r="F219" s="661"/>
      <c r="G219" s="661"/>
      <c r="H219" s="661"/>
      <c r="I219" s="661"/>
      <c r="J219" s="661"/>
      <c r="K219" s="661"/>
      <c r="L219" s="661"/>
      <c r="M219" s="661"/>
      <c r="N219" s="661"/>
      <c r="O219" s="662"/>
      <c r="P219" s="658" t="s">
        <v>40</v>
      </c>
      <c r="Q219" s="659"/>
      <c r="R219" s="659"/>
      <c r="S219" s="659"/>
      <c r="T219" s="659"/>
      <c r="U219" s="659"/>
      <c r="V219" s="660"/>
      <c r="W219" s="42" t="s">
        <v>0</v>
      </c>
      <c r="X219" s="43">
        <f>IFERROR(SUM(X211:X217),"0")</f>
        <v>0</v>
      </c>
      <c r="Y219" s="43">
        <f>IFERROR(SUM(Y211:Y217),"0")</f>
        <v>0</v>
      </c>
      <c r="Z219" s="42"/>
      <c r="AA219" s="67"/>
      <c r="AB219" s="67"/>
      <c r="AC219" s="67"/>
    </row>
    <row r="220" spans="1:68" ht="16.5" hidden="1" customHeight="1" x14ac:dyDescent="0.25">
      <c r="A220" s="663" t="s">
        <v>381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5"/>
      <c r="AB220" s="65"/>
      <c r="AC220" s="79"/>
    </row>
    <row r="221" spans="1:68" ht="14.25" hidden="1" customHeight="1" x14ac:dyDescent="0.25">
      <c r="A221" s="664" t="s">
        <v>154</v>
      </c>
      <c r="B221" s="664"/>
      <c r="C221" s="664"/>
      <c r="D221" s="664"/>
      <c r="E221" s="664"/>
      <c r="F221" s="664"/>
      <c r="G221" s="664"/>
      <c r="H221" s="664"/>
      <c r="I221" s="664"/>
      <c r="J221" s="664"/>
      <c r="K221" s="664"/>
      <c r="L221" s="664"/>
      <c r="M221" s="664"/>
      <c r="N221" s="664"/>
      <c r="O221" s="664"/>
      <c r="P221" s="664"/>
      <c r="Q221" s="664"/>
      <c r="R221" s="664"/>
      <c r="S221" s="664"/>
      <c r="T221" s="664"/>
      <c r="U221" s="664"/>
      <c r="V221" s="664"/>
      <c r="W221" s="664"/>
      <c r="X221" s="664"/>
      <c r="Y221" s="664"/>
      <c r="Z221" s="664"/>
      <c r="AA221" s="66"/>
      <c r="AB221" s="66"/>
      <c r="AC221" s="80"/>
    </row>
    <row r="222" spans="1:68" ht="27" hidden="1" customHeight="1" x14ac:dyDescent="0.25">
      <c r="A222" s="63" t="s">
        <v>382</v>
      </c>
      <c r="B222" s="63" t="s">
        <v>383</v>
      </c>
      <c r="C222" s="36">
        <v>4301020323</v>
      </c>
      <c r="D222" s="665">
        <v>4680115886223</v>
      </c>
      <c r="E222" s="665"/>
      <c r="F222" s="62">
        <v>0.33</v>
      </c>
      <c r="G222" s="37">
        <v>6</v>
      </c>
      <c r="H222" s="62">
        <v>1.98</v>
      </c>
      <c r="I222" s="62">
        <v>2.08</v>
      </c>
      <c r="J222" s="37">
        <v>234</v>
      </c>
      <c r="K222" s="37" t="s">
        <v>81</v>
      </c>
      <c r="L222" s="37" t="s">
        <v>46</v>
      </c>
      <c r="M222" s="38" t="s">
        <v>80</v>
      </c>
      <c r="N222" s="38"/>
      <c r="O222" s="37">
        <v>40</v>
      </c>
      <c r="P222" s="84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2" s="667"/>
      <c r="R222" s="667"/>
      <c r="S222" s="667"/>
      <c r="T222" s="668"/>
      <c r="U222" s="39" t="s">
        <v>46</v>
      </c>
      <c r="V222" s="39" t="s">
        <v>46</v>
      </c>
      <c r="W222" s="40" t="s">
        <v>0</v>
      </c>
      <c r="X222" s="58">
        <v>0</v>
      </c>
      <c r="Y222" s="55">
        <f>IFERROR(IF(X222="",0,CEILING((X222/$H222),1)*$H222),"")</f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304" t="s">
        <v>384</v>
      </c>
      <c r="AG222" s="78"/>
      <c r="AJ222" s="84" t="s">
        <v>46</v>
      </c>
      <c r="AK222" s="84">
        <v>0</v>
      </c>
      <c r="BB222" s="305" t="s">
        <v>66</v>
      </c>
      <c r="BM222" s="78">
        <f>IFERROR(X222*I222/H222,"0")</f>
        <v>0</v>
      </c>
      <c r="BN222" s="78">
        <f>IFERROR(Y222*I222/H222,"0")</f>
        <v>0</v>
      </c>
      <c r="BO222" s="78">
        <f>IFERROR(1/J222*(X222/H222),"0")</f>
        <v>0</v>
      </c>
      <c r="BP222" s="78">
        <f>IFERROR(1/J222*(Y222/H222),"0")</f>
        <v>0</v>
      </c>
    </row>
    <row r="223" spans="1:68" hidden="1" x14ac:dyDescent="0.2">
      <c r="A223" s="661"/>
      <c r="B223" s="661"/>
      <c r="C223" s="661"/>
      <c r="D223" s="661"/>
      <c r="E223" s="661"/>
      <c r="F223" s="661"/>
      <c r="G223" s="661"/>
      <c r="H223" s="661"/>
      <c r="I223" s="661"/>
      <c r="J223" s="661"/>
      <c r="K223" s="661"/>
      <c r="L223" s="661"/>
      <c r="M223" s="661"/>
      <c r="N223" s="661"/>
      <c r="O223" s="662"/>
      <c r="P223" s="658" t="s">
        <v>40</v>
      </c>
      <c r="Q223" s="659"/>
      <c r="R223" s="659"/>
      <c r="S223" s="659"/>
      <c r="T223" s="659"/>
      <c r="U223" s="659"/>
      <c r="V223" s="660"/>
      <c r="W223" s="42" t="s">
        <v>39</v>
      </c>
      <c r="X223" s="43">
        <f>IFERROR(X222/H222,"0")</f>
        <v>0</v>
      </c>
      <c r="Y223" s="43">
        <f>IFERROR(Y222/H222,"0")</f>
        <v>0</v>
      </c>
      <c r="Z223" s="43">
        <f>IFERROR(IF(Z222="",0,Z222),"0")</f>
        <v>0</v>
      </c>
      <c r="AA223" s="67"/>
      <c r="AB223" s="67"/>
      <c r="AC223" s="67"/>
    </row>
    <row r="224" spans="1:68" hidden="1" x14ac:dyDescent="0.2">
      <c r="A224" s="661"/>
      <c r="B224" s="661"/>
      <c r="C224" s="661"/>
      <c r="D224" s="661"/>
      <c r="E224" s="661"/>
      <c r="F224" s="661"/>
      <c r="G224" s="661"/>
      <c r="H224" s="661"/>
      <c r="I224" s="661"/>
      <c r="J224" s="661"/>
      <c r="K224" s="661"/>
      <c r="L224" s="661"/>
      <c r="M224" s="661"/>
      <c r="N224" s="661"/>
      <c r="O224" s="662"/>
      <c r="P224" s="658" t="s">
        <v>40</v>
      </c>
      <c r="Q224" s="659"/>
      <c r="R224" s="659"/>
      <c r="S224" s="659"/>
      <c r="T224" s="659"/>
      <c r="U224" s="659"/>
      <c r="V224" s="660"/>
      <c r="W224" s="42" t="s">
        <v>0</v>
      </c>
      <c r="X224" s="43">
        <f>IFERROR(SUM(X222:X222),"0")</f>
        <v>0</v>
      </c>
      <c r="Y224" s="43">
        <f>IFERROR(SUM(Y222:Y222),"0")</f>
        <v>0</v>
      </c>
      <c r="Z224" s="42"/>
      <c r="AA224" s="67"/>
      <c r="AB224" s="67"/>
      <c r="AC224" s="67"/>
    </row>
    <row r="225" spans="1:68" ht="14.25" hidden="1" customHeight="1" x14ac:dyDescent="0.25">
      <c r="A225" s="664" t="s">
        <v>76</v>
      </c>
      <c r="B225" s="664"/>
      <c r="C225" s="664"/>
      <c r="D225" s="664"/>
      <c r="E225" s="664"/>
      <c r="F225" s="664"/>
      <c r="G225" s="664"/>
      <c r="H225" s="664"/>
      <c r="I225" s="664"/>
      <c r="J225" s="664"/>
      <c r="K225" s="664"/>
      <c r="L225" s="664"/>
      <c r="M225" s="664"/>
      <c r="N225" s="664"/>
      <c r="O225" s="664"/>
      <c r="P225" s="664"/>
      <c r="Q225" s="664"/>
      <c r="R225" s="664"/>
      <c r="S225" s="664"/>
      <c r="T225" s="664"/>
      <c r="U225" s="664"/>
      <c r="V225" s="664"/>
      <c r="W225" s="664"/>
      <c r="X225" s="664"/>
      <c r="Y225" s="664"/>
      <c r="Z225" s="664"/>
      <c r="AA225" s="66"/>
      <c r="AB225" s="66"/>
      <c r="AC225" s="80"/>
    </row>
    <row r="226" spans="1:68" ht="27" hidden="1" customHeight="1" x14ac:dyDescent="0.25">
      <c r="A226" s="63" t="s">
        <v>385</v>
      </c>
      <c r="B226" s="63" t="s">
        <v>386</v>
      </c>
      <c r="C226" s="36">
        <v>4301031191</v>
      </c>
      <c r="D226" s="665">
        <v>4680115880993</v>
      </c>
      <c r="E226" s="665"/>
      <c r="F226" s="62">
        <v>0.7</v>
      </c>
      <c r="G226" s="37">
        <v>6</v>
      </c>
      <c r="H226" s="62">
        <v>4.2</v>
      </c>
      <c r="I226" s="62">
        <v>4.45</v>
      </c>
      <c r="J226" s="37">
        <v>132</v>
      </c>
      <c r="K226" s="37" t="s">
        <v>133</v>
      </c>
      <c r="L226" s="37" t="s">
        <v>46</v>
      </c>
      <c r="M226" s="38" t="s">
        <v>80</v>
      </c>
      <c r="N226" s="38"/>
      <c r="O226" s="37">
        <v>40</v>
      </c>
      <c r="P226" s="84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6" s="667"/>
      <c r="R226" s="667"/>
      <c r="S226" s="667"/>
      <c r="T226" s="668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ref="Y226:Y239" si="37">IFERROR(IF(X226="",0,CEILING((X226/$H226),1)*$H226),"")</f>
        <v>0</v>
      </c>
      <c r="Z226" s="41" t="str">
        <f>IFERROR(IF(Y226=0,"",ROUNDUP(Y226/H226,0)*0.00902),"")</f>
        <v/>
      </c>
      <c r="AA226" s="68" t="s">
        <v>46</v>
      </c>
      <c r="AB226" s="69" t="s">
        <v>46</v>
      </c>
      <c r="AC226" s="306" t="s">
        <v>387</v>
      </c>
      <c r="AG226" s="78"/>
      <c r="AJ226" s="84" t="s">
        <v>46</v>
      </c>
      <c r="AK226" s="84">
        <v>0</v>
      </c>
      <c r="BB226" s="307" t="s">
        <v>66</v>
      </c>
      <c r="BM226" s="78">
        <f t="shared" ref="BM226:BM239" si="38">IFERROR(X226*I226/H226,"0")</f>
        <v>0</v>
      </c>
      <c r="BN226" s="78">
        <f t="shared" ref="BN226:BN239" si="39">IFERROR(Y226*I226/H226,"0")</f>
        <v>0</v>
      </c>
      <c r="BO226" s="78">
        <f t="shared" ref="BO226:BO239" si="40">IFERROR(1/J226*(X226/H226),"0")</f>
        <v>0</v>
      </c>
      <c r="BP226" s="78">
        <f t="shared" ref="BP226:BP239" si="41">IFERROR(1/J226*(Y226/H226),"0")</f>
        <v>0</v>
      </c>
    </row>
    <row r="227" spans="1:68" ht="27" hidden="1" customHeight="1" x14ac:dyDescent="0.25">
      <c r="A227" s="63" t="s">
        <v>388</v>
      </c>
      <c r="B227" s="63" t="s">
        <v>389</v>
      </c>
      <c r="C227" s="36">
        <v>4301031204</v>
      </c>
      <c r="D227" s="665">
        <v>4680115881761</v>
      </c>
      <c r="E227" s="665"/>
      <c r="F227" s="62">
        <v>0.7</v>
      </c>
      <c r="G227" s="37">
        <v>6</v>
      </c>
      <c r="H227" s="62">
        <v>4.2</v>
      </c>
      <c r="I227" s="62">
        <v>4.45</v>
      </c>
      <c r="J227" s="37">
        <v>132</v>
      </c>
      <c r="K227" s="37" t="s">
        <v>133</v>
      </c>
      <c r="L227" s="37" t="s">
        <v>46</v>
      </c>
      <c r="M227" s="38" t="s">
        <v>80</v>
      </c>
      <c r="N227" s="38"/>
      <c r="O227" s="37">
        <v>40</v>
      </c>
      <c r="P227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7" s="667"/>
      <c r="R227" s="667"/>
      <c r="S227" s="667"/>
      <c r="T227" s="668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7"/>
        <v>0</v>
      </c>
      <c r="Z227" s="41" t="str">
        <f>IFERROR(IF(Y227=0,"",ROUNDUP(Y227/H227,0)*0.00902),"")</f>
        <v/>
      </c>
      <c r="AA227" s="68" t="s">
        <v>46</v>
      </c>
      <c r="AB227" s="69" t="s">
        <v>46</v>
      </c>
      <c r="AC227" s="308" t="s">
        <v>390</v>
      </c>
      <c r="AG227" s="78"/>
      <c r="AJ227" s="84" t="s">
        <v>46</v>
      </c>
      <c r="AK227" s="84">
        <v>0</v>
      </c>
      <c r="BB227" s="309" t="s">
        <v>66</v>
      </c>
      <c r="BM227" s="78">
        <f t="shared" si="38"/>
        <v>0</v>
      </c>
      <c r="BN227" s="78">
        <f t="shared" si="39"/>
        <v>0</v>
      </c>
      <c r="BO227" s="78">
        <f t="shared" si="40"/>
        <v>0</v>
      </c>
      <c r="BP227" s="78">
        <f t="shared" si="41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4301031201</v>
      </c>
      <c r="D228" s="665">
        <v>4680115881563</v>
      </c>
      <c r="E228" s="665"/>
      <c r="F228" s="62">
        <v>0.7</v>
      </c>
      <c r="G228" s="37">
        <v>6</v>
      </c>
      <c r="H228" s="62">
        <v>4.2</v>
      </c>
      <c r="I228" s="62">
        <v>4.3899999999999997</v>
      </c>
      <c r="J228" s="37">
        <v>132</v>
      </c>
      <c r="K228" s="37" t="s">
        <v>133</v>
      </c>
      <c r="L228" s="37" t="s">
        <v>46</v>
      </c>
      <c r="M228" s="38" t="s">
        <v>80</v>
      </c>
      <c r="N228" s="38"/>
      <c r="O228" s="37">
        <v>40</v>
      </c>
      <c r="P228" s="83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8" s="667"/>
      <c r="R228" s="667"/>
      <c r="S228" s="667"/>
      <c r="T228" s="668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7"/>
        <v>0</v>
      </c>
      <c r="Z228" s="41" t="str">
        <f>IFERROR(IF(Y228=0,"",ROUNDUP(Y228/H228,0)*0.00902),"")</f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66</v>
      </c>
      <c r="BM228" s="78">
        <f t="shared" si="38"/>
        <v>0</v>
      </c>
      <c r="BN228" s="78">
        <f t="shared" si="39"/>
        <v>0</v>
      </c>
      <c r="BO228" s="78">
        <f t="shared" si="40"/>
        <v>0</v>
      </c>
      <c r="BP228" s="78">
        <f t="shared" si="41"/>
        <v>0</v>
      </c>
    </row>
    <row r="229" spans="1:68" ht="37.5" hidden="1" customHeight="1" x14ac:dyDescent="0.25">
      <c r="A229" s="63" t="s">
        <v>394</v>
      </c>
      <c r="B229" s="63" t="s">
        <v>395</v>
      </c>
      <c r="C229" s="36">
        <v>4301031447</v>
      </c>
      <c r="D229" s="665">
        <v>4680115887565</v>
      </c>
      <c r="E229" s="665"/>
      <c r="F229" s="62">
        <v>0.08</v>
      </c>
      <c r="G229" s="37">
        <v>10</v>
      </c>
      <c r="H229" s="62">
        <v>0.8</v>
      </c>
      <c r="I229" s="62">
        <v>0.93</v>
      </c>
      <c r="J229" s="37">
        <v>252</v>
      </c>
      <c r="K229" s="37" t="s">
        <v>81</v>
      </c>
      <c r="L229" s="37" t="s">
        <v>46</v>
      </c>
      <c r="M229" s="38" t="s">
        <v>80</v>
      </c>
      <c r="N229" s="38"/>
      <c r="O229" s="37">
        <v>45</v>
      </c>
      <c r="P229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9" s="667"/>
      <c r="R229" s="667"/>
      <c r="S229" s="667"/>
      <c r="T229" s="668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7"/>
        <v>0</v>
      </c>
      <c r="Z229" s="41" t="str">
        <f>IFERROR(IF(Y229=0,"",ROUNDUP(Y229/H229,0)*0.00556),"")</f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66</v>
      </c>
      <c r="BM229" s="78">
        <f t="shared" si="38"/>
        <v>0</v>
      </c>
      <c r="BN229" s="78">
        <f t="shared" si="39"/>
        <v>0</v>
      </c>
      <c r="BO229" s="78">
        <f t="shared" si="40"/>
        <v>0</v>
      </c>
      <c r="BP229" s="78">
        <f t="shared" si="41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4301031199</v>
      </c>
      <c r="D230" s="665">
        <v>4680115880986</v>
      </c>
      <c r="E230" s="665"/>
      <c r="F230" s="62">
        <v>0.35</v>
      </c>
      <c r="G230" s="37">
        <v>6</v>
      </c>
      <c r="H230" s="62">
        <v>2.1</v>
      </c>
      <c r="I230" s="62">
        <v>2.23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0" s="667"/>
      <c r="R230" s="667"/>
      <c r="S230" s="667"/>
      <c r="T230" s="668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7"/>
        <v>0</v>
      </c>
      <c r="Z230" s="41" t="str">
        <f t="shared" ref="Z230:Z235" si="42">IFERROR(IF(Y230=0,"",ROUNDUP(Y230/H230,0)*0.00502),"")</f>
        <v/>
      </c>
      <c r="AA230" s="68" t="s">
        <v>46</v>
      </c>
      <c r="AB230" s="69" t="s">
        <v>46</v>
      </c>
      <c r="AC230" s="314" t="s">
        <v>387</v>
      </c>
      <c r="AG230" s="78"/>
      <c r="AJ230" s="84" t="s">
        <v>46</v>
      </c>
      <c r="AK230" s="84">
        <v>0</v>
      </c>
      <c r="BB230" s="315" t="s">
        <v>66</v>
      </c>
      <c r="BM230" s="78">
        <f t="shared" si="38"/>
        <v>0</v>
      </c>
      <c r="BN230" s="78">
        <f t="shared" si="39"/>
        <v>0</v>
      </c>
      <c r="BO230" s="78">
        <f t="shared" si="40"/>
        <v>0</v>
      </c>
      <c r="BP230" s="78">
        <f t="shared" si="41"/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4301031443</v>
      </c>
      <c r="D231" s="665">
        <v>4680115887213</v>
      </c>
      <c r="E231" s="665"/>
      <c r="F231" s="62">
        <v>0.3</v>
      </c>
      <c r="G231" s="37">
        <v>6</v>
      </c>
      <c r="H231" s="62">
        <v>1.8</v>
      </c>
      <c r="I231" s="62">
        <v>1.9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1" s="667"/>
      <c r="R231" s="667"/>
      <c r="S231" s="667"/>
      <c r="T231" s="668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7"/>
        <v>0</v>
      </c>
      <c r="Z231" s="41" t="str">
        <f t="shared" si="42"/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66</v>
      </c>
      <c r="BM231" s="78">
        <f t="shared" si="38"/>
        <v>0</v>
      </c>
      <c r="BN231" s="78">
        <f t="shared" si="39"/>
        <v>0</v>
      </c>
      <c r="BO231" s="78">
        <f t="shared" si="40"/>
        <v>0</v>
      </c>
      <c r="BP231" s="78">
        <f t="shared" si="41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4301031205</v>
      </c>
      <c r="D232" s="665">
        <v>4680115881785</v>
      </c>
      <c r="E232" s="665"/>
      <c r="F232" s="62">
        <v>0.35</v>
      </c>
      <c r="G232" s="37">
        <v>6</v>
      </c>
      <c r="H232" s="62">
        <v>2.1</v>
      </c>
      <c r="I232" s="62">
        <v>2.23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2" s="667"/>
      <c r="R232" s="667"/>
      <c r="S232" s="667"/>
      <c r="T232" s="668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7"/>
        <v>0</v>
      </c>
      <c r="Z232" s="41" t="str">
        <f t="shared" si="42"/>
        <v/>
      </c>
      <c r="AA232" s="68" t="s">
        <v>46</v>
      </c>
      <c r="AB232" s="69" t="s">
        <v>46</v>
      </c>
      <c r="AC232" s="318" t="s">
        <v>390</v>
      </c>
      <c r="AG232" s="78"/>
      <c r="AJ232" s="84" t="s">
        <v>46</v>
      </c>
      <c r="AK232" s="84">
        <v>0</v>
      </c>
      <c r="BB232" s="319" t="s">
        <v>66</v>
      </c>
      <c r="BM232" s="78">
        <f t="shared" si="38"/>
        <v>0</v>
      </c>
      <c r="BN232" s="78">
        <f t="shared" si="39"/>
        <v>0</v>
      </c>
      <c r="BO232" s="78">
        <f t="shared" si="40"/>
        <v>0</v>
      </c>
      <c r="BP232" s="78">
        <f t="shared" si="41"/>
        <v>0</v>
      </c>
    </row>
    <row r="233" spans="1:68" ht="27" hidden="1" customHeight="1" x14ac:dyDescent="0.25">
      <c r="A233" s="63" t="s">
        <v>404</v>
      </c>
      <c r="B233" s="63" t="s">
        <v>405</v>
      </c>
      <c r="C233" s="36">
        <v>4301031499</v>
      </c>
      <c r="D233" s="665">
        <v>4680115888432</v>
      </c>
      <c r="E233" s="665"/>
      <c r="F233" s="62">
        <v>0.3</v>
      </c>
      <c r="G233" s="37">
        <v>6</v>
      </c>
      <c r="H233" s="62">
        <v>1.8</v>
      </c>
      <c r="I233" s="62">
        <v>1.93</v>
      </c>
      <c r="J233" s="37">
        <v>234</v>
      </c>
      <c r="K233" s="37" t="s">
        <v>81</v>
      </c>
      <c r="L233" s="37" t="s">
        <v>46</v>
      </c>
      <c r="M233" s="38" t="s">
        <v>80</v>
      </c>
      <c r="N233" s="38"/>
      <c r="O233" s="37">
        <v>45</v>
      </c>
      <c r="P233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3" s="667"/>
      <c r="R233" s="667"/>
      <c r="S233" s="667"/>
      <c r="T233" s="668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7"/>
        <v>0</v>
      </c>
      <c r="Z233" s="41" t="str">
        <f t="shared" si="42"/>
        <v/>
      </c>
      <c r="AA233" s="68" t="s">
        <v>46</v>
      </c>
      <c r="AB233" s="69" t="s">
        <v>46</v>
      </c>
      <c r="AC233" s="320" t="s">
        <v>406</v>
      </c>
      <c r="AG233" s="78"/>
      <c r="AJ233" s="84" t="s">
        <v>46</v>
      </c>
      <c r="AK233" s="84">
        <v>0</v>
      </c>
      <c r="BB233" s="321" t="s">
        <v>66</v>
      </c>
      <c r="BM233" s="78">
        <f t="shared" si="38"/>
        <v>0</v>
      </c>
      <c r="BN233" s="78">
        <f t="shared" si="39"/>
        <v>0</v>
      </c>
      <c r="BO233" s="78">
        <f t="shared" si="40"/>
        <v>0</v>
      </c>
      <c r="BP233" s="78">
        <f t="shared" si="41"/>
        <v>0</v>
      </c>
    </row>
    <row r="234" spans="1:68" ht="27" hidden="1" customHeight="1" x14ac:dyDescent="0.25">
      <c r="A234" s="63" t="s">
        <v>407</v>
      </c>
      <c r="B234" s="63" t="s">
        <v>408</v>
      </c>
      <c r="C234" s="36">
        <v>4301031427</v>
      </c>
      <c r="D234" s="665">
        <v>4680115888104</v>
      </c>
      <c r="E234" s="665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45</v>
      </c>
      <c r="P234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4" s="667"/>
      <c r="R234" s="667"/>
      <c r="S234" s="667"/>
      <c r="T234" s="668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7"/>
        <v>0</v>
      </c>
      <c r="Z234" s="41" t="str">
        <f t="shared" si="42"/>
        <v/>
      </c>
      <c r="AA234" s="68" t="s">
        <v>46</v>
      </c>
      <c r="AB234" s="69" t="s">
        <v>46</v>
      </c>
      <c r="AC234" s="322" t="s">
        <v>409</v>
      </c>
      <c r="AG234" s="78"/>
      <c r="AJ234" s="84" t="s">
        <v>46</v>
      </c>
      <c r="AK234" s="84">
        <v>0</v>
      </c>
      <c r="BB234" s="323" t="s">
        <v>66</v>
      </c>
      <c r="BM234" s="78">
        <f t="shared" si="38"/>
        <v>0</v>
      </c>
      <c r="BN234" s="78">
        <f t="shared" si="39"/>
        <v>0</v>
      </c>
      <c r="BO234" s="78">
        <f t="shared" si="40"/>
        <v>0</v>
      </c>
      <c r="BP234" s="78">
        <f t="shared" si="41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4301031399</v>
      </c>
      <c r="D235" s="665">
        <v>4680115886537</v>
      </c>
      <c r="E235" s="665"/>
      <c r="F235" s="62">
        <v>0.3</v>
      </c>
      <c r="G235" s="37">
        <v>6</v>
      </c>
      <c r="H235" s="62">
        <v>1.8</v>
      </c>
      <c r="I235" s="62">
        <v>1.93</v>
      </c>
      <c r="J235" s="37">
        <v>234</v>
      </c>
      <c r="K235" s="37" t="s">
        <v>81</v>
      </c>
      <c r="L235" s="37" t="s">
        <v>46</v>
      </c>
      <c r="M235" s="38" t="s">
        <v>80</v>
      </c>
      <c r="N235" s="38"/>
      <c r="O235" s="37">
        <v>40</v>
      </c>
      <c r="P235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5" s="667"/>
      <c r="R235" s="667"/>
      <c r="S235" s="667"/>
      <c r="T235" s="668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7"/>
        <v>0</v>
      </c>
      <c r="Z235" s="41" t="str">
        <f t="shared" si="42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66</v>
      </c>
      <c r="BM235" s="78">
        <f t="shared" si="38"/>
        <v>0</v>
      </c>
      <c r="BN235" s="78">
        <f t="shared" si="39"/>
        <v>0</v>
      </c>
      <c r="BO235" s="78">
        <f t="shared" si="40"/>
        <v>0</v>
      </c>
      <c r="BP235" s="78">
        <f t="shared" si="41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4301031279</v>
      </c>
      <c r="D236" s="665">
        <v>4680115887596</v>
      </c>
      <c r="E236" s="665"/>
      <c r="F236" s="62">
        <v>0.08</v>
      </c>
      <c r="G236" s="37">
        <v>10</v>
      </c>
      <c r="H236" s="62">
        <v>0.8</v>
      </c>
      <c r="I236" s="62">
        <v>1.01</v>
      </c>
      <c r="J236" s="37">
        <v>336</v>
      </c>
      <c r="K236" s="37" t="s">
        <v>130</v>
      </c>
      <c r="L236" s="37" t="s">
        <v>46</v>
      </c>
      <c r="M236" s="38" t="s">
        <v>80</v>
      </c>
      <c r="N236" s="38"/>
      <c r="O236" s="37">
        <v>45</v>
      </c>
      <c r="P236" s="83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6" s="667"/>
      <c r="R236" s="667"/>
      <c r="S236" s="667"/>
      <c r="T236" s="668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7"/>
        <v>0</v>
      </c>
      <c r="Z236" s="41" t="str">
        <f>IFERROR(IF(Y236=0,"",ROUNDUP(Y236/H236,0)*0.00417),"")</f>
        <v/>
      </c>
      <c r="AA236" s="68" t="s">
        <v>46</v>
      </c>
      <c r="AB236" s="69" t="s">
        <v>46</v>
      </c>
      <c r="AC236" s="326" t="s">
        <v>415</v>
      </c>
      <c r="AG236" s="78"/>
      <c r="AJ236" s="84" t="s">
        <v>46</v>
      </c>
      <c r="AK236" s="84">
        <v>0</v>
      </c>
      <c r="BB236" s="327" t="s">
        <v>66</v>
      </c>
      <c r="BM236" s="78">
        <f t="shared" si="38"/>
        <v>0</v>
      </c>
      <c r="BN236" s="78">
        <f t="shared" si="39"/>
        <v>0</v>
      </c>
      <c r="BO236" s="78">
        <f t="shared" si="40"/>
        <v>0</v>
      </c>
      <c r="BP236" s="78">
        <f t="shared" si="41"/>
        <v>0</v>
      </c>
    </row>
    <row r="237" spans="1:68" ht="37.5" hidden="1" customHeight="1" x14ac:dyDescent="0.25">
      <c r="A237" s="63" t="s">
        <v>416</v>
      </c>
      <c r="B237" s="63" t="s">
        <v>417</v>
      </c>
      <c r="C237" s="36">
        <v>4301031202</v>
      </c>
      <c r="D237" s="665">
        <v>4680115881679</v>
      </c>
      <c r="E237" s="665"/>
      <c r="F237" s="62">
        <v>0.35</v>
      </c>
      <c r="G237" s="37">
        <v>6</v>
      </c>
      <c r="H237" s="62">
        <v>2.1</v>
      </c>
      <c r="I237" s="62">
        <v>2.2000000000000002</v>
      </c>
      <c r="J237" s="37">
        <v>234</v>
      </c>
      <c r="K237" s="37" t="s">
        <v>81</v>
      </c>
      <c r="L237" s="37" t="s">
        <v>46</v>
      </c>
      <c r="M237" s="38" t="s">
        <v>80</v>
      </c>
      <c r="N237" s="38"/>
      <c r="O237" s="37">
        <v>40</v>
      </c>
      <c r="P237" s="83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7" s="667"/>
      <c r="R237" s="667"/>
      <c r="S237" s="667"/>
      <c r="T237" s="668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7"/>
        <v>0</v>
      </c>
      <c r="Z237" s="41" t="str">
        <f>IFERROR(IF(Y237=0,"",ROUNDUP(Y237/H237,0)*0.00502),"")</f>
        <v/>
      </c>
      <c r="AA237" s="68" t="s">
        <v>46</v>
      </c>
      <c r="AB237" s="69" t="s">
        <v>46</v>
      </c>
      <c r="AC237" s="328" t="s">
        <v>393</v>
      </c>
      <c r="AG237" s="78"/>
      <c r="AJ237" s="84" t="s">
        <v>46</v>
      </c>
      <c r="AK237" s="84">
        <v>0</v>
      </c>
      <c r="BB237" s="329" t="s">
        <v>66</v>
      </c>
      <c r="BM237" s="78">
        <f t="shared" si="38"/>
        <v>0</v>
      </c>
      <c r="BN237" s="78">
        <f t="shared" si="39"/>
        <v>0</v>
      </c>
      <c r="BO237" s="78">
        <f t="shared" si="40"/>
        <v>0</v>
      </c>
      <c r="BP237" s="78">
        <f t="shared" si="41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4301031158</v>
      </c>
      <c r="D238" s="665">
        <v>4680115880191</v>
      </c>
      <c r="E238" s="665"/>
      <c r="F238" s="62">
        <v>0.4</v>
      </c>
      <c r="G238" s="37">
        <v>6</v>
      </c>
      <c r="H238" s="62">
        <v>2.4</v>
      </c>
      <c r="I238" s="62">
        <v>2.58</v>
      </c>
      <c r="J238" s="37">
        <v>182</v>
      </c>
      <c r="K238" s="37" t="s">
        <v>90</v>
      </c>
      <c r="L238" s="37" t="s">
        <v>46</v>
      </c>
      <c r="M238" s="38" t="s">
        <v>80</v>
      </c>
      <c r="N238" s="38"/>
      <c r="O238" s="37">
        <v>40</v>
      </c>
      <c r="P238" s="83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8" s="667"/>
      <c r="R238" s="667"/>
      <c r="S238" s="667"/>
      <c r="T238" s="668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7"/>
        <v>0</v>
      </c>
      <c r="Z238" s="41" t="str">
        <f>IFERROR(IF(Y238=0,"",ROUNDUP(Y238/H238,0)*0.00651),"")</f>
        <v/>
      </c>
      <c r="AA238" s="68" t="s">
        <v>46</v>
      </c>
      <c r="AB238" s="69" t="s">
        <v>46</v>
      </c>
      <c r="AC238" s="330" t="s">
        <v>393</v>
      </c>
      <c r="AG238" s="78"/>
      <c r="AJ238" s="84" t="s">
        <v>46</v>
      </c>
      <c r="AK238" s="84">
        <v>0</v>
      </c>
      <c r="BB238" s="331" t="s">
        <v>66</v>
      </c>
      <c r="BM238" s="78">
        <f t="shared" si="38"/>
        <v>0</v>
      </c>
      <c r="BN238" s="78">
        <f t="shared" si="39"/>
        <v>0</v>
      </c>
      <c r="BO238" s="78">
        <f t="shared" si="40"/>
        <v>0</v>
      </c>
      <c r="BP238" s="78">
        <f t="shared" si="41"/>
        <v>0</v>
      </c>
    </row>
    <row r="239" spans="1:68" ht="27" hidden="1" customHeight="1" x14ac:dyDescent="0.25">
      <c r="A239" s="63" t="s">
        <v>420</v>
      </c>
      <c r="B239" s="63" t="s">
        <v>421</v>
      </c>
      <c r="C239" s="36">
        <v>4301031245</v>
      </c>
      <c r="D239" s="665">
        <v>4680115883963</v>
      </c>
      <c r="E239" s="665"/>
      <c r="F239" s="62">
        <v>0.28000000000000003</v>
      </c>
      <c r="G239" s="37">
        <v>6</v>
      </c>
      <c r="H239" s="62">
        <v>1.68</v>
      </c>
      <c r="I239" s="62">
        <v>1.78</v>
      </c>
      <c r="J239" s="37">
        <v>234</v>
      </c>
      <c r="K239" s="37" t="s">
        <v>81</v>
      </c>
      <c r="L239" s="37" t="s">
        <v>46</v>
      </c>
      <c r="M239" s="38" t="s">
        <v>80</v>
      </c>
      <c r="N239" s="38"/>
      <c r="O239" s="37">
        <v>40</v>
      </c>
      <c r="P239" s="8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9" s="667"/>
      <c r="R239" s="667"/>
      <c r="S239" s="667"/>
      <c r="T239" s="668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7"/>
        <v>0</v>
      </c>
      <c r="Z239" s="41" t="str">
        <f>IFERROR(IF(Y239=0,"",ROUNDUP(Y239/H239,0)*0.00502),"")</f>
        <v/>
      </c>
      <c r="AA239" s="68" t="s">
        <v>46</v>
      </c>
      <c r="AB239" s="69" t="s">
        <v>46</v>
      </c>
      <c r="AC239" s="332" t="s">
        <v>422</v>
      </c>
      <c r="AG239" s="78"/>
      <c r="AJ239" s="84" t="s">
        <v>46</v>
      </c>
      <c r="AK239" s="84">
        <v>0</v>
      </c>
      <c r="BB239" s="333" t="s">
        <v>66</v>
      </c>
      <c r="BM239" s="78">
        <f t="shared" si="38"/>
        <v>0</v>
      </c>
      <c r="BN239" s="78">
        <f t="shared" si="39"/>
        <v>0</v>
      </c>
      <c r="BO239" s="78">
        <f t="shared" si="40"/>
        <v>0</v>
      </c>
      <c r="BP239" s="78">
        <f t="shared" si="41"/>
        <v>0</v>
      </c>
    </row>
    <row r="240" spans="1:68" hidden="1" x14ac:dyDescent="0.2">
      <c r="A240" s="661"/>
      <c r="B240" s="661"/>
      <c r="C240" s="661"/>
      <c r="D240" s="661"/>
      <c r="E240" s="661"/>
      <c r="F240" s="661"/>
      <c r="G240" s="661"/>
      <c r="H240" s="661"/>
      <c r="I240" s="661"/>
      <c r="J240" s="661"/>
      <c r="K240" s="661"/>
      <c r="L240" s="661"/>
      <c r="M240" s="661"/>
      <c r="N240" s="661"/>
      <c r="O240" s="662"/>
      <c r="P240" s="658" t="s">
        <v>40</v>
      </c>
      <c r="Q240" s="659"/>
      <c r="R240" s="659"/>
      <c r="S240" s="659"/>
      <c r="T240" s="659"/>
      <c r="U240" s="659"/>
      <c r="V240" s="660"/>
      <c r="W240" s="42" t="s">
        <v>39</v>
      </c>
      <c r="X240" s="43">
        <f>IFERROR(X226/H226,"0")+IFERROR(X227/H227,"0")+IFERROR(X228/H228,"0")+IFERROR(X229/H229,"0")+IFERROR(X230/H230,"0")+IFERROR(X231/H231,"0")+IFERROR(X232/H232,"0")+IFERROR(X233/H233,"0")+IFERROR(X234/H234,"0")+IFERROR(X235/H235,"0")+IFERROR(X236/H236,"0")+IFERROR(X237/H237,"0")+IFERROR(X238/H238,"0")+IFERROR(X239/H239,"0")</f>
        <v>0</v>
      </c>
      <c r="Y240" s="43">
        <f>IFERROR(Y226/H226,"0")+IFERROR(Y227/H227,"0")+IFERROR(Y228/H228,"0")+IFERROR(Y229/H229,"0")+IFERROR(Y230/H230,"0")+IFERROR(Y231/H231,"0")+IFERROR(Y232/H232,"0")+IFERROR(Y233/H233,"0")+IFERROR(Y234/H234,"0")+IFERROR(Y235/H235,"0")+IFERROR(Y236/H236,"0")+IFERROR(Y237/H237,"0")+IFERROR(Y238/H238,"0")+IFERROR(Y239/H239,"0")</f>
        <v>0</v>
      </c>
      <c r="Z240" s="43">
        <f>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</f>
        <v>0</v>
      </c>
      <c r="AA240" s="67"/>
      <c r="AB240" s="67"/>
      <c r="AC240" s="67"/>
    </row>
    <row r="241" spans="1:68" hidden="1" x14ac:dyDescent="0.2">
      <c r="A241" s="661"/>
      <c r="B241" s="661"/>
      <c r="C241" s="661"/>
      <c r="D241" s="661"/>
      <c r="E241" s="661"/>
      <c r="F241" s="661"/>
      <c r="G241" s="661"/>
      <c r="H241" s="661"/>
      <c r="I241" s="661"/>
      <c r="J241" s="661"/>
      <c r="K241" s="661"/>
      <c r="L241" s="661"/>
      <c r="M241" s="661"/>
      <c r="N241" s="661"/>
      <c r="O241" s="662"/>
      <c r="P241" s="658" t="s">
        <v>40</v>
      </c>
      <c r="Q241" s="659"/>
      <c r="R241" s="659"/>
      <c r="S241" s="659"/>
      <c r="T241" s="659"/>
      <c r="U241" s="659"/>
      <c r="V241" s="660"/>
      <c r="W241" s="42" t="s">
        <v>0</v>
      </c>
      <c r="X241" s="43">
        <f>IFERROR(SUM(X226:X239),"0")</f>
        <v>0</v>
      </c>
      <c r="Y241" s="43">
        <f>IFERROR(SUM(Y226:Y239),"0")</f>
        <v>0</v>
      </c>
      <c r="Z241" s="42"/>
      <c r="AA241" s="67"/>
      <c r="AB241" s="67"/>
      <c r="AC241" s="67"/>
    </row>
    <row r="242" spans="1:68" ht="14.25" hidden="1" customHeight="1" x14ac:dyDescent="0.25">
      <c r="A242" s="664" t="s">
        <v>85</v>
      </c>
      <c r="B242" s="664"/>
      <c r="C242" s="664"/>
      <c r="D242" s="664"/>
      <c r="E242" s="664"/>
      <c r="F242" s="664"/>
      <c r="G242" s="664"/>
      <c r="H242" s="664"/>
      <c r="I242" s="664"/>
      <c r="J242" s="664"/>
      <c r="K242" s="664"/>
      <c r="L242" s="664"/>
      <c r="M242" s="664"/>
      <c r="N242" s="664"/>
      <c r="O242" s="664"/>
      <c r="P242" s="664"/>
      <c r="Q242" s="664"/>
      <c r="R242" s="664"/>
      <c r="S242" s="664"/>
      <c r="T242" s="664"/>
      <c r="U242" s="664"/>
      <c r="V242" s="664"/>
      <c r="W242" s="664"/>
      <c r="X242" s="664"/>
      <c r="Y242" s="664"/>
      <c r="Z242" s="664"/>
      <c r="AA242" s="66"/>
      <c r="AB242" s="66"/>
      <c r="AC242" s="80"/>
    </row>
    <row r="243" spans="1:68" ht="16.5" hidden="1" customHeight="1" x14ac:dyDescent="0.25">
      <c r="A243" s="63" t="s">
        <v>423</v>
      </c>
      <c r="B243" s="63" t="s">
        <v>424</v>
      </c>
      <c r="C243" s="36">
        <v>4301052209</v>
      </c>
      <c r="D243" s="665">
        <v>4680115888692</v>
      </c>
      <c r="E243" s="665"/>
      <c r="F243" s="62">
        <v>0.8</v>
      </c>
      <c r="G243" s="37">
        <v>6</v>
      </c>
      <c r="H243" s="62">
        <v>4.8</v>
      </c>
      <c r="I243" s="62">
        <v>5.2220000000000004</v>
      </c>
      <c r="J243" s="37">
        <v>104</v>
      </c>
      <c r="K243" s="37" t="s">
        <v>126</v>
      </c>
      <c r="L243" s="37" t="s">
        <v>46</v>
      </c>
      <c r="M243" s="38" t="s">
        <v>96</v>
      </c>
      <c r="N243" s="38"/>
      <c r="O243" s="37">
        <v>35</v>
      </c>
      <c r="P243" s="83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3" s="667"/>
      <c r="R243" s="667"/>
      <c r="S243" s="667"/>
      <c r="T243" s="668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IFERROR(IF(Y243=0,"",ROUNDUP(Y243/H243,0)*0.01196),"")</f>
        <v/>
      </c>
      <c r="AA243" s="68" t="s">
        <v>46</v>
      </c>
      <c r="AB243" s="69" t="s">
        <v>46</v>
      </c>
      <c r="AC243" s="334" t="s">
        <v>425</v>
      </c>
      <c r="AG243" s="78"/>
      <c r="AJ243" s="84" t="s">
        <v>46</v>
      </c>
      <c r="AK243" s="84">
        <v>0</v>
      </c>
      <c r="BB243" s="335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426</v>
      </c>
      <c r="B244" s="63" t="s">
        <v>427</v>
      </c>
      <c r="C244" s="36">
        <v>4301052213</v>
      </c>
      <c r="D244" s="665">
        <v>4680115888722</v>
      </c>
      <c r="E244" s="665"/>
      <c r="F244" s="62">
        <v>0.8</v>
      </c>
      <c r="G244" s="37">
        <v>6</v>
      </c>
      <c r="H244" s="62">
        <v>4.8</v>
      </c>
      <c r="I244" s="62">
        <v>5.2220000000000004</v>
      </c>
      <c r="J244" s="37">
        <v>104</v>
      </c>
      <c r="K244" s="37" t="s">
        <v>126</v>
      </c>
      <c r="L244" s="37" t="s">
        <v>46</v>
      </c>
      <c r="M244" s="38" t="s">
        <v>96</v>
      </c>
      <c r="N244" s="38"/>
      <c r="O244" s="37">
        <v>35</v>
      </c>
      <c r="P244" s="83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4" s="667"/>
      <c r="R244" s="667"/>
      <c r="S244" s="667"/>
      <c r="T244" s="668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IFERROR(IF(Y244=0,"",ROUNDUP(Y244/H244,0)*0.01196),"")</f>
        <v/>
      </c>
      <c r="AA244" s="68" t="s">
        <v>46</v>
      </c>
      <c r="AB244" s="69" t="s">
        <v>46</v>
      </c>
      <c r="AC244" s="336" t="s">
        <v>428</v>
      </c>
      <c r="AG244" s="78"/>
      <c r="AJ244" s="84" t="s">
        <v>46</v>
      </c>
      <c r="AK244" s="84">
        <v>0</v>
      </c>
      <c r="BB244" s="337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429</v>
      </c>
      <c r="B245" s="63" t="s">
        <v>430</v>
      </c>
      <c r="C245" s="36">
        <v>4301052177</v>
      </c>
      <c r="D245" s="665">
        <v>4680115888951</v>
      </c>
      <c r="E245" s="665"/>
      <c r="F245" s="62">
        <v>0.36</v>
      </c>
      <c r="G245" s="37">
        <v>6</v>
      </c>
      <c r="H245" s="62">
        <v>2.16</v>
      </c>
      <c r="I245" s="62">
        <v>2.4220000000000002</v>
      </c>
      <c r="J245" s="37">
        <v>132</v>
      </c>
      <c r="K245" s="37" t="s">
        <v>133</v>
      </c>
      <c r="L245" s="37" t="s">
        <v>46</v>
      </c>
      <c r="M245" s="38" t="s">
        <v>96</v>
      </c>
      <c r="N245" s="38"/>
      <c r="O245" s="37">
        <v>35</v>
      </c>
      <c r="P245" s="836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5" s="667"/>
      <c r="R245" s="667"/>
      <c r="S245" s="667"/>
      <c r="T245" s="668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4301052178</v>
      </c>
      <c r="D246" s="665">
        <v>4680115888975</v>
      </c>
      <c r="E246" s="665"/>
      <c r="F246" s="62">
        <v>0.32</v>
      </c>
      <c r="G246" s="37">
        <v>6</v>
      </c>
      <c r="H246" s="62">
        <v>1.92</v>
      </c>
      <c r="I246" s="62">
        <v>2.1819999999999999</v>
      </c>
      <c r="J246" s="37">
        <v>132</v>
      </c>
      <c r="K246" s="37" t="s">
        <v>133</v>
      </c>
      <c r="L246" s="37" t="s">
        <v>46</v>
      </c>
      <c r="M246" s="38" t="s">
        <v>96</v>
      </c>
      <c r="N246" s="38"/>
      <c r="O246" s="37">
        <v>35</v>
      </c>
      <c r="P246" s="825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6" s="667"/>
      <c r="R246" s="667"/>
      <c r="S246" s="667"/>
      <c r="T246" s="668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4301052176</v>
      </c>
      <c r="D247" s="665">
        <v>4680115888982</v>
      </c>
      <c r="E247" s="665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133</v>
      </c>
      <c r="L247" s="37" t="s">
        <v>46</v>
      </c>
      <c r="M247" s="38" t="s">
        <v>96</v>
      </c>
      <c r="N247" s="38"/>
      <c r="O247" s="37">
        <v>35</v>
      </c>
      <c r="P247" s="82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667"/>
      <c r="R247" s="667"/>
      <c r="S247" s="667"/>
      <c r="T247" s="668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428</v>
      </c>
      <c r="AG247" s="78"/>
      <c r="AJ247" s="84" t="s">
        <v>46</v>
      </c>
      <c r="AK247" s="84">
        <v>0</v>
      </c>
      <c r="BB247" s="34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661"/>
      <c r="B248" s="661"/>
      <c r="C248" s="661"/>
      <c r="D248" s="661"/>
      <c r="E248" s="661"/>
      <c r="F248" s="661"/>
      <c r="G248" s="661"/>
      <c r="H248" s="661"/>
      <c r="I248" s="661"/>
      <c r="J248" s="661"/>
      <c r="K248" s="661"/>
      <c r="L248" s="661"/>
      <c r="M248" s="661"/>
      <c r="N248" s="661"/>
      <c r="O248" s="662"/>
      <c r="P248" s="658" t="s">
        <v>40</v>
      </c>
      <c r="Q248" s="659"/>
      <c r="R248" s="659"/>
      <c r="S248" s="659"/>
      <c r="T248" s="659"/>
      <c r="U248" s="659"/>
      <c r="V248" s="660"/>
      <c r="W248" s="42" t="s">
        <v>39</v>
      </c>
      <c r="X248" s="43">
        <f>IFERROR(X243/H243,"0")+IFERROR(X244/H244,"0")+IFERROR(X245/H245,"0")+IFERROR(X246/H246,"0")+IFERROR(X247/H247,"0")</f>
        <v>0</v>
      </c>
      <c r="Y248" s="43">
        <f>IFERROR(Y243/H243,"0")+IFERROR(Y244/H244,"0")+IFERROR(Y245/H245,"0")+IFERROR(Y246/H246,"0")+IFERROR(Y247/H247,"0")</f>
        <v>0</v>
      </c>
      <c r="Z248" s="43">
        <f>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661"/>
      <c r="B249" s="661"/>
      <c r="C249" s="661"/>
      <c r="D249" s="661"/>
      <c r="E249" s="661"/>
      <c r="F249" s="661"/>
      <c r="G249" s="661"/>
      <c r="H249" s="661"/>
      <c r="I249" s="661"/>
      <c r="J249" s="661"/>
      <c r="K249" s="661"/>
      <c r="L249" s="661"/>
      <c r="M249" s="661"/>
      <c r="N249" s="661"/>
      <c r="O249" s="662"/>
      <c r="P249" s="658" t="s">
        <v>40</v>
      </c>
      <c r="Q249" s="659"/>
      <c r="R249" s="659"/>
      <c r="S249" s="659"/>
      <c r="T249" s="659"/>
      <c r="U249" s="659"/>
      <c r="V249" s="660"/>
      <c r="W249" s="42" t="s">
        <v>0</v>
      </c>
      <c r="X249" s="43">
        <f>IFERROR(SUM(X243:X247),"0")</f>
        <v>0</v>
      </c>
      <c r="Y249" s="43">
        <f>IFERROR(SUM(Y243:Y247),"0")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664" t="s">
        <v>288</v>
      </c>
      <c r="B250" s="664"/>
      <c r="C250" s="664"/>
      <c r="D250" s="664"/>
      <c r="E250" s="664"/>
      <c r="F250" s="664"/>
      <c r="G250" s="664"/>
      <c r="H250" s="664"/>
      <c r="I250" s="664"/>
      <c r="J250" s="664"/>
      <c r="K250" s="664"/>
      <c r="L250" s="664"/>
      <c r="M250" s="664"/>
      <c r="N250" s="664"/>
      <c r="O250" s="664"/>
      <c r="P250" s="664"/>
      <c r="Q250" s="664"/>
      <c r="R250" s="664"/>
      <c r="S250" s="664"/>
      <c r="T250" s="664"/>
      <c r="U250" s="664"/>
      <c r="V250" s="664"/>
      <c r="W250" s="664"/>
      <c r="X250" s="664"/>
      <c r="Y250" s="664"/>
      <c r="Z250" s="664"/>
      <c r="AA250" s="66"/>
      <c r="AB250" s="66"/>
      <c r="AC250" s="80"/>
    </row>
    <row r="251" spans="1:68" ht="27" hidden="1" customHeight="1" x14ac:dyDescent="0.25">
      <c r="A251" s="63" t="s">
        <v>437</v>
      </c>
      <c r="B251" s="63" t="s">
        <v>438</v>
      </c>
      <c r="C251" s="36">
        <v>4301032053</v>
      </c>
      <c r="D251" s="665">
        <v>4680115886780</v>
      </c>
      <c r="E251" s="665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354</v>
      </c>
      <c r="L251" s="37" t="s">
        <v>46</v>
      </c>
      <c r="M251" s="38" t="s">
        <v>293</v>
      </c>
      <c r="N251" s="38"/>
      <c r="O251" s="37">
        <v>60</v>
      </c>
      <c r="P251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667"/>
      <c r="R251" s="667"/>
      <c r="S251" s="667"/>
      <c r="T251" s="668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439</v>
      </c>
      <c r="AG251" s="78"/>
      <c r="AJ251" s="84" t="s">
        <v>46</v>
      </c>
      <c r="AK251" s="84">
        <v>0</v>
      </c>
      <c r="BB251" s="345" t="s">
        <v>66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440</v>
      </c>
      <c r="B252" s="63" t="s">
        <v>441</v>
      </c>
      <c r="C252" s="36">
        <v>4301032051</v>
      </c>
      <c r="D252" s="665">
        <v>4680115886742</v>
      </c>
      <c r="E252" s="665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354</v>
      </c>
      <c r="L252" s="37" t="s">
        <v>46</v>
      </c>
      <c r="M252" s="38" t="s">
        <v>293</v>
      </c>
      <c r="N252" s="38"/>
      <c r="O252" s="37">
        <v>90</v>
      </c>
      <c r="P252" s="82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667"/>
      <c r="R252" s="667"/>
      <c r="S252" s="667"/>
      <c r="T252" s="668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442</v>
      </c>
      <c r="AG252" s="78"/>
      <c r="AJ252" s="84" t="s">
        <v>46</v>
      </c>
      <c r="AK252" s="84">
        <v>0</v>
      </c>
      <c r="BB252" s="347" t="s">
        <v>66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443</v>
      </c>
      <c r="B253" s="63" t="s">
        <v>444</v>
      </c>
      <c r="C253" s="36">
        <v>4301032052</v>
      </c>
      <c r="D253" s="665">
        <v>4680115886766</v>
      </c>
      <c r="E253" s="665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354</v>
      </c>
      <c r="L253" s="37" t="s">
        <v>46</v>
      </c>
      <c r="M253" s="38" t="s">
        <v>293</v>
      </c>
      <c r="N253" s="38"/>
      <c r="O253" s="37">
        <v>90</v>
      </c>
      <c r="P253" s="82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667"/>
      <c r="R253" s="667"/>
      <c r="S253" s="667"/>
      <c r="T253" s="668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442</v>
      </c>
      <c r="AG253" s="78"/>
      <c r="AJ253" s="84" t="s">
        <v>46</v>
      </c>
      <c r="AK253" s="84">
        <v>0</v>
      </c>
      <c r="BB253" s="349" t="s">
        <v>66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661"/>
      <c r="B254" s="661"/>
      <c r="C254" s="661"/>
      <c r="D254" s="661"/>
      <c r="E254" s="661"/>
      <c r="F254" s="661"/>
      <c r="G254" s="661"/>
      <c r="H254" s="661"/>
      <c r="I254" s="661"/>
      <c r="J254" s="661"/>
      <c r="K254" s="661"/>
      <c r="L254" s="661"/>
      <c r="M254" s="661"/>
      <c r="N254" s="661"/>
      <c r="O254" s="662"/>
      <c r="P254" s="658" t="s">
        <v>40</v>
      </c>
      <c r="Q254" s="659"/>
      <c r="R254" s="659"/>
      <c r="S254" s="659"/>
      <c r="T254" s="659"/>
      <c r="U254" s="659"/>
      <c r="V254" s="660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661"/>
      <c r="B255" s="661"/>
      <c r="C255" s="661"/>
      <c r="D255" s="661"/>
      <c r="E255" s="661"/>
      <c r="F255" s="661"/>
      <c r="G255" s="661"/>
      <c r="H255" s="661"/>
      <c r="I255" s="661"/>
      <c r="J255" s="661"/>
      <c r="K255" s="661"/>
      <c r="L255" s="661"/>
      <c r="M255" s="661"/>
      <c r="N255" s="661"/>
      <c r="O255" s="662"/>
      <c r="P255" s="658" t="s">
        <v>40</v>
      </c>
      <c r="Q255" s="659"/>
      <c r="R255" s="659"/>
      <c r="S255" s="659"/>
      <c r="T255" s="659"/>
      <c r="U255" s="659"/>
      <c r="V255" s="660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664" t="s">
        <v>445</v>
      </c>
      <c r="B256" s="664"/>
      <c r="C256" s="664"/>
      <c r="D256" s="664"/>
      <c r="E256" s="664"/>
      <c r="F256" s="664"/>
      <c r="G256" s="664"/>
      <c r="H256" s="664"/>
      <c r="I256" s="664"/>
      <c r="J256" s="664"/>
      <c r="K256" s="664"/>
      <c r="L256" s="664"/>
      <c r="M256" s="664"/>
      <c r="N256" s="664"/>
      <c r="O256" s="664"/>
      <c r="P256" s="664"/>
      <c r="Q256" s="664"/>
      <c r="R256" s="664"/>
      <c r="S256" s="664"/>
      <c r="T256" s="664"/>
      <c r="U256" s="664"/>
      <c r="V256" s="664"/>
      <c r="W256" s="664"/>
      <c r="X256" s="664"/>
      <c r="Y256" s="664"/>
      <c r="Z256" s="664"/>
      <c r="AA256" s="66"/>
      <c r="AB256" s="66"/>
      <c r="AC256" s="80"/>
    </row>
    <row r="257" spans="1:68" ht="27" hidden="1" customHeight="1" x14ac:dyDescent="0.25">
      <c r="A257" s="63" t="s">
        <v>446</v>
      </c>
      <c r="B257" s="63" t="s">
        <v>447</v>
      </c>
      <c r="C257" s="36">
        <v>4301170013</v>
      </c>
      <c r="D257" s="665">
        <v>4680115886797</v>
      </c>
      <c r="E257" s="665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354</v>
      </c>
      <c r="L257" s="37" t="s">
        <v>46</v>
      </c>
      <c r="M257" s="38" t="s">
        <v>293</v>
      </c>
      <c r="N257" s="38"/>
      <c r="O257" s="37">
        <v>90</v>
      </c>
      <c r="P257" s="8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667"/>
      <c r="R257" s="667"/>
      <c r="S257" s="667"/>
      <c r="T257" s="668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442</v>
      </c>
      <c r="AG257" s="78"/>
      <c r="AJ257" s="84" t="s">
        <v>46</v>
      </c>
      <c r="AK257" s="84">
        <v>0</v>
      </c>
      <c r="BB257" s="351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1"/>
      <c r="B258" s="661"/>
      <c r="C258" s="661"/>
      <c r="D258" s="661"/>
      <c r="E258" s="661"/>
      <c r="F258" s="661"/>
      <c r="G258" s="661"/>
      <c r="H258" s="661"/>
      <c r="I258" s="661"/>
      <c r="J258" s="661"/>
      <c r="K258" s="661"/>
      <c r="L258" s="661"/>
      <c r="M258" s="661"/>
      <c r="N258" s="661"/>
      <c r="O258" s="662"/>
      <c r="P258" s="658" t="s">
        <v>40</v>
      </c>
      <c r="Q258" s="659"/>
      <c r="R258" s="659"/>
      <c r="S258" s="659"/>
      <c r="T258" s="659"/>
      <c r="U258" s="659"/>
      <c r="V258" s="660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661"/>
      <c r="B259" s="661"/>
      <c r="C259" s="661"/>
      <c r="D259" s="661"/>
      <c r="E259" s="661"/>
      <c r="F259" s="661"/>
      <c r="G259" s="661"/>
      <c r="H259" s="661"/>
      <c r="I259" s="661"/>
      <c r="J259" s="661"/>
      <c r="K259" s="661"/>
      <c r="L259" s="661"/>
      <c r="M259" s="661"/>
      <c r="N259" s="661"/>
      <c r="O259" s="662"/>
      <c r="P259" s="658" t="s">
        <v>40</v>
      </c>
      <c r="Q259" s="659"/>
      <c r="R259" s="659"/>
      <c r="S259" s="659"/>
      <c r="T259" s="659"/>
      <c r="U259" s="659"/>
      <c r="V259" s="660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663" t="s">
        <v>448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5"/>
      <c r="AB260" s="65"/>
      <c r="AC260" s="79"/>
    </row>
    <row r="261" spans="1:68" ht="14.25" hidden="1" customHeight="1" x14ac:dyDescent="0.25">
      <c r="A261" s="664" t="s">
        <v>121</v>
      </c>
      <c r="B261" s="664"/>
      <c r="C261" s="664"/>
      <c r="D261" s="664"/>
      <c r="E261" s="664"/>
      <c r="F261" s="664"/>
      <c r="G261" s="664"/>
      <c r="H261" s="664"/>
      <c r="I261" s="664"/>
      <c r="J261" s="664"/>
      <c r="K261" s="664"/>
      <c r="L261" s="664"/>
      <c r="M261" s="664"/>
      <c r="N261" s="664"/>
      <c r="O261" s="664"/>
      <c r="P261" s="664"/>
      <c r="Q261" s="664"/>
      <c r="R261" s="664"/>
      <c r="S261" s="664"/>
      <c r="T261" s="664"/>
      <c r="U261" s="664"/>
      <c r="V261" s="664"/>
      <c r="W261" s="664"/>
      <c r="X261" s="664"/>
      <c r="Y261" s="664"/>
      <c r="Z261" s="664"/>
      <c r="AA261" s="66"/>
      <c r="AB261" s="66"/>
      <c r="AC261" s="80"/>
    </row>
    <row r="262" spans="1:68" ht="27" hidden="1" customHeight="1" x14ac:dyDescent="0.25">
      <c r="A262" s="63" t="s">
        <v>449</v>
      </c>
      <c r="B262" s="63" t="s">
        <v>450</v>
      </c>
      <c r="C262" s="36">
        <v>4301011450</v>
      </c>
      <c r="D262" s="665">
        <v>4680115881402</v>
      </c>
      <c r="E262" s="665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126</v>
      </c>
      <c r="L262" s="37" t="s">
        <v>46</v>
      </c>
      <c r="M262" s="38" t="s">
        <v>125</v>
      </c>
      <c r="N262" s="38"/>
      <c r="O262" s="37">
        <v>55</v>
      </c>
      <c r="P262" s="8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667"/>
      <c r="R262" s="667"/>
      <c r="S262" s="667"/>
      <c r="T262" s="668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451</v>
      </c>
      <c r="AG262" s="78"/>
      <c r="AJ262" s="84" t="s">
        <v>46</v>
      </c>
      <c r="AK262" s="84">
        <v>0</v>
      </c>
      <c r="BB262" s="353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452</v>
      </c>
      <c r="B263" s="63" t="s">
        <v>453</v>
      </c>
      <c r="C263" s="36">
        <v>4301011768</v>
      </c>
      <c r="D263" s="665">
        <v>4680115881396</v>
      </c>
      <c r="E263" s="665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90</v>
      </c>
      <c r="L263" s="37" t="s">
        <v>46</v>
      </c>
      <c r="M263" s="38" t="s">
        <v>125</v>
      </c>
      <c r="N263" s="38"/>
      <c r="O263" s="37">
        <v>55</v>
      </c>
      <c r="P263" s="82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667"/>
      <c r="R263" s="667"/>
      <c r="S263" s="667"/>
      <c r="T263" s="668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451</v>
      </c>
      <c r="AG263" s="78"/>
      <c r="AJ263" s="84" t="s">
        <v>46</v>
      </c>
      <c r="AK263" s="84">
        <v>0</v>
      </c>
      <c r="BB263" s="355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661"/>
      <c r="B264" s="661"/>
      <c r="C264" s="661"/>
      <c r="D264" s="661"/>
      <c r="E264" s="661"/>
      <c r="F264" s="661"/>
      <c r="G264" s="661"/>
      <c r="H264" s="661"/>
      <c r="I264" s="661"/>
      <c r="J264" s="661"/>
      <c r="K264" s="661"/>
      <c r="L264" s="661"/>
      <c r="M264" s="661"/>
      <c r="N264" s="661"/>
      <c r="O264" s="662"/>
      <c r="P264" s="658" t="s">
        <v>40</v>
      </c>
      <c r="Q264" s="659"/>
      <c r="R264" s="659"/>
      <c r="S264" s="659"/>
      <c r="T264" s="659"/>
      <c r="U264" s="659"/>
      <c r="V264" s="660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661"/>
      <c r="B265" s="661"/>
      <c r="C265" s="661"/>
      <c r="D265" s="661"/>
      <c r="E265" s="661"/>
      <c r="F265" s="661"/>
      <c r="G265" s="661"/>
      <c r="H265" s="661"/>
      <c r="I265" s="661"/>
      <c r="J265" s="661"/>
      <c r="K265" s="661"/>
      <c r="L265" s="661"/>
      <c r="M265" s="661"/>
      <c r="N265" s="661"/>
      <c r="O265" s="662"/>
      <c r="P265" s="658" t="s">
        <v>40</v>
      </c>
      <c r="Q265" s="659"/>
      <c r="R265" s="659"/>
      <c r="S265" s="659"/>
      <c r="T265" s="659"/>
      <c r="U265" s="659"/>
      <c r="V265" s="660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664" t="s">
        <v>154</v>
      </c>
      <c r="B266" s="664"/>
      <c r="C266" s="664"/>
      <c r="D266" s="664"/>
      <c r="E266" s="664"/>
      <c r="F266" s="664"/>
      <c r="G266" s="664"/>
      <c r="H266" s="664"/>
      <c r="I266" s="664"/>
      <c r="J266" s="664"/>
      <c r="K266" s="664"/>
      <c r="L266" s="664"/>
      <c r="M266" s="664"/>
      <c r="N266" s="664"/>
      <c r="O266" s="664"/>
      <c r="P266" s="664"/>
      <c r="Q266" s="664"/>
      <c r="R266" s="664"/>
      <c r="S266" s="664"/>
      <c r="T266" s="664"/>
      <c r="U266" s="664"/>
      <c r="V266" s="664"/>
      <c r="W266" s="664"/>
      <c r="X266" s="664"/>
      <c r="Y266" s="664"/>
      <c r="Z266" s="664"/>
      <c r="AA266" s="66"/>
      <c r="AB266" s="66"/>
      <c r="AC266" s="80"/>
    </row>
    <row r="267" spans="1:68" ht="16.5" hidden="1" customHeight="1" x14ac:dyDescent="0.25">
      <c r="A267" s="63" t="s">
        <v>454</v>
      </c>
      <c r="B267" s="63" t="s">
        <v>455</v>
      </c>
      <c r="C267" s="36">
        <v>4301020261</v>
      </c>
      <c r="D267" s="665">
        <v>4680115882935</v>
      </c>
      <c r="E267" s="665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126</v>
      </c>
      <c r="L267" s="37" t="s">
        <v>46</v>
      </c>
      <c r="M267" s="38" t="s">
        <v>125</v>
      </c>
      <c r="N267" s="38"/>
      <c r="O267" s="37">
        <v>50</v>
      </c>
      <c r="P267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667"/>
      <c r="R267" s="667"/>
      <c r="S267" s="667"/>
      <c r="T267" s="668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66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457</v>
      </c>
      <c r="B268" s="63" t="s">
        <v>458</v>
      </c>
      <c r="C268" s="36">
        <v>4301020220</v>
      </c>
      <c r="D268" s="665">
        <v>4680115880764</v>
      </c>
      <c r="E268" s="665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90</v>
      </c>
      <c r="L268" s="37" t="s">
        <v>46</v>
      </c>
      <c r="M268" s="38" t="s">
        <v>125</v>
      </c>
      <c r="N268" s="38"/>
      <c r="O268" s="37">
        <v>50</v>
      </c>
      <c r="P268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667"/>
      <c r="R268" s="667"/>
      <c r="S268" s="667"/>
      <c r="T268" s="668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456</v>
      </c>
      <c r="AG268" s="78"/>
      <c r="AJ268" s="84" t="s">
        <v>46</v>
      </c>
      <c r="AK268" s="84">
        <v>0</v>
      </c>
      <c r="BB268" s="359" t="s">
        <v>66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661"/>
      <c r="B269" s="661"/>
      <c r="C269" s="661"/>
      <c r="D269" s="661"/>
      <c r="E269" s="661"/>
      <c r="F269" s="661"/>
      <c r="G269" s="661"/>
      <c r="H269" s="661"/>
      <c r="I269" s="661"/>
      <c r="J269" s="661"/>
      <c r="K269" s="661"/>
      <c r="L269" s="661"/>
      <c r="M269" s="661"/>
      <c r="N269" s="661"/>
      <c r="O269" s="662"/>
      <c r="P269" s="658" t="s">
        <v>40</v>
      </c>
      <c r="Q269" s="659"/>
      <c r="R269" s="659"/>
      <c r="S269" s="659"/>
      <c r="T269" s="659"/>
      <c r="U269" s="659"/>
      <c r="V269" s="660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661"/>
      <c r="B270" s="661"/>
      <c r="C270" s="661"/>
      <c r="D270" s="661"/>
      <c r="E270" s="661"/>
      <c r="F270" s="661"/>
      <c r="G270" s="661"/>
      <c r="H270" s="661"/>
      <c r="I270" s="661"/>
      <c r="J270" s="661"/>
      <c r="K270" s="661"/>
      <c r="L270" s="661"/>
      <c r="M270" s="661"/>
      <c r="N270" s="661"/>
      <c r="O270" s="662"/>
      <c r="P270" s="658" t="s">
        <v>40</v>
      </c>
      <c r="Q270" s="659"/>
      <c r="R270" s="659"/>
      <c r="S270" s="659"/>
      <c r="T270" s="659"/>
      <c r="U270" s="659"/>
      <c r="V270" s="660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664" t="s">
        <v>76</v>
      </c>
      <c r="B271" s="664"/>
      <c r="C271" s="664"/>
      <c r="D271" s="664"/>
      <c r="E271" s="664"/>
      <c r="F271" s="664"/>
      <c r="G271" s="664"/>
      <c r="H271" s="664"/>
      <c r="I271" s="664"/>
      <c r="J271" s="664"/>
      <c r="K271" s="664"/>
      <c r="L271" s="664"/>
      <c r="M271" s="664"/>
      <c r="N271" s="664"/>
      <c r="O271" s="664"/>
      <c r="P271" s="664"/>
      <c r="Q271" s="664"/>
      <c r="R271" s="664"/>
      <c r="S271" s="664"/>
      <c r="T271" s="664"/>
      <c r="U271" s="664"/>
      <c r="V271" s="664"/>
      <c r="W271" s="664"/>
      <c r="X271" s="664"/>
      <c r="Y271" s="664"/>
      <c r="Z271" s="664"/>
      <c r="AA271" s="66"/>
      <c r="AB271" s="66"/>
      <c r="AC271" s="80"/>
    </row>
    <row r="272" spans="1:68" ht="27" hidden="1" customHeight="1" x14ac:dyDescent="0.25">
      <c r="A272" s="63" t="s">
        <v>459</v>
      </c>
      <c r="B272" s="63" t="s">
        <v>460</v>
      </c>
      <c r="C272" s="36">
        <v>4301031224</v>
      </c>
      <c r="D272" s="665">
        <v>4680115882683</v>
      </c>
      <c r="E272" s="665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133</v>
      </c>
      <c r="L272" s="37" t="s">
        <v>46</v>
      </c>
      <c r="M272" s="38" t="s">
        <v>80</v>
      </c>
      <c r="N272" s="38"/>
      <c r="O272" s="37">
        <v>40</v>
      </c>
      <c r="P272" s="81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667"/>
      <c r="R272" s="667"/>
      <c r="S272" s="667"/>
      <c r="T272" s="668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461</v>
      </c>
      <c r="AG272" s="78"/>
      <c r="AJ272" s="84" t="s">
        <v>46</v>
      </c>
      <c r="AK272" s="84">
        <v>0</v>
      </c>
      <c r="BB272" s="361" t="s">
        <v>66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462</v>
      </c>
      <c r="B273" s="63" t="s">
        <v>463</v>
      </c>
      <c r="C273" s="36">
        <v>4301031230</v>
      </c>
      <c r="D273" s="665">
        <v>4680115882690</v>
      </c>
      <c r="E273" s="665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133</v>
      </c>
      <c r="L273" s="37" t="s">
        <v>46</v>
      </c>
      <c r="M273" s="38" t="s">
        <v>80</v>
      </c>
      <c r="N273" s="38"/>
      <c r="O273" s="37">
        <v>40</v>
      </c>
      <c r="P273" s="81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667"/>
      <c r="R273" s="667"/>
      <c r="S273" s="667"/>
      <c r="T273" s="668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464</v>
      </c>
      <c r="AG273" s="78"/>
      <c r="AJ273" s="84" t="s">
        <v>46</v>
      </c>
      <c r="AK273" s="84">
        <v>0</v>
      </c>
      <c r="BB273" s="363" t="s">
        <v>66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4301031220</v>
      </c>
      <c r="D274" s="665">
        <v>4680115882669</v>
      </c>
      <c r="E274" s="665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133</v>
      </c>
      <c r="L274" s="37" t="s">
        <v>46</v>
      </c>
      <c r="M274" s="38" t="s">
        <v>80</v>
      </c>
      <c r="N274" s="38"/>
      <c r="O274" s="37">
        <v>40</v>
      </c>
      <c r="P274" s="81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667"/>
      <c r="R274" s="667"/>
      <c r="S274" s="667"/>
      <c r="T274" s="668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467</v>
      </c>
      <c r="AG274" s="78"/>
      <c r="AJ274" s="84" t="s">
        <v>46</v>
      </c>
      <c r="AK274" s="84">
        <v>0</v>
      </c>
      <c r="BB274" s="365" t="s">
        <v>66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468</v>
      </c>
      <c r="B275" s="63" t="s">
        <v>469</v>
      </c>
      <c r="C275" s="36">
        <v>4301031221</v>
      </c>
      <c r="D275" s="665">
        <v>4680115882676</v>
      </c>
      <c r="E275" s="665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133</v>
      </c>
      <c r="L275" s="37" t="s">
        <v>46</v>
      </c>
      <c r="M275" s="38" t="s">
        <v>80</v>
      </c>
      <c r="N275" s="38"/>
      <c r="O275" s="37">
        <v>40</v>
      </c>
      <c r="P275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667"/>
      <c r="R275" s="667"/>
      <c r="S275" s="667"/>
      <c r="T275" s="668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470</v>
      </c>
      <c r="AG275" s="78"/>
      <c r="AJ275" s="84" t="s">
        <v>46</v>
      </c>
      <c r="AK275" s="84">
        <v>0</v>
      </c>
      <c r="BB275" s="367" t="s">
        <v>66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hidden="1" customHeight="1" x14ac:dyDescent="0.25">
      <c r="A276" s="63" t="s">
        <v>471</v>
      </c>
      <c r="B276" s="63" t="s">
        <v>472</v>
      </c>
      <c r="C276" s="36">
        <v>4301031223</v>
      </c>
      <c r="D276" s="665">
        <v>4680115884014</v>
      </c>
      <c r="E276" s="665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1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667"/>
      <c r="R276" s="667"/>
      <c r="S276" s="667"/>
      <c r="T276" s="668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43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8" t="s">
        <v>461</v>
      </c>
      <c r="AG276" s="78"/>
      <c r="AJ276" s="84" t="s">
        <v>46</v>
      </c>
      <c r="AK276" s="84">
        <v>0</v>
      </c>
      <c r="BB276" s="369" t="s">
        <v>66</v>
      </c>
      <c r="BM276" s="78">
        <f t="shared" si="44"/>
        <v>0</v>
      </c>
      <c r="BN276" s="78">
        <f t="shared" si="45"/>
        <v>0</v>
      </c>
      <c r="BO276" s="78">
        <f t="shared" si="46"/>
        <v>0</v>
      </c>
      <c r="BP276" s="78">
        <f t="shared" si="47"/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4301031222</v>
      </c>
      <c r="D277" s="665">
        <v>4680115884007</v>
      </c>
      <c r="E277" s="665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81</v>
      </c>
      <c r="L277" s="37" t="s">
        <v>46</v>
      </c>
      <c r="M277" s="38" t="s">
        <v>80</v>
      </c>
      <c r="N277" s="38"/>
      <c r="O277" s="37">
        <v>40</v>
      </c>
      <c r="P277" s="8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667"/>
      <c r="R277" s="667"/>
      <c r="S277" s="667"/>
      <c r="T277" s="668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3"/>
        <v>0</v>
      </c>
      <c r="Z277" s="41" t="str">
        <f>IFERROR(IF(Y277=0,"",ROUNDUP(Y277/H277,0)*0.00502),"")</f>
        <v/>
      </c>
      <c r="AA277" s="68" t="s">
        <v>46</v>
      </c>
      <c r="AB277" s="69" t="s">
        <v>46</v>
      </c>
      <c r="AC277" s="370" t="s">
        <v>464</v>
      </c>
      <c r="AG277" s="78"/>
      <c r="AJ277" s="84" t="s">
        <v>46</v>
      </c>
      <c r="AK277" s="84">
        <v>0</v>
      </c>
      <c r="BB277" s="371" t="s">
        <v>66</v>
      </c>
      <c r="BM277" s="78">
        <f t="shared" si="44"/>
        <v>0</v>
      </c>
      <c r="BN277" s="78">
        <f t="shared" si="45"/>
        <v>0</v>
      </c>
      <c r="BO277" s="78">
        <f t="shared" si="46"/>
        <v>0</v>
      </c>
      <c r="BP277" s="78">
        <f t="shared" si="47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4301031229</v>
      </c>
      <c r="D278" s="665">
        <v>4680115884038</v>
      </c>
      <c r="E278" s="665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81</v>
      </c>
      <c r="L278" s="37" t="s">
        <v>46</v>
      </c>
      <c r="M278" s="38" t="s">
        <v>80</v>
      </c>
      <c r="N278" s="38"/>
      <c r="O278" s="37">
        <v>40</v>
      </c>
      <c r="P278" s="8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667"/>
      <c r="R278" s="667"/>
      <c r="S278" s="667"/>
      <c r="T278" s="668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IFERROR(IF(Y278=0,"",ROUNDUP(Y278/H278,0)*0.00502),"")</f>
        <v/>
      </c>
      <c r="AA278" s="68" t="s">
        <v>46</v>
      </c>
      <c r="AB278" s="69" t="s">
        <v>46</v>
      </c>
      <c r="AC278" s="372" t="s">
        <v>467</v>
      </c>
      <c r="AG278" s="78"/>
      <c r="AJ278" s="84" t="s">
        <v>46</v>
      </c>
      <c r="AK278" s="84">
        <v>0</v>
      </c>
      <c r="BB278" s="373" t="s">
        <v>66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4301031225</v>
      </c>
      <c r="D279" s="665">
        <v>4680115884021</v>
      </c>
      <c r="E279" s="665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81</v>
      </c>
      <c r="L279" s="37" t="s">
        <v>46</v>
      </c>
      <c r="M279" s="38" t="s">
        <v>80</v>
      </c>
      <c r="N279" s="38"/>
      <c r="O279" s="37">
        <v>40</v>
      </c>
      <c r="P279" s="8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667"/>
      <c r="R279" s="667"/>
      <c r="S279" s="667"/>
      <c r="T279" s="668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IFERROR(IF(Y279=0,"",ROUNDUP(Y279/H279,0)*0.00502),"")</f>
        <v/>
      </c>
      <c r="AA279" s="68" t="s">
        <v>46</v>
      </c>
      <c r="AB279" s="69" t="s">
        <v>46</v>
      </c>
      <c r="AC279" s="374" t="s">
        <v>470</v>
      </c>
      <c r="AG279" s="78"/>
      <c r="AJ279" s="84" t="s">
        <v>46</v>
      </c>
      <c r="AK279" s="84">
        <v>0</v>
      </c>
      <c r="BB279" s="375" t="s">
        <v>66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idden="1" x14ac:dyDescent="0.2">
      <c r="A280" s="661"/>
      <c r="B280" s="661"/>
      <c r="C280" s="661"/>
      <c r="D280" s="661"/>
      <c r="E280" s="661"/>
      <c r="F280" s="661"/>
      <c r="G280" s="661"/>
      <c r="H280" s="661"/>
      <c r="I280" s="661"/>
      <c r="J280" s="661"/>
      <c r="K280" s="661"/>
      <c r="L280" s="661"/>
      <c r="M280" s="661"/>
      <c r="N280" s="661"/>
      <c r="O280" s="662"/>
      <c r="P280" s="658" t="s">
        <v>40</v>
      </c>
      <c r="Q280" s="659"/>
      <c r="R280" s="659"/>
      <c r="S280" s="659"/>
      <c r="T280" s="659"/>
      <c r="U280" s="659"/>
      <c r="V280" s="660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0</v>
      </c>
      <c r="Y280" s="43">
        <f>IFERROR(Y272/H272,"0")+IFERROR(Y273/H273,"0")+IFERROR(Y274/H274,"0")+IFERROR(Y275/H275,"0")+IFERROR(Y276/H276,"0")+IFERROR(Y277/H277,"0")+IFERROR(Y278/H278,"0")+IFERROR(Y279/H279,"0")</f>
        <v>0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7"/>
      <c r="AB280" s="67"/>
      <c r="AC280" s="67"/>
    </row>
    <row r="281" spans="1:68" hidden="1" x14ac:dyDescent="0.2">
      <c r="A281" s="661"/>
      <c r="B281" s="661"/>
      <c r="C281" s="661"/>
      <c r="D281" s="661"/>
      <c r="E281" s="661"/>
      <c r="F281" s="661"/>
      <c r="G281" s="661"/>
      <c r="H281" s="661"/>
      <c r="I281" s="661"/>
      <c r="J281" s="661"/>
      <c r="K281" s="661"/>
      <c r="L281" s="661"/>
      <c r="M281" s="661"/>
      <c r="N281" s="661"/>
      <c r="O281" s="662"/>
      <c r="P281" s="658" t="s">
        <v>40</v>
      </c>
      <c r="Q281" s="659"/>
      <c r="R281" s="659"/>
      <c r="S281" s="659"/>
      <c r="T281" s="659"/>
      <c r="U281" s="659"/>
      <c r="V281" s="660"/>
      <c r="W281" s="42" t="s">
        <v>0</v>
      </c>
      <c r="X281" s="43">
        <f>IFERROR(SUM(X272:X279),"0")</f>
        <v>0</v>
      </c>
      <c r="Y281" s="43">
        <f>IFERROR(SUM(Y272:Y279),"0")</f>
        <v>0</v>
      </c>
      <c r="Z281" s="42"/>
      <c r="AA281" s="67"/>
      <c r="AB281" s="67"/>
      <c r="AC281" s="67"/>
    </row>
    <row r="282" spans="1:68" ht="14.25" hidden="1" customHeight="1" x14ac:dyDescent="0.25">
      <c r="A282" s="664" t="s">
        <v>85</v>
      </c>
      <c r="B282" s="664"/>
      <c r="C282" s="664"/>
      <c r="D282" s="664"/>
      <c r="E282" s="664"/>
      <c r="F282" s="664"/>
      <c r="G282" s="664"/>
      <c r="H282" s="664"/>
      <c r="I282" s="664"/>
      <c r="J282" s="664"/>
      <c r="K282" s="664"/>
      <c r="L282" s="664"/>
      <c r="M282" s="664"/>
      <c r="N282" s="664"/>
      <c r="O282" s="664"/>
      <c r="P282" s="664"/>
      <c r="Q282" s="664"/>
      <c r="R282" s="664"/>
      <c r="S282" s="664"/>
      <c r="T282" s="664"/>
      <c r="U282" s="664"/>
      <c r="V282" s="664"/>
      <c r="W282" s="664"/>
      <c r="X282" s="664"/>
      <c r="Y282" s="664"/>
      <c r="Z282" s="664"/>
      <c r="AA282" s="66"/>
      <c r="AB282" s="66"/>
      <c r="AC282" s="80"/>
    </row>
    <row r="283" spans="1:68" ht="27" hidden="1" customHeight="1" x14ac:dyDescent="0.25">
      <c r="A283" s="63" t="s">
        <v>479</v>
      </c>
      <c r="B283" s="63" t="s">
        <v>480</v>
      </c>
      <c r="C283" s="36">
        <v>4301051408</v>
      </c>
      <c r="D283" s="665">
        <v>4680115881594</v>
      </c>
      <c r="E283" s="665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126</v>
      </c>
      <c r="L283" s="37" t="s">
        <v>46</v>
      </c>
      <c r="M283" s="38" t="s">
        <v>89</v>
      </c>
      <c r="N283" s="38"/>
      <c r="O283" s="37">
        <v>40</v>
      </c>
      <c r="P283" s="80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667"/>
      <c r="R283" s="667"/>
      <c r="S283" s="667"/>
      <c r="T283" s="668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481</v>
      </c>
      <c r="AG283" s="78"/>
      <c r="AJ283" s="84" t="s">
        <v>46</v>
      </c>
      <c r="AK283" s="84">
        <v>0</v>
      </c>
      <c r="BB283" s="377" t="s">
        <v>66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482</v>
      </c>
      <c r="B284" s="63" t="s">
        <v>483</v>
      </c>
      <c r="C284" s="36">
        <v>4301051411</v>
      </c>
      <c r="D284" s="665">
        <v>4680115881617</v>
      </c>
      <c r="E284" s="665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126</v>
      </c>
      <c r="L284" s="37" t="s">
        <v>46</v>
      </c>
      <c r="M284" s="38" t="s">
        <v>89</v>
      </c>
      <c r="N284" s="38"/>
      <c r="O284" s="37">
        <v>40</v>
      </c>
      <c r="P284" s="81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667"/>
      <c r="R284" s="667"/>
      <c r="S284" s="667"/>
      <c r="T284" s="668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484</v>
      </c>
      <c r="AG284" s="78"/>
      <c r="AJ284" s="84" t="s">
        <v>46</v>
      </c>
      <c r="AK284" s="84">
        <v>0</v>
      </c>
      <c r="BB284" s="379" t="s">
        <v>66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485</v>
      </c>
      <c r="B285" s="63" t="s">
        <v>486</v>
      </c>
      <c r="C285" s="36">
        <v>4301051656</v>
      </c>
      <c r="D285" s="665">
        <v>4680115880573</v>
      </c>
      <c r="E285" s="665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126</v>
      </c>
      <c r="L285" s="37" t="s">
        <v>46</v>
      </c>
      <c r="M285" s="38" t="s">
        <v>89</v>
      </c>
      <c r="N285" s="38"/>
      <c r="O285" s="37">
        <v>45</v>
      </c>
      <c r="P285" s="8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667"/>
      <c r="R285" s="667"/>
      <c r="S285" s="667"/>
      <c r="T285" s="668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487</v>
      </c>
      <c r="AG285" s="78"/>
      <c r="AJ285" s="84" t="s">
        <v>46</v>
      </c>
      <c r="AK285" s="84">
        <v>0</v>
      </c>
      <c r="BB285" s="381" t="s">
        <v>66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4301051407</v>
      </c>
      <c r="D286" s="665">
        <v>4680115882195</v>
      </c>
      <c r="E286" s="665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1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667"/>
      <c r="R286" s="667"/>
      <c r="S286" s="667"/>
      <c r="T286" s="668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8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481</v>
      </c>
      <c r="AG286" s="78"/>
      <c r="AJ286" s="84" t="s">
        <v>46</v>
      </c>
      <c r="AK286" s="84">
        <v>0</v>
      </c>
      <c r="BB286" s="383" t="s">
        <v>66</v>
      </c>
      <c r="BM286" s="78">
        <f t="shared" si="49"/>
        <v>0</v>
      </c>
      <c r="BN286" s="78">
        <f t="shared" si="50"/>
        <v>0</v>
      </c>
      <c r="BO286" s="78">
        <f t="shared" si="51"/>
        <v>0</v>
      </c>
      <c r="BP286" s="78">
        <f t="shared" si="52"/>
        <v>0</v>
      </c>
    </row>
    <row r="287" spans="1:68" ht="27" hidden="1" customHeight="1" x14ac:dyDescent="0.25">
      <c r="A287" s="63" t="s">
        <v>490</v>
      </c>
      <c r="B287" s="63" t="s">
        <v>491</v>
      </c>
      <c r="C287" s="36">
        <v>4301051752</v>
      </c>
      <c r="D287" s="665">
        <v>4680115882607</v>
      </c>
      <c r="E287" s="665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90</v>
      </c>
      <c r="L287" s="37" t="s">
        <v>46</v>
      </c>
      <c r="M287" s="38" t="s">
        <v>96</v>
      </c>
      <c r="N287" s="38"/>
      <c r="O287" s="37">
        <v>45</v>
      </c>
      <c r="P287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667"/>
      <c r="R287" s="667"/>
      <c r="S287" s="667"/>
      <c r="T287" s="668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487</v>
      </c>
      <c r="AG287" s="78"/>
      <c r="AJ287" s="84" t="s">
        <v>46</v>
      </c>
      <c r="AK287" s="84">
        <v>0</v>
      </c>
      <c r="BB287" s="385" t="s">
        <v>66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492</v>
      </c>
      <c r="B288" s="63" t="s">
        <v>493</v>
      </c>
      <c r="C288" s="36">
        <v>4301052143</v>
      </c>
      <c r="D288" s="665">
        <v>4680115882607</v>
      </c>
      <c r="E288" s="665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133</v>
      </c>
      <c r="L288" s="37" t="s">
        <v>46</v>
      </c>
      <c r="M288" s="38" t="s">
        <v>89</v>
      </c>
      <c r="N288" s="38"/>
      <c r="O288" s="37">
        <v>45</v>
      </c>
      <c r="P288" s="80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667"/>
      <c r="R288" s="667"/>
      <c r="S288" s="667"/>
      <c r="T288" s="668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494</v>
      </c>
      <c r="AG288" s="78"/>
      <c r="AJ288" s="84" t="s">
        <v>46</v>
      </c>
      <c r="AK288" s="84">
        <v>0</v>
      </c>
      <c r="BB288" s="387" t="s">
        <v>66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hidden="1" customHeight="1" x14ac:dyDescent="0.25">
      <c r="A289" s="63" t="s">
        <v>495</v>
      </c>
      <c r="B289" s="63" t="s">
        <v>496</v>
      </c>
      <c r="C289" s="36">
        <v>4301051666</v>
      </c>
      <c r="D289" s="665">
        <v>4680115880092</v>
      </c>
      <c r="E289" s="665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89</v>
      </c>
      <c r="N289" s="38"/>
      <c r="O289" s="37">
        <v>45</v>
      </c>
      <c r="P289" s="80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667"/>
      <c r="R289" s="667"/>
      <c r="S289" s="667"/>
      <c r="T289" s="668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48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8" t="s">
        <v>487</v>
      </c>
      <c r="AG289" s="78"/>
      <c r="AJ289" s="84" t="s">
        <v>46</v>
      </c>
      <c r="AK289" s="84">
        <v>0</v>
      </c>
      <c r="BB289" s="389" t="s">
        <v>66</v>
      </c>
      <c r="BM289" s="78">
        <f t="shared" si="49"/>
        <v>0</v>
      </c>
      <c r="BN289" s="78">
        <f t="shared" si="50"/>
        <v>0</v>
      </c>
      <c r="BO289" s="78">
        <f t="shared" si="51"/>
        <v>0</v>
      </c>
      <c r="BP289" s="78">
        <f t="shared" si="52"/>
        <v>0</v>
      </c>
    </row>
    <row r="290" spans="1:68" ht="27" hidden="1" customHeight="1" x14ac:dyDescent="0.25">
      <c r="A290" s="63" t="s">
        <v>497</v>
      </c>
      <c r="B290" s="63" t="s">
        <v>498</v>
      </c>
      <c r="C290" s="36">
        <v>4301052214</v>
      </c>
      <c r="D290" s="665">
        <v>4680115889064</v>
      </c>
      <c r="E290" s="665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126</v>
      </c>
      <c r="L290" s="37" t="s">
        <v>46</v>
      </c>
      <c r="M290" s="38" t="s">
        <v>89</v>
      </c>
      <c r="N290" s="38"/>
      <c r="O290" s="37">
        <v>45</v>
      </c>
      <c r="P290" s="802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667"/>
      <c r="R290" s="667"/>
      <c r="S290" s="667"/>
      <c r="T290" s="668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494</v>
      </c>
      <c r="AG290" s="78"/>
      <c r="AJ290" s="84" t="s">
        <v>46</v>
      </c>
      <c r="AK290" s="84">
        <v>0</v>
      </c>
      <c r="BB290" s="391" t="s">
        <v>66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hidden="1" customHeight="1" x14ac:dyDescent="0.25">
      <c r="A291" s="63" t="s">
        <v>499</v>
      </c>
      <c r="B291" s="63" t="s">
        <v>500</v>
      </c>
      <c r="C291" s="36">
        <v>4301051668</v>
      </c>
      <c r="D291" s="665">
        <v>4680115880221</v>
      </c>
      <c r="E291" s="665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0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667"/>
      <c r="R291" s="667"/>
      <c r="S291" s="667"/>
      <c r="T291" s="668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48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487</v>
      </c>
      <c r="AG291" s="78"/>
      <c r="AJ291" s="84" t="s">
        <v>46</v>
      </c>
      <c r="AK291" s="84">
        <v>0</v>
      </c>
      <c r="BB291" s="393" t="s">
        <v>66</v>
      </c>
      <c r="BM291" s="78">
        <f t="shared" si="49"/>
        <v>0</v>
      </c>
      <c r="BN291" s="78">
        <f t="shared" si="50"/>
        <v>0</v>
      </c>
      <c r="BO291" s="78">
        <f t="shared" si="51"/>
        <v>0</v>
      </c>
      <c r="BP291" s="78">
        <f t="shared" si="52"/>
        <v>0</v>
      </c>
    </row>
    <row r="292" spans="1:68" ht="27" hidden="1" customHeight="1" x14ac:dyDescent="0.25">
      <c r="A292" s="63" t="s">
        <v>501</v>
      </c>
      <c r="B292" s="63" t="s">
        <v>502</v>
      </c>
      <c r="C292" s="36">
        <v>4301051945</v>
      </c>
      <c r="D292" s="665">
        <v>4680115880504</v>
      </c>
      <c r="E292" s="665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96</v>
      </c>
      <c r="N292" s="38"/>
      <c r="O292" s="37">
        <v>40</v>
      </c>
      <c r="P292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667"/>
      <c r="R292" s="667"/>
      <c r="S292" s="667"/>
      <c r="T292" s="668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503</v>
      </c>
      <c r="AG292" s="78"/>
      <c r="AJ292" s="84" t="s">
        <v>46</v>
      </c>
      <c r="AK292" s="84">
        <v>0</v>
      </c>
      <c r="BB292" s="395" t="s">
        <v>66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hidden="1" customHeight="1" x14ac:dyDescent="0.25">
      <c r="A293" s="63" t="s">
        <v>504</v>
      </c>
      <c r="B293" s="63" t="s">
        <v>505</v>
      </c>
      <c r="C293" s="36">
        <v>4301051410</v>
      </c>
      <c r="D293" s="665">
        <v>4680115882164</v>
      </c>
      <c r="E293" s="665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90</v>
      </c>
      <c r="L293" s="37" t="s">
        <v>46</v>
      </c>
      <c r="M293" s="38" t="s">
        <v>89</v>
      </c>
      <c r="N293" s="38"/>
      <c r="O293" s="37">
        <v>40</v>
      </c>
      <c r="P293" s="80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667"/>
      <c r="R293" s="667"/>
      <c r="S293" s="667"/>
      <c r="T293" s="668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8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506</v>
      </c>
      <c r="AG293" s="78"/>
      <c r="AJ293" s="84" t="s">
        <v>46</v>
      </c>
      <c r="AK293" s="84">
        <v>0</v>
      </c>
      <c r="BB293" s="397" t="s">
        <v>66</v>
      </c>
      <c r="BM293" s="78">
        <f t="shared" si="49"/>
        <v>0</v>
      </c>
      <c r="BN293" s="78">
        <f t="shared" si="50"/>
        <v>0</v>
      </c>
      <c r="BO293" s="78">
        <f t="shared" si="51"/>
        <v>0</v>
      </c>
      <c r="BP293" s="78">
        <f t="shared" si="52"/>
        <v>0</v>
      </c>
    </row>
    <row r="294" spans="1:68" ht="27" hidden="1" customHeight="1" x14ac:dyDescent="0.25">
      <c r="A294" s="63" t="s">
        <v>507</v>
      </c>
      <c r="B294" s="63" t="s">
        <v>508</v>
      </c>
      <c r="C294" s="36">
        <v>4301052180</v>
      </c>
      <c r="D294" s="665">
        <v>4680115888340</v>
      </c>
      <c r="E294" s="665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90</v>
      </c>
      <c r="L294" s="37" t="s">
        <v>46</v>
      </c>
      <c r="M294" s="38" t="s">
        <v>89</v>
      </c>
      <c r="N294" s="38"/>
      <c r="O294" s="37">
        <v>45</v>
      </c>
      <c r="P294" s="806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667"/>
      <c r="R294" s="667"/>
      <c r="S294" s="667"/>
      <c r="T294" s="668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8"/>
        <v>0</v>
      </c>
      <c r="Z294" s="41" t="str">
        <f>IFERROR(IF(Y294=0,"",ROUNDUP(Y294/H294,0)*0.00651),"")</f>
        <v/>
      </c>
      <c r="AA294" s="68" t="s">
        <v>46</v>
      </c>
      <c r="AB294" s="69" t="s">
        <v>46</v>
      </c>
      <c r="AC294" s="398" t="s">
        <v>509</v>
      </c>
      <c r="AG294" s="78"/>
      <c r="AJ294" s="84" t="s">
        <v>46</v>
      </c>
      <c r="AK294" s="84">
        <v>0</v>
      </c>
      <c r="BB294" s="399" t="s">
        <v>66</v>
      </c>
      <c r="BM294" s="78">
        <f t="shared" si="49"/>
        <v>0</v>
      </c>
      <c r="BN294" s="78">
        <f t="shared" si="50"/>
        <v>0</v>
      </c>
      <c r="BO294" s="78">
        <f t="shared" si="51"/>
        <v>0</v>
      </c>
      <c r="BP294" s="78">
        <f t="shared" si="52"/>
        <v>0</v>
      </c>
    </row>
    <row r="295" spans="1:68" hidden="1" x14ac:dyDescent="0.2">
      <c r="A295" s="661"/>
      <c r="B295" s="661"/>
      <c r="C295" s="661"/>
      <c r="D295" s="661"/>
      <c r="E295" s="661"/>
      <c r="F295" s="661"/>
      <c r="G295" s="661"/>
      <c r="H295" s="661"/>
      <c r="I295" s="661"/>
      <c r="J295" s="661"/>
      <c r="K295" s="661"/>
      <c r="L295" s="661"/>
      <c r="M295" s="661"/>
      <c r="N295" s="661"/>
      <c r="O295" s="662"/>
      <c r="P295" s="658" t="s">
        <v>40</v>
      </c>
      <c r="Q295" s="659"/>
      <c r="R295" s="659"/>
      <c r="S295" s="659"/>
      <c r="T295" s="659"/>
      <c r="U295" s="659"/>
      <c r="V295" s="660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0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0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hidden="1" x14ac:dyDescent="0.2">
      <c r="A296" s="661"/>
      <c r="B296" s="661"/>
      <c r="C296" s="661"/>
      <c r="D296" s="661"/>
      <c r="E296" s="661"/>
      <c r="F296" s="661"/>
      <c r="G296" s="661"/>
      <c r="H296" s="661"/>
      <c r="I296" s="661"/>
      <c r="J296" s="661"/>
      <c r="K296" s="661"/>
      <c r="L296" s="661"/>
      <c r="M296" s="661"/>
      <c r="N296" s="661"/>
      <c r="O296" s="662"/>
      <c r="P296" s="658" t="s">
        <v>40</v>
      </c>
      <c r="Q296" s="659"/>
      <c r="R296" s="659"/>
      <c r="S296" s="659"/>
      <c r="T296" s="659"/>
      <c r="U296" s="659"/>
      <c r="V296" s="660"/>
      <c r="W296" s="42" t="s">
        <v>0</v>
      </c>
      <c r="X296" s="43">
        <f>IFERROR(SUM(X283:X294),"0")</f>
        <v>0</v>
      </c>
      <c r="Y296" s="43">
        <f>IFERROR(SUM(Y283:Y294),"0")</f>
        <v>0</v>
      </c>
      <c r="Z296" s="42"/>
      <c r="AA296" s="67"/>
      <c r="AB296" s="67"/>
      <c r="AC296" s="67"/>
    </row>
    <row r="297" spans="1:68" ht="14.25" hidden="1" customHeight="1" x14ac:dyDescent="0.25">
      <c r="A297" s="664" t="s">
        <v>172</v>
      </c>
      <c r="B297" s="664"/>
      <c r="C297" s="664"/>
      <c r="D297" s="664"/>
      <c r="E297" s="664"/>
      <c r="F297" s="664"/>
      <c r="G297" s="664"/>
      <c r="H297" s="664"/>
      <c r="I297" s="664"/>
      <c r="J297" s="664"/>
      <c r="K297" s="664"/>
      <c r="L297" s="664"/>
      <c r="M297" s="664"/>
      <c r="N297" s="664"/>
      <c r="O297" s="664"/>
      <c r="P297" s="664"/>
      <c r="Q297" s="664"/>
      <c r="R297" s="664"/>
      <c r="S297" s="664"/>
      <c r="T297" s="664"/>
      <c r="U297" s="664"/>
      <c r="V297" s="664"/>
      <c r="W297" s="664"/>
      <c r="X297" s="664"/>
      <c r="Y297" s="664"/>
      <c r="Z297" s="664"/>
      <c r="AA297" s="66"/>
      <c r="AB297" s="66"/>
      <c r="AC297" s="80"/>
    </row>
    <row r="298" spans="1:68" ht="27" hidden="1" customHeight="1" x14ac:dyDescent="0.25">
      <c r="A298" s="63" t="s">
        <v>510</v>
      </c>
      <c r="B298" s="63" t="s">
        <v>511</v>
      </c>
      <c r="C298" s="36">
        <v>4301060463</v>
      </c>
      <c r="D298" s="665">
        <v>4680115880818</v>
      </c>
      <c r="E298" s="665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90</v>
      </c>
      <c r="L298" s="37" t="s">
        <v>46</v>
      </c>
      <c r="M298" s="38" t="s">
        <v>96</v>
      </c>
      <c r="N298" s="38"/>
      <c r="O298" s="37">
        <v>40</v>
      </c>
      <c r="P298" s="7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667"/>
      <c r="R298" s="667"/>
      <c r="S298" s="667"/>
      <c r="T298" s="668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512</v>
      </c>
      <c r="AG298" s="78"/>
      <c r="AJ298" s="84" t="s">
        <v>46</v>
      </c>
      <c r="AK298" s="84">
        <v>0</v>
      </c>
      <c r="BB298" s="401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4301060389</v>
      </c>
      <c r="D299" s="665">
        <v>4680115880801</v>
      </c>
      <c r="E299" s="665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90</v>
      </c>
      <c r="L299" s="37" t="s">
        <v>46</v>
      </c>
      <c r="M299" s="38" t="s">
        <v>89</v>
      </c>
      <c r="N299" s="38"/>
      <c r="O299" s="37">
        <v>40</v>
      </c>
      <c r="P299" s="7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667"/>
      <c r="R299" s="667"/>
      <c r="S299" s="667"/>
      <c r="T299" s="668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515</v>
      </c>
      <c r="AG299" s="78"/>
      <c r="AJ299" s="84" t="s">
        <v>46</v>
      </c>
      <c r="AK299" s="84">
        <v>0</v>
      </c>
      <c r="BB299" s="403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661"/>
      <c r="B300" s="661"/>
      <c r="C300" s="661"/>
      <c r="D300" s="661"/>
      <c r="E300" s="661"/>
      <c r="F300" s="661"/>
      <c r="G300" s="661"/>
      <c r="H300" s="661"/>
      <c r="I300" s="661"/>
      <c r="J300" s="661"/>
      <c r="K300" s="661"/>
      <c r="L300" s="661"/>
      <c r="M300" s="661"/>
      <c r="N300" s="661"/>
      <c r="O300" s="662"/>
      <c r="P300" s="658" t="s">
        <v>40</v>
      </c>
      <c r="Q300" s="659"/>
      <c r="R300" s="659"/>
      <c r="S300" s="659"/>
      <c r="T300" s="659"/>
      <c r="U300" s="659"/>
      <c r="V300" s="660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661"/>
      <c r="B301" s="661"/>
      <c r="C301" s="661"/>
      <c r="D301" s="661"/>
      <c r="E301" s="661"/>
      <c r="F301" s="661"/>
      <c r="G301" s="661"/>
      <c r="H301" s="661"/>
      <c r="I301" s="661"/>
      <c r="J301" s="661"/>
      <c r="K301" s="661"/>
      <c r="L301" s="661"/>
      <c r="M301" s="661"/>
      <c r="N301" s="661"/>
      <c r="O301" s="662"/>
      <c r="P301" s="658" t="s">
        <v>40</v>
      </c>
      <c r="Q301" s="659"/>
      <c r="R301" s="659"/>
      <c r="S301" s="659"/>
      <c r="T301" s="659"/>
      <c r="U301" s="659"/>
      <c r="V301" s="660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663" t="s">
        <v>516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5"/>
      <c r="AB302" s="65"/>
      <c r="AC302" s="79"/>
    </row>
    <row r="303" spans="1:68" ht="14.25" hidden="1" customHeight="1" x14ac:dyDescent="0.25">
      <c r="A303" s="664" t="s">
        <v>121</v>
      </c>
      <c r="B303" s="664"/>
      <c r="C303" s="664"/>
      <c r="D303" s="664"/>
      <c r="E303" s="664"/>
      <c r="F303" s="664"/>
      <c r="G303" s="664"/>
      <c r="H303" s="664"/>
      <c r="I303" s="664"/>
      <c r="J303" s="664"/>
      <c r="K303" s="664"/>
      <c r="L303" s="664"/>
      <c r="M303" s="664"/>
      <c r="N303" s="664"/>
      <c r="O303" s="664"/>
      <c r="P303" s="664"/>
      <c r="Q303" s="664"/>
      <c r="R303" s="664"/>
      <c r="S303" s="664"/>
      <c r="T303" s="664"/>
      <c r="U303" s="664"/>
      <c r="V303" s="664"/>
      <c r="W303" s="664"/>
      <c r="X303" s="664"/>
      <c r="Y303" s="664"/>
      <c r="Z303" s="664"/>
      <c r="AA303" s="66"/>
      <c r="AB303" s="66"/>
      <c r="AC303" s="80"/>
    </row>
    <row r="304" spans="1:68" ht="27" hidden="1" customHeight="1" x14ac:dyDescent="0.25">
      <c r="A304" s="63" t="s">
        <v>517</v>
      </c>
      <c r="B304" s="63" t="s">
        <v>518</v>
      </c>
      <c r="C304" s="36">
        <v>4301011826</v>
      </c>
      <c r="D304" s="665">
        <v>4680115884137</v>
      </c>
      <c r="E304" s="665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126</v>
      </c>
      <c r="L304" s="37" t="s">
        <v>46</v>
      </c>
      <c r="M304" s="38" t="s">
        <v>125</v>
      </c>
      <c r="N304" s="38"/>
      <c r="O304" s="37">
        <v>55</v>
      </c>
      <c r="P304" s="79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667"/>
      <c r="R304" s="667"/>
      <c r="S304" s="667"/>
      <c r="T304" s="668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519</v>
      </c>
      <c r="AG304" s="78"/>
      <c r="AJ304" s="84" t="s">
        <v>46</v>
      </c>
      <c r="AK304" s="84">
        <v>0</v>
      </c>
      <c r="BB304" s="405" t="s">
        <v>66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520</v>
      </c>
      <c r="B305" s="63" t="s">
        <v>521</v>
      </c>
      <c r="C305" s="36">
        <v>4301011724</v>
      </c>
      <c r="D305" s="665">
        <v>4680115884236</v>
      </c>
      <c r="E305" s="665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126</v>
      </c>
      <c r="L305" s="37" t="s">
        <v>46</v>
      </c>
      <c r="M305" s="38" t="s">
        <v>125</v>
      </c>
      <c r="N305" s="38"/>
      <c r="O305" s="37">
        <v>55</v>
      </c>
      <c r="P305" s="79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667"/>
      <c r="R305" s="667"/>
      <c r="S305" s="667"/>
      <c r="T305" s="668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522</v>
      </c>
      <c r="AG305" s="78"/>
      <c r="AJ305" s="84" t="s">
        <v>46</v>
      </c>
      <c r="AK305" s="84">
        <v>0</v>
      </c>
      <c r="BB305" s="407" t="s">
        <v>66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523</v>
      </c>
      <c r="B306" s="63" t="s">
        <v>524</v>
      </c>
      <c r="C306" s="36">
        <v>4301011721</v>
      </c>
      <c r="D306" s="665">
        <v>4680115884175</v>
      </c>
      <c r="E306" s="665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126</v>
      </c>
      <c r="L306" s="37" t="s">
        <v>46</v>
      </c>
      <c r="M306" s="38" t="s">
        <v>125</v>
      </c>
      <c r="N306" s="38"/>
      <c r="O306" s="37">
        <v>55</v>
      </c>
      <c r="P306" s="79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667"/>
      <c r="R306" s="667"/>
      <c r="S306" s="667"/>
      <c r="T306" s="668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377</v>
      </c>
      <c r="AG306" s="78"/>
      <c r="AJ306" s="84" t="s">
        <v>46</v>
      </c>
      <c r="AK306" s="84">
        <v>0</v>
      </c>
      <c r="BB306" s="409" t="s">
        <v>66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525</v>
      </c>
      <c r="B307" s="63" t="s">
        <v>526</v>
      </c>
      <c r="C307" s="36">
        <v>4301011824</v>
      </c>
      <c r="D307" s="665">
        <v>4680115884144</v>
      </c>
      <c r="E307" s="665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133</v>
      </c>
      <c r="L307" s="37" t="s">
        <v>46</v>
      </c>
      <c r="M307" s="38" t="s">
        <v>125</v>
      </c>
      <c r="N307" s="38"/>
      <c r="O307" s="37">
        <v>55</v>
      </c>
      <c r="P307" s="79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667"/>
      <c r="R307" s="667"/>
      <c r="S307" s="667"/>
      <c r="T307" s="668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519</v>
      </c>
      <c r="AG307" s="78"/>
      <c r="AJ307" s="84" t="s">
        <v>46</v>
      </c>
      <c r="AK307" s="84">
        <v>0</v>
      </c>
      <c r="BB307" s="411" t="s">
        <v>66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527</v>
      </c>
      <c r="B308" s="63" t="s">
        <v>528</v>
      </c>
      <c r="C308" s="36">
        <v>4301012149</v>
      </c>
      <c r="D308" s="665">
        <v>4680115886551</v>
      </c>
      <c r="E308" s="665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133</v>
      </c>
      <c r="L308" s="37" t="s">
        <v>46</v>
      </c>
      <c r="M308" s="38" t="s">
        <v>125</v>
      </c>
      <c r="N308" s="38"/>
      <c r="O308" s="37">
        <v>55</v>
      </c>
      <c r="P308" s="78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667"/>
      <c r="R308" s="667"/>
      <c r="S308" s="667"/>
      <c r="T308" s="668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66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530</v>
      </c>
      <c r="B309" s="63" t="s">
        <v>531</v>
      </c>
      <c r="C309" s="36">
        <v>4301012228</v>
      </c>
      <c r="D309" s="665">
        <v>4680115887282</v>
      </c>
      <c r="E309" s="665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90</v>
      </c>
      <c r="L309" s="37" t="s">
        <v>46</v>
      </c>
      <c r="M309" s="38" t="s">
        <v>125</v>
      </c>
      <c r="N309" s="38"/>
      <c r="O309" s="37">
        <v>55</v>
      </c>
      <c r="P309" s="79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667"/>
      <c r="R309" s="667"/>
      <c r="S309" s="667"/>
      <c r="T309" s="668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532</v>
      </c>
      <c r="AG309" s="78"/>
      <c r="AJ309" s="84" t="s">
        <v>46</v>
      </c>
      <c r="AK309" s="84">
        <v>0</v>
      </c>
      <c r="BB309" s="415" t="s">
        <v>66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533</v>
      </c>
      <c r="B310" s="63" t="s">
        <v>534</v>
      </c>
      <c r="C310" s="36">
        <v>4301011722</v>
      </c>
      <c r="D310" s="665">
        <v>4680115884205</v>
      </c>
      <c r="E310" s="665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133</v>
      </c>
      <c r="L310" s="37" t="s">
        <v>46</v>
      </c>
      <c r="M310" s="38" t="s">
        <v>125</v>
      </c>
      <c r="N310" s="38"/>
      <c r="O310" s="37">
        <v>55</v>
      </c>
      <c r="P310" s="79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667"/>
      <c r="R310" s="667"/>
      <c r="S310" s="667"/>
      <c r="T310" s="668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377</v>
      </c>
      <c r="AG310" s="78"/>
      <c r="AJ310" s="84" t="s">
        <v>46</v>
      </c>
      <c r="AK310" s="84">
        <v>0</v>
      </c>
      <c r="BB310" s="417" t="s">
        <v>66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661"/>
      <c r="B311" s="661"/>
      <c r="C311" s="661"/>
      <c r="D311" s="661"/>
      <c r="E311" s="661"/>
      <c r="F311" s="661"/>
      <c r="G311" s="661"/>
      <c r="H311" s="661"/>
      <c r="I311" s="661"/>
      <c r="J311" s="661"/>
      <c r="K311" s="661"/>
      <c r="L311" s="661"/>
      <c r="M311" s="661"/>
      <c r="N311" s="661"/>
      <c r="O311" s="662"/>
      <c r="P311" s="658" t="s">
        <v>40</v>
      </c>
      <c r="Q311" s="659"/>
      <c r="R311" s="659"/>
      <c r="S311" s="659"/>
      <c r="T311" s="659"/>
      <c r="U311" s="659"/>
      <c r="V311" s="660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661"/>
      <c r="B312" s="661"/>
      <c r="C312" s="661"/>
      <c r="D312" s="661"/>
      <c r="E312" s="661"/>
      <c r="F312" s="661"/>
      <c r="G312" s="661"/>
      <c r="H312" s="661"/>
      <c r="I312" s="661"/>
      <c r="J312" s="661"/>
      <c r="K312" s="661"/>
      <c r="L312" s="661"/>
      <c r="M312" s="661"/>
      <c r="N312" s="661"/>
      <c r="O312" s="662"/>
      <c r="P312" s="658" t="s">
        <v>40</v>
      </c>
      <c r="Q312" s="659"/>
      <c r="R312" s="659"/>
      <c r="S312" s="659"/>
      <c r="T312" s="659"/>
      <c r="U312" s="659"/>
      <c r="V312" s="660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664" t="s">
        <v>154</v>
      </c>
      <c r="B313" s="664"/>
      <c r="C313" s="664"/>
      <c r="D313" s="664"/>
      <c r="E313" s="664"/>
      <c r="F313" s="664"/>
      <c r="G313" s="664"/>
      <c r="H313" s="664"/>
      <c r="I313" s="664"/>
      <c r="J313" s="664"/>
      <c r="K313" s="664"/>
      <c r="L313" s="664"/>
      <c r="M313" s="664"/>
      <c r="N313" s="664"/>
      <c r="O313" s="664"/>
      <c r="P313" s="664"/>
      <c r="Q313" s="664"/>
      <c r="R313" s="664"/>
      <c r="S313" s="664"/>
      <c r="T313" s="664"/>
      <c r="U313" s="664"/>
      <c r="V313" s="664"/>
      <c r="W313" s="664"/>
      <c r="X313" s="664"/>
      <c r="Y313" s="664"/>
      <c r="Z313" s="664"/>
      <c r="AA313" s="66"/>
      <c r="AB313" s="66"/>
      <c r="AC313" s="80"/>
    </row>
    <row r="314" spans="1:68" ht="27" hidden="1" customHeight="1" x14ac:dyDescent="0.25">
      <c r="A314" s="63" t="s">
        <v>535</v>
      </c>
      <c r="B314" s="63" t="s">
        <v>536</v>
      </c>
      <c r="C314" s="36">
        <v>4301020377</v>
      </c>
      <c r="D314" s="665">
        <v>4680115885981</v>
      </c>
      <c r="E314" s="665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81</v>
      </c>
      <c r="L314" s="37" t="s">
        <v>46</v>
      </c>
      <c r="M314" s="38" t="s">
        <v>89</v>
      </c>
      <c r="N314" s="38"/>
      <c r="O314" s="37">
        <v>50</v>
      </c>
      <c r="P314" s="7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667"/>
      <c r="R314" s="667"/>
      <c r="S314" s="667"/>
      <c r="T314" s="668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537</v>
      </c>
      <c r="AG314" s="78"/>
      <c r="AJ314" s="84" t="s">
        <v>46</v>
      </c>
      <c r="AK314" s="84">
        <v>0</v>
      </c>
      <c r="BB314" s="419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661"/>
      <c r="B315" s="661"/>
      <c r="C315" s="661"/>
      <c r="D315" s="661"/>
      <c r="E315" s="661"/>
      <c r="F315" s="661"/>
      <c r="G315" s="661"/>
      <c r="H315" s="661"/>
      <c r="I315" s="661"/>
      <c r="J315" s="661"/>
      <c r="K315" s="661"/>
      <c r="L315" s="661"/>
      <c r="M315" s="661"/>
      <c r="N315" s="661"/>
      <c r="O315" s="662"/>
      <c r="P315" s="658" t="s">
        <v>40</v>
      </c>
      <c r="Q315" s="659"/>
      <c r="R315" s="659"/>
      <c r="S315" s="659"/>
      <c r="T315" s="659"/>
      <c r="U315" s="659"/>
      <c r="V315" s="660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661"/>
      <c r="B316" s="661"/>
      <c r="C316" s="661"/>
      <c r="D316" s="661"/>
      <c r="E316" s="661"/>
      <c r="F316" s="661"/>
      <c r="G316" s="661"/>
      <c r="H316" s="661"/>
      <c r="I316" s="661"/>
      <c r="J316" s="661"/>
      <c r="K316" s="661"/>
      <c r="L316" s="661"/>
      <c r="M316" s="661"/>
      <c r="N316" s="661"/>
      <c r="O316" s="662"/>
      <c r="P316" s="658" t="s">
        <v>40</v>
      </c>
      <c r="Q316" s="659"/>
      <c r="R316" s="659"/>
      <c r="S316" s="659"/>
      <c r="T316" s="659"/>
      <c r="U316" s="659"/>
      <c r="V316" s="660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64" t="s">
        <v>538</v>
      </c>
      <c r="B317" s="664"/>
      <c r="C317" s="664"/>
      <c r="D317" s="664"/>
      <c r="E317" s="664"/>
      <c r="F317" s="664"/>
      <c r="G317" s="664"/>
      <c r="H317" s="664"/>
      <c r="I317" s="664"/>
      <c r="J317" s="664"/>
      <c r="K317" s="664"/>
      <c r="L317" s="664"/>
      <c r="M317" s="664"/>
      <c r="N317" s="664"/>
      <c r="O317" s="664"/>
      <c r="P317" s="664"/>
      <c r="Q317" s="664"/>
      <c r="R317" s="664"/>
      <c r="S317" s="664"/>
      <c r="T317" s="664"/>
      <c r="U317" s="664"/>
      <c r="V317" s="664"/>
      <c r="W317" s="664"/>
      <c r="X317" s="664"/>
      <c r="Y317" s="664"/>
      <c r="Z317" s="664"/>
      <c r="AA317" s="66"/>
      <c r="AB317" s="66"/>
      <c r="AC317" s="80"/>
    </row>
    <row r="318" spans="1:68" ht="27" hidden="1" customHeight="1" x14ac:dyDescent="0.25">
      <c r="A318" s="63" t="s">
        <v>539</v>
      </c>
      <c r="B318" s="63" t="s">
        <v>540</v>
      </c>
      <c r="C318" s="36">
        <v>4301040362</v>
      </c>
      <c r="D318" s="665">
        <v>4680115886803</v>
      </c>
      <c r="E318" s="665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354</v>
      </c>
      <c r="L318" s="37" t="s">
        <v>46</v>
      </c>
      <c r="M318" s="38" t="s">
        <v>293</v>
      </c>
      <c r="N318" s="38"/>
      <c r="O318" s="37">
        <v>45</v>
      </c>
      <c r="P318" s="7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667"/>
      <c r="R318" s="667"/>
      <c r="S318" s="667"/>
      <c r="T318" s="668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541</v>
      </c>
      <c r="AG318" s="78"/>
      <c r="AJ318" s="84" t="s">
        <v>46</v>
      </c>
      <c r="AK318" s="84">
        <v>0</v>
      </c>
      <c r="BB318" s="421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1"/>
      <c r="B319" s="661"/>
      <c r="C319" s="661"/>
      <c r="D319" s="661"/>
      <c r="E319" s="661"/>
      <c r="F319" s="661"/>
      <c r="G319" s="661"/>
      <c r="H319" s="661"/>
      <c r="I319" s="661"/>
      <c r="J319" s="661"/>
      <c r="K319" s="661"/>
      <c r="L319" s="661"/>
      <c r="M319" s="661"/>
      <c r="N319" s="661"/>
      <c r="O319" s="662"/>
      <c r="P319" s="658" t="s">
        <v>40</v>
      </c>
      <c r="Q319" s="659"/>
      <c r="R319" s="659"/>
      <c r="S319" s="659"/>
      <c r="T319" s="659"/>
      <c r="U319" s="659"/>
      <c r="V319" s="660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1"/>
      <c r="B320" s="661"/>
      <c r="C320" s="661"/>
      <c r="D320" s="661"/>
      <c r="E320" s="661"/>
      <c r="F320" s="661"/>
      <c r="G320" s="661"/>
      <c r="H320" s="661"/>
      <c r="I320" s="661"/>
      <c r="J320" s="661"/>
      <c r="K320" s="661"/>
      <c r="L320" s="661"/>
      <c r="M320" s="661"/>
      <c r="N320" s="661"/>
      <c r="O320" s="662"/>
      <c r="P320" s="658" t="s">
        <v>40</v>
      </c>
      <c r="Q320" s="659"/>
      <c r="R320" s="659"/>
      <c r="S320" s="659"/>
      <c r="T320" s="659"/>
      <c r="U320" s="659"/>
      <c r="V320" s="660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64" t="s">
        <v>355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6"/>
      <c r="AB321" s="66"/>
      <c r="AC321" s="80"/>
    </row>
    <row r="322" spans="1:68" ht="27" hidden="1" customHeight="1" x14ac:dyDescent="0.25">
      <c r="A322" s="63" t="s">
        <v>542</v>
      </c>
      <c r="B322" s="63" t="s">
        <v>543</v>
      </c>
      <c r="C322" s="36">
        <v>4301041004</v>
      </c>
      <c r="D322" s="665">
        <v>4680115886704</v>
      </c>
      <c r="E322" s="665"/>
      <c r="F322" s="62">
        <v>5.5E-2</v>
      </c>
      <c r="G322" s="37">
        <v>18</v>
      </c>
      <c r="H322" s="62">
        <v>0.99</v>
      </c>
      <c r="I322" s="62">
        <v>1.18</v>
      </c>
      <c r="J322" s="37">
        <v>216</v>
      </c>
      <c r="K322" s="37" t="s">
        <v>354</v>
      </c>
      <c r="L322" s="37" t="s">
        <v>46</v>
      </c>
      <c r="M322" s="38" t="s">
        <v>293</v>
      </c>
      <c r="N322" s="38"/>
      <c r="O322" s="37">
        <v>90</v>
      </c>
      <c r="P322" s="78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2" s="667"/>
      <c r="R322" s="667"/>
      <c r="S322" s="667"/>
      <c r="T322" s="668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544</v>
      </c>
      <c r="AG322" s="78"/>
      <c r="AJ322" s="84" t="s">
        <v>46</v>
      </c>
      <c r="AK322" s="84">
        <v>0</v>
      </c>
      <c r="BB322" s="423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545</v>
      </c>
      <c r="B323" s="63" t="s">
        <v>546</v>
      </c>
      <c r="C323" s="36">
        <v>4301041008</v>
      </c>
      <c r="D323" s="665">
        <v>4680115886681</v>
      </c>
      <c r="E323" s="665"/>
      <c r="F323" s="62">
        <v>0.12</v>
      </c>
      <c r="G323" s="37">
        <v>15</v>
      </c>
      <c r="H323" s="62">
        <v>1.8</v>
      </c>
      <c r="I323" s="62">
        <v>1.9750000000000001</v>
      </c>
      <c r="J323" s="37">
        <v>216</v>
      </c>
      <c r="K323" s="37" t="s">
        <v>354</v>
      </c>
      <c r="L323" s="37" t="s">
        <v>46</v>
      </c>
      <c r="M323" s="38" t="s">
        <v>293</v>
      </c>
      <c r="N323" s="38"/>
      <c r="O323" s="37">
        <v>90</v>
      </c>
      <c r="P323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3" s="667"/>
      <c r="R323" s="667"/>
      <c r="S323" s="667"/>
      <c r="T323" s="668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544</v>
      </c>
      <c r="AG323" s="78"/>
      <c r="AJ323" s="84" t="s">
        <v>46</v>
      </c>
      <c r="AK323" s="84">
        <v>0</v>
      </c>
      <c r="BB323" s="425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547</v>
      </c>
      <c r="B324" s="63" t="s">
        <v>548</v>
      </c>
      <c r="C324" s="36">
        <v>4301041007</v>
      </c>
      <c r="D324" s="665">
        <v>4680115886735</v>
      </c>
      <c r="E324" s="665"/>
      <c r="F324" s="62">
        <v>0.05</v>
      </c>
      <c r="G324" s="37">
        <v>18</v>
      </c>
      <c r="H324" s="62">
        <v>0.9</v>
      </c>
      <c r="I324" s="62">
        <v>1.0900000000000001</v>
      </c>
      <c r="J324" s="37">
        <v>216</v>
      </c>
      <c r="K324" s="37" t="s">
        <v>354</v>
      </c>
      <c r="L324" s="37" t="s">
        <v>46</v>
      </c>
      <c r="M324" s="38" t="s">
        <v>293</v>
      </c>
      <c r="N324" s="38"/>
      <c r="O324" s="37">
        <v>90</v>
      </c>
      <c r="P324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4" s="667"/>
      <c r="R324" s="667"/>
      <c r="S324" s="667"/>
      <c r="T324" s="668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IFERROR(IF(Y324=0,"",ROUNDUP(Y324/H324,0)*0.0059),"")</f>
        <v/>
      </c>
      <c r="AA324" s="68" t="s">
        <v>46</v>
      </c>
      <c r="AB324" s="69" t="s">
        <v>46</v>
      </c>
      <c r="AC324" s="426" t="s">
        <v>544</v>
      </c>
      <c r="AG324" s="78"/>
      <c r="AJ324" s="84" t="s">
        <v>46</v>
      </c>
      <c r="AK324" s="84">
        <v>0</v>
      </c>
      <c r="BB324" s="427" t="s">
        <v>66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idden="1" x14ac:dyDescent="0.2">
      <c r="A325" s="661"/>
      <c r="B325" s="661"/>
      <c r="C325" s="661"/>
      <c r="D325" s="661"/>
      <c r="E325" s="661"/>
      <c r="F325" s="661"/>
      <c r="G325" s="661"/>
      <c r="H325" s="661"/>
      <c r="I325" s="661"/>
      <c r="J325" s="661"/>
      <c r="K325" s="661"/>
      <c r="L325" s="661"/>
      <c r="M325" s="661"/>
      <c r="N325" s="661"/>
      <c r="O325" s="662"/>
      <c r="P325" s="658" t="s">
        <v>40</v>
      </c>
      <c r="Q325" s="659"/>
      <c r="R325" s="659"/>
      <c r="S325" s="659"/>
      <c r="T325" s="659"/>
      <c r="U325" s="659"/>
      <c r="V325" s="660"/>
      <c r="W325" s="42" t="s">
        <v>39</v>
      </c>
      <c r="X325" s="43">
        <f>IFERROR(X322/H322,"0")+IFERROR(X323/H323,"0")+IFERROR(X324/H324,"0")</f>
        <v>0</v>
      </c>
      <c r="Y325" s="43">
        <f>IFERROR(Y322/H322,"0")+IFERROR(Y323/H323,"0")+IFERROR(Y324/H324,"0")</f>
        <v>0</v>
      </c>
      <c r="Z325" s="43">
        <f>IFERROR(IF(Z322="",0,Z322),"0")+IFERROR(IF(Z323="",0,Z323),"0")+IFERROR(IF(Z324="",0,Z324),"0")</f>
        <v>0</v>
      </c>
      <c r="AA325" s="67"/>
      <c r="AB325" s="67"/>
      <c r="AC325" s="67"/>
    </row>
    <row r="326" spans="1:68" hidden="1" x14ac:dyDescent="0.2">
      <c r="A326" s="661"/>
      <c r="B326" s="661"/>
      <c r="C326" s="661"/>
      <c r="D326" s="661"/>
      <c r="E326" s="661"/>
      <c r="F326" s="661"/>
      <c r="G326" s="661"/>
      <c r="H326" s="661"/>
      <c r="I326" s="661"/>
      <c r="J326" s="661"/>
      <c r="K326" s="661"/>
      <c r="L326" s="661"/>
      <c r="M326" s="661"/>
      <c r="N326" s="661"/>
      <c r="O326" s="662"/>
      <c r="P326" s="658" t="s">
        <v>40</v>
      </c>
      <c r="Q326" s="659"/>
      <c r="R326" s="659"/>
      <c r="S326" s="659"/>
      <c r="T326" s="659"/>
      <c r="U326" s="659"/>
      <c r="V326" s="660"/>
      <c r="W326" s="42" t="s">
        <v>0</v>
      </c>
      <c r="X326" s="43">
        <f>IFERROR(SUM(X322:X324),"0")</f>
        <v>0</v>
      </c>
      <c r="Y326" s="43">
        <f>IFERROR(SUM(Y322:Y324),"0")</f>
        <v>0</v>
      </c>
      <c r="Z326" s="42"/>
      <c r="AA326" s="67"/>
      <c r="AB326" s="67"/>
      <c r="AC326" s="67"/>
    </row>
    <row r="327" spans="1:68" ht="16.5" hidden="1" customHeight="1" x14ac:dyDescent="0.25">
      <c r="A327" s="663" t="s">
        <v>549</v>
      </c>
      <c r="B327" s="663"/>
      <c r="C327" s="663"/>
      <c r="D327" s="663"/>
      <c r="E327" s="663"/>
      <c r="F327" s="663"/>
      <c r="G327" s="663"/>
      <c r="H327" s="663"/>
      <c r="I327" s="663"/>
      <c r="J327" s="663"/>
      <c r="K327" s="663"/>
      <c r="L327" s="663"/>
      <c r="M327" s="663"/>
      <c r="N327" s="663"/>
      <c r="O327" s="663"/>
      <c r="P327" s="663"/>
      <c r="Q327" s="663"/>
      <c r="R327" s="663"/>
      <c r="S327" s="663"/>
      <c r="T327" s="663"/>
      <c r="U327" s="663"/>
      <c r="V327" s="663"/>
      <c r="W327" s="663"/>
      <c r="X327" s="663"/>
      <c r="Y327" s="663"/>
      <c r="Z327" s="663"/>
      <c r="AA327" s="65"/>
      <c r="AB327" s="65"/>
      <c r="AC327" s="79"/>
    </row>
    <row r="328" spans="1:68" ht="14.25" hidden="1" customHeight="1" x14ac:dyDescent="0.25">
      <c r="A328" s="664" t="s">
        <v>121</v>
      </c>
      <c r="B328" s="664"/>
      <c r="C328" s="664"/>
      <c r="D328" s="664"/>
      <c r="E328" s="664"/>
      <c r="F328" s="664"/>
      <c r="G328" s="664"/>
      <c r="H328" s="664"/>
      <c r="I328" s="664"/>
      <c r="J328" s="664"/>
      <c r="K328" s="664"/>
      <c r="L328" s="664"/>
      <c r="M328" s="664"/>
      <c r="N328" s="664"/>
      <c r="O328" s="664"/>
      <c r="P328" s="664"/>
      <c r="Q328" s="664"/>
      <c r="R328" s="664"/>
      <c r="S328" s="664"/>
      <c r="T328" s="664"/>
      <c r="U328" s="664"/>
      <c r="V328" s="664"/>
      <c r="W328" s="664"/>
      <c r="X328" s="664"/>
      <c r="Y328" s="664"/>
      <c r="Z328" s="664"/>
      <c r="AA328" s="66"/>
      <c r="AB328" s="66"/>
      <c r="AC328" s="80"/>
    </row>
    <row r="329" spans="1:68" ht="27" hidden="1" customHeight="1" x14ac:dyDescent="0.25">
      <c r="A329" s="63" t="s">
        <v>550</v>
      </c>
      <c r="B329" s="63" t="s">
        <v>551</v>
      </c>
      <c r="C329" s="36">
        <v>4301011855</v>
      </c>
      <c r="D329" s="665">
        <v>4680115885837</v>
      </c>
      <c r="E329" s="665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126</v>
      </c>
      <c r="L329" s="37" t="s">
        <v>46</v>
      </c>
      <c r="M329" s="38" t="s">
        <v>125</v>
      </c>
      <c r="N329" s="38"/>
      <c r="O329" s="37">
        <v>55</v>
      </c>
      <c r="P329" s="7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667"/>
      <c r="R329" s="667"/>
      <c r="S329" s="667"/>
      <c r="T329" s="668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552</v>
      </c>
      <c r="AG329" s="78"/>
      <c r="AJ329" s="84" t="s">
        <v>46</v>
      </c>
      <c r="AK329" s="84">
        <v>0</v>
      </c>
      <c r="BB329" s="42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553</v>
      </c>
      <c r="B330" s="63" t="s">
        <v>554</v>
      </c>
      <c r="C330" s="36">
        <v>4301012234</v>
      </c>
      <c r="D330" s="665">
        <v>4680115887237</v>
      </c>
      <c r="E330" s="665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126</v>
      </c>
      <c r="L330" s="37" t="s">
        <v>46</v>
      </c>
      <c r="M330" s="38" t="s">
        <v>125</v>
      </c>
      <c r="N330" s="38"/>
      <c r="O330" s="37">
        <v>55</v>
      </c>
      <c r="P330" s="77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667"/>
      <c r="R330" s="667"/>
      <c r="S330" s="667"/>
      <c r="T330" s="668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555</v>
      </c>
      <c r="AG330" s="78"/>
      <c r="AJ330" s="84" t="s">
        <v>46</v>
      </c>
      <c r="AK330" s="84">
        <v>0</v>
      </c>
      <c r="BB330" s="431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556</v>
      </c>
      <c r="B331" s="63" t="s">
        <v>557</v>
      </c>
      <c r="C331" s="36">
        <v>4301011850</v>
      </c>
      <c r="D331" s="665">
        <v>4680115885806</v>
      </c>
      <c r="E331" s="665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126</v>
      </c>
      <c r="L331" s="37" t="s">
        <v>46</v>
      </c>
      <c r="M331" s="38" t="s">
        <v>125</v>
      </c>
      <c r="N331" s="38"/>
      <c r="O331" s="37">
        <v>55</v>
      </c>
      <c r="P331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667"/>
      <c r="R331" s="667"/>
      <c r="S331" s="667"/>
      <c r="T331" s="668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558</v>
      </c>
      <c r="AG331" s="78"/>
      <c r="AJ331" s="84" t="s">
        <v>46</v>
      </c>
      <c r="AK331" s="84">
        <v>0</v>
      </c>
      <c r="BB331" s="433" t="s">
        <v>66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4301011852</v>
      </c>
      <c r="D332" s="665">
        <v>4680115885844</v>
      </c>
      <c r="E332" s="665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133</v>
      </c>
      <c r="L332" s="37" t="s">
        <v>46</v>
      </c>
      <c r="M332" s="38" t="s">
        <v>125</v>
      </c>
      <c r="N332" s="38"/>
      <c r="O332" s="37">
        <v>55</v>
      </c>
      <c r="P332" s="78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667"/>
      <c r="R332" s="667"/>
      <c r="S332" s="667"/>
      <c r="T332" s="668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561</v>
      </c>
      <c r="AG332" s="78"/>
      <c r="AJ332" s="84" t="s">
        <v>46</v>
      </c>
      <c r="AK332" s="84">
        <v>0</v>
      </c>
      <c r="BB332" s="435" t="s">
        <v>66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37.5" hidden="1" customHeight="1" x14ac:dyDescent="0.25">
      <c r="A333" s="63" t="s">
        <v>562</v>
      </c>
      <c r="B333" s="63" t="s">
        <v>563</v>
      </c>
      <c r="C333" s="36">
        <v>4301011851</v>
      </c>
      <c r="D333" s="665">
        <v>4680115885820</v>
      </c>
      <c r="E333" s="665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133</v>
      </c>
      <c r="L333" s="37" t="s">
        <v>46</v>
      </c>
      <c r="M333" s="38" t="s">
        <v>125</v>
      </c>
      <c r="N333" s="38"/>
      <c r="O333" s="37">
        <v>55</v>
      </c>
      <c r="P333" s="78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667"/>
      <c r="R333" s="667"/>
      <c r="S333" s="667"/>
      <c r="T333" s="668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564</v>
      </c>
      <c r="AG333" s="78"/>
      <c r="AJ333" s="84" t="s">
        <v>46</v>
      </c>
      <c r="AK333" s="84">
        <v>0</v>
      </c>
      <c r="BB333" s="437" t="s">
        <v>66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661"/>
      <c r="B334" s="661"/>
      <c r="C334" s="661"/>
      <c r="D334" s="661"/>
      <c r="E334" s="661"/>
      <c r="F334" s="661"/>
      <c r="G334" s="661"/>
      <c r="H334" s="661"/>
      <c r="I334" s="661"/>
      <c r="J334" s="661"/>
      <c r="K334" s="661"/>
      <c r="L334" s="661"/>
      <c r="M334" s="661"/>
      <c r="N334" s="661"/>
      <c r="O334" s="662"/>
      <c r="P334" s="658" t="s">
        <v>40</v>
      </c>
      <c r="Q334" s="659"/>
      <c r="R334" s="659"/>
      <c r="S334" s="659"/>
      <c r="T334" s="659"/>
      <c r="U334" s="659"/>
      <c r="V334" s="660"/>
      <c r="W334" s="42" t="s">
        <v>39</v>
      </c>
      <c r="X334" s="43">
        <f>IFERROR(X329/H329,"0")+IFERROR(X330/H330,"0")+IFERROR(X331/H331,"0")+IFERROR(X332/H332,"0")+IFERROR(X333/H333,"0")</f>
        <v>0</v>
      </c>
      <c r="Y334" s="43">
        <f>IFERROR(Y329/H329,"0")+IFERROR(Y330/H330,"0")+IFERROR(Y331/H331,"0")+IFERROR(Y332/H332,"0")+IFERROR(Y333/H333,"0")</f>
        <v>0</v>
      </c>
      <c r="Z334" s="43">
        <f>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661"/>
      <c r="B335" s="661"/>
      <c r="C335" s="661"/>
      <c r="D335" s="661"/>
      <c r="E335" s="661"/>
      <c r="F335" s="661"/>
      <c r="G335" s="661"/>
      <c r="H335" s="661"/>
      <c r="I335" s="661"/>
      <c r="J335" s="661"/>
      <c r="K335" s="661"/>
      <c r="L335" s="661"/>
      <c r="M335" s="661"/>
      <c r="N335" s="661"/>
      <c r="O335" s="662"/>
      <c r="P335" s="658" t="s">
        <v>40</v>
      </c>
      <c r="Q335" s="659"/>
      <c r="R335" s="659"/>
      <c r="S335" s="659"/>
      <c r="T335" s="659"/>
      <c r="U335" s="659"/>
      <c r="V335" s="660"/>
      <c r="W335" s="42" t="s">
        <v>0</v>
      </c>
      <c r="X335" s="43">
        <f>IFERROR(SUM(X329:X333),"0")</f>
        <v>0</v>
      </c>
      <c r="Y335" s="43">
        <f>IFERROR(SUM(Y329:Y333),"0")</f>
        <v>0</v>
      </c>
      <c r="Z335" s="42"/>
      <c r="AA335" s="67"/>
      <c r="AB335" s="67"/>
      <c r="AC335" s="67"/>
    </row>
    <row r="336" spans="1:68" ht="16.5" hidden="1" customHeight="1" x14ac:dyDescent="0.25">
      <c r="A336" s="663" t="s">
        <v>565</v>
      </c>
      <c r="B336" s="663"/>
      <c r="C336" s="663"/>
      <c r="D336" s="663"/>
      <c r="E336" s="663"/>
      <c r="F336" s="663"/>
      <c r="G336" s="663"/>
      <c r="H336" s="663"/>
      <c r="I336" s="663"/>
      <c r="J336" s="663"/>
      <c r="K336" s="663"/>
      <c r="L336" s="663"/>
      <c r="M336" s="663"/>
      <c r="N336" s="663"/>
      <c r="O336" s="663"/>
      <c r="P336" s="663"/>
      <c r="Q336" s="663"/>
      <c r="R336" s="663"/>
      <c r="S336" s="663"/>
      <c r="T336" s="663"/>
      <c r="U336" s="663"/>
      <c r="V336" s="663"/>
      <c r="W336" s="663"/>
      <c r="X336" s="663"/>
      <c r="Y336" s="663"/>
      <c r="Z336" s="663"/>
      <c r="AA336" s="65"/>
      <c r="AB336" s="65"/>
      <c r="AC336" s="79"/>
    </row>
    <row r="337" spans="1:68" ht="14.25" hidden="1" customHeight="1" x14ac:dyDescent="0.25">
      <c r="A337" s="664" t="s">
        <v>85</v>
      </c>
      <c r="B337" s="664"/>
      <c r="C337" s="664"/>
      <c r="D337" s="664"/>
      <c r="E337" s="664"/>
      <c r="F337" s="664"/>
      <c r="G337" s="664"/>
      <c r="H337" s="664"/>
      <c r="I337" s="664"/>
      <c r="J337" s="664"/>
      <c r="K337" s="664"/>
      <c r="L337" s="664"/>
      <c r="M337" s="664"/>
      <c r="N337" s="664"/>
      <c r="O337" s="664"/>
      <c r="P337" s="664"/>
      <c r="Q337" s="664"/>
      <c r="R337" s="664"/>
      <c r="S337" s="664"/>
      <c r="T337" s="664"/>
      <c r="U337" s="664"/>
      <c r="V337" s="664"/>
      <c r="W337" s="664"/>
      <c r="X337" s="664"/>
      <c r="Y337" s="664"/>
      <c r="Z337" s="664"/>
      <c r="AA337" s="66"/>
      <c r="AB337" s="66"/>
      <c r="AC337" s="80"/>
    </row>
    <row r="338" spans="1:68" ht="27" hidden="1" customHeight="1" x14ac:dyDescent="0.25">
      <c r="A338" s="63" t="s">
        <v>566</v>
      </c>
      <c r="B338" s="63" t="s">
        <v>567</v>
      </c>
      <c r="C338" s="36">
        <v>4301051893</v>
      </c>
      <c r="D338" s="665">
        <v>4680115886186</v>
      </c>
      <c r="E338" s="665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90</v>
      </c>
      <c r="L338" s="37" t="s">
        <v>46</v>
      </c>
      <c r="M338" s="38" t="s">
        <v>89</v>
      </c>
      <c r="N338" s="38"/>
      <c r="O338" s="37">
        <v>45</v>
      </c>
      <c r="P338" s="78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667"/>
      <c r="R338" s="667"/>
      <c r="S338" s="667"/>
      <c r="T338" s="668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568</v>
      </c>
      <c r="AG338" s="78"/>
      <c r="AJ338" s="84" t="s">
        <v>46</v>
      </c>
      <c r="AK338" s="84">
        <v>0</v>
      </c>
      <c r="BB338" s="439" t="s">
        <v>66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569</v>
      </c>
      <c r="B339" s="63" t="s">
        <v>570</v>
      </c>
      <c r="C339" s="36">
        <v>4301051795</v>
      </c>
      <c r="D339" s="665">
        <v>4680115881228</v>
      </c>
      <c r="E339" s="665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90</v>
      </c>
      <c r="L339" s="37" t="s">
        <v>46</v>
      </c>
      <c r="M339" s="38" t="s">
        <v>96</v>
      </c>
      <c r="N339" s="38"/>
      <c r="O339" s="37">
        <v>40</v>
      </c>
      <c r="P339" s="7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667"/>
      <c r="R339" s="667"/>
      <c r="S339" s="667"/>
      <c r="T339" s="668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571</v>
      </c>
      <c r="AG339" s="78"/>
      <c r="AJ339" s="84" t="s">
        <v>46</v>
      </c>
      <c r="AK339" s="84">
        <v>0</v>
      </c>
      <c r="BB339" s="441" t="s">
        <v>66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572</v>
      </c>
      <c r="B340" s="63" t="s">
        <v>573</v>
      </c>
      <c r="C340" s="36">
        <v>4301051388</v>
      </c>
      <c r="D340" s="665">
        <v>4680115881211</v>
      </c>
      <c r="E340" s="665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90</v>
      </c>
      <c r="L340" s="37" t="s">
        <v>46</v>
      </c>
      <c r="M340" s="38" t="s">
        <v>89</v>
      </c>
      <c r="N340" s="38"/>
      <c r="O340" s="37">
        <v>45</v>
      </c>
      <c r="P340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667"/>
      <c r="R340" s="667"/>
      <c r="S340" s="667"/>
      <c r="T340" s="668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568</v>
      </c>
      <c r="AG340" s="78"/>
      <c r="AJ340" s="84" t="s">
        <v>46</v>
      </c>
      <c r="AK340" s="84">
        <v>0</v>
      </c>
      <c r="BB340" s="443" t="s">
        <v>66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61"/>
      <c r="B341" s="661"/>
      <c r="C341" s="661"/>
      <c r="D341" s="661"/>
      <c r="E341" s="661"/>
      <c r="F341" s="661"/>
      <c r="G341" s="661"/>
      <c r="H341" s="661"/>
      <c r="I341" s="661"/>
      <c r="J341" s="661"/>
      <c r="K341" s="661"/>
      <c r="L341" s="661"/>
      <c r="M341" s="661"/>
      <c r="N341" s="661"/>
      <c r="O341" s="662"/>
      <c r="P341" s="658" t="s">
        <v>40</v>
      </c>
      <c r="Q341" s="659"/>
      <c r="R341" s="659"/>
      <c r="S341" s="659"/>
      <c r="T341" s="659"/>
      <c r="U341" s="659"/>
      <c r="V341" s="660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61"/>
      <c r="B342" s="661"/>
      <c r="C342" s="661"/>
      <c r="D342" s="661"/>
      <c r="E342" s="661"/>
      <c r="F342" s="661"/>
      <c r="G342" s="661"/>
      <c r="H342" s="661"/>
      <c r="I342" s="661"/>
      <c r="J342" s="661"/>
      <c r="K342" s="661"/>
      <c r="L342" s="661"/>
      <c r="M342" s="661"/>
      <c r="N342" s="661"/>
      <c r="O342" s="662"/>
      <c r="P342" s="658" t="s">
        <v>40</v>
      </c>
      <c r="Q342" s="659"/>
      <c r="R342" s="659"/>
      <c r="S342" s="659"/>
      <c r="T342" s="659"/>
      <c r="U342" s="659"/>
      <c r="V342" s="660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663" t="s">
        <v>574</v>
      </c>
      <c r="B343" s="663"/>
      <c r="C343" s="663"/>
      <c r="D343" s="663"/>
      <c r="E343" s="663"/>
      <c r="F343" s="663"/>
      <c r="G343" s="663"/>
      <c r="H343" s="663"/>
      <c r="I343" s="663"/>
      <c r="J343" s="663"/>
      <c r="K343" s="663"/>
      <c r="L343" s="663"/>
      <c r="M343" s="663"/>
      <c r="N343" s="663"/>
      <c r="O343" s="663"/>
      <c r="P343" s="663"/>
      <c r="Q343" s="663"/>
      <c r="R343" s="663"/>
      <c r="S343" s="663"/>
      <c r="T343" s="663"/>
      <c r="U343" s="663"/>
      <c r="V343" s="663"/>
      <c r="W343" s="663"/>
      <c r="X343" s="663"/>
      <c r="Y343" s="663"/>
      <c r="Z343" s="663"/>
      <c r="AA343" s="65"/>
      <c r="AB343" s="65"/>
      <c r="AC343" s="79"/>
    </row>
    <row r="344" spans="1:68" ht="14.25" hidden="1" customHeight="1" x14ac:dyDescent="0.25">
      <c r="A344" s="664" t="s">
        <v>76</v>
      </c>
      <c r="B344" s="664"/>
      <c r="C344" s="664"/>
      <c r="D344" s="664"/>
      <c r="E344" s="664"/>
      <c r="F344" s="664"/>
      <c r="G344" s="664"/>
      <c r="H344" s="664"/>
      <c r="I344" s="664"/>
      <c r="J344" s="664"/>
      <c r="K344" s="664"/>
      <c r="L344" s="664"/>
      <c r="M344" s="664"/>
      <c r="N344" s="664"/>
      <c r="O344" s="664"/>
      <c r="P344" s="664"/>
      <c r="Q344" s="664"/>
      <c r="R344" s="664"/>
      <c r="S344" s="664"/>
      <c r="T344" s="664"/>
      <c r="U344" s="664"/>
      <c r="V344" s="664"/>
      <c r="W344" s="664"/>
      <c r="X344" s="664"/>
      <c r="Y344" s="664"/>
      <c r="Z344" s="664"/>
      <c r="AA344" s="66"/>
      <c r="AB344" s="66"/>
      <c r="AC344" s="80"/>
    </row>
    <row r="345" spans="1:68" ht="27" hidden="1" customHeight="1" x14ac:dyDescent="0.25">
      <c r="A345" s="63" t="s">
        <v>575</v>
      </c>
      <c r="B345" s="63" t="s">
        <v>576</v>
      </c>
      <c r="C345" s="36">
        <v>4301031445</v>
      </c>
      <c r="D345" s="665">
        <v>4680115888319</v>
      </c>
      <c r="E345" s="665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81</v>
      </c>
      <c r="L345" s="37" t="s">
        <v>46</v>
      </c>
      <c r="M345" s="38" t="s">
        <v>80</v>
      </c>
      <c r="N345" s="38"/>
      <c r="O345" s="37">
        <v>45</v>
      </c>
      <c r="P345" s="77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667"/>
      <c r="R345" s="667"/>
      <c r="S345" s="667"/>
      <c r="T345" s="668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409</v>
      </c>
      <c r="AG345" s="78"/>
      <c r="AJ345" s="84" t="s">
        <v>46</v>
      </c>
      <c r="AK345" s="84">
        <v>0</v>
      </c>
      <c r="BB345" s="445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577</v>
      </c>
      <c r="B346" s="63" t="s">
        <v>578</v>
      </c>
      <c r="C346" s="36">
        <v>4301031502</v>
      </c>
      <c r="D346" s="665">
        <v>4680115884700</v>
      </c>
      <c r="E346" s="665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7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667"/>
      <c r="R346" s="667"/>
      <c r="S346" s="667"/>
      <c r="T346" s="668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579</v>
      </c>
      <c r="AG346" s="78"/>
      <c r="AJ346" s="84" t="s">
        <v>46</v>
      </c>
      <c r="AK346" s="84">
        <v>0</v>
      </c>
      <c r="BB346" s="447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580</v>
      </c>
      <c r="B347" s="63" t="s">
        <v>581</v>
      </c>
      <c r="C347" s="36">
        <v>4301031307</v>
      </c>
      <c r="D347" s="665">
        <v>4680115880344</v>
      </c>
      <c r="E347" s="665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81</v>
      </c>
      <c r="L347" s="37" t="s">
        <v>46</v>
      </c>
      <c r="M347" s="38" t="s">
        <v>80</v>
      </c>
      <c r="N347" s="38"/>
      <c r="O347" s="37">
        <v>40</v>
      </c>
      <c r="P347" s="77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667"/>
      <c r="R347" s="667"/>
      <c r="S347" s="667"/>
      <c r="T347" s="668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582</v>
      </c>
      <c r="AG347" s="78"/>
      <c r="AJ347" s="84" t="s">
        <v>46</v>
      </c>
      <c r="AK347" s="84">
        <v>0</v>
      </c>
      <c r="BB347" s="449" t="s">
        <v>66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583</v>
      </c>
      <c r="B348" s="63" t="s">
        <v>584</v>
      </c>
      <c r="C348" s="36">
        <v>4301031501</v>
      </c>
      <c r="D348" s="665">
        <v>4680115886919</v>
      </c>
      <c r="E348" s="665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90</v>
      </c>
      <c r="L348" s="37" t="s">
        <v>46</v>
      </c>
      <c r="M348" s="38" t="s">
        <v>80</v>
      </c>
      <c r="N348" s="38"/>
      <c r="O348" s="37">
        <v>40</v>
      </c>
      <c r="P348" s="7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667"/>
      <c r="R348" s="667"/>
      <c r="S348" s="667"/>
      <c r="T348" s="668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585</v>
      </c>
      <c r="AG348" s="78"/>
      <c r="AJ348" s="84" t="s">
        <v>46</v>
      </c>
      <c r="AK348" s="84">
        <v>0</v>
      </c>
      <c r="BB348" s="451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586</v>
      </c>
      <c r="B349" s="63" t="s">
        <v>587</v>
      </c>
      <c r="C349" s="36">
        <v>4301031246</v>
      </c>
      <c r="D349" s="665">
        <v>4680115883970</v>
      </c>
      <c r="E349" s="665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81</v>
      </c>
      <c r="L349" s="37" t="s">
        <v>46</v>
      </c>
      <c r="M349" s="38" t="s">
        <v>80</v>
      </c>
      <c r="N349" s="38"/>
      <c r="O349" s="37">
        <v>40</v>
      </c>
      <c r="P349" s="77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667"/>
      <c r="R349" s="667"/>
      <c r="S349" s="667"/>
      <c r="T349" s="668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588</v>
      </c>
      <c r="AG349" s="78"/>
      <c r="AJ349" s="84" t="s">
        <v>46</v>
      </c>
      <c r="AK349" s="84">
        <v>0</v>
      </c>
      <c r="BB349" s="453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661"/>
      <c r="B350" s="661"/>
      <c r="C350" s="661"/>
      <c r="D350" s="661"/>
      <c r="E350" s="661"/>
      <c r="F350" s="661"/>
      <c r="G350" s="661"/>
      <c r="H350" s="661"/>
      <c r="I350" s="661"/>
      <c r="J350" s="661"/>
      <c r="K350" s="661"/>
      <c r="L350" s="661"/>
      <c r="M350" s="661"/>
      <c r="N350" s="661"/>
      <c r="O350" s="662"/>
      <c r="P350" s="658" t="s">
        <v>40</v>
      </c>
      <c r="Q350" s="659"/>
      <c r="R350" s="659"/>
      <c r="S350" s="659"/>
      <c r="T350" s="659"/>
      <c r="U350" s="659"/>
      <c r="V350" s="660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661"/>
      <c r="B351" s="661"/>
      <c r="C351" s="661"/>
      <c r="D351" s="661"/>
      <c r="E351" s="661"/>
      <c r="F351" s="661"/>
      <c r="G351" s="661"/>
      <c r="H351" s="661"/>
      <c r="I351" s="661"/>
      <c r="J351" s="661"/>
      <c r="K351" s="661"/>
      <c r="L351" s="661"/>
      <c r="M351" s="661"/>
      <c r="N351" s="661"/>
      <c r="O351" s="662"/>
      <c r="P351" s="658" t="s">
        <v>40</v>
      </c>
      <c r="Q351" s="659"/>
      <c r="R351" s="659"/>
      <c r="S351" s="659"/>
      <c r="T351" s="659"/>
      <c r="U351" s="659"/>
      <c r="V351" s="660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664" t="s">
        <v>85</v>
      </c>
      <c r="B352" s="664"/>
      <c r="C352" s="664"/>
      <c r="D352" s="664"/>
      <c r="E352" s="664"/>
      <c r="F352" s="664"/>
      <c r="G352" s="664"/>
      <c r="H352" s="664"/>
      <c r="I352" s="664"/>
      <c r="J352" s="664"/>
      <c r="K352" s="664"/>
      <c r="L352" s="664"/>
      <c r="M352" s="664"/>
      <c r="N352" s="664"/>
      <c r="O352" s="664"/>
      <c r="P352" s="664"/>
      <c r="Q352" s="664"/>
      <c r="R352" s="664"/>
      <c r="S352" s="664"/>
      <c r="T352" s="664"/>
      <c r="U352" s="664"/>
      <c r="V352" s="664"/>
      <c r="W352" s="664"/>
      <c r="X352" s="664"/>
      <c r="Y352" s="664"/>
      <c r="Z352" s="664"/>
      <c r="AA352" s="66"/>
      <c r="AB352" s="66"/>
      <c r="AC352" s="80"/>
    </row>
    <row r="353" spans="1:68" ht="27" hidden="1" customHeight="1" x14ac:dyDescent="0.25">
      <c r="A353" s="63" t="s">
        <v>589</v>
      </c>
      <c r="B353" s="63" t="s">
        <v>590</v>
      </c>
      <c r="C353" s="36">
        <v>4301051782</v>
      </c>
      <c r="D353" s="665">
        <v>4680115884618</v>
      </c>
      <c r="E353" s="665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133</v>
      </c>
      <c r="L353" s="37" t="s">
        <v>46</v>
      </c>
      <c r="M353" s="38" t="s">
        <v>89</v>
      </c>
      <c r="N353" s="38"/>
      <c r="O353" s="37">
        <v>45</v>
      </c>
      <c r="P353" s="76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667"/>
      <c r="R353" s="667"/>
      <c r="S353" s="667"/>
      <c r="T353" s="668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591</v>
      </c>
      <c r="AG353" s="78"/>
      <c r="AJ353" s="84" t="s">
        <v>46</v>
      </c>
      <c r="AK353" s="84">
        <v>0</v>
      </c>
      <c r="BB353" s="455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592</v>
      </c>
      <c r="B354" s="63" t="s">
        <v>593</v>
      </c>
      <c r="C354" s="36">
        <v>4301052057</v>
      </c>
      <c r="D354" s="665">
        <v>4680115887114</v>
      </c>
      <c r="E354" s="665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133</v>
      </c>
      <c r="L354" s="37" t="s">
        <v>46</v>
      </c>
      <c r="M354" s="38" t="s">
        <v>89</v>
      </c>
      <c r="N354" s="38"/>
      <c r="O354" s="37">
        <v>45</v>
      </c>
      <c r="P354" s="77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667"/>
      <c r="R354" s="667"/>
      <c r="S354" s="667"/>
      <c r="T354" s="668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594</v>
      </c>
      <c r="AG354" s="78"/>
      <c r="AJ354" s="84" t="s">
        <v>46</v>
      </c>
      <c r="AK354" s="84">
        <v>0</v>
      </c>
      <c r="BB354" s="457" t="s">
        <v>66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661"/>
      <c r="B355" s="661"/>
      <c r="C355" s="661"/>
      <c r="D355" s="661"/>
      <c r="E355" s="661"/>
      <c r="F355" s="661"/>
      <c r="G355" s="661"/>
      <c r="H355" s="661"/>
      <c r="I355" s="661"/>
      <c r="J355" s="661"/>
      <c r="K355" s="661"/>
      <c r="L355" s="661"/>
      <c r="M355" s="661"/>
      <c r="N355" s="661"/>
      <c r="O355" s="662"/>
      <c r="P355" s="658" t="s">
        <v>40</v>
      </c>
      <c r="Q355" s="659"/>
      <c r="R355" s="659"/>
      <c r="S355" s="659"/>
      <c r="T355" s="659"/>
      <c r="U355" s="659"/>
      <c r="V355" s="660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661"/>
      <c r="B356" s="661"/>
      <c r="C356" s="661"/>
      <c r="D356" s="661"/>
      <c r="E356" s="661"/>
      <c r="F356" s="661"/>
      <c r="G356" s="661"/>
      <c r="H356" s="661"/>
      <c r="I356" s="661"/>
      <c r="J356" s="661"/>
      <c r="K356" s="661"/>
      <c r="L356" s="661"/>
      <c r="M356" s="661"/>
      <c r="N356" s="661"/>
      <c r="O356" s="662"/>
      <c r="P356" s="658" t="s">
        <v>40</v>
      </c>
      <c r="Q356" s="659"/>
      <c r="R356" s="659"/>
      <c r="S356" s="659"/>
      <c r="T356" s="659"/>
      <c r="U356" s="659"/>
      <c r="V356" s="660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663" t="s">
        <v>595</v>
      </c>
      <c r="B357" s="663"/>
      <c r="C357" s="663"/>
      <c r="D357" s="663"/>
      <c r="E357" s="663"/>
      <c r="F357" s="663"/>
      <c r="G357" s="663"/>
      <c r="H357" s="663"/>
      <c r="I357" s="663"/>
      <c r="J357" s="663"/>
      <c r="K357" s="663"/>
      <c r="L357" s="663"/>
      <c r="M357" s="663"/>
      <c r="N357" s="663"/>
      <c r="O357" s="663"/>
      <c r="P357" s="663"/>
      <c r="Q357" s="663"/>
      <c r="R357" s="663"/>
      <c r="S357" s="663"/>
      <c r="T357" s="663"/>
      <c r="U357" s="663"/>
      <c r="V357" s="663"/>
      <c r="W357" s="663"/>
      <c r="X357" s="663"/>
      <c r="Y357" s="663"/>
      <c r="Z357" s="663"/>
      <c r="AA357" s="65"/>
      <c r="AB357" s="65"/>
      <c r="AC357" s="79"/>
    </row>
    <row r="358" spans="1:68" ht="14.25" hidden="1" customHeight="1" x14ac:dyDescent="0.25">
      <c r="A358" s="664" t="s">
        <v>121</v>
      </c>
      <c r="B358" s="664"/>
      <c r="C358" s="664"/>
      <c r="D358" s="664"/>
      <c r="E358" s="664"/>
      <c r="F358" s="664"/>
      <c r="G358" s="664"/>
      <c r="H358" s="664"/>
      <c r="I358" s="664"/>
      <c r="J358" s="664"/>
      <c r="K358" s="664"/>
      <c r="L358" s="664"/>
      <c r="M358" s="664"/>
      <c r="N358" s="664"/>
      <c r="O358" s="664"/>
      <c r="P358" s="664"/>
      <c r="Q358" s="664"/>
      <c r="R358" s="664"/>
      <c r="S358" s="664"/>
      <c r="T358" s="664"/>
      <c r="U358" s="664"/>
      <c r="V358" s="664"/>
      <c r="W358" s="664"/>
      <c r="X358" s="664"/>
      <c r="Y358" s="664"/>
      <c r="Z358" s="664"/>
      <c r="AA358" s="66"/>
      <c r="AB358" s="66"/>
      <c r="AC358" s="80"/>
    </row>
    <row r="359" spans="1:68" ht="27" hidden="1" customHeight="1" x14ac:dyDescent="0.25">
      <c r="A359" s="63" t="s">
        <v>596</v>
      </c>
      <c r="B359" s="63" t="s">
        <v>597</v>
      </c>
      <c r="C359" s="36">
        <v>4301012324</v>
      </c>
      <c r="D359" s="665">
        <v>4680115887947</v>
      </c>
      <c r="E359" s="665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126</v>
      </c>
      <c r="L359" s="37" t="s">
        <v>46</v>
      </c>
      <c r="M359" s="38" t="s">
        <v>89</v>
      </c>
      <c r="N359" s="38"/>
      <c r="O359" s="37">
        <v>60</v>
      </c>
      <c r="P359" s="77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667"/>
      <c r="R359" s="667"/>
      <c r="S359" s="667"/>
      <c r="T359" s="668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368</v>
      </c>
      <c r="AG359" s="78"/>
      <c r="AJ359" s="84" t="s">
        <v>46</v>
      </c>
      <c r="AK359" s="84">
        <v>0</v>
      </c>
      <c r="BB359" s="459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4301012325</v>
      </c>
      <c r="D360" s="665">
        <v>4680115887978</v>
      </c>
      <c r="E360" s="665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126</v>
      </c>
      <c r="L360" s="37" t="s">
        <v>46</v>
      </c>
      <c r="M360" s="38" t="s">
        <v>89</v>
      </c>
      <c r="N360" s="38"/>
      <c r="O360" s="37">
        <v>60</v>
      </c>
      <c r="P360" s="77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667"/>
      <c r="R360" s="667"/>
      <c r="S360" s="667"/>
      <c r="T360" s="668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60" t="s">
        <v>600</v>
      </c>
      <c r="AG360" s="78"/>
      <c r="AJ360" s="84" t="s">
        <v>46</v>
      </c>
      <c r="AK360" s="84">
        <v>0</v>
      </c>
      <c r="BB360" s="461" t="s">
        <v>66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601</v>
      </c>
      <c r="B361" s="63" t="s">
        <v>602</v>
      </c>
      <c r="C361" s="36">
        <v>4301012327</v>
      </c>
      <c r="D361" s="665">
        <v>4680115887992</v>
      </c>
      <c r="E361" s="665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126</v>
      </c>
      <c r="L361" s="37" t="s">
        <v>46</v>
      </c>
      <c r="M361" s="38" t="s">
        <v>89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667"/>
      <c r="R361" s="667"/>
      <c r="S361" s="667"/>
      <c r="T361" s="668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603</v>
      </c>
      <c r="AG361" s="78"/>
      <c r="AJ361" s="84" t="s">
        <v>46</v>
      </c>
      <c r="AK361" s="84">
        <v>0</v>
      </c>
      <c r="BB361" s="463" t="s">
        <v>66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idden="1" x14ac:dyDescent="0.2">
      <c r="A362" s="661"/>
      <c r="B362" s="661"/>
      <c r="C362" s="661"/>
      <c r="D362" s="661"/>
      <c r="E362" s="661"/>
      <c r="F362" s="661"/>
      <c r="G362" s="661"/>
      <c r="H362" s="661"/>
      <c r="I362" s="661"/>
      <c r="J362" s="661"/>
      <c r="K362" s="661"/>
      <c r="L362" s="661"/>
      <c r="M362" s="661"/>
      <c r="N362" s="661"/>
      <c r="O362" s="662"/>
      <c r="P362" s="658" t="s">
        <v>40</v>
      </c>
      <c r="Q362" s="659"/>
      <c r="R362" s="659"/>
      <c r="S362" s="659"/>
      <c r="T362" s="659"/>
      <c r="U362" s="659"/>
      <c r="V362" s="660"/>
      <c r="W362" s="42" t="s">
        <v>39</v>
      </c>
      <c r="X362" s="43">
        <f>IFERROR(X359/H359,"0")+IFERROR(X360/H360,"0")+IFERROR(X361/H361,"0")</f>
        <v>0</v>
      </c>
      <c r="Y362" s="43">
        <f>IFERROR(Y359/H359,"0")+IFERROR(Y360/H360,"0")+IFERROR(Y361/H361,"0")</f>
        <v>0</v>
      </c>
      <c r="Z362" s="43">
        <f>IFERROR(IF(Z359="",0,Z359),"0")+IFERROR(IF(Z360="",0,Z360),"0")+IFERROR(IF(Z361="",0,Z361),"0")</f>
        <v>0</v>
      </c>
      <c r="AA362" s="67"/>
      <c r="AB362" s="67"/>
      <c r="AC362" s="67"/>
    </row>
    <row r="363" spans="1:68" hidden="1" x14ac:dyDescent="0.2">
      <c r="A363" s="661"/>
      <c r="B363" s="661"/>
      <c r="C363" s="661"/>
      <c r="D363" s="661"/>
      <c r="E363" s="661"/>
      <c r="F363" s="661"/>
      <c r="G363" s="661"/>
      <c r="H363" s="661"/>
      <c r="I363" s="661"/>
      <c r="J363" s="661"/>
      <c r="K363" s="661"/>
      <c r="L363" s="661"/>
      <c r="M363" s="661"/>
      <c r="N363" s="661"/>
      <c r="O363" s="662"/>
      <c r="P363" s="658" t="s">
        <v>40</v>
      </c>
      <c r="Q363" s="659"/>
      <c r="R363" s="659"/>
      <c r="S363" s="659"/>
      <c r="T363" s="659"/>
      <c r="U363" s="659"/>
      <c r="V363" s="660"/>
      <c r="W363" s="42" t="s">
        <v>0</v>
      </c>
      <c r="X363" s="43">
        <f>IFERROR(SUM(X359:X361),"0")</f>
        <v>0</v>
      </c>
      <c r="Y363" s="43">
        <f>IFERROR(SUM(Y359:Y361),"0")</f>
        <v>0</v>
      </c>
      <c r="Z363" s="42"/>
      <c r="AA363" s="67"/>
      <c r="AB363" s="67"/>
      <c r="AC363" s="67"/>
    </row>
    <row r="364" spans="1:68" ht="16.5" hidden="1" customHeight="1" x14ac:dyDescent="0.25">
      <c r="A364" s="663" t="s">
        <v>604</v>
      </c>
      <c r="B364" s="663"/>
      <c r="C364" s="663"/>
      <c r="D364" s="663"/>
      <c r="E364" s="663"/>
      <c r="F364" s="663"/>
      <c r="G364" s="663"/>
      <c r="H364" s="663"/>
      <c r="I364" s="663"/>
      <c r="J364" s="663"/>
      <c r="K364" s="663"/>
      <c r="L364" s="663"/>
      <c r="M364" s="663"/>
      <c r="N364" s="663"/>
      <c r="O364" s="663"/>
      <c r="P364" s="663"/>
      <c r="Q364" s="663"/>
      <c r="R364" s="663"/>
      <c r="S364" s="663"/>
      <c r="T364" s="663"/>
      <c r="U364" s="663"/>
      <c r="V364" s="663"/>
      <c r="W364" s="663"/>
      <c r="X364" s="663"/>
      <c r="Y364" s="663"/>
      <c r="Z364" s="663"/>
      <c r="AA364" s="65"/>
      <c r="AB364" s="65"/>
      <c r="AC364" s="79"/>
    </row>
    <row r="365" spans="1:68" ht="14.25" hidden="1" customHeight="1" x14ac:dyDescent="0.25">
      <c r="A365" s="664" t="s">
        <v>121</v>
      </c>
      <c r="B365" s="664"/>
      <c r="C365" s="664"/>
      <c r="D365" s="664"/>
      <c r="E365" s="664"/>
      <c r="F365" s="664"/>
      <c r="G365" s="664"/>
      <c r="H365" s="664"/>
      <c r="I365" s="664"/>
      <c r="J365" s="664"/>
      <c r="K365" s="664"/>
      <c r="L365" s="664"/>
      <c r="M365" s="664"/>
      <c r="N365" s="664"/>
      <c r="O365" s="664"/>
      <c r="P365" s="664"/>
      <c r="Q365" s="664"/>
      <c r="R365" s="664"/>
      <c r="S365" s="664"/>
      <c r="T365" s="664"/>
      <c r="U365" s="664"/>
      <c r="V365" s="664"/>
      <c r="W365" s="664"/>
      <c r="X365" s="664"/>
      <c r="Y365" s="664"/>
      <c r="Z365" s="664"/>
      <c r="AA365" s="66"/>
      <c r="AB365" s="66"/>
      <c r="AC365" s="80"/>
    </row>
    <row r="366" spans="1:68" ht="27" hidden="1" customHeight="1" x14ac:dyDescent="0.25">
      <c r="A366" s="63" t="s">
        <v>605</v>
      </c>
      <c r="B366" s="63" t="s">
        <v>606</v>
      </c>
      <c r="C366" s="36">
        <v>4301012126</v>
      </c>
      <c r="D366" s="665">
        <v>4607091386004</v>
      </c>
      <c r="E366" s="665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126</v>
      </c>
      <c r="L366" s="37" t="s">
        <v>46</v>
      </c>
      <c r="M366" s="38" t="s">
        <v>125</v>
      </c>
      <c r="N366" s="38"/>
      <c r="O366" s="37">
        <v>55</v>
      </c>
      <c r="P366" s="76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6" s="667"/>
      <c r="R366" s="667"/>
      <c r="S366" s="667"/>
      <c r="T366" s="668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1" si="58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64" t="s">
        <v>607</v>
      </c>
      <c r="AG366" s="78"/>
      <c r="AJ366" s="84" t="s">
        <v>46</v>
      </c>
      <c r="AK366" s="84">
        <v>0</v>
      </c>
      <c r="BB366" s="465" t="s">
        <v>66</v>
      </c>
      <c r="BM366" s="78">
        <f t="shared" ref="BM366:BM371" si="59">IFERROR(X366*I366/H366,"0")</f>
        <v>0</v>
      </c>
      <c r="BN366" s="78">
        <f t="shared" ref="BN366:BN371" si="60">IFERROR(Y366*I366/H366,"0")</f>
        <v>0</v>
      </c>
      <c r="BO366" s="78">
        <f t="shared" ref="BO366:BO371" si="61">IFERROR(1/J366*(X366/H366),"0")</f>
        <v>0</v>
      </c>
      <c r="BP366" s="78">
        <f t="shared" ref="BP366:BP371" si="62">IFERROR(1/J366*(Y366/H366),"0")</f>
        <v>0</v>
      </c>
    </row>
    <row r="367" spans="1:68" ht="27" hidden="1" customHeight="1" x14ac:dyDescent="0.25">
      <c r="A367" s="63" t="s">
        <v>608</v>
      </c>
      <c r="B367" s="63" t="s">
        <v>609</v>
      </c>
      <c r="C367" s="36">
        <v>4301012235</v>
      </c>
      <c r="D367" s="665">
        <v>4680115887190</v>
      </c>
      <c r="E367" s="665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126</v>
      </c>
      <c r="L367" s="37" t="s">
        <v>46</v>
      </c>
      <c r="M367" s="38" t="s">
        <v>125</v>
      </c>
      <c r="N367" s="38"/>
      <c r="O367" s="37">
        <v>55</v>
      </c>
      <c r="P367" s="76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7" s="667"/>
      <c r="R367" s="667"/>
      <c r="S367" s="667"/>
      <c r="T367" s="668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8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610</v>
      </c>
      <c r="AG367" s="78"/>
      <c r="AJ367" s="84" t="s">
        <v>46</v>
      </c>
      <c r="AK367" s="84">
        <v>0</v>
      </c>
      <c r="BB367" s="467" t="s">
        <v>66</v>
      </c>
      <c r="BM367" s="78">
        <f t="shared" si="59"/>
        <v>0</v>
      </c>
      <c r="BN367" s="78">
        <f t="shared" si="60"/>
        <v>0</v>
      </c>
      <c r="BO367" s="78">
        <f t="shared" si="61"/>
        <v>0</v>
      </c>
      <c r="BP367" s="78">
        <f t="shared" si="62"/>
        <v>0</v>
      </c>
    </row>
    <row r="368" spans="1:68" ht="37.5" hidden="1" customHeight="1" x14ac:dyDescent="0.25">
      <c r="A368" s="63" t="s">
        <v>611</v>
      </c>
      <c r="B368" s="63" t="s">
        <v>612</v>
      </c>
      <c r="C368" s="36">
        <v>4301012233</v>
      </c>
      <c r="D368" s="665">
        <v>4680115887138</v>
      </c>
      <c r="E368" s="665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126</v>
      </c>
      <c r="L368" s="37" t="s">
        <v>46</v>
      </c>
      <c r="M368" s="38" t="s">
        <v>125</v>
      </c>
      <c r="N368" s="38"/>
      <c r="O368" s="37">
        <v>55</v>
      </c>
      <c r="P368" s="76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8" s="667"/>
      <c r="R368" s="667"/>
      <c r="S368" s="667"/>
      <c r="T368" s="668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8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613</v>
      </c>
      <c r="AG368" s="78"/>
      <c r="AJ368" s="84" t="s">
        <v>46</v>
      </c>
      <c r="AK368" s="84">
        <v>0</v>
      </c>
      <c r="BB368" s="469" t="s">
        <v>66</v>
      </c>
      <c r="BM368" s="78">
        <f t="shared" si="59"/>
        <v>0</v>
      </c>
      <c r="BN368" s="78">
        <f t="shared" si="60"/>
        <v>0</v>
      </c>
      <c r="BO368" s="78">
        <f t="shared" si="61"/>
        <v>0</v>
      </c>
      <c r="BP368" s="78">
        <f t="shared" si="62"/>
        <v>0</v>
      </c>
    </row>
    <row r="369" spans="1:68" ht="27" hidden="1" customHeight="1" x14ac:dyDescent="0.25">
      <c r="A369" s="63" t="s">
        <v>614</v>
      </c>
      <c r="B369" s="63" t="s">
        <v>615</v>
      </c>
      <c r="C369" s="36">
        <v>4301012016</v>
      </c>
      <c r="D369" s="665">
        <v>4680115885554</v>
      </c>
      <c r="E369" s="665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126</v>
      </c>
      <c r="L369" s="37" t="s">
        <v>46</v>
      </c>
      <c r="M369" s="38" t="s">
        <v>89</v>
      </c>
      <c r="N369" s="38"/>
      <c r="O369" s="37">
        <v>55</v>
      </c>
      <c r="P369" s="7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9" s="667"/>
      <c r="R369" s="667"/>
      <c r="S369" s="667"/>
      <c r="T369" s="668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8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616</v>
      </c>
      <c r="AG369" s="78"/>
      <c r="AJ369" s="84" t="s">
        <v>46</v>
      </c>
      <c r="AK369" s="84">
        <v>0</v>
      </c>
      <c r="BB369" s="471" t="s">
        <v>66</v>
      </c>
      <c r="BM369" s="78">
        <f t="shared" si="59"/>
        <v>0</v>
      </c>
      <c r="BN369" s="78">
        <f t="shared" si="60"/>
        <v>0</v>
      </c>
      <c r="BO369" s="78">
        <f t="shared" si="61"/>
        <v>0</v>
      </c>
      <c r="BP369" s="78">
        <f t="shared" si="62"/>
        <v>0</v>
      </c>
    </row>
    <row r="370" spans="1:68" ht="27" hidden="1" customHeight="1" x14ac:dyDescent="0.25">
      <c r="A370" s="63" t="s">
        <v>617</v>
      </c>
      <c r="B370" s="63" t="s">
        <v>618</v>
      </c>
      <c r="C370" s="36">
        <v>4301012236</v>
      </c>
      <c r="D370" s="665">
        <v>4680115887220</v>
      </c>
      <c r="E370" s="665"/>
      <c r="F370" s="62">
        <v>0.4</v>
      </c>
      <c r="G370" s="37">
        <v>10</v>
      </c>
      <c r="H370" s="62">
        <v>4</v>
      </c>
      <c r="I370" s="62">
        <v>4.1900000000000004</v>
      </c>
      <c r="J370" s="37">
        <v>132</v>
      </c>
      <c r="K370" s="37" t="s">
        <v>133</v>
      </c>
      <c r="L370" s="37" t="s">
        <v>46</v>
      </c>
      <c r="M370" s="38" t="s">
        <v>125</v>
      </c>
      <c r="N370" s="38"/>
      <c r="O370" s="37">
        <v>55</v>
      </c>
      <c r="P370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0" s="667"/>
      <c r="R370" s="667"/>
      <c r="S370" s="667"/>
      <c r="T370" s="668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8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610</v>
      </c>
      <c r="AG370" s="78"/>
      <c r="AJ370" s="84" t="s">
        <v>46</v>
      </c>
      <c r="AK370" s="84">
        <v>0</v>
      </c>
      <c r="BB370" s="473" t="s">
        <v>66</v>
      </c>
      <c r="BM370" s="78">
        <f t="shared" si="59"/>
        <v>0</v>
      </c>
      <c r="BN370" s="78">
        <f t="shared" si="60"/>
        <v>0</v>
      </c>
      <c r="BO370" s="78">
        <f t="shared" si="61"/>
        <v>0</v>
      </c>
      <c r="BP370" s="78">
        <f t="shared" si="62"/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4301011859</v>
      </c>
      <c r="D371" s="665">
        <v>4680115885608</v>
      </c>
      <c r="E371" s="665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133</v>
      </c>
      <c r="L371" s="37" t="s">
        <v>46</v>
      </c>
      <c r="M371" s="38" t="s">
        <v>125</v>
      </c>
      <c r="N371" s="38"/>
      <c r="O371" s="37">
        <v>55</v>
      </c>
      <c r="P371" s="7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1" s="667"/>
      <c r="R371" s="667"/>
      <c r="S371" s="667"/>
      <c r="T371" s="668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8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66</v>
      </c>
      <c r="BM371" s="78">
        <f t="shared" si="59"/>
        <v>0</v>
      </c>
      <c r="BN371" s="78">
        <f t="shared" si="60"/>
        <v>0</v>
      </c>
      <c r="BO371" s="78">
        <f t="shared" si="61"/>
        <v>0</v>
      </c>
      <c r="BP371" s="78">
        <f t="shared" si="62"/>
        <v>0</v>
      </c>
    </row>
    <row r="372" spans="1:68" hidden="1" x14ac:dyDescent="0.2">
      <c r="A372" s="661"/>
      <c r="B372" s="661"/>
      <c r="C372" s="661"/>
      <c r="D372" s="661"/>
      <c r="E372" s="661"/>
      <c r="F372" s="661"/>
      <c r="G372" s="661"/>
      <c r="H372" s="661"/>
      <c r="I372" s="661"/>
      <c r="J372" s="661"/>
      <c r="K372" s="661"/>
      <c r="L372" s="661"/>
      <c r="M372" s="661"/>
      <c r="N372" s="661"/>
      <c r="O372" s="662"/>
      <c r="P372" s="658" t="s">
        <v>40</v>
      </c>
      <c r="Q372" s="659"/>
      <c r="R372" s="659"/>
      <c r="S372" s="659"/>
      <c r="T372" s="659"/>
      <c r="U372" s="659"/>
      <c r="V372" s="660"/>
      <c r="W372" s="42" t="s">
        <v>39</v>
      </c>
      <c r="X372" s="43">
        <f>IFERROR(X366/H366,"0")+IFERROR(X367/H367,"0")+IFERROR(X368/H368,"0")+IFERROR(X369/H369,"0")+IFERROR(X370/H370,"0")+IFERROR(X371/H371,"0")</f>
        <v>0</v>
      </c>
      <c r="Y372" s="43">
        <f>IFERROR(Y366/H366,"0")+IFERROR(Y367/H367,"0")+IFERROR(Y368/H368,"0")+IFERROR(Y369/H369,"0")+IFERROR(Y370/H370,"0")+IFERROR(Y371/H371,"0")</f>
        <v>0</v>
      </c>
      <c r="Z372" s="43">
        <f>IFERROR(IF(Z366="",0,Z366),"0")+IFERROR(IF(Z367="",0,Z367),"0")+IFERROR(IF(Z368="",0,Z368),"0")+IFERROR(IF(Z369="",0,Z369),"0")+IFERROR(IF(Z370="",0,Z370),"0")+IFERROR(IF(Z371="",0,Z371),"0")</f>
        <v>0</v>
      </c>
      <c r="AA372" s="67"/>
      <c r="AB372" s="67"/>
      <c r="AC372" s="67"/>
    </row>
    <row r="373" spans="1:68" hidden="1" x14ac:dyDescent="0.2">
      <c r="A373" s="661"/>
      <c r="B373" s="661"/>
      <c r="C373" s="661"/>
      <c r="D373" s="661"/>
      <c r="E373" s="661"/>
      <c r="F373" s="661"/>
      <c r="G373" s="661"/>
      <c r="H373" s="661"/>
      <c r="I373" s="661"/>
      <c r="J373" s="661"/>
      <c r="K373" s="661"/>
      <c r="L373" s="661"/>
      <c r="M373" s="661"/>
      <c r="N373" s="661"/>
      <c r="O373" s="662"/>
      <c r="P373" s="658" t="s">
        <v>40</v>
      </c>
      <c r="Q373" s="659"/>
      <c r="R373" s="659"/>
      <c r="S373" s="659"/>
      <c r="T373" s="659"/>
      <c r="U373" s="659"/>
      <c r="V373" s="660"/>
      <c r="W373" s="42" t="s">
        <v>0</v>
      </c>
      <c r="X373" s="43">
        <f>IFERROR(SUM(X366:X371),"0")</f>
        <v>0</v>
      </c>
      <c r="Y373" s="43">
        <f>IFERROR(SUM(Y366:Y371),"0")</f>
        <v>0</v>
      </c>
      <c r="Z373" s="42"/>
      <c r="AA373" s="67"/>
      <c r="AB373" s="67"/>
      <c r="AC373" s="67"/>
    </row>
    <row r="374" spans="1:68" ht="14.25" hidden="1" customHeight="1" x14ac:dyDescent="0.25">
      <c r="A374" s="664" t="s">
        <v>76</v>
      </c>
      <c r="B374" s="664"/>
      <c r="C374" s="664"/>
      <c r="D374" s="664"/>
      <c r="E374" s="664"/>
      <c r="F374" s="664"/>
      <c r="G374" s="664"/>
      <c r="H374" s="664"/>
      <c r="I374" s="664"/>
      <c r="J374" s="664"/>
      <c r="K374" s="664"/>
      <c r="L374" s="664"/>
      <c r="M374" s="664"/>
      <c r="N374" s="664"/>
      <c r="O374" s="664"/>
      <c r="P374" s="664"/>
      <c r="Q374" s="664"/>
      <c r="R374" s="664"/>
      <c r="S374" s="664"/>
      <c r="T374" s="664"/>
      <c r="U374" s="664"/>
      <c r="V374" s="664"/>
      <c r="W374" s="664"/>
      <c r="X374" s="664"/>
      <c r="Y374" s="664"/>
      <c r="Z374" s="664"/>
      <c r="AA374" s="66"/>
      <c r="AB374" s="66"/>
      <c r="AC374" s="80"/>
    </row>
    <row r="375" spans="1:68" ht="27" hidden="1" customHeight="1" x14ac:dyDescent="0.25">
      <c r="A375" s="63" t="s">
        <v>622</v>
      </c>
      <c r="B375" s="63" t="s">
        <v>623</v>
      </c>
      <c r="C375" s="36">
        <v>4301030878</v>
      </c>
      <c r="D375" s="665">
        <v>4607091387193</v>
      </c>
      <c r="E375" s="665"/>
      <c r="F375" s="62">
        <v>0.7</v>
      </c>
      <c r="G375" s="37">
        <v>6</v>
      </c>
      <c r="H375" s="62">
        <v>4.2</v>
      </c>
      <c r="I375" s="62">
        <v>4.45</v>
      </c>
      <c r="J375" s="37">
        <v>132</v>
      </c>
      <c r="K375" s="37" t="s">
        <v>133</v>
      </c>
      <c r="L375" s="37" t="s">
        <v>46</v>
      </c>
      <c r="M375" s="38" t="s">
        <v>80</v>
      </c>
      <c r="N375" s="38"/>
      <c r="O375" s="37">
        <v>35</v>
      </c>
      <c r="P375" s="7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5" s="667"/>
      <c r="R375" s="667"/>
      <c r="S375" s="667"/>
      <c r="T375" s="668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ref="Y375:Y381" si="63">IFERROR(IF(X375="",0,CEILING((X375/$H375),1)*$H375),"")</f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76" t="s">
        <v>624</v>
      </c>
      <c r="AG375" s="78"/>
      <c r="AJ375" s="84" t="s">
        <v>46</v>
      </c>
      <c r="AK375" s="84">
        <v>0</v>
      </c>
      <c r="BB375" s="477" t="s">
        <v>66</v>
      </c>
      <c r="BM375" s="78">
        <f t="shared" ref="BM375:BM381" si="64">IFERROR(X375*I375/H375,"0")</f>
        <v>0</v>
      </c>
      <c r="BN375" s="78">
        <f t="shared" ref="BN375:BN381" si="65">IFERROR(Y375*I375/H375,"0")</f>
        <v>0</v>
      </c>
      <c r="BO375" s="78">
        <f t="shared" ref="BO375:BO381" si="66">IFERROR(1/J375*(X375/H375),"0")</f>
        <v>0</v>
      </c>
      <c r="BP375" s="78">
        <f t="shared" ref="BP375:BP381" si="67">IFERROR(1/J375*(Y375/H375),"0")</f>
        <v>0</v>
      </c>
    </row>
    <row r="376" spans="1:68" ht="27" hidden="1" customHeight="1" x14ac:dyDescent="0.25">
      <c r="A376" s="63" t="s">
        <v>625</v>
      </c>
      <c r="B376" s="63" t="s">
        <v>626</v>
      </c>
      <c r="C376" s="36">
        <v>4301031153</v>
      </c>
      <c r="D376" s="665">
        <v>4607091387230</v>
      </c>
      <c r="E376" s="665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133</v>
      </c>
      <c r="L376" s="37" t="s">
        <v>46</v>
      </c>
      <c r="M376" s="38" t="s">
        <v>80</v>
      </c>
      <c r="N376" s="38"/>
      <c r="O376" s="37">
        <v>40</v>
      </c>
      <c r="P376" s="7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6" s="667"/>
      <c r="R376" s="667"/>
      <c r="S376" s="667"/>
      <c r="T376" s="668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63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627</v>
      </c>
      <c r="AG376" s="78"/>
      <c r="AJ376" s="84" t="s">
        <v>46</v>
      </c>
      <c r="AK376" s="84">
        <v>0</v>
      </c>
      <c r="BB376" s="479" t="s">
        <v>66</v>
      </c>
      <c r="BM376" s="78">
        <f t="shared" si="64"/>
        <v>0</v>
      </c>
      <c r="BN376" s="78">
        <f t="shared" si="65"/>
        <v>0</v>
      </c>
      <c r="BO376" s="78">
        <f t="shared" si="66"/>
        <v>0</v>
      </c>
      <c r="BP376" s="78">
        <f t="shared" si="67"/>
        <v>0</v>
      </c>
    </row>
    <row r="377" spans="1:68" ht="27" hidden="1" customHeight="1" x14ac:dyDescent="0.25">
      <c r="A377" s="63" t="s">
        <v>628</v>
      </c>
      <c r="B377" s="63" t="s">
        <v>629</v>
      </c>
      <c r="C377" s="36">
        <v>4301031154</v>
      </c>
      <c r="D377" s="665">
        <v>4607091387292</v>
      </c>
      <c r="E377" s="665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133</v>
      </c>
      <c r="L377" s="37" t="s">
        <v>46</v>
      </c>
      <c r="M377" s="38" t="s">
        <v>80</v>
      </c>
      <c r="N377" s="38"/>
      <c r="O377" s="37">
        <v>45</v>
      </c>
      <c r="P377" s="75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7" s="667"/>
      <c r="R377" s="667"/>
      <c r="S377" s="667"/>
      <c r="T377" s="668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3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630</v>
      </c>
      <c r="AG377" s="78"/>
      <c r="AJ377" s="84" t="s">
        <v>46</v>
      </c>
      <c r="AK377" s="84">
        <v>0</v>
      </c>
      <c r="BB377" s="481" t="s">
        <v>66</v>
      </c>
      <c r="BM377" s="78">
        <f t="shared" si="64"/>
        <v>0</v>
      </c>
      <c r="BN377" s="78">
        <f t="shared" si="65"/>
        <v>0</v>
      </c>
      <c r="BO377" s="78">
        <f t="shared" si="66"/>
        <v>0</v>
      </c>
      <c r="BP377" s="78">
        <f t="shared" si="67"/>
        <v>0</v>
      </c>
    </row>
    <row r="378" spans="1:68" ht="27" hidden="1" customHeight="1" x14ac:dyDescent="0.25">
      <c r="A378" s="63" t="s">
        <v>631</v>
      </c>
      <c r="B378" s="63" t="s">
        <v>632</v>
      </c>
      <c r="C378" s="36">
        <v>4301031152</v>
      </c>
      <c r="D378" s="665">
        <v>4607091387285</v>
      </c>
      <c r="E378" s="665"/>
      <c r="F378" s="62">
        <v>0.35</v>
      </c>
      <c r="G378" s="37">
        <v>6</v>
      </c>
      <c r="H378" s="62">
        <v>2.1</v>
      </c>
      <c r="I378" s="62">
        <v>2.23</v>
      </c>
      <c r="J378" s="37">
        <v>234</v>
      </c>
      <c r="K378" s="37" t="s">
        <v>81</v>
      </c>
      <c r="L378" s="37" t="s">
        <v>46</v>
      </c>
      <c r="M378" s="38" t="s">
        <v>80</v>
      </c>
      <c r="N378" s="38"/>
      <c r="O378" s="37">
        <v>40</v>
      </c>
      <c r="P378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8" s="667"/>
      <c r="R378" s="667"/>
      <c r="S378" s="667"/>
      <c r="T378" s="668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3"/>
        <v>0</v>
      </c>
      <c r="Z378" s="41" t="str">
        <f>IFERROR(IF(Y378=0,"",ROUNDUP(Y378/H378,0)*0.00502),"")</f>
        <v/>
      </c>
      <c r="AA378" s="68" t="s">
        <v>46</v>
      </c>
      <c r="AB378" s="69" t="s">
        <v>46</v>
      </c>
      <c r="AC378" s="482" t="s">
        <v>627</v>
      </c>
      <c r="AG378" s="78"/>
      <c r="AJ378" s="84" t="s">
        <v>46</v>
      </c>
      <c r="AK378" s="84">
        <v>0</v>
      </c>
      <c r="BB378" s="483" t="s">
        <v>66</v>
      </c>
      <c r="BM378" s="78">
        <f t="shared" si="64"/>
        <v>0</v>
      </c>
      <c r="BN378" s="78">
        <f t="shared" si="65"/>
        <v>0</v>
      </c>
      <c r="BO378" s="78">
        <f t="shared" si="66"/>
        <v>0</v>
      </c>
      <c r="BP378" s="78">
        <f t="shared" si="67"/>
        <v>0</v>
      </c>
    </row>
    <row r="379" spans="1:68" ht="27" hidden="1" customHeight="1" x14ac:dyDescent="0.25">
      <c r="A379" s="63" t="s">
        <v>633</v>
      </c>
      <c r="B379" s="63" t="s">
        <v>634</v>
      </c>
      <c r="C379" s="36">
        <v>4301031305</v>
      </c>
      <c r="D379" s="665">
        <v>4607091389845</v>
      </c>
      <c r="E379" s="665"/>
      <c r="F379" s="62">
        <v>0.35</v>
      </c>
      <c r="G379" s="37">
        <v>6</v>
      </c>
      <c r="H379" s="62">
        <v>2.1</v>
      </c>
      <c r="I379" s="62">
        <v>2.2000000000000002</v>
      </c>
      <c r="J379" s="37">
        <v>234</v>
      </c>
      <c r="K379" s="37" t="s">
        <v>81</v>
      </c>
      <c r="L379" s="37" t="s">
        <v>46</v>
      </c>
      <c r="M379" s="38" t="s">
        <v>80</v>
      </c>
      <c r="N379" s="38"/>
      <c r="O379" s="37">
        <v>40</v>
      </c>
      <c r="P379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9" s="667"/>
      <c r="R379" s="667"/>
      <c r="S379" s="667"/>
      <c r="T379" s="668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3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66</v>
      </c>
      <c r="BM379" s="78">
        <f t="shared" si="64"/>
        <v>0</v>
      </c>
      <c r="BN379" s="78">
        <f t="shared" si="65"/>
        <v>0</v>
      </c>
      <c r="BO379" s="78">
        <f t="shared" si="66"/>
        <v>0</v>
      </c>
      <c r="BP379" s="78">
        <f t="shared" si="67"/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4301031460</v>
      </c>
      <c r="D380" s="665">
        <v>4680115887442</v>
      </c>
      <c r="E380" s="665"/>
      <c r="F380" s="62">
        <v>0.73</v>
      </c>
      <c r="G380" s="37">
        <v>6</v>
      </c>
      <c r="H380" s="62">
        <v>4.38</v>
      </c>
      <c r="I380" s="62">
        <v>4.63</v>
      </c>
      <c r="J380" s="37">
        <v>132</v>
      </c>
      <c r="K380" s="37" t="s">
        <v>133</v>
      </c>
      <c r="L380" s="37" t="s">
        <v>46</v>
      </c>
      <c r="M380" s="38" t="s">
        <v>80</v>
      </c>
      <c r="N380" s="38"/>
      <c r="O380" s="37">
        <v>45</v>
      </c>
      <c r="P380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0" s="667"/>
      <c r="R380" s="667"/>
      <c r="S380" s="667"/>
      <c r="T380" s="668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3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630</v>
      </c>
      <c r="AG380" s="78"/>
      <c r="AJ380" s="84" t="s">
        <v>46</v>
      </c>
      <c r="AK380" s="84">
        <v>0</v>
      </c>
      <c r="BB380" s="487" t="s">
        <v>66</v>
      </c>
      <c r="BM380" s="78">
        <f t="shared" si="64"/>
        <v>0</v>
      </c>
      <c r="BN380" s="78">
        <f t="shared" si="65"/>
        <v>0</v>
      </c>
      <c r="BO380" s="78">
        <f t="shared" si="66"/>
        <v>0</v>
      </c>
      <c r="BP380" s="78">
        <f t="shared" si="67"/>
        <v>0</v>
      </c>
    </row>
    <row r="381" spans="1:68" ht="27" hidden="1" customHeight="1" x14ac:dyDescent="0.25">
      <c r="A381" s="63" t="s">
        <v>638</v>
      </c>
      <c r="B381" s="63" t="s">
        <v>639</v>
      </c>
      <c r="C381" s="36">
        <v>4301031066</v>
      </c>
      <c r="D381" s="665">
        <v>4607091383836</v>
      </c>
      <c r="E381" s="665"/>
      <c r="F381" s="62">
        <v>0.3</v>
      </c>
      <c r="G381" s="37">
        <v>6</v>
      </c>
      <c r="H381" s="62">
        <v>1.8</v>
      </c>
      <c r="I381" s="62">
        <v>2.028</v>
      </c>
      <c r="J381" s="37">
        <v>182</v>
      </c>
      <c r="K381" s="37" t="s">
        <v>90</v>
      </c>
      <c r="L381" s="37" t="s">
        <v>46</v>
      </c>
      <c r="M381" s="38" t="s">
        <v>80</v>
      </c>
      <c r="N381" s="38"/>
      <c r="O381" s="37">
        <v>40</v>
      </c>
      <c r="P381" s="75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1" s="667"/>
      <c r="R381" s="667"/>
      <c r="S381" s="667"/>
      <c r="T381" s="668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3"/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8" t="s">
        <v>640</v>
      </c>
      <c r="AG381" s="78"/>
      <c r="AJ381" s="84" t="s">
        <v>46</v>
      </c>
      <c r="AK381" s="84">
        <v>0</v>
      </c>
      <c r="BB381" s="489" t="s">
        <v>66</v>
      </c>
      <c r="BM381" s="78">
        <f t="shared" si="64"/>
        <v>0</v>
      </c>
      <c r="BN381" s="78">
        <f t="shared" si="65"/>
        <v>0</v>
      </c>
      <c r="BO381" s="78">
        <f t="shared" si="66"/>
        <v>0</v>
      </c>
      <c r="BP381" s="78">
        <f t="shared" si="67"/>
        <v>0</v>
      </c>
    </row>
    <row r="382" spans="1:68" hidden="1" x14ac:dyDescent="0.2">
      <c r="A382" s="661"/>
      <c r="B382" s="661"/>
      <c r="C382" s="661"/>
      <c r="D382" s="661"/>
      <c r="E382" s="661"/>
      <c r="F382" s="661"/>
      <c r="G382" s="661"/>
      <c r="H382" s="661"/>
      <c r="I382" s="661"/>
      <c r="J382" s="661"/>
      <c r="K382" s="661"/>
      <c r="L382" s="661"/>
      <c r="M382" s="661"/>
      <c r="N382" s="661"/>
      <c r="O382" s="662"/>
      <c r="P382" s="658" t="s">
        <v>40</v>
      </c>
      <c r="Q382" s="659"/>
      <c r="R382" s="659"/>
      <c r="S382" s="659"/>
      <c r="T382" s="659"/>
      <c r="U382" s="659"/>
      <c r="V382" s="660"/>
      <c r="W382" s="42" t="s">
        <v>39</v>
      </c>
      <c r="X382" s="43">
        <f>IFERROR(X375/H375,"0")+IFERROR(X376/H376,"0")+IFERROR(X377/H377,"0")+IFERROR(X378/H378,"0")+IFERROR(X379/H379,"0")+IFERROR(X380/H380,"0")+IFERROR(X381/H381,"0")</f>
        <v>0</v>
      </c>
      <c r="Y382" s="43">
        <f>IFERROR(Y375/H375,"0")+IFERROR(Y376/H376,"0")+IFERROR(Y377/H377,"0")+IFERROR(Y378/H378,"0")+IFERROR(Y379/H379,"0")+IFERROR(Y380/H380,"0")+IFERROR(Y381/H381,"0")</f>
        <v>0</v>
      </c>
      <c r="Z382" s="43">
        <f>IFERROR(IF(Z375="",0,Z375),"0")+IFERROR(IF(Z376="",0,Z376),"0")+IFERROR(IF(Z377="",0,Z377),"0")+IFERROR(IF(Z378="",0,Z378),"0")+IFERROR(IF(Z379="",0,Z379),"0")+IFERROR(IF(Z380="",0,Z380),"0")+IFERROR(IF(Z381="",0,Z381),"0")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661"/>
      <c r="B383" s="661"/>
      <c r="C383" s="661"/>
      <c r="D383" s="661"/>
      <c r="E383" s="661"/>
      <c r="F383" s="661"/>
      <c r="G383" s="661"/>
      <c r="H383" s="661"/>
      <c r="I383" s="661"/>
      <c r="J383" s="661"/>
      <c r="K383" s="661"/>
      <c r="L383" s="661"/>
      <c r="M383" s="661"/>
      <c r="N383" s="661"/>
      <c r="O383" s="662"/>
      <c r="P383" s="658" t="s">
        <v>40</v>
      </c>
      <c r="Q383" s="659"/>
      <c r="R383" s="659"/>
      <c r="S383" s="659"/>
      <c r="T383" s="659"/>
      <c r="U383" s="659"/>
      <c r="V383" s="660"/>
      <c r="W383" s="42" t="s">
        <v>0</v>
      </c>
      <c r="X383" s="43">
        <f>IFERROR(SUM(X375:X381),"0")</f>
        <v>0</v>
      </c>
      <c r="Y383" s="43">
        <f>IFERROR(SUM(Y375:Y381),"0")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664" t="s">
        <v>85</v>
      </c>
      <c r="B384" s="664"/>
      <c r="C384" s="664"/>
      <c r="D384" s="664"/>
      <c r="E384" s="664"/>
      <c r="F384" s="664"/>
      <c r="G384" s="664"/>
      <c r="H384" s="664"/>
      <c r="I384" s="664"/>
      <c r="J384" s="664"/>
      <c r="K384" s="664"/>
      <c r="L384" s="664"/>
      <c r="M384" s="664"/>
      <c r="N384" s="664"/>
      <c r="O384" s="664"/>
      <c r="P384" s="664"/>
      <c r="Q384" s="664"/>
      <c r="R384" s="664"/>
      <c r="S384" s="664"/>
      <c r="T384" s="664"/>
      <c r="U384" s="664"/>
      <c r="V384" s="664"/>
      <c r="W384" s="664"/>
      <c r="X384" s="664"/>
      <c r="Y384" s="664"/>
      <c r="Z384" s="664"/>
      <c r="AA384" s="66"/>
      <c r="AB384" s="66"/>
      <c r="AC384" s="80"/>
    </row>
    <row r="385" spans="1:68" ht="27" hidden="1" customHeight="1" x14ac:dyDescent="0.25">
      <c r="A385" s="63" t="s">
        <v>641</v>
      </c>
      <c r="B385" s="63" t="s">
        <v>642</v>
      </c>
      <c r="C385" s="36">
        <v>4301051100</v>
      </c>
      <c r="D385" s="665">
        <v>4607091387766</v>
      </c>
      <c r="E385" s="665"/>
      <c r="F385" s="62">
        <v>1.3</v>
      </c>
      <c r="G385" s="37">
        <v>6</v>
      </c>
      <c r="H385" s="62">
        <v>7.8</v>
      </c>
      <c r="I385" s="62">
        <v>8.2880000000000003</v>
      </c>
      <c r="J385" s="37">
        <v>64</v>
      </c>
      <c r="K385" s="37" t="s">
        <v>126</v>
      </c>
      <c r="L385" s="37" t="s">
        <v>46</v>
      </c>
      <c r="M385" s="38" t="s">
        <v>89</v>
      </c>
      <c r="N385" s="38"/>
      <c r="O385" s="37">
        <v>40</v>
      </c>
      <c r="P385" s="7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5" s="667"/>
      <c r="R385" s="667"/>
      <c r="S385" s="667"/>
      <c r="T385" s="668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90" t="s">
        <v>643</v>
      </c>
      <c r="AG385" s="78"/>
      <c r="AJ385" s="84" t="s">
        <v>46</v>
      </c>
      <c r="AK385" s="84">
        <v>0</v>
      </c>
      <c r="BB385" s="491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644</v>
      </c>
      <c r="B386" s="63" t="s">
        <v>645</v>
      </c>
      <c r="C386" s="36">
        <v>4301051818</v>
      </c>
      <c r="D386" s="665">
        <v>4607091387957</v>
      </c>
      <c r="E386" s="665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126</v>
      </c>
      <c r="L386" s="37" t="s">
        <v>46</v>
      </c>
      <c r="M386" s="38" t="s">
        <v>89</v>
      </c>
      <c r="N386" s="38"/>
      <c r="O386" s="37">
        <v>40</v>
      </c>
      <c r="P386" s="75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6" s="667"/>
      <c r="R386" s="667"/>
      <c r="S386" s="667"/>
      <c r="T386" s="668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646</v>
      </c>
      <c r="AG386" s="78"/>
      <c r="AJ386" s="84" t="s">
        <v>46</v>
      </c>
      <c r="AK386" s="84">
        <v>0</v>
      </c>
      <c r="BB386" s="493" t="s">
        <v>66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647</v>
      </c>
      <c r="B387" s="63" t="s">
        <v>648</v>
      </c>
      <c r="C387" s="36">
        <v>4301051819</v>
      </c>
      <c r="D387" s="665">
        <v>4607091387964</v>
      </c>
      <c r="E387" s="665"/>
      <c r="F387" s="62">
        <v>1.35</v>
      </c>
      <c r="G387" s="37">
        <v>6</v>
      </c>
      <c r="H387" s="62">
        <v>8.1</v>
      </c>
      <c r="I387" s="62">
        <v>8.5760000000000005</v>
      </c>
      <c r="J387" s="37">
        <v>64</v>
      </c>
      <c r="K387" s="37" t="s">
        <v>126</v>
      </c>
      <c r="L387" s="37" t="s">
        <v>46</v>
      </c>
      <c r="M387" s="38" t="s">
        <v>89</v>
      </c>
      <c r="N387" s="38"/>
      <c r="O387" s="37">
        <v>40</v>
      </c>
      <c r="P387" s="7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7" s="667"/>
      <c r="R387" s="667"/>
      <c r="S387" s="667"/>
      <c r="T387" s="668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649</v>
      </c>
      <c r="AG387" s="78"/>
      <c r="AJ387" s="84" t="s">
        <v>46</v>
      </c>
      <c r="AK387" s="84">
        <v>0</v>
      </c>
      <c r="BB387" s="495" t="s">
        <v>66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650</v>
      </c>
      <c r="B388" s="63" t="s">
        <v>651</v>
      </c>
      <c r="C388" s="36">
        <v>4301051734</v>
      </c>
      <c r="D388" s="665">
        <v>4680115884588</v>
      </c>
      <c r="E388" s="665"/>
      <c r="F388" s="62">
        <v>0.5</v>
      </c>
      <c r="G388" s="37">
        <v>6</v>
      </c>
      <c r="H388" s="62">
        <v>3</v>
      </c>
      <c r="I388" s="62">
        <v>3.246</v>
      </c>
      <c r="J388" s="37">
        <v>182</v>
      </c>
      <c r="K388" s="37" t="s">
        <v>90</v>
      </c>
      <c r="L388" s="37" t="s">
        <v>46</v>
      </c>
      <c r="M388" s="38" t="s">
        <v>89</v>
      </c>
      <c r="N388" s="38"/>
      <c r="O388" s="37">
        <v>40</v>
      </c>
      <c r="P388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8" s="667"/>
      <c r="R388" s="667"/>
      <c r="S388" s="667"/>
      <c r="T388" s="668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96" t="s">
        <v>643</v>
      </c>
      <c r="AG388" s="78"/>
      <c r="AJ388" s="84" t="s">
        <v>46</v>
      </c>
      <c r="AK388" s="84">
        <v>0</v>
      </c>
      <c r="BB388" s="497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661"/>
      <c r="B389" s="661"/>
      <c r="C389" s="661"/>
      <c r="D389" s="661"/>
      <c r="E389" s="661"/>
      <c r="F389" s="661"/>
      <c r="G389" s="661"/>
      <c r="H389" s="661"/>
      <c r="I389" s="661"/>
      <c r="J389" s="661"/>
      <c r="K389" s="661"/>
      <c r="L389" s="661"/>
      <c r="M389" s="661"/>
      <c r="N389" s="661"/>
      <c r="O389" s="662"/>
      <c r="P389" s="658" t="s">
        <v>40</v>
      </c>
      <c r="Q389" s="659"/>
      <c r="R389" s="659"/>
      <c r="S389" s="659"/>
      <c r="T389" s="659"/>
      <c r="U389" s="659"/>
      <c r="V389" s="660"/>
      <c r="W389" s="42" t="s">
        <v>39</v>
      </c>
      <c r="X389" s="43">
        <f>IFERROR(X385/H385,"0")+IFERROR(X386/H386,"0")+IFERROR(X387/H387,"0")+IFERROR(X388/H388,"0")</f>
        <v>0</v>
      </c>
      <c r="Y389" s="43">
        <f>IFERROR(Y385/H385,"0")+IFERROR(Y386/H386,"0")+IFERROR(Y387/H387,"0")+IFERROR(Y388/H388,"0")</f>
        <v>0</v>
      </c>
      <c r="Z389" s="43">
        <f>IFERROR(IF(Z385="",0,Z385),"0")+IFERROR(IF(Z386="",0,Z386),"0")+IFERROR(IF(Z387="",0,Z387),"0")+IFERROR(IF(Z388="",0,Z388),"0")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661"/>
      <c r="B390" s="661"/>
      <c r="C390" s="661"/>
      <c r="D390" s="661"/>
      <c r="E390" s="661"/>
      <c r="F390" s="661"/>
      <c r="G390" s="661"/>
      <c r="H390" s="661"/>
      <c r="I390" s="661"/>
      <c r="J390" s="661"/>
      <c r="K390" s="661"/>
      <c r="L390" s="661"/>
      <c r="M390" s="661"/>
      <c r="N390" s="661"/>
      <c r="O390" s="662"/>
      <c r="P390" s="658" t="s">
        <v>40</v>
      </c>
      <c r="Q390" s="659"/>
      <c r="R390" s="659"/>
      <c r="S390" s="659"/>
      <c r="T390" s="659"/>
      <c r="U390" s="659"/>
      <c r="V390" s="660"/>
      <c r="W390" s="42" t="s">
        <v>0</v>
      </c>
      <c r="X390" s="43">
        <f>IFERROR(SUM(X385:X388),"0")</f>
        <v>0</v>
      </c>
      <c r="Y390" s="43">
        <f>IFERROR(SUM(Y385:Y388),"0")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664" t="s">
        <v>172</v>
      </c>
      <c r="B391" s="664"/>
      <c r="C391" s="664"/>
      <c r="D391" s="664"/>
      <c r="E391" s="664"/>
      <c r="F391" s="664"/>
      <c r="G391" s="664"/>
      <c r="H391" s="664"/>
      <c r="I391" s="664"/>
      <c r="J391" s="664"/>
      <c r="K391" s="664"/>
      <c r="L391" s="664"/>
      <c r="M391" s="664"/>
      <c r="N391" s="664"/>
      <c r="O391" s="664"/>
      <c r="P391" s="664"/>
      <c r="Q391" s="664"/>
      <c r="R391" s="664"/>
      <c r="S391" s="664"/>
      <c r="T391" s="664"/>
      <c r="U391" s="664"/>
      <c r="V391" s="664"/>
      <c r="W391" s="664"/>
      <c r="X391" s="664"/>
      <c r="Y391" s="664"/>
      <c r="Z391" s="664"/>
      <c r="AA391" s="66"/>
      <c r="AB391" s="66"/>
      <c r="AC391" s="80"/>
    </row>
    <row r="392" spans="1:68" ht="27" hidden="1" customHeight="1" x14ac:dyDescent="0.25">
      <c r="A392" s="63" t="s">
        <v>652</v>
      </c>
      <c r="B392" s="63" t="s">
        <v>653</v>
      </c>
      <c r="C392" s="36">
        <v>4301060387</v>
      </c>
      <c r="D392" s="665">
        <v>4607091380880</v>
      </c>
      <c r="E392" s="665"/>
      <c r="F392" s="62">
        <v>1.4</v>
      </c>
      <c r="G392" s="37">
        <v>6</v>
      </c>
      <c r="H392" s="62">
        <v>8.4</v>
      </c>
      <c r="I392" s="62">
        <v>8.8940000000000001</v>
      </c>
      <c r="J392" s="37">
        <v>64</v>
      </c>
      <c r="K392" s="37" t="s">
        <v>126</v>
      </c>
      <c r="L392" s="37" t="s">
        <v>46</v>
      </c>
      <c r="M392" s="38" t="s">
        <v>89</v>
      </c>
      <c r="N392" s="38"/>
      <c r="O392" s="37">
        <v>30</v>
      </c>
      <c r="P392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2" s="667"/>
      <c r="R392" s="667"/>
      <c r="S392" s="667"/>
      <c r="T392" s="668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98" t="s">
        <v>654</v>
      </c>
      <c r="AG392" s="78"/>
      <c r="AJ392" s="84" t="s">
        <v>46</v>
      </c>
      <c r="AK392" s="84">
        <v>0</v>
      </c>
      <c r="BB392" s="499" t="s">
        <v>66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655</v>
      </c>
      <c r="B393" s="63" t="s">
        <v>656</v>
      </c>
      <c r="C393" s="36">
        <v>4301060406</v>
      </c>
      <c r="D393" s="665">
        <v>4607091384482</v>
      </c>
      <c r="E393" s="665"/>
      <c r="F393" s="62">
        <v>1.3</v>
      </c>
      <c r="G393" s="37">
        <v>6</v>
      </c>
      <c r="H393" s="62">
        <v>7.8</v>
      </c>
      <c r="I393" s="62">
        <v>8.2940000000000005</v>
      </c>
      <c r="J393" s="37">
        <v>64</v>
      </c>
      <c r="K393" s="37" t="s">
        <v>126</v>
      </c>
      <c r="L393" s="37" t="s">
        <v>46</v>
      </c>
      <c r="M393" s="38" t="s">
        <v>89</v>
      </c>
      <c r="N393" s="38"/>
      <c r="O393" s="37">
        <v>30</v>
      </c>
      <c r="P393" s="74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3" s="667"/>
      <c r="R393" s="667"/>
      <c r="S393" s="667"/>
      <c r="T393" s="668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657</v>
      </c>
      <c r="AG393" s="78"/>
      <c r="AJ393" s="84" t="s">
        <v>46</v>
      </c>
      <c r="AK393" s="84">
        <v>0</v>
      </c>
      <c r="BB393" s="501" t="s">
        <v>66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4301060484</v>
      </c>
      <c r="D394" s="665">
        <v>4607091380897</v>
      </c>
      <c r="E394" s="665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126</v>
      </c>
      <c r="L394" s="37" t="s">
        <v>46</v>
      </c>
      <c r="M394" s="38" t="s">
        <v>96</v>
      </c>
      <c r="N394" s="38"/>
      <c r="O394" s="37">
        <v>30</v>
      </c>
      <c r="P394" s="74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4" s="667"/>
      <c r="R394" s="667"/>
      <c r="S394" s="667"/>
      <c r="T394" s="668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502" t="s">
        <v>660</v>
      </c>
      <c r="AG394" s="78"/>
      <c r="AJ394" s="84" t="s">
        <v>46</v>
      </c>
      <c r="AK394" s="84">
        <v>0</v>
      </c>
      <c r="BB394" s="503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61"/>
      <c r="B395" s="661"/>
      <c r="C395" s="661"/>
      <c r="D395" s="661"/>
      <c r="E395" s="661"/>
      <c r="F395" s="661"/>
      <c r="G395" s="661"/>
      <c r="H395" s="661"/>
      <c r="I395" s="661"/>
      <c r="J395" s="661"/>
      <c r="K395" s="661"/>
      <c r="L395" s="661"/>
      <c r="M395" s="661"/>
      <c r="N395" s="661"/>
      <c r="O395" s="662"/>
      <c r="P395" s="658" t="s">
        <v>40</v>
      </c>
      <c r="Q395" s="659"/>
      <c r="R395" s="659"/>
      <c r="S395" s="659"/>
      <c r="T395" s="659"/>
      <c r="U395" s="659"/>
      <c r="V395" s="660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61"/>
      <c r="B396" s="661"/>
      <c r="C396" s="661"/>
      <c r="D396" s="661"/>
      <c r="E396" s="661"/>
      <c r="F396" s="661"/>
      <c r="G396" s="661"/>
      <c r="H396" s="661"/>
      <c r="I396" s="661"/>
      <c r="J396" s="661"/>
      <c r="K396" s="661"/>
      <c r="L396" s="661"/>
      <c r="M396" s="661"/>
      <c r="N396" s="661"/>
      <c r="O396" s="662"/>
      <c r="P396" s="658" t="s">
        <v>40</v>
      </c>
      <c r="Q396" s="659"/>
      <c r="R396" s="659"/>
      <c r="S396" s="659"/>
      <c r="T396" s="659"/>
      <c r="U396" s="659"/>
      <c r="V396" s="660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64" t="s">
        <v>288</v>
      </c>
      <c r="B397" s="664"/>
      <c r="C397" s="664"/>
      <c r="D397" s="664"/>
      <c r="E397" s="664"/>
      <c r="F397" s="664"/>
      <c r="G397" s="664"/>
      <c r="H397" s="664"/>
      <c r="I397" s="664"/>
      <c r="J397" s="664"/>
      <c r="K397" s="664"/>
      <c r="L397" s="664"/>
      <c r="M397" s="664"/>
      <c r="N397" s="664"/>
      <c r="O397" s="664"/>
      <c r="P397" s="664"/>
      <c r="Q397" s="664"/>
      <c r="R397" s="664"/>
      <c r="S397" s="664"/>
      <c r="T397" s="664"/>
      <c r="U397" s="664"/>
      <c r="V397" s="664"/>
      <c r="W397" s="664"/>
      <c r="X397" s="664"/>
      <c r="Y397" s="664"/>
      <c r="Z397" s="664"/>
      <c r="AA397" s="66"/>
      <c r="AB397" s="66"/>
      <c r="AC397" s="80"/>
    </row>
    <row r="398" spans="1:68" ht="27" hidden="1" customHeight="1" x14ac:dyDescent="0.25">
      <c r="A398" s="63" t="s">
        <v>661</v>
      </c>
      <c r="B398" s="63" t="s">
        <v>662</v>
      </c>
      <c r="C398" s="36">
        <v>4301030235</v>
      </c>
      <c r="D398" s="665">
        <v>4607091388381</v>
      </c>
      <c r="E398" s="665"/>
      <c r="F398" s="62">
        <v>0.38</v>
      </c>
      <c r="G398" s="37">
        <v>8</v>
      </c>
      <c r="H398" s="62">
        <v>3.04</v>
      </c>
      <c r="I398" s="62">
        <v>3.31</v>
      </c>
      <c r="J398" s="37">
        <v>132</v>
      </c>
      <c r="K398" s="37" t="s">
        <v>133</v>
      </c>
      <c r="L398" s="37" t="s">
        <v>46</v>
      </c>
      <c r="M398" s="38" t="s">
        <v>263</v>
      </c>
      <c r="N398" s="38"/>
      <c r="O398" s="37">
        <v>180</v>
      </c>
      <c r="P398" s="74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8" s="667"/>
      <c r="R398" s="667"/>
      <c r="S398" s="667"/>
      <c r="T398" s="668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46</v>
      </c>
      <c r="AB398" s="69" t="s">
        <v>46</v>
      </c>
      <c r="AC398" s="504" t="s">
        <v>663</v>
      </c>
      <c r="AG398" s="78"/>
      <c r="AJ398" s="84" t="s">
        <v>46</v>
      </c>
      <c r="AK398" s="84">
        <v>0</v>
      </c>
      <c r="BB398" s="50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664</v>
      </c>
      <c r="B399" s="63" t="s">
        <v>665</v>
      </c>
      <c r="C399" s="36">
        <v>4301030232</v>
      </c>
      <c r="D399" s="665">
        <v>4607091388374</v>
      </c>
      <c r="E399" s="665"/>
      <c r="F399" s="62">
        <v>0.38</v>
      </c>
      <c r="G399" s="37">
        <v>8</v>
      </c>
      <c r="H399" s="62">
        <v>3.04</v>
      </c>
      <c r="I399" s="62">
        <v>3.27</v>
      </c>
      <c r="J399" s="37">
        <v>132</v>
      </c>
      <c r="K399" s="37" t="s">
        <v>133</v>
      </c>
      <c r="L399" s="37" t="s">
        <v>46</v>
      </c>
      <c r="M399" s="38" t="s">
        <v>263</v>
      </c>
      <c r="N399" s="38"/>
      <c r="O399" s="37">
        <v>180</v>
      </c>
      <c r="P399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9" s="667"/>
      <c r="R399" s="667"/>
      <c r="S399" s="667"/>
      <c r="T399" s="668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663</v>
      </c>
      <c r="AG399" s="78"/>
      <c r="AJ399" s="84" t="s">
        <v>46</v>
      </c>
      <c r="AK399" s="84">
        <v>0</v>
      </c>
      <c r="BB399" s="507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666</v>
      </c>
      <c r="B400" s="63" t="s">
        <v>667</v>
      </c>
      <c r="C400" s="36">
        <v>4301032015</v>
      </c>
      <c r="D400" s="665">
        <v>4607091383102</v>
      </c>
      <c r="E400" s="665"/>
      <c r="F400" s="62">
        <v>0.17</v>
      </c>
      <c r="G400" s="37">
        <v>15</v>
      </c>
      <c r="H400" s="62">
        <v>2.5499999999999998</v>
      </c>
      <c r="I400" s="62">
        <v>2.9550000000000001</v>
      </c>
      <c r="J400" s="37">
        <v>182</v>
      </c>
      <c r="K400" s="37" t="s">
        <v>90</v>
      </c>
      <c r="L400" s="37" t="s">
        <v>46</v>
      </c>
      <c r="M400" s="38" t="s">
        <v>263</v>
      </c>
      <c r="N400" s="38"/>
      <c r="O400" s="37">
        <v>180</v>
      </c>
      <c r="P400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0" s="667"/>
      <c r="R400" s="667"/>
      <c r="S400" s="667"/>
      <c r="T400" s="668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IFERROR(IF(Y400=0,"",ROUNDUP(Y400/H400,0)*0.00651),"")</f>
        <v/>
      </c>
      <c r="AA400" s="68" t="s">
        <v>46</v>
      </c>
      <c r="AB400" s="69" t="s">
        <v>46</v>
      </c>
      <c r="AC400" s="508" t="s">
        <v>663</v>
      </c>
      <c r="AG400" s="78"/>
      <c r="AJ400" s="84" t="s">
        <v>46</v>
      </c>
      <c r="AK400" s="84">
        <v>0</v>
      </c>
      <c r="BB400" s="509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668</v>
      </c>
      <c r="B401" s="63" t="s">
        <v>669</v>
      </c>
      <c r="C401" s="36">
        <v>4301030233</v>
      </c>
      <c r="D401" s="665">
        <v>4607091388404</v>
      </c>
      <c r="E401" s="665"/>
      <c r="F401" s="62">
        <v>0.17</v>
      </c>
      <c r="G401" s="37">
        <v>15</v>
      </c>
      <c r="H401" s="62">
        <v>2.5499999999999998</v>
      </c>
      <c r="I401" s="62">
        <v>2.88</v>
      </c>
      <c r="J401" s="37">
        <v>182</v>
      </c>
      <c r="K401" s="37" t="s">
        <v>90</v>
      </c>
      <c r="L401" s="37" t="s">
        <v>46</v>
      </c>
      <c r="M401" s="38" t="s">
        <v>263</v>
      </c>
      <c r="N401" s="38"/>
      <c r="O401" s="37">
        <v>180</v>
      </c>
      <c r="P401" s="7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1" s="667"/>
      <c r="R401" s="667"/>
      <c r="S401" s="667"/>
      <c r="T401" s="668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663</v>
      </c>
      <c r="AG401" s="78"/>
      <c r="AJ401" s="84" t="s">
        <v>46</v>
      </c>
      <c r="AK401" s="84">
        <v>0</v>
      </c>
      <c r="BB401" s="511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61"/>
      <c r="B402" s="661"/>
      <c r="C402" s="661"/>
      <c r="D402" s="661"/>
      <c r="E402" s="661"/>
      <c r="F402" s="661"/>
      <c r="G402" s="661"/>
      <c r="H402" s="661"/>
      <c r="I402" s="661"/>
      <c r="J402" s="661"/>
      <c r="K402" s="661"/>
      <c r="L402" s="661"/>
      <c r="M402" s="661"/>
      <c r="N402" s="661"/>
      <c r="O402" s="662"/>
      <c r="P402" s="658" t="s">
        <v>40</v>
      </c>
      <c r="Q402" s="659"/>
      <c r="R402" s="659"/>
      <c r="S402" s="659"/>
      <c r="T402" s="659"/>
      <c r="U402" s="659"/>
      <c r="V402" s="660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61"/>
      <c r="B403" s="661"/>
      <c r="C403" s="661"/>
      <c r="D403" s="661"/>
      <c r="E403" s="661"/>
      <c r="F403" s="661"/>
      <c r="G403" s="661"/>
      <c r="H403" s="661"/>
      <c r="I403" s="661"/>
      <c r="J403" s="661"/>
      <c r="K403" s="661"/>
      <c r="L403" s="661"/>
      <c r="M403" s="661"/>
      <c r="N403" s="661"/>
      <c r="O403" s="662"/>
      <c r="P403" s="658" t="s">
        <v>40</v>
      </c>
      <c r="Q403" s="659"/>
      <c r="R403" s="659"/>
      <c r="S403" s="659"/>
      <c r="T403" s="659"/>
      <c r="U403" s="659"/>
      <c r="V403" s="660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664" t="s">
        <v>670</v>
      </c>
      <c r="B404" s="664"/>
      <c r="C404" s="664"/>
      <c r="D404" s="664"/>
      <c r="E404" s="664"/>
      <c r="F404" s="664"/>
      <c r="G404" s="664"/>
      <c r="H404" s="664"/>
      <c r="I404" s="664"/>
      <c r="J404" s="664"/>
      <c r="K404" s="664"/>
      <c r="L404" s="664"/>
      <c r="M404" s="664"/>
      <c r="N404" s="664"/>
      <c r="O404" s="664"/>
      <c r="P404" s="664"/>
      <c r="Q404" s="664"/>
      <c r="R404" s="664"/>
      <c r="S404" s="664"/>
      <c r="T404" s="664"/>
      <c r="U404" s="664"/>
      <c r="V404" s="664"/>
      <c r="W404" s="664"/>
      <c r="X404" s="664"/>
      <c r="Y404" s="664"/>
      <c r="Z404" s="664"/>
      <c r="AA404" s="66"/>
      <c r="AB404" s="66"/>
      <c r="AC404" s="80"/>
    </row>
    <row r="405" spans="1:68" ht="16.5" hidden="1" customHeight="1" x14ac:dyDescent="0.25">
      <c r="A405" s="63" t="s">
        <v>671</v>
      </c>
      <c r="B405" s="63" t="s">
        <v>672</v>
      </c>
      <c r="C405" s="36">
        <v>4301180007</v>
      </c>
      <c r="D405" s="665">
        <v>4680115881808</v>
      </c>
      <c r="E405" s="665"/>
      <c r="F405" s="62">
        <v>0.1</v>
      </c>
      <c r="G405" s="37">
        <v>20</v>
      </c>
      <c r="H405" s="62">
        <v>2</v>
      </c>
      <c r="I405" s="62">
        <v>2.2400000000000002</v>
      </c>
      <c r="J405" s="37">
        <v>238</v>
      </c>
      <c r="K405" s="37" t="s">
        <v>90</v>
      </c>
      <c r="L405" s="37" t="s">
        <v>46</v>
      </c>
      <c r="M405" s="38" t="s">
        <v>674</v>
      </c>
      <c r="N405" s="38"/>
      <c r="O405" s="37">
        <v>731</v>
      </c>
      <c r="P405" s="7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5" s="667"/>
      <c r="R405" s="667"/>
      <c r="S405" s="667"/>
      <c r="T405" s="668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IFERROR(IF(Y405=0,"",ROUNDUP(Y405/H405,0)*0.00474),"")</f>
        <v/>
      </c>
      <c r="AA405" s="68" t="s">
        <v>46</v>
      </c>
      <c r="AB405" s="69" t="s">
        <v>46</v>
      </c>
      <c r="AC405" s="512" t="s">
        <v>673</v>
      </c>
      <c r="AG405" s="78"/>
      <c r="AJ405" s="84" t="s">
        <v>46</v>
      </c>
      <c r="AK405" s="84">
        <v>0</v>
      </c>
      <c r="BB405" s="513" t="s">
        <v>66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675</v>
      </c>
      <c r="B406" s="63" t="s">
        <v>676</v>
      </c>
      <c r="C406" s="36">
        <v>4301180006</v>
      </c>
      <c r="D406" s="665">
        <v>4680115881822</v>
      </c>
      <c r="E406" s="665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90</v>
      </c>
      <c r="L406" s="37" t="s">
        <v>46</v>
      </c>
      <c r="M406" s="38" t="s">
        <v>674</v>
      </c>
      <c r="N406" s="38"/>
      <c r="O406" s="37">
        <v>731</v>
      </c>
      <c r="P406" s="74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6" s="667"/>
      <c r="R406" s="667"/>
      <c r="S406" s="667"/>
      <c r="T406" s="668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673</v>
      </c>
      <c r="AG406" s="78"/>
      <c r="AJ406" s="84" t="s">
        <v>46</v>
      </c>
      <c r="AK406" s="84">
        <v>0</v>
      </c>
      <c r="BB406" s="515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677</v>
      </c>
      <c r="B407" s="63" t="s">
        <v>678</v>
      </c>
      <c r="C407" s="36">
        <v>4301180001</v>
      </c>
      <c r="D407" s="665">
        <v>4680115880016</v>
      </c>
      <c r="E407" s="665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90</v>
      </c>
      <c r="L407" s="37" t="s">
        <v>46</v>
      </c>
      <c r="M407" s="38" t="s">
        <v>674</v>
      </c>
      <c r="N407" s="38"/>
      <c r="O407" s="37">
        <v>731</v>
      </c>
      <c r="P407" s="74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7" s="667"/>
      <c r="R407" s="667"/>
      <c r="S407" s="667"/>
      <c r="T407" s="668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673</v>
      </c>
      <c r="AG407" s="78"/>
      <c r="AJ407" s="84" t="s">
        <v>46</v>
      </c>
      <c r="AK407" s="84">
        <v>0</v>
      </c>
      <c r="BB407" s="517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61"/>
      <c r="B408" s="661"/>
      <c r="C408" s="661"/>
      <c r="D408" s="661"/>
      <c r="E408" s="661"/>
      <c r="F408" s="661"/>
      <c r="G408" s="661"/>
      <c r="H408" s="661"/>
      <c r="I408" s="661"/>
      <c r="J408" s="661"/>
      <c r="K408" s="661"/>
      <c r="L408" s="661"/>
      <c r="M408" s="661"/>
      <c r="N408" s="661"/>
      <c r="O408" s="662"/>
      <c r="P408" s="658" t="s">
        <v>40</v>
      </c>
      <c r="Q408" s="659"/>
      <c r="R408" s="659"/>
      <c r="S408" s="659"/>
      <c r="T408" s="659"/>
      <c r="U408" s="659"/>
      <c r="V408" s="660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61"/>
      <c r="B409" s="661"/>
      <c r="C409" s="661"/>
      <c r="D409" s="661"/>
      <c r="E409" s="661"/>
      <c r="F409" s="661"/>
      <c r="G409" s="661"/>
      <c r="H409" s="661"/>
      <c r="I409" s="661"/>
      <c r="J409" s="661"/>
      <c r="K409" s="661"/>
      <c r="L409" s="661"/>
      <c r="M409" s="661"/>
      <c r="N409" s="661"/>
      <c r="O409" s="662"/>
      <c r="P409" s="658" t="s">
        <v>40</v>
      </c>
      <c r="Q409" s="659"/>
      <c r="R409" s="659"/>
      <c r="S409" s="659"/>
      <c r="T409" s="659"/>
      <c r="U409" s="659"/>
      <c r="V409" s="660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64" t="s">
        <v>679</v>
      </c>
      <c r="B410" s="664"/>
      <c r="C410" s="664"/>
      <c r="D410" s="664"/>
      <c r="E410" s="664"/>
      <c r="F410" s="664"/>
      <c r="G410" s="664"/>
      <c r="H410" s="664"/>
      <c r="I410" s="664"/>
      <c r="J410" s="664"/>
      <c r="K410" s="664"/>
      <c r="L410" s="664"/>
      <c r="M410" s="664"/>
      <c r="N410" s="664"/>
      <c r="O410" s="664"/>
      <c r="P410" s="664"/>
      <c r="Q410" s="664"/>
      <c r="R410" s="664"/>
      <c r="S410" s="664"/>
      <c r="T410" s="664"/>
      <c r="U410" s="664"/>
      <c r="V410" s="664"/>
      <c r="W410" s="664"/>
      <c r="X410" s="664"/>
      <c r="Y410" s="664"/>
      <c r="Z410" s="664"/>
      <c r="AA410" s="66"/>
      <c r="AB410" s="66"/>
      <c r="AC410" s="80"/>
    </row>
    <row r="411" spans="1:68" ht="27" hidden="1" customHeight="1" x14ac:dyDescent="0.25">
      <c r="A411" s="63" t="s">
        <v>680</v>
      </c>
      <c r="B411" s="63" t="s">
        <v>681</v>
      </c>
      <c r="C411" s="36">
        <v>4301220003</v>
      </c>
      <c r="D411" s="665">
        <v>4680115888678</v>
      </c>
      <c r="E411" s="665"/>
      <c r="F411" s="62">
        <v>0.25</v>
      </c>
      <c r="G411" s="37">
        <v>12</v>
      </c>
      <c r="H411" s="62">
        <v>3</v>
      </c>
      <c r="I411" s="62">
        <v>3.22</v>
      </c>
      <c r="J411" s="37">
        <v>224</v>
      </c>
      <c r="K411" s="37" t="s">
        <v>90</v>
      </c>
      <c r="L411" s="37" t="s">
        <v>46</v>
      </c>
      <c r="M411" s="38" t="s">
        <v>674</v>
      </c>
      <c r="N411" s="38"/>
      <c r="O411" s="37">
        <v>1096</v>
      </c>
      <c r="P411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1" s="667"/>
      <c r="R411" s="667"/>
      <c r="S411" s="667"/>
      <c r="T411" s="668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IFERROR(IF(Y411=0,"",ROUNDUP(Y411/H411,0)*0.0045),"")</f>
        <v/>
      </c>
      <c r="AA411" s="68" t="s">
        <v>46</v>
      </c>
      <c r="AB411" s="69" t="s">
        <v>46</v>
      </c>
      <c r="AC411" s="518" t="s">
        <v>682</v>
      </c>
      <c r="AG411" s="78"/>
      <c r="AJ411" s="84" t="s">
        <v>46</v>
      </c>
      <c r="AK411" s="84">
        <v>0</v>
      </c>
      <c r="BB411" s="519" t="s">
        <v>66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683</v>
      </c>
      <c r="B412" s="63" t="s">
        <v>684</v>
      </c>
      <c r="C412" s="36">
        <v>4301220001</v>
      </c>
      <c r="D412" s="665">
        <v>4680115888654</v>
      </c>
      <c r="E412" s="665"/>
      <c r="F412" s="62">
        <v>0.32500000000000001</v>
      </c>
      <c r="G412" s="37">
        <v>12</v>
      </c>
      <c r="H412" s="62">
        <v>3.9</v>
      </c>
      <c r="I412" s="62">
        <v>4.17</v>
      </c>
      <c r="J412" s="37">
        <v>144</v>
      </c>
      <c r="K412" s="37" t="s">
        <v>133</v>
      </c>
      <c r="L412" s="37" t="s">
        <v>46</v>
      </c>
      <c r="M412" s="38" t="s">
        <v>674</v>
      </c>
      <c r="N412" s="38"/>
      <c r="O412" s="37">
        <v>1096</v>
      </c>
      <c r="P412" s="73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2" s="667"/>
      <c r="R412" s="667"/>
      <c r="S412" s="667"/>
      <c r="T412" s="668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IFERROR(IF(Y412=0,"",ROUNDUP(Y412/H412,0)*0.006),"")</f>
        <v/>
      </c>
      <c r="AA412" s="68" t="s">
        <v>46</v>
      </c>
      <c r="AB412" s="69" t="s">
        <v>46</v>
      </c>
      <c r="AC412" s="520" t="s">
        <v>685</v>
      </c>
      <c r="AG412" s="78"/>
      <c r="AJ412" s="84" t="s">
        <v>46</v>
      </c>
      <c r="AK412" s="84">
        <v>0</v>
      </c>
      <c r="BB412" s="521" t="s">
        <v>66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686</v>
      </c>
      <c r="B413" s="63" t="s">
        <v>687</v>
      </c>
      <c r="C413" s="36">
        <v>4301220002</v>
      </c>
      <c r="D413" s="665">
        <v>4680115888753</v>
      </c>
      <c r="E413" s="665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90</v>
      </c>
      <c r="L413" s="37" t="s">
        <v>46</v>
      </c>
      <c r="M413" s="38" t="s">
        <v>674</v>
      </c>
      <c r="N413" s="38"/>
      <c r="O413" s="37">
        <v>1096</v>
      </c>
      <c r="P413" s="73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3" s="667"/>
      <c r="R413" s="667"/>
      <c r="S413" s="667"/>
      <c r="T413" s="668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22" t="s">
        <v>682</v>
      </c>
      <c r="AG413" s="78"/>
      <c r="AJ413" s="84" t="s">
        <v>46</v>
      </c>
      <c r="AK413" s="84">
        <v>0</v>
      </c>
      <c r="BB413" s="523" t="s">
        <v>66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61"/>
      <c r="B414" s="661"/>
      <c r="C414" s="661"/>
      <c r="D414" s="661"/>
      <c r="E414" s="661"/>
      <c r="F414" s="661"/>
      <c r="G414" s="661"/>
      <c r="H414" s="661"/>
      <c r="I414" s="661"/>
      <c r="J414" s="661"/>
      <c r="K414" s="661"/>
      <c r="L414" s="661"/>
      <c r="M414" s="661"/>
      <c r="N414" s="661"/>
      <c r="O414" s="662"/>
      <c r="P414" s="658" t="s">
        <v>40</v>
      </c>
      <c r="Q414" s="659"/>
      <c r="R414" s="659"/>
      <c r="S414" s="659"/>
      <c r="T414" s="659"/>
      <c r="U414" s="659"/>
      <c r="V414" s="660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61"/>
      <c r="B415" s="661"/>
      <c r="C415" s="661"/>
      <c r="D415" s="661"/>
      <c r="E415" s="661"/>
      <c r="F415" s="661"/>
      <c r="G415" s="661"/>
      <c r="H415" s="661"/>
      <c r="I415" s="661"/>
      <c r="J415" s="661"/>
      <c r="K415" s="661"/>
      <c r="L415" s="661"/>
      <c r="M415" s="661"/>
      <c r="N415" s="661"/>
      <c r="O415" s="662"/>
      <c r="P415" s="658" t="s">
        <v>40</v>
      </c>
      <c r="Q415" s="659"/>
      <c r="R415" s="659"/>
      <c r="S415" s="659"/>
      <c r="T415" s="659"/>
      <c r="U415" s="659"/>
      <c r="V415" s="660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6.5" hidden="1" customHeight="1" x14ac:dyDescent="0.25">
      <c r="A416" s="663" t="s">
        <v>688</v>
      </c>
      <c r="B416" s="663"/>
      <c r="C416" s="663"/>
      <c r="D416" s="663"/>
      <c r="E416" s="663"/>
      <c r="F416" s="663"/>
      <c r="G416" s="663"/>
      <c r="H416" s="663"/>
      <c r="I416" s="663"/>
      <c r="J416" s="663"/>
      <c r="K416" s="663"/>
      <c r="L416" s="663"/>
      <c r="M416" s="663"/>
      <c r="N416" s="663"/>
      <c r="O416" s="663"/>
      <c r="P416" s="663"/>
      <c r="Q416" s="663"/>
      <c r="R416" s="663"/>
      <c r="S416" s="663"/>
      <c r="T416" s="663"/>
      <c r="U416" s="663"/>
      <c r="V416" s="663"/>
      <c r="W416" s="663"/>
      <c r="X416" s="663"/>
      <c r="Y416" s="663"/>
      <c r="Z416" s="663"/>
      <c r="AA416" s="65"/>
      <c r="AB416" s="65"/>
      <c r="AC416" s="79"/>
    </row>
    <row r="417" spans="1:68" ht="14.25" hidden="1" customHeight="1" x14ac:dyDescent="0.25">
      <c r="A417" s="664" t="s">
        <v>85</v>
      </c>
      <c r="B417" s="664"/>
      <c r="C417" s="664"/>
      <c r="D417" s="664"/>
      <c r="E417" s="664"/>
      <c r="F417" s="664"/>
      <c r="G417" s="664"/>
      <c r="H417" s="664"/>
      <c r="I417" s="664"/>
      <c r="J417" s="664"/>
      <c r="K417" s="664"/>
      <c r="L417" s="664"/>
      <c r="M417" s="664"/>
      <c r="N417" s="664"/>
      <c r="O417" s="664"/>
      <c r="P417" s="664"/>
      <c r="Q417" s="664"/>
      <c r="R417" s="664"/>
      <c r="S417" s="664"/>
      <c r="T417" s="664"/>
      <c r="U417" s="664"/>
      <c r="V417" s="664"/>
      <c r="W417" s="664"/>
      <c r="X417" s="664"/>
      <c r="Y417" s="664"/>
      <c r="Z417" s="664"/>
      <c r="AA417" s="66"/>
      <c r="AB417" s="66"/>
      <c r="AC417" s="80"/>
    </row>
    <row r="418" spans="1:68" ht="16.5" hidden="1" customHeight="1" x14ac:dyDescent="0.25">
      <c r="A418" s="63" t="s">
        <v>689</v>
      </c>
      <c r="B418" s="63" t="s">
        <v>690</v>
      </c>
      <c r="C418" s="36">
        <v>4301052235</v>
      </c>
      <c r="D418" s="665">
        <v>4680115889415</v>
      </c>
      <c r="E418" s="665"/>
      <c r="F418" s="62">
        <v>1.3</v>
      </c>
      <c r="G418" s="37">
        <v>6</v>
      </c>
      <c r="H418" s="62">
        <v>7.8</v>
      </c>
      <c r="I418" s="62">
        <v>8.2100000000000009</v>
      </c>
      <c r="J418" s="37">
        <v>64</v>
      </c>
      <c r="K418" s="37" t="s">
        <v>126</v>
      </c>
      <c r="L418" s="37" t="s">
        <v>46</v>
      </c>
      <c r="M418" s="38" t="s">
        <v>89</v>
      </c>
      <c r="N418" s="38"/>
      <c r="O418" s="37">
        <v>40</v>
      </c>
      <c r="P418" s="738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8" s="667"/>
      <c r="R418" s="667"/>
      <c r="S418" s="667"/>
      <c r="T418" s="668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4" t="s">
        <v>691</v>
      </c>
      <c r="AG418" s="78"/>
      <c r="AJ418" s="84" t="s">
        <v>46</v>
      </c>
      <c r="AK418" s="84">
        <v>0</v>
      </c>
      <c r="BB418" s="525" t="s">
        <v>66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16.5" hidden="1" customHeight="1" x14ac:dyDescent="0.25">
      <c r="A419" s="63" t="s">
        <v>692</v>
      </c>
      <c r="B419" s="63" t="s">
        <v>693</v>
      </c>
      <c r="C419" s="36">
        <v>4301052236</v>
      </c>
      <c r="D419" s="665">
        <v>4680115889422</v>
      </c>
      <c r="E419" s="665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126</v>
      </c>
      <c r="L419" s="37" t="s">
        <v>46</v>
      </c>
      <c r="M419" s="38" t="s">
        <v>89</v>
      </c>
      <c r="N419" s="38"/>
      <c r="O419" s="37">
        <v>40</v>
      </c>
      <c r="P419" s="739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9" s="667"/>
      <c r="R419" s="667"/>
      <c r="S419" s="667"/>
      <c r="T419" s="668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694</v>
      </c>
      <c r="AG419" s="78"/>
      <c r="AJ419" s="84" t="s">
        <v>46</v>
      </c>
      <c r="AK419" s="84">
        <v>0</v>
      </c>
      <c r="BB419" s="527" t="s">
        <v>66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61"/>
      <c r="B420" s="661"/>
      <c r="C420" s="661"/>
      <c r="D420" s="661"/>
      <c r="E420" s="661"/>
      <c r="F420" s="661"/>
      <c r="G420" s="661"/>
      <c r="H420" s="661"/>
      <c r="I420" s="661"/>
      <c r="J420" s="661"/>
      <c r="K420" s="661"/>
      <c r="L420" s="661"/>
      <c r="M420" s="661"/>
      <c r="N420" s="661"/>
      <c r="O420" s="662"/>
      <c r="P420" s="658" t="s">
        <v>40</v>
      </c>
      <c r="Q420" s="659"/>
      <c r="R420" s="659"/>
      <c r="S420" s="659"/>
      <c r="T420" s="659"/>
      <c r="U420" s="659"/>
      <c r="V420" s="660"/>
      <c r="W420" s="42" t="s">
        <v>39</v>
      </c>
      <c r="X420" s="43">
        <f>IFERROR(X418/H418,"0")+IFERROR(X419/H419,"0")</f>
        <v>0</v>
      </c>
      <c r="Y420" s="43">
        <f>IFERROR(Y418/H418,"0")+IFERROR(Y419/H419,"0")</f>
        <v>0</v>
      </c>
      <c r="Z420" s="43">
        <f>IFERROR(IF(Z418="",0,Z418),"0")+IFERROR(IF(Z419="",0,Z419),"0")</f>
        <v>0</v>
      </c>
      <c r="AA420" s="67"/>
      <c r="AB420" s="67"/>
      <c r="AC420" s="67"/>
    </row>
    <row r="421" spans="1:68" hidden="1" x14ac:dyDescent="0.2">
      <c r="A421" s="661"/>
      <c r="B421" s="661"/>
      <c r="C421" s="661"/>
      <c r="D421" s="661"/>
      <c r="E421" s="661"/>
      <c r="F421" s="661"/>
      <c r="G421" s="661"/>
      <c r="H421" s="661"/>
      <c r="I421" s="661"/>
      <c r="J421" s="661"/>
      <c r="K421" s="661"/>
      <c r="L421" s="661"/>
      <c r="M421" s="661"/>
      <c r="N421" s="661"/>
      <c r="O421" s="662"/>
      <c r="P421" s="658" t="s">
        <v>40</v>
      </c>
      <c r="Q421" s="659"/>
      <c r="R421" s="659"/>
      <c r="S421" s="659"/>
      <c r="T421" s="659"/>
      <c r="U421" s="659"/>
      <c r="V421" s="660"/>
      <c r="W421" s="42" t="s">
        <v>0</v>
      </c>
      <c r="X421" s="43">
        <f>IFERROR(SUM(X418:X419),"0")</f>
        <v>0</v>
      </c>
      <c r="Y421" s="43">
        <f>IFERROR(SUM(Y418:Y419),"0")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3" t="s">
        <v>695</v>
      </c>
      <c r="B422" s="663"/>
      <c r="C422" s="663"/>
      <c r="D422" s="663"/>
      <c r="E422" s="663"/>
      <c r="F422" s="663"/>
      <c r="G422" s="663"/>
      <c r="H422" s="663"/>
      <c r="I422" s="663"/>
      <c r="J422" s="663"/>
      <c r="K422" s="663"/>
      <c r="L422" s="663"/>
      <c r="M422" s="663"/>
      <c r="N422" s="663"/>
      <c r="O422" s="663"/>
      <c r="P422" s="663"/>
      <c r="Q422" s="663"/>
      <c r="R422" s="663"/>
      <c r="S422" s="663"/>
      <c r="T422" s="663"/>
      <c r="U422" s="663"/>
      <c r="V422" s="663"/>
      <c r="W422" s="663"/>
      <c r="X422" s="663"/>
      <c r="Y422" s="663"/>
      <c r="Z422" s="663"/>
      <c r="AA422" s="65"/>
      <c r="AB422" s="65"/>
      <c r="AC422" s="79"/>
    </row>
    <row r="423" spans="1:68" ht="14.25" hidden="1" customHeight="1" x14ac:dyDescent="0.25">
      <c r="A423" s="664" t="s">
        <v>85</v>
      </c>
      <c r="B423" s="664"/>
      <c r="C423" s="664"/>
      <c r="D423" s="664"/>
      <c r="E423" s="664"/>
      <c r="F423" s="664"/>
      <c r="G423" s="664"/>
      <c r="H423" s="664"/>
      <c r="I423" s="664"/>
      <c r="J423" s="664"/>
      <c r="K423" s="664"/>
      <c r="L423" s="664"/>
      <c r="M423" s="664"/>
      <c r="N423" s="664"/>
      <c r="O423" s="664"/>
      <c r="P423" s="664"/>
      <c r="Q423" s="664"/>
      <c r="R423" s="664"/>
      <c r="S423" s="664"/>
      <c r="T423" s="664"/>
      <c r="U423" s="664"/>
      <c r="V423" s="664"/>
      <c r="W423" s="664"/>
      <c r="X423" s="664"/>
      <c r="Y423" s="664"/>
      <c r="Z423" s="664"/>
      <c r="AA423" s="66"/>
      <c r="AB423" s="66"/>
      <c r="AC423" s="80"/>
    </row>
    <row r="424" spans="1:68" ht="27" hidden="1" customHeight="1" x14ac:dyDescent="0.25">
      <c r="A424" s="63" t="s">
        <v>696</v>
      </c>
      <c r="B424" s="63" t="s">
        <v>697</v>
      </c>
      <c r="C424" s="36">
        <v>4301051489</v>
      </c>
      <c r="D424" s="665">
        <v>4607091387919</v>
      </c>
      <c r="E424" s="665"/>
      <c r="F424" s="62">
        <v>1.35</v>
      </c>
      <c r="G424" s="37">
        <v>6</v>
      </c>
      <c r="H424" s="62">
        <v>8.1</v>
      </c>
      <c r="I424" s="62">
        <v>8.5939999999999994</v>
      </c>
      <c r="J424" s="37">
        <v>64</v>
      </c>
      <c r="K424" s="37" t="s">
        <v>126</v>
      </c>
      <c r="L424" s="37" t="s">
        <v>46</v>
      </c>
      <c r="M424" s="38" t="s">
        <v>96</v>
      </c>
      <c r="N424" s="38"/>
      <c r="O424" s="37">
        <v>45</v>
      </c>
      <c r="P424" s="73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4" s="667"/>
      <c r="R424" s="667"/>
      <c r="S424" s="667"/>
      <c r="T424" s="668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28" t="s">
        <v>698</v>
      </c>
      <c r="AG424" s="78"/>
      <c r="AJ424" s="84" t="s">
        <v>46</v>
      </c>
      <c r="AK424" s="84">
        <v>0</v>
      </c>
      <c r="BB424" s="529" t="s">
        <v>66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699</v>
      </c>
      <c r="B425" s="63" t="s">
        <v>700</v>
      </c>
      <c r="C425" s="36">
        <v>4301051461</v>
      </c>
      <c r="D425" s="665">
        <v>4680115883604</v>
      </c>
      <c r="E425" s="665"/>
      <c r="F425" s="62">
        <v>0.35</v>
      </c>
      <c r="G425" s="37">
        <v>6</v>
      </c>
      <c r="H425" s="62">
        <v>2.1</v>
      </c>
      <c r="I425" s="62">
        <v>2.3519999999999999</v>
      </c>
      <c r="J425" s="37">
        <v>182</v>
      </c>
      <c r="K425" s="37" t="s">
        <v>90</v>
      </c>
      <c r="L425" s="37" t="s">
        <v>46</v>
      </c>
      <c r="M425" s="38" t="s">
        <v>89</v>
      </c>
      <c r="N425" s="38"/>
      <c r="O425" s="37">
        <v>45</v>
      </c>
      <c r="P425" s="73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5" s="667"/>
      <c r="R425" s="667"/>
      <c r="S425" s="667"/>
      <c r="T425" s="668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IFERROR(IF(Y425=0,"",ROUNDUP(Y425/H425,0)*0.00651),"")</f>
        <v/>
      </c>
      <c r="AA425" s="68" t="s">
        <v>46</v>
      </c>
      <c r="AB425" s="69" t="s">
        <v>46</v>
      </c>
      <c r="AC425" s="530" t="s">
        <v>701</v>
      </c>
      <c r="AG425" s="78"/>
      <c r="AJ425" s="84" t="s">
        <v>46</v>
      </c>
      <c r="AK425" s="84">
        <v>0</v>
      </c>
      <c r="BB425" s="531" t="s">
        <v>66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702</v>
      </c>
      <c r="B426" s="63" t="s">
        <v>703</v>
      </c>
      <c r="C426" s="36">
        <v>4301051864</v>
      </c>
      <c r="D426" s="665">
        <v>4680115883567</v>
      </c>
      <c r="E426" s="665"/>
      <c r="F426" s="62">
        <v>0.35</v>
      </c>
      <c r="G426" s="37">
        <v>6</v>
      </c>
      <c r="H426" s="62">
        <v>2.1</v>
      </c>
      <c r="I426" s="62">
        <v>2.34</v>
      </c>
      <c r="J426" s="37">
        <v>182</v>
      </c>
      <c r="K426" s="37" t="s">
        <v>90</v>
      </c>
      <c r="L426" s="37" t="s">
        <v>46</v>
      </c>
      <c r="M426" s="38" t="s">
        <v>96</v>
      </c>
      <c r="N426" s="38"/>
      <c r="O426" s="37">
        <v>40</v>
      </c>
      <c r="P426" s="73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6" s="667"/>
      <c r="R426" s="667"/>
      <c r="S426" s="667"/>
      <c r="T426" s="668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IFERROR(IF(Y426=0,"",ROUNDUP(Y426/H426,0)*0.00651),"")</f>
        <v/>
      </c>
      <c r="AA426" s="68" t="s">
        <v>46</v>
      </c>
      <c r="AB426" s="69" t="s">
        <v>46</v>
      </c>
      <c r="AC426" s="532" t="s">
        <v>704</v>
      </c>
      <c r="AG426" s="78"/>
      <c r="AJ426" s="84" t="s">
        <v>46</v>
      </c>
      <c r="AK426" s="84">
        <v>0</v>
      </c>
      <c r="BB426" s="533" t="s">
        <v>66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61"/>
      <c r="B427" s="661"/>
      <c r="C427" s="661"/>
      <c r="D427" s="661"/>
      <c r="E427" s="661"/>
      <c r="F427" s="661"/>
      <c r="G427" s="661"/>
      <c r="H427" s="661"/>
      <c r="I427" s="661"/>
      <c r="J427" s="661"/>
      <c r="K427" s="661"/>
      <c r="L427" s="661"/>
      <c r="M427" s="661"/>
      <c r="N427" s="661"/>
      <c r="O427" s="662"/>
      <c r="P427" s="658" t="s">
        <v>40</v>
      </c>
      <c r="Q427" s="659"/>
      <c r="R427" s="659"/>
      <c r="S427" s="659"/>
      <c r="T427" s="659"/>
      <c r="U427" s="659"/>
      <c r="V427" s="660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61"/>
      <c r="B428" s="661"/>
      <c r="C428" s="661"/>
      <c r="D428" s="661"/>
      <c r="E428" s="661"/>
      <c r="F428" s="661"/>
      <c r="G428" s="661"/>
      <c r="H428" s="661"/>
      <c r="I428" s="661"/>
      <c r="J428" s="661"/>
      <c r="K428" s="661"/>
      <c r="L428" s="661"/>
      <c r="M428" s="661"/>
      <c r="N428" s="661"/>
      <c r="O428" s="662"/>
      <c r="P428" s="658" t="s">
        <v>40</v>
      </c>
      <c r="Q428" s="659"/>
      <c r="R428" s="659"/>
      <c r="S428" s="659"/>
      <c r="T428" s="659"/>
      <c r="U428" s="659"/>
      <c r="V428" s="660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27.75" hidden="1" customHeight="1" x14ac:dyDescent="0.2">
      <c r="A429" s="678" t="s">
        <v>705</v>
      </c>
      <c r="B429" s="678"/>
      <c r="C429" s="678"/>
      <c r="D429" s="678"/>
      <c r="E429" s="678"/>
      <c r="F429" s="678"/>
      <c r="G429" s="678"/>
      <c r="H429" s="678"/>
      <c r="I429" s="678"/>
      <c r="J429" s="678"/>
      <c r="K429" s="678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  <c r="Y429" s="678"/>
      <c r="Z429" s="678"/>
      <c r="AA429" s="54"/>
      <c r="AB429" s="54"/>
      <c r="AC429" s="54"/>
    </row>
    <row r="430" spans="1:68" ht="16.5" hidden="1" customHeight="1" x14ac:dyDescent="0.25">
      <c r="A430" s="663" t="s">
        <v>706</v>
      </c>
      <c r="B430" s="663"/>
      <c r="C430" s="663"/>
      <c r="D430" s="663"/>
      <c r="E430" s="663"/>
      <c r="F430" s="663"/>
      <c r="G430" s="663"/>
      <c r="H430" s="663"/>
      <c r="I430" s="663"/>
      <c r="J430" s="663"/>
      <c r="K430" s="663"/>
      <c r="L430" s="663"/>
      <c r="M430" s="663"/>
      <c r="N430" s="663"/>
      <c r="O430" s="663"/>
      <c r="P430" s="663"/>
      <c r="Q430" s="663"/>
      <c r="R430" s="663"/>
      <c r="S430" s="663"/>
      <c r="T430" s="663"/>
      <c r="U430" s="663"/>
      <c r="V430" s="663"/>
      <c r="W430" s="663"/>
      <c r="X430" s="663"/>
      <c r="Y430" s="663"/>
      <c r="Z430" s="663"/>
      <c r="AA430" s="65"/>
      <c r="AB430" s="65"/>
      <c r="AC430" s="79"/>
    </row>
    <row r="431" spans="1:68" ht="14.25" hidden="1" customHeight="1" x14ac:dyDescent="0.25">
      <c r="A431" s="664" t="s">
        <v>121</v>
      </c>
      <c r="B431" s="664"/>
      <c r="C431" s="664"/>
      <c r="D431" s="664"/>
      <c r="E431" s="664"/>
      <c r="F431" s="664"/>
      <c r="G431" s="664"/>
      <c r="H431" s="664"/>
      <c r="I431" s="664"/>
      <c r="J431" s="664"/>
      <c r="K431" s="664"/>
      <c r="L431" s="664"/>
      <c r="M431" s="664"/>
      <c r="N431" s="664"/>
      <c r="O431" s="664"/>
      <c r="P431" s="664"/>
      <c r="Q431" s="664"/>
      <c r="R431" s="664"/>
      <c r="S431" s="664"/>
      <c r="T431" s="664"/>
      <c r="U431" s="664"/>
      <c r="V431" s="664"/>
      <c r="W431" s="664"/>
      <c r="X431" s="664"/>
      <c r="Y431" s="664"/>
      <c r="Z431" s="664"/>
      <c r="AA431" s="66"/>
      <c r="AB431" s="66"/>
      <c r="AC431" s="80"/>
    </row>
    <row r="432" spans="1:68" ht="27" hidden="1" customHeight="1" x14ac:dyDescent="0.25">
      <c r="A432" s="63" t="s">
        <v>707</v>
      </c>
      <c r="B432" s="63" t="s">
        <v>708</v>
      </c>
      <c r="C432" s="36">
        <v>4301012332</v>
      </c>
      <c r="D432" s="665">
        <v>4680115888401</v>
      </c>
      <c r="E432" s="665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126</v>
      </c>
      <c r="L432" s="37" t="s">
        <v>46</v>
      </c>
      <c r="M432" s="38" t="s">
        <v>96</v>
      </c>
      <c r="N432" s="38"/>
      <c r="O432" s="37">
        <v>60</v>
      </c>
      <c r="P432" s="73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2" s="667"/>
      <c r="R432" s="667"/>
      <c r="S432" s="667"/>
      <c r="T432" s="668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ref="Y432:Y439" si="68"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34" t="s">
        <v>709</v>
      </c>
      <c r="AG432" s="78"/>
      <c r="AJ432" s="84" t="s">
        <v>46</v>
      </c>
      <c r="AK432" s="84">
        <v>0</v>
      </c>
      <c r="BB432" s="535" t="s">
        <v>66</v>
      </c>
      <c r="BM432" s="78">
        <f t="shared" ref="BM432:BM439" si="69">IFERROR(X432*I432/H432,"0")</f>
        <v>0</v>
      </c>
      <c r="BN432" s="78">
        <f t="shared" ref="BN432:BN439" si="70">IFERROR(Y432*I432/H432,"0")</f>
        <v>0</v>
      </c>
      <c r="BO432" s="78">
        <f t="shared" ref="BO432:BO439" si="71">IFERROR(1/J432*(X432/H432),"0")</f>
        <v>0</v>
      </c>
      <c r="BP432" s="78">
        <f t="shared" ref="BP432:BP439" si="72">IFERROR(1/J432*(Y432/H432),"0")</f>
        <v>0</v>
      </c>
    </row>
    <row r="433" spans="1:68" ht="37.5" customHeight="1" x14ac:dyDescent="0.25">
      <c r="A433" s="63" t="s">
        <v>710</v>
      </c>
      <c r="B433" s="63" t="s">
        <v>711</v>
      </c>
      <c r="C433" s="36">
        <v>4301011869</v>
      </c>
      <c r="D433" s="665">
        <v>4680115884847</v>
      </c>
      <c r="E433" s="665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126</v>
      </c>
      <c r="L433" s="37" t="s">
        <v>46</v>
      </c>
      <c r="M433" s="38" t="s">
        <v>80</v>
      </c>
      <c r="N433" s="38"/>
      <c r="O433" s="37">
        <v>60</v>
      </c>
      <c r="P433" s="73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3" s="667"/>
      <c r="R433" s="667"/>
      <c r="S433" s="667"/>
      <c r="T433" s="668"/>
      <c r="U433" s="39" t="s">
        <v>46</v>
      </c>
      <c r="V433" s="39" t="s">
        <v>46</v>
      </c>
      <c r="W433" s="40" t="s">
        <v>0</v>
      </c>
      <c r="X433" s="58">
        <v>400</v>
      </c>
      <c r="Y433" s="55">
        <f t="shared" si="68"/>
        <v>405</v>
      </c>
      <c r="Z433" s="41">
        <f>IFERROR(IF(Y433=0,"",ROUNDUP(Y433/H433,0)*0.02175),"")</f>
        <v>0.58724999999999994</v>
      </c>
      <c r="AA433" s="68" t="s">
        <v>46</v>
      </c>
      <c r="AB433" s="69" t="s">
        <v>46</v>
      </c>
      <c r="AC433" s="536" t="s">
        <v>712</v>
      </c>
      <c r="AG433" s="78"/>
      <c r="AJ433" s="84" t="s">
        <v>46</v>
      </c>
      <c r="AK433" s="84">
        <v>0</v>
      </c>
      <c r="BB433" s="537" t="s">
        <v>66</v>
      </c>
      <c r="BM433" s="78">
        <f t="shared" si="69"/>
        <v>412.53333333333336</v>
      </c>
      <c r="BN433" s="78">
        <f t="shared" si="70"/>
        <v>417.69</v>
      </c>
      <c r="BO433" s="78">
        <f t="shared" si="71"/>
        <v>0.55555555555555558</v>
      </c>
      <c r="BP433" s="78">
        <f t="shared" si="72"/>
        <v>0.5625</v>
      </c>
    </row>
    <row r="434" spans="1:68" ht="27" customHeight="1" x14ac:dyDescent="0.25">
      <c r="A434" s="63" t="s">
        <v>713</v>
      </c>
      <c r="B434" s="63" t="s">
        <v>714</v>
      </c>
      <c r="C434" s="36">
        <v>4301012083</v>
      </c>
      <c r="D434" s="665">
        <v>4680115884854</v>
      </c>
      <c r="E434" s="665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126</v>
      </c>
      <c r="L434" s="37" t="s">
        <v>46</v>
      </c>
      <c r="M434" s="38" t="s">
        <v>125</v>
      </c>
      <c r="N434" s="38"/>
      <c r="O434" s="37">
        <v>60</v>
      </c>
      <c r="P434" s="7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4" s="667"/>
      <c r="R434" s="667"/>
      <c r="S434" s="667"/>
      <c r="T434" s="668"/>
      <c r="U434" s="39" t="s">
        <v>46</v>
      </c>
      <c r="V434" s="39" t="s">
        <v>46</v>
      </c>
      <c r="W434" s="40" t="s">
        <v>0</v>
      </c>
      <c r="X434" s="58">
        <v>400</v>
      </c>
      <c r="Y434" s="55">
        <f t="shared" si="68"/>
        <v>405</v>
      </c>
      <c r="Z434" s="41">
        <f>IFERROR(IF(Y434=0,"",ROUNDUP(Y434/H434,0)*0.02175),"")</f>
        <v>0.58724999999999994</v>
      </c>
      <c r="AA434" s="68" t="s">
        <v>46</v>
      </c>
      <c r="AB434" s="69" t="s">
        <v>46</v>
      </c>
      <c r="AC434" s="538" t="s">
        <v>715</v>
      </c>
      <c r="AG434" s="78"/>
      <c r="AJ434" s="84" t="s">
        <v>46</v>
      </c>
      <c r="AK434" s="84">
        <v>0</v>
      </c>
      <c r="BB434" s="539" t="s">
        <v>66</v>
      </c>
      <c r="BM434" s="78">
        <f t="shared" si="69"/>
        <v>412.53333333333336</v>
      </c>
      <c r="BN434" s="78">
        <f t="shared" si="70"/>
        <v>417.69</v>
      </c>
      <c r="BO434" s="78">
        <f t="shared" si="71"/>
        <v>0.55555555555555558</v>
      </c>
      <c r="BP434" s="78">
        <f t="shared" si="72"/>
        <v>0.5625</v>
      </c>
    </row>
    <row r="435" spans="1:68" ht="27" customHeight="1" x14ac:dyDescent="0.25">
      <c r="A435" s="63" t="s">
        <v>716</v>
      </c>
      <c r="B435" s="63" t="s">
        <v>717</v>
      </c>
      <c r="C435" s="36">
        <v>4301011867</v>
      </c>
      <c r="D435" s="665">
        <v>4680115884830</v>
      </c>
      <c r="E435" s="665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126</v>
      </c>
      <c r="L435" s="37" t="s">
        <v>46</v>
      </c>
      <c r="M435" s="38" t="s">
        <v>80</v>
      </c>
      <c r="N435" s="38"/>
      <c r="O435" s="37">
        <v>60</v>
      </c>
      <c r="P435" s="7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5" s="667"/>
      <c r="R435" s="667"/>
      <c r="S435" s="667"/>
      <c r="T435" s="668"/>
      <c r="U435" s="39" t="s">
        <v>46</v>
      </c>
      <c r="V435" s="39" t="s">
        <v>46</v>
      </c>
      <c r="W435" s="40" t="s">
        <v>0</v>
      </c>
      <c r="X435" s="58">
        <v>400</v>
      </c>
      <c r="Y435" s="55">
        <f t="shared" si="68"/>
        <v>405</v>
      </c>
      <c r="Z435" s="41">
        <f>IFERROR(IF(Y435=0,"",ROUNDUP(Y435/H435,0)*0.02175),"")</f>
        <v>0.58724999999999994</v>
      </c>
      <c r="AA435" s="68" t="s">
        <v>46</v>
      </c>
      <c r="AB435" s="69" t="s">
        <v>46</v>
      </c>
      <c r="AC435" s="540" t="s">
        <v>718</v>
      </c>
      <c r="AG435" s="78"/>
      <c r="AJ435" s="84" t="s">
        <v>46</v>
      </c>
      <c r="AK435" s="84">
        <v>0</v>
      </c>
      <c r="BB435" s="541" t="s">
        <v>66</v>
      </c>
      <c r="BM435" s="78">
        <f t="shared" si="69"/>
        <v>412.53333333333336</v>
      </c>
      <c r="BN435" s="78">
        <f t="shared" si="70"/>
        <v>417.69</v>
      </c>
      <c r="BO435" s="78">
        <f t="shared" si="71"/>
        <v>0.55555555555555558</v>
      </c>
      <c r="BP435" s="78">
        <f t="shared" si="72"/>
        <v>0.5625</v>
      </c>
    </row>
    <row r="436" spans="1:68" ht="27" customHeight="1" x14ac:dyDescent="0.25">
      <c r="A436" s="63" t="s">
        <v>719</v>
      </c>
      <c r="B436" s="63" t="s">
        <v>720</v>
      </c>
      <c r="C436" s="36">
        <v>4301012356</v>
      </c>
      <c r="D436" s="665">
        <v>4680115889231</v>
      </c>
      <c r="E436" s="665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126</v>
      </c>
      <c r="L436" s="37" t="s">
        <v>46</v>
      </c>
      <c r="M436" s="38" t="s">
        <v>96</v>
      </c>
      <c r="N436" s="38"/>
      <c r="O436" s="37">
        <v>60</v>
      </c>
      <c r="P436" s="72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6" s="667"/>
      <c r="R436" s="667"/>
      <c r="S436" s="667"/>
      <c r="T436" s="668"/>
      <c r="U436" s="39" t="s">
        <v>46</v>
      </c>
      <c r="V436" s="39" t="s">
        <v>46</v>
      </c>
      <c r="W436" s="40" t="s">
        <v>0</v>
      </c>
      <c r="X436" s="58">
        <v>100</v>
      </c>
      <c r="Y436" s="55">
        <f t="shared" si="68"/>
        <v>105</v>
      </c>
      <c r="Z436" s="41">
        <f>IFERROR(IF(Y436=0,"",ROUNDUP(Y436/H436,0)*0.02175),"")</f>
        <v>0.15225</v>
      </c>
      <c r="AA436" s="68" t="s">
        <v>46</v>
      </c>
      <c r="AB436" s="69" t="s">
        <v>46</v>
      </c>
      <c r="AC436" s="542" t="s">
        <v>721</v>
      </c>
      <c r="AG436" s="78"/>
      <c r="AJ436" s="84" t="s">
        <v>46</v>
      </c>
      <c r="AK436" s="84">
        <v>0</v>
      </c>
      <c r="BB436" s="543" t="s">
        <v>66</v>
      </c>
      <c r="BM436" s="78">
        <f t="shared" si="69"/>
        <v>103.13333333333334</v>
      </c>
      <c r="BN436" s="78">
        <f t="shared" si="70"/>
        <v>108.29</v>
      </c>
      <c r="BO436" s="78">
        <f t="shared" si="71"/>
        <v>0.1388888888888889</v>
      </c>
      <c r="BP436" s="78">
        <f t="shared" si="72"/>
        <v>0.14583333333333331</v>
      </c>
    </row>
    <row r="437" spans="1:68" ht="27" hidden="1" customHeight="1" x14ac:dyDescent="0.25">
      <c r="A437" s="63" t="s">
        <v>722</v>
      </c>
      <c r="B437" s="63" t="s">
        <v>723</v>
      </c>
      <c r="C437" s="36">
        <v>4301011433</v>
      </c>
      <c r="D437" s="665">
        <v>4680115882638</v>
      </c>
      <c r="E437" s="665"/>
      <c r="F437" s="62">
        <v>0.4</v>
      </c>
      <c r="G437" s="37">
        <v>10</v>
      </c>
      <c r="H437" s="62">
        <v>4</v>
      </c>
      <c r="I437" s="62">
        <v>4.1900000000000004</v>
      </c>
      <c r="J437" s="37">
        <v>132</v>
      </c>
      <c r="K437" s="37" t="s">
        <v>133</v>
      </c>
      <c r="L437" s="37" t="s">
        <v>46</v>
      </c>
      <c r="M437" s="38" t="s">
        <v>125</v>
      </c>
      <c r="N437" s="38"/>
      <c r="O437" s="37">
        <v>90</v>
      </c>
      <c r="P437" s="72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7" s="667"/>
      <c r="R437" s="667"/>
      <c r="S437" s="667"/>
      <c r="T437" s="668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68"/>
        <v>0</v>
      </c>
      <c r="Z437" s="41" t="str">
        <f>IFERROR(IF(Y437=0,"",ROUNDUP(Y437/H437,0)*0.00902),"")</f>
        <v/>
      </c>
      <c r="AA437" s="68" t="s">
        <v>46</v>
      </c>
      <c r="AB437" s="69" t="s">
        <v>46</v>
      </c>
      <c r="AC437" s="544" t="s">
        <v>724</v>
      </c>
      <c r="AG437" s="78"/>
      <c r="AJ437" s="84" t="s">
        <v>46</v>
      </c>
      <c r="AK437" s="84">
        <v>0</v>
      </c>
      <c r="BB437" s="545" t="s">
        <v>66</v>
      </c>
      <c r="BM437" s="78">
        <f t="shared" si="69"/>
        <v>0</v>
      </c>
      <c r="BN437" s="78">
        <f t="shared" si="70"/>
        <v>0</v>
      </c>
      <c r="BO437" s="78">
        <f t="shared" si="71"/>
        <v>0</v>
      </c>
      <c r="BP437" s="78">
        <f t="shared" si="72"/>
        <v>0</v>
      </c>
    </row>
    <row r="438" spans="1:68" ht="27" hidden="1" customHeight="1" x14ac:dyDescent="0.25">
      <c r="A438" s="63" t="s">
        <v>725</v>
      </c>
      <c r="B438" s="63" t="s">
        <v>726</v>
      </c>
      <c r="C438" s="36">
        <v>4301011952</v>
      </c>
      <c r="D438" s="665">
        <v>4680115884922</v>
      </c>
      <c r="E438" s="665"/>
      <c r="F438" s="62">
        <v>0.5</v>
      </c>
      <c r="G438" s="37">
        <v>10</v>
      </c>
      <c r="H438" s="62">
        <v>5</v>
      </c>
      <c r="I438" s="62">
        <v>5.19</v>
      </c>
      <c r="J438" s="37">
        <v>132</v>
      </c>
      <c r="K438" s="37" t="s">
        <v>133</v>
      </c>
      <c r="L438" s="37" t="s">
        <v>46</v>
      </c>
      <c r="M438" s="38" t="s">
        <v>80</v>
      </c>
      <c r="N438" s="38"/>
      <c r="O438" s="37">
        <v>60</v>
      </c>
      <c r="P438" s="72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8" s="667"/>
      <c r="R438" s="667"/>
      <c r="S438" s="667"/>
      <c r="T438" s="668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68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727</v>
      </c>
      <c r="AG438" s="78"/>
      <c r="AJ438" s="84" t="s">
        <v>46</v>
      </c>
      <c r="AK438" s="84">
        <v>0</v>
      </c>
      <c r="BB438" s="547" t="s">
        <v>66</v>
      </c>
      <c r="BM438" s="78">
        <f t="shared" si="69"/>
        <v>0</v>
      </c>
      <c r="BN438" s="78">
        <f t="shared" si="70"/>
        <v>0</v>
      </c>
      <c r="BO438" s="78">
        <f t="shared" si="71"/>
        <v>0</v>
      </c>
      <c r="BP438" s="78">
        <f t="shared" si="72"/>
        <v>0</v>
      </c>
    </row>
    <row r="439" spans="1:68" ht="37.5" hidden="1" customHeight="1" x14ac:dyDescent="0.25">
      <c r="A439" s="63" t="s">
        <v>728</v>
      </c>
      <c r="B439" s="63" t="s">
        <v>729</v>
      </c>
      <c r="C439" s="36">
        <v>4301011868</v>
      </c>
      <c r="D439" s="665">
        <v>4680115884861</v>
      </c>
      <c r="E439" s="665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133</v>
      </c>
      <c r="L439" s="37" t="s">
        <v>46</v>
      </c>
      <c r="M439" s="38" t="s">
        <v>80</v>
      </c>
      <c r="N439" s="38"/>
      <c r="O439" s="37">
        <v>60</v>
      </c>
      <c r="P439" s="72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9" s="667"/>
      <c r="R439" s="667"/>
      <c r="S439" s="667"/>
      <c r="T439" s="668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68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730</v>
      </c>
      <c r="AG439" s="78"/>
      <c r="AJ439" s="84" t="s">
        <v>46</v>
      </c>
      <c r="AK439" s="84">
        <v>0</v>
      </c>
      <c r="BB439" s="549" t="s">
        <v>66</v>
      </c>
      <c r="BM439" s="78">
        <f t="shared" si="69"/>
        <v>0</v>
      </c>
      <c r="BN439" s="78">
        <f t="shared" si="70"/>
        <v>0</v>
      </c>
      <c r="BO439" s="78">
        <f t="shared" si="71"/>
        <v>0</v>
      </c>
      <c r="BP439" s="78">
        <f t="shared" si="72"/>
        <v>0</v>
      </c>
    </row>
    <row r="440" spans="1:68" x14ac:dyDescent="0.2">
      <c r="A440" s="661"/>
      <c r="B440" s="661"/>
      <c r="C440" s="661"/>
      <c r="D440" s="661"/>
      <c r="E440" s="661"/>
      <c r="F440" s="661"/>
      <c r="G440" s="661"/>
      <c r="H440" s="661"/>
      <c r="I440" s="661"/>
      <c r="J440" s="661"/>
      <c r="K440" s="661"/>
      <c r="L440" s="661"/>
      <c r="M440" s="661"/>
      <c r="N440" s="661"/>
      <c r="O440" s="662"/>
      <c r="P440" s="658" t="s">
        <v>40</v>
      </c>
      <c r="Q440" s="659"/>
      <c r="R440" s="659"/>
      <c r="S440" s="659"/>
      <c r="T440" s="659"/>
      <c r="U440" s="659"/>
      <c r="V440" s="660"/>
      <c r="W440" s="42" t="s">
        <v>39</v>
      </c>
      <c r="X440" s="43">
        <f>IFERROR(X432/H432,"0")+IFERROR(X433/H433,"0")+IFERROR(X434/H434,"0")+IFERROR(X435/H435,"0")+IFERROR(X436/H436,"0")+IFERROR(X437/H437,"0")+IFERROR(X438/H438,"0")+IFERROR(X439/H439,"0")</f>
        <v>86.666666666666671</v>
      </c>
      <c r="Y440" s="43">
        <f>IFERROR(Y432/H432,"0")+IFERROR(Y433/H433,"0")+IFERROR(Y434/H434,"0")+IFERROR(Y435/H435,"0")+IFERROR(Y436/H436,"0")+IFERROR(Y437/H437,"0")+IFERROR(Y438/H438,"0")+IFERROR(Y439/H439,"0")</f>
        <v>88</v>
      </c>
      <c r="Z440" s="43">
        <f>IFERROR(IF(Z432="",0,Z432),"0")+IFERROR(IF(Z433="",0,Z433),"0")+IFERROR(IF(Z434="",0,Z434),"0")+IFERROR(IF(Z435="",0,Z435),"0")+IFERROR(IF(Z436="",0,Z436),"0")+IFERROR(IF(Z437="",0,Z437),"0")+IFERROR(IF(Z438="",0,Z438),"0")+IFERROR(IF(Z439="",0,Z439),"0")</f>
        <v>1.9139999999999997</v>
      </c>
      <c r="AA440" s="67"/>
      <c r="AB440" s="67"/>
      <c r="AC440" s="67"/>
    </row>
    <row r="441" spans="1:68" x14ac:dyDescent="0.2">
      <c r="A441" s="661"/>
      <c r="B441" s="661"/>
      <c r="C441" s="661"/>
      <c r="D441" s="661"/>
      <c r="E441" s="661"/>
      <c r="F441" s="661"/>
      <c r="G441" s="661"/>
      <c r="H441" s="661"/>
      <c r="I441" s="661"/>
      <c r="J441" s="661"/>
      <c r="K441" s="661"/>
      <c r="L441" s="661"/>
      <c r="M441" s="661"/>
      <c r="N441" s="661"/>
      <c r="O441" s="662"/>
      <c r="P441" s="658" t="s">
        <v>40</v>
      </c>
      <c r="Q441" s="659"/>
      <c r="R441" s="659"/>
      <c r="S441" s="659"/>
      <c r="T441" s="659"/>
      <c r="U441" s="659"/>
      <c r="V441" s="660"/>
      <c r="W441" s="42" t="s">
        <v>0</v>
      </c>
      <c r="X441" s="43">
        <f>IFERROR(SUM(X432:X439),"0")</f>
        <v>1300</v>
      </c>
      <c r="Y441" s="43">
        <f>IFERROR(SUM(Y432:Y439),"0")</f>
        <v>1320</v>
      </c>
      <c r="Z441" s="42"/>
      <c r="AA441" s="67"/>
      <c r="AB441" s="67"/>
      <c r="AC441" s="67"/>
    </row>
    <row r="442" spans="1:68" ht="14.25" hidden="1" customHeight="1" x14ac:dyDescent="0.25">
      <c r="A442" s="664" t="s">
        <v>154</v>
      </c>
      <c r="B442" s="664"/>
      <c r="C442" s="664"/>
      <c r="D442" s="664"/>
      <c r="E442" s="664"/>
      <c r="F442" s="664"/>
      <c r="G442" s="664"/>
      <c r="H442" s="664"/>
      <c r="I442" s="664"/>
      <c r="J442" s="664"/>
      <c r="K442" s="664"/>
      <c r="L442" s="664"/>
      <c r="M442" s="664"/>
      <c r="N442" s="664"/>
      <c r="O442" s="664"/>
      <c r="P442" s="664"/>
      <c r="Q442" s="664"/>
      <c r="R442" s="664"/>
      <c r="S442" s="664"/>
      <c r="T442" s="664"/>
      <c r="U442" s="664"/>
      <c r="V442" s="664"/>
      <c r="W442" s="664"/>
      <c r="X442" s="664"/>
      <c r="Y442" s="664"/>
      <c r="Z442" s="664"/>
      <c r="AA442" s="66"/>
      <c r="AB442" s="66"/>
      <c r="AC442" s="80"/>
    </row>
    <row r="443" spans="1:68" ht="27" customHeight="1" x14ac:dyDescent="0.25">
      <c r="A443" s="63" t="s">
        <v>731</v>
      </c>
      <c r="B443" s="63" t="s">
        <v>732</v>
      </c>
      <c r="C443" s="36">
        <v>4301020178</v>
      </c>
      <c r="D443" s="665">
        <v>4607091383980</v>
      </c>
      <c r="E443" s="665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126</v>
      </c>
      <c r="L443" s="37" t="s">
        <v>46</v>
      </c>
      <c r="M443" s="38" t="s">
        <v>125</v>
      </c>
      <c r="N443" s="38"/>
      <c r="O443" s="37">
        <v>50</v>
      </c>
      <c r="P443" s="73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3" s="667"/>
      <c r="R443" s="667"/>
      <c r="S443" s="667"/>
      <c r="T443" s="668"/>
      <c r="U443" s="39" t="s">
        <v>46</v>
      </c>
      <c r="V443" s="39" t="s">
        <v>46</v>
      </c>
      <c r="W443" s="40" t="s">
        <v>0</v>
      </c>
      <c r="X443" s="58">
        <v>400</v>
      </c>
      <c r="Y443" s="55">
        <f>IFERROR(IF(X443="",0,CEILING((X443/$H443),1)*$H443),"")</f>
        <v>405</v>
      </c>
      <c r="Z443" s="41">
        <f>IFERROR(IF(Y443=0,"",ROUNDUP(Y443/H443,0)*0.02175),"")</f>
        <v>0.58724999999999994</v>
      </c>
      <c r="AA443" s="68" t="s">
        <v>46</v>
      </c>
      <c r="AB443" s="69" t="s">
        <v>46</v>
      </c>
      <c r="AC443" s="550" t="s">
        <v>733</v>
      </c>
      <c r="AG443" s="78"/>
      <c r="AJ443" s="84" t="s">
        <v>46</v>
      </c>
      <c r="AK443" s="84">
        <v>0</v>
      </c>
      <c r="BB443" s="551" t="s">
        <v>66</v>
      </c>
      <c r="BM443" s="78">
        <f>IFERROR(X443*I443/H443,"0")</f>
        <v>412.53333333333336</v>
      </c>
      <c r="BN443" s="78">
        <f>IFERROR(Y443*I443/H443,"0")</f>
        <v>417.69</v>
      </c>
      <c r="BO443" s="78">
        <f>IFERROR(1/J443*(X443/H443),"0")</f>
        <v>0.55555555555555558</v>
      </c>
      <c r="BP443" s="78">
        <f>IFERROR(1/J443*(Y443/H443),"0")</f>
        <v>0.5625</v>
      </c>
    </row>
    <row r="444" spans="1:68" ht="27" hidden="1" customHeight="1" x14ac:dyDescent="0.25">
      <c r="A444" s="63" t="s">
        <v>734</v>
      </c>
      <c r="B444" s="63" t="s">
        <v>735</v>
      </c>
      <c r="C444" s="36">
        <v>4301020355</v>
      </c>
      <c r="D444" s="665">
        <v>4680115888425</v>
      </c>
      <c r="E444" s="665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126</v>
      </c>
      <c r="L444" s="37" t="s">
        <v>46</v>
      </c>
      <c r="M444" s="38" t="s">
        <v>125</v>
      </c>
      <c r="N444" s="38"/>
      <c r="O444" s="37">
        <v>50</v>
      </c>
      <c r="P444" s="71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4" s="667"/>
      <c r="R444" s="667"/>
      <c r="S444" s="667"/>
      <c r="T444" s="668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IFERROR(IF(Y444=0,"",ROUNDUP(Y444/H444,0)*0.02175),"")</f>
        <v/>
      </c>
      <c r="AA444" s="68" t="s">
        <v>46</v>
      </c>
      <c r="AB444" s="69" t="s">
        <v>46</v>
      </c>
      <c r="AC444" s="552" t="s">
        <v>736</v>
      </c>
      <c r="AG444" s="78"/>
      <c r="AJ444" s="84" t="s">
        <v>46</v>
      </c>
      <c r="AK444" s="84">
        <v>0</v>
      </c>
      <c r="BB444" s="553" t="s">
        <v>66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737</v>
      </c>
      <c r="B445" s="63" t="s">
        <v>738</v>
      </c>
      <c r="C445" s="36">
        <v>4301020179</v>
      </c>
      <c r="D445" s="665">
        <v>4607091384178</v>
      </c>
      <c r="E445" s="665"/>
      <c r="F445" s="62">
        <v>0.4</v>
      </c>
      <c r="G445" s="37">
        <v>10</v>
      </c>
      <c r="H445" s="62">
        <v>4</v>
      </c>
      <c r="I445" s="62">
        <v>4.1900000000000004</v>
      </c>
      <c r="J445" s="37">
        <v>132</v>
      </c>
      <c r="K445" s="37" t="s">
        <v>133</v>
      </c>
      <c r="L445" s="37" t="s">
        <v>46</v>
      </c>
      <c r="M445" s="38" t="s">
        <v>125</v>
      </c>
      <c r="N445" s="38"/>
      <c r="O445" s="37">
        <v>50</v>
      </c>
      <c r="P445" s="72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5" s="667"/>
      <c r="R445" s="667"/>
      <c r="S445" s="667"/>
      <c r="T445" s="668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54" t="s">
        <v>739</v>
      </c>
      <c r="AG445" s="78"/>
      <c r="AJ445" s="84" t="s">
        <v>46</v>
      </c>
      <c r="AK445" s="84">
        <v>0</v>
      </c>
      <c r="BB445" s="555" t="s">
        <v>66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x14ac:dyDescent="0.2">
      <c r="A446" s="661"/>
      <c r="B446" s="661"/>
      <c r="C446" s="661"/>
      <c r="D446" s="661"/>
      <c r="E446" s="661"/>
      <c r="F446" s="661"/>
      <c r="G446" s="661"/>
      <c r="H446" s="661"/>
      <c r="I446" s="661"/>
      <c r="J446" s="661"/>
      <c r="K446" s="661"/>
      <c r="L446" s="661"/>
      <c r="M446" s="661"/>
      <c r="N446" s="661"/>
      <c r="O446" s="662"/>
      <c r="P446" s="658" t="s">
        <v>40</v>
      </c>
      <c r="Q446" s="659"/>
      <c r="R446" s="659"/>
      <c r="S446" s="659"/>
      <c r="T446" s="659"/>
      <c r="U446" s="659"/>
      <c r="V446" s="660"/>
      <c r="W446" s="42" t="s">
        <v>39</v>
      </c>
      <c r="X446" s="43">
        <f>IFERROR(X443/H443,"0")+IFERROR(X444/H444,"0")+IFERROR(X445/H445,"0")</f>
        <v>26.666666666666668</v>
      </c>
      <c r="Y446" s="43">
        <f>IFERROR(Y443/H443,"0")+IFERROR(Y444/H444,"0")+IFERROR(Y445/H445,"0")</f>
        <v>27</v>
      </c>
      <c r="Z446" s="43">
        <f>IFERROR(IF(Z443="",0,Z443),"0")+IFERROR(IF(Z444="",0,Z444),"0")+IFERROR(IF(Z445="",0,Z445),"0")</f>
        <v>0.58724999999999994</v>
      </c>
      <c r="AA446" s="67"/>
      <c r="AB446" s="67"/>
      <c r="AC446" s="67"/>
    </row>
    <row r="447" spans="1:68" x14ac:dyDescent="0.2">
      <c r="A447" s="661"/>
      <c r="B447" s="661"/>
      <c r="C447" s="661"/>
      <c r="D447" s="661"/>
      <c r="E447" s="661"/>
      <c r="F447" s="661"/>
      <c r="G447" s="661"/>
      <c r="H447" s="661"/>
      <c r="I447" s="661"/>
      <c r="J447" s="661"/>
      <c r="K447" s="661"/>
      <c r="L447" s="661"/>
      <c r="M447" s="661"/>
      <c r="N447" s="661"/>
      <c r="O447" s="662"/>
      <c r="P447" s="658" t="s">
        <v>40</v>
      </c>
      <c r="Q447" s="659"/>
      <c r="R447" s="659"/>
      <c r="S447" s="659"/>
      <c r="T447" s="659"/>
      <c r="U447" s="659"/>
      <c r="V447" s="660"/>
      <c r="W447" s="42" t="s">
        <v>0</v>
      </c>
      <c r="X447" s="43">
        <f>IFERROR(SUM(X443:X445),"0")</f>
        <v>400</v>
      </c>
      <c r="Y447" s="43">
        <f>IFERROR(SUM(Y443:Y445),"0")</f>
        <v>405</v>
      </c>
      <c r="Z447" s="42"/>
      <c r="AA447" s="67"/>
      <c r="AB447" s="67"/>
      <c r="AC447" s="67"/>
    </row>
    <row r="448" spans="1:68" ht="14.25" hidden="1" customHeight="1" x14ac:dyDescent="0.25">
      <c r="A448" s="664" t="s">
        <v>85</v>
      </c>
      <c r="B448" s="664"/>
      <c r="C448" s="664"/>
      <c r="D448" s="664"/>
      <c r="E448" s="664"/>
      <c r="F448" s="664"/>
      <c r="G448" s="664"/>
      <c r="H448" s="664"/>
      <c r="I448" s="664"/>
      <c r="J448" s="664"/>
      <c r="K448" s="664"/>
      <c r="L448" s="664"/>
      <c r="M448" s="664"/>
      <c r="N448" s="664"/>
      <c r="O448" s="664"/>
      <c r="P448" s="664"/>
      <c r="Q448" s="664"/>
      <c r="R448" s="664"/>
      <c r="S448" s="664"/>
      <c r="T448" s="664"/>
      <c r="U448" s="664"/>
      <c r="V448" s="664"/>
      <c r="W448" s="664"/>
      <c r="X448" s="664"/>
      <c r="Y448" s="664"/>
      <c r="Z448" s="664"/>
      <c r="AA448" s="66"/>
      <c r="AB448" s="66"/>
      <c r="AC448" s="80"/>
    </row>
    <row r="449" spans="1:68" ht="27" hidden="1" customHeight="1" x14ac:dyDescent="0.25">
      <c r="A449" s="63" t="s">
        <v>740</v>
      </c>
      <c r="B449" s="63" t="s">
        <v>741</v>
      </c>
      <c r="C449" s="36">
        <v>4301051903</v>
      </c>
      <c r="D449" s="665">
        <v>4607091383928</v>
      </c>
      <c r="E449" s="665"/>
      <c r="F449" s="62">
        <v>1.5</v>
      </c>
      <c r="G449" s="37">
        <v>6</v>
      </c>
      <c r="H449" s="62">
        <v>9</v>
      </c>
      <c r="I449" s="62">
        <v>9.5</v>
      </c>
      <c r="J449" s="37">
        <v>64</v>
      </c>
      <c r="K449" s="37" t="s">
        <v>126</v>
      </c>
      <c r="L449" s="37" t="s">
        <v>46</v>
      </c>
      <c r="M449" s="38" t="s">
        <v>89</v>
      </c>
      <c r="N449" s="38"/>
      <c r="O449" s="37">
        <v>40</v>
      </c>
      <c r="P449" s="7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9" s="667"/>
      <c r="R449" s="667"/>
      <c r="S449" s="667"/>
      <c r="T449" s="668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6" t="s">
        <v>742</v>
      </c>
      <c r="AG449" s="78"/>
      <c r="AJ449" s="84" t="s">
        <v>46</v>
      </c>
      <c r="AK449" s="84">
        <v>0</v>
      </c>
      <c r="BB449" s="55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hidden="1" customHeight="1" x14ac:dyDescent="0.25">
      <c r="A450" s="63" t="s">
        <v>743</v>
      </c>
      <c r="B450" s="63" t="s">
        <v>744</v>
      </c>
      <c r="C450" s="36">
        <v>4301051897</v>
      </c>
      <c r="D450" s="665">
        <v>4607091384260</v>
      </c>
      <c r="E450" s="665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126</v>
      </c>
      <c r="L450" s="37" t="s">
        <v>46</v>
      </c>
      <c r="M450" s="38" t="s">
        <v>89</v>
      </c>
      <c r="N450" s="38"/>
      <c r="O450" s="37">
        <v>40</v>
      </c>
      <c r="P450" s="7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0" s="667"/>
      <c r="R450" s="667"/>
      <c r="S450" s="667"/>
      <c r="T450" s="668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745</v>
      </c>
      <c r="AG450" s="78"/>
      <c r="AJ450" s="84" t="s">
        <v>46</v>
      </c>
      <c r="AK450" s="84">
        <v>0</v>
      </c>
      <c r="BB450" s="55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746</v>
      </c>
      <c r="B451" s="63" t="s">
        <v>747</v>
      </c>
      <c r="C451" s="36">
        <v>4301052220</v>
      </c>
      <c r="D451" s="665">
        <v>4680115889538</v>
      </c>
      <c r="E451" s="665"/>
      <c r="F451" s="62">
        <v>0.8</v>
      </c>
      <c r="G451" s="37">
        <v>6</v>
      </c>
      <c r="H451" s="62">
        <v>4.8</v>
      </c>
      <c r="I451" s="62">
        <v>5.2160000000000002</v>
      </c>
      <c r="J451" s="37">
        <v>104</v>
      </c>
      <c r="K451" s="37" t="s">
        <v>126</v>
      </c>
      <c r="L451" s="37" t="s">
        <v>46</v>
      </c>
      <c r="M451" s="38" t="s">
        <v>89</v>
      </c>
      <c r="N451" s="38"/>
      <c r="O451" s="37">
        <v>45</v>
      </c>
      <c r="P451" s="72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1" s="667"/>
      <c r="R451" s="667"/>
      <c r="S451" s="667"/>
      <c r="T451" s="668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IFERROR(IF(Y451=0,"",ROUNDUP(Y451/H451,0)*0.01196),"")</f>
        <v/>
      </c>
      <c r="AA451" s="68" t="s">
        <v>46</v>
      </c>
      <c r="AB451" s="69" t="s">
        <v>46</v>
      </c>
      <c r="AC451" s="560" t="s">
        <v>748</v>
      </c>
      <c r="AG451" s="78"/>
      <c r="AJ451" s="84" t="s">
        <v>46</v>
      </c>
      <c r="AK451" s="84">
        <v>0</v>
      </c>
      <c r="BB451" s="56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idden="1" x14ac:dyDescent="0.2">
      <c r="A452" s="661"/>
      <c r="B452" s="661"/>
      <c r="C452" s="661"/>
      <c r="D452" s="661"/>
      <c r="E452" s="661"/>
      <c r="F452" s="661"/>
      <c r="G452" s="661"/>
      <c r="H452" s="661"/>
      <c r="I452" s="661"/>
      <c r="J452" s="661"/>
      <c r="K452" s="661"/>
      <c r="L452" s="661"/>
      <c r="M452" s="661"/>
      <c r="N452" s="661"/>
      <c r="O452" s="662"/>
      <c r="P452" s="658" t="s">
        <v>40</v>
      </c>
      <c r="Q452" s="659"/>
      <c r="R452" s="659"/>
      <c r="S452" s="659"/>
      <c r="T452" s="659"/>
      <c r="U452" s="659"/>
      <c r="V452" s="660"/>
      <c r="W452" s="42" t="s">
        <v>39</v>
      </c>
      <c r="X452" s="43">
        <f>IFERROR(X449/H449,"0")+IFERROR(X450/H450,"0")+IFERROR(X451/H451,"0")</f>
        <v>0</v>
      </c>
      <c r="Y452" s="43">
        <f>IFERROR(Y449/H449,"0")+IFERROR(Y450/H450,"0")+IFERROR(Y451/H451,"0")</f>
        <v>0</v>
      </c>
      <c r="Z452" s="43">
        <f>IFERROR(IF(Z449="",0,Z449),"0")+IFERROR(IF(Z450="",0,Z450),"0")+IFERROR(IF(Z451="",0,Z451),"0")</f>
        <v>0</v>
      </c>
      <c r="AA452" s="67"/>
      <c r="AB452" s="67"/>
      <c r="AC452" s="67"/>
    </row>
    <row r="453" spans="1:68" hidden="1" x14ac:dyDescent="0.2">
      <c r="A453" s="661"/>
      <c r="B453" s="661"/>
      <c r="C453" s="661"/>
      <c r="D453" s="661"/>
      <c r="E453" s="661"/>
      <c r="F453" s="661"/>
      <c r="G453" s="661"/>
      <c r="H453" s="661"/>
      <c r="I453" s="661"/>
      <c r="J453" s="661"/>
      <c r="K453" s="661"/>
      <c r="L453" s="661"/>
      <c r="M453" s="661"/>
      <c r="N453" s="661"/>
      <c r="O453" s="662"/>
      <c r="P453" s="658" t="s">
        <v>40</v>
      </c>
      <c r="Q453" s="659"/>
      <c r="R453" s="659"/>
      <c r="S453" s="659"/>
      <c r="T453" s="659"/>
      <c r="U453" s="659"/>
      <c r="V453" s="660"/>
      <c r="W453" s="42" t="s">
        <v>0</v>
      </c>
      <c r="X453" s="43">
        <f>IFERROR(SUM(X449:X451),"0")</f>
        <v>0</v>
      </c>
      <c r="Y453" s="43">
        <f>IFERROR(SUM(Y449:Y451),"0")</f>
        <v>0</v>
      </c>
      <c r="Z453" s="42"/>
      <c r="AA453" s="67"/>
      <c r="AB453" s="67"/>
      <c r="AC453" s="67"/>
    </row>
    <row r="454" spans="1:68" ht="14.25" hidden="1" customHeight="1" x14ac:dyDescent="0.25">
      <c r="A454" s="664" t="s">
        <v>172</v>
      </c>
      <c r="B454" s="664"/>
      <c r="C454" s="664"/>
      <c r="D454" s="664"/>
      <c r="E454" s="664"/>
      <c r="F454" s="664"/>
      <c r="G454" s="664"/>
      <c r="H454" s="664"/>
      <c r="I454" s="664"/>
      <c r="J454" s="664"/>
      <c r="K454" s="664"/>
      <c r="L454" s="664"/>
      <c r="M454" s="664"/>
      <c r="N454" s="664"/>
      <c r="O454" s="664"/>
      <c r="P454" s="664"/>
      <c r="Q454" s="664"/>
      <c r="R454" s="664"/>
      <c r="S454" s="664"/>
      <c r="T454" s="664"/>
      <c r="U454" s="664"/>
      <c r="V454" s="664"/>
      <c r="W454" s="664"/>
      <c r="X454" s="664"/>
      <c r="Y454" s="664"/>
      <c r="Z454" s="664"/>
      <c r="AA454" s="66"/>
      <c r="AB454" s="66"/>
      <c r="AC454" s="80"/>
    </row>
    <row r="455" spans="1:68" ht="27" hidden="1" customHeight="1" x14ac:dyDescent="0.25">
      <c r="A455" s="63" t="s">
        <v>749</v>
      </c>
      <c r="B455" s="63" t="s">
        <v>750</v>
      </c>
      <c r="C455" s="36">
        <v>4301060537</v>
      </c>
      <c r="D455" s="665">
        <v>4680115889545</v>
      </c>
      <c r="E455" s="665"/>
      <c r="F455" s="62">
        <v>0.7</v>
      </c>
      <c r="G455" s="37">
        <v>6</v>
      </c>
      <c r="H455" s="62">
        <v>4.2</v>
      </c>
      <c r="I455" s="62">
        <v>4.6159999999999997</v>
      </c>
      <c r="J455" s="37">
        <v>104</v>
      </c>
      <c r="K455" s="37" t="s">
        <v>126</v>
      </c>
      <c r="L455" s="37" t="s">
        <v>46</v>
      </c>
      <c r="M455" s="38" t="s">
        <v>89</v>
      </c>
      <c r="N455" s="38"/>
      <c r="O455" s="37">
        <v>30</v>
      </c>
      <c r="P455" s="7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5" s="667"/>
      <c r="R455" s="667"/>
      <c r="S455" s="667"/>
      <c r="T455" s="668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2" t="s">
        <v>751</v>
      </c>
      <c r="AG455" s="78"/>
      <c r="AJ455" s="84" t="s">
        <v>46</v>
      </c>
      <c r="AK455" s="84">
        <v>0</v>
      </c>
      <c r="BB455" s="56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16.5" hidden="1" customHeight="1" x14ac:dyDescent="0.25">
      <c r="A456" s="63" t="s">
        <v>752</v>
      </c>
      <c r="B456" s="63" t="s">
        <v>753</v>
      </c>
      <c r="C456" s="36">
        <v>4301060524</v>
      </c>
      <c r="D456" s="665">
        <v>4607091384673</v>
      </c>
      <c r="E456" s="665"/>
      <c r="F456" s="62">
        <v>1.5</v>
      </c>
      <c r="G456" s="37">
        <v>6</v>
      </c>
      <c r="H456" s="62">
        <v>9</v>
      </c>
      <c r="I456" s="62">
        <v>9.4939999999999998</v>
      </c>
      <c r="J456" s="37">
        <v>64</v>
      </c>
      <c r="K456" s="37" t="s">
        <v>126</v>
      </c>
      <c r="L456" s="37" t="s">
        <v>46</v>
      </c>
      <c r="M456" s="38" t="s">
        <v>89</v>
      </c>
      <c r="N456" s="38"/>
      <c r="O456" s="37">
        <v>40</v>
      </c>
      <c r="P456" s="7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6" s="667"/>
      <c r="R456" s="667"/>
      <c r="S456" s="667"/>
      <c r="T456" s="668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64" t="s">
        <v>754</v>
      </c>
      <c r="AG456" s="78"/>
      <c r="AJ456" s="84" t="s">
        <v>46</v>
      </c>
      <c r="AK456" s="84">
        <v>0</v>
      </c>
      <c r="BB456" s="56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661"/>
      <c r="B457" s="661"/>
      <c r="C457" s="661"/>
      <c r="D457" s="661"/>
      <c r="E457" s="661"/>
      <c r="F457" s="661"/>
      <c r="G457" s="661"/>
      <c r="H457" s="661"/>
      <c r="I457" s="661"/>
      <c r="J457" s="661"/>
      <c r="K457" s="661"/>
      <c r="L457" s="661"/>
      <c r="M457" s="661"/>
      <c r="N457" s="661"/>
      <c r="O457" s="662"/>
      <c r="P457" s="658" t="s">
        <v>40</v>
      </c>
      <c r="Q457" s="659"/>
      <c r="R457" s="659"/>
      <c r="S457" s="659"/>
      <c r="T457" s="659"/>
      <c r="U457" s="659"/>
      <c r="V457" s="660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661"/>
      <c r="B458" s="661"/>
      <c r="C458" s="661"/>
      <c r="D458" s="661"/>
      <c r="E458" s="661"/>
      <c r="F458" s="661"/>
      <c r="G458" s="661"/>
      <c r="H458" s="661"/>
      <c r="I458" s="661"/>
      <c r="J458" s="661"/>
      <c r="K458" s="661"/>
      <c r="L458" s="661"/>
      <c r="M458" s="661"/>
      <c r="N458" s="661"/>
      <c r="O458" s="662"/>
      <c r="P458" s="658" t="s">
        <v>40</v>
      </c>
      <c r="Q458" s="659"/>
      <c r="R458" s="659"/>
      <c r="S458" s="659"/>
      <c r="T458" s="659"/>
      <c r="U458" s="659"/>
      <c r="V458" s="660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6.5" hidden="1" customHeight="1" x14ac:dyDescent="0.25">
      <c r="A459" s="663" t="s">
        <v>755</v>
      </c>
      <c r="B459" s="663"/>
      <c r="C459" s="663"/>
      <c r="D459" s="663"/>
      <c r="E459" s="663"/>
      <c r="F459" s="663"/>
      <c r="G459" s="663"/>
      <c r="H459" s="663"/>
      <c r="I459" s="663"/>
      <c r="J459" s="663"/>
      <c r="K459" s="663"/>
      <c r="L459" s="663"/>
      <c r="M459" s="663"/>
      <c r="N459" s="663"/>
      <c r="O459" s="663"/>
      <c r="P459" s="663"/>
      <c r="Q459" s="663"/>
      <c r="R459" s="663"/>
      <c r="S459" s="663"/>
      <c r="T459" s="663"/>
      <c r="U459" s="663"/>
      <c r="V459" s="663"/>
      <c r="W459" s="663"/>
      <c r="X459" s="663"/>
      <c r="Y459" s="663"/>
      <c r="Z459" s="663"/>
      <c r="AA459" s="65"/>
      <c r="AB459" s="65"/>
      <c r="AC459" s="79"/>
    </row>
    <row r="460" spans="1:68" ht="14.25" hidden="1" customHeight="1" x14ac:dyDescent="0.25">
      <c r="A460" s="664" t="s">
        <v>121</v>
      </c>
      <c r="B460" s="664"/>
      <c r="C460" s="664"/>
      <c r="D460" s="664"/>
      <c r="E460" s="664"/>
      <c r="F460" s="664"/>
      <c r="G460" s="664"/>
      <c r="H460" s="664"/>
      <c r="I460" s="664"/>
      <c r="J460" s="664"/>
      <c r="K460" s="664"/>
      <c r="L460" s="664"/>
      <c r="M460" s="664"/>
      <c r="N460" s="664"/>
      <c r="O460" s="664"/>
      <c r="P460" s="664"/>
      <c r="Q460" s="664"/>
      <c r="R460" s="664"/>
      <c r="S460" s="664"/>
      <c r="T460" s="664"/>
      <c r="U460" s="664"/>
      <c r="V460" s="664"/>
      <c r="W460" s="664"/>
      <c r="X460" s="664"/>
      <c r="Y460" s="664"/>
      <c r="Z460" s="664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4301011875</v>
      </c>
      <c r="D461" s="665">
        <v>4680115884885</v>
      </c>
      <c r="E461" s="665"/>
      <c r="F461" s="62">
        <v>0.8</v>
      </c>
      <c r="G461" s="37">
        <v>15</v>
      </c>
      <c r="H461" s="62">
        <v>12</v>
      </c>
      <c r="I461" s="62">
        <v>12.41</v>
      </c>
      <c r="J461" s="37">
        <v>64</v>
      </c>
      <c r="K461" s="37" t="s">
        <v>126</v>
      </c>
      <c r="L461" s="37" t="s">
        <v>46</v>
      </c>
      <c r="M461" s="38" t="s">
        <v>80</v>
      </c>
      <c r="N461" s="38"/>
      <c r="O461" s="37">
        <v>60</v>
      </c>
      <c r="P461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1" s="667"/>
      <c r="R461" s="667"/>
      <c r="S461" s="667"/>
      <c r="T461" s="668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66" t="s">
        <v>758</v>
      </c>
      <c r="AG461" s="78"/>
      <c r="AJ461" s="84" t="s">
        <v>46</v>
      </c>
      <c r="AK461" s="84">
        <v>0</v>
      </c>
      <c r="BB461" s="56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37.5" hidden="1" customHeight="1" x14ac:dyDescent="0.25">
      <c r="A462" s="63" t="s">
        <v>759</v>
      </c>
      <c r="B462" s="63" t="s">
        <v>760</v>
      </c>
      <c r="C462" s="36">
        <v>4301011871</v>
      </c>
      <c r="D462" s="665">
        <v>4680115884908</v>
      </c>
      <c r="E462" s="665"/>
      <c r="F462" s="62">
        <v>0.4</v>
      </c>
      <c r="G462" s="37">
        <v>10</v>
      </c>
      <c r="H462" s="62">
        <v>4</v>
      </c>
      <c r="I462" s="62">
        <v>4.1900000000000004</v>
      </c>
      <c r="J462" s="37">
        <v>132</v>
      </c>
      <c r="K462" s="37" t="s">
        <v>133</v>
      </c>
      <c r="L462" s="37" t="s">
        <v>46</v>
      </c>
      <c r="M462" s="38" t="s">
        <v>80</v>
      </c>
      <c r="N462" s="38"/>
      <c r="O462" s="37">
        <v>60</v>
      </c>
      <c r="P462" s="7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2" s="667"/>
      <c r="R462" s="667"/>
      <c r="S462" s="667"/>
      <c r="T462" s="668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IFERROR(IF(Y462=0,"",ROUNDUP(Y462/H462,0)*0.00902),"")</f>
        <v/>
      </c>
      <c r="AA462" s="68" t="s">
        <v>46</v>
      </c>
      <c r="AB462" s="69" t="s">
        <v>46</v>
      </c>
      <c r="AC462" s="568" t="s">
        <v>758</v>
      </c>
      <c r="AG462" s="78"/>
      <c r="AJ462" s="84" t="s">
        <v>46</v>
      </c>
      <c r="AK462" s="84">
        <v>0</v>
      </c>
      <c r="BB462" s="56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idden="1" x14ac:dyDescent="0.2">
      <c r="A463" s="661"/>
      <c r="B463" s="661"/>
      <c r="C463" s="661"/>
      <c r="D463" s="661"/>
      <c r="E463" s="661"/>
      <c r="F463" s="661"/>
      <c r="G463" s="661"/>
      <c r="H463" s="661"/>
      <c r="I463" s="661"/>
      <c r="J463" s="661"/>
      <c r="K463" s="661"/>
      <c r="L463" s="661"/>
      <c r="M463" s="661"/>
      <c r="N463" s="661"/>
      <c r="O463" s="662"/>
      <c r="P463" s="658" t="s">
        <v>40</v>
      </c>
      <c r="Q463" s="659"/>
      <c r="R463" s="659"/>
      <c r="S463" s="659"/>
      <c r="T463" s="659"/>
      <c r="U463" s="659"/>
      <c r="V463" s="660"/>
      <c r="W463" s="42" t="s">
        <v>39</v>
      </c>
      <c r="X463" s="43">
        <f>IFERROR(X461/H461,"0")+IFERROR(X462/H462,"0")</f>
        <v>0</v>
      </c>
      <c r="Y463" s="43">
        <f>IFERROR(Y461/H461,"0")+IFERROR(Y462/H462,"0")</f>
        <v>0</v>
      </c>
      <c r="Z463" s="43">
        <f>IFERROR(IF(Z461="",0,Z461),"0")+IFERROR(IF(Z462="",0,Z462),"0")</f>
        <v>0</v>
      </c>
      <c r="AA463" s="67"/>
      <c r="AB463" s="67"/>
      <c r="AC463" s="67"/>
    </row>
    <row r="464" spans="1:68" hidden="1" x14ac:dyDescent="0.2">
      <c r="A464" s="661"/>
      <c r="B464" s="661"/>
      <c r="C464" s="661"/>
      <c r="D464" s="661"/>
      <c r="E464" s="661"/>
      <c r="F464" s="661"/>
      <c r="G464" s="661"/>
      <c r="H464" s="661"/>
      <c r="I464" s="661"/>
      <c r="J464" s="661"/>
      <c r="K464" s="661"/>
      <c r="L464" s="661"/>
      <c r="M464" s="661"/>
      <c r="N464" s="661"/>
      <c r="O464" s="662"/>
      <c r="P464" s="658" t="s">
        <v>40</v>
      </c>
      <c r="Q464" s="659"/>
      <c r="R464" s="659"/>
      <c r="S464" s="659"/>
      <c r="T464" s="659"/>
      <c r="U464" s="659"/>
      <c r="V464" s="660"/>
      <c r="W464" s="42" t="s">
        <v>0</v>
      </c>
      <c r="X464" s="43">
        <f>IFERROR(SUM(X461:X462),"0")</f>
        <v>0</v>
      </c>
      <c r="Y464" s="43">
        <f>IFERROR(SUM(Y461:Y462),"0")</f>
        <v>0</v>
      </c>
      <c r="Z464" s="42"/>
      <c r="AA464" s="67"/>
      <c r="AB464" s="67"/>
      <c r="AC464" s="67"/>
    </row>
    <row r="465" spans="1:68" ht="14.25" hidden="1" customHeight="1" x14ac:dyDescent="0.25">
      <c r="A465" s="664" t="s">
        <v>76</v>
      </c>
      <c r="B465" s="664"/>
      <c r="C465" s="664"/>
      <c r="D465" s="664"/>
      <c r="E465" s="664"/>
      <c r="F465" s="664"/>
      <c r="G465" s="664"/>
      <c r="H465" s="664"/>
      <c r="I465" s="664"/>
      <c r="J465" s="664"/>
      <c r="K465" s="664"/>
      <c r="L465" s="664"/>
      <c r="M465" s="664"/>
      <c r="N465" s="664"/>
      <c r="O465" s="664"/>
      <c r="P465" s="664"/>
      <c r="Q465" s="664"/>
      <c r="R465" s="664"/>
      <c r="S465" s="664"/>
      <c r="T465" s="664"/>
      <c r="U465" s="664"/>
      <c r="V465" s="664"/>
      <c r="W465" s="664"/>
      <c r="X465" s="664"/>
      <c r="Y465" s="664"/>
      <c r="Z465" s="664"/>
      <c r="AA465" s="66"/>
      <c r="AB465" s="66"/>
      <c r="AC465" s="80"/>
    </row>
    <row r="466" spans="1:68" ht="27" hidden="1" customHeight="1" x14ac:dyDescent="0.25">
      <c r="A466" s="63" t="s">
        <v>761</v>
      </c>
      <c r="B466" s="63" t="s">
        <v>762</v>
      </c>
      <c r="C466" s="36">
        <v>4301031457</v>
      </c>
      <c r="D466" s="665">
        <v>4607091384802</v>
      </c>
      <c r="E466" s="665"/>
      <c r="F466" s="62">
        <v>0.7</v>
      </c>
      <c r="G466" s="37">
        <v>6</v>
      </c>
      <c r="H466" s="62">
        <v>4.2</v>
      </c>
      <c r="I466" s="62">
        <v>4.45</v>
      </c>
      <c r="J466" s="37">
        <v>132</v>
      </c>
      <c r="K466" s="37" t="s">
        <v>133</v>
      </c>
      <c r="L466" s="37" t="s">
        <v>46</v>
      </c>
      <c r="M466" s="38" t="s">
        <v>80</v>
      </c>
      <c r="N466" s="38"/>
      <c r="O466" s="37">
        <v>50</v>
      </c>
      <c r="P466" s="71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6" s="667"/>
      <c r="R466" s="667"/>
      <c r="S466" s="667"/>
      <c r="T466" s="668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0" t="s">
        <v>763</v>
      </c>
      <c r="AG466" s="78"/>
      <c r="AJ466" s="84" t="s">
        <v>46</v>
      </c>
      <c r="AK466" s="84">
        <v>0</v>
      </c>
      <c r="BB466" s="571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1"/>
      <c r="B467" s="661"/>
      <c r="C467" s="661"/>
      <c r="D467" s="661"/>
      <c r="E467" s="661"/>
      <c r="F467" s="661"/>
      <c r="G467" s="661"/>
      <c r="H467" s="661"/>
      <c r="I467" s="661"/>
      <c r="J467" s="661"/>
      <c r="K467" s="661"/>
      <c r="L467" s="661"/>
      <c r="M467" s="661"/>
      <c r="N467" s="661"/>
      <c r="O467" s="662"/>
      <c r="P467" s="658" t="s">
        <v>40</v>
      </c>
      <c r="Q467" s="659"/>
      <c r="R467" s="659"/>
      <c r="S467" s="659"/>
      <c r="T467" s="659"/>
      <c r="U467" s="659"/>
      <c r="V467" s="660"/>
      <c r="W467" s="42" t="s">
        <v>39</v>
      </c>
      <c r="X467" s="43">
        <f>IFERROR(X466/H466,"0")</f>
        <v>0</v>
      </c>
      <c r="Y467" s="43">
        <f>IFERROR(Y466/H466,"0")</f>
        <v>0</v>
      </c>
      <c r="Z467" s="43">
        <f>IFERROR(IF(Z466="",0,Z466),"0")</f>
        <v>0</v>
      </c>
      <c r="AA467" s="67"/>
      <c r="AB467" s="67"/>
      <c r="AC467" s="67"/>
    </row>
    <row r="468" spans="1:68" hidden="1" x14ac:dyDescent="0.2">
      <c r="A468" s="661"/>
      <c r="B468" s="661"/>
      <c r="C468" s="661"/>
      <c r="D468" s="661"/>
      <c r="E468" s="661"/>
      <c r="F468" s="661"/>
      <c r="G468" s="661"/>
      <c r="H468" s="661"/>
      <c r="I468" s="661"/>
      <c r="J468" s="661"/>
      <c r="K468" s="661"/>
      <c r="L468" s="661"/>
      <c r="M468" s="661"/>
      <c r="N468" s="661"/>
      <c r="O468" s="662"/>
      <c r="P468" s="658" t="s">
        <v>40</v>
      </c>
      <c r="Q468" s="659"/>
      <c r="R468" s="659"/>
      <c r="S468" s="659"/>
      <c r="T468" s="659"/>
      <c r="U468" s="659"/>
      <c r="V468" s="660"/>
      <c r="W468" s="42" t="s">
        <v>0</v>
      </c>
      <c r="X468" s="43">
        <f>IFERROR(SUM(X466:X466),"0")</f>
        <v>0</v>
      </c>
      <c r="Y468" s="43">
        <f>IFERROR(SUM(Y466:Y466),"0")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64" t="s">
        <v>85</v>
      </c>
      <c r="B469" s="664"/>
      <c r="C469" s="664"/>
      <c r="D469" s="664"/>
      <c r="E469" s="664"/>
      <c r="F469" s="664"/>
      <c r="G469" s="664"/>
      <c r="H469" s="664"/>
      <c r="I469" s="664"/>
      <c r="J469" s="664"/>
      <c r="K469" s="664"/>
      <c r="L469" s="664"/>
      <c r="M469" s="664"/>
      <c r="N469" s="664"/>
      <c r="O469" s="664"/>
      <c r="P469" s="664"/>
      <c r="Q469" s="664"/>
      <c r="R469" s="664"/>
      <c r="S469" s="664"/>
      <c r="T469" s="664"/>
      <c r="U469" s="664"/>
      <c r="V469" s="664"/>
      <c r="W469" s="664"/>
      <c r="X469" s="664"/>
      <c r="Y469" s="664"/>
      <c r="Z469" s="664"/>
      <c r="AA469" s="66"/>
      <c r="AB469" s="66"/>
      <c r="AC469" s="80"/>
    </row>
    <row r="470" spans="1:68" ht="27" hidden="1" customHeight="1" x14ac:dyDescent="0.25">
      <c r="A470" s="63" t="s">
        <v>764</v>
      </c>
      <c r="B470" s="63" t="s">
        <v>765</v>
      </c>
      <c r="C470" s="36">
        <v>4301051899</v>
      </c>
      <c r="D470" s="665">
        <v>4607091384246</v>
      </c>
      <c r="E470" s="665"/>
      <c r="F470" s="62">
        <v>1.5</v>
      </c>
      <c r="G470" s="37">
        <v>6</v>
      </c>
      <c r="H470" s="62">
        <v>9</v>
      </c>
      <c r="I470" s="62">
        <v>9.4939999999999998</v>
      </c>
      <c r="J470" s="37">
        <v>64</v>
      </c>
      <c r="K470" s="37" t="s">
        <v>126</v>
      </c>
      <c r="L470" s="37" t="s">
        <v>46</v>
      </c>
      <c r="M470" s="38" t="s">
        <v>89</v>
      </c>
      <c r="N470" s="38"/>
      <c r="O470" s="37">
        <v>40</v>
      </c>
      <c r="P470" s="71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0" s="667"/>
      <c r="R470" s="667"/>
      <c r="S470" s="667"/>
      <c r="T470" s="668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IFERROR(IF(Y470=0,"",ROUNDUP(Y470/H470,0)*0.01898),"")</f>
        <v/>
      </c>
      <c r="AA470" s="68" t="s">
        <v>46</v>
      </c>
      <c r="AB470" s="69" t="s">
        <v>46</v>
      </c>
      <c r="AC470" s="572" t="s">
        <v>766</v>
      </c>
      <c r="AG470" s="78"/>
      <c r="AJ470" s="84" t="s">
        <v>46</v>
      </c>
      <c r="AK470" s="84">
        <v>0</v>
      </c>
      <c r="BB470" s="573" t="s">
        <v>66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t="27" hidden="1" customHeight="1" x14ac:dyDescent="0.25">
      <c r="A471" s="63" t="s">
        <v>767</v>
      </c>
      <c r="B471" s="63" t="s">
        <v>768</v>
      </c>
      <c r="C471" s="36">
        <v>4301051660</v>
      </c>
      <c r="D471" s="665">
        <v>4607091384253</v>
      </c>
      <c r="E471" s="665"/>
      <c r="F471" s="62">
        <v>0.4</v>
      </c>
      <c r="G471" s="37">
        <v>6</v>
      </c>
      <c r="H471" s="62">
        <v>2.4</v>
      </c>
      <c r="I471" s="62">
        <v>2.6640000000000001</v>
      </c>
      <c r="J471" s="37">
        <v>182</v>
      </c>
      <c r="K471" s="37" t="s">
        <v>90</v>
      </c>
      <c r="L471" s="37" t="s">
        <v>46</v>
      </c>
      <c r="M471" s="38" t="s">
        <v>89</v>
      </c>
      <c r="N471" s="38"/>
      <c r="O471" s="37">
        <v>40</v>
      </c>
      <c r="P471" s="71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1" s="667"/>
      <c r="R471" s="667"/>
      <c r="S471" s="667"/>
      <c r="T471" s="668"/>
      <c r="U471" s="39" t="s">
        <v>46</v>
      </c>
      <c r="V471" s="39" t="s">
        <v>46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IFERROR(IF(Y471=0,"",ROUNDUP(Y471/H471,0)*0.00651),"")</f>
        <v/>
      </c>
      <c r="AA471" s="68" t="s">
        <v>46</v>
      </c>
      <c r="AB471" s="69" t="s">
        <v>46</v>
      </c>
      <c r="AC471" s="574" t="s">
        <v>766</v>
      </c>
      <c r="AG471" s="78"/>
      <c r="AJ471" s="84" t="s">
        <v>46</v>
      </c>
      <c r="AK471" s="84">
        <v>0</v>
      </c>
      <c r="BB471" s="575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hidden="1" customHeight="1" x14ac:dyDescent="0.25">
      <c r="A472" s="63" t="s">
        <v>767</v>
      </c>
      <c r="B472" s="63" t="s">
        <v>769</v>
      </c>
      <c r="C472" s="36">
        <v>4301052069</v>
      </c>
      <c r="D472" s="665">
        <v>4607091384253</v>
      </c>
      <c r="E472" s="665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90</v>
      </c>
      <c r="L472" s="37" t="s">
        <v>46</v>
      </c>
      <c r="M472" s="38" t="s">
        <v>89</v>
      </c>
      <c r="N472" s="38"/>
      <c r="O472" s="37">
        <v>40</v>
      </c>
      <c r="P472" s="71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2" s="667"/>
      <c r="R472" s="667"/>
      <c r="S472" s="667"/>
      <c r="T472" s="668"/>
      <c r="U472" s="39" t="s">
        <v>46</v>
      </c>
      <c r="V472" s="39" t="s">
        <v>46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IFERROR(IF(Y472=0,"",ROUNDUP(Y472/H472,0)*0.00651),"")</f>
        <v/>
      </c>
      <c r="AA472" s="68" t="s">
        <v>46</v>
      </c>
      <c r="AB472" s="69" t="s">
        <v>46</v>
      </c>
      <c r="AC472" s="576" t="s">
        <v>770</v>
      </c>
      <c r="AG472" s="78"/>
      <c r="AJ472" s="84" t="s">
        <v>46</v>
      </c>
      <c r="AK472" s="84">
        <v>0</v>
      </c>
      <c r="BB472" s="577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hidden="1" x14ac:dyDescent="0.2">
      <c r="A473" s="661"/>
      <c r="B473" s="661"/>
      <c r="C473" s="661"/>
      <c r="D473" s="661"/>
      <c r="E473" s="661"/>
      <c r="F473" s="661"/>
      <c r="G473" s="661"/>
      <c r="H473" s="661"/>
      <c r="I473" s="661"/>
      <c r="J473" s="661"/>
      <c r="K473" s="661"/>
      <c r="L473" s="661"/>
      <c r="M473" s="661"/>
      <c r="N473" s="661"/>
      <c r="O473" s="662"/>
      <c r="P473" s="658" t="s">
        <v>40</v>
      </c>
      <c r="Q473" s="659"/>
      <c r="R473" s="659"/>
      <c r="S473" s="659"/>
      <c r="T473" s="659"/>
      <c r="U473" s="659"/>
      <c r="V473" s="660"/>
      <c r="W473" s="42" t="s">
        <v>39</v>
      </c>
      <c r="X473" s="43">
        <f>IFERROR(X470/H470,"0")+IFERROR(X471/H471,"0")+IFERROR(X472/H472,"0")</f>
        <v>0</v>
      </c>
      <c r="Y473" s="43">
        <f>IFERROR(Y470/H470,"0")+IFERROR(Y471/H471,"0")+IFERROR(Y472/H472,"0")</f>
        <v>0</v>
      </c>
      <c r="Z473" s="43">
        <f>IFERROR(IF(Z470="",0,Z470),"0")+IFERROR(IF(Z471="",0,Z471),"0")+IFERROR(IF(Z472="",0,Z472),"0")</f>
        <v>0</v>
      </c>
      <c r="AA473" s="67"/>
      <c r="AB473" s="67"/>
      <c r="AC473" s="67"/>
    </row>
    <row r="474" spans="1:68" hidden="1" x14ac:dyDescent="0.2">
      <c r="A474" s="661"/>
      <c r="B474" s="661"/>
      <c r="C474" s="661"/>
      <c r="D474" s="661"/>
      <c r="E474" s="661"/>
      <c r="F474" s="661"/>
      <c r="G474" s="661"/>
      <c r="H474" s="661"/>
      <c r="I474" s="661"/>
      <c r="J474" s="661"/>
      <c r="K474" s="661"/>
      <c r="L474" s="661"/>
      <c r="M474" s="661"/>
      <c r="N474" s="661"/>
      <c r="O474" s="662"/>
      <c r="P474" s="658" t="s">
        <v>40</v>
      </c>
      <c r="Q474" s="659"/>
      <c r="R474" s="659"/>
      <c r="S474" s="659"/>
      <c r="T474" s="659"/>
      <c r="U474" s="659"/>
      <c r="V474" s="660"/>
      <c r="W474" s="42" t="s">
        <v>0</v>
      </c>
      <c r="X474" s="43">
        <f>IFERROR(SUM(X470:X472),"0")</f>
        <v>0</v>
      </c>
      <c r="Y474" s="43">
        <f>IFERROR(SUM(Y470:Y472),"0")</f>
        <v>0</v>
      </c>
      <c r="Z474" s="42"/>
      <c r="AA474" s="67"/>
      <c r="AB474" s="67"/>
      <c r="AC474" s="67"/>
    </row>
    <row r="475" spans="1:68" ht="27.75" hidden="1" customHeight="1" x14ac:dyDescent="0.2">
      <c r="A475" s="678" t="s">
        <v>771</v>
      </c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  <c r="N475" s="678"/>
      <c r="O475" s="678"/>
      <c r="P475" s="678"/>
      <c r="Q475" s="678"/>
      <c r="R475" s="678"/>
      <c r="S475" s="678"/>
      <c r="T475" s="678"/>
      <c r="U475" s="678"/>
      <c r="V475" s="678"/>
      <c r="W475" s="678"/>
      <c r="X475" s="678"/>
      <c r="Y475" s="678"/>
      <c r="Z475" s="678"/>
      <c r="AA475" s="54"/>
      <c r="AB475" s="54"/>
      <c r="AC475" s="54"/>
    </row>
    <row r="476" spans="1:68" ht="16.5" hidden="1" customHeight="1" x14ac:dyDescent="0.25">
      <c r="A476" s="663" t="s">
        <v>772</v>
      </c>
      <c r="B476" s="663"/>
      <c r="C476" s="663"/>
      <c r="D476" s="663"/>
      <c r="E476" s="663"/>
      <c r="F476" s="663"/>
      <c r="G476" s="663"/>
      <c r="H476" s="663"/>
      <c r="I476" s="663"/>
      <c r="J476" s="663"/>
      <c r="K476" s="663"/>
      <c r="L476" s="663"/>
      <c r="M476" s="663"/>
      <c r="N476" s="663"/>
      <c r="O476" s="663"/>
      <c r="P476" s="663"/>
      <c r="Q476" s="663"/>
      <c r="R476" s="663"/>
      <c r="S476" s="663"/>
      <c r="T476" s="663"/>
      <c r="U476" s="663"/>
      <c r="V476" s="663"/>
      <c r="W476" s="663"/>
      <c r="X476" s="663"/>
      <c r="Y476" s="663"/>
      <c r="Z476" s="663"/>
      <c r="AA476" s="65"/>
      <c r="AB476" s="65"/>
      <c r="AC476" s="79"/>
    </row>
    <row r="477" spans="1:68" ht="14.25" hidden="1" customHeight="1" x14ac:dyDescent="0.25">
      <c r="A477" s="664" t="s">
        <v>76</v>
      </c>
      <c r="B477" s="664"/>
      <c r="C477" s="664"/>
      <c r="D477" s="664"/>
      <c r="E477" s="664"/>
      <c r="F477" s="664"/>
      <c r="G477" s="664"/>
      <c r="H477" s="664"/>
      <c r="I477" s="664"/>
      <c r="J477" s="664"/>
      <c r="K477" s="664"/>
      <c r="L477" s="664"/>
      <c r="M477" s="664"/>
      <c r="N477" s="664"/>
      <c r="O477" s="664"/>
      <c r="P477" s="664"/>
      <c r="Q477" s="664"/>
      <c r="R477" s="664"/>
      <c r="S477" s="664"/>
      <c r="T477" s="664"/>
      <c r="U477" s="664"/>
      <c r="V477" s="664"/>
      <c r="W477" s="664"/>
      <c r="X477" s="664"/>
      <c r="Y477" s="664"/>
      <c r="Z477" s="664"/>
      <c r="AA477" s="66"/>
      <c r="AB477" s="66"/>
      <c r="AC477" s="80"/>
    </row>
    <row r="478" spans="1:68" ht="27" hidden="1" customHeight="1" x14ac:dyDescent="0.25">
      <c r="A478" s="63" t="s">
        <v>773</v>
      </c>
      <c r="B478" s="63" t="s">
        <v>774</v>
      </c>
      <c r="C478" s="36">
        <v>4301031405</v>
      </c>
      <c r="D478" s="665">
        <v>4680115886100</v>
      </c>
      <c r="E478" s="665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133</v>
      </c>
      <c r="L478" s="37" t="s">
        <v>46</v>
      </c>
      <c r="M478" s="38" t="s">
        <v>80</v>
      </c>
      <c r="N478" s="38"/>
      <c r="O478" s="37">
        <v>50</v>
      </c>
      <c r="P478" s="7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8" s="667"/>
      <c r="R478" s="667"/>
      <c r="S478" s="667"/>
      <c r="T478" s="668"/>
      <c r="U478" s="39" t="s">
        <v>46</v>
      </c>
      <c r="V478" s="39" t="s">
        <v>46</v>
      </c>
      <c r="W478" s="40" t="s">
        <v>0</v>
      </c>
      <c r="X478" s="58">
        <v>0</v>
      </c>
      <c r="Y478" s="55">
        <f t="shared" ref="Y478:Y483" si="73"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8" t="s">
        <v>775</v>
      </c>
      <c r="AG478" s="78"/>
      <c r="AJ478" s="84" t="s">
        <v>46</v>
      </c>
      <c r="AK478" s="84">
        <v>0</v>
      </c>
      <c r="BB478" s="579" t="s">
        <v>66</v>
      </c>
      <c r="BM478" s="78">
        <f t="shared" ref="BM478:BM483" si="74">IFERROR(X478*I478/H478,"0")</f>
        <v>0</v>
      </c>
      <c r="BN478" s="78">
        <f t="shared" ref="BN478:BN483" si="75">IFERROR(Y478*I478/H478,"0")</f>
        <v>0</v>
      </c>
      <c r="BO478" s="78">
        <f t="shared" ref="BO478:BO483" si="76">IFERROR(1/J478*(X478/H478),"0")</f>
        <v>0</v>
      </c>
      <c r="BP478" s="78">
        <f t="shared" ref="BP478:BP483" si="77">IFERROR(1/J478*(Y478/H478),"0")</f>
        <v>0</v>
      </c>
    </row>
    <row r="479" spans="1:68" ht="27" hidden="1" customHeight="1" x14ac:dyDescent="0.25">
      <c r="A479" s="63" t="s">
        <v>776</v>
      </c>
      <c r="B479" s="63" t="s">
        <v>777</v>
      </c>
      <c r="C479" s="36">
        <v>4301031402</v>
      </c>
      <c r="D479" s="665">
        <v>4680115886124</v>
      </c>
      <c r="E479" s="665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133</v>
      </c>
      <c r="L479" s="37" t="s">
        <v>46</v>
      </c>
      <c r="M479" s="38" t="s">
        <v>80</v>
      </c>
      <c r="N479" s="38"/>
      <c r="O479" s="37">
        <v>50</v>
      </c>
      <c r="P479" s="7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9" s="667"/>
      <c r="R479" s="667"/>
      <c r="S479" s="667"/>
      <c r="T479" s="668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si="73"/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778</v>
      </c>
      <c r="AG479" s="78"/>
      <c r="AJ479" s="84" t="s">
        <v>46</v>
      </c>
      <c r="AK479" s="84">
        <v>0</v>
      </c>
      <c r="BB479" s="581" t="s">
        <v>66</v>
      </c>
      <c r="BM479" s="78">
        <f t="shared" si="74"/>
        <v>0</v>
      </c>
      <c r="BN479" s="78">
        <f t="shared" si="75"/>
        <v>0</v>
      </c>
      <c r="BO479" s="78">
        <f t="shared" si="76"/>
        <v>0</v>
      </c>
      <c r="BP479" s="78">
        <f t="shared" si="77"/>
        <v>0</v>
      </c>
    </row>
    <row r="480" spans="1:68" ht="27" hidden="1" customHeight="1" x14ac:dyDescent="0.25">
      <c r="A480" s="63" t="s">
        <v>779</v>
      </c>
      <c r="B480" s="63" t="s">
        <v>780</v>
      </c>
      <c r="C480" s="36">
        <v>4301031362</v>
      </c>
      <c r="D480" s="665">
        <v>4607091384338</v>
      </c>
      <c r="E480" s="665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81</v>
      </c>
      <c r="L480" s="37" t="s">
        <v>46</v>
      </c>
      <c r="M480" s="38" t="s">
        <v>80</v>
      </c>
      <c r="N480" s="38"/>
      <c r="O480" s="37">
        <v>50</v>
      </c>
      <c r="P480" s="70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0" s="667"/>
      <c r="R480" s="667"/>
      <c r="S480" s="667"/>
      <c r="T480" s="668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3"/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82" t="s">
        <v>775</v>
      </c>
      <c r="AG480" s="78"/>
      <c r="AJ480" s="84" t="s">
        <v>46</v>
      </c>
      <c r="AK480" s="84">
        <v>0</v>
      </c>
      <c r="BB480" s="583" t="s">
        <v>66</v>
      </c>
      <c r="BM480" s="78">
        <f t="shared" si="74"/>
        <v>0</v>
      </c>
      <c r="BN480" s="78">
        <f t="shared" si="75"/>
        <v>0</v>
      </c>
      <c r="BO480" s="78">
        <f t="shared" si="76"/>
        <v>0</v>
      </c>
      <c r="BP480" s="78">
        <f t="shared" si="77"/>
        <v>0</v>
      </c>
    </row>
    <row r="481" spans="1:68" ht="27" hidden="1" customHeight="1" x14ac:dyDescent="0.25">
      <c r="A481" s="63" t="s">
        <v>781</v>
      </c>
      <c r="B481" s="63" t="s">
        <v>782</v>
      </c>
      <c r="C481" s="36">
        <v>4301031364</v>
      </c>
      <c r="D481" s="665">
        <v>4680115883161</v>
      </c>
      <c r="E481" s="665"/>
      <c r="F481" s="62">
        <v>0.28000000000000003</v>
      </c>
      <c r="G481" s="37">
        <v>6</v>
      </c>
      <c r="H481" s="62">
        <v>1.68</v>
      </c>
      <c r="I481" s="62">
        <v>1.81</v>
      </c>
      <c r="J481" s="37">
        <v>234</v>
      </c>
      <c r="K481" s="37" t="s">
        <v>81</v>
      </c>
      <c r="L481" s="37" t="s">
        <v>46</v>
      </c>
      <c r="M481" s="38" t="s">
        <v>80</v>
      </c>
      <c r="N481" s="38"/>
      <c r="O481" s="37">
        <v>50</v>
      </c>
      <c r="P481" s="70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1" s="667"/>
      <c r="R481" s="667"/>
      <c r="S481" s="667"/>
      <c r="T481" s="668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3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783</v>
      </c>
      <c r="AG481" s="78"/>
      <c r="AJ481" s="84" t="s">
        <v>46</v>
      </c>
      <c r="AK481" s="84">
        <v>0</v>
      </c>
      <c r="BB481" s="585" t="s">
        <v>66</v>
      </c>
      <c r="BM481" s="78">
        <f t="shared" si="74"/>
        <v>0</v>
      </c>
      <c r="BN481" s="78">
        <f t="shared" si="75"/>
        <v>0</v>
      </c>
      <c r="BO481" s="78">
        <f t="shared" si="76"/>
        <v>0</v>
      </c>
      <c r="BP481" s="78">
        <f t="shared" si="77"/>
        <v>0</v>
      </c>
    </row>
    <row r="482" spans="1:68" ht="27" hidden="1" customHeight="1" x14ac:dyDescent="0.25">
      <c r="A482" s="63" t="s">
        <v>784</v>
      </c>
      <c r="B482" s="63" t="s">
        <v>785</v>
      </c>
      <c r="C482" s="36">
        <v>4301031358</v>
      </c>
      <c r="D482" s="665">
        <v>4607091389531</v>
      </c>
      <c r="E482" s="665"/>
      <c r="F482" s="62">
        <v>0.35</v>
      </c>
      <c r="G482" s="37">
        <v>6</v>
      </c>
      <c r="H482" s="62">
        <v>2.1</v>
      </c>
      <c r="I482" s="62">
        <v>2.23</v>
      </c>
      <c r="J482" s="37">
        <v>234</v>
      </c>
      <c r="K482" s="37" t="s">
        <v>81</v>
      </c>
      <c r="L482" s="37" t="s">
        <v>46</v>
      </c>
      <c r="M482" s="38" t="s">
        <v>80</v>
      </c>
      <c r="N482" s="38"/>
      <c r="O482" s="37">
        <v>50</v>
      </c>
      <c r="P482" s="70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2" s="667"/>
      <c r="R482" s="667"/>
      <c r="S482" s="667"/>
      <c r="T482" s="668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3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66</v>
      </c>
      <c r="BM482" s="78">
        <f t="shared" si="74"/>
        <v>0</v>
      </c>
      <c r="BN482" s="78">
        <f t="shared" si="75"/>
        <v>0</v>
      </c>
      <c r="BO482" s="78">
        <f t="shared" si="76"/>
        <v>0</v>
      </c>
      <c r="BP482" s="78">
        <f t="shared" si="77"/>
        <v>0</v>
      </c>
    </row>
    <row r="483" spans="1:68" ht="37.5" hidden="1" customHeight="1" x14ac:dyDescent="0.25">
      <c r="A483" s="63" t="s">
        <v>787</v>
      </c>
      <c r="B483" s="63" t="s">
        <v>788</v>
      </c>
      <c r="C483" s="36">
        <v>4301031360</v>
      </c>
      <c r="D483" s="665">
        <v>4607091384345</v>
      </c>
      <c r="E483" s="665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81</v>
      </c>
      <c r="L483" s="37" t="s">
        <v>46</v>
      </c>
      <c r="M483" s="38" t="s">
        <v>80</v>
      </c>
      <c r="N483" s="38"/>
      <c r="O483" s="37">
        <v>50</v>
      </c>
      <c r="P483" s="71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3" s="667"/>
      <c r="R483" s="667"/>
      <c r="S483" s="667"/>
      <c r="T483" s="668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3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783</v>
      </c>
      <c r="AG483" s="78"/>
      <c r="AJ483" s="84" t="s">
        <v>46</v>
      </c>
      <c r="AK483" s="84">
        <v>0</v>
      </c>
      <c r="BB483" s="589" t="s">
        <v>66</v>
      </c>
      <c r="BM483" s="78">
        <f t="shared" si="74"/>
        <v>0</v>
      </c>
      <c r="BN483" s="78">
        <f t="shared" si="75"/>
        <v>0</v>
      </c>
      <c r="BO483" s="78">
        <f t="shared" si="76"/>
        <v>0</v>
      </c>
      <c r="BP483" s="78">
        <f t="shared" si="77"/>
        <v>0</v>
      </c>
    </row>
    <row r="484" spans="1:68" hidden="1" x14ac:dyDescent="0.2">
      <c r="A484" s="661"/>
      <c r="B484" s="661"/>
      <c r="C484" s="661"/>
      <c r="D484" s="661"/>
      <c r="E484" s="661"/>
      <c r="F484" s="661"/>
      <c r="G484" s="661"/>
      <c r="H484" s="661"/>
      <c r="I484" s="661"/>
      <c r="J484" s="661"/>
      <c r="K484" s="661"/>
      <c r="L484" s="661"/>
      <c r="M484" s="661"/>
      <c r="N484" s="661"/>
      <c r="O484" s="662"/>
      <c r="P484" s="658" t="s">
        <v>40</v>
      </c>
      <c r="Q484" s="659"/>
      <c r="R484" s="659"/>
      <c r="S484" s="659"/>
      <c r="T484" s="659"/>
      <c r="U484" s="659"/>
      <c r="V484" s="660"/>
      <c r="W484" s="42" t="s">
        <v>39</v>
      </c>
      <c r="X484" s="43">
        <f>IFERROR(X478/H478,"0")+IFERROR(X479/H479,"0")+IFERROR(X480/H480,"0")+IFERROR(X481/H481,"0")+IFERROR(X482/H482,"0")+IFERROR(X483/H483,"0")</f>
        <v>0</v>
      </c>
      <c r="Y484" s="43">
        <f>IFERROR(Y478/H478,"0")+IFERROR(Y479/H479,"0")+IFERROR(Y480/H480,"0")+IFERROR(Y481/H481,"0")+IFERROR(Y482/H482,"0")+IFERROR(Y483/H483,"0")</f>
        <v>0</v>
      </c>
      <c r="Z484" s="43">
        <f>IFERROR(IF(Z478="",0,Z478),"0")+IFERROR(IF(Z479="",0,Z479),"0")+IFERROR(IF(Z480="",0,Z480),"0")+IFERROR(IF(Z481="",0,Z481),"0")+IFERROR(IF(Z482="",0,Z482),"0")+IFERROR(IF(Z483="",0,Z483),"0")</f>
        <v>0</v>
      </c>
      <c r="AA484" s="67"/>
      <c r="AB484" s="67"/>
      <c r="AC484" s="67"/>
    </row>
    <row r="485" spans="1:68" hidden="1" x14ac:dyDescent="0.2">
      <c r="A485" s="661"/>
      <c r="B485" s="661"/>
      <c r="C485" s="661"/>
      <c r="D485" s="661"/>
      <c r="E485" s="661"/>
      <c r="F485" s="661"/>
      <c r="G485" s="661"/>
      <c r="H485" s="661"/>
      <c r="I485" s="661"/>
      <c r="J485" s="661"/>
      <c r="K485" s="661"/>
      <c r="L485" s="661"/>
      <c r="M485" s="661"/>
      <c r="N485" s="661"/>
      <c r="O485" s="662"/>
      <c r="P485" s="658" t="s">
        <v>40</v>
      </c>
      <c r="Q485" s="659"/>
      <c r="R485" s="659"/>
      <c r="S485" s="659"/>
      <c r="T485" s="659"/>
      <c r="U485" s="659"/>
      <c r="V485" s="660"/>
      <c r="W485" s="42" t="s">
        <v>0</v>
      </c>
      <c r="X485" s="43">
        <f>IFERROR(SUM(X478:X483),"0")</f>
        <v>0</v>
      </c>
      <c r="Y485" s="43">
        <f>IFERROR(SUM(Y478:Y483),"0")</f>
        <v>0</v>
      </c>
      <c r="Z485" s="42"/>
      <c r="AA485" s="67"/>
      <c r="AB485" s="67"/>
      <c r="AC485" s="67"/>
    </row>
    <row r="486" spans="1:68" ht="14.25" hidden="1" customHeight="1" x14ac:dyDescent="0.25">
      <c r="A486" s="664" t="s">
        <v>85</v>
      </c>
      <c r="B486" s="664"/>
      <c r="C486" s="664"/>
      <c r="D486" s="664"/>
      <c r="E486" s="664"/>
      <c r="F486" s="664"/>
      <c r="G486" s="664"/>
      <c r="H486" s="664"/>
      <c r="I486" s="664"/>
      <c r="J486" s="664"/>
      <c r="K486" s="664"/>
      <c r="L486" s="664"/>
      <c r="M486" s="664"/>
      <c r="N486" s="664"/>
      <c r="O486" s="664"/>
      <c r="P486" s="664"/>
      <c r="Q486" s="664"/>
      <c r="R486" s="664"/>
      <c r="S486" s="664"/>
      <c r="T486" s="664"/>
      <c r="U486" s="664"/>
      <c r="V486" s="664"/>
      <c r="W486" s="664"/>
      <c r="X486" s="664"/>
      <c r="Y486" s="664"/>
      <c r="Z486" s="664"/>
      <c r="AA486" s="66"/>
      <c r="AB486" s="66"/>
      <c r="AC486" s="80"/>
    </row>
    <row r="487" spans="1:68" ht="27" hidden="1" customHeight="1" x14ac:dyDescent="0.25">
      <c r="A487" s="63" t="s">
        <v>789</v>
      </c>
      <c r="B487" s="63" t="s">
        <v>790</v>
      </c>
      <c r="C487" s="36">
        <v>4301051284</v>
      </c>
      <c r="D487" s="665">
        <v>4607091384352</v>
      </c>
      <c r="E487" s="665"/>
      <c r="F487" s="62">
        <v>0.6</v>
      </c>
      <c r="G487" s="37">
        <v>4</v>
      </c>
      <c r="H487" s="62">
        <v>2.4</v>
      </c>
      <c r="I487" s="62">
        <v>2.6259999999999999</v>
      </c>
      <c r="J487" s="37">
        <v>132</v>
      </c>
      <c r="K487" s="37" t="s">
        <v>133</v>
      </c>
      <c r="L487" s="37" t="s">
        <v>46</v>
      </c>
      <c r="M487" s="38" t="s">
        <v>89</v>
      </c>
      <c r="N487" s="38"/>
      <c r="O487" s="37">
        <v>45</v>
      </c>
      <c r="P487" s="70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7" s="667"/>
      <c r="R487" s="667"/>
      <c r="S487" s="667"/>
      <c r="T487" s="668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IFERROR(IF(Y487=0,"",ROUNDUP(Y487/H487,0)*0.00902),"")</f>
        <v/>
      </c>
      <c r="AA487" s="68" t="s">
        <v>46</v>
      </c>
      <c r="AB487" s="69" t="s">
        <v>46</v>
      </c>
      <c r="AC487" s="590" t="s">
        <v>791</v>
      </c>
      <c r="AG487" s="78"/>
      <c r="AJ487" s="84" t="s">
        <v>46</v>
      </c>
      <c r="AK487" s="84">
        <v>0</v>
      </c>
      <c r="BB487" s="591" t="s">
        <v>66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t="27" hidden="1" customHeight="1" x14ac:dyDescent="0.25">
      <c r="A488" s="63" t="s">
        <v>792</v>
      </c>
      <c r="B488" s="63" t="s">
        <v>793</v>
      </c>
      <c r="C488" s="36">
        <v>4301051431</v>
      </c>
      <c r="D488" s="665">
        <v>4607091389654</v>
      </c>
      <c r="E488" s="665"/>
      <c r="F488" s="62">
        <v>0.33</v>
      </c>
      <c r="G488" s="37">
        <v>6</v>
      </c>
      <c r="H488" s="62">
        <v>1.98</v>
      </c>
      <c r="I488" s="62">
        <v>2.238</v>
      </c>
      <c r="J488" s="37">
        <v>182</v>
      </c>
      <c r="K488" s="37" t="s">
        <v>90</v>
      </c>
      <c r="L488" s="37" t="s">
        <v>46</v>
      </c>
      <c r="M488" s="38" t="s">
        <v>89</v>
      </c>
      <c r="N488" s="38"/>
      <c r="O488" s="37">
        <v>45</v>
      </c>
      <c r="P488" s="70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8" s="667"/>
      <c r="R488" s="667"/>
      <c r="S488" s="667"/>
      <c r="T488" s="668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IFERROR(IF(Y488=0,"",ROUNDUP(Y488/H488,0)*0.00651),"")</f>
        <v/>
      </c>
      <c r="AA488" s="68" t="s">
        <v>46</v>
      </c>
      <c r="AB488" s="69" t="s">
        <v>46</v>
      </c>
      <c r="AC488" s="592" t="s">
        <v>794</v>
      </c>
      <c r="AG488" s="78"/>
      <c r="AJ488" s="84" t="s">
        <v>46</v>
      </c>
      <c r="AK488" s="84">
        <v>0</v>
      </c>
      <c r="BB488" s="593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idden="1" x14ac:dyDescent="0.2">
      <c r="A489" s="661"/>
      <c r="B489" s="661"/>
      <c r="C489" s="661"/>
      <c r="D489" s="661"/>
      <c r="E489" s="661"/>
      <c r="F489" s="661"/>
      <c r="G489" s="661"/>
      <c r="H489" s="661"/>
      <c r="I489" s="661"/>
      <c r="J489" s="661"/>
      <c r="K489" s="661"/>
      <c r="L489" s="661"/>
      <c r="M489" s="661"/>
      <c r="N489" s="661"/>
      <c r="O489" s="662"/>
      <c r="P489" s="658" t="s">
        <v>40</v>
      </c>
      <c r="Q489" s="659"/>
      <c r="R489" s="659"/>
      <c r="S489" s="659"/>
      <c r="T489" s="659"/>
      <c r="U489" s="659"/>
      <c r="V489" s="660"/>
      <c r="W489" s="42" t="s">
        <v>39</v>
      </c>
      <c r="X489" s="43">
        <f>IFERROR(X487/H487,"0")+IFERROR(X488/H488,"0")</f>
        <v>0</v>
      </c>
      <c r="Y489" s="43">
        <f>IFERROR(Y487/H487,"0")+IFERROR(Y488/H488,"0")</f>
        <v>0</v>
      </c>
      <c r="Z489" s="43">
        <f>IFERROR(IF(Z487="",0,Z487),"0")+IFERROR(IF(Z488="",0,Z488),"0")</f>
        <v>0</v>
      </c>
      <c r="AA489" s="67"/>
      <c r="AB489" s="67"/>
      <c r="AC489" s="67"/>
    </row>
    <row r="490" spans="1:68" hidden="1" x14ac:dyDescent="0.2">
      <c r="A490" s="661"/>
      <c r="B490" s="661"/>
      <c r="C490" s="661"/>
      <c r="D490" s="661"/>
      <c r="E490" s="661"/>
      <c r="F490" s="661"/>
      <c r="G490" s="661"/>
      <c r="H490" s="661"/>
      <c r="I490" s="661"/>
      <c r="J490" s="661"/>
      <c r="K490" s="661"/>
      <c r="L490" s="661"/>
      <c r="M490" s="661"/>
      <c r="N490" s="661"/>
      <c r="O490" s="662"/>
      <c r="P490" s="658" t="s">
        <v>40</v>
      </c>
      <c r="Q490" s="659"/>
      <c r="R490" s="659"/>
      <c r="S490" s="659"/>
      <c r="T490" s="659"/>
      <c r="U490" s="659"/>
      <c r="V490" s="660"/>
      <c r="W490" s="42" t="s">
        <v>0</v>
      </c>
      <c r="X490" s="43">
        <f>IFERROR(SUM(X487:X488),"0")</f>
        <v>0</v>
      </c>
      <c r="Y490" s="43">
        <f>IFERROR(SUM(Y487:Y488),"0")</f>
        <v>0</v>
      </c>
      <c r="Z490" s="42"/>
      <c r="AA490" s="67"/>
      <c r="AB490" s="67"/>
      <c r="AC490" s="67"/>
    </row>
    <row r="491" spans="1:68" ht="16.5" hidden="1" customHeight="1" x14ac:dyDescent="0.25">
      <c r="A491" s="663" t="s">
        <v>795</v>
      </c>
      <c r="B491" s="663"/>
      <c r="C491" s="663"/>
      <c r="D491" s="663"/>
      <c r="E491" s="663"/>
      <c r="F491" s="663"/>
      <c r="G491" s="663"/>
      <c r="H491" s="663"/>
      <c r="I491" s="663"/>
      <c r="J491" s="663"/>
      <c r="K491" s="663"/>
      <c r="L491" s="663"/>
      <c r="M491" s="663"/>
      <c r="N491" s="663"/>
      <c r="O491" s="663"/>
      <c r="P491" s="663"/>
      <c r="Q491" s="663"/>
      <c r="R491" s="663"/>
      <c r="S491" s="663"/>
      <c r="T491" s="663"/>
      <c r="U491" s="663"/>
      <c r="V491" s="663"/>
      <c r="W491" s="663"/>
      <c r="X491" s="663"/>
      <c r="Y491" s="663"/>
      <c r="Z491" s="663"/>
      <c r="AA491" s="65"/>
      <c r="AB491" s="65"/>
      <c r="AC491" s="79"/>
    </row>
    <row r="492" spans="1:68" ht="14.25" hidden="1" customHeight="1" x14ac:dyDescent="0.25">
      <c r="A492" s="664" t="s">
        <v>154</v>
      </c>
      <c r="B492" s="664"/>
      <c r="C492" s="664"/>
      <c r="D492" s="664"/>
      <c r="E492" s="664"/>
      <c r="F492" s="664"/>
      <c r="G492" s="664"/>
      <c r="H492" s="664"/>
      <c r="I492" s="664"/>
      <c r="J492" s="664"/>
      <c r="K492" s="664"/>
      <c r="L492" s="664"/>
      <c r="M492" s="664"/>
      <c r="N492" s="664"/>
      <c r="O492" s="664"/>
      <c r="P492" s="664"/>
      <c r="Q492" s="664"/>
      <c r="R492" s="664"/>
      <c r="S492" s="664"/>
      <c r="T492" s="664"/>
      <c r="U492" s="664"/>
      <c r="V492" s="664"/>
      <c r="W492" s="664"/>
      <c r="X492" s="664"/>
      <c r="Y492" s="664"/>
      <c r="Z492" s="664"/>
      <c r="AA492" s="66"/>
      <c r="AB492" s="66"/>
      <c r="AC492" s="80"/>
    </row>
    <row r="493" spans="1:68" ht="27" hidden="1" customHeight="1" x14ac:dyDescent="0.25">
      <c r="A493" s="63" t="s">
        <v>796</v>
      </c>
      <c r="B493" s="63" t="s">
        <v>797</v>
      </c>
      <c r="C493" s="36">
        <v>4301020416</v>
      </c>
      <c r="D493" s="665">
        <v>4680115885240</v>
      </c>
      <c r="E493" s="665"/>
      <c r="F493" s="62">
        <v>0.35</v>
      </c>
      <c r="G493" s="37">
        <v>6</v>
      </c>
      <c r="H493" s="62">
        <v>2.1</v>
      </c>
      <c r="I493" s="62">
        <v>2.31</v>
      </c>
      <c r="J493" s="37">
        <v>182</v>
      </c>
      <c r="K493" s="37" t="s">
        <v>90</v>
      </c>
      <c r="L493" s="37" t="s">
        <v>46</v>
      </c>
      <c r="M493" s="38" t="s">
        <v>80</v>
      </c>
      <c r="N493" s="38"/>
      <c r="O493" s="37">
        <v>40</v>
      </c>
      <c r="P493" s="70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3" s="667"/>
      <c r="R493" s="667"/>
      <c r="S493" s="667"/>
      <c r="T493" s="668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IFERROR(IF(Y493=0,"",ROUNDUP(Y493/H493,0)*0.00651),"")</f>
        <v/>
      </c>
      <c r="AA493" s="68" t="s">
        <v>46</v>
      </c>
      <c r="AB493" s="69" t="s">
        <v>46</v>
      </c>
      <c r="AC493" s="594" t="s">
        <v>798</v>
      </c>
      <c r="AG493" s="78"/>
      <c r="AJ493" s="84" t="s">
        <v>46</v>
      </c>
      <c r="AK493" s="84">
        <v>0</v>
      </c>
      <c r="BB493" s="595" t="s">
        <v>66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661"/>
      <c r="B494" s="661"/>
      <c r="C494" s="661"/>
      <c r="D494" s="661"/>
      <c r="E494" s="661"/>
      <c r="F494" s="661"/>
      <c r="G494" s="661"/>
      <c r="H494" s="661"/>
      <c r="I494" s="661"/>
      <c r="J494" s="661"/>
      <c r="K494" s="661"/>
      <c r="L494" s="661"/>
      <c r="M494" s="661"/>
      <c r="N494" s="661"/>
      <c r="O494" s="662"/>
      <c r="P494" s="658" t="s">
        <v>40</v>
      </c>
      <c r="Q494" s="659"/>
      <c r="R494" s="659"/>
      <c r="S494" s="659"/>
      <c r="T494" s="659"/>
      <c r="U494" s="659"/>
      <c r="V494" s="660"/>
      <c r="W494" s="42" t="s">
        <v>39</v>
      </c>
      <c r="X494" s="43">
        <f>IFERROR(X493/H493,"0")</f>
        <v>0</v>
      </c>
      <c r="Y494" s="43">
        <f>IFERROR(Y493/H493,"0")</f>
        <v>0</v>
      </c>
      <c r="Z494" s="43">
        <f>IFERROR(IF(Z493="",0,Z493),"0")</f>
        <v>0</v>
      </c>
      <c r="AA494" s="67"/>
      <c r="AB494" s="67"/>
      <c r="AC494" s="67"/>
    </row>
    <row r="495" spans="1:68" hidden="1" x14ac:dyDescent="0.2">
      <c r="A495" s="661"/>
      <c r="B495" s="661"/>
      <c r="C495" s="661"/>
      <c r="D495" s="661"/>
      <c r="E495" s="661"/>
      <c r="F495" s="661"/>
      <c r="G495" s="661"/>
      <c r="H495" s="661"/>
      <c r="I495" s="661"/>
      <c r="J495" s="661"/>
      <c r="K495" s="661"/>
      <c r="L495" s="661"/>
      <c r="M495" s="661"/>
      <c r="N495" s="661"/>
      <c r="O495" s="662"/>
      <c r="P495" s="658" t="s">
        <v>40</v>
      </c>
      <c r="Q495" s="659"/>
      <c r="R495" s="659"/>
      <c r="S495" s="659"/>
      <c r="T495" s="659"/>
      <c r="U495" s="659"/>
      <c r="V495" s="660"/>
      <c r="W495" s="42" t="s">
        <v>0</v>
      </c>
      <c r="X495" s="43">
        <f>IFERROR(SUM(X493:X493),"0")</f>
        <v>0</v>
      </c>
      <c r="Y495" s="43">
        <f>IFERROR(SUM(Y493:Y493),"0")</f>
        <v>0</v>
      </c>
      <c r="Z495" s="42"/>
      <c r="AA495" s="67"/>
      <c r="AB495" s="67"/>
      <c r="AC495" s="67"/>
    </row>
    <row r="496" spans="1:68" ht="14.25" hidden="1" customHeight="1" x14ac:dyDescent="0.25">
      <c r="A496" s="664" t="s">
        <v>76</v>
      </c>
      <c r="B496" s="664"/>
      <c r="C496" s="664"/>
      <c r="D496" s="664"/>
      <c r="E496" s="664"/>
      <c r="F496" s="664"/>
      <c r="G496" s="664"/>
      <c r="H496" s="664"/>
      <c r="I496" s="664"/>
      <c r="J496" s="664"/>
      <c r="K496" s="664"/>
      <c r="L496" s="664"/>
      <c r="M496" s="664"/>
      <c r="N496" s="664"/>
      <c r="O496" s="664"/>
      <c r="P496" s="664"/>
      <c r="Q496" s="664"/>
      <c r="R496" s="664"/>
      <c r="S496" s="664"/>
      <c r="T496" s="664"/>
      <c r="U496" s="664"/>
      <c r="V496" s="664"/>
      <c r="W496" s="664"/>
      <c r="X496" s="664"/>
      <c r="Y496" s="664"/>
      <c r="Z496" s="664"/>
      <c r="AA496" s="66"/>
      <c r="AB496" s="66"/>
      <c r="AC496" s="80"/>
    </row>
    <row r="497" spans="1:68" ht="27" hidden="1" customHeight="1" x14ac:dyDescent="0.25">
      <c r="A497" s="63" t="s">
        <v>799</v>
      </c>
      <c r="B497" s="63" t="s">
        <v>800</v>
      </c>
      <c r="C497" s="36">
        <v>4301031407</v>
      </c>
      <c r="D497" s="665">
        <v>4680115886094</v>
      </c>
      <c r="E497" s="665"/>
      <c r="F497" s="62">
        <v>0.9</v>
      </c>
      <c r="G497" s="37">
        <v>6</v>
      </c>
      <c r="H497" s="62">
        <v>5.4</v>
      </c>
      <c r="I497" s="62">
        <v>5.59</v>
      </c>
      <c r="J497" s="37">
        <v>132</v>
      </c>
      <c r="K497" s="37" t="s">
        <v>133</v>
      </c>
      <c r="L497" s="37" t="s">
        <v>46</v>
      </c>
      <c r="M497" s="38" t="s">
        <v>80</v>
      </c>
      <c r="N497" s="38"/>
      <c r="O497" s="37">
        <v>50</v>
      </c>
      <c r="P497" s="70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7" s="667"/>
      <c r="R497" s="667"/>
      <c r="S497" s="667"/>
      <c r="T497" s="668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IFERROR(IF(Y497=0,"",ROUNDUP(Y497/H497,0)*0.00902),"")</f>
        <v/>
      </c>
      <c r="AA497" s="68" t="s">
        <v>46</v>
      </c>
      <c r="AB497" s="69" t="s">
        <v>46</v>
      </c>
      <c r="AC497" s="596" t="s">
        <v>801</v>
      </c>
      <c r="AG497" s="78"/>
      <c r="AJ497" s="84" t="s">
        <v>46</v>
      </c>
      <c r="AK497" s="84">
        <v>0</v>
      </c>
      <c r="BB497" s="597" t="s">
        <v>66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t="27" hidden="1" customHeight="1" x14ac:dyDescent="0.25">
      <c r="A498" s="63" t="s">
        <v>802</v>
      </c>
      <c r="B498" s="63" t="s">
        <v>803</v>
      </c>
      <c r="C498" s="36">
        <v>4301031373</v>
      </c>
      <c r="D498" s="665">
        <v>4680115880771</v>
      </c>
      <c r="E498" s="665"/>
      <c r="F498" s="62">
        <v>0.28000000000000003</v>
      </c>
      <c r="G498" s="37">
        <v>6</v>
      </c>
      <c r="H498" s="62">
        <v>1.68</v>
      </c>
      <c r="I498" s="62">
        <v>1.81</v>
      </c>
      <c r="J498" s="37">
        <v>234</v>
      </c>
      <c r="K498" s="37" t="s">
        <v>81</v>
      </c>
      <c r="L498" s="37" t="s">
        <v>46</v>
      </c>
      <c r="M498" s="38" t="s">
        <v>80</v>
      </c>
      <c r="N498" s="38"/>
      <c r="O498" s="37">
        <v>50</v>
      </c>
      <c r="P498" s="69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8" s="667"/>
      <c r="R498" s="667"/>
      <c r="S498" s="667"/>
      <c r="T498" s="668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IFERROR(IF(Y498=0,"",ROUNDUP(Y498/H498,0)*0.00502),"")</f>
        <v/>
      </c>
      <c r="AA498" s="68" t="s">
        <v>46</v>
      </c>
      <c r="AB498" s="69" t="s">
        <v>46</v>
      </c>
      <c r="AC498" s="598" t="s">
        <v>804</v>
      </c>
      <c r="AG498" s="78"/>
      <c r="AJ498" s="84" t="s">
        <v>46</v>
      </c>
      <c r="AK498" s="84">
        <v>0</v>
      </c>
      <c r="BB498" s="599" t="s">
        <v>66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805</v>
      </c>
      <c r="B499" s="63" t="s">
        <v>806</v>
      </c>
      <c r="C499" s="36">
        <v>4301031359</v>
      </c>
      <c r="D499" s="665">
        <v>4607091389500</v>
      </c>
      <c r="E499" s="665"/>
      <c r="F499" s="62">
        <v>0.35</v>
      </c>
      <c r="G499" s="37">
        <v>6</v>
      </c>
      <c r="H499" s="62">
        <v>2.1</v>
      </c>
      <c r="I499" s="62">
        <v>2.23</v>
      </c>
      <c r="J499" s="37">
        <v>234</v>
      </c>
      <c r="K499" s="37" t="s">
        <v>81</v>
      </c>
      <c r="L499" s="37" t="s">
        <v>46</v>
      </c>
      <c r="M499" s="38" t="s">
        <v>80</v>
      </c>
      <c r="N499" s="38"/>
      <c r="O499" s="37">
        <v>50</v>
      </c>
      <c r="P499" s="69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9" s="667"/>
      <c r="R499" s="667"/>
      <c r="S499" s="667"/>
      <c r="T499" s="668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804</v>
      </c>
      <c r="AG499" s="78"/>
      <c r="AJ499" s="84" t="s">
        <v>46</v>
      </c>
      <c r="AK499" s="84">
        <v>0</v>
      </c>
      <c r="BB499" s="601" t="s">
        <v>66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61"/>
      <c r="B500" s="661"/>
      <c r="C500" s="661"/>
      <c r="D500" s="661"/>
      <c r="E500" s="661"/>
      <c r="F500" s="661"/>
      <c r="G500" s="661"/>
      <c r="H500" s="661"/>
      <c r="I500" s="661"/>
      <c r="J500" s="661"/>
      <c r="K500" s="661"/>
      <c r="L500" s="661"/>
      <c r="M500" s="661"/>
      <c r="N500" s="661"/>
      <c r="O500" s="662"/>
      <c r="P500" s="658" t="s">
        <v>40</v>
      </c>
      <c r="Q500" s="659"/>
      <c r="R500" s="659"/>
      <c r="S500" s="659"/>
      <c r="T500" s="659"/>
      <c r="U500" s="659"/>
      <c r="V500" s="660"/>
      <c r="W500" s="42" t="s">
        <v>39</v>
      </c>
      <c r="X500" s="43">
        <f>IFERROR(X497/H497,"0")+IFERROR(X498/H498,"0")+IFERROR(X499/H499,"0")</f>
        <v>0</v>
      </c>
      <c r="Y500" s="43">
        <f>IFERROR(Y497/H497,"0")+IFERROR(Y498/H498,"0")+IFERROR(Y499/H499,"0")</f>
        <v>0</v>
      </c>
      <c r="Z500" s="43">
        <f>IFERROR(IF(Z497="",0,Z497),"0")+IFERROR(IF(Z498="",0,Z498),"0")+IFERROR(IF(Z499="",0,Z499),"0")</f>
        <v>0</v>
      </c>
      <c r="AA500" s="67"/>
      <c r="AB500" s="67"/>
      <c r="AC500" s="67"/>
    </row>
    <row r="501" spans="1:68" hidden="1" x14ac:dyDescent="0.2">
      <c r="A501" s="661"/>
      <c r="B501" s="661"/>
      <c r="C501" s="661"/>
      <c r="D501" s="661"/>
      <c r="E501" s="661"/>
      <c r="F501" s="661"/>
      <c r="G501" s="661"/>
      <c r="H501" s="661"/>
      <c r="I501" s="661"/>
      <c r="J501" s="661"/>
      <c r="K501" s="661"/>
      <c r="L501" s="661"/>
      <c r="M501" s="661"/>
      <c r="N501" s="661"/>
      <c r="O501" s="662"/>
      <c r="P501" s="658" t="s">
        <v>40</v>
      </c>
      <c r="Q501" s="659"/>
      <c r="R501" s="659"/>
      <c r="S501" s="659"/>
      <c r="T501" s="659"/>
      <c r="U501" s="659"/>
      <c r="V501" s="660"/>
      <c r="W501" s="42" t="s">
        <v>0</v>
      </c>
      <c r="X501" s="43">
        <f>IFERROR(SUM(X497:X499),"0")</f>
        <v>0</v>
      </c>
      <c r="Y501" s="43">
        <f>IFERROR(SUM(Y497:Y499),"0")</f>
        <v>0</v>
      </c>
      <c r="Z501" s="42"/>
      <c r="AA501" s="67"/>
      <c r="AB501" s="67"/>
      <c r="AC501" s="67"/>
    </row>
    <row r="502" spans="1:68" ht="27.75" hidden="1" customHeight="1" x14ac:dyDescent="0.2">
      <c r="A502" s="678" t="s">
        <v>807</v>
      </c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  <c r="Y502" s="678"/>
      <c r="Z502" s="678"/>
      <c r="AA502" s="54"/>
      <c r="AB502" s="54"/>
      <c r="AC502" s="54"/>
    </row>
    <row r="503" spans="1:68" ht="16.5" hidden="1" customHeight="1" x14ac:dyDescent="0.25">
      <c r="A503" s="663" t="s">
        <v>807</v>
      </c>
      <c r="B503" s="663"/>
      <c r="C503" s="663"/>
      <c r="D503" s="663"/>
      <c r="E503" s="663"/>
      <c r="F503" s="663"/>
      <c r="G503" s="663"/>
      <c r="H503" s="663"/>
      <c r="I503" s="663"/>
      <c r="J503" s="663"/>
      <c r="K503" s="663"/>
      <c r="L503" s="663"/>
      <c r="M503" s="663"/>
      <c r="N503" s="663"/>
      <c r="O503" s="663"/>
      <c r="P503" s="663"/>
      <c r="Q503" s="663"/>
      <c r="R503" s="663"/>
      <c r="S503" s="663"/>
      <c r="T503" s="663"/>
      <c r="U503" s="663"/>
      <c r="V503" s="663"/>
      <c r="W503" s="663"/>
      <c r="X503" s="663"/>
      <c r="Y503" s="663"/>
      <c r="Z503" s="663"/>
      <c r="AA503" s="65"/>
      <c r="AB503" s="65"/>
      <c r="AC503" s="79"/>
    </row>
    <row r="504" spans="1:68" ht="14.25" hidden="1" customHeight="1" x14ac:dyDescent="0.25">
      <c r="A504" s="664" t="s">
        <v>121</v>
      </c>
      <c r="B504" s="664"/>
      <c r="C504" s="664"/>
      <c r="D504" s="664"/>
      <c r="E504" s="664"/>
      <c r="F504" s="664"/>
      <c r="G504" s="664"/>
      <c r="H504" s="664"/>
      <c r="I504" s="664"/>
      <c r="J504" s="664"/>
      <c r="K504" s="664"/>
      <c r="L504" s="664"/>
      <c r="M504" s="664"/>
      <c r="N504" s="664"/>
      <c r="O504" s="664"/>
      <c r="P504" s="664"/>
      <c r="Q504" s="664"/>
      <c r="R504" s="664"/>
      <c r="S504" s="664"/>
      <c r="T504" s="664"/>
      <c r="U504" s="664"/>
      <c r="V504" s="664"/>
      <c r="W504" s="664"/>
      <c r="X504" s="664"/>
      <c r="Y504" s="664"/>
      <c r="Z504" s="664"/>
      <c r="AA504" s="66"/>
      <c r="AB504" s="66"/>
      <c r="AC504" s="80"/>
    </row>
    <row r="505" spans="1:68" ht="27" hidden="1" customHeight="1" x14ac:dyDescent="0.25">
      <c r="A505" s="63" t="s">
        <v>808</v>
      </c>
      <c r="B505" s="63" t="s">
        <v>809</v>
      </c>
      <c r="C505" s="36">
        <v>4301011769</v>
      </c>
      <c r="D505" s="665">
        <v>4607091389067</v>
      </c>
      <c r="E505" s="665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126</v>
      </c>
      <c r="L505" s="37" t="s">
        <v>46</v>
      </c>
      <c r="M505" s="38" t="s">
        <v>89</v>
      </c>
      <c r="N505" s="38"/>
      <c r="O505" s="37">
        <v>60</v>
      </c>
      <c r="P505" s="6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5" s="667"/>
      <c r="R505" s="667"/>
      <c r="S505" s="667"/>
      <c r="T505" s="668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ref="Y505:Y513" si="78">IFERROR(IF(X505="",0,CEILING((X505/$H505),1)*$H505),"")</f>
        <v>0</v>
      </c>
      <c r="Z505" s="41" t="str">
        <f t="shared" ref="Z505:Z510" si="79">IFERROR(IF(Y505=0,"",ROUNDUP(Y505/H505,0)*0.01196),"")</f>
        <v/>
      </c>
      <c r="AA505" s="68" t="s">
        <v>46</v>
      </c>
      <c r="AB505" s="69" t="s">
        <v>46</v>
      </c>
      <c r="AC505" s="602" t="s">
        <v>124</v>
      </c>
      <c r="AG505" s="78"/>
      <c r="AJ505" s="84" t="s">
        <v>46</v>
      </c>
      <c r="AK505" s="84">
        <v>0</v>
      </c>
      <c r="BB505" s="603" t="s">
        <v>66</v>
      </c>
      <c r="BM505" s="78">
        <f t="shared" ref="BM505:BM513" si="80">IFERROR(X505*I505/H505,"0")</f>
        <v>0</v>
      </c>
      <c r="BN505" s="78">
        <f t="shared" ref="BN505:BN513" si="81">IFERROR(Y505*I505/H505,"0")</f>
        <v>0</v>
      </c>
      <c r="BO505" s="78">
        <f t="shared" ref="BO505:BO513" si="82">IFERROR(1/J505*(X505/H505),"0")</f>
        <v>0</v>
      </c>
      <c r="BP505" s="78">
        <f t="shared" ref="BP505:BP513" si="83">IFERROR(1/J505*(Y505/H505),"0")</f>
        <v>0</v>
      </c>
    </row>
    <row r="506" spans="1:68" ht="16.5" hidden="1" customHeight="1" x14ac:dyDescent="0.25">
      <c r="A506" s="63" t="s">
        <v>810</v>
      </c>
      <c r="B506" s="63" t="s">
        <v>811</v>
      </c>
      <c r="C506" s="36">
        <v>4301012380</v>
      </c>
      <c r="D506" s="665">
        <v>4680115889576</v>
      </c>
      <c r="E506" s="665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126</v>
      </c>
      <c r="L506" s="37" t="s">
        <v>46</v>
      </c>
      <c r="M506" s="38" t="s">
        <v>125</v>
      </c>
      <c r="N506" s="38"/>
      <c r="O506" s="37">
        <v>60</v>
      </c>
      <c r="P506" s="69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6" s="667"/>
      <c r="R506" s="667"/>
      <c r="S506" s="667"/>
      <c r="T506" s="668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 t="shared" si="79"/>
        <v/>
      </c>
      <c r="AA506" s="68" t="s">
        <v>46</v>
      </c>
      <c r="AB506" s="69" t="s">
        <v>46</v>
      </c>
      <c r="AC506" s="604" t="s">
        <v>812</v>
      </c>
      <c r="AG506" s="78"/>
      <c r="AJ506" s="84" t="s">
        <v>46</v>
      </c>
      <c r="AK506" s="84">
        <v>0</v>
      </c>
      <c r="BB506" s="605" t="s">
        <v>66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813</v>
      </c>
      <c r="B507" s="63" t="s">
        <v>814</v>
      </c>
      <c r="C507" s="36">
        <v>4301011961</v>
      </c>
      <c r="D507" s="665">
        <v>4680115885271</v>
      </c>
      <c r="E507" s="665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126</v>
      </c>
      <c r="L507" s="37" t="s">
        <v>46</v>
      </c>
      <c r="M507" s="38" t="s">
        <v>125</v>
      </c>
      <c r="N507" s="38"/>
      <c r="O507" s="37">
        <v>60</v>
      </c>
      <c r="P507" s="6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7" s="667"/>
      <c r="R507" s="667"/>
      <c r="S507" s="667"/>
      <c r="T507" s="668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 t="shared" si="79"/>
        <v/>
      </c>
      <c r="AA507" s="68" t="s">
        <v>46</v>
      </c>
      <c r="AB507" s="69" t="s">
        <v>46</v>
      </c>
      <c r="AC507" s="606" t="s">
        <v>815</v>
      </c>
      <c r="AG507" s="78"/>
      <c r="AJ507" s="84" t="s">
        <v>46</v>
      </c>
      <c r="AK507" s="84">
        <v>0</v>
      </c>
      <c r="BB507" s="607" t="s">
        <v>66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t="27" hidden="1" customHeight="1" x14ac:dyDescent="0.25">
      <c r="A508" s="63" t="s">
        <v>816</v>
      </c>
      <c r="B508" s="63" t="s">
        <v>817</v>
      </c>
      <c r="C508" s="36">
        <v>4301011369</v>
      </c>
      <c r="D508" s="665">
        <v>4680115885226</v>
      </c>
      <c r="E508" s="665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126</v>
      </c>
      <c r="L508" s="37" t="s">
        <v>46</v>
      </c>
      <c r="M508" s="38" t="s">
        <v>125</v>
      </c>
      <c r="N508" s="38"/>
      <c r="O508" s="37">
        <v>60</v>
      </c>
      <c r="P508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8" s="667"/>
      <c r="R508" s="667"/>
      <c r="S508" s="667"/>
      <c r="T508" s="668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78"/>
        <v>0</v>
      </c>
      <c r="Z508" s="41" t="str">
        <f t="shared" si="79"/>
        <v/>
      </c>
      <c r="AA508" s="68" t="s">
        <v>46</v>
      </c>
      <c r="AB508" s="69" t="s">
        <v>46</v>
      </c>
      <c r="AC508" s="608" t="s">
        <v>818</v>
      </c>
      <c r="AG508" s="78"/>
      <c r="AJ508" s="84" t="s">
        <v>46</v>
      </c>
      <c r="AK508" s="84">
        <v>0</v>
      </c>
      <c r="BB508" s="609" t="s">
        <v>66</v>
      </c>
      <c r="BM508" s="78">
        <f t="shared" si="80"/>
        <v>0</v>
      </c>
      <c r="BN508" s="78">
        <f t="shared" si="81"/>
        <v>0</v>
      </c>
      <c r="BO508" s="78">
        <f t="shared" si="82"/>
        <v>0</v>
      </c>
      <c r="BP508" s="78">
        <f t="shared" si="83"/>
        <v>0</v>
      </c>
    </row>
    <row r="509" spans="1:68" ht="16.5" hidden="1" customHeight="1" x14ac:dyDescent="0.25">
      <c r="A509" s="63" t="s">
        <v>819</v>
      </c>
      <c r="B509" s="63" t="s">
        <v>820</v>
      </c>
      <c r="C509" s="36">
        <v>4301011797</v>
      </c>
      <c r="D509" s="665">
        <v>4680115884502</v>
      </c>
      <c r="E509" s="665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126</v>
      </c>
      <c r="L509" s="37" t="s">
        <v>46</v>
      </c>
      <c r="M509" s="38" t="s">
        <v>89</v>
      </c>
      <c r="N509" s="38"/>
      <c r="O509" s="37">
        <v>60</v>
      </c>
      <c r="P509" s="68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9" s="667"/>
      <c r="R509" s="667"/>
      <c r="S509" s="667"/>
      <c r="T509" s="668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8"/>
        <v>0</v>
      </c>
      <c r="Z509" s="41" t="str">
        <f t="shared" si="79"/>
        <v/>
      </c>
      <c r="AA509" s="68" t="s">
        <v>46</v>
      </c>
      <c r="AB509" s="69" t="s">
        <v>46</v>
      </c>
      <c r="AC509" s="610" t="s">
        <v>821</v>
      </c>
      <c r="AG509" s="78"/>
      <c r="AJ509" s="84" t="s">
        <v>46</v>
      </c>
      <c r="AK509" s="84">
        <v>0</v>
      </c>
      <c r="BB509" s="611" t="s">
        <v>66</v>
      </c>
      <c r="BM509" s="78">
        <f t="shared" si="80"/>
        <v>0</v>
      </c>
      <c r="BN509" s="78">
        <f t="shared" si="81"/>
        <v>0</v>
      </c>
      <c r="BO509" s="78">
        <f t="shared" si="82"/>
        <v>0</v>
      </c>
      <c r="BP509" s="78">
        <f t="shared" si="83"/>
        <v>0</v>
      </c>
    </row>
    <row r="510" spans="1:68" ht="27" hidden="1" customHeight="1" x14ac:dyDescent="0.25">
      <c r="A510" s="63" t="s">
        <v>822</v>
      </c>
      <c r="B510" s="63" t="s">
        <v>823</v>
      </c>
      <c r="C510" s="36">
        <v>4301011771</v>
      </c>
      <c r="D510" s="665">
        <v>4607091389104</v>
      </c>
      <c r="E510" s="665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126</v>
      </c>
      <c r="L510" s="37" t="s">
        <v>46</v>
      </c>
      <c r="M510" s="38" t="s">
        <v>125</v>
      </c>
      <c r="N510" s="38"/>
      <c r="O510" s="37">
        <v>60</v>
      </c>
      <c r="P510" s="68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0" s="667"/>
      <c r="R510" s="667"/>
      <c r="S510" s="667"/>
      <c r="T510" s="668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8"/>
        <v>0</v>
      </c>
      <c r="Z510" s="41" t="str">
        <f t="shared" si="79"/>
        <v/>
      </c>
      <c r="AA510" s="68" t="s">
        <v>46</v>
      </c>
      <c r="AB510" s="69" t="s">
        <v>46</v>
      </c>
      <c r="AC510" s="612" t="s">
        <v>824</v>
      </c>
      <c r="AG510" s="78"/>
      <c r="AJ510" s="84" t="s">
        <v>46</v>
      </c>
      <c r="AK510" s="84">
        <v>0</v>
      </c>
      <c r="BB510" s="613" t="s">
        <v>66</v>
      </c>
      <c r="BM510" s="78">
        <f t="shared" si="80"/>
        <v>0</v>
      </c>
      <c r="BN510" s="78">
        <f t="shared" si="81"/>
        <v>0</v>
      </c>
      <c r="BO510" s="78">
        <f t="shared" si="82"/>
        <v>0</v>
      </c>
      <c r="BP510" s="78">
        <f t="shared" si="83"/>
        <v>0</v>
      </c>
    </row>
    <row r="511" spans="1:68" ht="27" hidden="1" customHeight="1" x14ac:dyDescent="0.25">
      <c r="A511" s="63" t="s">
        <v>825</v>
      </c>
      <c r="B511" s="63" t="s">
        <v>826</v>
      </c>
      <c r="C511" s="36">
        <v>4301012125</v>
      </c>
      <c r="D511" s="665">
        <v>4680115886391</v>
      </c>
      <c r="E511" s="665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89</v>
      </c>
      <c r="N511" s="38"/>
      <c r="O511" s="37">
        <v>60</v>
      </c>
      <c r="P511" s="6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1" s="667"/>
      <c r="R511" s="667"/>
      <c r="S511" s="667"/>
      <c r="T511" s="668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8"/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14" t="s">
        <v>124</v>
      </c>
      <c r="AG511" s="78"/>
      <c r="AJ511" s="84" t="s">
        <v>46</v>
      </c>
      <c r="AK511" s="84">
        <v>0</v>
      </c>
      <c r="BB511" s="615" t="s">
        <v>66</v>
      </c>
      <c r="BM511" s="78">
        <f t="shared" si="80"/>
        <v>0</v>
      </c>
      <c r="BN511" s="78">
        <f t="shared" si="81"/>
        <v>0</v>
      </c>
      <c r="BO511" s="78">
        <f t="shared" si="82"/>
        <v>0</v>
      </c>
      <c r="BP511" s="78">
        <f t="shared" si="83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4301012048</v>
      </c>
      <c r="D512" s="665">
        <v>4680115880603</v>
      </c>
      <c r="E512" s="665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133</v>
      </c>
      <c r="L512" s="37" t="s">
        <v>46</v>
      </c>
      <c r="M512" s="38" t="s">
        <v>89</v>
      </c>
      <c r="N512" s="38"/>
      <c r="O512" s="37">
        <v>60</v>
      </c>
      <c r="P512" s="69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2" s="667"/>
      <c r="R512" s="667"/>
      <c r="S512" s="667"/>
      <c r="T512" s="668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8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6" t="s">
        <v>124</v>
      </c>
      <c r="AG512" s="78"/>
      <c r="AJ512" s="84" t="s">
        <v>46</v>
      </c>
      <c r="AK512" s="84">
        <v>0</v>
      </c>
      <c r="BB512" s="617" t="s">
        <v>66</v>
      </c>
      <c r="BM512" s="78">
        <f t="shared" si="80"/>
        <v>0</v>
      </c>
      <c r="BN512" s="78">
        <f t="shared" si="81"/>
        <v>0</v>
      </c>
      <c r="BO512" s="78">
        <f t="shared" si="82"/>
        <v>0</v>
      </c>
      <c r="BP512" s="78">
        <f t="shared" si="83"/>
        <v>0</v>
      </c>
    </row>
    <row r="513" spans="1:68" ht="27" hidden="1" customHeight="1" x14ac:dyDescent="0.25">
      <c r="A513" s="63" t="s">
        <v>829</v>
      </c>
      <c r="B513" s="63" t="s">
        <v>830</v>
      </c>
      <c r="C513" s="36">
        <v>4301012034</v>
      </c>
      <c r="D513" s="665">
        <v>4607091389982</v>
      </c>
      <c r="E513" s="665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133</v>
      </c>
      <c r="L513" s="37" t="s">
        <v>46</v>
      </c>
      <c r="M513" s="38" t="s">
        <v>125</v>
      </c>
      <c r="N513" s="38"/>
      <c r="O513" s="37">
        <v>60</v>
      </c>
      <c r="P513" s="69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3" s="667"/>
      <c r="R513" s="667"/>
      <c r="S513" s="667"/>
      <c r="T513" s="668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8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824</v>
      </c>
      <c r="AG513" s="78"/>
      <c r="AJ513" s="84" t="s">
        <v>46</v>
      </c>
      <c r="AK513" s="84">
        <v>0</v>
      </c>
      <c r="BB513" s="619" t="s">
        <v>66</v>
      </c>
      <c r="BM513" s="78">
        <f t="shared" si="80"/>
        <v>0</v>
      </c>
      <c r="BN513" s="78">
        <f t="shared" si="81"/>
        <v>0</v>
      </c>
      <c r="BO513" s="78">
        <f t="shared" si="82"/>
        <v>0</v>
      </c>
      <c r="BP513" s="78">
        <f t="shared" si="83"/>
        <v>0</v>
      </c>
    </row>
    <row r="514" spans="1:68" hidden="1" x14ac:dyDescent="0.2">
      <c r="A514" s="661"/>
      <c r="B514" s="661"/>
      <c r="C514" s="661"/>
      <c r="D514" s="661"/>
      <c r="E514" s="661"/>
      <c r="F514" s="661"/>
      <c r="G514" s="661"/>
      <c r="H514" s="661"/>
      <c r="I514" s="661"/>
      <c r="J514" s="661"/>
      <c r="K514" s="661"/>
      <c r="L514" s="661"/>
      <c r="M514" s="661"/>
      <c r="N514" s="661"/>
      <c r="O514" s="662"/>
      <c r="P514" s="658" t="s">
        <v>40</v>
      </c>
      <c r="Q514" s="659"/>
      <c r="R514" s="659"/>
      <c r="S514" s="659"/>
      <c r="T514" s="659"/>
      <c r="U514" s="659"/>
      <c r="V514" s="660"/>
      <c r="W514" s="42" t="s">
        <v>39</v>
      </c>
      <c r="X514" s="43">
        <f>IFERROR(X505/H505,"0")+IFERROR(X506/H506,"0")+IFERROR(X507/H507,"0")+IFERROR(X508/H508,"0")+IFERROR(X509/H509,"0")+IFERROR(X510/H510,"0")+IFERROR(X511/H511,"0")+IFERROR(X512/H512,"0")+IFERROR(X513/H513,"0")</f>
        <v>0</v>
      </c>
      <c r="Y514" s="43">
        <f>IFERROR(Y505/H505,"0")+IFERROR(Y506/H506,"0")+IFERROR(Y507/H507,"0")+IFERROR(Y508/H508,"0")+IFERROR(Y509/H509,"0")+IFERROR(Y510/H510,"0")+IFERROR(Y511/H511,"0")+IFERROR(Y512/H512,"0")+IFERROR(Y513/H513,"0")</f>
        <v>0</v>
      </c>
      <c r="Z514" s="43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661"/>
      <c r="B515" s="661"/>
      <c r="C515" s="661"/>
      <c r="D515" s="661"/>
      <c r="E515" s="661"/>
      <c r="F515" s="661"/>
      <c r="G515" s="661"/>
      <c r="H515" s="661"/>
      <c r="I515" s="661"/>
      <c r="J515" s="661"/>
      <c r="K515" s="661"/>
      <c r="L515" s="661"/>
      <c r="M515" s="661"/>
      <c r="N515" s="661"/>
      <c r="O515" s="662"/>
      <c r="P515" s="658" t="s">
        <v>40</v>
      </c>
      <c r="Q515" s="659"/>
      <c r="R515" s="659"/>
      <c r="S515" s="659"/>
      <c r="T515" s="659"/>
      <c r="U515" s="659"/>
      <c r="V515" s="660"/>
      <c r="W515" s="42" t="s">
        <v>0</v>
      </c>
      <c r="X515" s="43">
        <f>IFERROR(SUM(X505:X513),"0")</f>
        <v>0</v>
      </c>
      <c r="Y515" s="43">
        <f>IFERROR(SUM(Y505:Y513),"0")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664" t="s">
        <v>154</v>
      </c>
      <c r="B516" s="664"/>
      <c r="C516" s="664"/>
      <c r="D516" s="664"/>
      <c r="E516" s="664"/>
      <c r="F516" s="664"/>
      <c r="G516" s="664"/>
      <c r="H516" s="664"/>
      <c r="I516" s="664"/>
      <c r="J516" s="664"/>
      <c r="K516" s="664"/>
      <c r="L516" s="664"/>
      <c r="M516" s="664"/>
      <c r="N516" s="664"/>
      <c r="O516" s="664"/>
      <c r="P516" s="664"/>
      <c r="Q516" s="664"/>
      <c r="R516" s="664"/>
      <c r="S516" s="664"/>
      <c r="T516" s="664"/>
      <c r="U516" s="664"/>
      <c r="V516" s="664"/>
      <c r="W516" s="664"/>
      <c r="X516" s="664"/>
      <c r="Y516" s="664"/>
      <c r="Z516" s="664"/>
      <c r="AA516" s="66"/>
      <c r="AB516" s="66"/>
      <c r="AC516" s="80"/>
    </row>
    <row r="517" spans="1:68" ht="16.5" hidden="1" customHeight="1" x14ac:dyDescent="0.25">
      <c r="A517" s="63" t="s">
        <v>831</v>
      </c>
      <c r="B517" s="63" t="s">
        <v>832</v>
      </c>
      <c r="C517" s="36">
        <v>4301020334</v>
      </c>
      <c r="D517" s="665">
        <v>4607091388930</v>
      </c>
      <c r="E517" s="665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126</v>
      </c>
      <c r="L517" s="37" t="s">
        <v>46</v>
      </c>
      <c r="M517" s="38" t="s">
        <v>89</v>
      </c>
      <c r="N517" s="38"/>
      <c r="O517" s="37">
        <v>70</v>
      </c>
      <c r="P517" s="69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7" s="667"/>
      <c r="R517" s="667"/>
      <c r="S517" s="667"/>
      <c r="T517" s="668"/>
      <c r="U517" s="39" t="s">
        <v>46</v>
      </c>
      <c r="V517" s="39" t="s">
        <v>46</v>
      </c>
      <c r="W517" s="40" t="s">
        <v>0</v>
      </c>
      <c r="X517" s="58">
        <v>0</v>
      </c>
      <c r="Y517" s="55">
        <f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833</v>
      </c>
      <c r="AG517" s="78"/>
      <c r="AJ517" s="84" t="s">
        <v>46</v>
      </c>
      <c r="AK517" s="84">
        <v>0</v>
      </c>
      <c r="BB517" s="621" t="s">
        <v>66</v>
      </c>
      <c r="BM517" s="78">
        <f>IFERROR(X517*I517/H517,"0")</f>
        <v>0</v>
      </c>
      <c r="BN517" s="78">
        <f>IFERROR(Y517*I517/H517,"0")</f>
        <v>0</v>
      </c>
      <c r="BO517" s="78">
        <f>IFERROR(1/J517*(X517/H517),"0")</f>
        <v>0</v>
      </c>
      <c r="BP517" s="78">
        <f>IFERROR(1/J517*(Y517/H517),"0")</f>
        <v>0</v>
      </c>
    </row>
    <row r="518" spans="1:68" ht="16.5" hidden="1" customHeight="1" x14ac:dyDescent="0.25">
      <c r="A518" s="63" t="s">
        <v>834</v>
      </c>
      <c r="B518" s="63" t="s">
        <v>835</v>
      </c>
      <c r="C518" s="36">
        <v>4301020374</v>
      </c>
      <c r="D518" s="665">
        <v>4680115886407</v>
      </c>
      <c r="E518" s="665"/>
      <c r="F518" s="62">
        <v>0.4</v>
      </c>
      <c r="G518" s="37">
        <v>6</v>
      </c>
      <c r="H518" s="62">
        <v>2.4</v>
      </c>
      <c r="I518" s="62">
        <v>2.58</v>
      </c>
      <c r="J518" s="37">
        <v>182</v>
      </c>
      <c r="K518" s="37" t="s">
        <v>90</v>
      </c>
      <c r="L518" s="37" t="s">
        <v>46</v>
      </c>
      <c r="M518" s="38" t="s">
        <v>125</v>
      </c>
      <c r="N518" s="38"/>
      <c r="O518" s="37">
        <v>70</v>
      </c>
      <c r="P518" s="69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8" s="667"/>
      <c r="R518" s="667"/>
      <c r="S518" s="667"/>
      <c r="T518" s="668"/>
      <c r="U518" s="39" t="s">
        <v>46</v>
      </c>
      <c r="V518" s="39" t="s">
        <v>46</v>
      </c>
      <c r="W518" s="40" t="s">
        <v>0</v>
      </c>
      <c r="X518" s="58">
        <v>0</v>
      </c>
      <c r="Y518" s="55">
        <f>IFERROR(IF(X518="",0,CEILING((X518/$H518),1)*$H518),"")</f>
        <v>0</v>
      </c>
      <c r="Z518" s="41" t="str">
        <f>IFERROR(IF(Y518=0,"",ROUNDUP(Y518/H518,0)*0.00651),"")</f>
        <v/>
      </c>
      <c r="AA518" s="68" t="s">
        <v>46</v>
      </c>
      <c r="AB518" s="69" t="s">
        <v>46</v>
      </c>
      <c r="AC518" s="622" t="s">
        <v>833</v>
      </c>
      <c r="AG518" s="78"/>
      <c r="AJ518" s="84" t="s">
        <v>46</v>
      </c>
      <c r="AK518" s="84">
        <v>0</v>
      </c>
      <c r="BB518" s="623" t="s">
        <v>66</v>
      </c>
      <c r="BM518" s="78">
        <f>IFERROR(X518*I518/H518,"0")</f>
        <v>0</v>
      </c>
      <c r="BN518" s="78">
        <f>IFERROR(Y518*I518/H518,"0")</f>
        <v>0</v>
      </c>
      <c r="BO518" s="78">
        <f>IFERROR(1/J518*(X518/H518),"0")</f>
        <v>0</v>
      </c>
      <c r="BP518" s="78">
        <f>IFERROR(1/J518*(Y518/H518),"0")</f>
        <v>0</v>
      </c>
    </row>
    <row r="519" spans="1:68" ht="16.5" hidden="1" customHeight="1" x14ac:dyDescent="0.25">
      <c r="A519" s="63" t="s">
        <v>836</v>
      </c>
      <c r="B519" s="63" t="s">
        <v>837</v>
      </c>
      <c r="C519" s="36">
        <v>4301020385</v>
      </c>
      <c r="D519" s="665">
        <v>4680115880054</v>
      </c>
      <c r="E519" s="665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133</v>
      </c>
      <c r="L519" s="37" t="s">
        <v>46</v>
      </c>
      <c r="M519" s="38" t="s">
        <v>125</v>
      </c>
      <c r="N519" s="38"/>
      <c r="O519" s="37">
        <v>70</v>
      </c>
      <c r="P519" s="6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9" s="667"/>
      <c r="R519" s="667"/>
      <c r="S519" s="667"/>
      <c r="T519" s="668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4" t="s">
        <v>833</v>
      </c>
      <c r="AG519" s="78"/>
      <c r="AJ519" s="84" t="s">
        <v>46</v>
      </c>
      <c r="AK519" s="84">
        <v>0</v>
      </c>
      <c r="BB519" s="625" t="s">
        <v>66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idden="1" x14ac:dyDescent="0.2">
      <c r="A520" s="661"/>
      <c r="B520" s="661"/>
      <c r="C520" s="661"/>
      <c r="D520" s="661"/>
      <c r="E520" s="661"/>
      <c r="F520" s="661"/>
      <c r="G520" s="661"/>
      <c r="H520" s="661"/>
      <c r="I520" s="661"/>
      <c r="J520" s="661"/>
      <c r="K520" s="661"/>
      <c r="L520" s="661"/>
      <c r="M520" s="661"/>
      <c r="N520" s="661"/>
      <c r="O520" s="662"/>
      <c r="P520" s="658" t="s">
        <v>40</v>
      </c>
      <c r="Q520" s="659"/>
      <c r="R520" s="659"/>
      <c r="S520" s="659"/>
      <c r="T520" s="659"/>
      <c r="U520" s="659"/>
      <c r="V520" s="660"/>
      <c r="W520" s="42" t="s">
        <v>39</v>
      </c>
      <c r="X520" s="43">
        <f>IFERROR(X517/H517,"0")+IFERROR(X518/H518,"0")+IFERROR(X519/H519,"0")</f>
        <v>0</v>
      </c>
      <c r="Y520" s="43">
        <f>IFERROR(Y517/H517,"0")+IFERROR(Y518/H518,"0")+IFERROR(Y519/H519,"0")</f>
        <v>0</v>
      </c>
      <c r="Z520" s="43">
        <f>IFERROR(IF(Z517="",0,Z517),"0")+IFERROR(IF(Z518="",0,Z518),"0")+IFERROR(IF(Z519="",0,Z519),"0")</f>
        <v>0</v>
      </c>
      <c r="AA520" s="67"/>
      <c r="AB520" s="67"/>
      <c r="AC520" s="67"/>
    </row>
    <row r="521" spans="1:68" hidden="1" x14ac:dyDescent="0.2">
      <c r="A521" s="661"/>
      <c r="B521" s="661"/>
      <c r="C521" s="661"/>
      <c r="D521" s="661"/>
      <c r="E521" s="661"/>
      <c r="F521" s="661"/>
      <c r="G521" s="661"/>
      <c r="H521" s="661"/>
      <c r="I521" s="661"/>
      <c r="J521" s="661"/>
      <c r="K521" s="661"/>
      <c r="L521" s="661"/>
      <c r="M521" s="661"/>
      <c r="N521" s="661"/>
      <c r="O521" s="662"/>
      <c r="P521" s="658" t="s">
        <v>40</v>
      </c>
      <c r="Q521" s="659"/>
      <c r="R521" s="659"/>
      <c r="S521" s="659"/>
      <c r="T521" s="659"/>
      <c r="U521" s="659"/>
      <c r="V521" s="660"/>
      <c r="W521" s="42" t="s">
        <v>0</v>
      </c>
      <c r="X521" s="43">
        <f>IFERROR(SUM(X517:X519),"0")</f>
        <v>0</v>
      </c>
      <c r="Y521" s="43">
        <f>IFERROR(SUM(Y517:Y519),"0")</f>
        <v>0</v>
      </c>
      <c r="Z521" s="42"/>
      <c r="AA521" s="67"/>
      <c r="AB521" s="67"/>
      <c r="AC521" s="67"/>
    </row>
    <row r="522" spans="1:68" ht="14.25" hidden="1" customHeight="1" x14ac:dyDescent="0.25">
      <c r="A522" s="664" t="s">
        <v>76</v>
      </c>
      <c r="B522" s="664"/>
      <c r="C522" s="664"/>
      <c r="D522" s="664"/>
      <c r="E522" s="664"/>
      <c r="F522" s="664"/>
      <c r="G522" s="664"/>
      <c r="H522" s="664"/>
      <c r="I522" s="664"/>
      <c r="J522" s="664"/>
      <c r="K522" s="664"/>
      <c r="L522" s="664"/>
      <c r="M522" s="664"/>
      <c r="N522" s="664"/>
      <c r="O522" s="664"/>
      <c r="P522" s="664"/>
      <c r="Q522" s="664"/>
      <c r="R522" s="664"/>
      <c r="S522" s="664"/>
      <c r="T522" s="664"/>
      <c r="U522" s="664"/>
      <c r="V522" s="664"/>
      <c r="W522" s="664"/>
      <c r="X522" s="664"/>
      <c r="Y522" s="664"/>
      <c r="Z522" s="664"/>
      <c r="AA522" s="66"/>
      <c r="AB522" s="66"/>
      <c r="AC522" s="80"/>
    </row>
    <row r="523" spans="1:68" ht="27" hidden="1" customHeight="1" x14ac:dyDescent="0.25">
      <c r="A523" s="63" t="s">
        <v>838</v>
      </c>
      <c r="B523" s="63" t="s">
        <v>839</v>
      </c>
      <c r="C523" s="36">
        <v>4301031349</v>
      </c>
      <c r="D523" s="665">
        <v>4680115883116</v>
      </c>
      <c r="E523" s="665"/>
      <c r="F523" s="62">
        <v>0.88</v>
      </c>
      <c r="G523" s="37">
        <v>6</v>
      </c>
      <c r="H523" s="62">
        <v>5.28</v>
      </c>
      <c r="I523" s="62">
        <v>5.63</v>
      </c>
      <c r="J523" s="37">
        <v>104</v>
      </c>
      <c r="K523" s="37" t="s">
        <v>126</v>
      </c>
      <c r="L523" s="37" t="s">
        <v>46</v>
      </c>
      <c r="M523" s="38" t="s">
        <v>125</v>
      </c>
      <c r="N523" s="38"/>
      <c r="O523" s="37">
        <v>70</v>
      </c>
      <c r="P523" s="6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3" s="667"/>
      <c r="R523" s="667"/>
      <c r="S523" s="667"/>
      <c r="T523" s="668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ref="Y523:Y529" si="84">IFERROR(IF(X523="",0,CEILING((X523/$H523),1)*$H523),"")</f>
        <v>0</v>
      </c>
      <c r="Z523" s="41" t="str">
        <f>IFERROR(IF(Y523=0,"",ROUNDUP(Y523/H523,0)*0.01196),"")</f>
        <v/>
      </c>
      <c r="AA523" s="68" t="s">
        <v>46</v>
      </c>
      <c r="AB523" s="69" t="s">
        <v>46</v>
      </c>
      <c r="AC523" s="626" t="s">
        <v>840</v>
      </c>
      <c r="AG523" s="78"/>
      <c r="AJ523" s="84" t="s">
        <v>46</v>
      </c>
      <c r="AK523" s="84">
        <v>0</v>
      </c>
      <c r="BB523" s="627" t="s">
        <v>66</v>
      </c>
      <c r="BM523" s="78">
        <f t="shared" ref="BM523:BM529" si="85">IFERROR(X523*I523/H523,"0")</f>
        <v>0</v>
      </c>
      <c r="BN523" s="78">
        <f t="shared" ref="BN523:BN529" si="86">IFERROR(Y523*I523/H523,"0")</f>
        <v>0</v>
      </c>
      <c r="BO523" s="78">
        <f t="shared" ref="BO523:BO529" si="87">IFERROR(1/J523*(X523/H523),"0")</f>
        <v>0</v>
      </c>
      <c r="BP523" s="78">
        <f t="shared" ref="BP523:BP529" si="88">IFERROR(1/J523*(Y523/H523),"0")</f>
        <v>0</v>
      </c>
    </row>
    <row r="524" spans="1:68" ht="27" hidden="1" customHeight="1" x14ac:dyDescent="0.25">
      <c r="A524" s="63" t="s">
        <v>841</v>
      </c>
      <c r="B524" s="63" t="s">
        <v>842</v>
      </c>
      <c r="C524" s="36">
        <v>4301031350</v>
      </c>
      <c r="D524" s="665">
        <v>4680115883093</v>
      </c>
      <c r="E524" s="665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126</v>
      </c>
      <c r="L524" s="37" t="s">
        <v>46</v>
      </c>
      <c r="M524" s="38" t="s">
        <v>80</v>
      </c>
      <c r="N524" s="38"/>
      <c r="O524" s="37">
        <v>70</v>
      </c>
      <c r="P524" s="6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4" s="667"/>
      <c r="R524" s="667"/>
      <c r="S524" s="667"/>
      <c r="T524" s="668"/>
      <c r="U524" s="39" t="s">
        <v>46</v>
      </c>
      <c r="V524" s="39" t="s">
        <v>46</v>
      </c>
      <c r="W524" s="40" t="s">
        <v>0</v>
      </c>
      <c r="X524" s="58">
        <v>0</v>
      </c>
      <c r="Y524" s="55">
        <f t="shared" si="84"/>
        <v>0</v>
      </c>
      <c r="Z524" s="41" t="str">
        <f>IFERROR(IF(Y524=0,"",ROUNDUP(Y524/H524,0)*0.01196),"")</f>
        <v/>
      </c>
      <c r="AA524" s="68" t="s">
        <v>46</v>
      </c>
      <c r="AB524" s="69" t="s">
        <v>46</v>
      </c>
      <c r="AC524" s="628" t="s">
        <v>843</v>
      </c>
      <c r="AG524" s="78"/>
      <c r="AJ524" s="84" t="s">
        <v>46</v>
      </c>
      <c r="AK524" s="84">
        <v>0</v>
      </c>
      <c r="BB524" s="629" t="s">
        <v>66</v>
      </c>
      <c r="BM524" s="78">
        <f t="shared" si="85"/>
        <v>0</v>
      </c>
      <c r="BN524" s="78">
        <f t="shared" si="86"/>
        <v>0</v>
      </c>
      <c r="BO524" s="78">
        <f t="shared" si="87"/>
        <v>0</v>
      </c>
      <c r="BP524" s="78">
        <f t="shared" si="88"/>
        <v>0</v>
      </c>
    </row>
    <row r="525" spans="1:68" ht="27" hidden="1" customHeight="1" x14ac:dyDescent="0.25">
      <c r="A525" s="63" t="s">
        <v>844</v>
      </c>
      <c r="B525" s="63" t="s">
        <v>845</v>
      </c>
      <c r="C525" s="36">
        <v>4301031353</v>
      </c>
      <c r="D525" s="665">
        <v>4680115883109</v>
      </c>
      <c r="E525" s="665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126</v>
      </c>
      <c r="L525" s="37" t="s">
        <v>46</v>
      </c>
      <c r="M525" s="38" t="s">
        <v>80</v>
      </c>
      <c r="N525" s="38"/>
      <c r="O525" s="37">
        <v>70</v>
      </c>
      <c r="P525" s="6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5" s="667"/>
      <c r="R525" s="667"/>
      <c r="S525" s="667"/>
      <c r="T525" s="668"/>
      <c r="U525" s="39" t="s">
        <v>46</v>
      </c>
      <c r="V525" s="39" t="s">
        <v>46</v>
      </c>
      <c r="W525" s="40" t="s">
        <v>0</v>
      </c>
      <c r="X525" s="58">
        <v>0</v>
      </c>
      <c r="Y525" s="55">
        <f t="shared" si="84"/>
        <v>0</v>
      </c>
      <c r="Z525" s="41" t="str">
        <f>IFERROR(IF(Y525=0,"",ROUNDUP(Y525/H525,0)*0.01196),"")</f>
        <v/>
      </c>
      <c r="AA525" s="68" t="s">
        <v>46</v>
      </c>
      <c r="AB525" s="69" t="s">
        <v>46</v>
      </c>
      <c r="AC525" s="630" t="s">
        <v>846</v>
      </c>
      <c r="AG525" s="78"/>
      <c r="AJ525" s="84" t="s">
        <v>46</v>
      </c>
      <c r="AK525" s="84">
        <v>0</v>
      </c>
      <c r="BB525" s="631" t="s">
        <v>66</v>
      </c>
      <c r="BM525" s="78">
        <f t="shared" si="85"/>
        <v>0</v>
      </c>
      <c r="BN525" s="78">
        <f t="shared" si="86"/>
        <v>0</v>
      </c>
      <c r="BO525" s="78">
        <f t="shared" si="87"/>
        <v>0</v>
      </c>
      <c r="BP525" s="78">
        <f t="shared" si="88"/>
        <v>0</v>
      </c>
    </row>
    <row r="526" spans="1:68" ht="27" hidden="1" customHeight="1" x14ac:dyDescent="0.25">
      <c r="A526" s="63" t="s">
        <v>847</v>
      </c>
      <c r="B526" s="63" t="s">
        <v>848</v>
      </c>
      <c r="C526" s="36">
        <v>4301031419</v>
      </c>
      <c r="D526" s="665">
        <v>4680115882072</v>
      </c>
      <c r="E526" s="665"/>
      <c r="F526" s="62">
        <v>0.6</v>
      </c>
      <c r="G526" s="37">
        <v>8</v>
      </c>
      <c r="H526" s="62">
        <v>4.8</v>
      </c>
      <c r="I526" s="62">
        <v>6.91</v>
      </c>
      <c r="J526" s="37">
        <v>132</v>
      </c>
      <c r="K526" s="37" t="s">
        <v>133</v>
      </c>
      <c r="L526" s="37" t="s">
        <v>46</v>
      </c>
      <c r="M526" s="38" t="s">
        <v>125</v>
      </c>
      <c r="N526" s="38"/>
      <c r="O526" s="37">
        <v>70</v>
      </c>
      <c r="P526" s="6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6" s="667"/>
      <c r="R526" s="667"/>
      <c r="S526" s="667"/>
      <c r="T526" s="668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84"/>
        <v>0</v>
      </c>
      <c r="Z526" s="41" t="str">
        <f>IFERROR(IF(Y526=0,"",ROUNDUP(Y526/H526,0)*0.00902),"")</f>
        <v/>
      </c>
      <c r="AA526" s="68" t="s">
        <v>46</v>
      </c>
      <c r="AB526" s="69" t="s">
        <v>46</v>
      </c>
      <c r="AC526" s="632" t="s">
        <v>840</v>
      </c>
      <c r="AG526" s="78"/>
      <c r="AJ526" s="84" t="s">
        <v>46</v>
      </c>
      <c r="AK526" s="84">
        <v>0</v>
      </c>
      <c r="BB526" s="633" t="s">
        <v>66</v>
      </c>
      <c r="BM526" s="78">
        <f t="shared" si="85"/>
        <v>0</v>
      </c>
      <c r="BN526" s="78">
        <f t="shared" si="86"/>
        <v>0</v>
      </c>
      <c r="BO526" s="78">
        <f t="shared" si="87"/>
        <v>0</v>
      </c>
      <c r="BP526" s="78">
        <f t="shared" si="88"/>
        <v>0</v>
      </c>
    </row>
    <row r="527" spans="1:68" ht="27" hidden="1" customHeight="1" x14ac:dyDescent="0.25">
      <c r="A527" s="63" t="s">
        <v>849</v>
      </c>
      <c r="B527" s="63" t="s">
        <v>850</v>
      </c>
      <c r="C527" s="36">
        <v>4301031352</v>
      </c>
      <c r="D527" s="665">
        <v>4680115882102</v>
      </c>
      <c r="E527" s="665"/>
      <c r="F527" s="62">
        <v>0.6</v>
      </c>
      <c r="G527" s="37">
        <v>6</v>
      </c>
      <c r="H527" s="62">
        <v>3.6</v>
      </c>
      <c r="I527" s="62">
        <v>3.79</v>
      </c>
      <c r="J527" s="37">
        <v>132</v>
      </c>
      <c r="K527" s="37" t="s">
        <v>133</v>
      </c>
      <c r="L527" s="37" t="s">
        <v>46</v>
      </c>
      <c r="M527" s="38" t="s">
        <v>80</v>
      </c>
      <c r="N527" s="38"/>
      <c r="O527" s="37">
        <v>70</v>
      </c>
      <c r="P527" s="6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7" s="667"/>
      <c r="R527" s="667"/>
      <c r="S527" s="667"/>
      <c r="T527" s="668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4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843</v>
      </c>
      <c r="AG527" s="78"/>
      <c r="AJ527" s="84" t="s">
        <v>46</v>
      </c>
      <c r="AK527" s="84">
        <v>0</v>
      </c>
      <c r="BB527" s="635" t="s">
        <v>66</v>
      </c>
      <c r="BM527" s="78">
        <f t="shared" si="85"/>
        <v>0</v>
      </c>
      <c r="BN527" s="78">
        <f t="shared" si="86"/>
        <v>0</v>
      </c>
      <c r="BO527" s="78">
        <f t="shared" si="87"/>
        <v>0</v>
      </c>
      <c r="BP527" s="78">
        <f t="shared" si="88"/>
        <v>0</v>
      </c>
    </row>
    <row r="528" spans="1:68" ht="27" hidden="1" customHeight="1" x14ac:dyDescent="0.25">
      <c r="A528" s="63" t="s">
        <v>849</v>
      </c>
      <c r="B528" s="63" t="s">
        <v>851</v>
      </c>
      <c r="C528" s="36">
        <v>4301031418</v>
      </c>
      <c r="D528" s="665">
        <v>4680115882102</v>
      </c>
      <c r="E528" s="665"/>
      <c r="F528" s="62">
        <v>0.6</v>
      </c>
      <c r="G528" s="37">
        <v>8</v>
      </c>
      <c r="H528" s="62">
        <v>4.8</v>
      </c>
      <c r="I528" s="62">
        <v>6.67</v>
      </c>
      <c r="J528" s="37">
        <v>132</v>
      </c>
      <c r="K528" s="37" t="s">
        <v>133</v>
      </c>
      <c r="L528" s="37" t="s">
        <v>46</v>
      </c>
      <c r="M528" s="38" t="s">
        <v>80</v>
      </c>
      <c r="N528" s="38"/>
      <c r="O528" s="37">
        <v>70</v>
      </c>
      <c r="P528" s="6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8" s="667"/>
      <c r="R528" s="667"/>
      <c r="S528" s="667"/>
      <c r="T528" s="668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4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843</v>
      </c>
      <c r="AG528" s="78"/>
      <c r="AJ528" s="84" t="s">
        <v>46</v>
      </c>
      <c r="AK528" s="84">
        <v>0</v>
      </c>
      <c r="BB528" s="637" t="s">
        <v>66</v>
      </c>
      <c r="BM528" s="78">
        <f t="shared" si="85"/>
        <v>0</v>
      </c>
      <c r="BN528" s="78">
        <f t="shared" si="86"/>
        <v>0</v>
      </c>
      <c r="BO528" s="78">
        <f t="shared" si="87"/>
        <v>0</v>
      </c>
      <c r="BP528" s="78">
        <f t="shared" si="88"/>
        <v>0</v>
      </c>
    </row>
    <row r="529" spans="1:68" ht="27" hidden="1" customHeight="1" x14ac:dyDescent="0.25">
      <c r="A529" s="63" t="s">
        <v>852</v>
      </c>
      <c r="B529" s="63" t="s">
        <v>853</v>
      </c>
      <c r="C529" s="36">
        <v>4301031417</v>
      </c>
      <c r="D529" s="665">
        <v>4680115882096</v>
      </c>
      <c r="E529" s="665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133</v>
      </c>
      <c r="L529" s="37" t="s">
        <v>46</v>
      </c>
      <c r="M529" s="38" t="s">
        <v>80</v>
      </c>
      <c r="N529" s="38"/>
      <c r="O529" s="37">
        <v>70</v>
      </c>
      <c r="P529" s="67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9" s="667"/>
      <c r="R529" s="667"/>
      <c r="S529" s="667"/>
      <c r="T529" s="668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4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846</v>
      </c>
      <c r="AG529" s="78"/>
      <c r="AJ529" s="84" t="s">
        <v>46</v>
      </c>
      <c r="AK529" s="84">
        <v>0</v>
      </c>
      <c r="BB529" s="639" t="s">
        <v>66</v>
      </c>
      <c r="BM529" s="78">
        <f t="shared" si="85"/>
        <v>0</v>
      </c>
      <c r="BN529" s="78">
        <f t="shared" si="86"/>
        <v>0</v>
      </c>
      <c r="BO529" s="78">
        <f t="shared" si="87"/>
        <v>0</v>
      </c>
      <c r="BP529" s="78">
        <f t="shared" si="88"/>
        <v>0</v>
      </c>
    </row>
    <row r="530" spans="1:68" hidden="1" x14ac:dyDescent="0.2">
      <c r="A530" s="661"/>
      <c r="B530" s="661"/>
      <c r="C530" s="661"/>
      <c r="D530" s="661"/>
      <c r="E530" s="661"/>
      <c r="F530" s="661"/>
      <c r="G530" s="661"/>
      <c r="H530" s="661"/>
      <c r="I530" s="661"/>
      <c r="J530" s="661"/>
      <c r="K530" s="661"/>
      <c r="L530" s="661"/>
      <c r="M530" s="661"/>
      <c r="N530" s="661"/>
      <c r="O530" s="662"/>
      <c r="P530" s="658" t="s">
        <v>40</v>
      </c>
      <c r="Q530" s="659"/>
      <c r="R530" s="659"/>
      <c r="S530" s="659"/>
      <c r="T530" s="659"/>
      <c r="U530" s="659"/>
      <c r="V530" s="660"/>
      <c r="W530" s="42" t="s">
        <v>39</v>
      </c>
      <c r="X530" s="43">
        <f>IFERROR(X523/H523,"0")+IFERROR(X524/H524,"0")+IFERROR(X525/H525,"0")+IFERROR(X526/H526,"0")+IFERROR(X527/H527,"0")+IFERROR(X528/H528,"0")+IFERROR(X529/H529,"0")</f>
        <v>0</v>
      </c>
      <c r="Y530" s="43">
        <f>IFERROR(Y523/H523,"0")+IFERROR(Y524/H524,"0")+IFERROR(Y525/H525,"0")+IFERROR(Y526/H526,"0")+IFERROR(Y527/H527,"0")+IFERROR(Y528/H528,"0")+IFERROR(Y529/H529,"0")</f>
        <v>0</v>
      </c>
      <c r="Z530" s="43">
        <f>IFERROR(IF(Z523="",0,Z523),"0")+IFERROR(IF(Z524="",0,Z524),"0")+IFERROR(IF(Z525="",0,Z525),"0")+IFERROR(IF(Z526="",0,Z526),"0")+IFERROR(IF(Z527="",0,Z527),"0")+IFERROR(IF(Z528="",0,Z528),"0")+IFERROR(IF(Z529="",0,Z529),"0")</f>
        <v>0</v>
      </c>
      <c r="AA530" s="67"/>
      <c r="AB530" s="67"/>
      <c r="AC530" s="67"/>
    </row>
    <row r="531" spans="1:68" hidden="1" x14ac:dyDescent="0.2">
      <c r="A531" s="661"/>
      <c r="B531" s="661"/>
      <c r="C531" s="661"/>
      <c r="D531" s="661"/>
      <c r="E531" s="661"/>
      <c r="F531" s="661"/>
      <c r="G531" s="661"/>
      <c r="H531" s="661"/>
      <c r="I531" s="661"/>
      <c r="J531" s="661"/>
      <c r="K531" s="661"/>
      <c r="L531" s="661"/>
      <c r="M531" s="661"/>
      <c r="N531" s="661"/>
      <c r="O531" s="662"/>
      <c r="P531" s="658" t="s">
        <v>40</v>
      </c>
      <c r="Q531" s="659"/>
      <c r="R531" s="659"/>
      <c r="S531" s="659"/>
      <c r="T531" s="659"/>
      <c r="U531" s="659"/>
      <c r="V531" s="660"/>
      <c r="W531" s="42" t="s">
        <v>0</v>
      </c>
      <c r="X531" s="43">
        <f>IFERROR(SUM(X523:X529),"0")</f>
        <v>0</v>
      </c>
      <c r="Y531" s="43">
        <f>IFERROR(SUM(Y523:Y529),"0")</f>
        <v>0</v>
      </c>
      <c r="Z531" s="42"/>
      <c r="AA531" s="67"/>
      <c r="AB531" s="67"/>
      <c r="AC531" s="67"/>
    </row>
    <row r="532" spans="1:68" ht="27.75" hidden="1" customHeight="1" x14ac:dyDescent="0.2">
      <c r="A532" s="678" t="s">
        <v>854</v>
      </c>
      <c r="B532" s="678"/>
      <c r="C532" s="678"/>
      <c r="D532" s="678"/>
      <c r="E532" s="678"/>
      <c r="F532" s="678"/>
      <c r="G532" s="678"/>
      <c r="H532" s="678"/>
      <c r="I532" s="678"/>
      <c r="J532" s="678"/>
      <c r="K532" s="678"/>
      <c r="L532" s="678"/>
      <c r="M532" s="678"/>
      <c r="N532" s="678"/>
      <c r="O532" s="678"/>
      <c r="P532" s="678"/>
      <c r="Q532" s="678"/>
      <c r="R532" s="678"/>
      <c r="S532" s="678"/>
      <c r="T532" s="678"/>
      <c r="U532" s="678"/>
      <c r="V532" s="678"/>
      <c r="W532" s="678"/>
      <c r="X532" s="678"/>
      <c r="Y532" s="678"/>
      <c r="Z532" s="678"/>
      <c r="AA532" s="54"/>
      <c r="AB532" s="54"/>
      <c r="AC532" s="54"/>
    </row>
    <row r="533" spans="1:68" ht="16.5" hidden="1" customHeight="1" x14ac:dyDescent="0.25">
      <c r="A533" s="663" t="s">
        <v>854</v>
      </c>
      <c r="B533" s="663"/>
      <c r="C533" s="663"/>
      <c r="D533" s="663"/>
      <c r="E533" s="663"/>
      <c r="F533" s="663"/>
      <c r="G533" s="663"/>
      <c r="H533" s="663"/>
      <c r="I533" s="663"/>
      <c r="J533" s="663"/>
      <c r="K533" s="663"/>
      <c r="L533" s="663"/>
      <c r="M533" s="663"/>
      <c r="N533" s="663"/>
      <c r="O533" s="663"/>
      <c r="P533" s="663"/>
      <c r="Q533" s="663"/>
      <c r="R533" s="663"/>
      <c r="S533" s="663"/>
      <c r="T533" s="663"/>
      <c r="U533" s="663"/>
      <c r="V533" s="663"/>
      <c r="W533" s="663"/>
      <c r="X533" s="663"/>
      <c r="Y533" s="663"/>
      <c r="Z533" s="663"/>
      <c r="AA533" s="65"/>
      <c r="AB533" s="65"/>
      <c r="AC533" s="79"/>
    </row>
    <row r="534" spans="1:68" ht="14.25" hidden="1" customHeight="1" x14ac:dyDescent="0.25">
      <c r="A534" s="664" t="s">
        <v>121</v>
      </c>
      <c r="B534" s="664"/>
      <c r="C534" s="664"/>
      <c r="D534" s="664"/>
      <c r="E534" s="664"/>
      <c r="F534" s="664"/>
      <c r="G534" s="664"/>
      <c r="H534" s="664"/>
      <c r="I534" s="664"/>
      <c r="J534" s="664"/>
      <c r="K534" s="664"/>
      <c r="L534" s="664"/>
      <c r="M534" s="664"/>
      <c r="N534" s="664"/>
      <c r="O534" s="664"/>
      <c r="P534" s="664"/>
      <c r="Q534" s="664"/>
      <c r="R534" s="664"/>
      <c r="S534" s="664"/>
      <c r="T534" s="664"/>
      <c r="U534" s="664"/>
      <c r="V534" s="664"/>
      <c r="W534" s="664"/>
      <c r="X534" s="664"/>
      <c r="Y534" s="664"/>
      <c r="Z534" s="664"/>
      <c r="AA534" s="66"/>
      <c r="AB534" s="66"/>
      <c r="AC534" s="80"/>
    </row>
    <row r="535" spans="1:68" ht="27" hidden="1" customHeight="1" x14ac:dyDescent="0.25">
      <c r="A535" s="63" t="s">
        <v>855</v>
      </c>
      <c r="B535" s="63" t="s">
        <v>856</v>
      </c>
      <c r="C535" s="36">
        <v>4301011584</v>
      </c>
      <c r="D535" s="665">
        <v>4640242180564</v>
      </c>
      <c r="E535" s="665"/>
      <c r="F535" s="62">
        <v>1.5</v>
      </c>
      <c r="G535" s="37">
        <v>8</v>
      </c>
      <c r="H535" s="62">
        <v>12</v>
      </c>
      <c r="I535" s="62">
        <v>12.41</v>
      </c>
      <c r="J535" s="37">
        <v>64</v>
      </c>
      <c r="K535" s="37" t="s">
        <v>126</v>
      </c>
      <c r="L535" s="37" t="s">
        <v>46</v>
      </c>
      <c r="M535" s="38" t="s">
        <v>125</v>
      </c>
      <c r="N535" s="38"/>
      <c r="O535" s="37">
        <v>50</v>
      </c>
      <c r="P535" s="67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5" s="667"/>
      <c r="R535" s="667"/>
      <c r="S535" s="667"/>
      <c r="T535" s="668"/>
      <c r="U535" s="39" t="s">
        <v>46</v>
      </c>
      <c r="V535" s="39" t="s">
        <v>46</v>
      </c>
      <c r="W535" s="40" t="s">
        <v>0</v>
      </c>
      <c r="X535" s="58">
        <v>0</v>
      </c>
      <c r="Y535" s="55">
        <f>IFERROR(IF(X535="",0,CEILING((X535/$H535),1)*$H535),"")</f>
        <v>0</v>
      </c>
      <c r="Z535" s="41" t="str">
        <f>IFERROR(IF(Y535=0,"",ROUNDUP(Y535/H535,0)*0.01898),"")</f>
        <v/>
      </c>
      <c r="AA535" s="68" t="s">
        <v>46</v>
      </c>
      <c r="AB535" s="69" t="s">
        <v>46</v>
      </c>
      <c r="AC535" s="640" t="s">
        <v>857</v>
      </c>
      <c r="AG535" s="78"/>
      <c r="AJ535" s="84" t="s">
        <v>46</v>
      </c>
      <c r="AK535" s="84">
        <v>0</v>
      </c>
      <c r="BB535" s="641" t="s">
        <v>66</v>
      </c>
      <c r="BM535" s="78">
        <f>IFERROR(X535*I535/H535,"0")</f>
        <v>0</v>
      </c>
      <c r="BN535" s="78">
        <f>IFERROR(Y535*I535/H535,"0")</f>
        <v>0</v>
      </c>
      <c r="BO535" s="78">
        <f>IFERROR(1/J535*(X535/H535),"0")</f>
        <v>0</v>
      </c>
      <c r="BP535" s="78">
        <f>IFERROR(1/J535*(Y535/H535),"0")</f>
        <v>0</v>
      </c>
    </row>
    <row r="536" spans="1:68" hidden="1" x14ac:dyDescent="0.2">
      <c r="A536" s="661"/>
      <c r="B536" s="661"/>
      <c r="C536" s="661"/>
      <c r="D536" s="661"/>
      <c r="E536" s="661"/>
      <c r="F536" s="661"/>
      <c r="G536" s="661"/>
      <c r="H536" s="661"/>
      <c r="I536" s="661"/>
      <c r="J536" s="661"/>
      <c r="K536" s="661"/>
      <c r="L536" s="661"/>
      <c r="M536" s="661"/>
      <c r="N536" s="661"/>
      <c r="O536" s="662"/>
      <c r="P536" s="658" t="s">
        <v>40</v>
      </c>
      <c r="Q536" s="659"/>
      <c r="R536" s="659"/>
      <c r="S536" s="659"/>
      <c r="T536" s="659"/>
      <c r="U536" s="659"/>
      <c r="V536" s="660"/>
      <c r="W536" s="42" t="s">
        <v>39</v>
      </c>
      <c r="X536" s="43">
        <f>IFERROR(X535/H535,"0")</f>
        <v>0</v>
      </c>
      <c r="Y536" s="43">
        <f>IFERROR(Y535/H535,"0")</f>
        <v>0</v>
      </c>
      <c r="Z536" s="43">
        <f>IFERROR(IF(Z535="",0,Z535),"0")</f>
        <v>0</v>
      </c>
      <c r="AA536" s="67"/>
      <c r="AB536" s="67"/>
      <c r="AC536" s="67"/>
    </row>
    <row r="537" spans="1:68" hidden="1" x14ac:dyDescent="0.2">
      <c r="A537" s="661"/>
      <c r="B537" s="661"/>
      <c r="C537" s="661"/>
      <c r="D537" s="661"/>
      <c r="E537" s="661"/>
      <c r="F537" s="661"/>
      <c r="G537" s="661"/>
      <c r="H537" s="661"/>
      <c r="I537" s="661"/>
      <c r="J537" s="661"/>
      <c r="K537" s="661"/>
      <c r="L537" s="661"/>
      <c r="M537" s="661"/>
      <c r="N537" s="661"/>
      <c r="O537" s="662"/>
      <c r="P537" s="658" t="s">
        <v>40</v>
      </c>
      <c r="Q537" s="659"/>
      <c r="R537" s="659"/>
      <c r="S537" s="659"/>
      <c r="T537" s="659"/>
      <c r="U537" s="659"/>
      <c r="V537" s="660"/>
      <c r="W537" s="42" t="s">
        <v>0</v>
      </c>
      <c r="X537" s="43">
        <f>IFERROR(SUM(X535:X535),"0")</f>
        <v>0</v>
      </c>
      <c r="Y537" s="43">
        <f>IFERROR(SUM(Y535:Y535),"0")</f>
        <v>0</v>
      </c>
      <c r="Z537" s="42"/>
      <c r="AA537" s="67"/>
      <c r="AB537" s="67"/>
      <c r="AC537" s="67"/>
    </row>
    <row r="538" spans="1:68" ht="14.25" hidden="1" customHeight="1" x14ac:dyDescent="0.25">
      <c r="A538" s="664" t="s">
        <v>154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6"/>
      <c r="AB538" s="66"/>
      <c r="AC538" s="80"/>
    </row>
    <row r="539" spans="1:68" ht="27" hidden="1" customHeight="1" x14ac:dyDescent="0.25">
      <c r="A539" s="63" t="s">
        <v>858</v>
      </c>
      <c r="B539" s="63" t="s">
        <v>859</v>
      </c>
      <c r="C539" s="36">
        <v>4301020400</v>
      </c>
      <c r="D539" s="665">
        <v>4640242180519</v>
      </c>
      <c r="E539" s="665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126</v>
      </c>
      <c r="L539" s="37" t="s">
        <v>46</v>
      </c>
      <c r="M539" s="38" t="s">
        <v>125</v>
      </c>
      <c r="N539" s="38"/>
      <c r="O539" s="37">
        <v>50</v>
      </c>
      <c r="P539" s="68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9" s="667"/>
      <c r="R539" s="667"/>
      <c r="S539" s="667"/>
      <c r="T539" s="668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2" t="s">
        <v>860</v>
      </c>
      <c r="AG539" s="78"/>
      <c r="AJ539" s="84" t="s">
        <v>46</v>
      </c>
      <c r="AK539" s="84">
        <v>0</v>
      </c>
      <c r="BB539" s="643" t="s">
        <v>66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1"/>
      <c r="B540" s="661"/>
      <c r="C540" s="661"/>
      <c r="D540" s="661"/>
      <c r="E540" s="661"/>
      <c r="F540" s="661"/>
      <c r="G540" s="661"/>
      <c r="H540" s="661"/>
      <c r="I540" s="661"/>
      <c r="J540" s="661"/>
      <c r="K540" s="661"/>
      <c r="L540" s="661"/>
      <c r="M540" s="661"/>
      <c r="N540" s="661"/>
      <c r="O540" s="662"/>
      <c r="P540" s="658" t="s">
        <v>40</v>
      </c>
      <c r="Q540" s="659"/>
      <c r="R540" s="659"/>
      <c r="S540" s="659"/>
      <c r="T540" s="659"/>
      <c r="U540" s="659"/>
      <c r="V540" s="660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1"/>
      <c r="B541" s="661"/>
      <c r="C541" s="661"/>
      <c r="D541" s="661"/>
      <c r="E541" s="661"/>
      <c r="F541" s="661"/>
      <c r="G541" s="661"/>
      <c r="H541" s="661"/>
      <c r="I541" s="661"/>
      <c r="J541" s="661"/>
      <c r="K541" s="661"/>
      <c r="L541" s="661"/>
      <c r="M541" s="661"/>
      <c r="N541" s="661"/>
      <c r="O541" s="662"/>
      <c r="P541" s="658" t="s">
        <v>40</v>
      </c>
      <c r="Q541" s="659"/>
      <c r="R541" s="659"/>
      <c r="S541" s="659"/>
      <c r="T541" s="659"/>
      <c r="U541" s="659"/>
      <c r="V541" s="660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64" t="s">
        <v>76</v>
      </c>
      <c r="B542" s="664"/>
      <c r="C542" s="664"/>
      <c r="D542" s="664"/>
      <c r="E542" s="664"/>
      <c r="F542" s="664"/>
      <c r="G542" s="664"/>
      <c r="H542" s="664"/>
      <c r="I542" s="664"/>
      <c r="J542" s="664"/>
      <c r="K542" s="664"/>
      <c r="L542" s="664"/>
      <c r="M542" s="664"/>
      <c r="N542" s="664"/>
      <c r="O542" s="664"/>
      <c r="P542" s="664"/>
      <c r="Q542" s="664"/>
      <c r="R542" s="664"/>
      <c r="S542" s="664"/>
      <c r="T542" s="664"/>
      <c r="U542" s="664"/>
      <c r="V542" s="664"/>
      <c r="W542" s="664"/>
      <c r="X542" s="664"/>
      <c r="Y542" s="664"/>
      <c r="Z542" s="664"/>
      <c r="AA542" s="66"/>
      <c r="AB542" s="66"/>
      <c r="AC542" s="80"/>
    </row>
    <row r="543" spans="1:68" ht="27" hidden="1" customHeight="1" x14ac:dyDescent="0.25">
      <c r="A543" s="63" t="s">
        <v>861</v>
      </c>
      <c r="B543" s="63" t="s">
        <v>862</v>
      </c>
      <c r="C543" s="36">
        <v>4301031500</v>
      </c>
      <c r="D543" s="665">
        <v>4640242180595</v>
      </c>
      <c r="E543" s="665"/>
      <c r="F543" s="62">
        <v>0.7</v>
      </c>
      <c r="G543" s="37">
        <v>6</v>
      </c>
      <c r="H543" s="62">
        <v>4.2</v>
      </c>
      <c r="I543" s="62">
        <v>4.45</v>
      </c>
      <c r="J543" s="37">
        <v>132</v>
      </c>
      <c r="K543" s="37" t="s">
        <v>133</v>
      </c>
      <c r="L543" s="37" t="s">
        <v>46</v>
      </c>
      <c r="M543" s="38" t="s">
        <v>80</v>
      </c>
      <c r="N543" s="38"/>
      <c r="O543" s="37">
        <v>40</v>
      </c>
      <c r="P543" s="67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3" s="667"/>
      <c r="R543" s="667"/>
      <c r="S543" s="667"/>
      <c r="T543" s="668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IFERROR(IF(Y543=0,"",ROUNDUP(Y543/H543,0)*0.00902),"")</f>
        <v/>
      </c>
      <c r="AA543" s="68" t="s">
        <v>46</v>
      </c>
      <c r="AB543" s="69" t="s">
        <v>46</v>
      </c>
      <c r="AC543" s="644" t="s">
        <v>863</v>
      </c>
      <c r="AG543" s="78"/>
      <c r="AJ543" s="84" t="s">
        <v>46</v>
      </c>
      <c r="AK543" s="84">
        <v>0</v>
      </c>
      <c r="BB543" s="64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1"/>
      <c r="B544" s="661"/>
      <c r="C544" s="661"/>
      <c r="D544" s="661"/>
      <c r="E544" s="661"/>
      <c r="F544" s="661"/>
      <c r="G544" s="661"/>
      <c r="H544" s="661"/>
      <c r="I544" s="661"/>
      <c r="J544" s="661"/>
      <c r="K544" s="661"/>
      <c r="L544" s="661"/>
      <c r="M544" s="661"/>
      <c r="N544" s="661"/>
      <c r="O544" s="662"/>
      <c r="P544" s="658" t="s">
        <v>40</v>
      </c>
      <c r="Q544" s="659"/>
      <c r="R544" s="659"/>
      <c r="S544" s="659"/>
      <c r="T544" s="659"/>
      <c r="U544" s="659"/>
      <c r="V544" s="660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1"/>
      <c r="B545" s="661"/>
      <c r="C545" s="661"/>
      <c r="D545" s="661"/>
      <c r="E545" s="661"/>
      <c r="F545" s="661"/>
      <c r="G545" s="661"/>
      <c r="H545" s="661"/>
      <c r="I545" s="661"/>
      <c r="J545" s="661"/>
      <c r="K545" s="661"/>
      <c r="L545" s="661"/>
      <c r="M545" s="661"/>
      <c r="N545" s="661"/>
      <c r="O545" s="662"/>
      <c r="P545" s="658" t="s">
        <v>40</v>
      </c>
      <c r="Q545" s="659"/>
      <c r="R545" s="659"/>
      <c r="S545" s="659"/>
      <c r="T545" s="659"/>
      <c r="U545" s="659"/>
      <c r="V545" s="660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64" t="s">
        <v>85</v>
      </c>
      <c r="B546" s="664"/>
      <c r="C546" s="664"/>
      <c r="D546" s="664"/>
      <c r="E546" s="664"/>
      <c r="F546" s="664"/>
      <c r="G546" s="664"/>
      <c r="H546" s="664"/>
      <c r="I546" s="664"/>
      <c r="J546" s="664"/>
      <c r="K546" s="664"/>
      <c r="L546" s="664"/>
      <c r="M546" s="664"/>
      <c r="N546" s="664"/>
      <c r="O546" s="664"/>
      <c r="P546" s="664"/>
      <c r="Q546" s="664"/>
      <c r="R546" s="664"/>
      <c r="S546" s="664"/>
      <c r="T546" s="664"/>
      <c r="U546" s="664"/>
      <c r="V546" s="664"/>
      <c r="W546" s="664"/>
      <c r="X546" s="664"/>
      <c r="Y546" s="664"/>
      <c r="Z546" s="664"/>
      <c r="AA546" s="66"/>
      <c r="AB546" s="66"/>
      <c r="AC546" s="80"/>
    </row>
    <row r="547" spans="1:68" ht="27" hidden="1" customHeight="1" x14ac:dyDescent="0.25">
      <c r="A547" s="63" t="s">
        <v>864</v>
      </c>
      <c r="B547" s="63" t="s">
        <v>865</v>
      </c>
      <c r="C547" s="36">
        <v>4301052043</v>
      </c>
      <c r="D547" s="665">
        <v>4640242180533</v>
      </c>
      <c r="E547" s="665"/>
      <c r="F547" s="62">
        <v>1.5</v>
      </c>
      <c r="G547" s="37">
        <v>6</v>
      </c>
      <c r="H547" s="62">
        <v>9</v>
      </c>
      <c r="I547" s="62">
        <v>9.4939999999999998</v>
      </c>
      <c r="J547" s="37">
        <v>64</v>
      </c>
      <c r="K547" s="37" t="s">
        <v>126</v>
      </c>
      <c r="L547" s="37" t="s">
        <v>46</v>
      </c>
      <c r="M547" s="38" t="s">
        <v>89</v>
      </c>
      <c r="N547" s="38"/>
      <c r="O547" s="37">
        <v>45</v>
      </c>
      <c r="P547" s="67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7" s="667"/>
      <c r="R547" s="667"/>
      <c r="S547" s="667"/>
      <c r="T547" s="668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IFERROR(IF(Y547=0,"",ROUNDUP(Y547/H547,0)*0.01898),"")</f>
        <v/>
      </c>
      <c r="AA547" s="68" t="s">
        <v>46</v>
      </c>
      <c r="AB547" s="69" t="s">
        <v>46</v>
      </c>
      <c r="AC547" s="646" t="s">
        <v>866</v>
      </c>
      <c r="AG547" s="78"/>
      <c r="AJ547" s="84" t="s">
        <v>46</v>
      </c>
      <c r="AK547" s="84">
        <v>0</v>
      </c>
      <c r="BB547" s="647" t="s">
        <v>66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1"/>
      <c r="B548" s="661"/>
      <c r="C548" s="661"/>
      <c r="D548" s="661"/>
      <c r="E548" s="661"/>
      <c r="F548" s="661"/>
      <c r="G548" s="661"/>
      <c r="H548" s="661"/>
      <c r="I548" s="661"/>
      <c r="J548" s="661"/>
      <c r="K548" s="661"/>
      <c r="L548" s="661"/>
      <c r="M548" s="661"/>
      <c r="N548" s="661"/>
      <c r="O548" s="662"/>
      <c r="P548" s="658" t="s">
        <v>40</v>
      </c>
      <c r="Q548" s="659"/>
      <c r="R548" s="659"/>
      <c r="S548" s="659"/>
      <c r="T548" s="659"/>
      <c r="U548" s="659"/>
      <c r="V548" s="660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1"/>
      <c r="B549" s="661"/>
      <c r="C549" s="661"/>
      <c r="D549" s="661"/>
      <c r="E549" s="661"/>
      <c r="F549" s="661"/>
      <c r="G549" s="661"/>
      <c r="H549" s="661"/>
      <c r="I549" s="661"/>
      <c r="J549" s="661"/>
      <c r="K549" s="661"/>
      <c r="L549" s="661"/>
      <c r="M549" s="661"/>
      <c r="N549" s="661"/>
      <c r="O549" s="662"/>
      <c r="P549" s="658" t="s">
        <v>40</v>
      </c>
      <c r="Q549" s="659"/>
      <c r="R549" s="659"/>
      <c r="S549" s="659"/>
      <c r="T549" s="659"/>
      <c r="U549" s="659"/>
      <c r="V549" s="660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64" t="s">
        <v>172</v>
      </c>
      <c r="B550" s="664"/>
      <c r="C550" s="664"/>
      <c r="D550" s="664"/>
      <c r="E550" s="664"/>
      <c r="F550" s="664"/>
      <c r="G550" s="664"/>
      <c r="H550" s="664"/>
      <c r="I550" s="664"/>
      <c r="J550" s="664"/>
      <c r="K550" s="664"/>
      <c r="L550" s="664"/>
      <c r="M550" s="664"/>
      <c r="N550" s="664"/>
      <c r="O550" s="664"/>
      <c r="P550" s="664"/>
      <c r="Q550" s="664"/>
      <c r="R550" s="664"/>
      <c r="S550" s="664"/>
      <c r="T550" s="664"/>
      <c r="U550" s="664"/>
      <c r="V550" s="664"/>
      <c r="W550" s="664"/>
      <c r="X550" s="664"/>
      <c r="Y550" s="664"/>
      <c r="Z550" s="664"/>
      <c r="AA550" s="66"/>
      <c r="AB550" s="66"/>
      <c r="AC550" s="80"/>
    </row>
    <row r="551" spans="1:68" ht="27" hidden="1" customHeight="1" x14ac:dyDescent="0.25">
      <c r="A551" s="63" t="s">
        <v>867</v>
      </c>
      <c r="B551" s="63" t="s">
        <v>868</v>
      </c>
      <c r="C551" s="36">
        <v>4301060535</v>
      </c>
      <c r="D551" s="665">
        <v>4640242180120</v>
      </c>
      <c r="E551" s="665"/>
      <c r="F551" s="62">
        <v>1.5</v>
      </c>
      <c r="G551" s="37">
        <v>6</v>
      </c>
      <c r="H551" s="62">
        <v>9</v>
      </c>
      <c r="I551" s="62">
        <v>9.41</v>
      </c>
      <c r="J551" s="37">
        <v>64</v>
      </c>
      <c r="K551" s="37" t="s">
        <v>126</v>
      </c>
      <c r="L551" s="37" t="s">
        <v>46</v>
      </c>
      <c r="M551" s="38" t="s">
        <v>89</v>
      </c>
      <c r="N551" s="38"/>
      <c r="O551" s="37">
        <v>40</v>
      </c>
      <c r="P551" s="67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1" s="667"/>
      <c r="R551" s="667"/>
      <c r="S551" s="667"/>
      <c r="T551" s="668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8" t="s">
        <v>869</v>
      </c>
      <c r="AG551" s="78"/>
      <c r="AJ551" s="84" t="s">
        <v>46</v>
      </c>
      <c r="AK551" s="84">
        <v>0</v>
      </c>
      <c r="BB551" s="649" t="s">
        <v>66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t="27" hidden="1" customHeight="1" x14ac:dyDescent="0.25">
      <c r="A552" s="63" t="s">
        <v>870</v>
      </c>
      <c r="B552" s="63" t="s">
        <v>871</v>
      </c>
      <c r="C552" s="36">
        <v>4301060536</v>
      </c>
      <c r="D552" s="665">
        <v>4640242180137</v>
      </c>
      <c r="E552" s="665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126</v>
      </c>
      <c r="L552" s="37" t="s">
        <v>46</v>
      </c>
      <c r="M552" s="38" t="s">
        <v>89</v>
      </c>
      <c r="N552" s="38"/>
      <c r="O552" s="37">
        <v>40</v>
      </c>
      <c r="P552" s="67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2" s="667"/>
      <c r="R552" s="667"/>
      <c r="S552" s="667"/>
      <c r="T552" s="668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872</v>
      </c>
      <c r="AG552" s="78"/>
      <c r="AJ552" s="84" t="s">
        <v>46</v>
      </c>
      <c r="AK552" s="84">
        <v>0</v>
      </c>
      <c r="BB552" s="651" t="s">
        <v>66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61"/>
      <c r="B553" s="661"/>
      <c r="C553" s="661"/>
      <c r="D553" s="661"/>
      <c r="E553" s="661"/>
      <c r="F553" s="661"/>
      <c r="G553" s="661"/>
      <c r="H553" s="661"/>
      <c r="I553" s="661"/>
      <c r="J553" s="661"/>
      <c r="K553" s="661"/>
      <c r="L553" s="661"/>
      <c r="M553" s="661"/>
      <c r="N553" s="661"/>
      <c r="O553" s="662"/>
      <c r="P553" s="658" t="s">
        <v>40</v>
      </c>
      <c r="Q553" s="659"/>
      <c r="R553" s="659"/>
      <c r="S553" s="659"/>
      <c r="T553" s="659"/>
      <c r="U553" s="659"/>
      <c r="V553" s="660"/>
      <c r="W553" s="42" t="s">
        <v>39</v>
      </c>
      <c r="X553" s="43">
        <f>IFERROR(X551/H551,"0")+IFERROR(X552/H552,"0")</f>
        <v>0</v>
      </c>
      <c r="Y553" s="43">
        <f>IFERROR(Y551/H551,"0")+IFERROR(Y552/H552,"0")</f>
        <v>0</v>
      </c>
      <c r="Z553" s="43">
        <f>IFERROR(IF(Z551="",0,Z551),"0")+IFERROR(IF(Z552="",0,Z552),"0")</f>
        <v>0</v>
      </c>
      <c r="AA553" s="67"/>
      <c r="AB553" s="67"/>
      <c r="AC553" s="67"/>
    </row>
    <row r="554" spans="1:68" hidden="1" x14ac:dyDescent="0.2">
      <c r="A554" s="661"/>
      <c r="B554" s="661"/>
      <c r="C554" s="661"/>
      <c r="D554" s="661"/>
      <c r="E554" s="661"/>
      <c r="F554" s="661"/>
      <c r="G554" s="661"/>
      <c r="H554" s="661"/>
      <c r="I554" s="661"/>
      <c r="J554" s="661"/>
      <c r="K554" s="661"/>
      <c r="L554" s="661"/>
      <c r="M554" s="661"/>
      <c r="N554" s="661"/>
      <c r="O554" s="662"/>
      <c r="P554" s="658" t="s">
        <v>40</v>
      </c>
      <c r="Q554" s="659"/>
      <c r="R554" s="659"/>
      <c r="S554" s="659"/>
      <c r="T554" s="659"/>
      <c r="U554" s="659"/>
      <c r="V554" s="660"/>
      <c r="W554" s="42" t="s">
        <v>0</v>
      </c>
      <c r="X554" s="43">
        <f>IFERROR(SUM(X551:X552),"0")</f>
        <v>0</v>
      </c>
      <c r="Y554" s="43">
        <f>IFERROR(SUM(Y551:Y552),"0")</f>
        <v>0</v>
      </c>
      <c r="Z554" s="42"/>
      <c r="AA554" s="67"/>
      <c r="AB554" s="67"/>
      <c r="AC554" s="67"/>
    </row>
    <row r="555" spans="1:68" ht="16.5" hidden="1" customHeight="1" x14ac:dyDescent="0.25">
      <c r="A555" s="663" t="s">
        <v>873</v>
      </c>
      <c r="B555" s="663"/>
      <c r="C555" s="663"/>
      <c r="D555" s="663"/>
      <c r="E555" s="663"/>
      <c r="F555" s="663"/>
      <c r="G555" s="663"/>
      <c r="H555" s="663"/>
      <c r="I555" s="663"/>
      <c r="J555" s="663"/>
      <c r="K555" s="663"/>
      <c r="L555" s="663"/>
      <c r="M555" s="663"/>
      <c r="N555" s="663"/>
      <c r="O555" s="663"/>
      <c r="P555" s="663"/>
      <c r="Q555" s="663"/>
      <c r="R555" s="663"/>
      <c r="S555" s="663"/>
      <c r="T555" s="663"/>
      <c r="U555" s="663"/>
      <c r="V555" s="663"/>
      <c r="W555" s="663"/>
      <c r="X555" s="663"/>
      <c r="Y555" s="663"/>
      <c r="Z555" s="663"/>
      <c r="AA555" s="65"/>
      <c r="AB555" s="65"/>
      <c r="AC555" s="79"/>
    </row>
    <row r="556" spans="1:68" ht="14.25" hidden="1" customHeight="1" x14ac:dyDescent="0.25">
      <c r="A556" s="664" t="s">
        <v>154</v>
      </c>
      <c r="B556" s="664"/>
      <c r="C556" s="664"/>
      <c r="D556" s="664"/>
      <c r="E556" s="664"/>
      <c r="F556" s="664"/>
      <c r="G556" s="664"/>
      <c r="H556" s="664"/>
      <c r="I556" s="664"/>
      <c r="J556" s="664"/>
      <c r="K556" s="664"/>
      <c r="L556" s="664"/>
      <c r="M556" s="664"/>
      <c r="N556" s="664"/>
      <c r="O556" s="664"/>
      <c r="P556" s="664"/>
      <c r="Q556" s="664"/>
      <c r="R556" s="664"/>
      <c r="S556" s="664"/>
      <c r="T556" s="664"/>
      <c r="U556" s="664"/>
      <c r="V556" s="664"/>
      <c r="W556" s="664"/>
      <c r="X556" s="664"/>
      <c r="Y556" s="664"/>
      <c r="Z556" s="664"/>
      <c r="AA556" s="66"/>
      <c r="AB556" s="66"/>
      <c r="AC556" s="80"/>
    </row>
    <row r="557" spans="1:68" ht="27" hidden="1" customHeight="1" x14ac:dyDescent="0.25">
      <c r="A557" s="63" t="s">
        <v>874</v>
      </c>
      <c r="B557" s="63" t="s">
        <v>875</v>
      </c>
      <c r="C557" s="36">
        <v>4301020428</v>
      </c>
      <c r="D557" s="665">
        <v>4640242180090</v>
      </c>
      <c r="E557" s="665"/>
      <c r="F557" s="62">
        <v>1.5</v>
      </c>
      <c r="G557" s="37">
        <v>8</v>
      </c>
      <c r="H557" s="62">
        <v>12</v>
      </c>
      <c r="I557" s="62">
        <v>12.41</v>
      </c>
      <c r="J557" s="37">
        <v>64</v>
      </c>
      <c r="K557" s="37" t="s">
        <v>126</v>
      </c>
      <c r="L557" s="37" t="s">
        <v>46</v>
      </c>
      <c r="M557" s="38" t="s">
        <v>125</v>
      </c>
      <c r="N557" s="38"/>
      <c r="O557" s="37">
        <v>50</v>
      </c>
      <c r="P557" s="666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7" s="667"/>
      <c r="R557" s="667"/>
      <c r="S557" s="667"/>
      <c r="T557" s="668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52" t="s">
        <v>876</v>
      </c>
      <c r="AG557" s="78"/>
      <c r="AJ557" s="84" t="s">
        <v>46</v>
      </c>
      <c r="AK557" s="84">
        <v>0</v>
      </c>
      <c r="BB557" s="653" t="s">
        <v>66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61"/>
      <c r="B558" s="661"/>
      <c r="C558" s="661"/>
      <c r="D558" s="661"/>
      <c r="E558" s="661"/>
      <c r="F558" s="661"/>
      <c r="G558" s="661"/>
      <c r="H558" s="661"/>
      <c r="I558" s="661"/>
      <c r="J558" s="661"/>
      <c r="K558" s="661"/>
      <c r="L558" s="661"/>
      <c r="M558" s="661"/>
      <c r="N558" s="661"/>
      <c r="O558" s="662"/>
      <c r="P558" s="658" t="s">
        <v>40</v>
      </c>
      <c r="Q558" s="659"/>
      <c r="R558" s="659"/>
      <c r="S558" s="659"/>
      <c r="T558" s="659"/>
      <c r="U558" s="659"/>
      <c r="V558" s="660"/>
      <c r="W558" s="42" t="s">
        <v>39</v>
      </c>
      <c r="X558" s="43">
        <f>IFERROR(X557/H557,"0")</f>
        <v>0</v>
      </c>
      <c r="Y558" s="43">
        <f>IFERROR(Y557/H557,"0")</f>
        <v>0</v>
      </c>
      <c r="Z558" s="43">
        <f>IFERROR(IF(Z557="",0,Z557),"0")</f>
        <v>0</v>
      </c>
      <c r="AA558" s="67"/>
      <c r="AB558" s="67"/>
      <c r="AC558" s="67"/>
    </row>
    <row r="559" spans="1:68" hidden="1" x14ac:dyDescent="0.2">
      <c r="A559" s="661"/>
      <c r="B559" s="661"/>
      <c r="C559" s="661"/>
      <c r="D559" s="661"/>
      <c r="E559" s="661"/>
      <c r="F559" s="661"/>
      <c r="G559" s="661"/>
      <c r="H559" s="661"/>
      <c r="I559" s="661"/>
      <c r="J559" s="661"/>
      <c r="K559" s="661"/>
      <c r="L559" s="661"/>
      <c r="M559" s="661"/>
      <c r="N559" s="661"/>
      <c r="O559" s="662"/>
      <c r="P559" s="658" t="s">
        <v>40</v>
      </c>
      <c r="Q559" s="659"/>
      <c r="R559" s="659"/>
      <c r="S559" s="659"/>
      <c r="T559" s="659"/>
      <c r="U559" s="659"/>
      <c r="V559" s="660"/>
      <c r="W559" s="42" t="s">
        <v>0</v>
      </c>
      <c r="X559" s="43">
        <f>IFERROR(SUM(X557:X557),"0")</f>
        <v>0</v>
      </c>
      <c r="Y559" s="43">
        <f>IFERROR(SUM(Y557:Y557),"0")</f>
        <v>0</v>
      </c>
      <c r="Z559" s="42"/>
      <c r="AA559" s="67"/>
      <c r="AB559" s="67"/>
      <c r="AC559" s="67"/>
    </row>
    <row r="560" spans="1:68" ht="15" customHeight="1" x14ac:dyDescent="0.2">
      <c r="A560" s="661"/>
      <c r="B560" s="661"/>
      <c r="C560" s="661"/>
      <c r="D560" s="661"/>
      <c r="E560" s="661"/>
      <c r="F560" s="661"/>
      <c r="G560" s="661"/>
      <c r="H560" s="661"/>
      <c r="I560" s="661"/>
      <c r="J560" s="661"/>
      <c r="K560" s="661"/>
      <c r="L560" s="661"/>
      <c r="M560" s="661"/>
      <c r="N560" s="661"/>
      <c r="O560" s="672"/>
      <c r="P560" s="669" t="s">
        <v>33</v>
      </c>
      <c r="Q560" s="670"/>
      <c r="R560" s="670"/>
      <c r="S560" s="670"/>
      <c r="T560" s="670"/>
      <c r="U560" s="670"/>
      <c r="V560" s="671"/>
      <c r="W560" s="42" t="s">
        <v>0</v>
      </c>
      <c r="X560" s="43">
        <f>IFERROR(X25+X33+X43+X52+X62+X69+X75+X82+X91+X100+X112+X120+X130+X135+X141+X146+X151+X162+X166+X173+X178+X193+X199+X203+X207+X219+X224+X241+X249+X255+X259+X265+X270+X281+X296+X301+X312+X316+X320+X326+X335+X342+X351+X356+X363+X373+X383+X390+X396+X403+X409+X415+X421+X428+X441+X447+X453+X458+X464+X468+X474+X485+X490+X495+X501+X515+X521+X531+X537+X541+X545+X549+X554+X559,"0")</f>
        <v>1700</v>
      </c>
      <c r="Y560" s="43">
        <f>IFERROR(Y25+Y33+Y43+Y52+Y62+Y69+Y75+Y82+Y91+Y100+Y112+Y120+Y130+Y135+Y141+Y146+Y151+Y162+Y166+Y173+Y178+Y193+Y199+Y203+Y207+Y219+Y224+Y241+Y249+Y255+Y259+Y265+Y270+Y281+Y296+Y301+Y312+Y316+Y320+Y326+Y335+Y342+Y351+Y356+Y363+Y373+Y383+Y390+Y396+Y403+Y409+Y415+Y421+Y428+Y441+Y447+Y453+Y458+Y464+Y468+Y474+Y485+Y490+Y495+Y501+Y515+Y521+Y531+Y537+Y541+Y545+Y549+Y554+Y559,"0")</f>
        <v>1725</v>
      </c>
      <c r="Z560" s="42"/>
      <c r="AA560" s="67"/>
      <c r="AB560" s="67"/>
      <c r="AC560" s="67"/>
    </row>
    <row r="561" spans="1:32" x14ac:dyDescent="0.2">
      <c r="A561" s="661"/>
      <c r="B561" s="661"/>
      <c r="C561" s="661"/>
      <c r="D561" s="661"/>
      <c r="E561" s="661"/>
      <c r="F561" s="661"/>
      <c r="G561" s="661"/>
      <c r="H561" s="661"/>
      <c r="I561" s="661"/>
      <c r="J561" s="661"/>
      <c r="K561" s="661"/>
      <c r="L561" s="661"/>
      <c r="M561" s="661"/>
      <c r="N561" s="661"/>
      <c r="O561" s="672"/>
      <c r="P561" s="669" t="s">
        <v>34</v>
      </c>
      <c r="Q561" s="670"/>
      <c r="R561" s="670"/>
      <c r="S561" s="670"/>
      <c r="T561" s="670"/>
      <c r="U561" s="670"/>
      <c r="V561" s="671"/>
      <c r="W561" s="42" t="s">
        <v>0</v>
      </c>
      <c r="X561" s="43">
        <f>IFERROR(SUM(BM22:BM557),"0")</f>
        <v>1753.2666666666669</v>
      </c>
      <c r="Y561" s="43">
        <f>IFERROR(SUM(BN22:BN557),"0")</f>
        <v>1779.05</v>
      </c>
      <c r="Z561" s="42"/>
      <c r="AA561" s="67"/>
      <c r="AB561" s="67"/>
      <c r="AC561" s="67"/>
    </row>
    <row r="562" spans="1:32" x14ac:dyDescent="0.2">
      <c r="A562" s="661"/>
      <c r="B562" s="661"/>
      <c r="C562" s="661"/>
      <c r="D562" s="661"/>
      <c r="E562" s="661"/>
      <c r="F562" s="661"/>
      <c r="G562" s="661"/>
      <c r="H562" s="661"/>
      <c r="I562" s="661"/>
      <c r="J562" s="661"/>
      <c r="K562" s="661"/>
      <c r="L562" s="661"/>
      <c r="M562" s="661"/>
      <c r="N562" s="661"/>
      <c r="O562" s="672"/>
      <c r="P562" s="669" t="s">
        <v>35</v>
      </c>
      <c r="Q562" s="670"/>
      <c r="R562" s="670"/>
      <c r="S562" s="670"/>
      <c r="T562" s="670"/>
      <c r="U562" s="670"/>
      <c r="V562" s="671"/>
      <c r="W562" s="42" t="s">
        <v>20</v>
      </c>
      <c r="X562" s="44">
        <f>ROUNDUP(SUM(BO22:BO557),0)</f>
        <v>3</v>
      </c>
      <c r="Y562" s="44">
        <f>ROUNDUP(SUM(BP22:BP557),0)</f>
        <v>3</v>
      </c>
      <c r="Z562" s="42"/>
      <c r="AA562" s="67"/>
      <c r="AB562" s="67"/>
      <c r="AC562" s="67"/>
    </row>
    <row r="563" spans="1:32" x14ac:dyDescent="0.2">
      <c r="A563" s="661"/>
      <c r="B563" s="661"/>
      <c r="C563" s="661"/>
      <c r="D563" s="661"/>
      <c r="E563" s="661"/>
      <c r="F563" s="661"/>
      <c r="G563" s="661"/>
      <c r="H563" s="661"/>
      <c r="I563" s="661"/>
      <c r="J563" s="661"/>
      <c r="K563" s="661"/>
      <c r="L563" s="661"/>
      <c r="M563" s="661"/>
      <c r="N563" s="661"/>
      <c r="O563" s="672"/>
      <c r="P563" s="669" t="s">
        <v>36</v>
      </c>
      <c r="Q563" s="670"/>
      <c r="R563" s="670"/>
      <c r="S563" s="670"/>
      <c r="T563" s="670"/>
      <c r="U563" s="670"/>
      <c r="V563" s="671"/>
      <c r="W563" s="42" t="s">
        <v>0</v>
      </c>
      <c r="X563" s="43">
        <f>GrossWeightTotal+PalletQtyTotal*25</f>
        <v>1828.2666666666669</v>
      </c>
      <c r="Y563" s="43">
        <f>GrossWeightTotalR+PalletQtyTotalR*25</f>
        <v>1854.05</v>
      </c>
      <c r="Z563" s="42"/>
      <c r="AA563" s="67"/>
      <c r="AB563" s="67"/>
      <c r="AC563" s="67"/>
    </row>
    <row r="564" spans="1:32" x14ac:dyDescent="0.2">
      <c r="A564" s="661"/>
      <c r="B564" s="661"/>
      <c r="C564" s="661"/>
      <c r="D564" s="661"/>
      <c r="E564" s="661"/>
      <c r="F564" s="661"/>
      <c r="G564" s="661"/>
      <c r="H564" s="661"/>
      <c r="I564" s="661"/>
      <c r="J564" s="661"/>
      <c r="K564" s="661"/>
      <c r="L564" s="661"/>
      <c r="M564" s="661"/>
      <c r="N564" s="661"/>
      <c r="O564" s="672"/>
      <c r="P564" s="669" t="s">
        <v>37</v>
      </c>
      <c r="Q564" s="670"/>
      <c r="R564" s="670"/>
      <c r="S564" s="670"/>
      <c r="T564" s="670"/>
      <c r="U564" s="670"/>
      <c r="V564" s="671"/>
      <c r="W564" s="42" t="s">
        <v>20</v>
      </c>
      <c r="X564" s="43">
        <f>IFERROR(X24+X32+X42+X51+X61+X68+X74+X81+X90+X99+X111+X119+X129+X134+X140+X145+X150+X161+X165+X172+X177+X192+X198+X202+X206+X218+X223+X240+X248+X254+X258+X264+X269+X280+X295+X300+X311+X315+X319+X325+X334+X341+X350+X355+X362+X372+X382+X389+X395+X402+X408+X414+X420+X427+X440+X446+X452+X457+X463+X467+X473+X484+X489+X494+X500+X514+X520+X530+X536+X540+X544+X548+X553+X558,"0")</f>
        <v>113.33333333333334</v>
      </c>
      <c r="Y564" s="43">
        <f>IFERROR(Y24+Y32+Y42+Y51+Y61+Y68+Y74+Y81+Y90+Y99+Y111+Y119+Y129+Y134+Y140+Y145+Y150+Y161+Y165+Y172+Y177+Y192+Y198+Y202+Y206+Y218+Y223+Y240+Y248+Y254+Y258+Y264+Y269+Y280+Y295+Y300+Y311+Y315+Y319+Y325+Y334+Y341+Y350+Y355+Y362+Y372+Y382+Y389+Y395+Y402+Y408+Y414+Y420+Y427+Y440+Y446+Y452+Y457+Y463+Y467+Y473+Y484+Y489+Y494+Y500+Y514+Y520+Y530+Y536+Y540+Y544+Y548+Y553+Y558,"0")</f>
        <v>115</v>
      </c>
      <c r="Z564" s="42"/>
      <c r="AA564" s="67"/>
      <c r="AB564" s="67"/>
      <c r="AC564" s="67"/>
    </row>
    <row r="565" spans="1:32" ht="14.25" hidden="1" x14ac:dyDescent="0.2">
      <c r="A565" s="661"/>
      <c r="B565" s="661"/>
      <c r="C565" s="661"/>
      <c r="D565" s="661"/>
      <c r="E565" s="661"/>
      <c r="F565" s="661"/>
      <c r="G565" s="661"/>
      <c r="H565" s="661"/>
      <c r="I565" s="661"/>
      <c r="J565" s="661"/>
      <c r="K565" s="661"/>
      <c r="L565" s="661"/>
      <c r="M565" s="661"/>
      <c r="N565" s="661"/>
      <c r="O565" s="672"/>
      <c r="P565" s="669" t="s">
        <v>38</v>
      </c>
      <c r="Q565" s="670"/>
      <c r="R565" s="670"/>
      <c r="S565" s="670"/>
      <c r="T565" s="670"/>
      <c r="U565" s="670"/>
      <c r="V565" s="671"/>
      <c r="W565" s="45" t="s">
        <v>52</v>
      </c>
      <c r="X565" s="42"/>
      <c r="Y565" s="42"/>
      <c r="Z565" s="42">
        <f>IFERROR(Z24+Z32+Z42+Z51+Z61+Z68+Z74+Z81+Z90+Z99+Z111+Z119+Z129+Z134+Z140+Z145+Z150+Z161+Z165+Z172+Z177+Z192+Z198+Z202+Z206+Z218+Z223+Z240+Z248+Z254+Z258+Z264+Z269+Z280+Z295+Z300+Z311+Z315+Z319+Z325+Z334+Z341+Z350+Z355+Z362+Z372+Z382+Z389+Z395+Z402+Z408+Z414+Z420+Z427+Z440+Z446+Z452+Z457+Z463+Z467+Z473+Z484+Z489+Z494+Z500+Z514+Z520+Z530+Z536+Z540+Z544+Z548+Z553+Z558,"0")</f>
        <v>2.5012499999999998</v>
      </c>
      <c r="AA565" s="67"/>
      <c r="AB565" s="67"/>
      <c r="AC565" s="67"/>
    </row>
    <row r="566" spans="1:32" ht="13.5" thickBot="1" x14ac:dyDescent="0.25"/>
    <row r="567" spans="1:32" ht="27" thickTop="1" thickBot="1" x14ac:dyDescent="0.25">
      <c r="A567" s="46" t="s">
        <v>9</v>
      </c>
      <c r="B567" s="85" t="s">
        <v>75</v>
      </c>
      <c r="C567" s="85" t="s">
        <v>45</v>
      </c>
      <c r="D567" s="654" t="s">
        <v>119</v>
      </c>
      <c r="E567" s="654" t="s">
        <v>119</v>
      </c>
      <c r="F567" s="654" t="s">
        <v>119</v>
      </c>
      <c r="G567" s="654" t="s">
        <v>119</v>
      </c>
      <c r="H567" s="654" t="s">
        <v>119</v>
      </c>
      <c r="I567" s="654" t="s">
        <v>119</v>
      </c>
      <c r="J567" s="654" t="s">
        <v>119</v>
      </c>
      <c r="K567" s="654" t="s">
        <v>359</v>
      </c>
      <c r="L567" s="654" t="s">
        <v>359</v>
      </c>
      <c r="M567" s="654" t="s">
        <v>359</v>
      </c>
      <c r="N567" s="655"/>
      <c r="O567" s="654" t="s">
        <v>359</v>
      </c>
      <c r="P567" s="654" t="s">
        <v>359</v>
      </c>
      <c r="Q567" s="654" t="s">
        <v>359</v>
      </c>
      <c r="R567" s="654" t="s">
        <v>359</v>
      </c>
      <c r="S567" s="654" t="s">
        <v>359</v>
      </c>
      <c r="T567" s="654" t="s">
        <v>359</v>
      </c>
      <c r="U567" s="654" t="s">
        <v>359</v>
      </c>
      <c r="V567" s="654" t="s">
        <v>359</v>
      </c>
      <c r="W567" s="654" t="s">
        <v>705</v>
      </c>
      <c r="X567" s="654" t="s">
        <v>705</v>
      </c>
      <c r="Y567" s="654" t="s">
        <v>771</v>
      </c>
      <c r="Z567" s="654" t="s">
        <v>771</v>
      </c>
      <c r="AA567" s="85" t="s">
        <v>807</v>
      </c>
      <c r="AB567" s="654" t="s">
        <v>854</v>
      </c>
      <c r="AC567" s="654" t="s">
        <v>854</v>
      </c>
      <c r="AF567" s="1"/>
    </row>
    <row r="568" spans="1:32" ht="14.25" customHeight="1" thickTop="1" x14ac:dyDescent="0.2">
      <c r="A568" s="656" t="s">
        <v>10</v>
      </c>
      <c r="B568" s="654" t="s">
        <v>75</v>
      </c>
      <c r="C568" s="654" t="s">
        <v>103</v>
      </c>
      <c r="D568" s="654" t="s">
        <v>120</v>
      </c>
      <c r="E568" s="654" t="s">
        <v>136</v>
      </c>
      <c r="F568" s="654" t="s">
        <v>181</v>
      </c>
      <c r="G568" s="654" t="s">
        <v>208</v>
      </c>
      <c r="H568" s="654" t="s">
        <v>259</v>
      </c>
      <c r="I568" s="654" t="s">
        <v>272</v>
      </c>
      <c r="J568" s="654" t="s">
        <v>119</v>
      </c>
      <c r="K568" s="654" t="s">
        <v>360</v>
      </c>
      <c r="L568" s="654" t="s">
        <v>381</v>
      </c>
      <c r="M568" s="654" t="s">
        <v>448</v>
      </c>
      <c r="N568" s="1"/>
      <c r="O568" s="654" t="s">
        <v>516</v>
      </c>
      <c r="P568" s="654" t="s">
        <v>549</v>
      </c>
      <c r="Q568" s="654" t="s">
        <v>565</v>
      </c>
      <c r="R568" s="654" t="s">
        <v>574</v>
      </c>
      <c r="S568" s="654" t="s">
        <v>595</v>
      </c>
      <c r="T568" s="654" t="s">
        <v>604</v>
      </c>
      <c r="U568" s="654" t="s">
        <v>688</v>
      </c>
      <c r="V568" s="654" t="s">
        <v>695</v>
      </c>
      <c r="W568" s="654" t="s">
        <v>706</v>
      </c>
      <c r="X568" s="654" t="s">
        <v>755</v>
      </c>
      <c r="Y568" s="654" t="s">
        <v>772</v>
      </c>
      <c r="Z568" s="654" t="s">
        <v>795</v>
      </c>
      <c r="AA568" s="654" t="s">
        <v>807</v>
      </c>
      <c r="AB568" s="654" t="s">
        <v>854</v>
      </c>
      <c r="AC568" s="654" t="s">
        <v>873</v>
      </c>
      <c r="AF568" s="1"/>
    </row>
    <row r="569" spans="1:32" ht="13.5" thickBot="1" x14ac:dyDescent="0.25">
      <c r="A569" s="657"/>
      <c r="B569" s="654"/>
      <c r="C569" s="654"/>
      <c r="D569" s="654"/>
      <c r="E569" s="654"/>
      <c r="F569" s="654"/>
      <c r="G569" s="654"/>
      <c r="H569" s="654"/>
      <c r="I569" s="654"/>
      <c r="J569" s="654"/>
      <c r="K569" s="654"/>
      <c r="L569" s="654"/>
      <c r="M569" s="654"/>
      <c r="N569" s="1"/>
      <c r="O569" s="654"/>
      <c r="P569" s="654"/>
      <c r="Q569" s="654"/>
      <c r="R569" s="654"/>
      <c r="S569" s="654"/>
      <c r="T569" s="654"/>
      <c r="U569" s="654"/>
      <c r="V569" s="654"/>
      <c r="W569" s="654"/>
      <c r="X569" s="654"/>
      <c r="Y569" s="654"/>
      <c r="Z569" s="654"/>
      <c r="AA569" s="654"/>
      <c r="AB569" s="654"/>
      <c r="AC569" s="654"/>
      <c r="AF569" s="1"/>
    </row>
    <row r="570" spans="1:32" ht="18" thickTop="1" thickBot="1" x14ac:dyDescent="0.25">
      <c r="A570" s="46" t="s">
        <v>13</v>
      </c>
      <c r="B570" s="52">
        <f>IFERROR(Y22*1,"0")+IFERROR(Y23*1,"0")+IFERROR(Y27*1,"0")+IFERROR(Y28*1,"0")+IFERROR(Y29*1,"0")+IFERROR(Y30*1,"0")+IFERROR(Y31*1,"0")</f>
        <v>0</v>
      </c>
      <c r="C570" s="52">
        <f>IFERROR(Y37*1,"0")+IFERROR(Y38*1,"0")+IFERROR(Y39*1,"0")+IFERROR(Y40*1,"0")+IFERROR(Y41*1,"0")</f>
        <v>0</v>
      </c>
      <c r="D570" s="52">
        <f>IFERROR(Y47*1,"0")+IFERROR(Y48*1,"0")+IFERROR(Y49*1,"0")+IFERROR(Y50*1,"0")</f>
        <v>0</v>
      </c>
      <c r="E570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0" s="52">
        <f>IFERROR(Y85*1,"0")+IFERROR(Y86*1,"0")+IFERROR(Y87*1,"0")+IFERROR(Y88*1,"0")+IFERROR(Y89*1,"0")+IFERROR(Y93*1,"0")+IFERROR(Y94*1,"0")+IFERROR(Y95*1,"0")+IFERROR(Y96*1,"0")+IFERROR(Y97*1,"0")+IFERROR(Y98*1,"0")</f>
        <v>0</v>
      </c>
      <c r="G570" s="52">
        <f>IFERROR(Y103*1,"0")+IFERROR(Y104*1,"0")+IFERROR(Y105*1,"0")+IFERROR(Y106*1,"0")+IFERROR(Y107*1,"0")+IFERROR(Y108*1,"0")+IFERROR(Y109*1,"0")+IFERROR(Y110*1,"0")+IFERROR(Y114*1,"0")+IFERROR(Y115*1,"0")+IFERROR(Y116*1,"0")+IFERROR(Y117*1,"0")+IFERROR(Y118*1,"0")+IFERROR(Y122*1,"0")+IFERROR(Y123*1,"0")+IFERROR(Y124*1,"0")+IFERROR(Y125*1,"0")+IFERROR(Y126*1,"0")+IFERROR(Y127*1,"0")+IFERROR(Y128*1,"0")+IFERROR(Y132*1,"0")+IFERROR(Y133*1,"0")</f>
        <v>0</v>
      </c>
      <c r="H570" s="52">
        <f>IFERROR(Y138*1,"0")+IFERROR(Y139*1,"0")+IFERROR(Y143*1,"0")+IFERROR(Y144*1,"0")+IFERROR(Y148*1,"0")+IFERROR(Y149*1,"0")</f>
        <v>0</v>
      </c>
      <c r="I570" s="52">
        <f>IFERROR(Y154*1,"0")+IFERROR(Y155*1,"0")+IFERROR(Y156*1,"0")+IFERROR(Y157*1,"0")+IFERROR(Y158*1,"0")+IFERROR(Y159*1,"0")+IFERROR(Y160*1,"0")+IFERROR(Y164*1,"0")</f>
        <v>0</v>
      </c>
      <c r="J570" s="52">
        <f>IFERROR(Y169*1,"0")+IFERROR(Y170*1,"0")+IFERROR(Y171*1,"0")+IFERROR(Y175*1,"0")+IFERROR(Y176*1,"0")+IFERROR(Y180*1,"0")+IFERROR(Y181*1,"0")+IFERROR(Y182*1,"0")+IFERROR(Y183*1,"0")+IFERROR(Y184*1,"0")+IFERROR(Y185*1,"0")+IFERROR(Y186*1,"0")+IFERROR(Y187*1,"0")+IFERROR(Y188*1,"0")+IFERROR(Y189*1,"0")+IFERROR(Y190*1,"0")+IFERROR(Y191*1,"0")+IFERROR(Y195*1,"0")+IFERROR(Y196*1,"0")+IFERROR(Y197*1,"0")+IFERROR(Y201*1,"0")+IFERROR(Y205*1,"0")</f>
        <v>0</v>
      </c>
      <c r="K570" s="52">
        <f>IFERROR(Y211*1,"0")+IFERROR(Y212*1,"0")+IFERROR(Y213*1,"0")+IFERROR(Y214*1,"0")+IFERROR(Y215*1,"0")+IFERROR(Y216*1,"0")+IFERROR(Y217*1,"0")</f>
        <v>0</v>
      </c>
      <c r="L570" s="52">
        <f>IFERROR(Y222*1,"0")+IFERROR(Y226*1,"0")+IFERROR(Y227*1,"0")+IFERROR(Y228*1,"0")+IFERROR(Y229*1,"0")+IFERROR(Y230*1,"0")+IFERROR(Y231*1,"0")+IFERROR(Y232*1,"0")+IFERROR(Y233*1,"0")+IFERROR(Y234*1,"0")+IFERROR(Y235*1,"0")+IFERROR(Y236*1,"0")+IFERROR(Y237*1,"0")+IFERROR(Y238*1,"0")+IFERROR(Y239*1,"0")+IFERROR(Y243*1,"0")+IFERROR(Y244*1,"0")+IFERROR(Y245*1,"0")+IFERROR(Y246*1,"0")+IFERROR(Y247*1,"0")+IFERROR(Y251*1,"0")+IFERROR(Y252*1,"0")+IFERROR(Y253*1,"0")+IFERROR(Y257*1,"0")</f>
        <v>0</v>
      </c>
      <c r="M570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0</v>
      </c>
      <c r="N570" s="1"/>
      <c r="O570" s="52">
        <f>IFERROR(Y304*1,"0")+IFERROR(Y305*1,"0")+IFERROR(Y306*1,"0")+IFERROR(Y307*1,"0")+IFERROR(Y308*1,"0")+IFERROR(Y309*1,"0")+IFERROR(Y310*1,"0")+IFERROR(Y314*1,"0")+IFERROR(Y318*1,"0")+IFERROR(Y322*1,"0")+IFERROR(Y323*1,"0")+IFERROR(Y324*1,"0")</f>
        <v>0</v>
      </c>
      <c r="P570" s="52">
        <f>IFERROR(Y329*1,"0")+IFERROR(Y330*1,"0")+IFERROR(Y331*1,"0")+IFERROR(Y332*1,"0")+IFERROR(Y333*1,"0")</f>
        <v>0</v>
      </c>
      <c r="Q570" s="52">
        <f>IFERROR(Y338*1,"0")+IFERROR(Y339*1,"0")+IFERROR(Y340*1,"0")</f>
        <v>0</v>
      </c>
      <c r="R570" s="52">
        <f>IFERROR(Y345*1,"0")+IFERROR(Y346*1,"0")+IFERROR(Y347*1,"0")+IFERROR(Y348*1,"0")+IFERROR(Y349*1,"0")+IFERROR(Y353*1,"0")+IFERROR(Y354*1,"0")</f>
        <v>0</v>
      </c>
      <c r="S570" s="52">
        <f>IFERROR(Y359*1,"0")+IFERROR(Y360*1,"0")+IFERROR(Y361*1,"0")</f>
        <v>0</v>
      </c>
      <c r="T570" s="52">
        <f>IFERROR(Y366*1,"0")+IFERROR(Y367*1,"0")+IFERROR(Y368*1,"0")+IFERROR(Y369*1,"0")+IFERROR(Y370*1,"0")+IFERROR(Y371*1,"0")+IFERROR(Y375*1,"0")+IFERROR(Y376*1,"0")+IFERROR(Y377*1,"0")+IFERROR(Y378*1,"0")+IFERROR(Y379*1,"0")+IFERROR(Y380*1,"0")+IFERROR(Y381*1,"0")+IFERROR(Y385*1,"0")+IFERROR(Y386*1,"0")+IFERROR(Y387*1,"0")+IFERROR(Y388*1,"0")+IFERROR(Y392*1,"0")+IFERROR(Y393*1,"0")+IFERROR(Y394*1,"0")+IFERROR(Y398*1,"0")+IFERROR(Y399*1,"0")+IFERROR(Y400*1,"0")+IFERROR(Y401*1,"0")+IFERROR(Y405*1,"0")+IFERROR(Y406*1,"0")+IFERROR(Y407*1,"0")+IFERROR(Y411*1,"0")+IFERROR(Y412*1,"0")+IFERROR(Y413*1,"0")</f>
        <v>0</v>
      </c>
      <c r="U570" s="52">
        <f>IFERROR(Y418*1,"0")+IFERROR(Y419*1,"0")</f>
        <v>0</v>
      </c>
      <c r="V570" s="52">
        <f>IFERROR(Y424*1,"0")+IFERROR(Y425*1,"0")+IFERROR(Y426*1,"0")</f>
        <v>0</v>
      </c>
      <c r="W570" s="52">
        <f>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455*1,"0")+IFERROR(Y456*1,"0")</f>
        <v>1725</v>
      </c>
      <c r="X570" s="52">
        <f>IFERROR(Y461*1,"0")+IFERROR(Y462*1,"0")+IFERROR(Y466*1,"0")+IFERROR(Y470*1,"0")+IFERROR(Y471*1,"0")+IFERROR(Y472*1,"0")</f>
        <v>0</v>
      </c>
      <c r="Y570" s="52">
        <f>IFERROR(Y478*1,"0")+IFERROR(Y479*1,"0")+IFERROR(Y480*1,"0")+IFERROR(Y481*1,"0")+IFERROR(Y482*1,"0")+IFERROR(Y483*1,"0")+IFERROR(Y487*1,"0")+IFERROR(Y488*1,"0")</f>
        <v>0</v>
      </c>
      <c r="Z570" s="52">
        <f>IFERROR(Y493*1,"0")+IFERROR(Y497*1,"0")+IFERROR(Y498*1,"0")+IFERROR(Y499*1,"0")</f>
        <v>0</v>
      </c>
      <c r="AA570" s="52">
        <f>IFERROR(Y505*1,"0")+IFERROR(Y506*1,"0")+IFERROR(Y507*1,"0")+IFERROR(Y508*1,"0")+IFERROR(Y509*1,"0")+IFERROR(Y510*1,"0")+IFERROR(Y511*1,"0")+IFERROR(Y512*1,"0")+IFERROR(Y513*1,"0")+IFERROR(Y517*1,"0")+IFERROR(Y518*1,"0")+IFERROR(Y519*1,"0")+IFERROR(Y523*1,"0")+IFERROR(Y524*1,"0")+IFERROR(Y525*1,"0")+IFERROR(Y526*1,"0")+IFERROR(Y527*1,"0")+IFERROR(Y528*1,"0")+IFERROR(Y529*1,"0")</f>
        <v>0</v>
      </c>
      <c r="AB570" s="52">
        <f>IFERROR(Y535*1,"0")+IFERROR(Y539*1,"0")+IFERROR(Y543*1,"0")+IFERROR(Y547*1,"0")+IFERROR(Y551*1,"0")+IFERROR(Y552*1,"0")</f>
        <v>0</v>
      </c>
      <c r="AC570" s="52">
        <f>IFERROR(Y557*1,"0")</f>
        <v>0</v>
      </c>
      <c r="AF570" s="1"/>
    </row>
  </sheetData>
  <sheetProtection algorithmName="SHA-512" hashValue="4ELR3veroM2DPgOW2aSgnXjkDm9rxG1FTWEkPsILASVMQr1wLgMfreKLGe5hNEiYVSfvdZBUzEb8faXJvMKyIg==" saltValue="a2TT+X6nCaNoeNW2PhBVKQ==" spinCount="100000" sheet="1" objects="1" scenarios="1" sort="0" autoFilter="0" pivotTables="0"/>
  <autoFilter ref="A18:AF56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00,00"/>
        <filter val="1 700,00"/>
        <filter val="1 753,27"/>
        <filter val="1 828,27"/>
        <filter val="100,00"/>
        <filter val="113,33"/>
        <filter val="26,67"/>
        <filter val="3"/>
        <filter val="400,00"/>
        <filter val="86,67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P111:V111"/>
    <mergeCell ref="A111:O112"/>
    <mergeCell ref="P112:V112"/>
    <mergeCell ref="A113:Z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P129:V129"/>
    <mergeCell ref="A129:O130"/>
    <mergeCell ref="P130:V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P145:V145"/>
    <mergeCell ref="A145:O146"/>
    <mergeCell ref="P146:V146"/>
    <mergeCell ref="A147:Z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A209:Z209"/>
    <mergeCell ref="A210:Z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40:V240"/>
    <mergeCell ref="A240:O241"/>
    <mergeCell ref="P241:V241"/>
    <mergeCell ref="A242:Z242"/>
    <mergeCell ref="D243:E243"/>
    <mergeCell ref="P243:T243"/>
    <mergeCell ref="D244:E244"/>
    <mergeCell ref="P244:T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A328:Z328"/>
    <mergeCell ref="D329:E329"/>
    <mergeCell ref="P329:T32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P372:V372"/>
    <mergeCell ref="A372:O373"/>
    <mergeCell ref="P373:V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A431:Z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A460:Z460"/>
    <mergeCell ref="D461:E461"/>
    <mergeCell ref="P461:T461"/>
    <mergeCell ref="D462:E462"/>
    <mergeCell ref="P462:T462"/>
    <mergeCell ref="P463:V463"/>
    <mergeCell ref="A463:O464"/>
    <mergeCell ref="P464:V464"/>
    <mergeCell ref="A465:Z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D471:E471"/>
    <mergeCell ref="P471:T471"/>
    <mergeCell ref="D472:E472"/>
    <mergeCell ref="P472:T472"/>
    <mergeCell ref="P473:V473"/>
    <mergeCell ref="A473:O474"/>
    <mergeCell ref="P474:V474"/>
    <mergeCell ref="A475:Z475"/>
    <mergeCell ref="A476:Z476"/>
    <mergeCell ref="A477:Z477"/>
    <mergeCell ref="D478:E478"/>
    <mergeCell ref="P478:T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P484:V484"/>
    <mergeCell ref="A484:O485"/>
    <mergeCell ref="P485:V485"/>
    <mergeCell ref="A486:Z486"/>
    <mergeCell ref="D487:E487"/>
    <mergeCell ref="P487:T487"/>
    <mergeCell ref="D488:E488"/>
    <mergeCell ref="P488:T488"/>
    <mergeCell ref="P489:V489"/>
    <mergeCell ref="A489:O490"/>
    <mergeCell ref="P490:V490"/>
    <mergeCell ref="A491:Z491"/>
    <mergeCell ref="A492:Z492"/>
    <mergeCell ref="D493:E493"/>
    <mergeCell ref="P493:T493"/>
    <mergeCell ref="P494:V494"/>
    <mergeCell ref="A494:O495"/>
    <mergeCell ref="P495:V495"/>
    <mergeCell ref="A496:Z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A503:Z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P520:V520"/>
    <mergeCell ref="A520:O521"/>
    <mergeCell ref="P521:V521"/>
    <mergeCell ref="A522:Z522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P530:V530"/>
    <mergeCell ref="A530:O531"/>
    <mergeCell ref="P531:V531"/>
    <mergeCell ref="A532:Z532"/>
    <mergeCell ref="A533:Z533"/>
    <mergeCell ref="A534:Z534"/>
    <mergeCell ref="D535:E535"/>
    <mergeCell ref="P535:T535"/>
    <mergeCell ref="P536:V536"/>
    <mergeCell ref="A536:O537"/>
    <mergeCell ref="P537:V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D552:E552"/>
    <mergeCell ref="P552:T552"/>
    <mergeCell ref="AB568:AB569"/>
    <mergeCell ref="P553:V553"/>
    <mergeCell ref="A553:O554"/>
    <mergeCell ref="P554:V554"/>
    <mergeCell ref="A555:Z555"/>
    <mergeCell ref="A556:Z556"/>
    <mergeCell ref="D557:E557"/>
    <mergeCell ref="P557:T557"/>
    <mergeCell ref="P558:V558"/>
    <mergeCell ref="A558:O559"/>
    <mergeCell ref="P559:V559"/>
    <mergeCell ref="P560:V560"/>
    <mergeCell ref="A560:O565"/>
    <mergeCell ref="P561:V561"/>
    <mergeCell ref="P562:V562"/>
    <mergeCell ref="P563:V563"/>
    <mergeCell ref="P564:V564"/>
    <mergeCell ref="P565:V565"/>
    <mergeCell ref="AC568:AC569"/>
    <mergeCell ref="D567:J567"/>
    <mergeCell ref="K567:V567"/>
    <mergeCell ref="W567:X567"/>
    <mergeCell ref="Y567:Z567"/>
    <mergeCell ref="AB567:AC567"/>
    <mergeCell ref="A568:A569"/>
    <mergeCell ref="B568:B569"/>
    <mergeCell ref="C568:C569"/>
    <mergeCell ref="D568:D569"/>
    <mergeCell ref="E568:E569"/>
    <mergeCell ref="F568:F569"/>
    <mergeCell ref="G568:G569"/>
    <mergeCell ref="H568:H569"/>
    <mergeCell ref="I568:I569"/>
    <mergeCell ref="J568:J569"/>
    <mergeCell ref="K568:K569"/>
    <mergeCell ref="L568:L569"/>
    <mergeCell ref="M568:M569"/>
    <mergeCell ref="O568:O569"/>
    <mergeCell ref="P568:P569"/>
    <mergeCell ref="Q568:Q569"/>
    <mergeCell ref="R568:R569"/>
    <mergeCell ref="S568:S569"/>
    <mergeCell ref="T568:T569"/>
    <mergeCell ref="U568:U569"/>
    <mergeCell ref="V568:V569"/>
    <mergeCell ref="W568:W569"/>
    <mergeCell ref="X568:X569"/>
    <mergeCell ref="Y568:Y569"/>
    <mergeCell ref="Z568:Z569"/>
    <mergeCell ref="AA568:AA56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0alnmeLzS18vLkuZUVNqsL/zUOM0yZQqNuTNMbRXaH6QXnOfLU4AAG2iggIhqSmpKlDo3ZQJVMz0gamA/bzriw==" saltValue="e6j8rlLNNi/d9T5btxZqF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1179</vt:i4>
      </vt:variant>
    </vt:vector>
  </HeadingPairs>
  <TitlesOfParts>
    <vt:vector size="118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2026-09-07T06:41:06Z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