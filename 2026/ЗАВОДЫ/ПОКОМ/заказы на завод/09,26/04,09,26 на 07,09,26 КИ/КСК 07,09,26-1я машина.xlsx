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7B2FB64-40CA-408A-B686-69893942672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Z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Z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P441" i="2"/>
  <c r="BO441" i="2"/>
  <c r="BM441" i="2"/>
  <c r="Y441" i="2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Z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Z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P209" i="2"/>
  <c r="BO209" i="2"/>
  <c r="BM209" i="2"/>
  <c r="Y209" i="2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P161" i="2"/>
  <c r="BO161" i="2"/>
  <c r="BN161" i="2"/>
  <c r="BM161" i="2"/>
  <c r="Z161" i="2"/>
  <c r="Y161" i="2"/>
  <c r="P161" i="2"/>
  <c r="BO160" i="2"/>
  <c r="BM160" i="2"/>
  <c r="Y160" i="2"/>
  <c r="BP160" i="2" s="1"/>
  <c r="P160" i="2"/>
  <c r="BO159" i="2"/>
  <c r="BM159" i="2"/>
  <c r="Y159" i="2"/>
  <c r="BP159" i="2" s="1"/>
  <c r="P159" i="2"/>
  <c r="BP158" i="2"/>
  <c r="BO158" i="2"/>
  <c r="BM158" i="2"/>
  <c r="Y158" i="2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P115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Z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P38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31" i="2" l="1"/>
  <c r="BP86" i="2"/>
  <c r="Z93" i="2"/>
  <c r="BN107" i="2"/>
  <c r="BN159" i="2"/>
  <c r="BP233" i="2"/>
  <c r="BN240" i="2"/>
  <c r="BN292" i="2"/>
  <c r="BN327" i="2"/>
  <c r="BN382" i="2"/>
  <c r="BP436" i="2"/>
  <c r="BN512" i="2"/>
  <c r="BP93" i="2"/>
  <c r="BN118" i="2"/>
  <c r="BP173" i="2"/>
  <c r="Z191" i="2"/>
  <c r="BN191" i="2"/>
  <c r="Z199" i="2"/>
  <c r="Z221" i="2"/>
  <c r="Z233" i="2"/>
  <c r="BN250" i="2"/>
  <c r="BN298" i="2"/>
  <c r="BN384" i="2"/>
  <c r="BP389" i="2"/>
  <c r="BN397" i="2"/>
  <c r="BN416" i="2"/>
  <c r="BN443" i="2"/>
  <c r="BN474" i="2"/>
  <c r="BN502" i="2"/>
  <c r="Y366" i="2"/>
  <c r="BN41" i="2"/>
  <c r="BN184" i="2"/>
  <c r="BN516" i="2"/>
  <c r="Z241" i="2"/>
  <c r="BN293" i="2"/>
  <c r="Z293" i="2"/>
  <c r="Y399" i="2"/>
  <c r="Z396" i="2"/>
  <c r="BN521" i="2"/>
  <c r="Z127" i="2"/>
  <c r="Z532" i="2"/>
  <c r="BN530" i="2"/>
  <c r="Z521" i="2"/>
  <c r="BN515" i="2"/>
  <c r="Z512" i="2"/>
  <c r="BN510" i="2"/>
  <c r="BN503" i="2"/>
  <c r="BN486" i="2"/>
  <c r="Z486" i="2"/>
  <c r="Z474" i="2"/>
  <c r="BN466" i="2"/>
  <c r="Y467" i="2"/>
  <c r="Z465" i="2"/>
  <c r="Z467" i="2" s="1"/>
  <c r="BP465" i="2"/>
  <c r="BN460" i="2"/>
  <c r="Y462" i="2"/>
  <c r="BN455" i="2"/>
  <c r="BN454" i="2"/>
  <c r="Z442" i="2"/>
  <c r="BN442" i="2"/>
  <c r="Z440" i="2"/>
  <c r="Y432" i="2"/>
  <c r="BN429" i="2"/>
  <c r="BP428" i="2"/>
  <c r="BP422" i="2"/>
  <c r="Z417" i="2"/>
  <c r="Z415" i="2"/>
  <c r="BN410" i="2"/>
  <c r="Z404" i="2"/>
  <c r="Z397" i="2"/>
  <c r="BP396" i="2"/>
  <c r="BN392" i="2"/>
  <c r="Y394" i="2"/>
  <c r="Y387" i="2"/>
  <c r="BP379" i="2"/>
  <c r="Z374" i="2"/>
  <c r="BN374" i="2"/>
  <c r="BN372" i="2"/>
  <c r="Z363" i="2"/>
  <c r="Z353" i="2"/>
  <c r="BN351" i="2"/>
  <c r="BN343" i="2"/>
  <c r="Z337" i="2"/>
  <c r="BN336" i="2"/>
  <c r="BP333" i="2"/>
  <c r="Z328" i="2"/>
  <c r="Z327" i="2"/>
  <c r="Z326" i="2"/>
  <c r="BN326" i="2"/>
  <c r="BN313" i="2"/>
  <c r="Z295" i="2"/>
  <c r="Y299" i="2"/>
  <c r="Z277" i="2"/>
  <c r="BN266" i="2"/>
  <c r="Z261" i="2"/>
  <c r="Z262" i="2" s="1"/>
  <c r="Z251" i="2"/>
  <c r="Y252" i="2"/>
  <c r="Z242" i="2"/>
  <c r="Z240" i="2"/>
  <c r="Z230" i="2"/>
  <c r="Z219" i="2"/>
  <c r="BN218" i="2"/>
  <c r="Z205" i="2"/>
  <c r="Z206" i="2" s="1"/>
  <c r="BN199" i="2"/>
  <c r="BN194" i="2"/>
  <c r="BN192" i="2"/>
  <c r="Z190" i="2"/>
  <c r="BN187" i="2"/>
  <c r="BN185" i="2"/>
  <c r="Z185" i="2"/>
  <c r="Z184" i="2"/>
  <c r="Y179" i="2"/>
  <c r="BN145" i="2"/>
  <c r="Y136" i="2"/>
  <c r="Z107" i="2"/>
  <c r="BN106" i="2"/>
  <c r="Y112" i="2"/>
  <c r="Z105" i="2"/>
  <c r="Z104" i="2"/>
  <c r="BP98" i="2"/>
  <c r="Y100" i="2"/>
  <c r="BP80" i="2"/>
  <c r="Y82" i="2"/>
  <c r="BP77" i="2"/>
  <c r="Z77" i="2"/>
  <c r="BN77" i="2"/>
  <c r="BP50" i="2"/>
  <c r="Z48" i="2"/>
  <c r="Z31" i="2"/>
  <c r="BN28" i="2"/>
  <c r="Y33" i="2"/>
  <c r="Z28" i="2"/>
  <c r="X565" i="2"/>
  <c r="X568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Z406" i="2" s="1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Z366" i="2" s="1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45" i="2" l="1"/>
  <c r="Z174" i="2"/>
  <c r="Z120" i="2"/>
  <c r="Z418" i="2"/>
  <c r="Z329" i="2"/>
  <c r="Z477" i="2"/>
  <c r="Z399" i="2"/>
  <c r="Z131" i="2"/>
  <c r="Z557" i="2"/>
  <c r="Z456" i="2"/>
  <c r="Z444" i="2"/>
  <c r="Z386" i="2"/>
  <c r="Z354" i="2"/>
  <c r="Z142" i="2"/>
  <c r="X567" i="2"/>
  <c r="Z32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<sst xmlns="http://schemas.openxmlformats.org/spreadsheetml/2006/main" count="4366" uniqueCount="910">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</sst>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46272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Понедельник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0.375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48</v>
      </c>
      <c r="Y40" s="55">
        <f>IFERROR(IF(X40="",0,CEILING((X40/$H40),1)*$H40),"")</f>
        <v>48</v>
      </c>
      <c r="Z40" s="41">
        <f>IFERROR(IF(Y40=0,"",ROUNDUP(Y40/H40,0)*0.00651),"")</f>
        <v>0.16275000000000001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52.500000000000007</v>
      </c>
      <c r="BN40" s="78">
        <f>IFERROR(Y40*I40/H40,"0")</f>
        <v>52.500000000000007</v>
      </c>
      <c r="BO40" s="78">
        <f>IFERROR(1/J40*(X40/H40),"0")</f>
        <v>0.13736263736263737</v>
      </c>
      <c r="BP40" s="78">
        <f>IFERROR(1/J40*(Y40/H40),"0")</f>
        <v>0.13736263736263737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41.666666666666671</v>
      </c>
      <c r="Y42" s="43">
        <f>IFERROR(Y37/H37,"0")+IFERROR(Y38/H38,"0")+IFERROR(Y39/H39,"0")+IFERROR(Y40/H40,"0")+IFERROR(Y41/H41,"0")</f>
        <v>42</v>
      </c>
      <c r="Z42" s="43">
        <f>IFERROR(IF(Z37="",0,Z37),"0")+IFERROR(IF(Z38="",0,Z38),"0")+IFERROR(IF(Z39="",0,Z39),"0")+IFERROR(IF(Z40="",0,Z40),"0")+IFERROR(IF(Z41="",0,Z41),"0")</f>
        <v>0.27342</v>
      </c>
      <c r="AA42" s="67"/>
      <c r="AB42" s="67"/>
      <c r="AC42" s="67"/>
    </row>
    <row r="43" spans="1:68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80</v>
      </c>
      <c r="Y43" s="43">
        <f>IFERROR(SUM(Y37:Y41),"0")</f>
        <v>80.64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200</v>
      </c>
      <c r="Y47" s="55">
        <f>IFERROR(IF(X47="",0,CEILING((X47/$H47),1)*$H47),"")</f>
        <v>205.20000000000002</v>
      </c>
      <c r="Z47" s="41">
        <f>IFERROR(IF(Y47=0,"",ROUNDUP(Y47/H47,0)*0.01898),"")</f>
        <v>0.36062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207.59259259259258</v>
      </c>
      <c r="BN47" s="78">
        <f>IFERROR(Y47*I47/H47,"0")</f>
        <v>212.99</v>
      </c>
      <c r="BO47" s="78">
        <f>IFERROR(1/J47*(X47/H47),"0")</f>
        <v>0.28935185185185186</v>
      </c>
      <c r="BP47" s="78">
        <f>IFERROR(1/J47*(Y47/H47),"0")</f>
        <v>0.296875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220</v>
      </c>
      <c r="Y49" s="55">
        <f>IFERROR(IF(X49="",0,CEILING((X49/$H49),1)*$H49),"")</f>
        <v>220</v>
      </c>
      <c r="Z49" s="41">
        <f>IFERROR(IF(Y49=0,"",ROUNDUP(Y49/H49,0)*0.00902),"")</f>
        <v>0.49609999999999999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230.45000000000002</v>
      </c>
      <c r="BN49" s="78">
        <f>IFERROR(Y49*I49/H49,"0")</f>
        <v>230.45000000000002</v>
      </c>
      <c r="BO49" s="78">
        <f>IFERROR(1/J49*(X49/H49),"0")</f>
        <v>0.41666666666666669</v>
      </c>
      <c r="BP49" s="78">
        <f>IFERROR(1/J49*(Y49/H49),"0")</f>
        <v>0.41666666666666669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73.518518518518519</v>
      </c>
      <c r="Y51" s="43">
        <f>IFERROR(Y47/H47,"0")+IFERROR(Y48/H48,"0")+IFERROR(Y49/H49,"0")+IFERROR(Y50/H50,"0")</f>
        <v>74</v>
      </c>
      <c r="Z51" s="43">
        <f>IFERROR(IF(Z47="",0,Z47),"0")+IFERROR(IF(Z48="",0,Z48),"0")+IFERROR(IF(Z49="",0,Z49),"0")+IFERROR(IF(Z50="",0,Z50),"0")</f>
        <v>0.85671999999999993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420</v>
      </c>
      <c r="Y52" s="43">
        <f>IFERROR(SUM(Y47:Y50),"0")</f>
        <v>425.20000000000005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585</v>
      </c>
      <c r="Y60" s="55">
        <f t="shared" si="0"/>
        <v>585</v>
      </c>
      <c r="Z60" s="41">
        <f>IFERROR(IF(Y60=0,"",ROUNDUP(Y60/H60,0)*0.00902),"")</f>
        <v>1.1726000000000001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609.70000000000005</v>
      </c>
      <c r="BN60" s="78">
        <f t="shared" si="2"/>
        <v>609.70000000000005</v>
      </c>
      <c r="BO60" s="78">
        <f t="shared" si="3"/>
        <v>0.98484848484848486</v>
      </c>
      <c r="BP60" s="78">
        <f t="shared" si="4"/>
        <v>0.98484848484848486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139.25925925925927</v>
      </c>
      <c r="Y61" s="43">
        <f>IFERROR(Y55/H55,"0")+IFERROR(Y56/H56,"0")+IFERROR(Y57/H57,"0")+IFERROR(Y58/H58,"0")+IFERROR(Y59/H59,"0")+IFERROR(Y60/H60,"0")</f>
        <v>140</v>
      </c>
      <c r="Z61" s="43">
        <f>IFERROR(IF(Z55="",0,Z55),"0")+IFERROR(IF(Z56="",0,Z56),"0")+IFERROR(IF(Z57="",0,Z57),"0")+IFERROR(IF(Z58="",0,Z58),"0")+IFERROR(IF(Z59="",0,Z59),"0")+IFERROR(IF(Z60="",0,Z60),"0")</f>
        <v>1.3624000000000001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685</v>
      </c>
      <c r="Y62" s="43">
        <f>IFERROR(SUM(Y55:Y60),"0")</f>
        <v>693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50</v>
      </c>
      <c r="Y64" s="55">
        <f>IFERROR(IF(X64="",0,CEILING((X64/$H64),1)*$H64),"")</f>
        <v>54</v>
      </c>
      <c r="Z64" s="41">
        <f>IFERROR(IF(Y64=0,"",ROUNDUP(Y64/H64,0)*0.01898),"")</f>
        <v>9.4899999999999998E-2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51.898148148148145</v>
      </c>
      <c r="BN64" s="78">
        <f>IFERROR(Y64*I64/H64,"0")</f>
        <v>56.05</v>
      </c>
      <c r="BO64" s="78">
        <f>IFERROR(1/J64*(X64/H64),"0")</f>
        <v>7.2337962962962965E-2</v>
      </c>
      <c r="BP64" s="78">
        <f>IFERROR(1/J64*(Y64/H64),"0")</f>
        <v>7.8125E-2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112.5</v>
      </c>
      <c r="Y67" s="55">
        <f>IFERROR(IF(X67="",0,CEILING((X67/$H67),1)*$H67),"")</f>
        <v>113.4</v>
      </c>
      <c r="Z67" s="41">
        <f>IFERROR(IF(Y67=0,"",ROUNDUP(Y67/H67,0)*0.00651),"")</f>
        <v>0.27342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119.99999999999999</v>
      </c>
      <c r="BN67" s="78">
        <f>IFERROR(Y67*I67/H67,"0")</f>
        <v>120.95999999999998</v>
      </c>
      <c r="BO67" s="78">
        <f>IFERROR(1/J67*(X67/H67),"0")</f>
        <v>0.22893772893772893</v>
      </c>
      <c r="BP67" s="78">
        <f>IFERROR(1/J67*(Y67/H67),"0")</f>
        <v>0.23076923076923078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46.296296296296291</v>
      </c>
      <c r="Y68" s="43">
        <f>IFERROR(Y64/H64,"0")+IFERROR(Y65/H65,"0")+IFERROR(Y66/H66,"0")+IFERROR(Y67/H67,"0")</f>
        <v>47</v>
      </c>
      <c r="Z68" s="43">
        <f>IFERROR(IF(Z64="",0,Z64),"0")+IFERROR(IF(Z65="",0,Z65),"0")+IFERROR(IF(Z66="",0,Z66),"0")+IFERROR(IF(Z67="",0,Z67),"0")</f>
        <v>0.36831999999999998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162.5</v>
      </c>
      <c r="Y69" s="43">
        <f>IFERROR(SUM(Y64:Y67),"0")</f>
        <v>167.4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130</v>
      </c>
      <c r="Y85" s="55">
        <f>IFERROR(IF(X85="",0,CEILING((X85/$H85),1)*$H85),"")</f>
        <v>140.4</v>
      </c>
      <c r="Z85" s="41">
        <f>IFERROR(IF(Y85=0,"",ROUNDUP(Y85/H85,0)*0.01898),"")</f>
        <v>0.24674000000000001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134.93518518518519</v>
      </c>
      <c r="BN85" s="78">
        <f>IFERROR(Y85*I85/H85,"0")</f>
        <v>145.73000000000002</v>
      </c>
      <c r="BO85" s="78">
        <f>IFERROR(1/J85*(X85/H85),"0")</f>
        <v>0.18807870370370369</v>
      </c>
      <c r="BP85" s="78">
        <f>IFERROR(1/J85*(Y85/H85),"0")</f>
        <v>0.203125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630</v>
      </c>
      <c r="Y89" s="55">
        <f>IFERROR(IF(X89="",0,CEILING((X89/$H89),1)*$H89),"")</f>
        <v>630</v>
      </c>
      <c r="Z89" s="41">
        <f>IFERROR(IF(Y89=0,"",ROUNDUP(Y89/H89,0)*0.00902),"")</f>
        <v>1.2627999999999999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656.6</v>
      </c>
      <c r="BN89" s="78">
        <f>IFERROR(Y89*I89/H89,"0")</f>
        <v>656.6</v>
      </c>
      <c r="BO89" s="78">
        <f>IFERROR(1/J89*(X89/H89),"0")</f>
        <v>1.0606060606060606</v>
      </c>
      <c r="BP89" s="78">
        <f>IFERROR(1/J89*(Y89/H89),"0")</f>
        <v>1.0606060606060606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152.03703703703704</v>
      </c>
      <c r="Y90" s="43">
        <f>IFERROR(Y85/H85,"0")+IFERROR(Y86/H86,"0")+IFERROR(Y87/H87,"0")+IFERROR(Y88/H88,"0")+IFERROR(Y89/H89,"0")</f>
        <v>153</v>
      </c>
      <c r="Z90" s="43">
        <f>IFERROR(IF(Z85="",0,Z85),"0")+IFERROR(IF(Z86="",0,Z86),"0")+IFERROR(IF(Z87="",0,Z87),"0")+IFERROR(IF(Z88="",0,Z88),"0")+IFERROR(IF(Z89="",0,Z89),"0")</f>
        <v>1.5095399999999999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760</v>
      </c>
      <c r="Y91" s="43">
        <f>IFERROR(SUM(Y85:Y89),"0")</f>
        <v>770.4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200</v>
      </c>
      <c r="Y93" s="55">
        <f t="shared" ref="Y93:Y99" si="5">IFERROR(IF(X93="",0,CEILING((X93/$H93),1)*$H93),"")</f>
        <v>202.5</v>
      </c>
      <c r="Z93" s="41">
        <f>IFERROR(IF(Y93=0,"",ROUNDUP(Y93/H93,0)*0.01898),"")</f>
        <v>0.47450000000000003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212.19753086419755</v>
      </c>
      <c r="BN93" s="78">
        <f t="shared" ref="BN93:BN99" si="7">IFERROR(Y93*I93/H93,"0")</f>
        <v>214.85</v>
      </c>
      <c r="BO93" s="78">
        <f t="shared" ref="BO93:BO99" si="8">IFERROR(1/J93*(X93/H93),"0")</f>
        <v>0.38580246913580246</v>
      </c>
      <c r="BP93" s="78">
        <f t="shared" ref="BP93:BP99" si="9">IFERROR(1/J93*(Y93/H93),"0")</f>
        <v>0.390625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540</v>
      </c>
      <c r="Y97" s="55">
        <f t="shared" si="5"/>
        <v>540</v>
      </c>
      <c r="Z97" s="41">
        <f>IFERROR(IF(Y97=0,"",ROUNDUP(Y97/H97,0)*0.00651),"")</f>
        <v>1.302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590.4</v>
      </c>
      <c r="BN97" s="78">
        <f t="shared" si="7"/>
        <v>590.4</v>
      </c>
      <c r="BO97" s="78">
        <f t="shared" si="8"/>
        <v>1.098901098901099</v>
      </c>
      <c r="BP97" s="78">
        <f t="shared" si="9"/>
        <v>1.098901098901099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224.69135802469137</v>
      </c>
      <c r="Y100" s="43">
        <f>IFERROR(Y93/H93,"0")+IFERROR(Y94/H94,"0")+IFERROR(Y95/H95,"0")+IFERROR(Y96/H96,"0")+IFERROR(Y97/H97,"0")+IFERROR(Y98/H98,"0")+IFERROR(Y99/H99,"0")</f>
        <v>225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1.7765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740</v>
      </c>
      <c r="Y101" s="43">
        <f>IFERROR(SUM(Y93:Y99),"0")</f>
        <v>742.5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450</v>
      </c>
      <c r="Y109" s="55">
        <f t="shared" si="10"/>
        <v>450</v>
      </c>
      <c r="Z109" s="41">
        <f>IFERROR(IF(Y109=0,"",ROUNDUP(Y109/H109,0)*0.00902),"")</f>
        <v>0.90200000000000002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469</v>
      </c>
      <c r="BN109" s="78">
        <f t="shared" si="12"/>
        <v>469</v>
      </c>
      <c r="BO109" s="78">
        <f t="shared" si="13"/>
        <v>0.75757575757575757</v>
      </c>
      <c r="BP109" s="78">
        <f t="shared" si="14"/>
        <v>0.75757575757575757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100</v>
      </c>
      <c r="Y112" s="43">
        <f>IFERROR(Y104/H104,"0")+IFERROR(Y105/H105,"0")+IFERROR(Y106/H106,"0")+IFERROR(Y107/H107,"0")+IFERROR(Y108/H108,"0")+IFERROR(Y109/H109,"0")+IFERROR(Y110/H110,"0")+IFERROR(Y111/H111,"0")</f>
        <v>100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0.90200000000000002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450</v>
      </c>
      <c r="Y113" s="43">
        <f>IFERROR(SUM(Y104:Y111),"0")</f>
        <v>450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400</v>
      </c>
      <c r="Y123" s="55">
        <f t="shared" ref="Y123:Y130" si="15">IFERROR(IF(X123="",0,CEILING((X123/$H123),1)*$H123),"")</f>
        <v>405</v>
      </c>
      <c r="Z123" s="41">
        <f>IFERROR(IF(Y123=0,"",ROUNDUP(Y123/H123,0)*0.01898),"")</f>
        <v>0.94900000000000007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424.09876543209879</v>
      </c>
      <c r="BN123" s="78">
        <f t="shared" ref="BN123:BN130" si="17">IFERROR(Y123*I123/H123,"0")</f>
        <v>429.4</v>
      </c>
      <c r="BO123" s="78">
        <f t="shared" ref="BO123:BO130" si="18">IFERROR(1/J123*(X123/H123),"0")</f>
        <v>0.77160493827160492</v>
      </c>
      <c r="BP123" s="78">
        <f t="shared" ref="BP123:BP130" si="19">IFERROR(1/J123*(Y123/H123),"0")</f>
        <v>0.78125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585</v>
      </c>
      <c r="Y127" s="55">
        <f t="shared" si="15"/>
        <v>585.90000000000009</v>
      </c>
      <c r="Z127" s="41">
        <f t="shared" si="20"/>
        <v>1.4126700000000001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639.6</v>
      </c>
      <c r="BN127" s="78">
        <f t="shared" si="17"/>
        <v>640.58400000000006</v>
      </c>
      <c r="BO127" s="78">
        <f t="shared" si="18"/>
        <v>1.1904761904761905</v>
      </c>
      <c r="BP127" s="78">
        <f t="shared" si="19"/>
        <v>1.1923076923076925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266.04938271604937</v>
      </c>
      <c r="Y131" s="43">
        <f>IFERROR(Y123/H123,"0")+IFERROR(Y124/H124,"0")+IFERROR(Y125/H125,"0")+IFERROR(Y126/H126,"0")+IFERROR(Y127/H127,"0")+IFERROR(Y128/H128,"0")+IFERROR(Y129/H129,"0")+IFERROR(Y130/H130,"0")</f>
        <v>267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2.3616700000000002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985</v>
      </c>
      <c r="Y132" s="43">
        <f>IFERROR(SUM(Y123:Y130),"0")</f>
        <v>990.90000000000009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23.1</v>
      </c>
      <c r="Y134" s="55">
        <f>IFERROR(IF(X134="",0,CEILING((X134/$H134),1)*$H134),"")</f>
        <v>23.759999999999998</v>
      </c>
      <c r="Z134" s="41">
        <f>IFERROR(IF(Y134=0,"",ROUNDUP(Y134/H134,0)*0.00651),"")</f>
        <v>7.8119999999999995E-2</v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26.11</v>
      </c>
      <c r="BN134" s="78">
        <f>IFERROR(Y134*I134/H134,"0")</f>
        <v>26.855999999999998</v>
      </c>
      <c r="BO134" s="78">
        <f>IFERROR(1/J134*(X134/H134),"0")</f>
        <v>6.4102564102564111E-2</v>
      </c>
      <c r="BP134" s="78">
        <f>IFERROR(1/J134*(Y134/H134),"0")</f>
        <v>6.5934065934065936E-2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11.666666666666668</v>
      </c>
      <c r="Y136" s="43">
        <f>IFERROR(Y134/H134,"0")+IFERROR(Y135/H135,"0")</f>
        <v>11.999999999999998</v>
      </c>
      <c r="Z136" s="43">
        <f>IFERROR(IF(Z134="",0,Z134),"0")+IFERROR(IF(Z135="",0,Z135),"0")</f>
        <v>7.8119999999999995E-2</v>
      </c>
      <c r="AA136" s="67"/>
      <c r="AB136" s="67"/>
      <c r="AC136" s="67"/>
    </row>
    <row r="137" spans="1:68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23.1</v>
      </c>
      <c r="Y137" s="43">
        <f>IFERROR(SUM(Y134:Y135),"0")</f>
        <v>23.759999999999998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60</v>
      </c>
      <c r="Y141" s="55">
        <f>IFERROR(IF(X141="",0,CEILING((X141/$H141),1)*$H141),"")</f>
        <v>60.800000000000004</v>
      </c>
      <c r="Z141" s="41">
        <f>IFERROR(IF(Y141=0,"",ROUNDUP(Y141/H141,0)*0.00651),"")</f>
        <v>0.12369000000000001</v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63.374999999999993</v>
      </c>
      <c r="BN141" s="78">
        <f>IFERROR(Y141*I141/H141,"0")</f>
        <v>64.22</v>
      </c>
      <c r="BO141" s="78">
        <f>IFERROR(1/J141*(X141/H141),"0")</f>
        <v>0.10302197802197803</v>
      </c>
      <c r="BP141" s="78">
        <f>IFERROR(1/J141*(Y141/H141),"0")</f>
        <v>0.1043956043956044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18.75</v>
      </c>
      <c r="Y142" s="43">
        <f>IFERROR(Y140/H140,"0")+IFERROR(Y141/H141,"0")</f>
        <v>19</v>
      </c>
      <c r="Z142" s="43">
        <f>IFERROR(IF(Z140="",0,Z140),"0")+IFERROR(IF(Z141="",0,Z141),"0")</f>
        <v>0.12369000000000001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60</v>
      </c>
      <c r="Y143" s="43">
        <f>IFERROR(SUM(Y140:Y141),"0")</f>
        <v>60.800000000000004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42</v>
      </c>
      <c r="Y145" s="55">
        <f>IFERROR(IF(X145="",0,CEILING((X145/$H145),1)*$H145),"")</f>
        <v>42</v>
      </c>
      <c r="Z145" s="41">
        <f>IFERROR(IF(Y145=0,"",ROUNDUP(Y145/H145,0)*0.00651),"")</f>
        <v>9.7650000000000001E-2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46.02</v>
      </c>
      <c r="BN145" s="78">
        <f>IFERROR(Y145*I145/H145,"0")</f>
        <v>46.02</v>
      </c>
      <c r="BO145" s="78">
        <f>IFERROR(1/J145*(X145/H145),"0")</f>
        <v>8.241758241758243E-2</v>
      </c>
      <c r="BP145" s="78">
        <f>IFERROR(1/J145*(Y145/H145),"0")</f>
        <v>8.241758241758243E-2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15.000000000000002</v>
      </c>
      <c r="Y147" s="43">
        <f>IFERROR(Y145/H145,"0")+IFERROR(Y146/H146,"0")</f>
        <v>15.000000000000002</v>
      </c>
      <c r="Z147" s="43">
        <f>IFERROR(IF(Z145="",0,Z145),"0")+IFERROR(IF(Z146="",0,Z146),"0")</f>
        <v>9.7650000000000001E-2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42</v>
      </c>
      <c r="Y148" s="43">
        <f>IFERROR(SUM(Y145:Y146),"0")</f>
        <v>42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33</v>
      </c>
      <c r="Y150" s="55">
        <f>IFERROR(IF(X150="",0,CEILING((X150/$H150),1)*$H150),"")</f>
        <v>34.32</v>
      </c>
      <c r="Z150" s="41">
        <f>IFERROR(IF(Y150=0,"",ROUNDUP(Y150/H150,0)*0.00651),"")</f>
        <v>8.4629999999999997E-2</v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36.349999999999994</v>
      </c>
      <c r="BN150" s="78">
        <f>IFERROR(Y150*I150/H150,"0")</f>
        <v>37.803999999999995</v>
      </c>
      <c r="BO150" s="78">
        <f>IFERROR(1/J150*(X150/H150),"0")</f>
        <v>6.8681318681318687E-2</v>
      </c>
      <c r="BP150" s="78">
        <f>IFERROR(1/J150*(Y150/H150),"0")</f>
        <v>7.1428571428571438E-2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12.5</v>
      </c>
      <c r="Y152" s="43">
        <f>IFERROR(Y150/H150,"0")+IFERROR(Y151/H151,"0")</f>
        <v>13</v>
      </c>
      <c r="Z152" s="43">
        <f>IFERROR(IF(Z150="",0,Z150),"0")+IFERROR(IF(Z151="",0,Z151),"0")</f>
        <v>8.4629999999999997E-2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33</v>
      </c>
      <c r="Y153" s="43">
        <f>IFERROR(SUM(Y150:Y151),"0")</f>
        <v>34.32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200</v>
      </c>
      <c r="Y182" s="55">
        <f t="shared" ref="Y182:Y195" si="27">IFERROR(IF(X182="",0,CEILING((X182/$H182),1)*$H182),"")</f>
        <v>203</v>
      </c>
      <c r="Z182" s="41">
        <f t="shared" ref="Z182:Z187" si="28">IFERROR(IF(Y182=0,"",ROUNDUP(Y182/H182,0)*0.00902),"")</f>
        <v>0.52316000000000007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210.85714285714286</v>
      </c>
      <c r="BN182" s="78">
        <f t="shared" ref="BN182:BN195" si="30">IFERROR(Y182*I182/H182,"0")</f>
        <v>214.01999999999998</v>
      </c>
      <c r="BO182" s="78">
        <f t="shared" ref="BO182:BO195" si="31">IFERROR(1/J182*(X182/H182),"0")</f>
        <v>0.43290043290043295</v>
      </c>
      <c r="BP182" s="78">
        <f t="shared" ref="BP182:BP195" si="32">IFERROR(1/J182*(Y182/H182),"0")</f>
        <v>0.43939393939393939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300</v>
      </c>
      <c r="Y184" s="55">
        <f t="shared" si="27"/>
        <v>301</v>
      </c>
      <c r="Z184" s="41">
        <f t="shared" si="28"/>
        <v>0.77571999999999997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316.28571428571428</v>
      </c>
      <c r="BN184" s="78">
        <f t="shared" si="30"/>
        <v>317.34000000000003</v>
      </c>
      <c r="BO184" s="78">
        <f t="shared" si="31"/>
        <v>0.64935064935064934</v>
      </c>
      <c r="BP184" s="78">
        <f t="shared" si="32"/>
        <v>0.65151515151515149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300</v>
      </c>
      <c r="Y186" s="55">
        <f t="shared" si="27"/>
        <v>301</v>
      </c>
      <c r="Z186" s="41">
        <f t="shared" si="28"/>
        <v>0.77571999999999997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316.28571428571428</v>
      </c>
      <c r="BN186" s="78">
        <f t="shared" si="30"/>
        <v>317.34000000000003</v>
      </c>
      <c r="BO186" s="78">
        <f t="shared" si="31"/>
        <v>0.64935064935064934</v>
      </c>
      <c r="BP186" s="78">
        <f t="shared" si="32"/>
        <v>0.65151515151515149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168.00000000000003</v>
      </c>
      <c r="Y190" s="55">
        <f t="shared" si="27"/>
        <v>168</v>
      </c>
      <c r="Z190" s="41">
        <f>IFERROR(IF(Y190=0,"",ROUNDUP(Y190/H190,0)*0.00502),"")</f>
        <v>0.502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178.00000000000006</v>
      </c>
      <c r="BN190" s="78">
        <f t="shared" si="30"/>
        <v>178.00000000000003</v>
      </c>
      <c r="BO190" s="78">
        <f t="shared" si="31"/>
        <v>0.42735042735042744</v>
      </c>
      <c r="BP190" s="78">
        <f t="shared" si="32"/>
        <v>0.42735042735042739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168.00000000000003</v>
      </c>
      <c r="Y192" s="55">
        <f t="shared" si="27"/>
        <v>168</v>
      </c>
      <c r="Z192" s="41">
        <f>IFERROR(IF(Y192=0,"",ROUNDUP(Y192/H192,0)*0.00502),"")</f>
        <v>0.502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178.00000000000006</v>
      </c>
      <c r="BN192" s="78">
        <f t="shared" si="30"/>
        <v>178.00000000000003</v>
      </c>
      <c r="BO192" s="78">
        <f t="shared" si="31"/>
        <v>0.42735042735042744</v>
      </c>
      <c r="BP192" s="78">
        <f t="shared" si="32"/>
        <v>0.42735042735042739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168.00000000000003</v>
      </c>
      <c r="Y195" s="55">
        <f t="shared" si="27"/>
        <v>168</v>
      </c>
      <c r="Z195" s="41">
        <f>IFERROR(IF(Y195=0,"",ROUNDUP(Y195/H195,0)*0.00502),"")</f>
        <v>0.502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178.00000000000006</v>
      </c>
      <c r="BN195" s="78">
        <f t="shared" si="30"/>
        <v>178.00000000000003</v>
      </c>
      <c r="BO195" s="78">
        <f t="shared" si="31"/>
        <v>0.42735042735042744</v>
      </c>
      <c r="BP195" s="78">
        <f t="shared" si="32"/>
        <v>0.42735042735042739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528.57142857142856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530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3.5805999999999996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1304</v>
      </c>
      <c r="Y197" s="43">
        <f>IFERROR(SUM(Y182:Y195),"0")</f>
        <v>1309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100</v>
      </c>
      <c r="Y230" s="55">
        <f t="shared" ref="Y230:Y243" si="39">IFERROR(IF(X230="",0,CEILING((X230/$H230),1)*$H230),"")</f>
        <v>100.80000000000001</v>
      </c>
      <c r="Z230" s="41">
        <f>IFERROR(IF(Y230=0,"",ROUNDUP(Y230/H230,0)*0.00902),"")</f>
        <v>0.21648000000000001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105.95238095238095</v>
      </c>
      <c r="BN230" s="78">
        <f t="shared" ref="BN230:BN243" si="41">IFERROR(Y230*I230/H230,"0")</f>
        <v>106.80000000000001</v>
      </c>
      <c r="BO230" s="78">
        <f t="shared" ref="BO230:BO243" si="42">IFERROR(1/J230*(X230/H230),"0")</f>
        <v>0.18037518037518038</v>
      </c>
      <c r="BP230" s="78">
        <f t="shared" ref="BP230:BP243" si="43">IFERROR(1/J230*(Y230/H230),"0")</f>
        <v>0.18181818181818182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150</v>
      </c>
      <c r="Y232" s="55">
        <f t="shared" si="39"/>
        <v>151.20000000000002</v>
      </c>
      <c r="Z232" s="41">
        <f>IFERROR(IF(Y232=0,"",ROUNDUP(Y232/H232,0)*0.00902),"")</f>
        <v>0.32472000000000001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156.78571428571428</v>
      </c>
      <c r="BN232" s="78">
        <f t="shared" si="41"/>
        <v>158.04</v>
      </c>
      <c r="BO232" s="78">
        <f t="shared" si="42"/>
        <v>0.27056277056277056</v>
      </c>
      <c r="BP232" s="78">
        <f t="shared" si="43"/>
        <v>0.27272727272727271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350</v>
      </c>
      <c r="Y241" s="55">
        <f t="shared" si="39"/>
        <v>350.7</v>
      </c>
      <c r="Z241" s="41">
        <f>IFERROR(IF(Y241=0,"",ROUNDUP(Y241/H241,0)*0.00502),"")</f>
        <v>0.83833999999999997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366.66666666666669</v>
      </c>
      <c r="BN241" s="78">
        <f t="shared" si="41"/>
        <v>367.40000000000003</v>
      </c>
      <c r="BO241" s="78">
        <f t="shared" si="42"/>
        <v>0.71225071225071224</v>
      </c>
      <c r="BP241" s="78">
        <f t="shared" si="43"/>
        <v>0.71367521367521369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226.19047619047618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227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1.37954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600</v>
      </c>
      <c r="Y245" s="43">
        <f>IFERROR(SUM(Y230:Y243),"0")</f>
        <v>602.70000000000005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7.0000000000000009</v>
      </c>
      <c r="Y255" s="55">
        <f>IFERROR(IF(X255="",0,CEILING((X255/$H255),1)*$H255),"")</f>
        <v>7.5600000000000005</v>
      </c>
      <c r="Z255" s="41">
        <f>IFERROR(IF(Y255=0,"",ROUNDUP(Y255/H255,0)*0.0059),"")</f>
        <v>3.5400000000000001E-2</v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8.0555555555555554</v>
      </c>
      <c r="BN255" s="78">
        <f>IFERROR(Y255*I255/H255,"0")</f>
        <v>8.6999999999999993</v>
      </c>
      <c r="BO255" s="78">
        <f>IFERROR(1/J255*(X255/H255),"0")</f>
        <v>2.5720164609053499E-2</v>
      </c>
      <c r="BP255" s="78">
        <f>IFERROR(1/J255*(Y255/H255),"0")</f>
        <v>2.7777777777777776E-2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35</v>
      </c>
      <c r="Y256" s="55">
        <f>IFERROR(IF(X256="",0,CEILING((X256/$H256),1)*$H256),"")</f>
        <v>35.28</v>
      </c>
      <c r="Z256" s="41">
        <f>IFERROR(IF(Y256=0,"",ROUNDUP(Y256/H256,0)*0.0059),"")</f>
        <v>0.16519999999999999</v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40.277777777777779</v>
      </c>
      <c r="BN256" s="78">
        <f>IFERROR(Y256*I256/H256,"0")</f>
        <v>40.6</v>
      </c>
      <c r="BO256" s="78">
        <f>IFERROR(1/J256*(X256/H256),"0")</f>
        <v>0.12860082304526749</v>
      </c>
      <c r="BP256" s="78">
        <f>IFERROR(1/J256*(Y256/H256),"0")</f>
        <v>0.12962962962962962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14.000000000000002</v>
      </c>
      <c r="Y257" s="55">
        <f>IFERROR(IF(X257="",0,CEILING((X257/$H257),1)*$H257),"")</f>
        <v>15.120000000000001</v>
      </c>
      <c r="Z257" s="41">
        <f>IFERROR(IF(Y257=0,"",ROUNDUP(Y257/H257,0)*0.0059),"")</f>
        <v>7.0800000000000002E-2</v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16.111111111111111</v>
      </c>
      <c r="BN257" s="78">
        <f>IFERROR(Y257*I257/H257,"0")</f>
        <v>17.399999999999999</v>
      </c>
      <c r="BO257" s="78">
        <f>IFERROR(1/J257*(X257/H257),"0")</f>
        <v>5.1440329218106998E-2</v>
      </c>
      <c r="BP257" s="78">
        <f>IFERROR(1/J257*(Y257/H257),"0")</f>
        <v>5.5555555555555552E-2</v>
      </c>
    </row>
    <row r="258" spans="1:68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44.44444444444445</v>
      </c>
      <c r="Y258" s="43">
        <f>IFERROR(Y255/H255,"0")+IFERROR(Y256/H256,"0")+IFERROR(Y257/H257,"0")</f>
        <v>46</v>
      </c>
      <c r="Z258" s="43">
        <f>IFERROR(IF(Z255="",0,Z255),"0")+IFERROR(IF(Z256="",0,Z256),"0")+IFERROR(IF(Z257="",0,Z257),"0")</f>
        <v>0.27139999999999997</v>
      </c>
      <c r="AA258" s="67"/>
      <c r="AB258" s="67"/>
      <c r="AC258" s="67"/>
    </row>
    <row r="259" spans="1:68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56</v>
      </c>
      <c r="Y259" s="43">
        <f>IFERROR(SUM(Y255:Y257),"0")</f>
        <v>57.960000000000008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7.0000000000000009</v>
      </c>
      <c r="Y261" s="55">
        <f>IFERROR(IF(X261="",0,CEILING((X261/$H261),1)*$H261),"")</f>
        <v>7.5600000000000005</v>
      </c>
      <c r="Z261" s="41">
        <f>IFERROR(IF(Y261=0,"",ROUNDUP(Y261/H261,0)*0.0059),"")</f>
        <v>3.5400000000000001E-2</v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8.0555555555555554</v>
      </c>
      <c r="BN261" s="78">
        <f>IFERROR(Y261*I261/H261,"0")</f>
        <v>8.6999999999999993</v>
      </c>
      <c r="BO261" s="78">
        <f>IFERROR(1/J261*(X261/H261),"0")</f>
        <v>2.5720164609053499E-2</v>
      </c>
      <c r="BP261" s="78">
        <f>IFERROR(1/J261*(Y261/H261),"0")</f>
        <v>2.7777777777777776E-2</v>
      </c>
    </row>
    <row r="262" spans="1:68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5.5555555555555562</v>
      </c>
      <c r="Y262" s="43">
        <f>IFERROR(Y261/H261,"0")</f>
        <v>6</v>
      </c>
      <c r="Z262" s="43">
        <f>IFERROR(IF(Z261="",0,Z261),"0")</f>
        <v>3.5400000000000001E-2</v>
      </c>
      <c r="AA262" s="67"/>
      <c r="AB262" s="67"/>
      <c r="AC262" s="67"/>
    </row>
    <row r="263" spans="1:68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7.0000000000000009</v>
      </c>
      <c r="Y263" s="43">
        <f>IFERROR(SUM(Y261:Y261),"0")</f>
        <v>7.5600000000000005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200</v>
      </c>
      <c r="Y276" s="55">
        <f t="shared" ref="Y276:Y283" si="45">IFERROR(IF(X276="",0,CEILING((X276/$H276),1)*$H276),"")</f>
        <v>205.20000000000002</v>
      </c>
      <c r="Z276" s="41">
        <f>IFERROR(IF(Y276=0,"",ROUNDUP(Y276/H276,0)*0.00902),"")</f>
        <v>0.34276000000000001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207.03703703703701</v>
      </c>
      <c r="BN276" s="78">
        <f t="shared" ref="BN276:BN283" si="47">IFERROR(Y276*I276/H276,"0")</f>
        <v>212.42</v>
      </c>
      <c r="BO276" s="78">
        <f t="shared" ref="BO276:BO283" si="48">IFERROR(1/J276*(X276/H276),"0")</f>
        <v>0.28058361391694725</v>
      </c>
      <c r="BP276" s="78">
        <f t="shared" ref="BP276:BP283" si="49">IFERROR(1/J276*(Y276/H276),"0")</f>
        <v>0.2878787878787879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si="45"/>
        <v>205.20000000000002</v>
      </c>
      <c r="Z278" s="41">
        <f>IFERROR(IF(Y278=0,"",ROUNDUP(Y278/H278,0)*0.00902),"")</f>
        <v>0.34276000000000001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207.03703703703701</v>
      </c>
      <c r="BN278" s="78">
        <f t="shared" si="47"/>
        <v>212.42</v>
      </c>
      <c r="BO278" s="78">
        <f t="shared" si="48"/>
        <v>0.28058361391694725</v>
      </c>
      <c r="BP278" s="78">
        <f t="shared" si="49"/>
        <v>0.2878787878787879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180</v>
      </c>
      <c r="Y280" s="55">
        <f t="shared" si="45"/>
        <v>180</v>
      </c>
      <c r="Z280" s="41">
        <f>IFERROR(IF(Y280=0,"",ROUNDUP(Y280/H280,0)*0.00502),"")</f>
        <v>0.502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192.99999999999997</v>
      </c>
      <c r="BN280" s="78">
        <f t="shared" si="47"/>
        <v>192.99999999999997</v>
      </c>
      <c r="BO280" s="78">
        <f t="shared" si="48"/>
        <v>0.42735042735042739</v>
      </c>
      <c r="BP280" s="78">
        <f t="shared" si="49"/>
        <v>0.42735042735042739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150</v>
      </c>
      <c r="Y281" s="55">
        <f t="shared" si="45"/>
        <v>151.20000000000002</v>
      </c>
      <c r="Z281" s="41">
        <f>IFERROR(IF(Y281=0,"",ROUNDUP(Y281/H281,0)*0.00502),"")</f>
        <v>0.42168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158.33333333333334</v>
      </c>
      <c r="BN281" s="78">
        <f t="shared" si="47"/>
        <v>159.60000000000002</v>
      </c>
      <c r="BO281" s="78">
        <f t="shared" si="48"/>
        <v>0.35612535612535612</v>
      </c>
      <c r="BP281" s="78">
        <f t="shared" si="49"/>
        <v>0.35897435897435909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180</v>
      </c>
      <c r="Y282" s="55">
        <f t="shared" si="45"/>
        <v>180</v>
      </c>
      <c r="Z282" s="41">
        <f>IFERROR(IF(Y282=0,"",ROUNDUP(Y282/H282,0)*0.00502),"")</f>
        <v>0.502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190</v>
      </c>
      <c r="BN282" s="78">
        <f t="shared" si="47"/>
        <v>190</v>
      </c>
      <c r="BO282" s="78">
        <f t="shared" si="48"/>
        <v>0.42735042735042739</v>
      </c>
      <c r="BP282" s="78">
        <f t="shared" si="49"/>
        <v>0.42735042735042739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120</v>
      </c>
      <c r="Y283" s="55">
        <f t="shared" si="45"/>
        <v>120.60000000000001</v>
      </c>
      <c r="Z283" s="41">
        <f>IFERROR(IF(Y283=0,"",ROUNDUP(Y283/H283,0)*0.00502),"")</f>
        <v>0.33634000000000003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126.66666666666666</v>
      </c>
      <c r="BN283" s="78">
        <f t="shared" si="47"/>
        <v>127.30000000000001</v>
      </c>
      <c r="BO283" s="78">
        <f t="shared" si="48"/>
        <v>0.28490028490028496</v>
      </c>
      <c r="BP283" s="78">
        <f t="shared" si="49"/>
        <v>0.28632478632478636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424.07407407407408</v>
      </c>
      <c r="Y284" s="43">
        <f>IFERROR(Y276/H276,"0")+IFERROR(Y277/H277,"0")+IFERROR(Y278/H278,"0")+IFERROR(Y279/H279,"0")+IFERROR(Y280/H280,"0")+IFERROR(Y281/H281,"0")+IFERROR(Y282/H282,"0")+IFERROR(Y283/H283,"0")</f>
        <v>427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2.44754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1030</v>
      </c>
      <c r="Y285" s="43">
        <f>IFERROR(SUM(Y276:Y283),"0")</f>
        <v>1042.2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300</v>
      </c>
      <c r="Y287" s="55">
        <f t="shared" ref="Y287:Y298" si="50">IFERROR(IF(X287="",0,CEILING((X287/$H287),1)*$H287),"")</f>
        <v>307.8</v>
      </c>
      <c r="Z287" s="41">
        <f>IFERROR(IF(Y287=0,"",ROUNDUP(Y287/H287,0)*0.01898),"")</f>
        <v>0.72123999999999999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318.2962962962963</v>
      </c>
      <c r="BN287" s="78">
        <f t="shared" ref="BN287:BN298" si="52">IFERROR(Y287*I287/H287,"0")</f>
        <v>326.572</v>
      </c>
      <c r="BO287" s="78">
        <f t="shared" ref="BO287:BO298" si="53">IFERROR(1/J287*(X287/H287),"0")</f>
        <v>0.57870370370370372</v>
      </c>
      <c r="BP287" s="78">
        <f t="shared" ref="BP287:BP298" si="54">IFERROR(1/J287*(Y287/H287),"0")</f>
        <v>0.59375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200</v>
      </c>
      <c r="Y289" s="55">
        <f t="shared" si="50"/>
        <v>200.1</v>
      </c>
      <c r="Z289" s="41">
        <f>IFERROR(IF(Y289=0,"",ROUNDUP(Y289/H289,0)*0.01898),"")</f>
        <v>0.43653999999999998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211.35632183908049</v>
      </c>
      <c r="BN289" s="78">
        <f t="shared" si="52"/>
        <v>211.46200000000005</v>
      </c>
      <c r="BO289" s="78">
        <f t="shared" si="53"/>
        <v>0.35919540229885061</v>
      </c>
      <c r="BP289" s="78">
        <f t="shared" si="54"/>
        <v>0.359375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600</v>
      </c>
      <c r="Y290" s="55">
        <f t="shared" si="50"/>
        <v>600</v>
      </c>
      <c r="Z290" s="41">
        <f>IFERROR(IF(Y290=0,"",ROUNDUP(Y290/H290,0)*0.00651),"")</f>
        <v>1.6274999999999999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667.5</v>
      </c>
      <c r="BN290" s="78">
        <f t="shared" si="52"/>
        <v>667.5</v>
      </c>
      <c r="BO290" s="78">
        <f t="shared" si="53"/>
        <v>1.3736263736263736</v>
      </c>
      <c r="BP290" s="78">
        <f t="shared" si="54"/>
        <v>1.3736263736263736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400</v>
      </c>
      <c r="Y293" s="55">
        <f t="shared" si="50"/>
        <v>400.8</v>
      </c>
      <c r="Z293" s="41">
        <f>IFERROR(IF(Y293=0,"",ROUNDUP(Y293/H293,0)*0.00651),"")</f>
        <v>1.08717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442</v>
      </c>
      <c r="BN293" s="78">
        <f t="shared" si="52"/>
        <v>442.88400000000007</v>
      </c>
      <c r="BO293" s="78">
        <f t="shared" si="53"/>
        <v>0.91575091575091594</v>
      </c>
      <c r="BP293" s="78">
        <f t="shared" si="54"/>
        <v>0.91758241758241765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60</v>
      </c>
      <c r="Y296" s="55">
        <f t="shared" si="50"/>
        <v>60</v>
      </c>
      <c r="Z296" s="41">
        <f>IFERROR(IF(Y296=0,"",ROUNDUP(Y296/H296,0)*0.00651),"")</f>
        <v>0.16275000000000001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66.300000000000011</v>
      </c>
      <c r="BN296" s="78">
        <f t="shared" si="52"/>
        <v>66.300000000000011</v>
      </c>
      <c r="BO296" s="78">
        <f t="shared" si="53"/>
        <v>0.13736263736263737</v>
      </c>
      <c r="BP296" s="78">
        <f t="shared" si="54"/>
        <v>0.13736263736263737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501.69220945083015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503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4.0352000000000006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1560</v>
      </c>
      <c r="Y300" s="43">
        <f>IFERROR(SUM(Y287:Y298),"0")</f>
        <v>1568.7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200</v>
      </c>
      <c r="Y303" s="55">
        <f>IFERROR(IF(X303="",0,CEILING((X303/$H303),1)*$H303),"")</f>
        <v>201.6</v>
      </c>
      <c r="Z303" s="41">
        <f>IFERROR(IF(Y303=0,"",ROUNDUP(Y303/H303,0)*0.00651),"")</f>
        <v>0.54683999999999999</v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221</v>
      </c>
      <c r="BN303" s="78">
        <f>IFERROR(Y303*I303/H303,"0")</f>
        <v>222.768</v>
      </c>
      <c r="BO303" s="78">
        <f>IFERROR(1/J303*(X303/H303),"0")</f>
        <v>0.45787545787545797</v>
      </c>
      <c r="BP303" s="78">
        <f>IFERROR(1/J303*(Y303/H303),"0")</f>
        <v>0.46153846153846156</v>
      </c>
    </row>
    <row r="304" spans="1:68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83.333333333333343</v>
      </c>
      <c r="Y304" s="43">
        <f>IFERROR(Y302/H302,"0")+IFERROR(Y303/H303,"0")</f>
        <v>84</v>
      </c>
      <c r="Z304" s="43">
        <f>IFERROR(IF(Z302="",0,Z302),"0")+IFERROR(IF(Z303="",0,Z303),"0")</f>
        <v>0.54683999999999999</v>
      </c>
      <c r="AA304" s="67"/>
      <c r="AB304" s="67"/>
      <c r="AC304" s="67"/>
    </row>
    <row r="305" spans="1:68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200</v>
      </c>
      <c r="Y305" s="43">
        <f>IFERROR(SUM(Y302:Y303),"0")</f>
        <v>201.6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40</v>
      </c>
      <c r="Y314" s="55">
        <f t="shared" si="55"/>
        <v>40</v>
      </c>
      <c r="Z314" s="41">
        <f>IFERROR(IF(Y314=0,"",ROUNDUP(Y314/H314,0)*0.00902),"")</f>
        <v>9.0200000000000002E-2</v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41.900000000000006</v>
      </c>
      <c r="BN314" s="78">
        <f t="shared" si="57"/>
        <v>41.900000000000006</v>
      </c>
      <c r="BO314" s="78">
        <f t="shared" si="58"/>
        <v>7.575757575757576E-2</v>
      </c>
      <c r="BP314" s="78">
        <f t="shared" si="59"/>
        <v>7.575757575757576E-2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10</v>
      </c>
      <c r="Y315" s="43">
        <f>IFERROR(Y308/H308,"0")+IFERROR(Y309/H309,"0")+IFERROR(Y310/H310,"0")+IFERROR(Y311/H311,"0")+IFERROR(Y312/H312,"0")+IFERROR(Y313/H313,"0")+IFERROR(Y314/H314,"0")</f>
        <v>10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9.0200000000000002E-2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40</v>
      </c>
      <c r="Y316" s="43">
        <f>IFERROR(SUM(Y308:Y314),"0")</f>
        <v>40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12</v>
      </c>
      <c r="Y322" s="55">
        <f>IFERROR(IF(X322="",0,CEILING((X322/$H322),1)*$H322),"")</f>
        <v>12.6</v>
      </c>
      <c r="Z322" s="41">
        <f>IFERROR(IF(Y322=0,"",ROUNDUP(Y322/H322,0)*0.0059),"")</f>
        <v>4.1299999999999996E-2</v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13.166666666666668</v>
      </c>
      <c r="BN322" s="78">
        <f>IFERROR(Y322*I322/H322,"0")</f>
        <v>13.825000000000001</v>
      </c>
      <c r="BO322" s="78">
        <f>IFERROR(1/J322*(X322/H322),"0")</f>
        <v>3.0864197530864192E-2</v>
      </c>
      <c r="BP322" s="78">
        <f>IFERROR(1/J322*(Y322/H322),"0")</f>
        <v>3.2407407407407406E-2</v>
      </c>
    </row>
    <row r="323" spans="1:68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6.6666666666666661</v>
      </c>
      <c r="Y323" s="43">
        <f>IFERROR(Y322/H322,"0")</f>
        <v>7</v>
      </c>
      <c r="Z323" s="43">
        <f>IFERROR(IF(Z322="",0,Z322),"0")</f>
        <v>4.1299999999999996E-2</v>
      </c>
      <c r="AA323" s="67"/>
      <c r="AB323" s="67"/>
      <c r="AC323" s="67"/>
    </row>
    <row r="324" spans="1:68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12</v>
      </c>
      <c r="Y324" s="43">
        <f>IFERROR(SUM(Y322:Y322),"0")</f>
        <v>12.6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36</v>
      </c>
      <c r="Y327" s="55">
        <f>IFERROR(IF(X327="",0,CEILING((X327/$H327),1)*$H327),"")</f>
        <v>36</v>
      </c>
      <c r="Z327" s="41">
        <f>IFERROR(IF(Y327=0,"",ROUNDUP(Y327/H327,0)*0.0059),"")</f>
        <v>0.11799999999999999</v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39.500000000000007</v>
      </c>
      <c r="BN327" s="78">
        <f>IFERROR(Y327*I327/H327,"0")</f>
        <v>39.500000000000007</v>
      </c>
      <c r="BO327" s="78">
        <f>IFERROR(1/J327*(X327/H327),"0")</f>
        <v>9.2592592592592587E-2</v>
      </c>
      <c r="BP327" s="78">
        <f>IFERROR(1/J327*(Y327/H327),"0")</f>
        <v>9.2592592592592587E-2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2.5</v>
      </c>
      <c r="Y328" s="55">
        <f>IFERROR(IF(X328="",0,CEILING((X328/$H328),1)*$H328),"")</f>
        <v>2.7</v>
      </c>
      <c r="Z328" s="41">
        <f>IFERROR(IF(Y328=0,"",ROUNDUP(Y328/H328,0)*0.0059),"")</f>
        <v>1.77E-2</v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3.0277777777777777</v>
      </c>
      <c r="BN328" s="78">
        <f>IFERROR(Y328*I328/H328,"0")</f>
        <v>3.2700000000000005</v>
      </c>
      <c r="BO328" s="78">
        <f>IFERROR(1/J328*(X328/H328),"0")</f>
        <v>1.2860082304526748E-2</v>
      </c>
      <c r="BP328" s="78">
        <f>IFERROR(1/J328*(Y328/H328),"0")</f>
        <v>1.3888888888888888E-2</v>
      </c>
    </row>
    <row r="329" spans="1:68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22.777777777777779</v>
      </c>
      <c r="Y329" s="43">
        <f>IFERROR(Y326/H326,"0")+IFERROR(Y327/H327,"0")+IFERROR(Y328/H328,"0")</f>
        <v>23</v>
      </c>
      <c r="Z329" s="43">
        <f>IFERROR(IF(Z326="",0,Z326),"0")+IFERROR(IF(Z327="",0,Z327),"0")+IFERROR(IF(Z328="",0,Z328),"0")</f>
        <v>0.13569999999999999</v>
      </c>
      <c r="AA329" s="67"/>
      <c r="AB329" s="67"/>
      <c r="AC329" s="67"/>
    </row>
    <row r="330" spans="1:68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38.5</v>
      </c>
      <c r="Y330" s="43">
        <f>IFERROR(SUM(Y326:Y328),"0")</f>
        <v>38.700000000000003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440</v>
      </c>
      <c r="Y344" s="55">
        <f>IFERROR(IF(X344="",0,CEILING((X344/$H344),1)*$H344),"")</f>
        <v>441.59999999999997</v>
      </c>
      <c r="Z344" s="41">
        <f>IFERROR(IF(Y344=0,"",ROUNDUP(Y344/H344,0)*0.00651),"")</f>
        <v>1.19784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473.00000000000006</v>
      </c>
      <c r="BN344" s="78">
        <f>IFERROR(Y344*I344/H344,"0")</f>
        <v>474.72</v>
      </c>
      <c r="BO344" s="78">
        <f>IFERROR(1/J344*(X344/H344),"0")</f>
        <v>1.0073260073260075</v>
      </c>
      <c r="BP344" s="78">
        <f>IFERROR(1/J344*(Y344/H344),"0")</f>
        <v>1.0109890109890112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183.33333333333334</v>
      </c>
      <c r="Y345" s="43">
        <f>IFERROR(Y342/H342,"0")+IFERROR(Y343/H343,"0")+IFERROR(Y344/H344,"0")</f>
        <v>184</v>
      </c>
      <c r="Z345" s="43">
        <f>IFERROR(IF(Z342="",0,Z342),"0")+IFERROR(IF(Z343="",0,Z343),"0")+IFERROR(IF(Z344="",0,Z344),"0")</f>
        <v>1.19784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440</v>
      </c>
      <c r="Y346" s="43">
        <f>IFERROR(SUM(Y342:Y344),"0")</f>
        <v>441.59999999999997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200</v>
      </c>
      <c r="Y365" s="55">
        <f>IFERROR(IF(X365="",0,CEILING((X365/$H365),1)*$H365),"")</f>
        <v>202.79999999999998</v>
      </c>
      <c r="Z365" s="41">
        <f>IFERROR(IF(Y365=0,"",ROUNDUP(Y365/H365,0)*0.01898),"")</f>
        <v>0.49348000000000003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210.51282051282055</v>
      </c>
      <c r="BN365" s="78">
        <f>IFERROR(Y365*I365/H365,"0")</f>
        <v>213.46</v>
      </c>
      <c r="BO365" s="78">
        <f>IFERROR(1/J365*(X365/H365),"0")</f>
        <v>0.40064102564102566</v>
      </c>
      <c r="BP365" s="78">
        <f>IFERROR(1/J365*(Y365/H365),"0")</f>
        <v>0.40625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25.641025641025642</v>
      </c>
      <c r="Y366" s="43">
        <f>IFERROR(Y363/H363,"0")+IFERROR(Y364/H364,"0")+IFERROR(Y365/H365,"0")</f>
        <v>26</v>
      </c>
      <c r="Z366" s="43">
        <f>IFERROR(IF(Z363="",0,Z363),"0")+IFERROR(IF(Z364="",0,Z364),"0")+IFERROR(IF(Z365="",0,Z365),"0")</f>
        <v>0.49348000000000003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200</v>
      </c>
      <c r="Y367" s="43">
        <f>IFERROR(SUM(Y363:Y365),"0")</f>
        <v>202.79999999999998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100</v>
      </c>
      <c r="Y370" s="55">
        <f t="shared" ref="Y370:Y375" si="60">IFERROR(IF(X370="",0,CEILING((X370/$H370),1)*$H370),"")</f>
        <v>108</v>
      </c>
      <c r="Z370" s="41">
        <f>IFERROR(IF(Y370=0,"",ROUNDUP(Y370/H370,0)*0.01898),"")</f>
        <v>0.1898</v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103.79629629629629</v>
      </c>
      <c r="BN370" s="78">
        <f t="shared" ref="BN370:BN375" si="62">IFERROR(Y370*I370/H370,"0")</f>
        <v>112.1</v>
      </c>
      <c r="BO370" s="78">
        <f t="shared" ref="BO370:BO375" si="63">IFERROR(1/J370*(X370/H370),"0")</f>
        <v>0.14467592592592593</v>
      </c>
      <c r="BP370" s="78">
        <f t="shared" ref="BP370:BP375" si="64">IFERROR(1/J370*(Y370/H370),"0")</f>
        <v>0.15625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9.2592592592592595</v>
      </c>
      <c r="Y376" s="43">
        <f>IFERROR(Y370/H370,"0")+IFERROR(Y371/H371,"0")+IFERROR(Y372/H372,"0")+IFERROR(Y373/H373,"0")+IFERROR(Y374/H374,"0")+IFERROR(Y375/H375,"0")</f>
        <v>10</v>
      </c>
      <c r="Z376" s="43">
        <f>IFERROR(IF(Z370="",0,Z370),"0")+IFERROR(IF(Z371="",0,Z371),"0")+IFERROR(IF(Z372="",0,Z372),"0")+IFERROR(IF(Z373="",0,Z373),"0")+IFERROR(IF(Z374="",0,Z374),"0")+IFERROR(IF(Z375="",0,Z375),"0")</f>
        <v>0.1898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100</v>
      </c>
      <c r="Y377" s="43">
        <f>IFERROR(SUM(Y370:Y375),"0")</f>
        <v>108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300</v>
      </c>
      <c r="Y396" s="55">
        <f>IFERROR(IF(X396="",0,CEILING((X396/$H396),1)*$H396),"")</f>
        <v>302.40000000000003</v>
      </c>
      <c r="Z396" s="41">
        <f>IFERROR(IF(Y396=0,"",ROUNDUP(Y396/H396,0)*0.01898),"")</f>
        <v>0.68328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317.64285714285711</v>
      </c>
      <c r="BN396" s="78">
        <f>IFERROR(Y396*I396/H396,"0")</f>
        <v>320.18400000000003</v>
      </c>
      <c r="BO396" s="78">
        <f>IFERROR(1/J396*(X396/H396),"0")</f>
        <v>0.5580357142857143</v>
      </c>
      <c r="BP396" s="78">
        <f>IFERROR(1/J396*(Y396/H396),"0")</f>
        <v>0.5625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400</v>
      </c>
      <c r="Y397" s="55">
        <f>IFERROR(IF(X397="",0,CEILING((X397/$H397),1)*$H397),"")</f>
        <v>405.59999999999997</v>
      </c>
      <c r="Z397" s="41">
        <f>IFERROR(IF(Y397=0,"",ROUNDUP(Y397/H397,0)*0.01898),"")</f>
        <v>0.98696000000000006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425.33333333333337</v>
      </c>
      <c r="BN397" s="78">
        <f>IFERROR(Y397*I397/H397,"0")</f>
        <v>431.28799999999995</v>
      </c>
      <c r="BO397" s="78">
        <f>IFERROR(1/J397*(X397/H397),"0")</f>
        <v>0.80128205128205132</v>
      </c>
      <c r="BP397" s="78">
        <f>IFERROR(1/J397*(Y397/H397),"0")</f>
        <v>0.8125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100</v>
      </c>
      <c r="Y398" s="55">
        <f>IFERROR(IF(X398="",0,CEILING((X398/$H398),1)*$H398),"")</f>
        <v>100.80000000000001</v>
      </c>
      <c r="Z398" s="41">
        <f>IFERROR(IF(Y398=0,"",ROUNDUP(Y398/H398,0)*0.01898),"")</f>
        <v>0.22776000000000002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105.88095238095238</v>
      </c>
      <c r="BN398" s="78">
        <f>IFERROR(Y398*I398/H398,"0")</f>
        <v>106.72800000000001</v>
      </c>
      <c r="BO398" s="78">
        <f>IFERROR(1/J398*(X398/H398),"0")</f>
        <v>0.18601190476190477</v>
      </c>
      <c r="BP398" s="78">
        <f>IFERROR(1/J398*(Y398/H398),"0")</f>
        <v>0.1875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98.901098901098891</v>
      </c>
      <c r="Y399" s="43">
        <f>IFERROR(Y396/H396,"0")+IFERROR(Y397/H397,"0")+IFERROR(Y398/H398,"0")</f>
        <v>100</v>
      </c>
      <c r="Z399" s="43">
        <f>IFERROR(IF(Z396="",0,Z396),"0")+IFERROR(IF(Z397="",0,Z397),"0")+IFERROR(IF(Z398="",0,Z398),"0")</f>
        <v>1.8980000000000001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800</v>
      </c>
      <c r="Y400" s="43">
        <f>IFERROR(SUM(Y396:Y398),"0")</f>
        <v>808.8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2100</v>
      </c>
      <c r="Y430" s="55">
        <f>IFERROR(IF(X430="",0,CEILING((X430/$H430),1)*$H430),"")</f>
        <v>2100</v>
      </c>
      <c r="Z430" s="41">
        <f>IFERROR(IF(Y430=0,"",ROUNDUP(Y430/H430,0)*0.00651),"")</f>
        <v>6.51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2340</v>
      </c>
      <c r="BN430" s="78">
        <f>IFERROR(Y430*I430/H430,"0")</f>
        <v>2340</v>
      </c>
      <c r="BO430" s="78">
        <f>IFERROR(1/J430*(X430/H430),"0")</f>
        <v>5.4945054945054945</v>
      </c>
      <c r="BP430" s="78">
        <f>IFERROR(1/J430*(Y430/H430),"0")</f>
        <v>5.4945054945054945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1000</v>
      </c>
      <c r="Y431" s="43">
        <f>IFERROR(Y428/H428,"0")+IFERROR(Y429/H429,"0")+IFERROR(Y430/H430,"0")</f>
        <v>1000</v>
      </c>
      <c r="Z431" s="43">
        <f>IFERROR(IF(Z428="",0,Z428),"0")+IFERROR(IF(Z429="",0,Z429),"0")+IFERROR(IF(Z430="",0,Z430),"0")</f>
        <v>6.51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2100</v>
      </c>
      <c r="Y432" s="43">
        <f>IFERROR(SUM(Y428:Y430),"0")</f>
        <v>2100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1200</v>
      </c>
      <c r="Y437" s="55">
        <f t="shared" si="70"/>
        <v>1200</v>
      </c>
      <c r="Z437" s="41">
        <f>IFERROR(IF(Y437=0,"",ROUNDUP(Y437/H437,0)*0.02175),"")</f>
        <v>1.7399999999999998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1237.5999999999999</v>
      </c>
      <c r="BN437" s="78">
        <f t="shared" si="72"/>
        <v>1237.5999999999999</v>
      </c>
      <c r="BO437" s="78">
        <f t="shared" si="73"/>
        <v>1.6666666666666665</v>
      </c>
      <c r="BP437" s="78">
        <f t="shared" si="74"/>
        <v>1.6666666666666665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500</v>
      </c>
      <c r="Y438" s="55">
        <f t="shared" si="70"/>
        <v>510</v>
      </c>
      <c r="Z438" s="41">
        <f>IFERROR(IF(Y438=0,"",ROUNDUP(Y438/H438,0)*0.02175),"")</f>
        <v>0.73949999999999994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515.66666666666663</v>
      </c>
      <c r="BN438" s="78">
        <f t="shared" si="72"/>
        <v>525.98</v>
      </c>
      <c r="BO438" s="78">
        <f t="shared" si="73"/>
        <v>0.69444444444444442</v>
      </c>
      <c r="BP438" s="78">
        <f t="shared" si="74"/>
        <v>0.70833333333333326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500</v>
      </c>
      <c r="Y439" s="55">
        <f t="shared" si="70"/>
        <v>510</v>
      </c>
      <c r="Z439" s="41">
        <f>IFERROR(IF(Y439=0,"",ROUNDUP(Y439/H439,0)*0.02175),"")</f>
        <v>0.73949999999999994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515.66666666666663</v>
      </c>
      <c r="BN439" s="78">
        <f t="shared" si="72"/>
        <v>525.98</v>
      </c>
      <c r="BO439" s="78">
        <f t="shared" si="73"/>
        <v>0.69444444444444442</v>
      </c>
      <c r="BP439" s="78">
        <f t="shared" si="74"/>
        <v>0.70833333333333326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146.66666666666669</v>
      </c>
      <c r="Y444" s="43">
        <f>IFERROR(Y436/H436,"0")+IFERROR(Y437/H437,"0")+IFERROR(Y438/H438,"0")+IFERROR(Y439/H439,"0")+IFERROR(Y440/H440,"0")+IFERROR(Y441/H441,"0")+IFERROR(Y442/H442,"0")+IFERROR(Y443/H443,"0")</f>
        <v>148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3.2189999999999999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2200</v>
      </c>
      <c r="Y445" s="43">
        <f>IFERROR(SUM(Y436:Y443),"0")</f>
        <v>2220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400</v>
      </c>
      <c r="Y447" s="55">
        <f>IFERROR(IF(X447="",0,CEILING((X447/$H447),1)*$H447),"")</f>
        <v>405</v>
      </c>
      <c r="Z447" s="41">
        <f>IFERROR(IF(Y447=0,"",ROUNDUP(Y447/H447,0)*0.02175),"")</f>
        <v>0.58724999999999994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412.53333333333336</v>
      </c>
      <c r="BN447" s="78">
        <f>IFERROR(Y447*I447/H447,"0")</f>
        <v>417.69</v>
      </c>
      <c r="BO447" s="78">
        <f>IFERROR(1/J447*(X447/H447),"0")</f>
        <v>0.55555555555555558</v>
      </c>
      <c r="BP447" s="78">
        <f>IFERROR(1/J447*(Y447/H447),"0")</f>
        <v>0.5625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26.666666666666668</v>
      </c>
      <c r="Y450" s="43">
        <f>IFERROR(Y447/H447,"0")+IFERROR(Y448/H448,"0")+IFERROR(Y449/H449,"0")</f>
        <v>27</v>
      </c>
      <c r="Z450" s="43">
        <f>IFERROR(IF(Z447="",0,Z447),"0")+IFERROR(IF(Z448="",0,Z448),"0")+IFERROR(IF(Z449="",0,Z449),"0")</f>
        <v>0.58724999999999994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400</v>
      </c>
      <c r="Y451" s="43">
        <f>IFERROR(SUM(Y447:Y449),"0")</f>
        <v>405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50</v>
      </c>
      <c r="Y474" s="55">
        <f>IFERROR(IF(X474="",0,CEILING((X474/$H474),1)*$H474),"")</f>
        <v>54</v>
      </c>
      <c r="Z474" s="41">
        <f>IFERROR(IF(Y474=0,"",ROUNDUP(Y474/H474,0)*0.01898),"")</f>
        <v>0.11388000000000001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52.74444444444444</v>
      </c>
      <c r="BN474" s="78">
        <f>IFERROR(Y474*I474/H474,"0")</f>
        <v>56.963999999999992</v>
      </c>
      <c r="BO474" s="78">
        <f>IFERROR(1/J474*(X474/H474),"0")</f>
        <v>8.6805555555555552E-2</v>
      </c>
      <c r="BP474" s="78">
        <f>IFERROR(1/J474*(Y474/H474),"0")</f>
        <v>9.375E-2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5.5555555555555554</v>
      </c>
      <c r="Y477" s="43">
        <f>IFERROR(Y474/H474,"0")+IFERROR(Y475/H475,"0")+IFERROR(Y476/H476,"0")</f>
        <v>6</v>
      </c>
      <c r="Z477" s="43">
        <f>IFERROR(IF(Z474="",0,Z474),"0")+IFERROR(IF(Z475="",0,Z475),"0")+IFERROR(IF(Z476="",0,Z476),"0")</f>
        <v>0.11388000000000001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50</v>
      </c>
      <c r="Y478" s="43">
        <f>IFERROR(SUM(Y474:Y476),"0")</f>
        <v>54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200</v>
      </c>
      <c r="Y514" s="55">
        <f t="shared" si="80"/>
        <v>200.64000000000001</v>
      </c>
      <c r="Z514" s="41">
        <f t="shared" si="81"/>
        <v>0.45448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213.25757575757575</v>
      </c>
      <c r="BN514" s="78">
        <f t="shared" si="83"/>
        <v>213.94</v>
      </c>
      <c r="BO514" s="78">
        <f t="shared" si="84"/>
        <v>0.36421911421911418</v>
      </c>
      <c r="BP514" s="78">
        <f t="shared" si="85"/>
        <v>0.36538461538461542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72</v>
      </c>
      <c r="Y516" s="55">
        <f t="shared" si="80"/>
        <v>72</v>
      </c>
      <c r="Z516" s="41">
        <f>IFERROR(IF(Y516=0,"",ROUNDUP(Y516/H516,0)*0.00902),"")</f>
        <v>0.1353</v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103.65</v>
      </c>
      <c r="BN516" s="78">
        <f t="shared" si="83"/>
        <v>103.65</v>
      </c>
      <c r="BO516" s="78">
        <f t="shared" si="84"/>
        <v>0.11363636363636365</v>
      </c>
      <c r="BP516" s="78">
        <f t="shared" si="85"/>
        <v>0.11363636363636365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300</v>
      </c>
      <c r="Y517" s="55">
        <f t="shared" si="80"/>
        <v>302.39999999999998</v>
      </c>
      <c r="Z517" s="41">
        <f>IFERROR(IF(Y517=0,"",ROUNDUP(Y517/H517,0)*0.00902),"")</f>
        <v>0.56825999999999999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431.875</v>
      </c>
      <c r="BN517" s="78">
        <f t="shared" si="83"/>
        <v>435.33</v>
      </c>
      <c r="BO517" s="78">
        <f t="shared" si="84"/>
        <v>0.47348484848484851</v>
      </c>
      <c r="BP517" s="78">
        <f t="shared" si="85"/>
        <v>0.47727272727272729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115.37878787878788</v>
      </c>
      <c r="Y518" s="43">
        <f>IFERROR(Y509/H509,"0")+IFERROR(Y510/H510,"0")+IFERROR(Y511/H511,"0")+IFERROR(Y512/H512,"0")+IFERROR(Y513/H513,"0")+IFERROR(Y514/H514,"0")+IFERROR(Y515/H515,"0")+IFERROR(Y516/H516,"0")+IFERROR(Y517/H517,"0")</f>
        <v>116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1.15804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572</v>
      </c>
      <c r="Y519" s="43">
        <f>IFERROR(SUM(Y509:Y517),"0")</f>
        <v>575.04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250</v>
      </c>
      <c r="Y521" s="55">
        <f>IFERROR(IF(X521="",0,CEILING((X521/$H521),1)*$H521),"")</f>
        <v>253.44</v>
      </c>
      <c r="Z521" s="41">
        <f>IFERROR(IF(Y521=0,"",ROUNDUP(Y521/H521,0)*0.01196),"")</f>
        <v>0.57408000000000003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266.57196969696969</v>
      </c>
      <c r="BN521" s="78">
        <f>IFERROR(Y521*I521/H521,"0")</f>
        <v>270.23999999999995</v>
      </c>
      <c r="BO521" s="78">
        <f>IFERROR(1/J521*(X521/H521),"0")</f>
        <v>0.45527389277389274</v>
      </c>
      <c r="BP521" s="78">
        <f>IFERROR(1/J521*(Y521/H521),"0")</f>
        <v>0.46153846153846156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60</v>
      </c>
      <c r="Y523" s="55">
        <f>IFERROR(IF(X523="",0,CEILING((X523/$H523),1)*$H523),"")</f>
        <v>62.4</v>
      </c>
      <c r="Z523" s="41">
        <f>IFERROR(IF(Y523=0,"",ROUNDUP(Y523/H523,0)*0.00902),"")</f>
        <v>0.11726</v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86.375000000000014</v>
      </c>
      <c r="BN523" s="78">
        <f>IFERROR(Y523*I523/H523,"0")</f>
        <v>89.830000000000013</v>
      </c>
      <c r="BO523" s="78">
        <f>IFERROR(1/J523*(X523/H523),"0")</f>
        <v>9.4696969696969696E-2</v>
      </c>
      <c r="BP523" s="78">
        <f>IFERROR(1/J523*(Y523/H523),"0")</f>
        <v>9.8484848484848481E-2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59.848484848484844</v>
      </c>
      <c r="Y524" s="43">
        <f>IFERROR(Y521/H521,"0")+IFERROR(Y522/H522,"0")+IFERROR(Y523/H523,"0")</f>
        <v>61</v>
      </c>
      <c r="Z524" s="43">
        <f>IFERROR(IF(Z521="",0,Z521),"0")+IFERROR(IF(Z522="",0,Z522),"0")+IFERROR(IF(Z523="",0,Z523),"0")</f>
        <v>0.69134000000000007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310</v>
      </c>
      <c r="Y525" s="43">
        <f>IFERROR(SUM(Y521:Y523),"0")</f>
        <v>315.83999999999997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120</v>
      </c>
      <c r="Y529" s="55">
        <f t="shared" si="86"/>
        <v>121.44000000000001</v>
      </c>
      <c r="Z529" s="41">
        <f>IFERROR(IF(Y529=0,"",ROUNDUP(Y529/H529,0)*0.01196),"")</f>
        <v>0.27507999999999999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127.95454545454545</v>
      </c>
      <c r="BN529" s="78">
        <f t="shared" si="88"/>
        <v>129.49</v>
      </c>
      <c r="BO529" s="78">
        <f t="shared" si="89"/>
        <v>0.21853146853146854</v>
      </c>
      <c r="BP529" s="78">
        <f t="shared" si="90"/>
        <v>0.22115384615384617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90</v>
      </c>
      <c r="Y530" s="55">
        <f t="shared" si="86"/>
        <v>91.2</v>
      </c>
      <c r="Z530" s="41">
        <f>IFERROR(IF(Y530=0,"",ROUNDUP(Y530/H530,0)*0.00902),"")</f>
        <v>0.17138</v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129.5625</v>
      </c>
      <c r="BN530" s="78">
        <f t="shared" si="88"/>
        <v>131.29000000000002</v>
      </c>
      <c r="BO530" s="78">
        <f t="shared" si="89"/>
        <v>0.14204545454545456</v>
      </c>
      <c r="BP530" s="78">
        <f t="shared" si="90"/>
        <v>0.14393939393939395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120</v>
      </c>
      <c r="Y533" s="55">
        <f t="shared" si="86"/>
        <v>120</v>
      </c>
      <c r="Z533" s="41">
        <f>IFERROR(IF(Y533=0,"",ROUNDUP(Y533/H533,0)*0.00902),"")</f>
        <v>0.22550000000000001</v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166.75</v>
      </c>
      <c r="BN533" s="78">
        <f t="shared" si="88"/>
        <v>166.75</v>
      </c>
      <c r="BO533" s="78">
        <f t="shared" si="89"/>
        <v>0.18939393939393939</v>
      </c>
      <c r="BP533" s="78">
        <f t="shared" si="90"/>
        <v>0.18939393939393939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66.47727272727272</v>
      </c>
      <c r="Y534" s="43">
        <f>IFERROR(Y527/H527,"0")+IFERROR(Y528/H528,"0")+IFERROR(Y529/H529,"0")+IFERROR(Y530/H530,"0")+IFERROR(Y531/H531,"0")+IFERROR(Y532/H532,"0")+IFERROR(Y533/H533,"0")</f>
        <v>67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0.67196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330</v>
      </c>
      <c r="Y535" s="43">
        <f>IFERROR(SUM(Y527:Y533),"0")</f>
        <v>332.64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160</v>
      </c>
      <c r="Y539" s="55">
        <f>IFERROR(IF(X539="",0,CEILING((X539/$H539),1)*$H539),"")</f>
        <v>168</v>
      </c>
      <c r="Z539" s="41">
        <f>IFERROR(IF(Y539=0,"",ROUNDUP(Y539/H539,0)*0.01898),"")</f>
        <v>0.26572000000000001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165.46666666666667</v>
      </c>
      <c r="BN539" s="78">
        <f>IFERROR(Y539*I539/H539,"0")</f>
        <v>173.74</v>
      </c>
      <c r="BO539" s="78">
        <f>IFERROR(1/J539*(X539/H539),"0")</f>
        <v>0.20833333333333334</v>
      </c>
      <c r="BP539" s="78">
        <f>IFERROR(1/J539*(Y539/H539),"0")</f>
        <v>0.21875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13.333333333333334</v>
      </c>
      <c r="Y540" s="43">
        <f>IFERROR(Y539/H539,"0")</f>
        <v>14</v>
      </c>
      <c r="Z540" s="43">
        <f>IFERROR(IF(Z539="",0,Z539),"0")</f>
        <v>0.26572000000000001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160</v>
      </c>
      <c r="Y541" s="43">
        <f>IFERROR(SUM(Y539:Y539),"0")</f>
        <v>168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500</v>
      </c>
      <c r="Y551" s="55">
        <f>IFERROR(IF(X551="",0,CEILING((X551/$H551),1)*$H551),"")</f>
        <v>504</v>
      </c>
      <c r="Z551" s="41">
        <f>IFERROR(IF(Y551=0,"",ROUNDUP(Y551/H551,0)*0.01898),"")</f>
        <v>1.06288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527.44444444444446</v>
      </c>
      <c r="BN551" s="78">
        <f>IFERROR(Y551*I551/H551,"0")</f>
        <v>531.66399999999999</v>
      </c>
      <c r="BO551" s="78">
        <f>IFERROR(1/J551*(X551/H551),"0")</f>
        <v>0.86805555555555558</v>
      </c>
      <c r="BP551" s="78">
        <f>IFERROR(1/J551*(Y551/H551),"0")</f>
        <v>0.875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55.555555555555557</v>
      </c>
      <c r="Y552" s="43">
        <f>IFERROR(Y551/H551,"0")</f>
        <v>56</v>
      </c>
      <c r="Z552" s="43">
        <f>IFERROR(IF(Z551="",0,Z551),"0")</f>
        <v>1.06288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500</v>
      </c>
      <c r="Y553" s="43">
        <f>IFERROR(SUM(Y551:Y551),"0")</f>
        <v>504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17450.099999999999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17597.66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18824.36306130332</v>
      </c>
      <c r="Y565" s="43">
        <f>IFERROR(SUM(BN22:BN561),"0")</f>
        <v>18981.593000000008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35</v>
      </c>
      <c r="Y566" s="44">
        <f>ROUNDUP(SUM(BP22:BP561),0)</f>
        <v>35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19699.36306130332</v>
      </c>
      <c r="Y567" s="43">
        <f>GrossWeightTotalR+PalletQtyTotalR*25</f>
        <v>19856.593000000008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4761.3581916168132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4785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40.417569999999998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80.64</v>
      </c>
      <c r="D574" s="52">
        <f>IFERROR(Y47*1,"0")+IFERROR(Y48*1,"0")+IFERROR(Y49*1,"0")+IFERROR(Y50*1,"0")</f>
        <v>425.20000000000005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860.4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1512.9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1464.66</v>
      </c>
      <c r="H574" s="52">
        <f>IFERROR(Y140*1,"0")+IFERROR(Y141*1,"0")+IFERROR(Y145*1,"0")+IFERROR(Y146*1,"0")+IFERROR(Y150*1,"0")+IFERROR(Y151*1,"0")</f>
        <v>137.12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1309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668.21999999999991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2812.5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91.3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441.59999999999997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202.79999999999998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916.8</v>
      </c>
      <c r="U574" s="52">
        <f>IFERROR(Y422*1,"0")+IFERROR(Y423*1,"0")</f>
        <v>0</v>
      </c>
      <c r="V574" s="52">
        <f>IFERROR(Y428*1,"0")+IFERROR(Y429*1,"0")+IFERROR(Y430*1,"0")</f>
        <v>2100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2625</v>
      </c>
      <c r="X574" s="52">
        <f>IFERROR(Y465*1,"0")+IFERROR(Y466*1,"0")+IFERROR(Y470*1,"0")+IFERROR(Y474*1,"0")+IFERROR(Y475*1,"0")+IFERROR(Y476*1,"0")</f>
        <v>54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1223.52</v>
      </c>
      <c r="AB574" s="52">
        <f>IFERROR(Y539*1,"0")+IFERROR(Y543*1,"0")+IFERROR(Y547*1,"0")+IFERROR(Y551*1,"0")+IFERROR(Y555*1,"0")+IFERROR(Y556*1,"0")</f>
        <v>672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0,00"/>
        <filter val="1 200,00"/>
        <filter val="1 304,00"/>
        <filter val="1 560,00"/>
        <filter val="10,00"/>
        <filter val="100,00"/>
        <filter val="11,67"/>
        <filter val="112,50"/>
        <filter val="115,38"/>
        <filter val="12,00"/>
        <filter val="12,50"/>
        <filter val="120,00"/>
        <filter val="13,33"/>
        <filter val="130,00"/>
        <filter val="139,26"/>
        <filter val="14,00"/>
        <filter val="146,67"/>
        <filter val="15,00"/>
        <filter val="150,00"/>
        <filter val="152,04"/>
        <filter val="160,00"/>
        <filter val="162,50"/>
        <filter val="168,00"/>
        <filter val="17 450,10"/>
        <filter val="18 824,36"/>
        <filter val="18,75"/>
        <filter val="180,00"/>
        <filter val="183,33"/>
        <filter val="19 699,36"/>
        <filter val="2 100,00"/>
        <filter val="2 200,00"/>
        <filter val="2,50"/>
        <filter val="200,00"/>
        <filter val="22,78"/>
        <filter val="220,00"/>
        <filter val="224,69"/>
        <filter val="226,19"/>
        <filter val="23,10"/>
        <filter val="25,64"/>
        <filter val="250,00"/>
        <filter val="26,67"/>
        <filter val="266,05"/>
        <filter val="300,00"/>
        <filter val="310,00"/>
        <filter val="32,00"/>
        <filter val="33,00"/>
        <filter val="330,00"/>
        <filter val="35"/>
        <filter val="35,00"/>
        <filter val="350,00"/>
        <filter val="36,00"/>
        <filter val="38,50"/>
        <filter val="4 761,36"/>
        <filter val="40,00"/>
        <filter val="400,00"/>
        <filter val="41,67"/>
        <filter val="42,00"/>
        <filter val="420,00"/>
        <filter val="424,07"/>
        <filter val="44,44"/>
        <filter val="440,00"/>
        <filter val="450,00"/>
        <filter val="46,30"/>
        <filter val="48,00"/>
        <filter val="5,56"/>
        <filter val="50,00"/>
        <filter val="500,00"/>
        <filter val="501,69"/>
        <filter val="528,57"/>
        <filter val="540,00"/>
        <filter val="55,56"/>
        <filter val="56,00"/>
        <filter val="572,00"/>
        <filter val="585,00"/>
        <filter val="59,85"/>
        <filter val="6,67"/>
        <filter val="60,00"/>
        <filter val="600,00"/>
        <filter val="630,00"/>
        <filter val="66,48"/>
        <filter val="685,00"/>
        <filter val="7,00"/>
        <filter val="72,00"/>
        <filter val="73,52"/>
        <filter val="740,00"/>
        <filter val="760,00"/>
        <filter val="80,00"/>
        <filter val="800,00"/>
        <filter val="83,33"/>
        <filter val="9,26"/>
        <filter val="90,00"/>
        <filter val="98,90"/>
        <filter val="985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2026-09-04T13:15:23Z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