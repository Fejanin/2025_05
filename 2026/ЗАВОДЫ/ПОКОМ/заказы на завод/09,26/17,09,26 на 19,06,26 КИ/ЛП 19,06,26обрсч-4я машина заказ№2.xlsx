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EDE49A-B267-42DD-B1A8-F69EBEB4A857}" xr6:coauthVersionLast="47" xr6:coauthVersionMax="47" xr10:uidLastSave="{00000000-0000-0000-0000-000000000000}"/>
  <bookViews>
    <workbookView xWindow="990" yWindow="45" windowWidth="2544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N487" i="2"/>
  <c r="BM487" i="2"/>
  <c r="Y487" i="2"/>
  <c r="Z487" i="2" s="1"/>
  <c r="Z488" i="2" s="1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P475" i="2"/>
  <c r="BO475" i="2"/>
  <c r="BN475" i="2"/>
  <c r="BM475" i="2"/>
  <c r="Z475" i="2"/>
  <c r="Y475" i="2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P466" i="2"/>
  <c r="BO465" i="2"/>
  <c r="BN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P443" i="2"/>
  <c r="BO443" i="2"/>
  <c r="BM443" i="2"/>
  <c r="Y443" i="2"/>
  <c r="Z443" i="2" s="1"/>
  <c r="P443" i="2"/>
  <c r="X441" i="2"/>
  <c r="X440" i="2"/>
  <c r="BO439" i="2"/>
  <c r="BN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P412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N394" i="2"/>
  <c r="BM394" i="2"/>
  <c r="Y394" i="2"/>
  <c r="BP394" i="2" s="1"/>
  <c r="P394" i="2"/>
  <c r="BO393" i="2"/>
  <c r="BM393" i="2"/>
  <c r="Z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Y384" i="2" s="1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P370" i="2"/>
  <c r="BO370" i="2"/>
  <c r="BN370" i="2"/>
  <c r="BM370" i="2"/>
  <c r="Z370" i="2"/>
  <c r="Y370" i="2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N323" i="2"/>
  <c r="BM323" i="2"/>
  <c r="Y323" i="2"/>
  <c r="BP323" i="2" s="1"/>
  <c r="P323" i="2"/>
  <c r="BO322" i="2"/>
  <c r="BN322" i="2"/>
  <c r="BM322" i="2"/>
  <c r="Z322" i="2"/>
  <c r="Y322" i="2"/>
  <c r="BP322" i="2" s="1"/>
  <c r="P322" i="2"/>
  <c r="BO321" i="2"/>
  <c r="BM321" i="2"/>
  <c r="Y321" i="2"/>
  <c r="BP321" i="2" s="1"/>
  <c r="Y318" i="2"/>
  <c r="X318" i="2"/>
  <c r="X317" i="2"/>
  <c r="BO316" i="2"/>
  <c r="BN316" i="2"/>
  <c r="BM316" i="2"/>
  <c r="Z316" i="2"/>
  <c r="Z317" i="2" s="1"/>
  <c r="Y316" i="2"/>
  <c r="Y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P282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P277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Y252" i="2"/>
  <c r="X252" i="2"/>
  <c r="BO251" i="2"/>
  <c r="BN251" i="2"/>
  <c r="BM251" i="2"/>
  <c r="Y251" i="2"/>
  <c r="Y253" i="2" s="1"/>
  <c r="P251" i="2"/>
  <c r="X249" i="2"/>
  <c r="X248" i="2"/>
  <c r="BO247" i="2"/>
  <c r="BN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P224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Z189" i="2"/>
  <c r="Y189" i="2"/>
  <c r="BN189" i="2" s="1"/>
  <c r="P189" i="2"/>
  <c r="BO188" i="2"/>
  <c r="BM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N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BN133" i="2" s="1"/>
  <c r="P133" i="2"/>
  <c r="BO132" i="2"/>
  <c r="BM132" i="2"/>
  <c r="Y132" i="2"/>
  <c r="H564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P121" i="2"/>
  <c r="BO121" i="2"/>
  <c r="BN121" i="2"/>
  <c r="BM121" i="2"/>
  <c r="Z121" i="2"/>
  <c r="Y121" i="2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Y118" i="2" s="1"/>
  <c r="P112" i="2"/>
  <c r="X110" i="2"/>
  <c r="X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P93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Y91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Y81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P65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Z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P47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554" i="2" s="1"/>
  <c r="X24" i="2"/>
  <c r="BO23" i="2"/>
  <c r="BM23" i="2"/>
  <c r="Y23" i="2"/>
  <c r="P23" i="2"/>
  <c r="BO22" i="2"/>
  <c r="BM22" i="2"/>
  <c r="Y22" i="2"/>
  <c r="B564" i="2" s="1"/>
  <c r="P22" i="2"/>
  <c r="H10" i="2"/>
  <c r="A9" i="2"/>
  <c r="A10" i="2" s="1"/>
  <c r="D7" i="2"/>
  <c r="Q6" i="2"/>
  <c r="P2" i="2"/>
  <c r="BN55" i="2" l="1"/>
  <c r="BP114" i="2"/>
  <c r="Z168" i="2"/>
  <c r="Z217" i="2"/>
  <c r="Z287" i="2"/>
  <c r="Z382" i="2"/>
  <c r="BP382" i="2"/>
  <c r="Z501" i="2"/>
  <c r="Z247" i="2"/>
  <c r="Z251" i="2"/>
  <c r="Z252" i="2" s="1"/>
  <c r="BP251" i="2"/>
  <c r="Z323" i="2"/>
  <c r="BN393" i="2"/>
  <c r="Z394" i="2"/>
  <c r="Z439" i="2"/>
  <c r="Z520" i="2"/>
  <c r="Y275" i="2"/>
  <c r="Z31" i="2"/>
  <c r="BP57" i="2"/>
  <c r="BN217" i="2"/>
  <c r="Z218" i="2"/>
  <c r="BP229" i="2"/>
  <c r="Z465" i="2"/>
  <c r="BP529" i="2"/>
  <c r="Y264" i="2"/>
  <c r="Z29" i="2"/>
  <c r="BP40" i="2"/>
  <c r="Y52" i="2"/>
  <c r="Z49" i="2"/>
  <c r="Z60" i="2"/>
  <c r="Z67" i="2"/>
  <c r="Y76" i="2"/>
  <c r="Z88" i="2"/>
  <c r="BN88" i="2"/>
  <c r="Z101" i="2"/>
  <c r="Z106" i="2"/>
  <c r="Z112" i="2"/>
  <c r="BP116" i="2"/>
  <c r="Z133" i="2"/>
  <c r="Z178" i="2"/>
  <c r="BN178" i="2"/>
  <c r="Z182" i="2"/>
  <c r="BN182" i="2"/>
  <c r="Z183" i="2"/>
  <c r="Y191" i="2"/>
  <c r="Z204" i="2"/>
  <c r="Z221" i="2"/>
  <c r="BN221" i="2"/>
  <c r="BP227" i="2"/>
  <c r="Z237" i="2"/>
  <c r="BN237" i="2"/>
  <c r="Z268" i="2"/>
  <c r="BP280" i="2"/>
  <c r="BP285" i="2"/>
  <c r="Z304" i="2"/>
  <c r="BN304" i="2"/>
  <c r="BP312" i="2"/>
  <c r="Z333" i="2"/>
  <c r="BN333" i="2"/>
  <c r="Z346" i="2"/>
  <c r="BN346" i="2"/>
  <c r="Z347" i="2"/>
  <c r="BN347" i="2"/>
  <c r="Y348" i="2"/>
  <c r="Y349" i="2"/>
  <c r="Z362" i="2"/>
  <c r="BN362" i="2"/>
  <c r="Z374" i="2"/>
  <c r="BN374" i="2"/>
  <c r="Z387" i="2"/>
  <c r="Z400" i="2"/>
  <c r="BN400" i="2"/>
  <c r="Z418" i="2"/>
  <c r="BN418" i="2"/>
  <c r="Z450" i="2"/>
  <c r="BN450" i="2"/>
  <c r="Y451" i="2"/>
  <c r="Y452" i="2"/>
  <c r="Z477" i="2"/>
  <c r="BN477" i="2"/>
  <c r="BP517" i="2"/>
  <c r="Z522" i="2"/>
  <c r="Z533" i="2"/>
  <c r="Z534" i="2" s="1"/>
  <c r="BN533" i="2"/>
  <c r="Y543" i="2"/>
  <c r="X556" i="2"/>
  <c r="X555" i="2"/>
  <c r="X557" i="2" s="1"/>
  <c r="BN72" i="2"/>
  <c r="BN74" i="2"/>
  <c r="BP85" i="2"/>
  <c r="Z22" i="2"/>
  <c r="BN22" i="2"/>
  <c r="BP22" i="2"/>
  <c r="Y25" i="2"/>
  <c r="BN23" i="2"/>
  <c r="BP23" i="2"/>
  <c r="Y24" i="2"/>
  <c r="Z27" i="2"/>
  <c r="BN28" i="2"/>
  <c r="BP28" i="2"/>
  <c r="BP29" i="2"/>
  <c r="Z38" i="2"/>
  <c r="BP41" i="2"/>
  <c r="BP48" i="2"/>
  <c r="Z58" i="2"/>
  <c r="BN59" i="2"/>
  <c r="BP59" i="2"/>
  <c r="BP60" i="2"/>
  <c r="Y69" i="2"/>
  <c r="BP67" i="2"/>
  <c r="BN68" i="2"/>
  <c r="Y75" i="2"/>
  <c r="Z78" i="2"/>
  <c r="BN78" i="2"/>
  <c r="Z79" i="2"/>
  <c r="Z81" i="2" s="1"/>
  <c r="BN79" i="2"/>
  <c r="Z85" i="2"/>
  <c r="Z86" i="2"/>
  <c r="BN86" i="2"/>
  <c r="BN103" i="2"/>
  <c r="BP103" i="2"/>
  <c r="BN105" i="2"/>
  <c r="BN123" i="2"/>
  <c r="BP123" i="2"/>
  <c r="BP127" i="2"/>
  <c r="BP137" i="2"/>
  <c r="BP149" i="2"/>
  <c r="BP163" i="2"/>
  <c r="Y213" i="2"/>
  <c r="BN215" i="2"/>
  <c r="BN226" i="2"/>
  <c r="BN228" i="2"/>
  <c r="BN236" i="2"/>
  <c r="BN241" i="2"/>
  <c r="BN246" i="2"/>
  <c r="BN256" i="2"/>
  <c r="BN262" i="2"/>
  <c r="BN279" i="2"/>
  <c r="BN281" i="2"/>
  <c r="BN286" i="2"/>
  <c r="Y295" i="2"/>
  <c r="BP326" i="2"/>
  <c r="BN331" i="2"/>
  <c r="BN340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Z94" i="2"/>
  <c r="BN94" i="2"/>
  <c r="Z96" i="2"/>
  <c r="BN96" i="2"/>
  <c r="Y110" i="2"/>
  <c r="BP106" i="2"/>
  <c r="BP112" i="2"/>
  <c r="BN113" i="2"/>
  <c r="BP113" i="2"/>
  <c r="Z115" i="2"/>
  <c r="Z127" i="2"/>
  <c r="Z128" i="2" s="1"/>
  <c r="Z132" i="2"/>
  <c r="BN132" i="2"/>
  <c r="BP132" i="2"/>
  <c r="Z137" i="2"/>
  <c r="Z142" i="2"/>
  <c r="Z144" i="2" s="1"/>
  <c r="BN142" i="2"/>
  <c r="Y144" i="2"/>
  <c r="Z149" i="2"/>
  <c r="BN152" i="2"/>
  <c r="Z153" i="2"/>
  <c r="BN153" i="2"/>
  <c r="Z157" i="2"/>
  <c r="Z158" i="2" s="1"/>
  <c r="BN157" i="2"/>
  <c r="BP157" i="2"/>
  <c r="Y158" i="2"/>
  <c r="Z163" i="2"/>
  <c r="Z164" i="2"/>
  <c r="BN164" i="2"/>
  <c r="Y171" i="2"/>
  <c r="BP169" i="2"/>
  <c r="BN174" i="2"/>
  <c r="BP174" i="2"/>
  <c r="BN175" i="2"/>
  <c r="BN180" i="2"/>
  <c r="BP180" i="2"/>
  <c r="Z184" i="2"/>
  <c r="BN184" i="2"/>
  <c r="BN188" i="2"/>
  <c r="BP188" i="2"/>
  <c r="BP189" i="2"/>
  <c r="BN190" i="2"/>
  <c r="BP190" i="2"/>
  <c r="Z194" i="2"/>
  <c r="Z195" i="2" s="1"/>
  <c r="BN194" i="2"/>
  <c r="Z200" i="2"/>
  <c r="BN200" i="2"/>
  <c r="Z202" i="2"/>
  <c r="BN202" i="2"/>
  <c r="BN203" i="2"/>
  <c r="BP203" i="2"/>
  <c r="Z211" i="2"/>
  <c r="Z212" i="2" s="1"/>
  <c r="BN211" i="2"/>
  <c r="BP211" i="2"/>
  <c r="Z219" i="2"/>
  <c r="BN219" i="2"/>
  <c r="Z223" i="2"/>
  <c r="BN22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Z324" i="2"/>
  <c r="BN324" i="2"/>
  <c r="BN325" i="2"/>
  <c r="Z326" i="2"/>
  <c r="BN338" i="2"/>
  <c r="BN342" i="2"/>
  <c r="Y366" i="2"/>
  <c r="BP360" i="2"/>
  <c r="BN360" i="2"/>
  <c r="Z360" i="2"/>
  <c r="BP372" i="2"/>
  <c r="BN372" i="2"/>
  <c r="Z372" i="2"/>
  <c r="Y383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Y207" i="2"/>
  <c r="BP201" i="2"/>
  <c r="K564" i="2"/>
  <c r="Z341" i="2"/>
  <c r="Z363" i="2"/>
  <c r="BN412" i="2"/>
  <c r="Z412" i="2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Z396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Z207" i="2" s="1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Z124" i="2" s="1"/>
  <c r="Y129" i="2"/>
  <c r="BN148" i="2"/>
  <c r="BN151" i="2"/>
  <c r="Z170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Z467" i="2" s="1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Z457" i="2" s="1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34" i="2" s="1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Z547" i="2" s="1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434" i="2" l="1"/>
  <c r="Z414" i="2"/>
  <c r="Z451" i="2"/>
  <c r="Z24" i="2"/>
  <c r="Z42" i="2"/>
  <c r="Z154" i="2"/>
  <c r="Z117" i="2"/>
  <c r="Z69" i="2"/>
  <c r="Z139" i="2"/>
  <c r="Z134" i="2"/>
  <c r="Z408" i="2"/>
  <c r="Y554" i="2"/>
  <c r="Z230" i="2"/>
  <c r="Y556" i="2"/>
  <c r="Z51" i="2"/>
  <c r="Y555" i="2"/>
  <c r="Y557" i="2" s="1"/>
  <c r="Z75" i="2"/>
  <c r="Z494" i="2"/>
  <c r="Z109" i="2"/>
  <c r="Z274" i="2"/>
  <c r="Z242" i="2"/>
  <c r="Z90" i="2"/>
  <c r="Z327" i="2"/>
  <c r="Z62" i="2"/>
  <c r="Z32" i="2"/>
  <c r="Z165" i="2"/>
  <c r="Y558" i="2"/>
  <c r="Z514" i="2"/>
  <c r="Z483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<sst xmlns="http://schemas.openxmlformats.org/spreadsheetml/2006/main" count="4266" uniqueCount="900">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</sst>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 t="s">
        <v>899</v>
      </c>
      <c r="I5" s="1009"/>
      <c r="J5" s="1009"/>
      <c r="K5" s="1009"/>
      <c r="L5" s="1009"/>
      <c r="M5" s="1009"/>
      <c r="N5" s="72"/>
      <c r="P5" s="27" t="s">
        <v>4</v>
      </c>
      <c r="Q5" s="1011">
        <v>46284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882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Суббота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3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0.5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998.4</v>
      </c>
      <c r="Y379" s="55">
        <f>IFERROR(IF(X379="",0,CEILING((X379/$H379),1)*$H379),"")</f>
        <v>998.4</v>
      </c>
      <c r="Z379" s="41">
        <f>IFERROR(IF(Y379=0,"",ROUNDUP(Y379/H379,0)*0.01898),"")</f>
        <v>2.42944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1060.864</v>
      </c>
      <c r="BN379" s="78">
        <f>IFERROR(Y379*I379/H379,"0")</f>
        <v>1060.864</v>
      </c>
      <c r="BO379" s="78">
        <f>IFERROR(1/J379*(X379/H379),"0")</f>
        <v>2</v>
      </c>
      <c r="BP379" s="78">
        <f>IFERROR(1/J379*(Y379/H379),"0")</f>
        <v>2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128</v>
      </c>
      <c r="Y383" s="43">
        <f>IFERROR(Y379/H379,"0")+IFERROR(Y380/H380,"0")+IFERROR(Y381/H381,"0")+IFERROR(Y382/H382,"0")</f>
        <v>128</v>
      </c>
      <c r="Z383" s="43">
        <f>IFERROR(IF(Z379="",0,Z379),"0")+IFERROR(IF(Z380="",0,Z380),"0")+IFERROR(IF(Z381="",0,Z381),"0")+IFERROR(IF(Z382="",0,Z382),"0")</f>
        <v>2.42944</v>
      </c>
      <c r="AA383" s="67"/>
      <c r="AB383" s="67"/>
      <c r="AC383" s="67"/>
    </row>
    <row r="384" spans="1:68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998.4</v>
      </c>
      <c r="Y384" s="43">
        <f>IFERROR(SUM(Y379:Y382),"0")</f>
        <v>998.4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998.4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998.4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1060.864</v>
      </c>
      <c r="Y555" s="43">
        <f>IFERROR(SUM(BN22:BN551),"0")</f>
        <v>1060.864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2</v>
      </c>
      <c r="Y556" s="44">
        <f>ROUNDUP(SUM(BP22:BP551),0)</f>
        <v>2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1110.864</v>
      </c>
      <c r="Y557" s="43">
        <f>GrossWeightTotalR+PalletQtyTotalR*25</f>
        <v>1110.864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128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128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2.42944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998.4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0,86"/>
        <filter val="1 110,86"/>
        <filter val="128,00"/>
        <filter val="2"/>
        <filter val="998,4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2026-09-17T11:00:29Z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