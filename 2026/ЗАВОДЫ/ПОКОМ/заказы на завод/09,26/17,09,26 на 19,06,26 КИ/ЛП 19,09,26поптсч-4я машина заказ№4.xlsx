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69E300-52A0-46D3-9E11-F2E388D3397C}" xr6:coauthVersionLast="47" xr6:coauthVersionMax="47" xr10:uidLastSave="{00000000-0000-0000-0000-000000000000}"/>
  <bookViews>
    <workbookView xWindow="336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Z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P517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P477" i="2"/>
  <c r="BO477" i="2"/>
  <c r="BN477" i="2"/>
  <c r="BM477" i="2"/>
  <c r="Z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Y451" i="2"/>
  <c r="X451" i="2"/>
  <c r="BO450" i="2"/>
  <c r="BN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N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N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N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N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P245" i="2"/>
  <c r="BO245" i="2"/>
  <c r="BM245" i="2"/>
  <c r="Y245" i="2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N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N182" i="2"/>
  <c r="BM182" i="2"/>
  <c r="Z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Z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554" i="2" s="1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Z178" i="2" l="1"/>
  <c r="Z221" i="2"/>
  <c r="BP221" i="2"/>
  <c r="Z304" i="2"/>
  <c r="Z333" i="2"/>
  <c r="Z347" i="2"/>
  <c r="BP347" i="2"/>
  <c r="Y349" i="2"/>
  <c r="Z362" i="2"/>
  <c r="BP362" i="2"/>
  <c r="Z387" i="2"/>
  <c r="Z533" i="2"/>
  <c r="Z534" i="2" s="1"/>
  <c r="Z38" i="2"/>
  <c r="Z88" i="2"/>
  <c r="BP88" i="2"/>
  <c r="Z106" i="2"/>
  <c r="Z183" i="2"/>
  <c r="X556" i="2"/>
  <c r="BP48" i="2"/>
  <c r="Z374" i="2"/>
  <c r="Z400" i="2"/>
  <c r="Z450" i="2"/>
  <c r="Y452" i="2"/>
  <c r="BP116" i="2"/>
  <c r="H564" i="2"/>
  <c r="BN178" i="2"/>
  <c r="Z237" i="2"/>
  <c r="BN304" i="2"/>
  <c r="BN333" i="2"/>
  <c r="Z346" i="2"/>
  <c r="Y348" i="2"/>
  <c r="Z418" i="2"/>
  <c r="BN533" i="2"/>
  <c r="Y543" i="2"/>
  <c r="Y75" i="2"/>
  <c r="X555" i="2"/>
  <c r="X557" i="2" s="1"/>
  <c r="BP41" i="2"/>
  <c r="Z58" i="2"/>
  <c r="Y69" i="2"/>
  <c r="Z78" i="2"/>
  <c r="Z81" i="2" s="1"/>
  <c r="Z79" i="2"/>
  <c r="BN79" i="2"/>
  <c r="Y91" i="2"/>
  <c r="Z86" i="2"/>
  <c r="BN86" i="2"/>
  <c r="Z107" i="2"/>
  <c r="BN107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16" i="2"/>
  <c r="Z317" i="2" s="1"/>
  <c r="BN316" i="2"/>
  <c r="Y318" i="2"/>
  <c r="Z322" i="2"/>
  <c r="BN322" i="2"/>
  <c r="Z323" i="2"/>
  <c r="BN323" i="2"/>
  <c r="Z370" i="2"/>
  <c r="BN370" i="2"/>
  <c r="Z382" i="2"/>
  <c r="BN382" i="2"/>
  <c r="Z393" i="2"/>
  <c r="Z396" i="2" s="1"/>
  <c r="BN393" i="2"/>
  <c r="Z394" i="2"/>
  <c r="BN394" i="2"/>
  <c r="Z439" i="2"/>
  <c r="BN439" i="2"/>
  <c r="BP443" i="2"/>
  <c r="Z465" i="2"/>
  <c r="BN465" i="2"/>
  <c r="Z475" i="2"/>
  <c r="BN475" i="2"/>
  <c r="Z487" i="2"/>
  <c r="Z488" i="2" s="1"/>
  <c r="Z501" i="2"/>
  <c r="Z520" i="2"/>
  <c r="BP529" i="2"/>
  <c r="Z22" i="2"/>
  <c r="BN22" i="2"/>
  <c r="BP22" i="2"/>
  <c r="Y25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32" i="2" l="1"/>
  <c r="Z207" i="2"/>
  <c r="Z165" i="2"/>
  <c r="Z139" i="2"/>
  <c r="Y554" i="2"/>
  <c r="Z274" i="2"/>
  <c r="Z242" i="2"/>
  <c r="Z90" i="2"/>
  <c r="Z62" i="2"/>
  <c r="Z408" i="2"/>
  <c r="Z124" i="2"/>
  <c r="Z117" i="2"/>
  <c r="Z69" i="2"/>
  <c r="Z514" i="2"/>
  <c r="Z230" i="2"/>
  <c r="Y556" i="2"/>
  <c r="Y557" i="2" s="1"/>
  <c r="Z51" i="2"/>
  <c r="Z42" i="2"/>
  <c r="Y555" i="2"/>
  <c r="Z75" i="2"/>
  <c r="Z154" i="2"/>
  <c r="Z494" i="2"/>
  <c r="Z109" i="2"/>
  <c r="Z327" i="2"/>
  <c r="Y558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<sst xmlns="http://schemas.openxmlformats.org/spreadsheetml/2006/main" count="4266" uniqueCount="900">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</sst>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46284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Суббота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2496</v>
      </c>
      <c r="Y379" s="55">
        <f>IFERROR(IF(X379="",0,CEILING((X379/$H379),1)*$H379),"")</f>
        <v>2496</v>
      </c>
      <c r="Z379" s="41">
        <f>IFERROR(IF(Y379=0,"",ROUNDUP(Y379/H379,0)*0.01898),"")</f>
        <v>6.0735999999999999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2652.1600000000003</v>
      </c>
      <c r="BN379" s="78">
        <f>IFERROR(Y379*I379/H379,"0")</f>
        <v>2652.1600000000003</v>
      </c>
      <c r="BO379" s="78">
        <f>IFERROR(1/J379*(X379/H379),"0")</f>
        <v>5</v>
      </c>
      <c r="BP379" s="78">
        <f>IFERROR(1/J379*(Y379/H379),"0")</f>
        <v>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320</v>
      </c>
      <c r="Y383" s="43">
        <f>IFERROR(Y379/H379,"0")+IFERROR(Y380/H380,"0")+IFERROR(Y381/H381,"0")+IFERROR(Y382/H382,"0")</f>
        <v>320</v>
      </c>
      <c r="Z383" s="43">
        <f>IFERROR(IF(Z379="",0,Z379),"0")+IFERROR(IF(Z380="",0,Z380),"0")+IFERROR(IF(Z381="",0,Z381),"0")+IFERROR(IF(Z382="",0,Z382),"0")</f>
        <v>6.0735999999999999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2496</v>
      </c>
      <c r="Y384" s="43">
        <f>IFERROR(SUM(Y379:Y382),"0")</f>
        <v>2496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2496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2496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2652.1600000000003</v>
      </c>
      <c r="Y555" s="43">
        <f>IFERROR(SUM(BN22:BN551),"0")</f>
        <v>2652.1600000000003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5</v>
      </c>
      <c r="Y556" s="44">
        <f>ROUNDUP(SUM(BP22:BP551),0)</f>
        <v>5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2777.1600000000003</v>
      </c>
      <c r="Y557" s="43">
        <f>GrossWeightTotalR+PalletQtyTotalR*25</f>
        <v>2777.1600000000003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320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320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6.0735999999999999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2496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