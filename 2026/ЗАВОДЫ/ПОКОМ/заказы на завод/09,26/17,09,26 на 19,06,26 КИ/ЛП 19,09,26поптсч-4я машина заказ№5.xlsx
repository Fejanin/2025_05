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E804008-E159-4817-9CF8-21A332232F40}" xr6:coauthVersionLast="47" xr6:coauthVersionMax="47" xr10:uidLastSave="{00000000-0000-0000-0000-000000000000}"/>
  <bookViews>
    <workbookView xWindow="3360" yWindow="0" windowWidth="254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N487" i="2"/>
  <c r="BM487" i="2"/>
  <c r="Y487" i="2"/>
  <c r="Z487" i="2" s="1"/>
  <c r="Z488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P475" i="2"/>
  <c r="BO475" i="2"/>
  <c r="BN475" i="2"/>
  <c r="BM475" i="2"/>
  <c r="Z475" i="2"/>
  <c r="Y475" i="2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O465" i="2"/>
  <c r="BN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P443" i="2"/>
  <c r="BO443" i="2"/>
  <c r="BM443" i="2"/>
  <c r="Y443" i="2"/>
  <c r="Z443" i="2" s="1"/>
  <c r="P443" i="2"/>
  <c r="X441" i="2"/>
  <c r="X440" i="2"/>
  <c r="BO439" i="2"/>
  <c r="BN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P412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N394" i="2"/>
  <c r="BM394" i="2"/>
  <c r="Y394" i="2"/>
  <c r="BP394" i="2" s="1"/>
  <c r="P394" i="2"/>
  <c r="BO393" i="2"/>
  <c r="BN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Y383" i="2"/>
  <c r="X383" i="2"/>
  <c r="BO382" i="2"/>
  <c r="BN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N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Y366" i="2" s="1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P324" i="2"/>
  <c r="BO324" i="2"/>
  <c r="BN324" i="2"/>
  <c r="BM324" i="2"/>
  <c r="Z324" i="2"/>
  <c r="Y324" i="2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P303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P298" i="2"/>
  <c r="BO298" i="2"/>
  <c r="BM298" i="2"/>
  <c r="Y298" i="2"/>
  <c r="P298" i="2"/>
  <c r="X295" i="2"/>
  <c r="X294" i="2"/>
  <c r="BO293" i="2"/>
  <c r="BM293" i="2"/>
  <c r="Y293" i="2"/>
  <c r="P293" i="2"/>
  <c r="BO292" i="2"/>
  <c r="BM292" i="2"/>
  <c r="Y292" i="2"/>
  <c r="Z292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N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N266" i="2"/>
  <c r="BM266" i="2"/>
  <c r="Y266" i="2"/>
  <c r="BP266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3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P184" i="2"/>
  <c r="BO184" i="2"/>
  <c r="BN184" i="2"/>
  <c r="BM184" i="2"/>
  <c r="Z184" i="2"/>
  <c r="Y184" i="2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BP169" i="2" s="1"/>
  <c r="P169" i="2"/>
  <c r="BO168" i="2"/>
  <c r="BM168" i="2"/>
  <c r="Y168" i="2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Z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BP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P102" i="2"/>
  <c r="BO101" i="2"/>
  <c r="BM101" i="2"/>
  <c r="Y101" i="2"/>
  <c r="Z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P93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Y81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Y52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P23" i="2"/>
  <c r="BO22" i="2"/>
  <c r="X556" i="2" s="1"/>
  <c r="BM22" i="2"/>
  <c r="Y22" i="2"/>
  <c r="P22" i="2"/>
  <c r="H10" i="2"/>
  <c r="A9" i="2"/>
  <c r="A10" i="2" s="1"/>
  <c r="D7" i="2"/>
  <c r="Q6" i="2"/>
  <c r="P2" i="2"/>
  <c r="Z202" i="2" l="1"/>
  <c r="BP202" i="2"/>
  <c r="Z501" i="2"/>
  <c r="Z149" i="2"/>
  <c r="B564" i="2"/>
  <c r="X554" i="2"/>
  <c r="Z272" i="2"/>
  <c r="Z370" i="2"/>
  <c r="Z394" i="2"/>
  <c r="Z439" i="2"/>
  <c r="Z520" i="2"/>
  <c r="Z127" i="2"/>
  <c r="Z128" i="2" s="1"/>
  <c r="Z266" i="2"/>
  <c r="Z382" i="2"/>
  <c r="Z465" i="2"/>
  <c r="BP529" i="2"/>
  <c r="BP48" i="2"/>
  <c r="Y69" i="2"/>
  <c r="Z78" i="2"/>
  <c r="BN78" i="2"/>
  <c r="Z79" i="2"/>
  <c r="Z115" i="2"/>
  <c r="Z132" i="2"/>
  <c r="BN132" i="2"/>
  <c r="Y139" i="2"/>
  <c r="Z142" i="2"/>
  <c r="Z144" i="2" s="1"/>
  <c r="BN142" i="2"/>
  <c r="Z153" i="2"/>
  <c r="BN153" i="2"/>
  <c r="Z157" i="2"/>
  <c r="Z158" i="2" s="1"/>
  <c r="BN157" i="2"/>
  <c r="BP157" i="2"/>
  <c r="Z164" i="2"/>
  <c r="BN164" i="2"/>
  <c r="Z194" i="2"/>
  <c r="Z195" i="2" s="1"/>
  <c r="BN194" i="2"/>
  <c r="Z200" i="2"/>
  <c r="BN200" i="2"/>
  <c r="Z211" i="2"/>
  <c r="Z212" i="2" s="1"/>
  <c r="BN211" i="2"/>
  <c r="BP211" i="2"/>
  <c r="Y212" i="2"/>
  <c r="Z219" i="2"/>
  <c r="BN219" i="2"/>
  <c r="Z233" i="2"/>
  <c r="BN233" i="2"/>
  <c r="Y259" i="2"/>
  <c r="BP270" i="2"/>
  <c r="Y289" i="2"/>
  <c r="Z326" i="2"/>
  <c r="Z362" i="2"/>
  <c r="BN362" i="2"/>
  <c r="Z374" i="2"/>
  <c r="BN374" i="2"/>
  <c r="Z387" i="2"/>
  <c r="Z400" i="2"/>
  <c r="BN400" i="2"/>
  <c r="Z418" i="2"/>
  <c r="BN418" i="2"/>
  <c r="Z450" i="2"/>
  <c r="BN450" i="2"/>
  <c r="Y451" i="2"/>
  <c r="Y452" i="2"/>
  <c r="Z477" i="2"/>
  <c r="BN477" i="2"/>
  <c r="BP517" i="2"/>
  <c r="Z522" i="2"/>
  <c r="Z533" i="2"/>
  <c r="Z534" i="2" s="1"/>
  <c r="BN533" i="2"/>
  <c r="Y543" i="2"/>
  <c r="X555" i="2"/>
  <c r="Z29" i="2"/>
  <c r="Z31" i="2"/>
  <c r="BP40" i="2"/>
  <c r="BP47" i="2"/>
  <c r="Z49" i="2"/>
  <c r="Z55" i="2"/>
  <c r="BP57" i="2"/>
  <c r="Z60" i="2"/>
  <c r="BP65" i="2"/>
  <c r="Z67" i="2"/>
  <c r="BN72" i="2"/>
  <c r="BN74" i="2"/>
  <c r="BP85" i="2"/>
  <c r="Y91" i="2"/>
  <c r="Z94" i="2"/>
  <c r="BN94" i="2"/>
  <c r="Z96" i="2"/>
  <c r="BN96" i="2"/>
  <c r="BP101" i="2"/>
  <c r="Y110" i="2"/>
  <c r="BP106" i="2"/>
  <c r="BP112" i="2"/>
  <c r="BN113" i="2"/>
  <c r="BP113" i="2"/>
  <c r="Y118" i="2"/>
  <c r="Y144" i="2"/>
  <c r="BN152" i="2"/>
  <c r="Y158" i="2"/>
  <c r="BN174" i="2"/>
  <c r="BP174" i="2"/>
  <c r="BN175" i="2"/>
  <c r="BP178" i="2"/>
  <c r="BN178" i="2"/>
  <c r="Z178" i="2"/>
  <c r="BN180" i="2"/>
  <c r="BP180" i="2"/>
  <c r="BP182" i="2"/>
  <c r="BN182" i="2"/>
  <c r="Z182" i="2"/>
  <c r="BN183" i="2"/>
  <c r="Z183" i="2"/>
  <c r="BN190" i="2"/>
  <c r="BP190" i="2"/>
  <c r="Y191" i="2"/>
  <c r="BN203" i="2"/>
  <c r="BP203" i="2"/>
  <c r="BN204" i="2"/>
  <c r="Z204" i="2"/>
  <c r="BP217" i="2"/>
  <c r="BN217" i="2"/>
  <c r="Z217" i="2"/>
  <c r="BN218" i="2"/>
  <c r="Z218" i="2"/>
  <c r="Z224" i="2"/>
  <c r="BP224" i="2"/>
  <c r="Z22" i="2"/>
  <c r="BN22" i="2"/>
  <c r="BP22" i="2"/>
  <c r="Y25" i="2"/>
  <c r="BN23" i="2"/>
  <c r="BP23" i="2"/>
  <c r="Y24" i="2"/>
  <c r="Z27" i="2"/>
  <c r="BN28" i="2"/>
  <c r="BP28" i="2"/>
  <c r="BP29" i="2"/>
  <c r="Z38" i="2"/>
  <c r="BP41" i="2"/>
  <c r="Z58" i="2"/>
  <c r="BN59" i="2"/>
  <c r="BP59" i="2"/>
  <c r="BP60" i="2"/>
  <c r="BP67" i="2"/>
  <c r="BN68" i="2"/>
  <c r="Y75" i="2"/>
  <c r="Z81" i="2"/>
  <c r="BN79" i="2"/>
  <c r="Z86" i="2"/>
  <c r="BN86" i="2"/>
  <c r="Z88" i="2"/>
  <c r="BN88" i="2"/>
  <c r="BP102" i="2"/>
  <c r="BN103" i="2"/>
  <c r="BP103" i="2"/>
  <c r="BN105" i="2"/>
  <c r="Z106" i="2"/>
  <c r="Z107" i="2"/>
  <c r="BN107" i="2"/>
  <c r="BP114" i="2"/>
  <c r="BP116" i="2"/>
  <c r="Z121" i="2"/>
  <c r="BN121" i="2"/>
  <c r="BN123" i="2"/>
  <c r="BP123" i="2"/>
  <c r="BP127" i="2"/>
  <c r="H564" i="2"/>
  <c r="Z133" i="2"/>
  <c r="BP137" i="2"/>
  <c r="BP149" i="2"/>
  <c r="BN163" i="2"/>
  <c r="BP163" i="2"/>
  <c r="BN168" i="2"/>
  <c r="Z168" i="2"/>
  <c r="Y171" i="2"/>
  <c r="Z169" i="2"/>
  <c r="BN188" i="2"/>
  <c r="BN189" i="2"/>
  <c r="Z189" i="2"/>
  <c r="BP221" i="2"/>
  <c r="BN221" i="2"/>
  <c r="Z221" i="2"/>
  <c r="BN215" i="2"/>
  <c r="BN226" i="2"/>
  <c r="BP227" i="2"/>
  <c r="BN228" i="2"/>
  <c r="BP229" i="2"/>
  <c r="BN236" i="2"/>
  <c r="Z237" i="2"/>
  <c r="BN237" i="2"/>
  <c r="BN241" i="2"/>
  <c r="BN246" i="2"/>
  <c r="Z247" i="2"/>
  <c r="BN247" i="2"/>
  <c r="Z251" i="2"/>
  <c r="Z252" i="2" s="1"/>
  <c r="BN251" i="2"/>
  <c r="BP251" i="2"/>
  <c r="Y252" i="2"/>
  <c r="BN256" i="2"/>
  <c r="Y264" i="2"/>
  <c r="BN262" i="2"/>
  <c r="Z268" i="2"/>
  <c r="BP277" i="2"/>
  <c r="BN279" i="2"/>
  <c r="BP280" i="2"/>
  <c r="BN281" i="2"/>
  <c r="BP282" i="2"/>
  <c r="BP285" i="2"/>
  <c r="BN286" i="2"/>
  <c r="Z287" i="2"/>
  <c r="Y294" i="2"/>
  <c r="Y295" i="2"/>
  <c r="Z304" i="2"/>
  <c r="BN304" i="2"/>
  <c r="BP312" i="2"/>
  <c r="Z316" i="2"/>
  <c r="Z317" i="2" s="1"/>
  <c r="BN316" i="2"/>
  <c r="Y318" i="2"/>
  <c r="Z322" i="2"/>
  <c r="BN322" i="2"/>
  <c r="Z323" i="2"/>
  <c r="BN323" i="2"/>
  <c r="BP326" i="2"/>
  <c r="BN331" i="2"/>
  <c r="Z333" i="2"/>
  <c r="BN333" i="2"/>
  <c r="BN340" i="2"/>
  <c r="Z346" i="2"/>
  <c r="BN346" i="2"/>
  <c r="Z347" i="2"/>
  <c r="BN347" i="2"/>
  <c r="Y348" i="2"/>
  <c r="Y349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BN234" i="2"/>
  <c r="BN238" i="2"/>
  <c r="Y258" i="2"/>
  <c r="BN261" i="2"/>
  <c r="Y263" i="2"/>
  <c r="BN267" i="2"/>
  <c r="BP267" i="2"/>
  <c r="BP268" i="2"/>
  <c r="BN269" i="2"/>
  <c r="BN271" i="2"/>
  <c r="Y275" i="2"/>
  <c r="BN300" i="2"/>
  <c r="BN302" i="2"/>
  <c r="BN325" i="2"/>
  <c r="BN338" i="2"/>
  <c r="BN342" i="2"/>
  <c r="BP360" i="2"/>
  <c r="BN360" i="2"/>
  <c r="Z360" i="2"/>
  <c r="BP372" i="2"/>
  <c r="BN372" i="2"/>
  <c r="Z372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X557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Z117" i="2" s="1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Z124" i="2" s="1"/>
  <c r="Y129" i="2"/>
  <c r="BN148" i="2"/>
  <c r="BN151" i="2"/>
  <c r="Z170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2" i="2" s="1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51" i="2" s="1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34" i="2" s="1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34" i="2" l="1"/>
  <c r="Z207" i="2"/>
  <c r="Y554" i="2"/>
  <c r="Z274" i="2"/>
  <c r="Z242" i="2"/>
  <c r="Z90" i="2"/>
  <c r="Z24" i="2"/>
  <c r="Z62" i="2"/>
  <c r="Z467" i="2"/>
  <c r="Z408" i="2"/>
  <c r="Z69" i="2"/>
  <c r="Z514" i="2"/>
  <c r="Z134" i="2"/>
  <c r="Z327" i="2"/>
  <c r="Y558" i="2"/>
  <c r="Z483" i="2"/>
  <c r="Z230" i="2"/>
  <c r="Y556" i="2"/>
  <c r="Z51" i="2"/>
  <c r="Z42" i="2"/>
  <c r="Y555" i="2"/>
  <c r="Y557" i="2" s="1"/>
  <c r="Z75" i="2"/>
  <c r="Z154" i="2"/>
  <c r="Z494" i="2"/>
  <c r="Z109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<sst xmlns="http://schemas.openxmlformats.org/spreadsheetml/2006/main" count="4266" uniqueCount="900">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</sst>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899</v>
      </c>
      <c r="I5" s="1009"/>
      <c r="J5" s="1009"/>
      <c r="K5" s="1009"/>
      <c r="L5" s="1009"/>
      <c r="M5" s="1009"/>
      <c r="N5" s="72"/>
      <c r="P5" s="27" t="s">
        <v>4</v>
      </c>
      <c r="Q5" s="1011">
        <v>46284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Суббота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0.5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630</v>
      </c>
      <c r="Y443" s="55">
        <f>IFERROR(IF(X443="",0,CEILING((X443/$H443),1)*$H443),"")</f>
        <v>630</v>
      </c>
      <c r="Z443" s="41">
        <f>IFERROR(IF(Y443=0,"",ROUNDUP(Y443/H443,0)*0.01898),"")</f>
        <v>1.3286</v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665</v>
      </c>
      <c r="BN443" s="78">
        <f>IFERROR(Y443*I443/H443,"0")</f>
        <v>665</v>
      </c>
      <c r="BO443" s="78">
        <f>IFERROR(1/J443*(X443/H443),"0")</f>
        <v>1.09375</v>
      </c>
      <c r="BP443" s="78">
        <f>IFERROR(1/J443*(Y443/H443),"0")</f>
        <v>1.09375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70</v>
      </c>
      <c r="Y446" s="43">
        <f>IFERROR(Y443/H443,"0")+IFERROR(Y444/H444,"0")+IFERROR(Y445/H445,"0")</f>
        <v>70</v>
      </c>
      <c r="Z446" s="43">
        <f>IFERROR(IF(Z443="",0,Z443),"0")+IFERROR(IF(Z444="",0,Z444),"0")+IFERROR(IF(Z445="",0,Z445),"0")</f>
        <v>1.3286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630</v>
      </c>
      <c r="Y447" s="43">
        <f>IFERROR(SUM(Y443:Y445),"0")</f>
        <v>630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630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630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665</v>
      </c>
      <c r="Y555" s="43">
        <f>IFERROR(SUM(BN22:BN551),"0")</f>
        <v>665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715</v>
      </c>
      <c r="Y557" s="43">
        <f>GrossWeightTotalR+PalletQtyTotalR*25</f>
        <v>715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70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70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1.3286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630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630,00"/>
        <filter val="665,00"/>
        <filter val="70,00"/>
        <filter val="715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2026-09-17T11:02:30Z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