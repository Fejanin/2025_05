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60C2AE-911B-4E08-B543-26D2B499614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Z533" i="2"/>
  <c r="Z534" i="2" s="1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P506" i="2"/>
  <c r="BO506" i="2"/>
  <c r="BN506" i="2"/>
  <c r="BM506" i="2"/>
  <c r="Z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Z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Z487" i="2"/>
  <c r="Z488" i="2" s="1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Z477" i="2"/>
  <c r="Y477" i="2"/>
  <c r="BN477" i="2" s="1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Y451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P443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P426" i="2"/>
  <c r="BO426" i="2"/>
  <c r="BN426" i="2"/>
  <c r="BM426" i="2"/>
  <c r="Z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P406" i="2"/>
  <c r="BO406" i="2"/>
  <c r="BN406" i="2"/>
  <c r="BM406" i="2"/>
  <c r="Z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Z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P375" i="2"/>
  <c r="BO374" i="2"/>
  <c r="BM374" i="2"/>
  <c r="Z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Y349" i="2"/>
  <c r="X349" i="2"/>
  <c r="X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P326" i="2"/>
  <c r="BO325" i="2"/>
  <c r="BM325" i="2"/>
  <c r="Y325" i="2"/>
  <c r="BP325" i="2" s="1"/>
  <c r="P325" i="2"/>
  <c r="BP324" i="2"/>
  <c r="BO324" i="2"/>
  <c r="BN324" i="2"/>
  <c r="BM324" i="2"/>
  <c r="Z324" i="2"/>
  <c r="Y324" i="2"/>
  <c r="P324" i="2"/>
  <c r="BO323" i="2"/>
  <c r="BM323" i="2"/>
  <c r="Z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P308" i="2"/>
  <c r="X306" i="2"/>
  <c r="X305" i="2"/>
  <c r="BO304" i="2"/>
  <c r="BM304" i="2"/>
  <c r="Z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Y295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Y258" i="2" s="1"/>
  <c r="P257" i="2"/>
  <c r="BO256" i="2"/>
  <c r="BM256" i="2"/>
  <c r="Y256" i="2"/>
  <c r="BP256" i="2" s="1"/>
  <c r="P256" i="2"/>
  <c r="X253" i="2"/>
  <c r="X252" i="2"/>
  <c r="BP251" i="2"/>
  <c r="BO251" i="2"/>
  <c r="BM251" i="2"/>
  <c r="Y251" i="2"/>
  <c r="P251" i="2"/>
  <c r="X249" i="2"/>
  <c r="X248" i="2"/>
  <c r="BO247" i="2"/>
  <c r="BM247" i="2"/>
  <c r="Z247" i="2"/>
  <c r="Y247" i="2"/>
  <c r="BP247" i="2" s="1"/>
  <c r="P247" i="2"/>
  <c r="BO246" i="2"/>
  <c r="BM246" i="2"/>
  <c r="Y246" i="2"/>
  <c r="BP246" i="2" s="1"/>
  <c r="P246" i="2"/>
  <c r="BP245" i="2"/>
  <c r="BO245" i="2"/>
  <c r="BM245" i="2"/>
  <c r="Y245" i="2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Z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P227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P219" i="2"/>
  <c r="BO219" i="2"/>
  <c r="BN219" i="2"/>
  <c r="BM219" i="2"/>
  <c r="Z219" i="2"/>
  <c r="Y219" i="2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Z204" i="2"/>
  <c r="Y204" i="2"/>
  <c r="BN204" i="2" s="1"/>
  <c r="P204" i="2"/>
  <c r="BO203" i="2"/>
  <c r="BM203" i="2"/>
  <c r="Y203" i="2"/>
  <c r="BP203" i="2" s="1"/>
  <c r="P203" i="2"/>
  <c r="BP202" i="2"/>
  <c r="BO202" i="2"/>
  <c r="BN202" i="2"/>
  <c r="BM202" i="2"/>
  <c r="Z202" i="2"/>
  <c r="Y202" i="2"/>
  <c r="P202" i="2"/>
  <c r="BO201" i="2"/>
  <c r="BM201" i="2"/>
  <c r="Y201" i="2"/>
  <c r="BN201" i="2" s="1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Z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P184" i="2"/>
  <c r="BO183" i="2"/>
  <c r="BM183" i="2"/>
  <c r="Z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X171" i="2"/>
  <c r="X170" i="2"/>
  <c r="BO169" i="2"/>
  <c r="BM169" i="2"/>
  <c r="Y169" i="2"/>
  <c r="BP169" i="2" s="1"/>
  <c r="P169" i="2"/>
  <c r="BO168" i="2"/>
  <c r="BM168" i="2"/>
  <c r="Z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Z163" i="2"/>
  <c r="Y163" i="2"/>
  <c r="BN163" i="2" s="1"/>
  <c r="P163" i="2"/>
  <c r="BO162" i="2"/>
  <c r="BM162" i="2"/>
  <c r="Y162" i="2"/>
  <c r="BN162" i="2" s="1"/>
  <c r="P162" i="2"/>
  <c r="Y159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Z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Z127" i="2"/>
  <c r="Z128" i="2" s="1"/>
  <c r="Y127" i="2"/>
  <c r="Y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N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Z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Z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BO102" i="2"/>
  <c r="BM102" i="2"/>
  <c r="Y102" i="2"/>
  <c r="BP102" i="2" s="1"/>
  <c r="P102" i="2"/>
  <c r="BP101" i="2"/>
  <c r="BO101" i="2"/>
  <c r="BM101" i="2"/>
  <c r="Y101" i="2"/>
  <c r="Z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N94" i="2"/>
  <c r="BM94" i="2"/>
  <c r="Z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P87" i="2"/>
  <c r="BO87" i="2"/>
  <c r="BM87" i="2"/>
  <c r="Y87" i="2"/>
  <c r="P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Z79" i="2"/>
  <c r="Y79" i="2"/>
  <c r="BN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Z66" i="2" s="1"/>
  <c r="P66" i="2"/>
  <c r="BP65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Z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Y52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Z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A10" i="2" s="1"/>
  <c r="D7" i="2"/>
  <c r="Q6" i="2"/>
  <c r="P2" i="2"/>
  <c r="B564" i="2" l="1"/>
  <c r="Z22" i="2"/>
  <c r="BN86" i="2"/>
  <c r="Z86" i="2"/>
  <c r="BN105" i="2"/>
  <c r="BN180" i="2"/>
  <c r="BN184" i="2"/>
  <c r="Z184" i="2"/>
  <c r="BN221" i="2"/>
  <c r="BN228" i="2"/>
  <c r="BN267" i="2"/>
  <c r="BN303" i="2"/>
  <c r="BP303" i="2"/>
  <c r="BN322" i="2"/>
  <c r="BP354" i="2"/>
  <c r="BN354" i="2"/>
  <c r="Z354" i="2"/>
  <c r="BN394" i="2"/>
  <c r="Z394" i="2"/>
  <c r="BN439" i="2"/>
  <c r="BN445" i="2"/>
  <c r="BN475" i="2"/>
  <c r="Z475" i="2"/>
  <c r="X555" i="2"/>
  <c r="BP22" i="2"/>
  <c r="BP38" i="2"/>
  <c r="Z38" i="2"/>
  <c r="BN60" i="2"/>
  <c r="Z60" i="2"/>
  <c r="Z134" i="2"/>
  <c r="BN164" i="2"/>
  <c r="BN175" i="2"/>
  <c r="Y195" i="2"/>
  <c r="BN194" i="2"/>
  <c r="Z194" i="2"/>
  <c r="Z195" i="2" s="1"/>
  <c r="BP200" i="2"/>
  <c r="BN200" i="2"/>
  <c r="Z200" i="2"/>
  <c r="Y213" i="2"/>
  <c r="Y212" i="2"/>
  <c r="BP211" i="2"/>
  <c r="BN211" i="2"/>
  <c r="Z211" i="2"/>
  <c r="Z212" i="2" s="1"/>
  <c r="BP217" i="2"/>
  <c r="Z217" i="2"/>
  <c r="BN236" i="2"/>
  <c r="BN241" i="2"/>
  <c r="BN246" i="2"/>
  <c r="Y252" i="2"/>
  <c r="Y253" i="2"/>
  <c r="Z251" i="2"/>
  <c r="Z252" i="2" s="1"/>
  <c r="BP272" i="2"/>
  <c r="BN272" i="2"/>
  <c r="Z272" i="2"/>
  <c r="BN280" i="2"/>
  <c r="BP280" i="2"/>
  <c r="BN285" i="2"/>
  <c r="BP285" i="2"/>
  <c r="BN287" i="2"/>
  <c r="Z287" i="2"/>
  <c r="Y314" i="2"/>
  <c r="BP312" i="2"/>
  <c r="BN326" i="2"/>
  <c r="Z326" i="2"/>
  <c r="BP333" i="2"/>
  <c r="Z333" i="2"/>
  <c r="BN346" i="2"/>
  <c r="BP360" i="2"/>
  <c r="BN360" i="2"/>
  <c r="Z360" i="2"/>
  <c r="BN370" i="2"/>
  <c r="BP394" i="2"/>
  <c r="BN400" i="2"/>
  <c r="BN418" i="2"/>
  <c r="BP429" i="2"/>
  <c r="BN429" i="2"/>
  <c r="Z429" i="2"/>
  <c r="BN431" i="2"/>
  <c r="BP475" i="2"/>
  <c r="BP476" i="2"/>
  <c r="BN476" i="2"/>
  <c r="BN491" i="2"/>
  <c r="BN503" i="2"/>
  <c r="BN537" i="2"/>
  <c r="BN546" i="2"/>
  <c r="X554" i="2"/>
  <c r="BN55" i="2"/>
  <c r="BN74" i="2"/>
  <c r="BN152" i="2"/>
  <c r="BN215" i="2"/>
  <c r="BN233" i="2"/>
  <c r="BN256" i="2"/>
  <c r="Y259" i="2"/>
  <c r="BN261" i="2"/>
  <c r="BN269" i="2"/>
  <c r="BN281" i="2"/>
  <c r="BN286" i="2"/>
  <c r="BN300" i="2"/>
  <c r="BN316" i="2"/>
  <c r="Y318" i="2"/>
  <c r="BP323" i="2"/>
  <c r="BN331" i="2"/>
  <c r="Y344" i="2"/>
  <c r="BN338" i="2"/>
  <c r="BP347" i="2"/>
  <c r="BN362" i="2"/>
  <c r="BP374" i="2"/>
  <c r="BP382" i="2"/>
  <c r="BN393" i="2"/>
  <c r="BN438" i="2"/>
  <c r="BN450" i="2"/>
  <c r="BN465" i="2"/>
  <c r="BP477" i="2"/>
  <c r="BN513" i="2"/>
  <c r="Z520" i="2"/>
  <c r="BN523" i="2"/>
  <c r="Y531" i="2"/>
  <c r="Y538" i="2"/>
  <c r="Z31" i="2"/>
  <c r="Y76" i="2"/>
  <c r="BP86" i="2"/>
  <c r="Z88" i="2"/>
  <c r="Z96" i="2"/>
  <c r="Z103" i="2"/>
  <c r="BN103" i="2"/>
  <c r="BP116" i="2"/>
  <c r="BP121" i="2"/>
  <c r="Z121" i="2"/>
  <c r="BP127" i="2"/>
  <c r="H564" i="2"/>
  <c r="BN132" i="2"/>
  <c r="BP132" i="2"/>
  <c r="BP163" i="2"/>
  <c r="BP178" i="2"/>
  <c r="Z178" i="2"/>
  <c r="BP184" i="2"/>
  <c r="Y191" i="2"/>
  <c r="BN188" i="2"/>
  <c r="BN218" i="2"/>
  <c r="Z218" i="2"/>
  <c r="BN223" i="2"/>
  <c r="BP223" i="2"/>
  <c r="Z223" i="2"/>
  <c r="BP226" i="2"/>
  <c r="BN226" i="2"/>
  <c r="BN430" i="2"/>
  <c r="BP430" i="2"/>
  <c r="Z430" i="2"/>
  <c r="Z466" i="2"/>
  <c r="BP466" i="2"/>
  <c r="BN518" i="2"/>
  <c r="BP518" i="2"/>
  <c r="Z518" i="2"/>
  <c r="BP545" i="2"/>
  <c r="Y547" i="2"/>
  <c r="BN545" i="2"/>
  <c r="Y548" i="2"/>
  <c r="Z545" i="2"/>
  <c r="BN22" i="2"/>
  <c r="Y25" i="2"/>
  <c r="BP23" i="2"/>
  <c r="BN28" i="2"/>
  <c r="BP29" i="2"/>
  <c r="Z58" i="2"/>
  <c r="BP59" i="2"/>
  <c r="BN67" i="2"/>
  <c r="BP67" i="2"/>
  <c r="Y75" i="2"/>
  <c r="Z123" i="2"/>
  <c r="BN123" i="2"/>
  <c r="Z174" i="2"/>
  <c r="BN174" i="2"/>
  <c r="Y264" i="2"/>
  <c r="BN262" i="2"/>
  <c r="Y263" i="2"/>
  <c r="BN270" i="2"/>
  <c r="BP270" i="2"/>
  <c r="BP279" i="2"/>
  <c r="BN279" i="2"/>
  <c r="BP399" i="2"/>
  <c r="Y403" i="2"/>
  <c r="BN399" i="2"/>
  <c r="BN405" i="2"/>
  <c r="Z405" i="2"/>
  <c r="BN433" i="2"/>
  <c r="Z433" i="2"/>
  <c r="BN482" i="2"/>
  <c r="BP482" i="2"/>
  <c r="BN500" i="2"/>
  <c r="BP500" i="2"/>
  <c r="Z500" i="2"/>
  <c r="BN512" i="2"/>
  <c r="BP512" i="2"/>
  <c r="Z512" i="2"/>
  <c r="X556" i="2"/>
  <c r="X557" i="2" s="1"/>
  <c r="Y32" i="2"/>
  <c r="Z29" i="2"/>
  <c r="Y42" i="2"/>
  <c r="BP40" i="2"/>
  <c r="BP47" i="2"/>
  <c r="Z49" i="2"/>
  <c r="BP57" i="2"/>
  <c r="Z67" i="2"/>
  <c r="BP68" i="2"/>
  <c r="BN68" i="2"/>
  <c r="Z73" i="2"/>
  <c r="Y81" i="2"/>
  <c r="Z78" i="2"/>
  <c r="Z81" i="2" s="1"/>
  <c r="BP85" i="2"/>
  <c r="Y91" i="2"/>
  <c r="Y118" i="2"/>
  <c r="BP137" i="2"/>
  <c r="BP142" i="2"/>
  <c r="Y144" i="2"/>
  <c r="BN142" i="2"/>
  <c r="Y158" i="2"/>
  <c r="BN157" i="2"/>
  <c r="BP157" i="2"/>
  <c r="Y171" i="2"/>
  <c r="Z169" i="2"/>
  <c r="BP182" i="2"/>
  <c r="Z182" i="2"/>
  <c r="Z190" i="2"/>
  <c r="BN190" i="2"/>
  <c r="BN372" i="2"/>
  <c r="BP372" i="2"/>
  <c r="Z372" i="2"/>
  <c r="BN380" i="2"/>
  <c r="BP380" i="2"/>
  <c r="Z380" i="2"/>
  <c r="Y402" i="2"/>
  <c r="BN413" i="2"/>
  <c r="BP413" i="2"/>
  <c r="Z413" i="2"/>
  <c r="BN473" i="2"/>
  <c r="BP473" i="2"/>
  <c r="Z473" i="2"/>
  <c r="BN502" i="2"/>
  <c r="BP502" i="2"/>
  <c r="Z502" i="2"/>
  <c r="Y24" i="2"/>
  <c r="BP28" i="2"/>
  <c r="BP41" i="2"/>
  <c r="BP48" i="2"/>
  <c r="BN59" i="2"/>
  <c r="BP60" i="2"/>
  <c r="Y69" i="2"/>
  <c r="BP79" i="2"/>
  <c r="BP88" i="2"/>
  <c r="BP96" i="2"/>
  <c r="BP103" i="2"/>
  <c r="BP107" i="2"/>
  <c r="Z107" i="2"/>
  <c r="Z113" i="2"/>
  <c r="BN113" i="2"/>
  <c r="Z137" i="2"/>
  <c r="Z142" i="2"/>
  <c r="Z144" i="2" s="1"/>
  <c r="BP149" i="2"/>
  <c r="BP153" i="2"/>
  <c r="BN153" i="2"/>
  <c r="Z157" i="2"/>
  <c r="Z158" i="2" s="1"/>
  <c r="BP188" i="2"/>
  <c r="Z203" i="2"/>
  <c r="BN203" i="2"/>
  <c r="BN266" i="2"/>
  <c r="Y275" i="2"/>
  <c r="BP266" i="2"/>
  <c r="Z266" i="2"/>
  <c r="BP340" i="2"/>
  <c r="BN340" i="2"/>
  <c r="BN364" i="2"/>
  <c r="BP364" i="2"/>
  <c r="Z364" i="2"/>
  <c r="X564" i="2"/>
  <c r="Y458" i="2"/>
  <c r="Y457" i="2"/>
  <c r="BN456" i="2"/>
  <c r="Z456" i="2"/>
  <c r="BP268" i="2"/>
  <c r="Y461" i="2"/>
  <c r="Y509" i="2"/>
  <c r="BP522" i="2"/>
  <c r="BP114" i="2"/>
  <c r="BN217" i="2"/>
  <c r="Z221" i="2"/>
  <c r="BP224" i="2"/>
  <c r="BP229" i="2"/>
  <c r="BN237" i="2"/>
  <c r="BN247" i="2"/>
  <c r="BN251" i="2"/>
  <c r="Z268" i="2"/>
  <c r="BP282" i="2"/>
  <c r="BN304" i="2"/>
  <c r="Z316" i="2"/>
  <c r="Z317" i="2" s="1"/>
  <c r="Z322" i="2"/>
  <c r="BP326" i="2"/>
  <c r="BN333" i="2"/>
  <c r="Z346" i="2"/>
  <c r="Y348" i="2"/>
  <c r="Y366" i="2"/>
  <c r="Z362" i="2"/>
  <c r="Z370" i="2"/>
  <c r="Z387" i="2"/>
  <c r="Y389" i="2"/>
  <c r="Z393" i="2"/>
  <c r="Z400" i="2"/>
  <c r="Z418" i="2"/>
  <c r="W564" i="2"/>
  <c r="Z439" i="2"/>
  <c r="Z450" i="2"/>
  <c r="Y452" i="2"/>
  <c r="Z465" i="2"/>
  <c r="BP517" i="2"/>
  <c r="Z522" i="2"/>
  <c r="BP529" i="2"/>
  <c r="BN533" i="2"/>
  <c r="Y543" i="2"/>
  <c r="Y110" i="2"/>
  <c r="BP106" i="2"/>
  <c r="BP112" i="2"/>
  <c r="Z164" i="2"/>
  <c r="BP180" i="2"/>
  <c r="BP189" i="2"/>
  <c r="Z233" i="2"/>
  <c r="BN234" i="2"/>
  <c r="BN238" i="2"/>
  <c r="BP267" i="2"/>
  <c r="BN271" i="2"/>
  <c r="Y289" i="2"/>
  <c r="Z292" i="2"/>
  <c r="BN302" i="2"/>
  <c r="BN325" i="2"/>
  <c r="BN342" i="2"/>
  <c r="Y462" i="2"/>
  <c r="BP491" i="2"/>
  <c r="BN493" i="2"/>
  <c r="BP503" i="2"/>
  <c r="BN505" i="2"/>
  <c r="BP513" i="2"/>
  <c r="BP520" i="2"/>
  <c r="BP523" i="2"/>
  <c r="BP537" i="2"/>
  <c r="Y539" i="2"/>
  <c r="Y384" i="2"/>
  <c r="F10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Z514" i="2" s="1"/>
  <c r="Y514" i="2"/>
  <c r="F9" i="2"/>
  <c r="H9" i="2"/>
  <c r="BN31" i="2"/>
  <c r="Z41" i="2"/>
  <c r="Y51" i="2"/>
  <c r="Z57" i="2"/>
  <c r="Z65" i="2"/>
  <c r="Z69" i="2" s="1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Z117" i="2" s="1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Z124" i="2" s="1"/>
  <c r="Y129" i="2"/>
  <c r="BN148" i="2"/>
  <c r="BN151" i="2"/>
  <c r="Z170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Z408" i="2" s="1"/>
  <c r="BN407" i="2"/>
  <c r="Y468" i="2"/>
  <c r="BP464" i="2"/>
  <c r="Y467" i="2"/>
  <c r="Z564" i="2"/>
  <c r="Y43" i="2"/>
  <c r="Z61" i="2"/>
  <c r="BN27" i="2"/>
  <c r="Z30" i="2"/>
  <c r="Z37" i="2"/>
  <c r="Z42" i="2" s="1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Z207" i="2"/>
  <c r="BP37" i="2"/>
  <c r="BN47" i="2"/>
  <c r="Z50" i="2"/>
  <c r="Z56" i="2"/>
  <c r="Z62" i="2" s="1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Z90" i="2" s="1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2" i="2" s="1"/>
  <c r="Z246" i="2"/>
  <c r="Z269" i="2"/>
  <c r="Z274" i="2" s="1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334" i="2" l="1"/>
  <c r="Y554" i="2"/>
  <c r="Z191" i="2"/>
  <c r="Z32" i="2"/>
  <c r="Z165" i="2"/>
  <c r="Z327" i="2"/>
  <c r="Y558" i="2"/>
  <c r="Z230" i="2"/>
  <c r="Z75" i="2"/>
  <c r="Z109" i="2"/>
  <c r="Z483" i="2"/>
  <c r="Z434" i="2"/>
  <c r="Z51" i="2"/>
  <c r="Y555" i="2"/>
  <c r="Z154" i="2"/>
  <c r="Z494" i="2"/>
  <c r="Y556" i="2"/>
  <c r="Y557" i="2" s="1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<sst xmlns="http://schemas.openxmlformats.org/spreadsheetml/2006/main" count="4266" uniqueCount="900">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</sst>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 t="s">
        <v>899</v>
      </c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0.5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17600</v>
      </c>
      <c r="Y379" s="55">
        <f>IFERROR(IF(X379="",0,CEILING((X379/$H379),1)*$H379),"")</f>
        <v>17604.599999999999</v>
      </c>
      <c r="Z379" s="41">
        <f>IFERROR(IF(Y379=0,"",ROUNDUP(Y379/H379,0)*0.01898),"")</f>
        <v>42.837859999999999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18701.128205128207</v>
      </c>
      <c r="BN379" s="78">
        <f>IFERROR(Y379*I379/H379,"0")</f>
        <v>18706.015999999996</v>
      </c>
      <c r="BO379" s="78">
        <f>IFERROR(1/J379*(X379/H379),"0")</f>
        <v>35.256410256410255</v>
      </c>
      <c r="BP379" s="78">
        <f>IFERROR(1/J379*(Y379/H379),"0")</f>
        <v>35.265625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2256.4102564102564</v>
      </c>
      <c r="Y383" s="43">
        <f>IFERROR(Y379/H379,"0")+IFERROR(Y380/H380,"0")+IFERROR(Y381/H381,"0")+IFERROR(Y382/H382,"0")</f>
        <v>2257</v>
      </c>
      <c r="Z383" s="43">
        <f>IFERROR(IF(Z379="",0,Z379),"0")+IFERROR(IF(Z380="",0,Z380),"0")+IFERROR(IF(Z381="",0,Z381),"0")+IFERROR(IF(Z382="",0,Z382),"0")</f>
        <v>42.837859999999999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17600</v>
      </c>
      <c r="Y384" s="43">
        <f>IFERROR(SUM(Y379:Y382),"0")</f>
        <v>17604.599999999999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17600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17604.599999999999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18701.128205128207</v>
      </c>
      <c r="Y555" s="43">
        <f>IFERROR(SUM(BN22:BN551),"0")</f>
        <v>18706.015999999996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36</v>
      </c>
      <c r="Y556" s="44">
        <f>ROUNDUP(SUM(BP22:BP551),0)</f>
        <v>36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19601.128205128207</v>
      </c>
      <c r="Y557" s="43">
        <f>GrossWeightTotalR+PalletQtyTotalR*25</f>
        <v>19606.015999999996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2256.4102564102564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2257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42.837859999999999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17604.599999999999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600,00"/>
        <filter val="18 701,13"/>
        <filter val="19 601,13"/>
        <filter val="2 256,41"/>
        <filter val="36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2026-09-22T11:12:39Z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