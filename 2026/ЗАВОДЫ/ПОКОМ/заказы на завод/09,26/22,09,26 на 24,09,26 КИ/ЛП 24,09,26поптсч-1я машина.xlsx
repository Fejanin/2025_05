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6623134-6C6A-4170-B006-7B7EB87B223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P518" i="2"/>
  <c r="BO518" i="2"/>
  <c r="BN518" i="2"/>
  <c r="BM518" i="2"/>
  <c r="Z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N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P477" i="2"/>
  <c r="BO477" i="2"/>
  <c r="BN477" i="2"/>
  <c r="BM477" i="2"/>
  <c r="Z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Z473" i="2" s="1"/>
  <c r="P473" i="2"/>
  <c r="BP472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Y458" i="2"/>
  <c r="X458" i="2"/>
  <c r="Y457" i="2"/>
  <c r="X457" i="2"/>
  <c r="BO456" i="2"/>
  <c r="BM456" i="2"/>
  <c r="Z456" i="2"/>
  <c r="Y456" i="2"/>
  <c r="BN456" i="2" s="1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N438" i="2" s="1"/>
  <c r="P438" i="2"/>
  <c r="BO437" i="2"/>
  <c r="BM437" i="2"/>
  <c r="Y437" i="2"/>
  <c r="BP437" i="2" s="1"/>
  <c r="P437" i="2"/>
  <c r="X435" i="2"/>
  <c r="X434" i="2"/>
  <c r="BO433" i="2"/>
  <c r="BM433" i="2"/>
  <c r="Z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X415" i="2"/>
  <c r="X414" i="2"/>
  <c r="BP413" i="2"/>
  <c r="BO413" i="2"/>
  <c r="BN413" i="2"/>
  <c r="BM413" i="2"/>
  <c r="Z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Y403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P382" i="2"/>
  <c r="BO382" i="2"/>
  <c r="BN382" i="2"/>
  <c r="BM382" i="2"/>
  <c r="Z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Z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P364" i="2"/>
  <c r="BO364" i="2"/>
  <c r="BN364" i="2"/>
  <c r="BM364" i="2"/>
  <c r="Z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Z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Z301" i="2"/>
  <c r="Y301" i="2"/>
  <c r="P301" i="2"/>
  <c r="BO300" i="2"/>
  <c r="BM300" i="2"/>
  <c r="Y300" i="2"/>
  <c r="BP300" i="2" s="1"/>
  <c r="P300" i="2"/>
  <c r="BO299" i="2"/>
  <c r="BM299" i="2"/>
  <c r="Y299" i="2"/>
  <c r="P299" i="2"/>
  <c r="BP298" i="2"/>
  <c r="BO298" i="2"/>
  <c r="BM298" i="2"/>
  <c r="Y298" i="2"/>
  <c r="P298" i="2"/>
  <c r="X295" i="2"/>
  <c r="X294" i="2"/>
  <c r="BO293" i="2"/>
  <c r="BM293" i="2"/>
  <c r="Y293" i="2"/>
  <c r="P293" i="2"/>
  <c r="BO292" i="2"/>
  <c r="BM292" i="2"/>
  <c r="Y292" i="2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Z283" i="2"/>
  <c r="Y283" i="2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P270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Y253" i="2"/>
  <c r="X253" i="2"/>
  <c r="Y252" i="2"/>
  <c r="X252" i="2"/>
  <c r="BP251" i="2"/>
  <c r="BO251" i="2"/>
  <c r="BN251" i="2"/>
  <c r="BM251" i="2"/>
  <c r="Z251" i="2"/>
  <c r="Z252" i="2" s="1"/>
  <c r="Y251" i="2"/>
  <c r="P251" i="2"/>
  <c r="X249" i="2"/>
  <c r="X248" i="2"/>
  <c r="BO247" i="2"/>
  <c r="BN247" i="2"/>
  <c r="BM247" i="2"/>
  <c r="Z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P229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Z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N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Z183" i="2"/>
  <c r="Y183" i="2"/>
  <c r="BN183" i="2" s="1"/>
  <c r="P183" i="2"/>
  <c r="BO182" i="2"/>
  <c r="BN182" i="2"/>
  <c r="BM182" i="2"/>
  <c r="Z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N178" i="2"/>
  <c r="BM178" i="2"/>
  <c r="Z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Z168" i="2" s="1"/>
  <c r="P168" i="2"/>
  <c r="X166" i="2"/>
  <c r="X165" i="2"/>
  <c r="BP164" i="2"/>
  <c r="BO164" i="2"/>
  <c r="BN164" i="2"/>
  <c r="BM164" i="2"/>
  <c r="Z164" i="2"/>
  <c r="Y164" i="2"/>
  <c r="P164" i="2"/>
  <c r="BO163" i="2"/>
  <c r="BM163" i="2"/>
  <c r="Y163" i="2"/>
  <c r="P163" i="2"/>
  <c r="BO162" i="2"/>
  <c r="BM162" i="2"/>
  <c r="Y162" i="2"/>
  <c r="BN162" i="2" s="1"/>
  <c r="P162" i="2"/>
  <c r="Y159" i="2"/>
  <c r="X159" i="2"/>
  <c r="Y158" i="2"/>
  <c r="X158" i="2"/>
  <c r="BP157" i="2"/>
  <c r="BO157" i="2"/>
  <c r="BN157" i="2"/>
  <c r="BM157" i="2"/>
  <c r="Z157" i="2"/>
  <c r="Z158" i="2" s="1"/>
  <c r="Y157" i="2"/>
  <c r="P157" i="2"/>
  <c r="X155" i="2"/>
  <c r="X154" i="2"/>
  <c r="BO153" i="2"/>
  <c r="BN153" i="2"/>
  <c r="BM153" i="2"/>
  <c r="Z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P121" i="2"/>
  <c r="BO121" i="2"/>
  <c r="BN121" i="2"/>
  <c r="BM121" i="2"/>
  <c r="Z121" i="2"/>
  <c r="Y121" i="2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Z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Z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P57" i="2"/>
  <c r="BO57" i="2"/>
  <c r="BM57" i="2"/>
  <c r="Y57" i="2"/>
  <c r="BN57" i="2" s="1"/>
  <c r="P57" i="2"/>
  <c r="BO56" i="2"/>
  <c r="BM56" i="2"/>
  <c r="Y56" i="2"/>
  <c r="P56" i="2"/>
  <c r="BO55" i="2"/>
  <c r="BN55" i="2"/>
  <c r="BM55" i="2"/>
  <c r="Z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Z48" i="2" s="1"/>
  <c r="P48" i="2"/>
  <c r="BP47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Z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A10" i="2" s="1"/>
  <c r="D7" i="2"/>
  <c r="Q6" i="2"/>
  <c r="P2" i="2"/>
  <c r="BN29" i="2" l="1"/>
  <c r="Z29" i="2"/>
  <c r="BN49" i="2"/>
  <c r="Z49" i="2"/>
  <c r="BP112" i="2"/>
  <c r="Z112" i="2"/>
  <c r="BN114" i="2"/>
  <c r="BP114" i="2"/>
  <c r="BN133" i="2"/>
  <c r="Z133" i="2"/>
  <c r="BP142" i="2"/>
  <c r="Y144" i="2"/>
  <c r="BN142" i="2"/>
  <c r="Z142" i="2"/>
  <c r="Z144" i="2" s="1"/>
  <c r="BN149" i="2"/>
  <c r="Z149" i="2"/>
  <c r="BN174" i="2"/>
  <c r="BN189" i="2"/>
  <c r="Z189" i="2"/>
  <c r="Z224" i="2"/>
  <c r="BP224" i="2"/>
  <c r="BN227" i="2"/>
  <c r="BP227" i="2"/>
  <c r="BN261" i="2"/>
  <c r="Y295" i="2"/>
  <c r="Z292" i="2"/>
  <c r="BP324" i="2"/>
  <c r="BN324" i="2"/>
  <c r="Z324" i="2"/>
  <c r="BP354" i="2"/>
  <c r="BN354" i="2"/>
  <c r="Z354" i="2"/>
  <c r="BP374" i="2"/>
  <c r="BN374" i="2"/>
  <c r="Z374" i="2"/>
  <c r="BP426" i="2"/>
  <c r="BN426" i="2"/>
  <c r="Z426" i="2"/>
  <c r="BN40" i="2"/>
  <c r="BP40" i="2"/>
  <c r="BN59" i="2"/>
  <c r="BN72" i="2"/>
  <c r="BP86" i="2"/>
  <c r="BN86" i="2"/>
  <c r="Z86" i="2"/>
  <c r="BN106" i="2"/>
  <c r="Z106" i="2"/>
  <c r="BN123" i="2"/>
  <c r="BN163" i="2"/>
  <c r="Z163" i="2"/>
  <c r="Y212" i="2"/>
  <c r="Y213" i="2"/>
  <c r="BN218" i="2"/>
  <c r="Z218" i="2"/>
  <c r="BP237" i="2"/>
  <c r="BN237" i="2"/>
  <c r="Z237" i="2"/>
  <c r="BN266" i="2"/>
  <c r="BP272" i="2"/>
  <c r="BN272" i="2"/>
  <c r="Z272" i="2"/>
  <c r="BN300" i="2"/>
  <c r="BN303" i="2"/>
  <c r="BP303" i="2"/>
  <c r="BN331" i="2"/>
  <c r="BP360" i="2"/>
  <c r="BN360" i="2"/>
  <c r="Z360" i="2"/>
  <c r="BN405" i="2"/>
  <c r="Z405" i="2"/>
  <c r="BP406" i="2"/>
  <c r="BN406" i="2"/>
  <c r="Z406" i="2"/>
  <c r="BP445" i="2"/>
  <c r="BN445" i="2"/>
  <c r="B564" i="2"/>
  <c r="Y52" i="2"/>
  <c r="BN68" i="2"/>
  <c r="Y75" i="2"/>
  <c r="BN105" i="2"/>
  <c r="BN113" i="2"/>
  <c r="H564" i="2"/>
  <c r="BN132" i="2"/>
  <c r="BN215" i="2"/>
  <c r="BN226" i="2"/>
  <c r="Y264" i="2"/>
  <c r="BN262" i="2"/>
  <c r="Y344" i="2"/>
  <c r="BN338" i="2"/>
  <c r="BN399" i="2"/>
  <c r="Z465" i="2"/>
  <c r="BN465" i="2"/>
  <c r="Z475" i="2"/>
  <c r="BN475" i="2"/>
  <c r="Z487" i="2"/>
  <c r="Z488" i="2" s="1"/>
  <c r="Z501" i="2"/>
  <c r="BN503" i="2"/>
  <c r="Z506" i="2"/>
  <c r="BN506" i="2"/>
  <c r="Z545" i="2"/>
  <c r="Z22" i="2"/>
  <c r="BP22" i="2"/>
  <c r="Y24" i="2"/>
  <c r="Z27" i="2"/>
  <c r="BP28" i="2"/>
  <c r="Z38" i="2"/>
  <c r="BP41" i="2"/>
  <c r="BP48" i="2"/>
  <c r="BP60" i="2"/>
  <c r="Y69" i="2"/>
  <c r="Z73" i="2"/>
  <c r="Y81" i="2"/>
  <c r="BN79" i="2"/>
  <c r="Y91" i="2"/>
  <c r="Z94" i="2"/>
  <c r="BN96" i="2"/>
  <c r="Y110" i="2"/>
  <c r="BP106" i="2"/>
  <c r="Z127" i="2"/>
  <c r="Z128" i="2" s="1"/>
  <c r="BN168" i="2"/>
  <c r="BP180" i="2"/>
  <c r="BN184" i="2"/>
  <c r="BN188" i="2"/>
  <c r="BP189" i="2"/>
  <c r="BN190" i="2"/>
  <c r="Y191" i="2"/>
  <c r="Z194" i="2"/>
  <c r="Z195" i="2" s="1"/>
  <c r="Z200" i="2"/>
  <c r="Z207" i="2" s="1"/>
  <c r="BP200" i="2"/>
  <c r="Z202" i="2"/>
  <c r="BP202" i="2"/>
  <c r="BN203" i="2"/>
  <c r="Z211" i="2"/>
  <c r="Z212" i="2" s="1"/>
  <c r="BP211" i="2"/>
  <c r="BN219" i="2"/>
  <c r="Z223" i="2"/>
  <c r="BP223" i="2"/>
  <c r="BN233" i="2"/>
  <c r="Y259" i="2"/>
  <c r="Y263" i="2"/>
  <c r="BP282" i="2"/>
  <c r="Z304" i="2"/>
  <c r="BP312" i="2"/>
  <c r="BN316" i="2"/>
  <c r="Y318" i="2"/>
  <c r="BN322" i="2"/>
  <c r="Z323" i="2"/>
  <c r="BP323" i="2"/>
  <c r="Z333" i="2"/>
  <c r="BN346" i="2"/>
  <c r="Z347" i="2"/>
  <c r="BP347" i="2"/>
  <c r="Y349" i="2"/>
  <c r="BN362" i="2"/>
  <c r="BN372" i="2"/>
  <c r="BN380" i="2"/>
  <c r="BN393" i="2"/>
  <c r="Z394" i="2"/>
  <c r="Z396" i="2" s="1"/>
  <c r="BP394" i="2"/>
  <c r="BN400" i="2"/>
  <c r="Y402" i="2"/>
  <c r="BP418" i="2"/>
  <c r="Z429" i="2"/>
  <c r="Z439" i="2"/>
  <c r="BN450" i="2"/>
  <c r="Y452" i="2"/>
  <c r="BP466" i="2"/>
  <c r="BP473" i="2"/>
  <c r="BN493" i="2"/>
  <c r="BN500" i="2"/>
  <c r="Z512" i="2"/>
  <c r="BP512" i="2"/>
  <c r="BN513" i="2"/>
  <c r="Z522" i="2"/>
  <c r="Z533" i="2"/>
  <c r="Z534" i="2" s="1"/>
  <c r="BN546" i="2"/>
  <c r="BP67" i="2"/>
  <c r="BP103" i="2"/>
  <c r="BP502" i="2"/>
  <c r="Y509" i="2"/>
  <c r="BP520" i="2"/>
  <c r="BP523" i="2"/>
  <c r="Y548" i="2"/>
  <c r="BP438" i="2"/>
  <c r="BN22" i="2"/>
  <c r="Y25" i="2"/>
  <c r="BP23" i="2"/>
  <c r="BN28" i="2"/>
  <c r="BP29" i="2"/>
  <c r="Z58" i="2"/>
  <c r="BP59" i="2"/>
  <c r="Z67" i="2"/>
  <c r="BN74" i="2"/>
  <c r="BN78" i="2"/>
  <c r="Z79" i="2"/>
  <c r="BN94" i="2"/>
  <c r="Z96" i="2"/>
  <c r="BP113" i="2"/>
  <c r="Z115" i="2"/>
  <c r="BP149" i="2"/>
  <c r="BP163" i="2"/>
  <c r="BN180" i="2"/>
  <c r="Z184" i="2"/>
  <c r="BP190" i="2"/>
  <c r="BN194" i="2"/>
  <c r="BP203" i="2"/>
  <c r="BN211" i="2"/>
  <c r="Z219" i="2"/>
  <c r="Z233" i="2"/>
  <c r="BN234" i="2"/>
  <c r="BN238" i="2"/>
  <c r="Y258" i="2"/>
  <c r="BP280" i="2"/>
  <c r="BN281" i="2"/>
  <c r="BP285" i="2"/>
  <c r="Y294" i="2"/>
  <c r="BN304" i="2"/>
  <c r="Z316" i="2"/>
  <c r="Z317" i="2" s="1"/>
  <c r="Z322" i="2"/>
  <c r="BP326" i="2"/>
  <c r="BN333" i="2"/>
  <c r="BN340" i="2"/>
  <c r="Z346" i="2"/>
  <c r="Y348" i="2"/>
  <c r="Y366" i="2"/>
  <c r="Z362" i="2"/>
  <c r="Z372" i="2"/>
  <c r="Z380" i="2"/>
  <c r="Z393" i="2"/>
  <c r="Z400" i="2"/>
  <c r="BP400" i="2"/>
  <c r="BN429" i="2"/>
  <c r="BN439" i="2"/>
  <c r="BP482" i="2"/>
  <c r="Z500" i="2"/>
  <c r="Z502" i="2"/>
  <c r="BP513" i="2"/>
  <c r="Z520" i="2"/>
  <c r="BN533" i="2"/>
  <c r="Y543" i="2"/>
  <c r="Y42" i="2"/>
  <c r="BN103" i="2"/>
  <c r="BP123" i="2"/>
  <c r="BP127" i="2"/>
  <c r="BN152" i="2"/>
  <c r="Y171" i="2"/>
  <c r="BP169" i="2"/>
  <c r="BP174" i="2"/>
  <c r="BN175" i="2"/>
  <c r="BN228" i="2"/>
  <c r="BN236" i="2"/>
  <c r="BN241" i="2"/>
  <c r="BN246" i="2"/>
  <c r="BN256" i="2"/>
  <c r="BN271" i="2"/>
  <c r="BN302" i="2"/>
  <c r="BN325" i="2"/>
  <c r="BN342" i="2"/>
  <c r="BN431" i="2"/>
  <c r="Y461" i="2"/>
  <c r="BN476" i="2"/>
  <c r="BP503" i="2"/>
  <c r="BN505" i="2"/>
  <c r="BP522" i="2"/>
  <c r="BN523" i="2"/>
  <c r="BN545" i="2"/>
  <c r="Y547" i="2"/>
  <c r="BN269" i="2"/>
  <c r="Y383" i="2"/>
  <c r="BP65" i="2"/>
  <c r="BN286" i="2"/>
  <c r="BP137" i="2"/>
  <c r="Z137" i="2"/>
  <c r="Z132" i="2"/>
  <c r="Z134" i="2" s="1"/>
  <c r="BP132" i="2"/>
  <c r="Y118" i="2"/>
  <c r="BP116" i="2"/>
  <c r="Z387" i="2"/>
  <c r="Z266" i="2"/>
  <c r="BN430" i="2"/>
  <c r="Z430" i="2"/>
  <c r="Y462" i="2"/>
  <c r="X564" i="2"/>
  <c r="BN473" i="2"/>
  <c r="Y275" i="2"/>
  <c r="BP267" i="2"/>
  <c r="BN267" i="2"/>
  <c r="Z268" i="2"/>
  <c r="BP268" i="2"/>
  <c r="Z287" i="2"/>
  <c r="Y289" i="2"/>
  <c r="BN279" i="2"/>
  <c r="BP443" i="2"/>
  <c r="BN418" i="2"/>
  <c r="Y538" i="2"/>
  <c r="BP537" i="2"/>
  <c r="BN537" i="2"/>
  <c r="Y539" i="2"/>
  <c r="BN217" i="2"/>
  <c r="Z217" i="2"/>
  <c r="BP370" i="2"/>
  <c r="BN370" i="2"/>
  <c r="Z78" i="2"/>
  <c r="Z81" i="2" s="1"/>
  <c r="Z450" i="2"/>
  <c r="Y451" i="2"/>
  <c r="Y389" i="2"/>
  <c r="BP517" i="2"/>
  <c r="BP529" i="2"/>
  <c r="Y531" i="2"/>
  <c r="W564" i="2"/>
  <c r="X554" i="2"/>
  <c r="X555" i="2"/>
  <c r="BN491" i="2"/>
  <c r="X556" i="2"/>
  <c r="BP491" i="2"/>
  <c r="F10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2" i="2" s="1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Z90" i="2" s="1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242" i="2" l="1"/>
  <c r="Z451" i="2"/>
  <c r="Z408" i="2"/>
  <c r="Z117" i="2"/>
  <c r="Z69" i="2"/>
  <c r="Z483" i="2"/>
  <c r="Z62" i="2"/>
  <c r="Z51" i="2"/>
  <c r="Z154" i="2"/>
  <c r="Z494" i="2"/>
  <c r="Z274" i="2"/>
  <c r="Z327" i="2"/>
  <c r="Z42" i="2"/>
  <c r="Z75" i="2"/>
  <c r="Z109" i="2"/>
  <c r="Z139" i="2"/>
  <c r="Z434" i="2"/>
  <c r="Z230" i="2"/>
  <c r="Y556" i="2"/>
  <c r="Y554" i="2"/>
  <c r="Y555" i="2"/>
  <c r="X557" i="2"/>
  <c r="Y558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<sst xmlns="http://schemas.openxmlformats.org/spreadsheetml/2006/main" count="4266" uniqueCount="900">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</sst>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65" sqref="AA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899</v>
      </c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500</v>
      </c>
      <c r="Y65" s="55">
        <f>IFERROR(IF(X65="",0,CEILING((X65/$H65),1)*$H65),"")</f>
        <v>507.6</v>
      </c>
      <c r="Z65" s="41">
        <f>IFERROR(IF(Y65=0,"",ROUNDUP(Y65/H65,0)*0.01898),"")</f>
        <v>0.89205999999999996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518.98148148148141</v>
      </c>
      <c r="BN65" s="78">
        <f>IFERROR(Y65*I65/H65,"0")</f>
        <v>526.87</v>
      </c>
      <c r="BO65" s="78">
        <f>IFERROR(1/J65*(X65/H65),"0")</f>
        <v>0.72337962962962954</v>
      </c>
      <c r="BP65" s="78">
        <f>IFERROR(1/J65*(Y65/H65),"0")</f>
        <v>0.734375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46.296296296296291</v>
      </c>
      <c r="Y69" s="43">
        <f>IFERROR(Y65/H65,"0")+IFERROR(Y66/H66,"0")+IFERROR(Y67/H67,"0")+IFERROR(Y68/H68,"0")</f>
        <v>47</v>
      </c>
      <c r="Z69" s="43">
        <f>IFERROR(IF(Z65="",0,Z65),"0")+IFERROR(IF(Z66="",0,Z66),"0")+IFERROR(IF(Z67="",0,Z67),"0")+IFERROR(IF(Z68="",0,Z68),"0")</f>
        <v>0.89205999999999996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500</v>
      </c>
      <c r="Y70" s="43">
        <f>IFERROR(SUM(Y65:Y68),"0")</f>
        <v>507.6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60</v>
      </c>
      <c r="Y78" s="55">
        <f>IFERROR(IF(X78="",0,CEILING((X78/$H78),1)*$H78),"")</f>
        <v>62.4</v>
      </c>
      <c r="Z78" s="41">
        <f>IFERROR(IF(Y78=0,"",ROUNDUP(Y78/H78,0)*0.01898),"")</f>
        <v>0.15184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63.15384615384616</v>
      </c>
      <c r="BN78" s="78">
        <f>IFERROR(Y78*I78/H78,"0")</f>
        <v>65.680000000000007</v>
      </c>
      <c r="BO78" s="78">
        <f>IFERROR(1/J78*(X78/H78),"0")</f>
        <v>0.1201923076923077</v>
      </c>
      <c r="BP78" s="78">
        <f>IFERROR(1/J78*(Y78/H78),"0")</f>
        <v>0.125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7.6923076923076925</v>
      </c>
      <c r="Y81" s="43">
        <f>IFERROR(Y78/H78,"0")+IFERROR(Y79/H79,"0")+IFERROR(Y80/H80,"0")</f>
        <v>8</v>
      </c>
      <c r="Z81" s="43">
        <f>IFERROR(IF(Z78="",0,Z78),"0")+IFERROR(IF(Z79="",0,Z79),"0")+IFERROR(IF(Z80="",0,Z80),"0")</f>
        <v>0.15184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60</v>
      </c>
      <c r="Y82" s="43">
        <f>IFERROR(SUM(Y78:Y80),"0")</f>
        <v>62.4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80</v>
      </c>
      <c r="Y116" s="55">
        <f>IFERROR(IF(X116="",0,CEILING((X116/$H116),1)*$H116),"")</f>
        <v>81.599999999999994</v>
      </c>
      <c r="Z116" s="41">
        <f>IFERROR(IF(Y116=0,"",ROUNDUP(Y116/H116,0)*0.00651),"")</f>
        <v>0.22134000000000001</v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86</v>
      </c>
      <c r="BN116" s="78">
        <f>IFERROR(Y116*I116/H116,"0")</f>
        <v>87.72</v>
      </c>
      <c r="BO116" s="78">
        <f>IFERROR(1/J116*(X116/H116),"0")</f>
        <v>0.18315018315018317</v>
      </c>
      <c r="BP116" s="78">
        <f>IFERROR(1/J116*(Y116/H116),"0")</f>
        <v>0.18681318681318682</v>
      </c>
    </row>
    <row r="117" spans="1:68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33.333333333333336</v>
      </c>
      <c r="Y117" s="43">
        <f>IFERROR(Y112/H112,"0")+IFERROR(Y113/H113,"0")+IFERROR(Y114/H114,"0")+IFERROR(Y115/H115,"0")+IFERROR(Y116/H116,"0")</f>
        <v>34</v>
      </c>
      <c r="Z117" s="43">
        <f>IFERROR(IF(Z112="",0,Z112),"0")+IFERROR(IF(Z113="",0,Z113),"0")+IFERROR(IF(Z114="",0,Z114),"0")+IFERROR(IF(Z115="",0,Z115),"0")+IFERROR(IF(Z116="",0,Z116),"0")</f>
        <v>0.22134000000000001</v>
      </c>
      <c r="AA117" s="67"/>
      <c r="AB117" s="67"/>
      <c r="AC117" s="67"/>
    </row>
    <row r="118" spans="1:68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80</v>
      </c>
      <c r="Y118" s="43">
        <f>IFERROR(SUM(Y112:Y116),"0")</f>
        <v>81.599999999999994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260</v>
      </c>
      <c r="Y120" s="55">
        <f>IFERROR(IF(X120="",0,CEILING((X120/$H120),1)*$H120),"")</f>
        <v>267.3</v>
      </c>
      <c r="Z120" s="41">
        <f>IFERROR(IF(Y120=0,"",ROUNDUP(Y120/H120,0)*0.01898),"")</f>
        <v>0.62634000000000001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275.66419753086416</v>
      </c>
      <c r="BN120" s="78">
        <f>IFERROR(Y120*I120/H120,"0")</f>
        <v>283.404</v>
      </c>
      <c r="BO120" s="78">
        <f>IFERROR(1/J120*(X120/H120),"0")</f>
        <v>0.50154320987654322</v>
      </c>
      <c r="BP120" s="78">
        <f>IFERROR(1/J120*(Y120/H120),"0")</f>
        <v>0.515625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32.098765432098766</v>
      </c>
      <c r="Y124" s="43">
        <f>IFERROR(Y120/H120,"0")+IFERROR(Y121/H121,"0")+IFERROR(Y122/H122,"0")+IFERROR(Y123/H123,"0")</f>
        <v>33</v>
      </c>
      <c r="Z124" s="43">
        <f>IFERROR(IF(Z120="",0,Z120),"0")+IFERROR(IF(Z121="",0,Z121),"0")+IFERROR(IF(Z122="",0,Z122),"0")+IFERROR(IF(Z123="",0,Z123),"0")</f>
        <v>0.62634000000000001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260</v>
      </c>
      <c r="Y125" s="43">
        <f>IFERROR(SUM(Y120:Y123),"0")</f>
        <v>267.3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100</v>
      </c>
      <c r="Y132" s="55">
        <f>IFERROR(IF(X132="",0,CEILING((X132/$H132),1)*$H132),"")</f>
        <v>102.4</v>
      </c>
      <c r="Z132" s="41">
        <f>IFERROR(IF(Y132=0,"",ROUNDUP(Y132/H132,0)*0.00651),"")</f>
        <v>0.20832000000000001</v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105.625</v>
      </c>
      <c r="BN132" s="78">
        <f>IFERROR(Y132*I132/H132,"0")</f>
        <v>108.16</v>
      </c>
      <c r="BO132" s="78">
        <f>IFERROR(1/J132*(X132/H132),"0")</f>
        <v>0.1717032967032967</v>
      </c>
      <c r="BP132" s="78">
        <f>IFERROR(1/J132*(Y132/H132),"0")</f>
        <v>0.17582417582417584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31.25</v>
      </c>
      <c r="Y134" s="43">
        <f>IFERROR(Y132/H132,"0")+IFERROR(Y133/H133,"0")</f>
        <v>32</v>
      </c>
      <c r="Z134" s="43">
        <f>IFERROR(IF(Z132="",0,Z132),"0")+IFERROR(IF(Z133="",0,Z133),"0")</f>
        <v>0.20832000000000001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100</v>
      </c>
      <c r="Y135" s="43">
        <f>IFERROR(SUM(Y132:Y133),"0")</f>
        <v>102.4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52</v>
      </c>
      <c r="Y137" s="55">
        <f>IFERROR(IF(X137="",0,CEILING((X137/$H137),1)*$H137),"")</f>
        <v>53.199999999999996</v>
      </c>
      <c r="Z137" s="41">
        <f>IFERROR(IF(Y137=0,"",ROUNDUP(Y137/H137,0)*0.00651),"")</f>
        <v>0.12369000000000001</v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56.977142857142859</v>
      </c>
      <c r="BN137" s="78">
        <f>IFERROR(Y137*I137/H137,"0")</f>
        <v>58.291999999999994</v>
      </c>
      <c r="BO137" s="78">
        <f>IFERROR(1/J137*(X137/H137),"0")</f>
        <v>0.10204081632653063</v>
      </c>
      <c r="BP137" s="78">
        <f>IFERROR(1/J137*(Y137/H137),"0")</f>
        <v>0.1043956043956044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18.571428571428573</v>
      </c>
      <c r="Y139" s="43">
        <f>IFERROR(Y137/H137,"0")+IFERROR(Y138/H138,"0")</f>
        <v>19</v>
      </c>
      <c r="Z139" s="43">
        <f>IFERROR(IF(Z137="",0,Z137),"0")+IFERROR(IF(Z138="",0,Z138),"0")</f>
        <v>0.12369000000000001</v>
      </c>
      <c r="AA139" s="67"/>
      <c r="AB139" s="67"/>
      <c r="AC139" s="67"/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52</v>
      </c>
      <c r="Y140" s="43">
        <f>IFERROR(SUM(Y137:Y138),"0")</f>
        <v>53.199999999999996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30</v>
      </c>
      <c r="Y173" s="55">
        <f t="shared" ref="Y173:Y184" si="16">IFERROR(IF(X173="",0,CEILING((X173/$H173),1)*$H173),"")</f>
        <v>31.5</v>
      </c>
      <c r="Z173" s="41">
        <f>IFERROR(IF(Y173=0,"",ROUNDUP(Y173/H173,0)*0.00902),"")</f>
        <v>8.1180000000000002E-2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31.62857142857143</v>
      </c>
      <c r="BN173" s="78">
        <f t="shared" ref="BN173:BN184" si="18">IFERROR(Y173*I173/H173,"0")</f>
        <v>33.21</v>
      </c>
      <c r="BO173" s="78">
        <f t="shared" ref="BO173:BO184" si="19">IFERROR(1/J173*(X173/H173),"0")</f>
        <v>6.4935064935064929E-2</v>
      </c>
      <c r="BP173" s="78">
        <f t="shared" ref="BP173:BP184" si="20">IFERROR(1/J173*(Y173/H173),"0")</f>
        <v>6.8181818181818177E-2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30</v>
      </c>
      <c r="Y177" s="55">
        <f t="shared" si="16"/>
        <v>31.5</v>
      </c>
      <c r="Z177" s="41">
        <f>IFERROR(IF(Y177=0,"",ROUNDUP(Y177/H177,0)*0.00902),"")</f>
        <v>8.1180000000000002E-2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31.62857142857143</v>
      </c>
      <c r="BN177" s="78">
        <f t="shared" si="18"/>
        <v>33.21</v>
      </c>
      <c r="BO177" s="78">
        <f t="shared" si="19"/>
        <v>6.4935064935064929E-2</v>
      </c>
      <c r="BP177" s="78">
        <f t="shared" si="20"/>
        <v>6.8181818181818177E-2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17.142857142857142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18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0.16236</v>
      </c>
      <c r="AA185" s="67"/>
      <c r="AB185" s="67"/>
      <c r="AC185" s="67"/>
    </row>
    <row r="186" spans="1:68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60</v>
      </c>
      <c r="Y186" s="43">
        <f>IFERROR(SUM(Y173:Y184),"0")</f>
        <v>63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200</v>
      </c>
      <c r="Y217" s="55">
        <f t="shared" si="27"/>
        <v>201.60000000000002</v>
      </c>
      <c r="Z217" s="41">
        <f>IFERROR(IF(Y217=0,"",ROUNDUP(Y217/H217,0)*0.00902),"")</f>
        <v>0.43296000000000001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209.04761904761901</v>
      </c>
      <c r="BN217" s="78">
        <f t="shared" si="29"/>
        <v>210.72</v>
      </c>
      <c r="BO217" s="78">
        <f t="shared" si="30"/>
        <v>0.36075036075036077</v>
      </c>
      <c r="BP217" s="78">
        <f t="shared" si="31"/>
        <v>0.36363636363636365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47.61904761904762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48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0.43296000000000001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200</v>
      </c>
      <c r="Y231" s="43">
        <f>IFERROR(SUM(Y215:Y229),"0")</f>
        <v>201.60000000000002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700</v>
      </c>
      <c r="Y266" s="55">
        <f t="shared" ref="Y266:Y273" si="38">IFERROR(IF(X266="",0,CEILING((X266/$H266),1)*$H266),"")</f>
        <v>702</v>
      </c>
      <c r="Z266" s="41">
        <f>IFERROR(IF(Y266=0,"",ROUNDUP(Y266/H266,0)*0.00902),"")</f>
        <v>1.1726000000000001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724.62962962962956</v>
      </c>
      <c r="BN266" s="78">
        <f t="shared" ref="BN266:BN273" si="40">IFERROR(Y266*I266/H266,"0")</f>
        <v>726.69999999999993</v>
      </c>
      <c r="BO266" s="78">
        <f t="shared" ref="BO266:BO273" si="41">IFERROR(1/J266*(X266/H266),"0")</f>
        <v>0.98204264870931535</v>
      </c>
      <c r="BP266" s="78">
        <f t="shared" ref="BP266:BP273" si="42">IFERROR(1/J266*(Y266/H266),"0")</f>
        <v>0.98484848484848486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500</v>
      </c>
      <c r="Y267" s="55">
        <f t="shared" si="38"/>
        <v>502.20000000000005</v>
      </c>
      <c r="Z267" s="41">
        <f>IFERROR(IF(Y267=0,"",ROUNDUP(Y267/H267,0)*0.00902),"")</f>
        <v>0.83886000000000005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517.59259259259261</v>
      </c>
      <c r="BN267" s="78">
        <f t="shared" si="40"/>
        <v>519.87</v>
      </c>
      <c r="BO267" s="78">
        <f t="shared" si="41"/>
        <v>0.70145903479236804</v>
      </c>
      <c r="BP267" s="78">
        <f t="shared" si="42"/>
        <v>0.70454545454545459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550</v>
      </c>
      <c r="Y268" s="55">
        <f t="shared" si="38"/>
        <v>550.80000000000007</v>
      </c>
      <c r="Z268" s="41">
        <f>IFERROR(IF(Y268=0,"",ROUNDUP(Y268/H268,0)*0.00902),"")</f>
        <v>0.92003999999999997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569.35185185185185</v>
      </c>
      <c r="BN268" s="78">
        <f t="shared" si="40"/>
        <v>570.17999999999995</v>
      </c>
      <c r="BO268" s="78">
        <f t="shared" si="41"/>
        <v>0.77160493827160492</v>
      </c>
      <c r="BP268" s="78">
        <f t="shared" si="42"/>
        <v>0.77272727272727271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650</v>
      </c>
      <c r="Y269" s="55">
        <f t="shared" si="38"/>
        <v>653.40000000000009</v>
      </c>
      <c r="Z269" s="41">
        <f>IFERROR(IF(Y269=0,"",ROUNDUP(Y269/H269,0)*0.00902),"")</f>
        <v>1.0914200000000001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672.87037037037032</v>
      </c>
      <c r="BN269" s="78">
        <f t="shared" si="40"/>
        <v>676.39</v>
      </c>
      <c r="BO269" s="78">
        <f t="shared" si="41"/>
        <v>0.91189674523007858</v>
      </c>
      <c r="BP269" s="78">
        <f t="shared" si="42"/>
        <v>0.91666666666666685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444.4444444444444</v>
      </c>
      <c r="Y274" s="43">
        <f>IFERROR(Y266/H266,"0")+IFERROR(Y267/H267,"0")+IFERROR(Y268/H268,"0")+IFERROR(Y269/H269,"0")+IFERROR(Y270/H270,"0")+IFERROR(Y271/H271,"0")+IFERROR(Y272/H272,"0")+IFERROR(Y273/H273,"0")</f>
        <v>446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4.0229200000000001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2400</v>
      </c>
      <c r="Y275" s="43">
        <f>IFERROR(SUM(Y266:Y273),"0")</f>
        <v>2408.4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15</v>
      </c>
      <c r="Y277" s="55">
        <f t="shared" ref="Y277:Y288" si="43">IFERROR(IF(X277="",0,CEILING((X277/$H277),1)*$H277),"")</f>
        <v>16.2</v>
      </c>
      <c r="Z277" s="41">
        <f>IFERROR(IF(Y277=0,"",ROUNDUP(Y277/H277,0)*0.01898),"")</f>
        <v>3.7960000000000001E-2</v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15.914814814814815</v>
      </c>
      <c r="BN277" s="78">
        <f t="shared" ref="BN277:BN288" si="45">IFERROR(Y277*I277/H277,"0")</f>
        <v>17.187999999999999</v>
      </c>
      <c r="BO277" s="78">
        <f t="shared" ref="BO277:BO288" si="46">IFERROR(1/J277*(X277/H277),"0")</f>
        <v>2.8935185185185185E-2</v>
      </c>
      <c r="BP277" s="78">
        <f t="shared" ref="BP277:BP288" si="47">IFERROR(1/J277*(Y277/H277),"0")</f>
        <v>3.125E-2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15</v>
      </c>
      <c r="Y278" s="55">
        <f t="shared" si="43"/>
        <v>16.2</v>
      </c>
      <c r="Z278" s="41">
        <f>IFERROR(IF(Y278=0,"",ROUNDUP(Y278/H278,0)*0.01898),"")</f>
        <v>3.7960000000000001E-2</v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15.881481481481485</v>
      </c>
      <c r="BN278" s="78">
        <f t="shared" si="45"/>
        <v>17.152000000000001</v>
      </c>
      <c r="BO278" s="78">
        <f t="shared" si="46"/>
        <v>2.8935185185185185E-2</v>
      </c>
      <c r="BP278" s="78">
        <f t="shared" si="47"/>
        <v>3.125E-2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43"/>
        <v>104.39999999999999</v>
      </c>
      <c r="Z279" s="41">
        <f>IFERROR(IF(Y279=0,"",ROUNDUP(Y279/H279,0)*0.01898),"")</f>
        <v>0.22776000000000002</v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105.67816091954025</v>
      </c>
      <c r="BN279" s="78">
        <f t="shared" si="45"/>
        <v>110.32800000000002</v>
      </c>
      <c r="BO279" s="78">
        <f t="shared" si="46"/>
        <v>0.1795977011494253</v>
      </c>
      <c r="BP279" s="78">
        <f t="shared" si="47"/>
        <v>0.1875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192</v>
      </c>
      <c r="Y283" s="55">
        <f t="shared" si="43"/>
        <v>192</v>
      </c>
      <c r="Z283" s="41">
        <f>IFERROR(IF(Y283=0,"",ROUNDUP(Y283/H283,0)*0.00651),"")</f>
        <v>0.52080000000000004</v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212.16000000000003</v>
      </c>
      <c r="BN283" s="78">
        <f t="shared" si="45"/>
        <v>212.16000000000003</v>
      </c>
      <c r="BO283" s="78">
        <f t="shared" si="46"/>
        <v>0.43956043956043961</v>
      </c>
      <c r="BP283" s="78">
        <f t="shared" si="47"/>
        <v>0.43956043956043961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292</v>
      </c>
      <c r="Y286" s="55">
        <f t="shared" si="43"/>
        <v>292.8</v>
      </c>
      <c r="Z286" s="41">
        <f>IFERROR(IF(Y286=0,"",ROUNDUP(Y286/H286,0)*0.00651),"")</f>
        <v>0.79422000000000004</v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322.66000000000003</v>
      </c>
      <c r="BN286" s="78">
        <f t="shared" si="45"/>
        <v>323.54400000000004</v>
      </c>
      <c r="BO286" s="78">
        <f t="shared" si="46"/>
        <v>0.66849816849816857</v>
      </c>
      <c r="BP286" s="78">
        <f t="shared" si="47"/>
        <v>0.6703296703296705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192</v>
      </c>
      <c r="Y287" s="55">
        <f t="shared" si="43"/>
        <v>192</v>
      </c>
      <c r="Z287" s="41">
        <f>IFERROR(IF(Y287=0,"",ROUNDUP(Y287/H287,0)*0.00651),"")</f>
        <v>0.52080000000000004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212.64000000000001</v>
      </c>
      <c r="BN287" s="78">
        <f t="shared" si="45"/>
        <v>212.64000000000001</v>
      </c>
      <c r="BO287" s="78">
        <f t="shared" si="46"/>
        <v>0.43956043956043961</v>
      </c>
      <c r="BP287" s="78">
        <f t="shared" si="47"/>
        <v>0.43956043956043961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296.86462324393358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298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2.1395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806</v>
      </c>
      <c r="Y290" s="43">
        <f>IFERROR(SUM(Y277:Y288),"0")</f>
        <v>813.59999999999991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200</v>
      </c>
      <c r="Y369" s="55">
        <f t="shared" ref="Y369:Y375" si="63">IFERROR(IF(X369="",0,CEILING((X369/$H369),1)*$H369),"")</f>
        <v>201.60000000000002</v>
      </c>
      <c r="Z369" s="41">
        <f>IFERROR(IF(Y369=0,"",ROUNDUP(Y369/H369,0)*0.00902),"")</f>
        <v>0.43296000000000001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211.9047619047619</v>
      </c>
      <c r="BN369" s="78">
        <f t="shared" ref="BN369:BN375" si="65">IFERROR(Y369*I369/H369,"0")</f>
        <v>213.60000000000002</v>
      </c>
      <c r="BO369" s="78">
        <f t="shared" ref="BO369:BO375" si="66">IFERROR(1/J369*(X369/H369),"0")</f>
        <v>0.36075036075036077</v>
      </c>
      <c r="BP369" s="78">
        <f t="shared" ref="BP369:BP375" si="67">IFERROR(1/J369*(Y369/H369),"0")</f>
        <v>0.36363636363636365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300</v>
      </c>
      <c r="Y370" s="55">
        <f t="shared" si="63"/>
        <v>302.40000000000003</v>
      </c>
      <c r="Z370" s="41">
        <f>IFERROR(IF(Y370=0,"",ROUNDUP(Y370/H370,0)*0.00902),"")</f>
        <v>0.64944000000000002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317.85714285714283</v>
      </c>
      <c r="BN370" s="78">
        <f t="shared" si="65"/>
        <v>320.40000000000003</v>
      </c>
      <c r="BO370" s="78">
        <f t="shared" si="66"/>
        <v>0.54112554112554112</v>
      </c>
      <c r="BP370" s="78">
        <f t="shared" si="67"/>
        <v>0.54545454545454541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119.04761904761905</v>
      </c>
      <c r="Y376" s="43">
        <f>IFERROR(Y369/H369,"0")+IFERROR(Y370/H370,"0")+IFERROR(Y371/H371,"0")+IFERROR(Y372/H372,"0")+IFERROR(Y373/H373,"0")+IFERROR(Y374/H374,"0")+IFERROR(Y375/H375,"0")</f>
        <v>120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1.0824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500</v>
      </c>
      <c r="Y377" s="43">
        <f>IFERROR(SUM(Y369:Y375),"0")</f>
        <v>504.00000000000006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900</v>
      </c>
      <c r="Y379" s="55">
        <f>IFERROR(IF(X379="",0,CEILING((X379/$H379),1)*$H379),"")</f>
        <v>904.8</v>
      </c>
      <c r="Z379" s="41">
        <f>IFERROR(IF(Y379=0,"",ROUNDUP(Y379/H379,0)*0.01898),"")</f>
        <v>2.2016800000000001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956.30769230769226</v>
      </c>
      <c r="BN379" s="78">
        <f>IFERROR(Y379*I379/H379,"0")</f>
        <v>961.40800000000002</v>
      </c>
      <c r="BO379" s="78">
        <f>IFERROR(1/J379*(X379/H379),"0")</f>
        <v>1.8028846153846154</v>
      </c>
      <c r="BP379" s="78">
        <f>IFERROR(1/J379*(Y379/H379),"0")</f>
        <v>1.8125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115.38461538461539</v>
      </c>
      <c r="Y383" s="43">
        <f>IFERROR(Y379/H379,"0")+IFERROR(Y380/H380,"0")+IFERROR(Y381/H381,"0")+IFERROR(Y382/H382,"0")</f>
        <v>116</v>
      </c>
      <c r="Z383" s="43">
        <f>IFERROR(IF(Z379="",0,Z379),"0")+IFERROR(IF(Z380="",0,Z380),"0")+IFERROR(IF(Z381="",0,Z381),"0")+IFERROR(IF(Z382="",0,Z382),"0")</f>
        <v>2.2016800000000001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900</v>
      </c>
      <c r="Y384" s="43">
        <f>IFERROR(SUM(Y379:Y382),"0")</f>
        <v>904.8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240</v>
      </c>
      <c r="Y386" s="55">
        <f>IFERROR(IF(X386="",0,CEILING((X386/$H386),1)*$H386),"")</f>
        <v>243.60000000000002</v>
      </c>
      <c r="Z386" s="41">
        <f>IFERROR(IF(Y386=0,"",ROUNDUP(Y386/H386,0)*0.01898),"")</f>
        <v>0.55042000000000002</v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254.1142857142857</v>
      </c>
      <c r="BN386" s="78">
        <f>IFERROR(Y386*I386/H386,"0")</f>
        <v>257.92600000000004</v>
      </c>
      <c r="BO386" s="78">
        <f>IFERROR(1/J386*(X386/H386),"0")</f>
        <v>0.4464285714285714</v>
      </c>
      <c r="BP386" s="78">
        <f>IFERROR(1/J386*(Y386/H386),"0")</f>
        <v>0.453125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300</v>
      </c>
      <c r="Y387" s="55">
        <f>IFERROR(IF(X387="",0,CEILING((X387/$H387),1)*$H387),"")</f>
        <v>304.2</v>
      </c>
      <c r="Z387" s="41">
        <f>IFERROR(IF(Y387=0,"",ROUNDUP(Y387/H387,0)*0.01898),"")</f>
        <v>0.74021999999999999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319.00000000000006</v>
      </c>
      <c r="BN387" s="78">
        <f>IFERROR(Y387*I387/H387,"0")</f>
        <v>323.46600000000001</v>
      </c>
      <c r="BO387" s="78">
        <f>IFERROR(1/J387*(X387/H387),"0")</f>
        <v>0.60096153846153844</v>
      </c>
      <c r="BP387" s="78">
        <f>IFERROR(1/J387*(Y387/H387),"0")</f>
        <v>0.609375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250</v>
      </c>
      <c r="Y388" s="55">
        <f>IFERROR(IF(X388="",0,CEILING((X388/$H388),1)*$H388),"")</f>
        <v>252</v>
      </c>
      <c r="Z388" s="41">
        <f>IFERROR(IF(Y388=0,"",ROUNDUP(Y388/H388,0)*0.01898),"")</f>
        <v>0.56940000000000002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264.70238095238096</v>
      </c>
      <c r="BN388" s="78">
        <f>IFERROR(Y388*I388/H388,"0")</f>
        <v>266.82</v>
      </c>
      <c r="BO388" s="78">
        <f>IFERROR(1/J388*(X388/H388),"0")</f>
        <v>0.46502976190476186</v>
      </c>
      <c r="BP388" s="78">
        <f>IFERROR(1/J388*(Y388/H388),"0")</f>
        <v>0.46875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96.794871794871796</v>
      </c>
      <c r="Y389" s="43">
        <f>IFERROR(Y386/H386,"0")+IFERROR(Y387/H387,"0")+IFERROR(Y388/H388,"0")</f>
        <v>98</v>
      </c>
      <c r="Z389" s="43">
        <f>IFERROR(IF(Z386="",0,Z386),"0")+IFERROR(IF(Z387="",0,Z387),"0")+IFERROR(IF(Z388="",0,Z388),"0")</f>
        <v>1.8600400000000001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790</v>
      </c>
      <c r="Y390" s="43">
        <f>IFERROR(SUM(Y386:Y388),"0")</f>
        <v>799.8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250</v>
      </c>
      <c r="Y418" s="55">
        <f>IFERROR(IF(X418="",0,CEILING((X418/$H418),1)*$H418),"")</f>
        <v>251.1</v>
      </c>
      <c r="Z418" s="41">
        <f>IFERROR(IF(Y418=0,"",ROUNDUP(Y418/H418,0)*0.01898),"")</f>
        <v>0.58838000000000001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265.24691358024694</v>
      </c>
      <c r="BN418" s="78">
        <f>IFERROR(Y418*I418/H418,"0")</f>
        <v>266.41399999999999</v>
      </c>
      <c r="BO418" s="78">
        <f>IFERROR(1/J418*(X418/H418),"0")</f>
        <v>0.48225308641975312</v>
      </c>
      <c r="BP418" s="78">
        <f>IFERROR(1/J418*(Y418/H418),"0")</f>
        <v>0.484375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30.8641975308642</v>
      </c>
      <c r="Y421" s="43">
        <f>IFERROR(Y418/H418,"0")+IFERROR(Y419/H419,"0")+IFERROR(Y420/H420,"0")</f>
        <v>31</v>
      </c>
      <c r="Z421" s="43">
        <f>IFERROR(IF(Z418="",0,Z418),"0")+IFERROR(IF(Z419="",0,Z419),"0")+IFERROR(IF(Z420="",0,Z420),"0")</f>
        <v>0.58838000000000001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250</v>
      </c>
      <c r="Y422" s="43">
        <f>IFERROR(SUM(Y418:Y420),"0")</f>
        <v>251.1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2250</v>
      </c>
      <c r="Y427" s="55">
        <f t="shared" si="68"/>
        <v>2250</v>
      </c>
      <c r="Z427" s="41">
        <f>IFERROR(IF(Y427=0,"",ROUNDUP(Y427/H427,0)*0.02175),"")</f>
        <v>3.2624999999999997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2320.5</v>
      </c>
      <c r="BN427" s="78">
        <f t="shared" si="70"/>
        <v>2320.5</v>
      </c>
      <c r="BO427" s="78">
        <f t="shared" si="71"/>
        <v>3.125</v>
      </c>
      <c r="BP427" s="78">
        <f t="shared" si="72"/>
        <v>3.125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2250</v>
      </c>
      <c r="Y428" s="55">
        <f t="shared" si="68"/>
        <v>2250</v>
      </c>
      <c r="Z428" s="41">
        <f>IFERROR(IF(Y428=0,"",ROUNDUP(Y428/H428,0)*0.02175),"")</f>
        <v>3.2624999999999997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2320.5</v>
      </c>
      <c r="BN428" s="78">
        <f t="shared" si="70"/>
        <v>2320.5</v>
      </c>
      <c r="BO428" s="78">
        <f t="shared" si="71"/>
        <v>3.125</v>
      </c>
      <c r="BP428" s="78">
        <f t="shared" si="72"/>
        <v>3.125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2250</v>
      </c>
      <c r="Y430" s="55">
        <f t="shared" si="68"/>
        <v>2250</v>
      </c>
      <c r="Z430" s="41">
        <f>IFERROR(IF(Y430=0,"",ROUNDUP(Y430/H430,0)*0.02175),"")</f>
        <v>3.2624999999999997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2320.5</v>
      </c>
      <c r="BN430" s="78">
        <f t="shared" si="70"/>
        <v>2320.5</v>
      </c>
      <c r="BO430" s="78">
        <f t="shared" si="71"/>
        <v>3.125</v>
      </c>
      <c r="BP430" s="78">
        <f t="shared" si="72"/>
        <v>3.125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450</v>
      </c>
      <c r="Y434" s="43">
        <f>IFERROR(Y426/H426,"0")+IFERROR(Y427/H427,"0")+IFERROR(Y428/H428,"0")+IFERROR(Y429/H429,"0")+IFERROR(Y430/H430,"0")+IFERROR(Y431/H431,"0")+IFERROR(Y432/H432,"0")+IFERROR(Y433/H433,"0")</f>
        <v>450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9.7874999999999996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6750</v>
      </c>
      <c r="Y435" s="43">
        <f>IFERROR(SUM(Y426:Y433),"0")</f>
        <v>6750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1200</v>
      </c>
      <c r="Y437" s="55">
        <f>IFERROR(IF(X437="",0,CEILING((X437/$H437),1)*$H437),"")</f>
        <v>1200</v>
      </c>
      <c r="Z437" s="41">
        <f>IFERROR(IF(Y437=0,"",ROUNDUP(Y437/H437,0)*0.02175),"")</f>
        <v>1.7399999999999998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1237.5999999999999</v>
      </c>
      <c r="BN437" s="78">
        <f>IFERROR(Y437*I437/H437,"0")</f>
        <v>1237.5999999999999</v>
      </c>
      <c r="BO437" s="78">
        <f>IFERROR(1/J437*(X437/H437),"0")</f>
        <v>1.6666666666666665</v>
      </c>
      <c r="BP437" s="78">
        <f>IFERROR(1/J437*(Y437/H437),"0")</f>
        <v>1.6666666666666665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80</v>
      </c>
      <c r="Y440" s="43">
        <f>IFERROR(Y437/H437,"0")+IFERROR(Y438/H438,"0")+IFERROR(Y439/H439,"0")</f>
        <v>80</v>
      </c>
      <c r="Z440" s="43">
        <f>IFERROR(IF(Z437="",0,Z437),"0")+IFERROR(IF(Z438="",0,Z438),"0")+IFERROR(IF(Z439="",0,Z439),"0")</f>
        <v>1.7399999999999998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1200</v>
      </c>
      <c r="Y441" s="43">
        <f>IFERROR(SUM(Y437:Y439),"0")</f>
        <v>1200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900</v>
      </c>
      <c r="Y443" s="55">
        <f>IFERROR(IF(X443="",0,CEILING((X443/$H443),1)*$H443),"")</f>
        <v>900</v>
      </c>
      <c r="Z443" s="41">
        <f>IFERROR(IF(Y443=0,"",ROUNDUP(Y443/H443,0)*0.01898),"")</f>
        <v>1.8980000000000001</v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950</v>
      </c>
      <c r="BN443" s="78">
        <f>IFERROR(Y443*I443/H443,"0")</f>
        <v>950</v>
      </c>
      <c r="BO443" s="78">
        <f>IFERROR(1/J443*(X443/H443),"0")</f>
        <v>1.5625</v>
      </c>
      <c r="BP443" s="78">
        <f>IFERROR(1/J443*(Y443/H443),"0")</f>
        <v>1.5625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100</v>
      </c>
      <c r="Y446" s="43">
        <f>IFERROR(Y443/H443,"0")+IFERROR(Y444/H444,"0")+IFERROR(Y445/H445,"0")</f>
        <v>100</v>
      </c>
      <c r="Z446" s="43">
        <f>IFERROR(IF(Z443="",0,Z443),"0")+IFERROR(IF(Z444="",0,Z444),"0")+IFERROR(IF(Z445="",0,Z445),"0")</f>
        <v>1.8980000000000001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900</v>
      </c>
      <c r="Y447" s="43">
        <f>IFERROR(SUM(Y443:Y445),"0")</f>
        <v>900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280</v>
      </c>
      <c r="Y450" s="55">
        <f>IFERROR(IF(X450="",0,CEILING((X450/$H450),1)*$H450),"")</f>
        <v>288</v>
      </c>
      <c r="Z450" s="41">
        <f>IFERROR(IF(Y450=0,"",ROUNDUP(Y450/H450,0)*0.01898),"")</f>
        <v>0.60736000000000001</v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295.36888888888888</v>
      </c>
      <c r="BN450" s="78">
        <f>IFERROR(Y450*I450/H450,"0")</f>
        <v>303.80799999999999</v>
      </c>
      <c r="BO450" s="78">
        <f>IFERROR(1/J450*(X450/H450),"0")</f>
        <v>0.4861111111111111</v>
      </c>
      <c r="BP450" s="78">
        <f>IFERROR(1/J450*(Y450/H450),"0")</f>
        <v>0.5</v>
      </c>
    </row>
    <row r="451" spans="1:68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31.111111111111111</v>
      </c>
      <c r="Y451" s="43">
        <f>IFERROR(Y449/H449,"0")+IFERROR(Y450/H450,"0")</f>
        <v>32</v>
      </c>
      <c r="Z451" s="43">
        <f>IFERROR(IF(Z449="",0,Z449),"0")+IFERROR(IF(Z450="",0,Z450),"0")</f>
        <v>0.60736000000000001</v>
      </c>
      <c r="AA451" s="67"/>
      <c r="AB451" s="67"/>
      <c r="AC451" s="67"/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280</v>
      </c>
      <c r="Y452" s="43">
        <f>IFERROR(SUM(Y449:Y450),"0")</f>
        <v>288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30</v>
      </c>
      <c r="Y460" s="55">
        <f>IFERROR(IF(X460="",0,CEILING((X460/$H460),1)*$H460),"")</f>
        <v>33.6</v>
      </c>
      <c r="Z460" s="41">
        <f>IFERROR(IF(Y460=0,"",ROUNDUP(Y460/H460,0)*0.00902),"")</f>
        <v>7.2160000000000002E-2</v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31.785714285714285</v>
      </c>
      <c r="BN460" s="78">
        <f>IFERROR(Y460*I460/H460,"0")</f>
        <v>35.6</v>
      </c>
      <c r="BO460" s="78">
        <f>IFERROR(1/J460*(X460/H460),"0")</f>
        <v>5.4112554112554112E-2</v>
      </c>
      <c r="BP460" s="78">
        <f>IFERROR(1/J460*(Y460/H460),"0")</f>
        <v>6.0606060606060608E-2</v>
      </c>
    </row>
    <row r="461" spans="1:68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7.1428571428571423</v>
      </c>
      <c r="Y461" s="43">
        <f>IFERROR(Y460/H460,"0")</f>
        <v>8</v>
      </c>
      <c r="Z461" s="43">
        <f>IFERROR(IF(Z460="",0,Z460),"0")</f>
        <v>7.2160000000000002E-2</v>
      </c>
      <c r="AA461" s="67"/>
      <c r="AB461" s="67"/>
      <c r="AC461" s="67"/>
    </row>
    <row r="462" spans="1:68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30</v>
      </c>
      <c r="Y462" s="43">
        <f>IFERROR(SUM(Y460:Y460),"0")</f>
        <v>33.6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400</v>
      </c>
      <c r="Y464" s="55">
        <f>IFERROR(IF(X464="",0,CEILING((X464/$H464),1)*$H464),"")</f>
        <v>405</v>
      </c>
      <c r="Z464" s="41">
        <f>IFERROR(IF(Y464=0,"",ROUNDUP(Y464/H464,0)*0.01898),"")</f>
        <v>0.85409999999999997</v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421.95555555555552</v>
      </c>
      <c r="BN464" s="78">
        <f>IFERROR(Y464*I464/H464,"0")</f>
        <v>427.22999999999996</v>
      </c>
      <c r="BO464" s="78">
        <f>IFERROR(1/J464*(X464/H464),"0")</f>
        <v>0.69444444444444442</v>
      </c>
      <c r="BP464" s="78">
        <f>IFERROR(1/J464*(Y464/H464),"0")</f>
        <v>0.703125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44.444444444444443</v>
      </c>
      <c r="Y467" s="43">
        <f>IFERROR(Y464/H464,"0")+IFERROR(Y465/H465,"0")+IFERROR(Y466/H466,"0")</f>
        <v>45</v>
      </c>
      <c r="Z467" s="43">
        <f>IFERROR(IF(Z464="",0,Z464),"0")+IFERROR(IF(Z465="",0,Z465),"0")+IFERROR(IF(Z466="",0,Z466),"0")</f>
        <v>0.85409999999999997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400</v>
      </c>
      <c r="Y468" s="43">
        <f>IFERROR(SUM(Y464:Y466),"0")</f>
        <v>405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100</v>
      </c>
      <c r="Y472" s="55">
        <f t="shared" ref="Y472:Y477" si="73">IFERROR(IF(X472="",0,CEILING((X472/$H472),1)*$H472),"")</f>
        <v>102.60000000000001</v>
      </c>
      <c r="Z472" s="41">
        <f>IFERROR(IF(Y472=0,"",ROUNDUP(Y472/H472,0)*0.00902),"")</f>
        <v>0.17138</v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103.5185185185185</v>
      </c>
      <c r="BN472" s="78">
        <f t="shared" ref="BN472:BN477" si="75">IFERROR(Y472*I472/H472,"0")</f>
        <v>106.21</v>
      </c>
      <c r="BO472" s="78">
        <f t="shared" ref="BO472:BO477" si="76">IFERROR(1/J472*(X472/H472),"0")</f>
        <v>0.14029180695847362</v>
      </c>
      <c r="BP472" s="78">
        <f t="shared" ref="BP472:BP477" si="77">IFERROR(1/J472*(Y472/H472),"0")</f>
        <v>0.14393939393939395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80</v>
      </c>
      <c r="Y473" s="55">
        <f t="shared" si="73"/>
        <v>81</v>
      </c>
      <c r="Z473" s="41">
        <f>IFERROR(IF(Y473=0,"",ROUNDUP(Y473/H473,0)*0.00902),"")</f>
        <v>0.1353</v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82.81481481481481</v>
      </c>
      <c r="BN473" s="78">
        <f t="shared" si="75"/>
        <v>83.85</v>
      </c>
      <c r="BO473" s="78">
        <f t="shared" si="76"/>
        <v>0.11223344556677889</v>
      </c>
      <c r="BP473" s="78">
        <f t="shared" si="77"/>
        <v>0.11363636363636363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33.333333333333329</v>
      </c>
      <c r="Y478" s="43">
        <f>IFERROR(Y472/H472,"0")+IFERROR(Y473/H473,"0")+IFERROR(Y474/H474,"0")+IFERROR(Y475/H475,"0")+IFERROR(Y476/H476,"0")+IFERROR(Y477/H477,"0")</f>
        <v>34</v>
      </c>
      <c r="Z478" s="43">
        <f>IFERROR(IF(Z472="",0,Z472),"0")+IFERROR(IF(Z473="",0,Z473),"0")+IFERROR(IF(Z474="",0,Z474),"0")+IFERROR(IF(Z475="",0,Z475),"0")+IFERROR(IF(Z476="",0,Z476),"0")+IFERROR(IF(Z477="",0,Z477),"0")</f>
        <v>0.30668000000000001</v>
      </c>
      <c r="AA478" s="67"/>
      <c r="AB478" s="67"/>
      <c r="AC478" s="67"/>
    </row>
    <row r="479" spans="1:68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180</v>
      </c>
      <c r="Y479" s="43">
        <f>IFERROR(SUM(Y472:Y477),"0")</f>
        <v>183.60000000000002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200</v>
      </c>
      <c r="Y491" s="55">
        <f>IFERROR(IF(X491="",0,CEILING((X491/$H491),1)*$H491),"")</f>
        <v>205.20000000000002</v>
      </c>
      <c r="Z491" s="41">
        <f>IFERROR(IF(Y491=0,"",ROUNDUP(Y491/H491,0)*0.00902),"")</f>
        <v>0.34276000000000001</v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207.03703703703701</v>
      </c>
      <c r="BN491" s="78">
        <f>IFERROR(Y491*I491/H491,"0")</f>
        <v>212.42</v>
      </c>
      <c r="BO491" s="78">
        <f>IFERROR(1/J491*(X491/H491),"0")</f>
        <v>0.28058361391694725</v>
      </c>
      <c r="BP491" s="78">
        <f>IFERROR(1/J491*(Y491/H491),"0")</f>
        <v>0.2878787878787879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37.037037037037038</v>
      </c>
      <c r="Y494" s="43">
        <f>IFERROR(Y491/H491,"0")+IFERROR(Y492/H492,"0")+IFERROR(Y493/H493,"0")</f>
        <v>38</v>
      </c>
      <c r="Z494" s="43">
        <f>IFERROR(IF(Z491="",0,Z491),"0")+IFERROR(IF(Z492="",0,Z492),"0")+IFERROR(IF(Z493="",0,Z493),"0")</f>
        <v>0.34276000000000001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200</v>
      </c>
      <c r="Y495" s="43">
        <f>IFERROR(SUM(Y491:Y493),"0")</f>
        <v>205.20000000000002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50</v>
      </c>
      <c r="Y502" s="55">
        <f t="shared" si="78"/>
        <v>52.800000000000004</v>
      </c>
      <c r="Z502" s="41">
        <f t="shared" si="79"/>
        <v>0.1196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53.314393939393938</v>
      </c>
      <c r="BN502" s="78">
        <f t="shared" si="81"/>
        <v>56.3</v>
      </c>
      <c r="BO502" s="78">
        <f t="shared" si="82"/>
        <v>9.1054778554778545E-2</v>
      </c>
      <c r="BP502" s="78">
        <f t="shared" si="83"/>
        <v>9.6153846153846159E-2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50</v>
      </c>
      <c r="Y504" s="55">
        <f t="shared" si="78"/>
        <v>52.800000000000004</v>
      </c>
      <c r="Z504" s="41">
        <f t="shared" si="79"/>
        <v>0.1196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53.314393939393938</v>
      </c>
      <c r="BN504" s="78">
        <f t="shared" si="81"/>
        <v>56.3</v>
      </c>
      <c r="BO504" s="78">
        <f t="shared" si="82"/>
        <v>9.1054778554778545E-2</v>
      </c>
      <c r="BP504" s="78">
        <f t="shared" si="83"/>
        <v>9.6153846153846159E-2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18.939393939393938</v>
      </c>
      <c r="Y508" s="43">
        <f>IFERROR(Y499/H499,"0")+IFERROR(Y500/H500,"0")+IFERROR(Y501/H501,"0")+IFERROR(Y502/H502,"0")+IFERROR(Y503/H503,"0")+IFERROR(Y504/H504,"0")+IFERROR(Y505/H505,"0")+IFERROR(Y506/H506,"0")+IFERROR(Y507/H507,"0")</f>
        <v>20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0.2392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100</v>
      </c>
      <c r="Y509" s="43">
        <f>IFERROR(SUM(Y499:Y507),"0")</f>
        <v>105.60000000000001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100</v>
      </c>
      <c r="Y511" s="55">
        <f>IFERROR(IF(X511="",0,CEILING((X511/$H511),1)*$H511),"")</f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106.62878787878788</v>
      </c>
      <c r="BN511" s="78">
        <f>IFERROR(Y511*I511/H511,"0")</f>
        <v>106.97</v>
      </c>
      <c r="BO511" s="78">
        <f>IFERROR(1/J511*(X511/H511),"0")</f>
        <v>0.18210955710955709</v>
      </c>
      <c r="BP511" s="78">
        <f>IFERROR(1/J511*(Y511/H511),"0")</f>
        <v>0.18269230769230771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18.939393939393938</v>
      </c>
      <c r="Y514" s="43">
        <f>IFERROR(Y511/H511,"0")+IFERROR(Y512/H512,"0")+IFERROR(Y513/H513,"0")</f>
        <v>19</v>
      </c>
      <c r="Z514" s="43">
        <f>IFERROR(IF(Z511="",0,Z511),"0")+IFERROR(IF(Z512="",0,Z512),"0")+IFERROR(IF(Z513="",0,Z513),"0")</f>
        <v>0.22724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100</v>
      </c>
      <c r="Y515" s="43">
        <f>IFERROR(SUM(Y511:Y513),"0")</f>
        <v>100.32000000000001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120</v>
      </c>
      <c r="Y517" s="55">
        <f t="shared" ref="Y517:Y523" si="84">IFERROR(IF(X517="",0,CEILING((X517/$H517),1)*$H517),"")</f>
        <v>121.44000000000001</v>
      </c>
      <c r="Z517" s="41">
        <f>IFERROR(IF(Y517=0,"",ROUNDUP(Y517/H517,0)*0.01196),"")</f>
        <v>0.27507999999999999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127.95454545454545</v>
      </c>
      <c r="BN517" s="78">
        <f t="shared" ref="BN517:BN523" si="86">IFERROR(Y517*I517/H517,"0")</f>
        <v>129.49</v>
      </c>
      <c r="BO517" s="78">
        <f t="shared" ref="BO517:BO523" si="87">IFERROR(1/J517*(X517/H517),"0")</f>
        <v>0.21853146853146854</v>
      </c>
      <c r="BP517" s="78">
        <f t="shared" ref="BP517:BP523" si="88">IFERROR(1/J517*(Y517/H517),"0")</f>
        <v>0.22115384615384617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60</v>
      </c>
      <c r="Y518" s="55">
        <f t="shared" si="84"/>
        <v>63.36</v>
      </c>
      <c r="Z518" s="41">
        <f>IFERROR(IF(Y518=0,"",ROUNDUP(Y518/H518,0)*0.01196),"")</f>
        <v>0.14352000000000001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63.977272727272727</v>
      </c>
      <c r="BN518" s="78">
        <f t="shared" si="86"/>
        <v>67.559999999999988</v>
      </c>
      <c r="BO518" s="78">
        <f t="shared" si="87"/>
        <v>0.10926573426573427</v>
      </c>
      <c r="BP518" s="78">
        <f t="shared" si="88"/>
        <v>0.11538461538461539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120</v>
      </c>
      <c r="Y519" s="55">
        <f t="shared" si="84"/>
        <v>121.44000000000001</v>
      </c>
      <c r="Z519" s="41">
        <f>IFERROR(IF(Y519=0,"",ROUNDUP(Y519/H519,0)*0.01196),"")</f>
        <v>0.27507999999999999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127.95454545454545</v>
      </c>
      <c r="BN519" s="78">
        <f t="shared" si="86"/>
        <v>129.49</v>
      </c>
      <c r="BO519" s="78">
        <f t="shared" si="87"/>
        <v>0.21853146853146854</v>
      </c>
      <c r="BP519" s="78">
        <f t="shared" si="88"/>
        <v>0.22115384615384617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56.81818181818182</v>
      </c>
      <c r="Y524" s="43">
        <f>IFERROR(Y517/H517,"0")+IFERROR(Y518/H518,"0")+IFERROR(Y519/H519,"0")+IFERROR(Y520/H520,"0")+IFERROR(Y521/H521,"0")+IFERROR(Y522/H522,"0")+IFERROR(Y523/H523,"0")</f>
        <v>58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0.69367999999999996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300</v>
      </c>
      <c r="Y525" s="43">
        <f>IFERROR(SUM(Y517:Y523),"0")</f>
        <v>306.24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40</v>
      </c>
      <c r="Y529" s="55">
        <f>IFERROR(IF(X529="",0,CEILING((X529/$H529),1)*$H529),"")</f>
        <v>48</v>
      </c>
      <c r="Z529" s="41">
        <f>IFERROR(IF(Y529=0,"",ROUNDUP(Y529/H529,0)*0.01898),"")</f>
        <v>7.5920000000000001E-2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41.366666666666667</v>
      </c>
      <c r="BN529" s="78">
        <f>IFERROR(Y529*I529/H529,"0")</f>
        <v>49.640000000000008</v>
      </c>
      <c r="BO529" s="78">
        <f>IFERROR(1/J529*(X529/H529),"0")</f>
        <v>5.2083333333333336E-2</v>
      </c>
      <c r="BP529" s="78">
        <f>IFERROR(1/J529*(Y529/H529),"0")</f>
        <v>6.25E-2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3.3333333333333335</v>
      </c>
      <c r="Y530" s="43">
        <f>IFERROR(Y529/H529,"0")</f>
        <v>4</v>
      </c>
      <c r="Z530" s="43">
        <f>IFERROR(IF(Z529="",0,Z529),"0")</f>
        <v>7.5920000000000001E-2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40</v>
      </c>
      <c r="Y531" s="43">
        <f>IFERROR(SUM(Y529:Y529),"0")</f>
        <v>48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600</v>
      </c>
      <c r="Y537" s="55">
        <f>IFERROR(IF(X537="",0,CEILING((X537/$H537),1)*$H537),"")</f>
        <v>600.6</v>
      </c>
      <c r="Z537" s="41">
        <f>IFERROR(IF(Y537=0,"",ROUNDUP(Y537/H537,0)*0.00902),"")</f>
        <v>1.28986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635.71428571428567</v>
      </c>
      <c r="BN537" s="78">
        <f>IFERROR(Y537*I537/H537,"0")</f>
        <v>636.35</v>
      </c>
      <c r="BO537" s="78">
        <f>IFERROR(1/J537*(X537/H537),"0")</f>
        <v>1.0822510822510822</v>
      </c>
      <c r="BP537" s="78">
        <f>IFERROR(1/J537*(Y537/H537),"0")</f>
        <v>1.0833333333333333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142.85714285714286</v>
      </c>
      <c r="Y538" s="43">
        <f>IFERROR(Y537/H537,"0")</f>
        <v>143</v>
      </c>
      <c r="Z538" s="43">
        <f>IFERROR(IF(Z537="",0,Z537),"0")</f>
        <v>1.28986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600</v>
      </c>
      <c r="Y539" s="43">
        <f>IFERROR(SUM(Y537:Y537),"0")</f>
        <v>600.6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18038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18146.96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18839.023929780298</v>
      </c>
      <c r="Y555" s="43">
        <f>IFERROR(SUM(BN22:BN551),"0")</f>
        <v>18953.77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29</v>
      </c>
      <c r="Y556" s="44">
        <f>ROUNDUP(SUM(BP22:BP551),0)</f>
        <v>29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19564.023929780298</v>
      </c>
      <c r="Y557" s="43">
        <f>GrossWeightTotalR+PalletQtyTotalR*25</f>
        <v>19678.77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2361.3606364899474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2379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32.848289999999992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570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348.9</v>
      </c>
      <c r="H564" s="52">
        <f>IFERROR(Y132*1,"0")+IFERROR(Y133*1,"0")+IFERROR(Y137*1,"0")+IFERROR(Y138*1,"0")+IFERROR(Y142*1,"0")+IFERROR(Y143*1,"0")</f>
        <v>155.6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63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201.60000000000002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3222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2208.6000000000004</v>
      </c>
      <c r="U564" s="52">
        <f>IFERROR(Y412*1,"0")+IFERROR(Y413*1,"0")</f>
        <v>0</v>
      </c>
      <c r="V564" s="52">
        <f>IFERROR(Y418*1,"0")+IFERROR(Y419*1,"0")+IFERROR(Y420*1,"0")</f>
        <v>251.1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9138</v>
      </c>
      <c r="X564" s="52">
        <f>IFERROR(Y455*1,"0")+IFERROR(Y456*1,"0")+IFERROR(Y460*1,"0")+IFERROR(Y464*1,"0")+IFERROR(Y465*1,"0")+IFERROR(Y466*1,"0")</f>
        <v>438.6</v>
      </c>
      <c r="Y564" s="52">
        <f>IFERROR(Y472*1,"0")+IFERROR(Y473*1,"0")+IFERROR(Y474*1,"0")+IFERROR(Y475*1,"0")+IFERROR(Y476*1,"0")+IFERROR(Y477*1,"0")+IFERROR(Y481*1,"0")+IFERROR(Y482*1,"0")</f>
        <v>183.60000000000002</v>
      </c>
      <c r="Z564" s="52">
        <f>IFERROR(Y487*1,"0")+IFERROR(Y491*1,"0")+IFERROR(Y492*1,"0")+IFERROR(Y493*1,"0")</f>
        <v>205.20000000000002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512.16000000000008</v>
      </c>
      <c r="AB564" s="52">
        <f>IFERROR(Y529*1,"0")+IFERROR(Y533*1,"0")+IFERROR(Y537*1,"0")+IFERROR(Y541*1,"0")+IFERROR(Y545*1,"0")+IFERROR(Y546*1,"0")</f>
        <v>648.6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00,00"/>
        <filter val="115,38"/>
        <filter val="119,05"/>
        <filter val="120,00"/>
        <filter val="142,86"/>
        <filter val="15,00"/>
        <filter val="17,14"/>
        <filter val="18 038,00"/>
        <filter val="18 839,02"/>
        <filter val="18,57"/>
        <filter val="18,94"/>
        <filter val="180,00"/>
        <filter val="19 564,02"/>
        <filter val="192,00"/>
        <filter val="2 250,00"/>
        <filter val="2 361,36"/>
        <filter val="2 400,00"/>
        <filter val="200,00"/>
        <filter val="240,00"/>
        <filter val="250,00"/>
        <filter val="260,00"/>
        <filter val="280,00"/>
        <filter val="29"/>
        <filter val="292,00"/>
        <filter val="296,86"/>
        <filter val="3,33"/>
        <filter val="30,00"/>
        <filter val="30,86"/>
        <filter val="300,00"/>
        <filter val="31,11"/>
        <filter val="31,25"/>
        <filter val="32,10"/>
        <filter val="33,33"/>
        <filter val="37,04"/>
        <filter val="40,00"/>
        <filter val="400,00"/>
        <filter val="44,44"/>
        <filter val="444,44"/>
        <filter val="450,00"/>
        <filter val="46,30"/>
        <filter val="47,62"/>
        <filter val="50,00"/>
        <filter val="500,00"/>
        <filter val="52,00"/>
        <filter val="550,00"/>
        <filter val="56,82"/>
        <filter val="6 750,00"/>
        <filter val="60,00"/>
        <filter val="600,00"/>
        <filter val="650,00"/>
        <filter val="7,14"/>
        <filter val="7,69"/>
        <filter val="700,00"/>
        <filter val="790,00"/>
        <filter val="80,00"/>
        <filter val="806,00"/>
        <filter val="900,00"/>
        <filter val="96,79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2026-09-22T11:10:25Z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