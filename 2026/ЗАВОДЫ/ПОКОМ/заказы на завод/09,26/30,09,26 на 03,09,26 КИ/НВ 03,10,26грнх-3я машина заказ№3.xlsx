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C88929-1940-42E9-8BCD-8E39210681DA}" xr6:coauthVersionLast="47" xr6:coauthVersionMax="47" xr10:uidLastSave="{00000000-0000-0000-0000-000000000000}"/>
  <bookViews>
    <workbookView xWindow="2820" yWindow="75" windowWidth="259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P380" i="2"/>
  <c r="BO380" i="2"/>
  <c r="BM380" i="2"/>
  <c r="Z380" i="2"/>
  <c r="Y380" i="2"/>
  <c r="BN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Z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Z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Y25" i="2" l="1"/>
  <c r="Z256" i="2"/>
  <c r="Z38" i="2"/>
  <c r="BN341" i="2"/>
  <c r="Z342" i="2"/>
  <c r="Z395" i="2"/>
  <c r="BN256" i="2"/>
  <c r="Z475" i="2"/>
  <c r="Z27" i="2"/>
  <c r="BN27" i="2"/>
  <c r="Y32" i="2"/>
  <c r="Z133" i="2"/>
  <c r="Z134" i="2" s="1"/>
  <c r="Z151" i="2"/>
  <c r="BN151" i="2"/>
  <c r="Z251" i="2"/>
  <c r="Z252" i="2" s="1"/>
  <c r="BP324" i="2"/>
  <c r="Z401" i="2"/>
  <c r="Z481" i="2"/>
  <c r="Z493" i="2"/>
  <c r="BN493" i="2"/>
  <c r="Y49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67" i="2" l="1"/>
  <c r="Z75" i="2"/>
  <c r="Z355" i="2"/>
  <c r="Z446" i="2"/>
  <c r="Z478" i="2"/>
  <c r="Z440" i="2"/>
  <c r="Z230" i="2"/>
  <c r="Z51" i="2"/>
  <c r="Z263" i="2"/>
  <c r="Z343" i="2"/>
  <c r="Z494" i="2"/>
  <c r="Z414" i="2"/>
  <c r="Z81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<sst xmlns="http://schemas.openxmlformats.org/spreadsheetml/2006/main" count="4298" uniqueCount="916">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</sst>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915</v>
      </c>
      <c r="I5" s="648"/>
      <c r="J5" s="648"/>
      <c r="K5" s="648"/>
      <c r="L5" s="648"/>
      <c r="M5" s="648"/>
      <c r="N5" s="69"/>
      <c r="P5" s="26" t="s">
        <v>4</v>
      </c>
      <c r="Q5" s="650">
        <v>46298</v>
      </c>
      <c r="R5" s="1011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891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Суббота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6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0.45833333333333331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>
        <v>46301</v>
      </c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>
        <v>0.54166666666666663</v>
      </c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777.6</v>
      </c>
      <c r="Y47" s="53">
        <f>IFERROR(IF(X47="",0,CEILING((X47/$H47),1)*$H47),"")</f>
        <v>777.6</v>
      </c>
      <c r="Z47" s="39">
        <f>IFERROR(IF(Y47=0,"",ROUNDUP(Y47/H47,0)*0.01898),"")</f>
        <v>1.36656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807.12</v>
      </c>
      <c r="BN47" s="75">
        <f>IFERROR(Y47*I47/H47,"0")</f>
        <v>807.12</v>
      </c>
      <c r="BO47" s="75">
        <f>IFERROR(1/J47*(X47/H47),"0")</f>
        <v>1.125</v>
      </c>
      <c r="BP47" s="75">
        <f>IFERROR(1/J47*(Y47/H47),"0")</f>
        <v>1.125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72</v>
      </c>
      <c r="Y51" s="41">
        <f>IFERROR(Y47/H47,"0")+IFERROR(Y48/H48,"0")+IFERROR(Y49/H49,"0")+IFERROR(Y50/H50,"0")</f>
        <v>72</v>
      </c>
      <c r="Z51" s="41">
        <f>IFERROR(IF(Z47="",0,Z47),"0")+IFERROR(IF(Z48="",0,Z48),"0")+IFERROR(IF(Z49="",0,Z49),"0")+IFERROR(IF(Z50="",0,Z50),"0")</f>
        <v>1.36656</v>
      </c>
      <c r="AA51" s="64"/>
      <c r="AB51" s="64"/>
      <c r="AC51" s="64"/>
    </row>
    <row r="52" spans="1:68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777.6</v>
      </c>
      <c r="Y52" s="41">
        <f>IFERROR(SUM(Y47:Y50),"0")</f>
        <v>777.6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40</v>
      </c>
      <c r="Y62" s="41">
        <f>IFERROR(Y55/H55,"0")+IFERROR(Y56/H56,"0")+IFERROR(Y57/H57,"0")+IFERROR(Y58/H58,"0")+IFERROR(Y59/H59,"0")+IFERROR(Y60/H60,"0")+IFERROR(Y61/H61,"0")</f>
        <v>40</v>
      </c>
      <c r="Z62" s="41">
        <f>IFERROR(IF(Z55="",0,Z55),"0")+IFERROR(IF(Z56="",0,Z56),"0")+IFERROR(IF(Z57="",0,Z57),"0")+IFERROR(IF(Z58="",0,Z58),"0")+IFERROR(IF(Z59="",0,Z59),"0")+IFERROR(IF(Z60="",0,Z60),"0")+IFERROR(IF(Z61="",0,Z61),"0")</f>
        <v>0.7592000000000001</v>
      </c>
      <c r="AA62" s="64"/>
      <c r="AB62" s="64"/>
      <c r="AC62" s="64"/>
    </row>
    <row r="63" spans="1:68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441.6</v>
      </c>
      <c r="Y63" s="41">
        <f>IFERROR(SUM(Y55:Y61),"0")</f>
        <v>441.59999999999997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777.6</v>
      </c>
      <c r="Y101" s="53">
        <f t="shared" ref="Y101:Y108" si="5">IFERROR(IF(X101="",0,CEILING((X101/$H101),1)*$H101),"")</f>
        <v>777.6</v>
      </c>
      <c r="Z101" s="39">
        <f>IFERROR(IF(Y101=0,"",ROUNDUP(Y101/H101,0)*0.01898),"")</f>
        <v>1.36656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807.12</v>
      </c>
      <c r="BN101" s="75">
        <f t="shared" ref="BN101:BN108" si="7">IFERROR(Y101*I101/H101,"0")</f>
        <v>807.12</v>
      </c>
      <c r="BO101" s="75">
        <f t="shared" ref="BO101:BO108" si="8">IFERROR(1/J101*(X101/H101),"0")</f>
        <v>1.125</v>
      </c>
      <c r="BP101" s="75">
        <f t="shared" ref="BP101:BP108" si="9">IFERROR(1/J101*(Y101/H101),"0")</f>
        <v>1.125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72</v>
      </c>
      <c r="Y109" s="41">
        <f>IFERROR(Y101/H101,"0")+IFERROR(Y102/H102,"0")+IFERROR(Y103/H103,"0")+IFERROR(Y104/H104,"0")+IFERROR(Y105/H105,"0")+IFERROR(Y106/H106,"0")+IFERROR(Y107/H107,"0")+IFERROR(Y108/H108,"0")</f>
        <v>72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1.36656</v>
      </c>
      <c r="AA109" s="64"/>
      <c r="AB109" s="64"/>
      <c r="AC109" s="64"/>
    </row>
    <row r="110" spans="1:68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777.6</v>
      </c>
      <c r="Y110" s="41">
        <f>IFERROR(SUM(Y101:Y108),"0")</f>
        <v>777.6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100.8</v>
      </c>
      <c r="Y215" s="53">
        <f t="shared" ref="Y215:Y229" si="27">IFERROR(IF(X215="",0,CEILING((X215/$H215),1)*$H215),"")</f>
        <v>100.80000000000001</v>
      </c>
      <c r="Z215" s="39">
        <f>IFERROR(IF(Y215=0,"",ROUNDUP(Y215/H215,0)*0.00902),"")</f>
        <v>0.21648000000000001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106.8</v>
      </c>
      <c r="BN215" s="75">
        <f t="shared" ref="BN215:BN229" si="29">IFERROR(Y215*I215/H215,"0")</f>
        <v>106.80000000000001</v>
      </c>
      <c r="BO215" s="75">
        <f t="shared" ref="BO215:BO229" si="30">IFERROR(1/J215*(X215/H215),"0")</f>
        <v>0.18181818181818182</v>
      </c>
      <c r="BP215" s="75">
        <f t="shared" ref="BP215:BP229" si="31">IFERROR(1/J215*(Y215/H215),"0")</f>
        <v>0.18181818181818182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302.39999999999998</v>
      </c>
      <c r="Y217" s="53">
        <f t="shared" si="27"/>
        <v>302.40000000000003</v>
      </c>
      <c r="Z217" s="39">
        <f>IFERROR(IF(Y217=0,"",ROUNDUP(Y217/H217,0)*0.00902),"")</f>
        <v>0.64944000000000002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316.07999999999993</v>
      </c>
      <c r="BN217" s="75">
        <f t="shared" si="29"/>
        <v>316.08</v>
      </c>
      <c r="BO217" s="75">
        <f t="shared" si="30"/>
        <v>0.54545454545454541</v>
      </c>
      <c r="BP217" s="75">
        <f t="shared" si="31"/>
        <v>0.54545454545454541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113.4</v>
      </c>
      <c r="Y226" s="53">
        <f t="shared" si="27"/>
        <v>113.4</v>
      </c>
      <c r="Z226" s="39">
        <f>IFERROR(IF(Y226=0,"",ROUNDUP(Y226/H226,0)*0.00502),"")</f>
        <v>0.27107999999999999</v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118.80000000000001</v>
      </c>
      <c r="BN226" s="75">
        <f t="shared" si="29"/>
        <v>118.80000000000001</v>
      </c>
      <c r="BO226" s="75">
        <f t="shared" si="30"/>
        <v>0.23076923076923078</v>
      </c>
      <c r="BP226" s="75">
        <f t="shared" si="31"/>
        <v>0.23076923076923078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150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150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1.137</v>
      </c>
      <c r="AA230" s="64"/>
      <c r="AB230" s="64"/>
      <c r="AC230" s="64"/>
    </row>
    <row r="231" spans="1:68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516.6</v>
      </c>
      <c r="Y231" s="41">
        <f>IFERROR(SUM(Y215:Y229),"0")</f>
        <v>516.6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324</v>
      </c>
      <c r="Y266" s="53">
        <f t="shared" ref="Y266:Y273" si="38">IFERROR(IF(X266="",0,CEILING((X266/$H266),1)*$H266),"")</f>
        <v>324</v>
      </c>
      <c r="Z266" s="39">
        <f>IFERROR(IF(Y266=0,"",ROUNDUP(Y266/H266,0)*0.00902),"")</f>
        <v>0.54120000000000001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335.4</v>
      </c>
      <c r="BN266" s="75">
        <f t="shared" ref="BN266:BN273" si="40">IFERROR(Y266*I266/H266,"0")</f>
        <v>335.4</v>
      </c>
      <c r="BO266" s="75">
        <f t="shared" ref="BO266:BO273" si="41">IFERROR(1/J266*(X266/H266),"0")</f>
        <v>0.45454545454545453</v>
      </c>
      <c r="BP266" s="75">
        <f t="shared" ref="BP266:BP273" si="42">IFERROR(1/J266*(Y266/H266),"0")</f>
        <v>0.45454545454545453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si="38"/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201.23999999999998</v>
      </c>
      <c r="BN269" s="75">
        <f t="shared" si="40"/>
        <v>201.23999999999998</v>
      </c>
      <c r="BO269" s="75">
        <f t="shared" si="41"/>
        <v>0.27272727272727271</v>
      </c>
      <c r="BP269" s="75">
        <f t="shared" si="42"/>
        <v>0.27272727272727271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168</v>
      </c>
      <c r="Y274" s="41">
        <f>IFERROR(Y266/H266,"0")+IFERROR(Y267/H267,"0")+IFERROR(Y268/H268,"0")+IFERROR(Y269/H269,"0")+IFERROR(Y270/H270,"0")+IFERROR(Y271/H271,"0")+IFERROR(Y272/H272,"0")+IFERROR(Y273/H273,"0")</f>
        <v>168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1.5153600000000003</v>
      </c>
      <c r="AA274" s="64"/>
      <c r="AB274" s="64"/>
      <c r="AC274" s="64"/>
    </row>
    <row r="275" spans="1:68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907.19999999999993</v>
      </c>
      <c r="Y275" s="41">
        <f>IFERROR(SUM(Y266:Y273),"0")</f>
        <v>907.19999999999993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7.8119999999999995E-2</v>
      </c>
      <c r="AA289" s="64"/>
      <c r="AB289" s="64"/>
      <c r="AC289" s="64"/>
    </row>
    <row r="290" spans="1:68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28.8</v>
      </c>
      <c r="Y290" s="41">
        <f>IFERROR(SUM(Y277:Y288),"0")</f>
        <v>28.799999999999997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86.4</v>
      </c>
      <c r="Y333" s="53">
        <f>IFERROR(IF(X333="",0,CEILING((X333/$H333),1)*$H333),"")</f>
        <v>86.399999999999991</v>
      </c>
      <c r="Z333" s="39">
        <f>IFERROR(IF(Y333=0,"",ROUNDUP(Y333/H333,0)*0.00651),"")</f>
        <v>0.23436000000000001</v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92.880000000000024</v>
      </c>
      <c r="BN333" s="75">
        <f>IFERROR(Y333*I333/H333,"0")</f>
        <v>92.88</v>
      </c>
      <c r="BO333" s="75">
        <f>IFERROR(1/J333*(X333/H333),"0")</f>
        <v>0.19780219780219785</v>
      </c>
      <c r="BP333" s="75">
        <f>IFERROR(1/J333*(Y333/H333),"0")</f>
        <v>0.19780219780219782</v>
      </c>
    </row>
    <row r="334" spans="1:68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36.000000000000007</v>
      </c>
      <c r="Y334" s="41">
        <f>IFERROR(Y331/H331,"0")+IFERROR(Y332/H332,"0")+IFERROR(Y333/H333,"0")</f>
        <v>36</v>
      </c>
      <c r="Z334" s="41">
        <f>IFERROR(IF(Z331="",0,Z331),"0")+IFERROR(IF(Z332="",0,Z332),"0")+IFERROR(IF(Z333="",0,Z333),"0")</f>
        <v>0.23436000000000001</v>
      </c>
      <c r="AA334" s="64"/>
      <c r="AB334" s="64"/>
      <c r="AC334" s="64"/>
    </row>
    <row r="335" spans="1:68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86.4</v>
      </c>
      <c r="Y335" s="41">
        <f>IFERROR(SUM(Y331:Y333),"0")</f>
        <v>86.399999999999991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134.4</v>
      </c>
      <c r="Y386" s="53">
        <f>IFERROR(IF(X386="",0,CEILING((X386/$H386),1)*$H386),"")</f>
        <v>134.4</v>
      </c>
      <c r="Z386" s="39">
        <f>IFERROR(IF(Y386=0,"",ROUNDUP(Y386/H386,0)*0.01898),"")</f>
        <v>0.30368000000000001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142.304</v>
      </c>
      <c r="BN386" s="75">
        <f>IFERROR(Y386*I386/H386,"0")</f>
        <v>142.304</v>
      </c>
      <c r="BO386" s="75">
        <f>IFERROR(1/J386*(X386/H386),"0")</f>
        <v>0.25</v>
      </c>
      <c r="BP386" s="75">
        <f>IFERROR(1/J386*(Y386/H386),"0")</f>
        <v>0.25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67.2</v>
      </c>
      <c r="Y388" s="53">
        <f>IFERROR(IF(X388="",0,CEILING((X388/$H388),1)*$H388),"")</f>
        <v>67.2</v>
      </c>
      <c r="Z388" s="39">
        <f>IFERROR(IF(Y388=0,"",ROUNDUP(Y388/H388,0)*0.01898),"")</f>
        <v>0.15184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71.152000000000001</v>
      </c>
      <c r="BN388" s="75">
        <f>IFERROR(Y388*I388/H388,"0")</f>
        <v>71.152000000000001</v>
      </c>
      <c r="BO388" s="75">
        <f>IFERROR(1/J388*(X388/H388),"0")</f>
        <v>0.125</v>
      </c>
      <c r="BP388" s="75">
        <f>IFERROR(1/J388*(Y388/H388),"0")</f>
        <v>0.125</v>
      </c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64</v>
      </c>
      <c r="Y389" s="41">
        <f>IFERROR(Y386/H386,"0")+IFERROR(Y387/H387,"0")+IFERROR(Y388/H388,"0")</f>
        <v>64</v>
      </c>
      <c r="Z389" s="41">
        <f>IFERROR(IF(Z386="",0,Z386),"0")+IFERROR(IF(Z387="",0,Z387),"0")+IFERROR(IF(Z388="",0,Z388),"0")</f>
        <v>1.21472</v>
      </c>
      <c r="AA389" s="64"/>
      <c r="AB389" s="64"/>
      <c r="AC389" s="64"/>
    </row>
    <row r="390" spans="1:68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513.6</v>
      </c>
      <c r="Y390" s="41">
        <f>IFERROR(SUM(Y386:Y388),"0")</f>
        <v>513.6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720</v>
      </c>
      <c r="Y427" s="53">
        <f t="shared" si="68"/>
        <v>720</v>
      </c>
      <c r="Z427" s="39">
        <f>IFERROR(IF(Y427=0,"",ROUNDUP(Y427/H427,0)*0.02175),"")</f>
        <v>1.044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742.56</v>
      </c>
      <c r="BN427" s="75">
        <f t="shared" si="70"/>
        <v>742.56</v>
      </c>
      <c r="BO427" s="75">
        <f t="shared" si="71"/>
        <v>1</v>
      </c>
      <c r="BP427" s="75">
        <f t="shared" si="72"/>
        <v>1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360</v>
      </c>
      <c r="Y428" s="53">
        <f t="shared" si="68"/>
        <v>360</v>
      </c>
      <c r="Z428" s="39">
        <f>IFERROR(IF(Y428=0,"",ROUNDUP(Y428/H428,0)*0.02175),"")</f>
        <v>0.52200000000000002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371.28</v>
      </c>
      <c r="BN428" s="75">
        <f t="shared" si="70"/>
        <v>371.28</v>
      </c>
      <c r="BO428" s="75">
        <f t="shared" si="71"/>
        <v>0.5</v>
      </c>
      <c r="BP428" s="75">
        <f t="shared" si="72"/>
        <v>0.5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810</v>
      </c>
      <c r="Y429" s="53">
        <f t="shared" si="68"/>
        <v>810</v>
      </c>
      <c r="Z429" s="39">
        <f>IFERROR(IF(Y429=0,"",ROUNDUP(Y429/H429,0)*0.02175),"")</f>
        <v>1.1744999999999999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835.38</v>
      </c>
      <c r="BN429" s="75">
        <f t="shared" si="70"/>
        <v>835.38</v>
      </c>
      <c r="BO429" s="75">
        <f t="shared" si="71"/>
        <v>1.125</v>
      </c>
      <c r="BP429" s="75">
        <f t="shared" si="72"/>
        <v>1.125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126</v>
      </c>
      <c r="Y434" s="41">
        <f>IFERROR(Y426/H426,"0")+IFERROR(Y427/H427,"0")+IFERROR(Y428/H428,"0")+IFERROR(Y429/H429,"0")+IFERROR(Y430/H430,"0")+IFERROR(Y431/H431,"0")+IFERROR(Y432/H432,"0")+IFERROR(Y433/H433,"0")</f>
        <v>126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2.7404999999999999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1890</v>
      </c>
      <c r="Y435" s="41">
        <f>IFERROR(SUM(Y426:Y433),"0")</f>
        <v>1890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216</v>
      </c>
      <c r="Y450" s="53">
        <f>IFERROR(IF(X450="",0,CEILING((X450/$H450),1)*$H450),"")</f>
        <v>216</v>
      </c>
      <c r="Z450" s="39">
        <f>IFERROR(IF(Y450=0,"",ROUNDUP(Y450/H450,0)*0.01898),"")</f>
        <v>0.45552000000000004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227.85599999999997</v>
      </c>
      <c r="BN450" s="75">
        <f>IFERROR(Y450*I450/H450,"0")</f>
        <v>227.85599999999997</v>
      </c>
      <c r="BO450" s="75">
        <f>IFERROR(1/J450*(X450/H450),"0")</f>
        <v>0.375</v>
      </c>
      <c r="BP450" s="75">
        <f>IFERROR(1/J450*(Y450/H450),"0")</f>
        <v>0.375</v>
      </c>
    </row>
    <row r="451" spans="1:68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24</v>
      </c>
      <c r="Y451" s="41">
        <f>IFERROR(Y449/H449,"0")+IFERROR(Y450/H450,"0")</f>
        <v>24</v>
      </c>
      <c r="Z451" s="41">
        <f>IFERROR(IF(Z449="",0,Z449),"0")+IFERROR(IF(Z450="",0,Z450),"0")</f>
        <v>0.45552000000000004</v>
      </c>
      <c r="AA451" s="64"/>
      <c r="AB451" s="64"/>
      <c r="AC451" s="64"/>
    </row>
    <row r="452" spans="1:68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216</v>
      </c>
      <c r="Y452" s="41">
        <f>IFERROR(SUM(Y449:Y450),"0")</f>
        <v>216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211.2</v>
      </c>
      <c r="Y504" s="53">
        <f t="shared" si="78"/>
        <v>211.20000000000002</v>
      </c>
      <c r="Z504" s="39">
        <f t="shared" si="79"/>
        <v>0.47839999999999999</v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225.19999999999996</v>
      </c>
      <c r="BN504" s="75">
        <f t="shared" si="81"/>
        <v>225.2</v>
      </c>
      <c r="BO504" s="75">
        <f t="shared" si="82"/>
        <v>0.38461538461538458</v>
      </c>
      <c r="BP504" s="75">
        <f t="shared" si="83"/>
        <v>0.38461538461538464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1">
        <f>IFERROR(Y499/H499,"0")+IFERROR(Y500/H500,"0")+IFERROR(Y501/H501,"0")+IFERROR(Y502/H502,"0")+IFERROR(Y503/H503,"0")+IFERROR(Y504/H504,"0")+IFERROR(Y505/H505,"0")+IFERROR(Y506/H506,"0")+IFERROR(Y507/H507,"0")</f>
        <v>40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4"/>
      <c r="AB508" s="64"/>
      <c r="AC508" s="64"/>
    </row>
    <row r="509" spans="1:68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211.2</v>
      </c>
      <c r="Y509" s="41">
        <f>IFERROR(SUM(Y499:Y507),"0")</f>
        <v>211.20000000000002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42.24</v>
      </c>
      <c r="Y517" s="53">
        <f t="shared" ref="Y517:Y523" si="84">IFERROR(IF(X517="",0,CEILING((X517/$H517),1)*$H517),"")</f>
        <v>42.24</v>
      </c>
      <c r="Z517" s="39">
        <f>IFERROR(IF(Y517=0,"",ROUNDUP(Y517/H517,0)*0.01196),"")</f>
        <v>9.5680000000000001E-2</v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45.04</v>
      </c>
      <c r="BN517" s="75">
        <f t="shared" ref="BN517:BN523" si="86">IFERROR(Y517*I517/H517,"0")</f>
        <v>45.04</v>
      </c>
      <c r="BO517" s="75">
        <f t="shared" ref="BO517:BO523" si="87">IFERROR(1/J517*(X517/H517),"0")</f>
        <v>7.6923076923076927E-2</v>
      </c>
      <c r="BP517" s="75">
        <f t="shared" ref="BP517:BP523" si="88">IFERROR(1/J517*(Y517/H517),"0")</f>
        <v>7.6923076923076927E-2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42.24</v>
      </c>
      <c r="Y518" s="53">
        <f t="shared" si="84"/>
        <v>42.24</v>
      </c>
      <c r="Z518" s="39">
        <f>IFERROR(IF(Y518=0,"",ROUNDUP(Y518/H518,0)*0.01196),"")</f>
        <v>9.5680000000000001E-2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45.04</v>
      </c>
      <c r="BN518" s="75">
        <f t="shared" si="86"/>
        <v>45.04</v>
      </c>
      <c r="BO518" s="75">
        <f t="shared" si="87"/>
        <v>7.6923076923076927E-2</v>
      </c>
      <c r="BP518" s="75">
        <f t="shared" si="88"/>
        <v>7.6923076923076927E-2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84.48</v>
      </c>
      <c r="Y519" s="53">
        <f t="shared" si="84"/>
        <v>84.48</v>
      </c>
      <c r="Z519" s="39">
        <f>IFERROR(IF(Y519=0,"",ROUNDUP(Y519/H519,0)*0.01196),"")</f>
        <v>0.19136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90.08</v>
      </c>
      <c r="BN519" s="75">
        <f t="shared" si="86"/>
        <v>90.08</v>
      </c>
      <c r="BO519" s="75">
        <f t="shared" si="87"/>
        <v>0.15384615384615385</v>
      </c>
      <c r="BP519" s="75">
        <f t="shared" si="88"/>
        <v>0.15384615384615385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32</v>
      </c>
      <c r="Y524" s="41">
        <f>IFERROR(Y517/H517,"0")+IFERROR(Y518/H518,"0")+IFERROR(Y519/H519,"0")+IFERROR(Y520/H520,"0")+IFERROR(Y521/H521,"0")+IFERROR(Y522/H522,"0")+IFERROR(Y523/H523,"0")</f>
        <v>32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0.38272</v>
      </c>
      <c r="AA524" s="64"/>
      <c r="AB524" s="64"/>
      <c r="AC524" s="64"/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168.96</v>
      </c>
      <c r="Y525" s="41">
        <f>IFERROR(SUM(Y517:Y523),"0")</f>
        <v>168.96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7423.5599999999995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7423.5599999999995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7728.5719999999992</v>
      </c>
      <c r="Y555" s="41">
        <f>IFERROR(SUM(BN22:BN551),"0")</f>
        <v>7728.5719999999992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12</v>
      </c>
      <c r="Y556" s="42">
        <f>ROUNDUP(SUM(BP22:BP551),0)</f>
        <v>12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8028.5719999999992</v>
      </c>
      <c r="Y557" s="41">
        <f>GrossWeightTotalR+PalletQtyTotalR*25</f>
        <v>8028.5719999999992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916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916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13.291740000000001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777.6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700.8</v>
      </c>
      <c r="F564" s="50">
        <f>IFERROR(Y85*1,"0")+IFERROR(Y86*1,"0")+IFERROR(Y87*1,"0")+IFERROR(Y88*1,"0")+IFERROR(Y89*1,"0")+IFERROR(Y93*1,"0")+IFERROR(Y94*1,"0")+IFERROR(Y95*1,"0")+IFERROR(Y96*1,"0")</f>
        <v>388.80000000000007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777.6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516.6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935.99999999999989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86.399999999999991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513.6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2346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380.16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0,00"/>
        <filter val="100,80"/>
        <filter val="113,40"/>
        <filter val="12"/>
        <filter val="12,00"/>
        <filter val="126,00"/>
        <filter val="129,60"/>
        <filter val="134,40"/>
        <filter val="150,00"/>
        <filter val="16,00"/>
        <filter val="168,00"/>
        <filter val="168,96"/>
        <filter val="172,80"/>
        <filter val="194,40"/>
        <filter val="211,20"/>
        <filter val="216,00"/>
        <filter val="24,00"/>
        <filter val="240,00"/>
        <filter val="259,20"/>
        <filter val="268,80"/>
        <filter val="28,80"/>
        <filter val="302,40"/>
        <filter val="312,00"/>
        <filter val="32,00"/>
        <filter val="324,00"/>
        <filter val="36,00"/>
        <filter val="360,00"/>
        <filter val="40,00"/>
        <filter val="42,24"/>
        <filter val="441,60"/>
        <filter val="513,60"/>
        <filter val="516,60"/>
        <filter val="64,00"/>
        <filter val="67,20"/>
        <filter val="7 423,56"/>
        <filter val="7 728,57"/>
        <filter val="72,00"/>
        <filter val="720,00"/>
        <filter val="777,60"/>
        <filter val="8 028,57"/>
        <filter val="810,00"/>
        <filter val="84,48"/>
        <filter val="86,40"/>
        <filter val="907,20"/>
        <filter val="916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6:R6 P8:R8 P5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2026-09-30T11:46:22Z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