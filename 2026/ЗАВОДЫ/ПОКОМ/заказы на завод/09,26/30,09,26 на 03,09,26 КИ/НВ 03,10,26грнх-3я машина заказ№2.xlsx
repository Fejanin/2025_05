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4D92F6-E8BF-4D11-9D36-79753B31D2C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Z173" i="2" l="1"/>
  <c r="BN173" i="2"/>
  <c r="X556" i="2"/>
  <c r="Z86" i="2"/>
  <c r="Z38" i="2"/>
  <c r="Z72" i="2"/>
  <c r="BN72" i="2"/>
  <c r="Z120" i="2"/>
  <c r="Z179" i="2"/>
  <c r="Z200" i="2"/>
  <c r="Z217" i="2"/>
  <c r="BN217" i="2"/>
  <c r="Z233" i="2"/>
  <c r="Z256" i="2"/>
  <c r="BN256" i="2"/>
  <c r="Z269" i="2"/>
  <c r="BN269" i="2"/>
  <c r="Z299" i="2"/>
  <c r="BN299" i="2"/>
  <c r="Z374" i="2"/>
  <c r="Z420" i="2"/>
  <c r="BN420" i="2"/>
  <c r="Z427" i="2"/>
  <c r="Z475" i="2"/>
  <c r="Z505" i="2"/>
  <c r="BN505" i="2"/>
  <c r="Z506" i="2"/>
  <c r="BN506" i="2"/>
  <c r="Y25" i="2"/>
  <c r="Z58" i="2"/>
  <c r="BN58" i="2"/>
  <c r="Z143" i="2"/>
  <c r="Z184" i="2"/>
  <c r="BN184" i="2"/>
  <c r="Z205" i="2"/>
  <c r="BN205" i="2"/>
  <c r="Z223" i="2"/>
  <c r="Z354" i="2"/>
  <c r="BN354" i="2"/>
  <c r="Z360" i="2"/>
  <c r="BN360" i="2"/>
  <c r="Z395" i="2"/>
  <c r="Z444" i="2"/>
  <c r="Z446" i="2" s="1"/>
  <c r="Z520" i="2"/>
  <c r="Y109" i="2"/>
  <c r="X558" i="2"/>
  <c r="Z27" i="2"/>
  <c r="BN27" i="2"/>
  <c r="Y32" i="2"/>
  <c r="Z48" i="2"/>
  <c r="BN48" i="2"/>
  <c r="Z49" i="2"/>
  <c r="BN49" i="2"/>
  <c r="Z66" i="2"/>
  <c r="Z78" i="2"/>
  <c r="BN78" i="2"/>
  <c r="Z79" i="2"/>
  <c r="Z113" i="2"/>
  <c r="BN113" i="2"/>
  <c r="Z114" i="2"/>
  <c r="BN114" i="2"/>
  <c r="Z115" i="2"/>
  <c r="BN115" i="2"/>
  <c r="Z133" i="2"/>
  <c r="Z134" i="2" s="1"/>
  <c r="Z151" i="2"/>
  <c r="BN151" i="2"/>
  <c r="Z177" i="2"/>
  <c r="Z180" i="2"/>
  <c r="BN180" i="2"/>
  <c r="BP181" i="2"/>
  <c r="Z189" i="2"/>
  <c r="BN189" i="2"/>
  <c r="Z203" i="2"/>
  <c r="BN203" i="2"/>
  <c r="Z215" i="2"/>
  <c r="BN215" i="2"/>
  <c r="Z221" i="2"/>
  <c r="Z225" i="2"/>
  <c r="BN225" i="2"/>
  <c r="Z226" i="2"/>
  <c r="BN226" i="2"/>
  <c r="Z236" i="2"/>
  <c r="BN236" i="2"/>
  <c r="Z251" i="2"/>
  <c r="Z252" i="2" s="1"/>
  <c r="BP273" i="2"/>
  <c r="Y306" i="2"/>
  <c r="BP324" i="2"/>
  <c r="Z341" i="2"/>
  <c r="BN341" i="2"/>
  <c r="Z342" i="2"/>
  <c r="Z372" i="2"/>
  <c r="Z380" i="2"/>
  <c r="BN380" i="2"/>
  <c r="Z401" i="2"/>
  <c r="Z432" i="2"/>
  <c r="BN432" i="2"/>
  <c r="BP433" i="2"/>
  <c r="Z481" i="2"/>
  <c r="Z493" i="2"/>
  <c r="BN493" i="2"/>
  <c r="Y495" i="2"/>
  <c r="Z522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X555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Y389" i="2"/>
  <c r="BN386" i="2"/>
  <c r="Z386" i="2"/>
  <c r="BP388" i="2"/>
  <c r="BN388" i="2"/>
  <c r="Z388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BP101" i="2"/>
  <c r="Z81" i="2" l="1"/>
  <c r="Z355" i="2"/>
  <c r="Z258" i="2"/>
  <c r="Z396" i="2"/>
  <c r="Z457" i="2"/>
  <c r="Z124" i="2"/>
  <c r="Z478" i="2"/>
  <c r="Z144" i="2"/>
  <c r="Z51" i="2"/>
  <c r="Z248" i="2"/>
  <c r="Z343" i="2"/>
  <c r="Z139" i="2"/>
  <c r="Z483" i="2"/>
  <c r="Z117" i="2"/>
  <c r="X557" i="2"/>
  <c r="Z230" i="2"/>
  <c r="Z191" i="2"/>
  <c r="Z207" i="2"/>
  <c r="Z389" i="2"/>
  <c r="Z451" i="2"/>
  <c r="Z75" i="2"/>
  <c r="Z185" i="2"/>
  <c r="Z524" i="2"/>
  <c r="Z154" i="2"/>
  <c r="Z305" i="2"/>
  <c r="Z62" i="2"/>
  <c r="Y554" i="2"/>
  <c r="Z289" i="2"/>
  <c r="Z242" i="2"/>
  <c r="Y555" i="2"/>
  <c r="Z376" i="2"/>
  <c r="Z32" i="2"/>
  <c r="Z514" i="2"/>
  <c r="Z334" i="2"/>
  <c r="Z97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<sst xmlns="http://schemas.openxmlformats.org/spreadsheetml/2006/main" count="4298" uniqueCount="916">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</sst>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915</v>
      </c>
      <c r="I5" s="648"/>
      <c r="J5" s="648"/>
      <c r="K5" s="648"/>
      <c r="L5" s="648"/>
      <c r="M5" s="648"/>
      <c r="N5" s="69"/>
      <c r="P5" s="26" t="s">
        <v>4</v>
      </c>
      <c r="Q5" s="650">
        <v>46298</v>
      </c>
      <c r="R5" s="651"/>
      <c r="T5" s="652" t="s">
        <v>3</v>
      </c>
      <c r="U5" s="653"/>
      <c r="V5" s="654" t="s">
        <v>875</v>
      </c>
      <c r="W5" s="655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6" t="s">
        <v>891</v>
      </c>
      <c r="E6" s="656"/>
      <c r="F6" s="656"/>
      <c r="G6" s="656"/>
      <c r="H6" s="656"/>
      <c r="I6" s="656"/>
      <c r="J6" s="656"/>
      <c r="K6" s="656"/>
      <c r="L6" s="656"/>
      <c r="M6" s="656"/>
      <c r="N6" s="70"/>
      <c r="P6" s="26" t="s">
        <v>27</v>
      </c>
      <c r="Q6" s="657" t="str">
        <f>IF(Q5=0," ",CHOOSE(WEEKDAY(Q5,2),"Понедельник","Вторник","Среда","Четверг","Пятница","Суббота","Воскресенье"))</f>
        <v>Суббота</v>
      </c>
      <c r="R6" s="657"/>
      <c r="T6" s="658" t="s">
        <v>5</v>
      </c>
      <c r="U6" s="659"/>
      <c r="V6" s="660" t="s">
        <v>70</v>
      </c>
      <c r="W6" s="66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6" t="str">
        <f>IFERROR(VLOOKUP(DeliveryAddress,Table,3,0),1)</f>
        <v>6</v>
      </c>
      <c r="E7" s="667"/>
      <c r="F7" s="667"/>
      <c r="G7" s="667"/>
      <c r="H7" s="667"/>
      <c r="I7" s="667"/>
      <c r="J7" s="667"/>
      <c r="K7" s="667"/>
      <c r="L7" s="667"/>
      <c r="M7" s="668"/>
      <c r="N7" s="71"/>
      <c r="P7" s="26"/>
      <c r="Q7" s="46"/>
      <c r="R7" s="46"/>
      <c r="T7" s="658"/>
      <c r="U7" s="659"/>
      <c r="V7" s="662"/>
      <c r="W7" s="663"/>
      <c r="AB7" s="57"/>
      <c r="AC7" s="57"/>
      <c r="AD7" s="57"/>
      <c r="AE7" s="57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2"/>
      <c r="P8" s="26" t="s">
        <v>11</v>
      </c>
      <c r="Q8" s="671">
        <v>0.45833333333333331</v>
      </c>
      <c r="R8" s="672"/>
      <c r="T8" s="658"/>
      <c r="U8" s="659"/>
      <c r="V8" s="662"/>
      <c r="W8" s="663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>
        <v>46301</v>
      </c>
      <c r="R9" s="677"/>
      <c r="T9" s="658"/>
      <c r="U9" s="659"/>
      <c r="V9" s="664"/>
      <c r="W9" s="66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>
        <v>0.54166666666666663</v>
      </c>
      <c r="R10" s="679"/>
      <c r="U10" s="26" t="s">
        <v>12</v>
      </c>
      <c r="V10" s="680" t="s">
        <v>71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55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72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1"/>
      <c r="R12" s="671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73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74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75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61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59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66</v>
      </c>
      <c r="L17" s="691" t="s">
        <v>64</v>
      </c>
      <c r="M17" s="691" t="s">
        <v>2</v>
      </c>
      <c r="N17" s="691" t="s">
        <v>63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56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60</v>
      </c>
      <c r="AB17" s="705" t="s">
        <v>19</v>
      </c>
      <c r="AC17" s="705" t="s">
        <v>65</v>
      </c>
      <c r="AD17" s="707" t="s">
        <v>57</v>
      </c>
      <c r="AE17" s="708"/>
      <c r="AF17" s="709"/>
      <c r="AG17" s="77"/>
      <c r="BD17" s="76" t="s">
        <v>62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76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76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77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86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104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86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120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121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122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4" t="s">
        <v>137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122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89.6</v>
      </c>
      <c r="Y55" s="53">
        <f t="shared" ref="Y55:Y61" si="0">IFERROR(IF(X55="",0,CEILING((X55/$H55),1)*$H55),"")</f>
        <v>89.6</v>
      </c>
      <c r="Z55" s="39">
        <f>IFERROR(IF(Y55=0,"",ROUNDUP(Y55/H55,0)*0.01898),"")</f>
        <v>0.15184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92.88</v>
      </c>
      <c r="BN55" s="75">
        <f t="shared" ref="BN55:BN61" si="2">IFERROR(Y55*I55/H55,"0")</f>
        <v>92.88</v>
      </c>
      <c r="BO55" s="75">
        <f t="shared" ref="BO55:BO61" si="3">IFERROR(1/J55*(X55/H55),"0")</f>
        <v>0.125</v>
      </c>
      <c r="BP55" s="75">
        <f t="shared" ref="BP55:BP61" si="4">IFERROR(1/J55*(Y55/H55),"0")</f>
        <v>0.125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8</v>
      </c>
      <c r="Y62" s="41">
        <f>IFERROR(Y55/H55,"0")+IFERROR(Y56/H56,"0")+IFERROR(Y57/H57,"0")+IFERROR(Y58/H58,"0")+IFERROR(Y59/H59,"0")+IFERROR(Y60/H60,"0")+IFERROR(Y61/H61,"0")</f>
        <v>8</v>
      </c>
      <c r="Z62" s="41">
        <f>IFERROR(IF(Z55="",0,Z55),"0")+IFERROR(IF(Z56="",0,Z56),"0")+IFERROR(IF(Z57="",0,Z57),"0")+IFERROR(IF(Z58="",0,Z58),"0")+IFERROR(IF(Z59="",0,Z59),"0")+IFERROR(IF(Z60="",0,Z60),"0")+IFERROR(IF(Z61="",0,Z61),"0")</f>
        <v>0.15184</v>
      </c>
      <c r="AA62" s="64"/>
      <c r="AB62" s="64"/>
      <c r="AC62" s="64"/>
    </row>
    <row r="63" spans="1:68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89.6</v>
      </c>
      <c r="Y63" s="41">
        <f>IFERROR(SUM(Y55:Y61),"0")</f>
        <v>89.6</v>
      </c>
      <c r="Z63" s="40"/>
      <c r="AA63" s="64"/>
      <c r="AB63" s="64"/>
      <c r="AC63" s="64"/>
    </row>
    <row r="64" spans="1:68" ht="14.25" hidden="1" customHeight="1" x14ac:dyDescent="0.25">
      <c r="A64" s="715" t="s">
        <v>157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86.4</v>
      </c>
      <c r="Y65" s="53">
        <f>IFERROR(IF(X65="",0,CEILING((X65/$H65),1)*$H65),"")</f>
        <v>86.4</v>
      </c>
      <c r="Z65" s="39">
        <f>IFERROR(IF(Y65=0,"",ROUNDUP(Y65/H65,0)*0.01898),"")</f>
        <v>0.15184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89.68</v>
      </c>
      <c r="BN65" s="75">
        <f>IFERROR(Y65*I65/H65,"0")</f>
        <v>89.68</v>
      </c>
      <c r="BO65" s="75">
        <f>IFERROR(1/J65*(X65/H65),"0")</f>
        <v>0.125</v>
      </c>
      <c r="BP65" s="75">
        <f>IFERROR(1/J65*(Y65/H65),"0")</f>
        <v>0.125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8</v>
      </c>
      <c r="Y69" s="41">
        <f>IFERROR(Y65/H65,"0")+IFERROR(Y66/H66,"0")+IFERROR(Y67/H67,"0")+IFERROR(Y68/H68,"0")</f>
        <v>8</v>
      </c>
      <c r="Z69" s="41">
        <f>IFERROR(IF(Z65="",0,Z65),"0")+IFERROR(IF(Z66="",0,Z66),"0")+IFERROR(IF(Z67="",0,Z67),"0")+IFERROR(IF(Z68="",0,Z68),"0")</f>
        <v>0.15184</v>
      </c>
      <c r="AA69" s="64"/>
      <c r="AB69" s="64"/>
      <c r="AC69" s="64"/>
    </row>
    <row r="70" spans="1:68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86.4</v>
      </c>
      <c r="Y70" s="41">
        <f>IFERROR(SUM(Y65:Y68),"0")</f>
        <v>86.4</v>
      </c>
      <c r="Z70" s="40"/>
      <c r="AA70" s="64"/>
      <c r="AB70" s="64"/>
      <c r="AC70" s="64"/>
    </row>
    <row r="71" spans="1:68" ht="14.25" hidden="1" customHeight="1" x14ac:dyDescent="0.25">
      <c r="A71" s="715" t="s">
        <v>86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175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183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122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86.4</v>
      </c>
      <c r="Y85" s="53">
        <f>IFERROR(IF(X85="",0,CEILING((X85/$H85),1)*$H85),"")</f>
        <v>86.4</v>
      </c>
      <c r="Z85" s="39">
        <f>IFERROR(IF(Y85=0,"",ROUNDUP(Y85/H85,0)*0.01898),"")</f>
        <v>0.15184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89.68</v>
      </c>
      <c r="BN85" s="75">
        <f>IFERROR(Y85*I85/H85,"0")</f>
        <v>89.68</v>
      </c>
      <c r="BO85" s="75">
        <f>IFERROR(1/J85*(X85/H85),"0")</f>
        <v>0.125</v>
      </c>
      <c r="BP85" s="75">
        <f>IFERROR(1/J85*(Y85/H85),"0")</f>
        <v>0.125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24"/>
      <c r="B90" s="724"/>
      <c r="C90" s="724"/>
      <c r="D90" s="724"/>
      <c r="E90" s="724"/>
      <c r="F90" s="724"/>
      <c r="G90" s="724"/>
      <c r="H90" s="724"/>
      <c r="I90" s="724"/>
      <c r="J90" s="724"/>
      <c r="K90" s="724"/>
      <c r="L90" s="724"/>
      <c r="M90" s="724"/>
      <c r="N90" s="724"/>
      <c r="O90" s="725"/>
      <c r="P90" s="721" t="s">
        <v>40</v>
      </c>
      <c r="Q90" s="722"/>
      <c r="R90" s="722"/>
      <c r="S90" s="722"/>
      <c r="T90" s="722"/>
      <c r="U90" s="722"/>
      <c r="V90" s="723"/>
      <c r="W90" s="40" t="s">
        <v>39</v>
      </c>
      <c r="X90" s="41">
        <f>IFERROR(X85/H85,"0")+IFERROR(X86/H86,"0")+IFERROR(X87/H87,"0")+IFERROR(X88/H88,"0")+IFERROR(X89/H89,"0")</f>
        <v>8</v>
      </c>
      <c r="Y90" s="41">
        <f>IFERROR(Y85/H85,"0")+IFERROR(Y86/H86,"0")+IFERROR(Y87/H87,"0")+IFERROR(Y88/H88,"0")+IFERROR(Y89/H89,"0")</f>
        <v>8</v>
      </c>
      <c r="Z90" s="41">
        <f>IFERROR(IF(Z85="",0,Z85),"0")+IFERROR(IF(Z86="",0,Z86),"0")+IFERROR(IF(Z87="",0,Z87),"0")+IFERROR(IF(Z88="",0,Z88),"0")+IFERROR(IF(Z89="",0,Z89),"0")</f>
        <v>0.15184</v>
      </c>
      <c r="AA90" s="64"/>
      <c r="AB90" s="64"/>
      <c r="AC90" s="64"/>
    </row>
    <row r="91" spans="1:68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0</v>
      </c>
      <c r="X91" s="41">
        <f>IFERROR(SUM(X85:X89),"0")</f>
        <v>86.4</v>
      </c>
      <c r="Y91" s="41">
        <f>IFERROR(SUM(Y85:Y89),"0")</f>
        <v>86.4</v>
      </c>
      <c r="Z91" s="40"/>
      <c r="AA91" s="64"/>
      <c r="AB91" s="64"/>
      <c r="AC91" s="64"/>
    </row>
    <row r="92" spans="1:68" ht="14.25" hidden="1" customHeight="1" x14ac:dyDescent="0.25">
      <c r="A92" s="715" t="s">
        <v>86</v>
      </c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5"/>
      <c r="P92" s="715"/>
      <c r="Q92" s="715"/>
      <c r="R92" s="715"/>
      <c r="S92" s="715"/>
      <c r="T92" s="715"/>
      <c r="U92" s="715"/>
      <c r="V92" s="715"/>
      <c r="W92" s="715"/>
      <c r="X92" s="715"/>
      <c r="Y92" s="715"/>
      <c r="Z92" s="715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716">
        <v>4607091386967</v>
      </c>
      <c r="E93" s="716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8"/>
      <c r="R93" s="718"/>
      <c r="S93" s="718"/>
      <c r="T93" s="719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6">
        <v>4680115884953</v>
      </c>
      <c r="E94" s="716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6">
        <v>4607091385731</v>
      </c>
      <c r="E95" s="716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6">
        <v>4680115880894</v>
      </c>
      <c r="E96" s="716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724"/>
      <c r="B97" s="724"/>
      <c r="C97" s="724"/>
      <c r="D97" s="724"/>
      <c r="E97" s="724"/>
      <c r="F97" s="724"/>
      <c r="G97" s="724"/>
      <c r="H97" s="724"/>
      <c r="I97" s="724"/>
      <c r="J97" s="724"/>
      <c r="K97" s="724"/>
      <c r="L97" s="724"/>
      <c r="M97" s="724"/>
      <c r="N97" s="724"/>
      <c r="O97" s="725"/>
      <c r="P97" s="721" t="s">
        <v>40</v>
      </c>
      <c r="Q97" s="722"/>
      <c r="R97" s="722"/>
      <c r="S97" s="722"/>
      <c r="T97" s="722"/>
      <c r="U97" s="722"/>
      <c r="V97" s="723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714" t="s">
        <v>206</v>
      </c>
      <c r="B99" s="714"/>
      <c r="C99" s="714"/>
      <c r="D99" s="714"/>
      <c r="E99" s="714"/>
      <c r="F99" s="714"/>
      <c r="G99" s="714"/>
      <c r="H99" s="714"/>
      <c r="I99" s="714"/>
      <c r="J99" s="714"/>
      <c r="K99" s="714"/>
      <c r="L99" s="714"/>
      <c r="M99" s="714"/>
      <c r="N99" s="714"/>
      <c r="O99" s="714"/>
      <c r="P99" s="714"/>
      <c r="Q99" s="714"/>
      <c r="R99" s="714"/>
      <c r="S99" s="714"/>
      <c r="T99" s="714"/>
      <c r="U99" s="714"/>
      <c r="V99" s="714"/>
      <c r="W99" s="714"/>
      <c r="X99" s="714"/>
      <c r="Y99" s="714"/>
      <c r="Z99" s="714"/>
      <c r="AA99" s="62"/>
      <c r="AB99" s="62"/>
      <c r="AC99" s="62"/>
    </row>
    <row r="100" spans="1:68" ht="14.25" hidden="1" customHeight="1" x14ac:dyDescent="0.25">
      <c r="A100" s="715" t="s">
        <v>122</v>
      </c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5"/>
      <c r="P100" s="715"/>
      <c r="Q100" s="715"/>
      <c r="R100" s="715"/>
      <c r="S100" s="715"/>
      <c r="T100" s="715"/>
      <c r="U100" s="715"/>
      <c r="V100" s="715"/>
      <c r="W100" s="715"/>
      <c r="X100" s="715"/>
      <c r="Y100" s="715"/>
      <c r="Z100" s="715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716">
        <v>4680115882133</v>
      </c>
      <c r="E101" s="716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8"/>
      <c r="R101" s="718"/>
      <c r="S101" s="718"/>
      <c r="T101" s="719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6">
        <v>4680115889477</v>
      </c>
      <c r="E108" s="716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8"/>
      <c r="R108" s="718"/>
      <c r="S108" s="718"/>
      <c r="T108" s="71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24"/>
      <c r="B110" s="724"/>
      <c r="C110" s="724"/>
      <c r="D110" s="724"/>
      <c r="E110" s="724"/>
      <c r="F110" s="724"/>
      <c r="G110" s="724"/>
      <c r="H110" s="724"/>
      <c r="I110" s="724"/>
      <c r="J110" s="724"/>
      <c r="K110" s="724"/>
      <c r="L110" s="724"/>
      <c r="M110" s="724"/>
      <c r="N110" s="724"/>
      <c r="O110" s="725"/>
      <c r="P110" s="721" t="s">
        <v>40</v>
      </c>
      <c r="Q110" s="722"/>
      <c r="R110" s="722"/>
      <c r="S110" s="722"/>
      <c r="T110" s="722"/>
      <c r="U110" s="722"/>
      <c r="V110" s="723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15" t="s">
        <v>157</v>
      </c>
      <c r="B111" s="715"/>
      <c r="C111" s="715"/>
      <c r="D111" s="715"/>
      <c r="E111" s="715"/>
      <c r="F111" s="715"/>
      <c r="G111" s="715"/>
      <c r="H111" s="715"/>
      <c r="I111" s="715"/>
      <c r="J111" s="715"/>
      <c r="K111" s="715"/>
      <c r="L111" s="715"/>
      <c r="M111" s="715"/>
      <c r="N111" s="715"/>
      <c r="O111" s="715"/>
      <c r="P111" s="715"/>
      <c r="Q111" s="715"/>
      <c r="R111" s="715"/>
      <c r="S111" s="715"/>
      <c r="T111" s="715"/>
      <c r="U111" s="715"/>
      <c r="V111" s="715"/>
      <c r="W111" s="715"/>
      <c r="X111" s="715"/>
      <c r="Y111" s="715"/>
      <c r="Z111" s="715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6">
        <v>4680115881488</v>
      </c>
      <c r="E112" s="71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6">
        <v>4680115887664</v>
      </c>
      <c r="E113" s="71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6">
        <v>4680115887664</v>
      </c>
      <c r="E114" s="71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6">
        <v>4680115882775</v>
      </c>
      <c r="E115" s="71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6">
        <v>4680115880658</v>
      </c>
      <c r="E116" s="71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8"/>
      <c r="R116" s="718"/>
      <c r="S116" s="718"/>
      <c r="T116" s="71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4"/>
      <c r="B118" s="724"/>
      <c r="C118" s="724"/>
      <c r="D118" s="724"/>
      <c r="E118" s="724"/>
      <c r="F118" s="724"/>
      <c r="G118" s="724"/>
      <c r="H118" s="724"/>
      <c r="I118" s="724"/>
      <c r="J118" s="724"/>
      <c r="K118" s="724"/>
      <c r="L118" s="724"/>
      <c r="M118" s="724"/>
      <c r="N118" s="724"/>
      <c r="O118" s="725"/>
      <c r="P118" s="721" t="s">
        <v>40</v>
      </c>
      <c r="Q118" s="722"/>
      <c r="R118" s="722"/>
      <c r="S118" s="722"/>
      <c r="T118" s="722"/>
      <c r="U118" s="722"/>
      <c r="V118" s="723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5" t="s">
        <v>86</v>
      </c>
      <c r="B119" s="715"/>
      <c r="C119" s="715"/>
      <c r="D119" s="715"/>
      <c r="E119" s="715"/>
      <c r="F119" s="715"/>
      <c r="G119" s="715"/>
      <c r="H119" s="715"/>
      <c r="I119" s="715"/>
      <c r="J119" s="715"/>
      <c r="K119" s="715"/>
      <c r="L119" s="715"/>
      <c r="M119" s="715"/>
      <c r="N119" s="715"/>
      <c r="O119" s="715"/>
      <c r="P119" s="715"/>
      <c r="Q119" s="715"/>
      <c r="R119" s="715"/>
      <c r="S119" s="715"/>
      <c r="T119" s="715"/>
      <c r="U119" s="715"/>
      <c r="V119" s="715"/>
      <c r="W119" s="715"/>
      <c r="X119" s="715"/>
      <c r="Y119" s="715"/>
      <c r="Z119" s="715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716">
        <v>4607091385168</v>
      </c>
      <c r="E120" s="71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6">
        <v>4607091383256</v>
      </c>
      <c r="E121" s="71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6">
        <v>4607091385748</v>
      </c>
      <c r="E122" s="71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6">
        <v>4680115884533</v>
      </c>
      <c r="E123" s="71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8"/>
      <c r="R123" s="718"/>
      <c r="S123" s="718"/>
      <c r="T123" s="71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24"/>
      <c r="B125" s="724"/>
      <c r="C125" s="724"/>
      <c r="D125" s="724"/>
      <c r="E125" s="724"/>
      <c r="F125" s="724"/>
      <c r="G125" s="724"/>
      <c r="H125" s="724"/>
      <c r="I125" s="724"/>
      <c r="J125" s="724"/>
      <c r="K125" s="724"/>
      <c r="L125" s="724"/>
      <c r="M125" s="724"/>
      <c r="N125" s="724"/>
      <c r="O125" s="725"/>
      <c r="P125" s="721" t="s">
        <v>40</v>
      </c>
      <c r="Q125" s="722"/>
      <c r="R125" s="722"/>
      <c r="S125" s="722"/>
      <c r="T125" s="722"/>
      <c r="U125" s="722"/>
      <c r="V125" s="723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15" t="s">
        <v>175</v>
      </c>
      <c r="B126" s="715"/>
      <c r="C126" s="715"/>
      <c r="D126" s="715"/>
      <c r="E126" s="715"/>
      <c r="F126" s="715"/>
      <c r="G126" s="715"/>
      <c r="H126" s="715"/>
      <c r="I126" s="715"/>
      <c r="J126" s="715"/>
      <c r="K126" s="715"/>
      <c r="L126" s="715"/>
      <c r="M126" s="715"/>
      <c r="N126" s="715"/>
      <c r="O126" s="715"/>
      <c r="P126" s="715"/>
      <c r="Q126" s="715"/>
      <c r="R126" s="715"/>
      <c r="S126" s="715"/>
      <c r="T126" s="715"/>
      <c r="U126" s="715"/>
      <c r="V126" s="715"/>
      <c r="W126" s="715"/>
      <c r="X126" s="715"/>
      <c r="Y126" s="715"/>
      <c r="Z126" s="715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6">
        <v>4680115880238</v>
      </c>
      <c r="E127" s="71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8"/>
      <c r="R127" s="718"/>
      <c r="S127" s="718"/>
      <c r="T127" s="71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4"/>
      <c r="B129" s="724"/>
      <c r="C129" s="724"/>
      <c r="D129" s="724"/>
      <c r="E129" s="724"/>
      <c r="F129" s="724"/>
      <c r="G129" s="724"/>
      <c r="H129" s="724"/>
      <c r="I129" s="724"/>
      <c r="J129" s="724"/>
      <c r="K129" s="724"/>
      <c r="L129" s="724"/>
      <c r="M129" s="724"/>
      <c r="N129" s="724"/>
      <c r="O129" s="725"/>
      <c r="P129" s="721" t="s">
        <v>40</v>
      </c>
      <c r="Q129" s="722"/>
      <c r="R129" s="722"/>
      <c r="S129" s="722"/>
      <c r="T129" s="722"/>
      <c r="U129" s="722"/>
      <c r="V129" s="723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4" t="s">
        <v>250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2"/>
      <c r="AB130" s="62"/>
      <c r="AC130" s="62"/>
    </row>
    <row r="131" spans="1:68" ht="14.25" hidden="1" customHeight="1" x14ac:dyDescent="0.25">
      <c r="A131" s="715" t="s">
        <v>122</v>
      </c>
      <c r="B131" s="715"/>
      <c r="C131" s="715"/>
      <c r="D131" s="715"/>
      <c r="E131" s="715"/>
      <c r="F131" s="715"/>
      <c r="G131" s="715"/>
      <c r="H131" s="715"/>
      <c r="I131" s="715"/>
      <c r="J131" s="715"/>
      <c r="K131" s="715"/>
      <c r="L131" s="715"/>
      <c r="M131" s="715"/>
      <c r="N131" s="715"/>
      <c r="O131" s="715"/>
      <c r="P131" s="715"/>
      <c r="Q131" s="715"/>
      <c r="R131" s="715"/>
      <c r="S131" s="715"/>
      <c r="T131" s="715"/>
      <c r="U131" s="715"/>
      <c r="V131" s="715"/>
      <c r="W131" s="715"/>
      <c r="X131" s="715"/>
      <c r="Y131" s="715"/>
      <c r="Z131" s="715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6">
        <v>4680115882577</v>
      </c>
      <c r="E133" s="716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8"/>
      <c r="R133" s="718"/>
      <c r="S133" s="718"/>
      <c r="T133" s="71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4"/>
      <c r="B135" s="724"/>
      <c r="C135" s="724"/>
      <c r="D135" s="724"/>
      <c r="E135" s="724"/>
      <c r="F135" s="724"/>
      <c r="G135" s="724"/>
      <c r="H135" s="724"/>
      <c r="I135" s="724"/>
      <c r="J135" s="724"/>
      <c r="K135" s="724"/>
      <c r="L135" s="724"/>
      <c r="M135" s="724"/>
      <c r="N135" s="724"/>
      <c r="O135" s="725"/>
      <c r="P135" s="721" t="s">
        <v>40</v>
      </c>
      <c r="Q135" s="722"/>
      <c r="R135" s="722"/>
      <c r="S135" s="722"/>
      <c r="T135" s="722"/>
      <c r="U135" s="722"/>
      <c r="V135" s="723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5" t="s">
        <v>77</v>
      </c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5"/>
      <c r="P136" s="715"/>
      <c r="Q136" s="715"/>
      <c r="R136" s="715"/>
      <c r="S136" s="715"/>
      <c r="T136" s="715"/>
      <c r="U136" s="715"/>
      <c r="V136" s="715"/>
      <c r="W136" s="715"/>
      <c r="X136" s="715"/>
      <c r="Y136" s="715"/>
      <c r="Z136" s="715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6">
        <v>4680115883444</v>
      </c>
      <c r="E138" s="716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8"/>
      <c r="R138" s="718"/>
      <c r="S138" s="718"/>
      <c r="T138" s="719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4"/>
      <c r="B140" s="724"/>
      <c r="C140" s="724"/>
      <c r="D140" s="724"/>
      <c r="E140" s="724"/>
      <c r="F140" s="724"/>
      <c r="G140" s="724"/>
      <c r="H140" s="724"/>
      <c r="I140" s="724"/>
      <c r="J140" s="724"/>
      <c r="K140" s="724"/>
      <c r="L140" s="724"/>
      <c r="M140" s="724"/>
      <c r="N140" s="724"/>
      <c r="O140" s="725"/>
      <c r="P140" s="721" t="s">
        <v>40</v>
      </c>
      <c r="Q140" s="722"/>
      <c r="R140" s="722"/>
      <c r="S140" s="722"/>
      <c r="T140" s="722"/>
      <c r="U140" s="722"/>
      <c r="V140" s="723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5" t="s">
        <v>86</v>
      </c>
      <c r="B141" s="715"/>
      <c r="C141" s="715"/>
      <c r="D141" s="715"/>
      <c r="E141" s="715"/>
      <c r="F141" s="715"/>
      <c r="G141" s="715"/>
      <c r="H141" s="715"/>
      <c r="I141" s="715"/>
      <c r="J141" s="715"/>
      <c r="K141" s="715"/>
      <c r="L141" s="715"/>
      <c r="M141" s="715"/>
      <c r="N141" s="715"/>
      <c r="O141" s="715"/>
      <c r="P141" s="715"/>
      <c r="Q141" s="715"/>
      <c r="R141" s="715"/>
      <c r="S141" s="715"/>
      <c r="T141" s="715"/>
      <c r="U141" s="715"/>
      <c r="V141" s="715"/>
      <c r="W141" s="715"/>
      <c r="X141" s="715"/>
      <c r="Y141" s="715"/>
      <c r="Z141" s="715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6">
        <v>4680115882584</v>
      </c>
      <c r="E143" s="71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8"/>
      <c r="R143" s="718"/>
      <c r="S143" s="718"/>
      <c r="T143" s="719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4"/>
      <c r="B145" s="724"/>
      <c r="C145" s="724"/>
      <c r="D145" s="724"/>
      <c r="E145" s="724"/>
      <c r="F145" s="724"/>
      <c r="G145" s="724"/>
      <c r="H145" s="724"/>
      <c r="I145" s="724"/>
      <c r="J145" s="724"/>
      <c r="K145" s="724"/>
      <c r="L145" s="724"/>
      <c r="M145" s="724"/>
      <c r="N145" s="724"/>
      <c r="O145" s="725"/>
      <c r="P145" s="721" t="s">
        <v>40</v>
      </c>
      <c r="Q145" s="722"/>
      <c r="R145" s="722"/>
      <c r="S145" s="722"/>
      <c r="T145" s="722"/>
      <c r="U145" s="722"/>
      <c r="V145" s="723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4" t="s">
        <v>263</v>
      </c>
      <c r="B146" s="714"/>
      <c r="C146" s="714"/>
      <c r="D146" s="714"/>
      <c r="E146" s="714"/>
      <c r="F146" s="714"/>
      <c r="G146" s="714"/>
      <c r="H146" s="714"/>
      <c r="I146" s="714"/>
      <c r="J146" s="714"/>
      <c r="K146" s="714"/>
      <c r="L146" s="714"/>
      <c r="M146" s="714"/>
      <c r="N146" s="714"/>
      <c r="O146" s="714"/>
      <c r="P146" s="714"/>
      <c r="Q146" s="714"/>
      <c r="R146" s="714"/>
      <c r="S146" s="714"/>
      <c r="T146" s="714"/>
      <c r="U146" s="714"/>
      <c r="V146" s="714"/>
      <c r="W146" s="714"/>
      <c r="X146" s="714"/>
      <c r="Y146" s="714"/>
      <c r="Z146" s="714"/>
      <c r="AA146" s="62"/>
      <c r="AB146" s="62"/>
      <c r="AC146" s="62"/>
    </row>
    <row r="147" spans="1:68" ht="14.25" hidden="1" customHeight="1" x14ac:dyDescent="0.25">
      <c r="A147" s="715" t="s">
        <v>86</v>
      </c>
      <c r="B147" s="715"/>
      <c r="C147" s="715"/>
      <c r="D147" s="715"/>
      <c r="E147" s="715"/>
      <c r="F147" s="715"/>
      <c r="G147" s="715"/>
      <c r="H147" s="715"/>
      <c r="I147" s="715"/>
      <c r="J147" s="715"/>
      <c r="K147" s="715"/>
      <c r="L147" s="715"/>
      <c r="M147" s="715"/>
      <c r="N147" s="715"/>
      <c r="O147" s="715"/>
      <c r="P147" s="715"/>
      <c r="Q147" s="715"/>
      <c r="R147" s="715"/>
      <c r="S147" s="715"/>
      <c r="T147" s="715"/>
      <c r="U147" s="715"/>
      <c r="V147" s="715"/>
      <c r="W147" s="715"/>
      <c r="X147" s="715"/>
      <c r="Y147" s="715"/>
      <c r="Z147" s="715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6">
        <v>4680115888203</v>
      </c>
      <c r="E148" s="716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6">
        <v>4680115888180</v>
      </c>
      <c r="E149" s="71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6">
        <v>4680115888180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6">
        <v>4680115888197</v>
      </c>
      <c r="E151" s="716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6">
        <v>4680115888210</v>
      </c>
      <c r="E152" s="71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6">
        <v>4680115888210</v>
      </c>
      <c r="E153" s="716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8"/>
      <c r="R153" s="718"/>
      <c r="S153" s="718"/>
      <c r="T153" s="719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4"/>
      <c r="B155" s="724"/>
      <c r="C155" s="724"/>
      <c r="D155" s="724"/>
      <c r="E155" s="724"/>
      <c r="F155" s="724"/>
      <c r="G155" s="724"/>
      <c r="H155" s="724"/>
      <c r="I155" s="724"/>
      <c r="J155" s="724"/>
      <c r="K155" s="724"/>
      <c r="L155" s="724"/>
      <c r="M155" s="724"/>
      <c r="N155" s="724"/>
      <c r="O155" s="725"/>
      <c r="P155" s="721" t="s">
        <v>40</v>
      </c>
      <c r="Q155" s="722"/>
      <c r="R155" s="722"/>
      <c r="S155" s="722"/>
      <c r="T155" s="722"/>
      <c r="U155" s="722"/>
      <c r="V155" s="723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5" t="s">
        <v>278</v>
      </c>
      <c r="B156" s="715"/>
      <c r="C156" s="715"/>
      <c r="D156" s="715"/>
      <c r="E156" s="715"/>
      <c r="F156" s="715"/>
      <c r="G156" s="715"/>
      <c r="H156" s="715"/>
      <c r="I156" s="715"/>
      <c r="J156" s="715"/>
      <c r="K156" s="715"/>
      <c r="L156" s="715"/>
      <c r="M156" s="715"/>
      <c r="N156" s="715"/>
      <c r="O156" s="715"/>
      <c r="P156" s="715"/>
      <c r="Q156" s="715"/>
      <c r="R156" s="715"/>
      <c r="S156" s="715"/>
      <c r="T156" s="715"/>
      <c r="U156" s="715"/>
      <c r="V156" s="715"/>
      <c r="W156" s="715"/>
      <c r="X156" s="715"/>
      <c r="Y156" s="715"/>
      <c r="Z156" s="715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6">
        <v>4680115889132</v>
      </c>
      <c r="E157" s="716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8"/>
      <c r="R157" s="718"/>
      <c r="S157" s="718"/>
      <c r="T157" s="71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4"/>
      <c r="B159" s="724"/>
      <c r="C159" s="724"/>
      <c r="D159" s="724"/>
      <c r="E159" s="724"/>
      <c r="F159" s="724"/>
      <c r="G159" s="724"/>
      <c r="H159" s="724"/>
      <c r="I159" s="724"/>
      <c r="J159" s="724"/>
      <c r="K159" s="724"/>
      <c r="L159" s="724"/>
      <c r="M159" s="724"/>
      <c r="N159" s="724"/>
      <c r="O159" s="725"/>
      <c r="P159" s="721" t="s">
        <v>40</v>
      </c>
      <c r="Q159" s="722"/>
      <c r="R159" s="722"/>
      <c r="S159" s="722"/>
      <c r="T159" s="722"/>
      <c r="U159" s="722"/>
      <c r="V159" s="723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4" t="s">
        <v>120</v>
      </c>
      <c r="B160" s="714"/>
      <c r="C160" s="714"/>
      <c r="D160" s="714"/>
      <c r="E160" s="714"/>
      <c r="F160" s="714"/>
      <c r="G160" s="714"/>
      <c r="H160" s="714"/>
      <c r="I160" s="714"/>
      <c r="J160" s="714"/>
      <c r="K160" s="714"/>
      <c r="L160" s="714"/>
      <c r="M160" s="714"/>
      <c r="N160" s="714"/>
      <c r="O160" s="714"/>
      <c r="P160" s="714"/>
      <c r="Q160" s="714"/>
      <c r="R160" s="714"/>
      <c r="S160" s="714"/>
      <c r="T160" s="714"/>
      <c r="U160" s="714"/>
      <c r="V160" s="714"/>
      <c r="W160" s="714"/>
      <c r="X160" s="714"/>
      <c r="Y160" s="714"/>
      <c r="Z160" s="714"/>
      <c r="AA160" s="62"/>
      <c r="AB160" s="62"/>
      <c r="AC160" s="62"/>
    </row>
    <row r="161" spans="1:68" ht="14.25" hidden="1" customHeight="1" x14ac:dyDescent="0.25">
      <c r="A161" s="715" t="s">
        <v>122</v>
      </c>
      <c r="B161" s="715"/>
      <c r="C161" s="715"/>
      <c r="D161" s="715"/>
      <c r="E161" s="715"/>
      <c r="F161" s="715"/>
      <c r="G161" s="715"/>
      <c r="H161" s="715"/>
      <c r="I161" s="715"/>
      <c r="J161" s="715"/>
      <c r="K161" s="715"/>
      <c r="L161" s="715"/>
      <c r="M161" s="715"/>
      <c r="N161" s="715"/>
      <c r="O161" s="715"/>
      <c r="P161" s="715"/>
      <c r="Q161" s="715"/>
      <c r="R161" s="715"/>
      <c r="S161" s="715"/>
      <c r="T161" s="715"/>
      <c r="U161" s="715"/>
      <c r="V161" s="715"/>
      <c r="W161" s="715"/>
      <c r="X161" s="715"/>
      <c r="Y161" s="715"/>
      <c r="Z161" s="715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6">
        <v>4680115887374</v>
      </c>
      <c r="E162" s="716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6">
        <v>4607091384604</v>
      </c>
      <c r="E163" s="716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6">
        <v>4680115888876</v>
      </c>
      <c r="E164" s="716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8"/>
      <c r="R164" s="718"/>
      <c r="S164" s="718"/>
      <c r="T164" s="719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4"/>
      <c r="B166" s="724"/>
      <c r="C166" s="724"/>
      <c r="D166" s="724"/>
      <c r="E166" s="724"/>
      <c r="F166" s="724"/>
      <c r="G166" s="724"/>
      <c r="H166" s="724"/>
      <c r="I166" s="724"/>
      <c r="J166" s="724"/>
      <c r="K166" s="724"/>
      <c r="L166" s="724"/>
      <c r="M166" s="724"/>
      <c r="N166" s="724"/>
      <c r="O166" s="725"/>
      <c r="P166" s="721" t="s">
        <v>40</v>
      </c>
      <c r="Q166" s="722"/>
      <c r="R166" s="722"/>
      <c r="S166" s="722"/>
      <c r="T166" s="722"/>
      <c r="U166" s="722"/>
      <c r="V166" s="723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5" t="s">
        <v>157</v>
      </c>
      <c r="B167" s="715"/>
      <c r="C167" s="715"/>
      <c r="D167" s="715"/>
      <c r="E167" s="715"/>
      <c r="F167" s="715"/>
      <c r="G167" s="715"/>
      <c r="H167" s="715"/>
      <c r="I167" s="715"/>
      <c r="J167" s="715"/>
      <c r="K167" s="715"/>
      <c r="L167" s="715"/>
      <c r="M167" s="715"/>
      <c r="N167" s="715"/>
      <c r="O167" s="715"/>
      <c r="P167" s="715"/>
      <c r="Q167" s="715"/>
      <c r="R167" s="715"/>
      <c r="S167" s="715"/>
      <c r="T167" s="715"/>
      <c r="U167" s="715"/>
      <c r="V167" s="715"/>
      <c r="W167" s="715"/>
      <c r="X167" s="715"/>
      <c r="Y167" s="715"/>
      <c r="Z167" s="715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6">
        <v>4680115887695</v>
      </c>
      <c r="E168" s="716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0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6">
        <v>4680115889491</v>
      </c>
      <c r="E169" s="716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0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8"/>
      <c r="R169" s="718"/>
      <c r="S169" s="718"/>
      <c r="T169" s="719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4"/>
      <c r="B171" s="724"/>
      <c r="C171" s="724"/>
      <c r="D171" s="724"/>
      <c r="E171" s="724"/>
      <c r="F171" s="724"/>
      <c r="G171" s="724"/>
      <c r="H171" s="724"/>
      <c r="I171" s="724"/>
      <c r="J171" s="724"/>
      <c r="K171" s="724"/>
      <c r="L171" s="724"/>
      <c r="M171" s="724"/>
      <c r="N171" s="724"/>
      <c r="O171" s="725"/>
      <c r="P171" s="721" t="s">
        <v>40</v>
      </c>
      <c r="Q171" s="722"/>
      <c r="R171" s="722"/>
      <c r="S171" s="722"/>
      <c r="T171" s="722"/>
      <c r="U171" s="722"/>
      <c r="V171" s="723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5" t="s">
        <v>77</v>
      </c>
      <c r="B172" s="715"/>
      <c r="C172" s="715"/>
      <c r="D172" s="715"/>
      <c r="E172" s="715"/>
      <c r="F172" s="715"/>
      <c r="G172" s="715"/>
      <c r="H172" s="715"/>
      <c r="I172" s="715"/>
      <c r="J172" s="715"/>
      <c r="K172" s="715"/>
      <c r="L172" s="715"/>
      <c r="M172" s="715"/>
      <c r="N172" s="715"/>
      <c r="O172" s="715"/>
      <c r="P172" s="715"/>
      <c r="Q172" s="715"/>
      <c r="R172" s="715"/>
      <c r="S172" s="715"/>
      <c r="T172" s="715"/>
      <c r="U172" s="715"/>
      <c r="V172" s="715"/>
      <c r="W172" s="715"/>
      <c r="X172" s="715"/>
      <c r="Y172" s="715"/>
      <c r="Z172" s="715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6">
        <v>4680115887428</v>
      </c>
      <c r="E173" s="716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6">
        <v>4680115889170</v>
      </c>
      <c r="E174" s="716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6">
        <v>4680115887398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6">
        <v>4680115887336</v>
      </c>
      <c r="E177" s="71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6">
        <v>4680115887787</v>
      </c>
      <c r="E179" s="716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6">
        <v>4680115887503</v>
      </c>
      <c r="E180" s="716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6">
        <v>4680115887763</v>
      </c>
      <c r="E181" s="71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6">
        <v>4680115887480</v>
      </c>
      <c r="E182" s="71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1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6">
        <v>4680115888067</v>
      </c>
      <c r="E183" s="716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6">
        <v>4680115887435</v>
      </c>
      <c r="E184" s="716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8"/>
      <c r="R184" s="718"/>
      <c r="S184" s="718"/>
      <c r="T184" s="71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4"/>
      <c r="B186" s="724"/>
      <c r="C186" s="724"/>
      <c r="D186" s="724"/>
      <c r="E186" s="724"/>
      <c r="F186" s="724"/>
      <c r="G186" s="724"/>
      <c r="H186" s="724"/>
      <c r="I186" s="724"/>
      <c r="J186" s="724"/>
      <c r="K186" s="724"/>
      <c r="L186" s="724"/>
      <c r="M186" s="724"/>
      <c r="N186" s="724"/>
      <c r="O186" s="725"/>
      <c r="P186" s="721" t="s">
        <v>40</v>
      </c>
      <c r="Q186" s="722"/>
      <c r="R186" s="722"/>
      <c r="S186" s="722"/>
      <c r="T186" s="722"/>
      <c r="U186" s="722"/>
      <c r="V186" s="723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5" t="s">
        <v>86</v>
      </c>
      <c r="B187" s="715"/>
      <c r="C187" s="715"/>
      <c r="D187" s="715"/>
      <c r="E187" s="715"/>
      <c r="F187" s="715"/>
      <c r="G187" s="715"/>
      <c r="H187" s="715"/>
      <c r="I187" s="715"/>
      <c r="J187" s="715"/>
      <c r="K187" s="715"/>
      <c r="L187" s="715"/>
      <c r="M187" s="715"/>
      <c r="N187" s="715"/>
      <c r="O187" s="715"/>
      <c r="P187" s="715"/>
      <c r="Q187" s="715"/>
      <c r="R187" s="715"/>
      <c r="S187" s="715"/>
      <c r="T187" s="715"/>
      <c r="U187" s="715"/>
      <c r="V187" s="715"/>
      <c r="W187" s="715"/>
      <c r="X187" s="715"/>
      <c r="Y187" s="715"/>
      <c r="Z187" s="715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6">
        <v>4680115888395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6">
        <v>4680115888371</v>
      </c>
      <c r="E189" s="716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6">
        <v>4680115887459</v>
      </c>
      <c r="E190" s="716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8"/>
      <c r="R190" s="718"/>
      <c r="S190" s="718"/>
      <c r="T190" s="719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4"/>
      <c r="B192" s="724"/>
      <c r="C192" s="724"/>
      <c r="D192" s="724"/>
      <c r="E192" s="724"/>
      <c r="F192" s="724"/>
      <c r="G192" s="724"/>
      <c r="H192" s="724"/>
      <c r="I192" s="724"/>
      <c r="J192" s="724"/>
      <c r="K192" s="724"/>
      <c r="L192" s="724"/>
      <c r="M192" s="724"/>
      <c r="N192" s="724"/>
      <c r="O192" s="725"/>
      <c r="P192" s="721" t="s">
        <v>40</v>
      </c>
      <c r="Q192" s="722"/>
      <c r="R192" s="722"/>
      <c r="S192" s="722"/>
      <c r="T192" s="722"/>
      <c r="U192" s="722"/>
      <c r="V192" s="723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5" t="s">
        <v>339</v>
      </c>
      <c r="B193" s="715"/>
      <c r="C193" s="715"/>
      <c r="D193" s="715"/>
      <c r="E193" s="715"/>
      <c r="F193" s="715"/>
      <c r="G193" s="715"/>
      <c r="H193" s="715"/>
      <c r="I193" s="715"/>
      <c r="J193" s="715"/>
      <c r="K193" s="715"/>
      <c r="L193" s="715"/>
      <c r="M193" s="715"/>
      <c r="N193" s="715"/>
      <c r="O193" s="715"/>
      <c r="P193" s="715"/>
      <c r="Q193" s="715"/>
      <c r="R193" s="715"/>
      <c r="S193" s="715"/>
      <c r="T193" s="715"/>
      <c r="U193" s="715"/>
      <c r="V193" s="715"/>
      <c r="W193" s="715"/>
      <c r="X193" s="715"/>
      <c r="Y193" s="715"/>
      <c r="Z193" s="715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6">
        <v>4680115889033</v>
      </c>
      <c r="E194" s="716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8"/>
      <c r="R194" s="718"/>
      <c r="S194" s="718"/>
      <c r="T194" s="719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4"/>
      <c r="B196" s="724"/>
      <c r="C196" s="724"/>
      <c r="D196" s="724"/>
      <c r="E196" s="724"/>
      <c r="F196" s="724"/>
      <c r="G196" s="724"/>
      <c r="H196" s="724"/>
      <c r="I196" s="724"/>
      <c r="J196" s="724"/>
      <c r="K196" s="724"/>
      <c r="L196" s="724"/>
      <c r="M196" s="724"/>
      <c r="N196" s="724"/>
      <c r="O196" s="725"/>
      <c r="P196" s="721" t="s">
        <v>40</v>
      </c>
      <c r="Q196" s="722"/>
      <c r="R196" s="722"/>
      <c r="S196" s="722"/>
      <c r="T196" s="722"/>
      <c r="U196" s="722"/>
      <c r="V196" s="723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3" t="s">
        <v>344</v>
      </c>
      <c r="B197" s="713"/>
      <c r="C197" s="713"/>
      <c r="D197" s="713"/>
      <c r="E197" s="713"/>
      <c r="F197" s="713"/>
      <c r="G197" s="713"/>
      <c r="H197" s="713"/>
      <c r="I197" s="713"/>
      <c r="J197" s="713"/>
      <c r="K197" s="713"/>
      <c r="L197" s="713"/>
      <c r="M197" s="713"/>
      <c r="N197" s="713"/>
      <c r="O197" s="713"/>
      <c r="P197" s="713"/>
      <c r="Q197" s="713"/>
      <c r="R197" s="713"/>
      <c r="S197" s="713"/>
      <c r="T197" s="713"/>
      <c r="U197" s="713"/>
      <c r="V197" s="713"/>
      <c r="W197" s="713"/>
      <c r="X197" s="713"/>
      <c r="Y197" s="713"/>
      <c r="Z197" s="713"/>
      <c r="AA197" s="52"/>
      <c r="AB197" s="52"/>
      <c r="AC197" s="52"/>
    </row>
    <row r="198" spans="1:68" ht="16.5" hidden="1" customHeight="1" x14ac:dyDescent="0.25">
      <c r="A198" s="714" t="s">
        <v>345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2"/>
      <c r="AB198" s="62"/>
      <c r="AC198" s="62"/>
    </row>
    <row r="199" spans="1:68" ht="14.25" hidden="1" customHeight="1" x14ac:dyDescent="0.25">
      <c r="A199" s="715" t="s">
        <v>122</v>
      </c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5"/>
      <c r="P199" s="715"/>
      <c r="Q199" s="715"/>
      <c r="R199" s="715"/>
      <c r="S199" s="715"/>
      <c r="T199" s="715"/>
      <c r="U199" s="715"/>
      <c r="V199" s="715"/>
      <c r="W199" s="715"/>
      <c r="X199" s="715"/>
      <c r="Y199" s="715"/>
      <c r="Z199" s="715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6">
        <v>4607091383423</v>
      </c>
      <c r="E200" s="716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8"/>
      <c r="R200" s="718"/>
      <c r="S200" s="718"/>
      <c r="T200" s="719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6">
        <v>4680115888760</v>
      </c>
      <c r="E201" s="716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8"/>
      <c r="R201" s="718"/>
      <c r="S201" s="718"/>
      <c r="T201" s="719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6">
        <v>4680115888807</v>
      </c>
      <c r="E202" s="716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8"/>
      <c r="R202" s="718"/>
      <c r="S202" s="718"/>
      <c r="T202" s="719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6">
        <v>4680115888852</v>
      </c>
      <c r="E203" s="716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6">
        <v>4680115886957</v>
      </c>
      <c r="E204" s="716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6">
        <v>4680115885660</v>
      </c>
      <c r="E205" s="716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6">
        <v>4680115886773</v>
      </c>
      <c r="E206" s="716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4"/>
      <c r="B207" s="724"/>
      <c r="C207" s="724"/>
      <c r="D207" s="724"/>
      <c r="E207" s="724"/>
      <c r="F207" s="724"/>
      <c r="G207" s="724"/>
      <c r="H207" s="724"/>
      <c r="I207" s="724"/>
      <c r="J207" s="724"/>
      <c r="K207" s="724"/>
      <c r="L207" s="724"/>
      <c r="M207" s="724"/>
      <c r="N207" s="724"/>
      <c r="O207" s="725"/>
      <c r="P207" s="721" t="s">
        <v>40</v>
      </c>
      <c r="Q207" s="722"/>
      <c r="R207" s="722"/>
      <c r="S207" s="722"/>
      <c r="T207" s="722"/>
      <c r="U207" s="722"/>
      <c r="V207" s="723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4"/>
      <c r="B208" s="724"/>
      <c r="C208" s="724"/>
      <c r="D208" s="724"/>
      <c r="E208" s="724"/>
      <c r="F208" s="724"/>
      <c r="G208" s="724"/>
      <c r="H208" s="724"/>
      <c r="I208" s="724"/>
      <c r="J208" s="724"/>
      <c r="K208" s="724"/>
      <c r="L208" s="724"/>
      <c r="M208" s="724"/>
      <c r="N208" s="724"/>
      <c r="O208" s="725"/>
      <c r="P208" s="721" t="s">
        <v>40</v>
      </c>
      <c r="Q208" s="722"/>
      <c r="R208" s="722"/>
      <c r="S208" s="722"/>
      <c r="T208" s="722"/>
      <c r="U208" s="722"/>
      <c r="V208" s="723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4" t="s">
        <v>366</v>
      </c>
      <c r="B209" s="714"/>
      <c r="C209" s="714"/>
      <c r="D209" s="714"/>
      <c r="E209" s="714"/>
      <c r="F209" s="714"/>
      <c r="G209" s="714"/>
      <c r="H209" s="714"/>
      <c r="I209" s="714"/>
      <c r="J209" s="714"/>
      <c r="K209" s="714"/>
      <c r="L209" s="714"/>
      <c r="M209" s="714"/>
      <c r="N209" s="714"/>
      <c r="O209" s="714"/>
      <c r="P209" s="714"/>
      <c r="Q209" s="714"/>
      <c r="R209" s="714"/>
      <c r="S209" s="714"/>
      <c r="T209" s="714"/>
      <c r="U209" s="714"/>
      <c r="V209" s="714"/>
      <c r="W209" s="714"/>
      <c r="X209" s="714"/>
      <c r="Y209" s="714"/>
      <c r="Z209" s="714"/>
      <c r="AA209" s="62"/>
      <c r="AB209" s="62"/>
      <c r="AC209" s="62"/>
    </row>
    <row r="210" spans="1:68" ht="14.25" hidden="1" customHeight="1" x14ac:dyDescent="0.25">
      <c r="A210" s="715" t="s">
        <v>157</v>
      </c>
      <c r="B210" s="715"/>
      <c r="C210" s="715"/>
      <c r="D210" s="715"/>
      <c r="E210" s="715"/>
      <c r="F210" s="715"/>
      <c r="G210" s="715"/>
      <c r="H210" s="715"/>
      <c r="I210" s="715"/>
      <c r="J210" s="715"/>
      <c r="K210" s="715"/>
      <c r="L210" s="715"/>
      <c r="M210" s="715"/>
      <c r="N210" s="715"/>
      <c r="O210" s="715"/>
      <c r="P210" s="715"/>
      <c r="Q210" s="715"/>
      <c r="R210" s="715"/>
      <c r="S210" s="715"/>
      <c r="T210" s="715"/>
      <c r="U210" s="715"/>
      <c r="V210" s="715"/>
      <c r="W210" s="715"/>
      <c r="X210" s="715"/>
      <c r="Y210" s="715"/>
      <c r="Z210" s="715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6">
        <v>4680115886223</v>
      </c>
      <c r="E211" s="716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8"/>
      <c r="R211" s="718"/>
      <c r="S211" s="718"/>
      <c r="T211" s="719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4"/>
      <c r="B212" s="724"/>
      <c r="C212" s="724"/>
      <c r="D212" s="724"/>
      <c r="E212" s="724"/>
      <c r="F212" s="724"/>
      <c r="G212" s="724"/>
      <c r="H212" s="724"/>
      <c r="I212" s="724"/>
      <c r="J212" s="724"/>
      <c r="K212" s="724"/>
      <c r="L212" s="724"/>
      <c r="M212" s="724"/>
      <c r="N212" s="724"/>
      <c r="O212" s="725"/>
      <c r="P212" s="721" t="s">
        <v>40</v>
      </c>
      <c r="Q212" s="722"/>
      <c r="R212" s="722"/>
      <c r="S212" s="722"/>
      <c r="T212" s="722"/>
      <c r="U212" s="722"/>
      <c r="V212" s="723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4"/>
      <c r="B213" s="724"/>
      <c r="C213" s="724"/>
      <c r="D213" s="724"/>
      <c r="E213" s="724"/>
      <c r="F213" s="724"/>
      <c r="G213" s="724"/>
      <c r="H213" s="724"/>
      <c r="I213" s="724"/>
      <c r="J213" s="724"/>
      <c r="K213" s="724"/>
      <c r="L213" s="724"/>
      <c r="M213" s="724"/>
      <c r="N213" s="724"/>
      <c r="O213" s="725"/>
      <c r="P213" s="721" t="s">
        <v>40</v>
      </c>
      <c r="Q213" s="722"/>
      <c r="R213" s="722"/>
      <c r="S213" s="722"/>
      <c r="T213" s="722"/>
      <c r="U213" s="722"/>
      <c r="V213" s="723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5" t="s">
        <v>77</v>
      </c>
      <c r="B214" s="715"/>
      <c r="C214" s="715"/>
      <c r="D214" s="715"/>
      <c r="E214" s="715"/>
      <c r="F214" s="715"/>
      <c r="G214" s="715"/>
      <c r="H214" s="715"/>
      <c r="I214" s="715"/>
      <c r="J214" s="715"/>
      <c r="K214" s="715"/>
      <c r="L214" s="715"/>
      <c r="M214" s="715"/>
      <c r="N214" s="715"/>
      <c r="O214" s="715"/>
      <c r="P214" s="715"/>
      <c r="Q214" s="715"/>
      <c r="R214" s="715"/>
      <c r="S214" s="715"/>
      <c r="T214" s="715"/>
      <c r="U214" s="715"/>
      <c r="V214" s="715"/>
      <c r="W214" s="715"/>
      <c r="X214" s="715"/>
      <c r="Y214" s="715"/>
      <c r="Z214" s="715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716">
        <v>4680115880993</v>
      </c>
      <c r="E215" s="716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8"/>
      <c r="R215" s="718"/>
      <c r="S215" s="718"/>
      <c r="T215" s="719"/>
      <c r="U215" s="37" t="s">
        <v>46</v>
      </c>
      <c r="V215" s="37" t="s">
        <v>46</v>
      </c>
      <c r="W215" s="38" t="s">
        <v>0</v>
      </c>
      <c r="X215" s="56">
        <v>50.400000000000006</v>
      </c>
      <c r="Y215" s="53">
        <f t="shared" ref="Y215:Y229" si="27">IFERROR(IF(X215="",0,CEILING((X215/$H215),1)*$H215),"")</f>
        <v>50.400000000000006</v>
      </c>
      <c r="Z215" s="39">
        <f>IFERROR(IF(Y215=0,"",ROUNDUP(Y215/H215,0)*0.00902),"")</f>
        <v>0.10824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53.400000000000006</v>
      </c>
      <c r="BN215" s="75">
        <f t="shared" ref="BN215:BN229" si="29">IFERROR(Y215*I215/H215,"0")</f>
        <v>53.400000000000006</v>
      </c>
      <c r="BO215" s="75">
        <f t="shared" ref="BO215:BO229" si="30">IFERROR(1/J215*(X215/H215),"0")</f>
        <v>9.0909090909090912E-2</v>
      </c>
      <c r="BP215" s="75">
        <f t="shared" ref="BP215:BP229" si="31">IFERROR(1/J215*(Y215/H215),"0")</f>
        <v>9.0909090909090912E-2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6">
        <v>4680115881761</v>
      </c>
      <c r="E216" s="716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8"/>
      <c r="R216" s="718"/>
      <c r="S216" s="718"/>
      <c r="T216" s="719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716">
        <v>4680115881563</v>
      </c>
      <c r="E217" s="716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8"/>
      <c r="R217" s="718"/>
      <c r="S217" s="718"/>
      <c r="T217" s="719"/>
      <c r="U217" s="37" t="s">
        <v>46</v>
      </c>
      <c r="V217" s="37" t="s">
        <v>46</v>
      </c>
      <c r="W217" s="38" t="s">
        <v>0</v>
      </c>
      <c r="X217" s="56">
        <v>50.400000000000006</v>
      </c>
      <c r="Y217" s="53">
        <f t="shared" si="27"/>
        <v>50.400000000000006</v>
      </c>
      <c r="Z217" s="39">
        <f>IFERROR(IF(Y217=0,"",ROUNDUP(Y217/H217,0)*0.00902),"")</f>
        <v>0.10824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52.68</v>
      </c>
      <c r="BN217" s="75">
        <f t="shared" si="29"/>
        <v>52.68</v>
      </c>
      <c r="BO217" s="75">
        <f t="shared" si="30"/>
        <v>9.0909090909090912E-2</v>
      </c>
      <c r="BP217" s="75">
        <f t="shared" si="31"/>
        <v>9.0909090909090912E-2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6">
        <v>4680115887565</v>
      </c>
      <c r="E218" s="716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716">
        <v>4680115880986</v>
      </c>
      <c r="E219" s="716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6">
        <v>4680115887213</v>
      </c>
      <c r="E220" s="716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6">
        <v>4680115881785</v>
      </c>
      <c r="E221" s="716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6">
        <v>4680115888432</v>
      </c>
      <c r="E222" s="716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6">
        <v>4680115888104</v>
      </c>
      <c r="E223" s="716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6">
        <v>4680115886537</v>
      </c>
      <c r="E224" s="716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6">
        <v>4680115887596</v>
      </c>
      <c r="E225" s="716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6">
        <v>4680115881679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6">
        <v>4680115880191</v>
      </c>
      <c r="E227" s="716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6">
        <v>4680115880191</v>
      </c>
      <c r="E228" s="716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6">
        <v>4680115883963</v>
      </c>
      <c r="E229" s="716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724"/>
      <c r="B230" s="724"/>
      <c r="C230" s="724"/>
      <c r="D230" s="724"/>
      <c r="E230" s="724"/>
      <c r="F230" s="724"/>
      <c r="G230" s="724"/>
      <c r="H230" s="724"/>
      <c r="I230" s="724"/>
      <c r="J230" s="724"/>
      <c r="K230" s="724"/>
      <c r="L230" s="724"/>
      <c r="M230" s="724"/>
      <c r="N230" s="724"/>
      <c r="O230" s="725"/>
      <c r="P230" s="721" t="s">
        <v>40</v>
      </c>
      <c r="Q230" s="722"/>
      <c r="R230" s="722"/>
      <c r="S230" s="722"/>
      <c r="T230" s="722"/>
      <c r="U230" s="722"/>
      <c r="V230" s="723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24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24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0.21648000000000001</v>
      </c>
      <c r="AA230" s="64"/>
      <c r="AB230" s="64"/>
      <c r="AC230" s="64"/>
    </row>
    <row r="231" spans="1:68" x14ac:dyDescent="0.2">
      <c r="A231" s="724"/>
      <c r="B231" s="724"/>
      <c r="C231" s="724"/>
      <c r="D231" s="724"/>
      <c r="E231" s="724"/>
      <c r="F231" s="724"/>
      <c r="G231" s="724"/>
      <c r="H231" s="724"/>
      <c r="I231" s="724"/>
      <c r="J231" s="724"/>
      <c r="K231" s="724"/>
      <c r="L231" s="724"/>
      <c r="M231" s="724"/>
      <c r="N231" s="724"/>
      <c r="O231" s="725"/>
      <c r="P231" s="721" t="s">
        <v>40</v>
      </c>
      <c r="Q231" s="722"/>
      <c r="R231" s="722"/>
      <c r="S231" s="722"/>
      <c r="T231" s="722"/>
      <c r="U231" s="722"/>
      <c r="V231" s="723"/>
      <c r="W231" s="40" t="s">
        <v>0</v>
      </c>
      <c r="X231" s="41">
        <f>IFERROR(SUM(X215:X229),"0")</f>
        <v>100.80000000000001</v>
      </c>
      <c r="Y231" s="41">
        <f>IFERROR(SUM(Y215:Y229),"0")</f>
        <v>100.80000000000001</v>
      </c>
      <c r="Z231" s="40"/>
      <c r="AA231" s="64"/>
      <c r="AB231" s="64"/>
      <c r="AC231" s="64"/>
    </row>
    <row r="232" spans="1:68" ht="14.25" hidden="1" customHeight="1" x14ac:dyDescent="0.25">
      <c r="A232" s="715" t="s">
        <v>86</v>
      </c>
      <c r="B232" s="715"/>
      <c r="C232" s="715"/>
      <c r="D232" s="715"/>
      <c r="E232" s="715"/>
      <c r="F232" s="715"/>
      <c r="G232" s="715"/>
      <c r="H232" s="715"/>
      <c r="I232" s="715"/>
      <c r="J232" s="715"/>
      <c r="K232" s="715"/>
      <c r="L232" s="715"/>
      <c r="M232" s="715"/>
      <c r="N232" s="715"/>
      <c r="O232" s="715"/>
      <c r="P232" s="715"/>
      <c r="Q232" s="715"/>
      <c r="R232" s="715"/>
      <c r="S232" s="715"/>
      <c r="T232" s="715"/>
      <c r="U232" s="715"/>
      <c r="V232" s="715"/>
      <c r="W232" s="715"/>
      <c r="X232" s="715"/>
      <c r="Y232" s="715"/>
      <c r="Z232" s="715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6">
        <v>4680115888692</v>
      </c>
      <c r="E233" s="716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8"/>
      <c r="R233" s="718"/>
      <c r="S233" s="718"/>
      <c r="T233" s="71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6">
        <v>4680115888692</v>
      </c>
      <c r="E234" s="716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8"/>
      <c r="R234" s="718"/>
      <c r="S234" s="718"/>
      <c r="T234" s="71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6">
        <v>4680115888722</v>
      </c>
      <c r="E235" s="716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8"/>
      <c r="R235" s="718"/>
      <c r="S235" s="718"/>
      <c r="T235" s="71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6">
        <v>4680115888722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6">
        <v>4680115888951</v>
      </c>
      <c r="E237" s="716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6">
        <v>4680115888951</v>
      </c>
      <c r="E238" s="716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6">
        <v>4680115888975</v>
      </c>
      <c r="E239" s="716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6">
        <v>4680115888982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6">
        <v>4680115888982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4"/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5"/>
      <c r="P242" s="721" t="s">
        <v>40</v>
      </c>
      <c r="Q242" s="722"/>
      <c r="R242" s="722"/>
      <c r="S242" s="722"/>
      <c r="T242" s="722"/>
      <c r="U242" s="722"/>
      <c r="V242" s="723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4"/>
      <c r="B243" s="724"/>
      <c r="C243" s="724"/>
      <c r="D243" s="724"/>
      <c r="E243" s="724"/>
      <c r="F243" s="724"/>
      <c r="G243" s="724"/>
      <c r="H243" s="724"/>
      <c r="I243" s="724"/>
      <c r="J243" s="724"/>
      <c r="K243" s="724"/>
      <c r="L243" s="724"/>
      <c r="M243" s="724"/>
      <c r="N243" s="724"/>
      <c r="O243" s="725"/>
      <c r="P243" s="721" t="s">
        <v>40</v>
      </c>
      <c r="Q243" s="722"/>
      <c r="R243" s="722"/>
      <c r="S243" s="722"/>
      <c r="T243" s="722"/>
      <c r="U243" s="722"/>
      <c r="V243" s="723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5" t="s">
        <v>278</v>
      </c>
      <c r="B244" s="715"/>
      <c r="C244" s="715"/>
      <c r="D244" s="715"/>
      <c r="E244" s="715"/>
      <c r="F244" s="715"/>
      <c r="G244" s="715"/>
      <c r="H244" s="715"/>
      <c r="I244" s="715"/>
      <c r="J244" s="715"/>
      <c r="K244" s="715"/>
      <c r="L244" s="715"/>
      <c r="M244" s="715"/>
      <c r="N244" s="715"/>
      <c r="O244" s="715"/>
      <c r="P244" s="715"/>
      <c r="Q244" s="715"/>
      <c r="R244" s="715"/>
      <c r="S244" s="715"/>
      <c r="T244" s="715"/>
      <c r="U244" s="715"/>
      <c r="V244" s="715"/>
      <c r="W244" s="715"/>
      <c r="X244" s="715"/>
      <c r="Y244" s="715"/>
      <c r="Z244" s="715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6">
        <v>4680115886780</v>
      </c>
      <c r="E245" s="716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8"/>
      <c r="R245" s="718"/>
      <c r="S245" s="718"/>
      <c r="T245" s="719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6">
        <v>4680115886742</v>
      </c>
      <c r="E246" s="716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8"/>
      <c r="R246" s="718"/>
      <c r="S246" s="718"/>
      <c r="T246" s="71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6">
        <v>4680115886766</v>
      </c>
      <c r="E247" s="716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8"/>
      <c r="R247" s="718"/>
      <c r="S247" s="718"/>
      <c r="T247" s="71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4"/>
      <c r="B248" s="724"/>
      <c r="C248" s="724"/>
      <c r="D248" s="724"/>
      <c r="E248" s="724"/>
      <c r="F248" s="724"/>
      <c r="G248" s="724"/>
      <c r="H248" s="724"/>
      <c r="I248" s="724"/>
      <c r="J248" s="724"/>
      <c r="K248" s="724"/>
      <c r="L248" s="724"/>
      <c r="M248" s="724"/>
      <c r="N248" s="724"/>
      <c r="O248" s="725"/>
      <c r="P248" s="721" t="s">
        <v>40</v>
      </c>
      <c r="Q248" s="722"/>
      <c r="R248" s="722"/>
      <c r="S248" s="722"/>
      <c r="T248" s="722"/>
      <c r="U248" s="722"/>
      <c r="V248" s="723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4"/>
      <c r="B249" s="724"/>
      <c r="C249" s="724"/>
      <c r="D249" s="724"/>
      <c r="E249" s="724"/>
      <c r="F249" s="724"/>
      <c r="G249" s="724"/>
      <c r="H249" s="724"/>
      <c r="I249" s="724"/>
      <c r="J249" s="724"/>
      <c r="K249" s="724"/>
      <c r="L249" s="724"/>
      <c r="M249" s="724"/>
      <c r="N249" s="724"/>
      <c r="O249" s="725"/>
      <c r="P249" s="721" t="s">
        <v>40</v>
      </c>
      <c r="Q249" s="722"/>
      <c r="R249" s="722"/>
      <c r="S249" s="722"/>
      <c r="T249" s="722"/>
      <c r="U249" s="722"/>
      <c r="V249" s="723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5" t="s">
        <v>437</v>
      </c>
      <c r="B250" s="715"/>
      <c r="C250" s="715"/>
      <c r="D250" s="715"/>
      <c r="E250" s="715"/>
      <c r="F250" s="715"/>
      <c r="G250" s="715"/>
      <c r="H250" s="715"/>
      <c r="I250" s="715"/>
      <c r="J250" s="715"/>
      <c r="K250" s="715"/>
      <c r="L250" s="715"/>
      <c r="M250" s="715"/>
      <c r="N250" s="715"/>
      <c r="O250" s="715"/>
      <c r="P250" s="715"/>
      <c r="Q250" s="715"/>
      <c r="R250" s="715"/>
      <c r="S250" s="715"/>
      <c r="T250" s="715"/>
      <c r="U250" s="715"/>
      <c r="V250" s="715"/>
      <c r="W250" s="715"/>
      <c r="X250" s="715"/>
      <c r="Y250" s="715"/>
      <c r="Z250" s="715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6">
        <v>4680115886797</v>
      </c>
      <c r="E251" s="716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8"/>
      <c r="R251" s="718"/>
      <c r="S251" s="718"/>
      <c r="T251" s="719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4"/>
      <c r="B253" s="724"/>
      <c r="C253" s="724"/>
      <c r="D253" s="724"/>
      <c r="E253" s="724"/>
      <c r="F253" s="724"/>
      <c r="G253" s="724"/>
      <c r="H253" s="724"/>
      <c r="I253" s="724"/>
      <c r="J253" s="724"/>
      <c r="K253" s="724"/>
      <c r="L253" s="724"/>
      <c r="M253" s="724"/>
      <c r="N253" s="724"/>
      <c r="O253" s="725"/>
      <c r="P253" s="721" t="s">
        <v>40</v>
      </c>
      <c r="Q253" s="722"/>
      <c r="R253" s="722"/>
      <c r="S253" s="722"/>
      <c r="T253" s="722"/>
      <c r="U253" s="722"/>
      <c r="V253" s="723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4" t="s">
        <v>440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2"/>
      <c r="AB254" s="62"/>
      <c r="AC254" s="62"/>
    </row>
    <row r="255" spans="1:68" ht="14.25" hidden="1" customHeight="1" x14ac:dyDescent="0.25">
      <c r="A255" s="715" t="s">
        <v>122</v>
      </c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5"/>
      <c r="P255" s="715"/>
      <c r="Q255" s="715"/>
      <c r="R255" s="715"/>
      <c r="S255" s="715"/>
      <c r="T255" s="715"/>
      <c r="U255" s="715"/>
      <c r="V255" s="715"/>
      <c r="W255" s="715"/>
      <c r="X255" s="715"/>
      <c r="Y255" s="715"/>
      <c r="Z255" s="715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6">
        <v>4680115881402</v>
      </c>
      <c r="E256" s="716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8"/>
      <c r="R256" s="718"/>
      <c r="S256" s="718"/>
      <c r="T256" s="719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6">
        <v>4680115881396</v>
      </c>
      <c r="E257" s="716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8"/>
      <c r="R257" s="718"/>
      <c r="S257" s="718"/>
      <c r="T257" s="719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4"/>
      <c r="B258" s="724"/>
      <c r="C258" s="724"/>
      <c r="D258" s="724"/>
      <c r="E258" s="724"/>
      <c r="F258" s="724"/>
      <c r="G258" s="724"/>
      <c r="H258" s="724"/>
      <c r="I258" s="724"/>
      <c r="J258" s="724"/>
      <c r="K258" s="724"/>
      <c r="L258" s="724"/>
      <c r="M258" s="724"/>
      <c r="N258" s="724"/>
      <c r="O258" s="725"/>
      <c r="P258" s="721" t="s">
        <v>40</v>
      </c>
      <c r="Q258" s="722"/>
      <c r="R258" s="722"/>
      <c r="S258" s="722"/>
      <c r="T258" s="722"/>
      <c r="U258" s="722"/>
      <c r="V258" s="723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4"/>
      <c r="B259" s="724"/>
      <c r="C259" s="724"/>
      <c r="D259" s="724"/>
      <c r="E259" s="724"/>
      <c r="F259" s="724"/>
      <c r="G259" s="724"/>
      <c r="H259" s="724"/>
      <c r="I259" s="724"/>
      <c r="J259" s="724"/>
      <c r="K259" s="724"/>
      <c r="L259" s="724"/>
      <c r="M259" s="724"/>
      <c r="N259" s="724"/>
      <c r="O259" s="725"/>
      <c r="P259" s="721" t="s">
        <v>40</v>
      </c>
      <c r="Q259" s="722"/>
      <c r="R259" s="722"/>
      <c r="S259" s="722"/>
      <c r="T259" s="722"/>
      <c r="U259" s="722"/>
      <c r="V259" s="723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5" t="s">
        <v>157</v>
      </c>
      <c r="B260" s="715"/>
      <c r="C260" s="715"/>
      <c r="D260" s="715"/>
      <c r="E260" s="715"/>
      <c r="F260" s="715"/>
      <c r="G260" s="715"/>
      <c r="H260" s="715"/>
      <c r="I260" s="715"/>
      <c r="J260" s="715"/>
      <c r="K260" s="715"/>
      <c r="L260" s="715"/>
      <c r="M260" s="715"/>
      <c r="N260" s="715"/>
      <c r="O260" s="715"/>
      <c r="P260" s="715"/>
      <c r="Q260" s="715"/>
      <c r="R260" s="715"/>
      <c r="S260" s="715"/>
      <c r="T260" s="715"/>
      <c r="U260" s="715"/>
      <c r="V260" s="715"/>
      <c r="W260" s="715"/>
      <c r="X260" s="715"/>
      <c r="Y260" s="715"/>
      <c r="Z260" s="715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6">
        <v>4680115882935</v>
      </c>
      <c r="E261" s="716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8"/>
      <c r="R261" s="718"/>
      <c r="S261" s="718"/>
      <c r="T261" s="719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6">
        <v>4680115880764</v>
      </c>
      <c r="E262" s="716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8"/>
      <c r="R262" s="718"/>
      <c r="S262" s="718"/>
      <c r="T262" s="719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4"/>
      <c r="B263" s="724"/>
      <c r="C263" s="724"/>
      <c r="D263" s="724"/>
      <c r="E263" s="724"/>
      <c r="F263" s="724"/>
      <c r="G263" s="724"/>
      <c r="H263" s="724"/>
      <c r="I263" s="724"/>
      <c r="J263" s="724"/>
      <c r="K263" s="724"/>
      <c r="L263" s="724"/>
      <c r="M263" s="724"/>
      <c r="N263" s="724"/>
      <c r="O263" s="725"/>
      <c r="P263" s="721" t="s">
        <v>40</v>
      </c>
      <c r="Q263" s="722"/>
      <c r="R263" s="722"/>
      <c r="S263" s="722"/>
      <c r="T263" s="722"/>
      <c r="U263" s="722"/>
      <c r="V263" s="723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4"/>
      <c r="B264" s="724"/>
      <c r="C264" s="724"/>
      <c r="D264" s="724"/>
      <c r="E264" s="724"/>
      <c r="F264" s="724"/>
      <c r="G264" s="724"/>
      <c r="H264" s="724"/>
      <c r="I264" s="724"/>
      <c r="J264" s="724"/>
      <c r="K264" s="724"/>
      <c r="L264" s="724"/>
      <c r="M264" s="724"/>
      <c r="N264" s="724"/>
      <c r="O264" s="725"/>
      <c r="P264" s="721" t="s">
        <v>40</v>
      </c>
      <c r="Q264" s="722"/>
      <c r="R264" s="722"/>
      <c r="S264" s="722"/>
      <c r="T264" s="722"/>
      <c r="U264" s="722"/>
      <c r="V264" s="723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5" t="s">
        <v>77</v>
      </c>
      <c r="B265" s="715"/>
      <c r="C265" s="715"/>
      <c r="D265" s="715"/>
      <c r="E265" s="715"/>
      <c r="F265" s="715"/>
      <c r="G265" s="715"/>
      <c r="H265" s="715"/>
      <c r="I265" s="715"/>
      <c r="J265" s="715"/>
      <c r="K265" s="715"/>
      <c r="L265" s="715"/>
      <c r="M265" s="715"/>
      <c r="N265" s="715"/>
      <c r="O265" s="715"/>
      <c r="P265" s="715"/>
      <c r="Q265" s="715"/>
      <c r="R265" s="715"/>
      <c r="S265" s="715"/>
      <c r="T265" s="715"/>
      <c r="U265" s="715"/>
      <c r="V265" s="715"/>
      <c r="W265" s="715"/>
      <c r="X265" s="715"/>
      <c r="Y265" s="715"/>
      <c r="Z265" s="715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716">
        <v>4680115882683</v>
      </c>
      <c r="E266" s="716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8"/>
      <c r="R266" s="718"/>
      <c r="S266" s="718"/>
      <c r="T266" s="719"/>
      <c r="U266" s="37" t="s">
        <v>46</v>
      </c>
      <c r="V266" s="37" t="s">
        <v>46</v>
      </c>
      <c r="W266" s="38" t="s">
        <v>0</v>
      </c>
      <c r="X266" s="56">
        <v>64.800000000000011</v>
      </c>
      <c r="Y266" s="53">
        <f t="shared" ref="Y266:Y273" si="38">IFERROR(IF(X266="",0,CEILING((X266/$H266),1)*$H266),"")</f>
        <v>64.800000000000011</v>
      </c>
      <c r="Z266" s="39">
        <f>IFERROR(IF(Y266=0,"",ROUNDUP(Y266/H266,0)*0.00902),"")</f>
        <v>0.10824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67.08</v>
      </c>
      <c r="BN266" s="75">
        <f t="shared" ref="BN266:BN273" si="40">IFERROR(Y266*I266/H266,"0")</f>
        <v>67.08</v>
      </c>
      <c r="BO266" s="75">
        <f t="shared" ref="BO266:BO273" si="41">IFERROR(1/J266*(X266/H266),"0")</f>
        <v>9.0909090909090925E-2</v>
      </c>
      <c r="BP266" s="75">
        <f t="shared" ref="BP266:BP273" si="42">IFERROR(1/J266*(Y266/H266),"0")</f>
        <v>9.0909090909090925E-2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716">
        <v>4680115882690</v>
      </c>
      <c r="E267" s="716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8"/>
      <c r="R267" s="718"/>
      <c r="S267" s="718"/>
      <c r="T267" s="719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716">
        <v>4680115882669</v>
      </c>
      <c r="E268" s="716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8"/>
      <c r="R268" s="718"/>
      <c r="S268" s="718"/>
      <c r="T268" s="719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customHeight="1" x14ac:dyDescent="0.25">
      <c r="A269" s="60" t="s">
        <v>460</v>
      </c>
      <c r="B269" s="60" t="s">
        <v>461</v>
      </c>
      <c r="C269" s="34">
        <v>4301031221</v>
      </c>
      <c r="D269" s="716">
        <v>4680115882676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64.800000000000011</v>
      </c>
      <c r="Y269" s="53">
        <f t="shared" si="38"/>
        <v>64.800000000000011</v>
      </c>
      <c r="Z269" s="39">
        <f>IFERROR(IF(Y269=0,"",ROUNDUP(Y269/H269,0)*0.00902),"")</f>
        <v>0.10824</v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67.08</v>
      </c>
      <c r="BN269" s="75">
        <f t="shared" si="40"/>
        <v>67.08</v>
      </c>
      <c r="BO269" s="75">
        <f t="shared" si="41"/>
        <v>9.0909090909090925E-2</v>
      </c>
      <c r="BP269" s="75">
        <f t="shared" si="42"/>
        <v>9.0909090909090925E-2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6">
        <v>4680115884014</v>
      </c>
      <c r="E270" s="716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6">
        <v>4680115884007</v>
      </c>
      <c r="E271" s="716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6">
        <v>4680115884038</v>
      </c>
      <c r="E272" s="716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6">
        <v>4680115884021</v>
      </c>
      <c r="E273" s="716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724"/>
      <c r="B274" s="724"/>
      <c r="C274" s="724"/>
      <c r="D274" s="724"/>
      <c r="E274" s="724"/>
      <c r="F274" s="724"/>
      <c r="G274" s="724"/>
      <c r="H274" s="724"/>
      <c r="I274" s="724"/>
      <c r="J274" s="724"/>
      <c r="K274" s="724"/>
      <c r="L274" s="724"/>
      <c r="M274" s="724"/>
      <c r="N274" s="724"/>
      <c r="O274" s="725"/>
      <c r="P274" s="721" t="s">
        <v>40</v>
      </c>
      <c r="Q274" s="722"/>
      <c r="R274" s="722"/>
      <c r="S274" s="722"/>
      <c r="T274" s="722"/>
      <c r="U274" s="722"/>
      <c r="V274" s="723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24.000000000000004</v>
      </c>
      <c r="Y274" s="41">
        <f>IFERROR(Y266/H266,"0")+IFERROR(Y267/H267,"0")+IFERROR(Y268/H268,"0")+IFERROR(Y269/H269,"0")+IFERROR(Y270/H270,"0")+IFERROR(Y271/H271,"0")+IFERROR(Y272/H272,"0")+IFERROR(Y273/H273,"0")</f>
        <v>24.000000000000004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0.21648000000000001</v>
      </c>
      <c r="AA274" s="64"/>
      <c r="AB274" s="64"/>
      <c r="AC274" s="64"/>
    </row>
    <row r="275" spans="1:68" x14ac:dyDescent="0.2">
      <c r="A275" s="724"/>
      <c r="B275" s="724"/>
      <c r="C275" s="724"/>
      <c r="D275" s="724"/>
      <c r="E275" s="724"/>
      <c r="F275" s="724"/>
      <c r="G275" s="724"/>
      <c r="H275" s="724"/>
      <c r="I275" s="724"/>
      <c r="J275" s="724"/>
      <c r="K275" s="724"/>
      <c r="L275" s="724"/>
      <c r="M275" s="724"/>
      <c r="N275" s="724"/>
      <c r="O275" s="725"/>
      <c r="P275" s="721" t="s">
        <v>40</v>
      </c>
      <c r="Q275" s="722"/>
      <c r="R275" s="722"/>
      <c r="S275" s="722"/>
      <c r="T275" s="722"/>
      <c r="U275" s="722"/>
      <c r="V275" s="723"/>
      <c r="W275" s="40" t="s">
        <v>0</v>
      </c>
      <c r="X275" s="41">
        <f>IFERROR(SUM(X266:X273),"0")</f>
        <v>129.60000000000002</v>
      </c>
      <c r="Y275" s="41">
        <f>IFERROR(SUM(Y266:Y273),"0")</f>
        <v>129.60000000000002</v>
      </c>
      <c r="Z275" s="40"/>
      <c r="AA275" s="64"/>
      <c r="AB275" s="64"/>
      <c r="AC275" s="64"/>
    </row>
    <row r="276" spans="1:68" ht="14.25" hidden="1" customHeight="1" x14ac:dyDescent="0.25">
      <c r="A276" s="715" t="s">
        <v>86</v>
      </c>
      <c r="B276" s="715"/>
      <c r="C276" s="715"/>
      <c r="D276" s="715"/>
      <c r="E276" s="715"/>
      <c r="F276" s="715"/>
      <c r="G276" s="715"/>
      <c r="H276" s="715"/>
      <c r="I276" s="715"/>
      <c r="J276" s="715"/>
      <c r="K276" s="715"/>
      <c r="L276" s="715"/>
      <c r="M276" s="715"/>
      <c r="N276" s="715"/>
      <c r="O276" s="715"/>
      <c r="P276" s="715"/>
      <c r="Q276" s="715"/>
      <c r="R276" s="715"/>
      <c r="S276" s="715"/>
      <c r="T276" s="715"/>
      <c r="U276" s="715"/>
      <c r="V276" s="715"/>
      <c r="W276" s="715"/>
      <c r="X276" s="715"/>
      <c r="Y276" s="715"/>
      <c r="Z276" s="715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6">
        <v>4680115881594</v>
      </c>
      <c r="E277" s="716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8"/>
      <c r="R277" s="718"/>
      <c r="S277" s="718"/>
      <c r="T277" s="71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6">
        <v>4680115881617</v>
      </c>
      <c r="E278" s="716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8"/>
      <c r="R278" s="718"/>
      <c r="S278" s="718"/>
      <c r="T278" s="719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customHeight="1" x14ac:dyDescent="0.25">
      <c r="A279" s="60" t="s">
        <v>477</v>
      </c>
      <c r="B279" s="60" t="s">
        <v>478</v>
      </c>
      <c r="C279" s="34">
        <v>4301051656</v>
      </c>
      <c r="D279" s="716">
        <v>4680115880573</v>
      </c>
      <c r="E279" s="716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8"/>
      <c r="R279" s="718"/>
      <c r="S279" s="718"/>
      <c r="T279" s="719"/>
      <c r="U279" s="37" t="s">
        <v>46</v>
      </c>
      <c r="V279" s="37" t="s">
        <v>46</v>
      </c>
      <c r="W279" s="38" t="s">
        <v>0</v>
      </c>
      <c r="X279" s="56">
        <v>69.599999999999994</v>
      </c>
      <c r="Y279" s="53">
        <f t="shared" si="43"/>
        <v>69.599999999999994</v>
      </c>
      <c r="Z279" s="39">
        <f>IFERROR(IF(Y279=0,"",ROUNDUP(Y279/H279,0)*0.01898),"")</f>
        <v>0.15184</v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73.552000000000007</v>
      </c>
      <c r="BN279" s="75">
        <f t="shared" si="45"/>
        <v>73.552000000000007</v>
      </c>
      <c r="BO279" s="75">
        <f t="shared" si="46"/>
        <v>0.125</v>
      </c>
      <c r="BP279" s="75">
        <f t="shared" si="47"/>
        <v>0.125</v>
      </c>
    </row>
    <row r="280" spans="1:68" ht="27" customHeight="1" x14ac:dyDescent="0.25">
      <c r="A280" s="60" t="s">
        <v>480</v>
      </c>
      <c r="B280" s="60" t="s">
        <v>481</v>
      </c>
      <c r="C280" s="34">
        <v>4301051407</v>
      </c>
      <c r="D280" s="716">
        <v>4680115882195</v>
      </c>
      <c r="E280" s="716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33.6</v>
      </c>
      <c r="Y280" s="53">
        <f t="shared" si="43"/>
        <v>33.6</v>
      </c>
      <c r="Z280" s="39">
        <f>IFERROR(IF(Y280=0,"",ROUNDUP(Y280/H280,0)*0.00651),"")</f>
        <v>9.1139999999999999E-2</v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37.380000000000003</v>
      </c>
      <c r="BN280" s="75">
        <f t="shared" si="45"/>
        <v>37.380000000000003</v>
      </c>
      <c r="BO280" s="75">
        <f t="shared" si="46"/>
        <v>7.6923076923076941E-2</v>
      </c>
      <c r="BP280" s="75">
        <f t="shared" si="47"/>
        <v>7.6923076923076941E-2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6">
        <v>4680115882607</v>
      </c>
      <c r="E281" s="716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6">
        <v>4680115882607</v>
      </c>
      <c r="E282" s="716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716">
        <v>4680115880092</v>
      </c>
      <c r="E283" s="716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33.6</v>
      </c>
      <c r="Y283" s="53">
        <f t="shared" si="43"/>
        <v>33.6</v>
      </c>
      <c r="Z283" s="39">
        <f>IFERROR(IF(Y283=0,"",ROUNDUP(Y283/H283,0)*0.00651),"")</f>
        <v>9.1139999999999999E-2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37.128000000000007</v>
      </c>
      <c r="BN283" s="75">
        <f t="shared" si="45"/>
        <v>37.128000000000007</v>
      </c>
      <c r="BO283" s="75">
        <f t="shared" si="46"/>
        <v>7.6923076923076941E-2</v>
      </c>
      <c r="BP283" s="75">
        <f t="shared" si="47"/>
        <v>7.6923076923076941E-2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6">
        <v>4680115889064</v>
      </c>
      <c r="E284" s="716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716">
        <v>4680115880221</v>
      </c>
      <c r="E285" s="716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33.6</v>
      </c>
      <c r="Y285" s="53">
        <f t="shared" si="43"/>
        <v>33.6</v>
      </c>
      <c r="Z285" s="39">
        <f>IFERROR(IF(Y285=0,"",ROUNDUP(Y285/H285,0)*0.00651),"")</f>
        <v>9.1139999999999999E-2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37.128000000000007</v>
      </c>
      <c r="BN285" s="75">
        <f t="shared" si="45"/>
        <v>37.128000000000007</v>
      </c>
      <c r="BO285" s="75">
        <f t="shared" si="46"/>
        <v>7.6923076923076941E-2</v>
      </c>
      <c r="BP285" s="75">
        <f t="shared" si="47"/>
        <v>7.6923076923076941E-2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6">
        <v>4680115880504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716">
        <v>4680115882164</v>
      </c>
      <c r="E287" s="716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33.6</v>
      </c>
      <c r="Y287" s="53">
        <f t="shared" si="43"/>
        <v>33.6</v>
      </c>
      <c r="Z287" s="39">
        <f>IFERROR(IF(Y287=0,"",ROUNDUP(Y287/H287,0)*0.00651),"")</f>
        <v>9.1139999999999999E-2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37.212000000000003</v>
      </c>
      <c r="BN287" s="75">
        <f t="shared" si="45"/>
        <v>37.212000000000003</v>
      </c>
      <c r="BO287" s="75">
        <f t="shared" si="46"/>
        <v>7.6923076923076941E-2</v>
      </c>
      <c r="BP287" s="75">
        <f t="shared" si="47"/>
        <v>7.6923076923076941E-2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6">
        <v>4680115888340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724"/>
      <c r="B289" s="724"/>
      <c r="C289" s="724"/>
      <c r="D289" s="724"/>
      <c r="E289" s="724"/>
      <c r="F289" s="724"/>
      <c r="G289" s="724"/>
      <c r="H289" s="724"/>
      <c r="I289" s="724"/>
      <c r="J289" s="724"/>
      <c r="K289" s="724"/>
      <c r="L289" s="724"/>
      <c r="M289" s="724"/>
      <c r="N289" s="724"/>
      <c r="O289" s="725"/>
      <c r="P289" s="721" t="s">
        <v>40</v>
      </c>
      <c r="Q289" s="722"/>
      <c r="R289" s="722"/>
      <c r="S289" s="722"/>
      <c r="T289" s="722"/>
      <c r="U289" s="722"/>
      <c r="V289" s="723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64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64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0.51639999999999997</v>
      </c>
      <c r="AA289" s="64"/>
      <c r="AB289" s="64"/>
      <c r="AC289" s="64"/>
    </row>
    <row r="290" spans="1:68" x14ac:dyDescent="0.2">
      <c r="A290" s="724"/>
      <c r="B290" s="724"/>
      <c r="C290" s="724"/>
      <c r="D290" s="724"/>
      <c r="E290" s="724"/>
      <c r="F290" s="724"/>
      <c r="G290" s="724"/>
      <c r="H290" s="724"/>
      <c r="I290" s="724"/>
      <c r="J290" s="724"/>
      <c r="K290" s="724"/>
      <c r="L290" s="724"/>
      <c r="M290" s="724"/>
      <c r="N290" s="724"/>
      <c r="O290" s="725"/>
      <c r="P290" s="721" t="s">
        <v>40</v>
      </c>
      <c r="Q290" s="722"/>
      <c r="R290" s="722"/>
      <c r="S290" s="722"/>
      <c r="T290" s="722"/>
      <c r="U290" s="722"/>
      <c r="V290" s="723"/>
      <c r="W290" s="40" t="s">
        <v>0</v>
      </c>
      <c r="X290" s="41">
        <f>IFERROR(SUM(X277:X288),"0")</f>
        <v>203.99999999999997</v>
      </c>
      <c r="Y290" s="41">
        <f>IFERROR(SUM(Y277:Y288),"0")</f>
        <v>203.99999999999997</v>
      </c>
      <c r="Z290" s="40"/>
      <c r="AA290" s="64"/>
      <c r="AB290" s="64"/>
      <c r="AC290" s="64"/>
    </row>
    <row r="291" spans="1:68" ht="14.25" hidden="1" customHeight="1" x14ac:dyDescent="0.25">
      <c r="A291" s="715" t="s">
        <v>175</v>
      </c>
      <c r="B291" s="715"/>
      <c r="C291" s="715"/>
      <c r="D291" s="715"/>
      <c r="E291" s="715"/>
      <c r="F291" s="715"/>
      <c r="G291" s="715"/>
      <c r="H291" s="715"/>
      <c r="I291" s="715"/>
      <c r="J291" s="715"/>
      <c r="K291" s="715"/>
      <c r="L291" s="715"/>
      <c r="M291" s="715"/>
      <c r="N291" s="715"/>
      <c r="O291" s="715"/>
      <c r="P291" s="715"/>
      <c r="Q291" s="715"/>
      <c r="R291" s="715"/>
      <c r="S291" s="715"/>
      <c r="T291" s="715"/>
      <c r="U291" s="715"/>
      <c r="V291" s="715"/>
      <c r="W291" s="715"/>
      <c r="X291" s="715"/>
      <c r="Y291" s="715"/>
      <c r="Z291" s="715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6">
        <v>4680115880818</v>
      </c>
      <c r="E292" s="716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8"/>
      <c r="R292" s="718"/>
      <c r="S292" s="718"/>
      <c r="T292" s="719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6">
        <v>4680115880801</v>
      </c>
      <c r="E293" s="716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8"/>
      <c r="R293" s="718"/>
      <c r="S293" s="718"/>
      <c r="T293" s="719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4"/>
      <c r="B294" s="724"/>
      <c r="C294" s="724"/>
      <c r="D294" s="724"/>
      <c r="E294" s="724"/>
      <c r="F294" s="724"/>
      <c r="G294" s="724"/>
      <c r="H294" s="724"/>
      <c r="I294" s="724"/>
      <c r="J294" s="724"/>
      <c r="K294" s="724"/>
      <c r="L294" s="724"/>
      <c r="M294" s="724"/>
      <c r="N294" s="724"/>
      <c r="O294" s="725"/>
      <c r="P294" s="721" t="s">
        <v>40</v>
      </c>
      <c r="Q294" s="722"/>
      <c r="R294" s="722"/>
      <c r="S294" s="722"/>
      <c r="T294" s="722"/>
      <c r="U294" s="722"/>
      <c r="V294" s="723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4"/>
      <c r="B295" s="724"/>
      <c r="C295" s="724"/>
      <c r="D295" s="724"/>
      <c r="E295" s="724"/>
      <c r="F295" s="724"/>
      <c r="G295" s="724"/>
      <c r="H295" s="724"/>
      <c r="I295" s="724"/>
      <c r="J295" s="724"/>
      <c r="K295" s="724"/>
      <c r="L295" s="724"/>
      <c r="M295" s="724"/>
      <c r="N295" s="724"/>
      <c r="O295" s="725"/>
      <c r="P295" s="721" t="s">
        <v>40</v>
      </c>
      <c r="Q295" s="722"/>
      <c r="R295" s="722"/>
      <c r="S295" s="722"/>
      <c r="T295" s="722"/>
      <c r="U295" s="722"/>
      <c r="V295" s="723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4" t="s">
        <v>508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2"/>
      <c r="AB296" s="62"/>
      <c r="AC296" s="62"/>
    </row>
    <row r="297" spans="1:68" ht="14.25" hidden="1" customHeight="1" x14ac:dyDescent="0.25">
      <c r="A297" s="715" t="s">
        <v>122</v>
      </c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5"/>
      <c r="P297" s="715"/>
      <c r="Q297" s="715"/>
      <c r="R297" s="715"/>
      <c r="S297" s="715"/>
      <c r="T297" s="715"/>
      <c r="U297" s="715"/>
      <c r="V297" s="715"/>
      <c r="W297" s="715"/>
      <c r="X297" s="715"/>
      <c r="Y297" s="715"/>
      <c r="Z297" s="715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6">
        <v>4680115884137</v>
      </c>
      <c r="E298" s="716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8"/>
      <c r="R298" s="718"/>
      <c r="S298" s="718"/>
      <c r="T298" s="719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6">
        <v>4680115884236</v>
      </c>
      <c r="E299" s="716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8"/>
      <c r="R299" s="718"/>
      <c r="S299" s="718"/>
      <c r="T299" s="719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6">
        <v>4680115884175</v>
      </c>
      <c r="E300" s="716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8"/>
      <c r="R300" s="718"/>
      <c r="S300" s="718"/>
      <c r="T300" s="719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6">
        <v>4680115884144</v>
      </c>
      <c r="E301" s="716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6">
        <v>4680115886551</v>
      </c>
      <c r="E302" s="716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6">
        <v>4680115887282</v>
      </c>
      <c r="E303" s="716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6">
        <v>4680115884205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4"/>
      <c r="B305" s="724"/>
      <c r="C305" s="724"/>
      <c r="D305" s="724"/>
      <c r="E305" s="724"/>
      <c r="F305" s="724"/>
      <c r="G305" s="724"/>
      <c r="H305" s="724"/>
      <c r="I305" s="724"/>
      <c r="J305" s="724"/>
      <c r="K305" s="724"/>
      <c r="L305" s="724"/>
      <c r="M305" s="724"/>
      <c r="N305" s="724"/>
      <c r="O305" s="725"/>
      <c r="P305" s="721" t="s">
        <v>40</v>
      </c>
      <c r="Q305" s="722"/>
      <c r="R305" s="722"/>
      <c r="S305" s="722"/>
      <c r="T305" s="722"/>
      <c r="U305" s="722"/>
      <c r="V305" s="723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4"/>
      <c r="B306" s="724"/>
      <c r="C306" s="724"/>
      <c r="D306" s="724"/>
      <c r="E306" s="724"/>
      <c r="F306" s="724"/>
      <c r="G306" s="724"/>
      <c r="H306" s="724"/>
      <c r="I306" s="724"/>
      <c r="J306" s="724"/>
      <c r="K306" s="724"/>
      <c r="L306" s="724"/>
      <c r="M306" s="724"/>
      <c r="N306" s="724"/>
      <c r="O306" s="725"/>
      <c r="P306" s="721" t="s">
        <v>40</v>
      </c>
      <c r="Q306" s="722"/>
      <c r="R306" s="722"/>
      <c r="S306" s="722"/>
      <c r="T306" s="722"/>
      <c r="U306" s="722"/>
      <c r="V306" s="723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5" t="s">
        <v>157</v>
      </c>
      <c r="B307" s="715"/>
      <c r="C307" s="715"/>
      <c r="D307" s="715"/>
      <c r="E307" s="715"/>
      <c r="F307" s="715"/>
      <c r="G307" s="715"/>
      <c r="H307" s="715"/>
      <c r="I307" s="715"/>
      <c r="J307" s="715"/>
      <c r="K307" s="715"/>
      <c r="L307" s="715"/>
      <c r="M307" s="715"/>
      <c r="N307" s="715"/>
      <c r="O307" s="715"/>
      <c r="P307" s="715"/>
      <c r="Q307" s="715"/>
      <c r="R307" s="715"/>
      <c r="S307" s="715"/>
      <c r="T307" s="715"/>
      <c r="U307" s="715"/>
      <c r="V307" s="715"/>
      <c r="W307" s="715"/>
      <c r="X307" s="715"/>
      <c r="Y307" s="715"/>
      <c r="Z307" s="715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6">
        <v>4680115885981</v>
      </c>
      <c r="E308" s="716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8"/>
      <c r="R308" s="718"/>
      <c r="S308" s="718"/>
      <c r="T308" s="719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4"/>
      <c r="B310" s="724"/>
      <c r="C310" s="724"/>
      <c r="D310" s="724"/>
      <c r="E310" s="724"/>
      <c r="F310" s="724"/>
      <c r="G310" s="724"/>
      <c r="H310" s="724"/>
      <c r="I310" s="724"/>
      <c r="J310" s="724"/>
      <c r="K310" s="724"/>
      <c r="L310" s="724"/>
      <c r="M310" s="724"/>
      <c r="N310" s="724"/>
      <c r="O310" s="725"/>
      <c r="P310" s="721" t="s">
        <v>40</v>
      </c>
      <c r="Q310" s="722"/>
      <c r="R310" s="722"/>
      <c r="S310" s="722"/>
      <c r="T310" s="722"/>
      <c r="U310" s="722"/>
      <c r="V310" s="723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5" t="s">
        <v>530</v>
      </c>
      <c r="B311" s="715"/>
      <c r="C311" s="715"/>
      <c r="D311" s="715"/>
      <c r="E311" s="715"/>
      <c r="F311" s="715"/>
      <c r="G311" s="715"/>
      <c r="H311" s="715"/>
      <c r="I311" s="715"/>
      <c r="J311" s="715"/>
      <c r="K311" s="715"/>
      <c r="L311" s="715"/>
      <c r="M311" s="715"/>
      <c r="N311" s="715"/>
      <c r="O311" s="715"/>
      <c r="P311" s="715"/>
      <c r="Q311" s="715"/>
      <c r="R311" s="715"/>
      <c r="S311" s="715"/>
      <c r="T311" s="715"/>
      <c r="U311" s="715"/>
      <c r="V311" s="715"/>
      <c r="W311" s="715"/>
      <c r="X311" s="715"/>
      <c r="Y311" s="715"/>
      <c r="Z311" s="715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6">
        <v>4680115886803</v>
      </c>
      <c r="E312" s="716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8"/>
      <c r="R312" s="718"/>
      <c r="S312" s="718"/>
      <c r="T312" s="719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4"/>
      <c r="B314" s="724"/>
      <c r="C314" s="724"/>
      <c r="D314" s="724"/>
      <c r="E314" s="724"/>
      <c r="F314" s="724"/>
      <c r="G314" s="724"/>
      <c r="H314" s="724"/>
      <c r="I314" s="724"/>
      <c r="J314" s="724"/>
      <c r="K314" s="724"/>
      <c r="L314" s="724"/>
      <c r="M314" s="724"/>
      <c r="N314" s="724"/>
      <c r="O314" s="725"/>
      <c r="P314" s="721" t="s">
        <v>40</v>
      </c>
      <c r="Q314" s="722"/>
      <c r="R314" s="722"/>
      <c r="S314" s="722"/>
      <c r="T314" s="722"/>
      <c r="U314" s="722"/>
      <c r="V314" s="723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5" t="s">
        <v>339</v>
      </c>
      <c r="B315" s="715"/>
      <c r="C315" s="715"/>
      <c r="D315" s="715"/>
      <c r="E315" s="715"/>
      <c r="F315" s="715"/>
      <c r="G315" s="715"/>
      <c r="H315" s="715"/>
      <c r="I315" s="715"/>
      <c r="J315" s="715"/>
      <c r="K315" s="715"/>
      <c r="L315" s="715"/>
      <c r="M315" s="715"/>
      <c r="N315" s="715"/>
      <c r="O315" s="715"/>
      <c r="P315" s="715"/>
      <c r="Q315" s="715"/>
      <c r="R315" s="715"/>
      <c r="S315" s="715"/>
      <c r="T315" s="715"/>
      <c r="U315" s="715"/>
      <c r="V315" s="715"/>
      <c r="W315" s="715"/>
      <c r="X315" s="715"/>
      <c r="Y315" s="715"/>
      <c r="Z315" s="715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6">
        <v>4680115886681</v>
      </c>
      <c r="E316" s="716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8"/>
      <c r="R316" s="718"/>
      <c r="S316" s="718"/>
      <c r="T316" s="719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4"/>
      <c r="B318" s="724"/>
      <c r="C318" s="724"/>
      <c r="D318" s="724"/>
      <c r="E318" s="724"/>
      <c r="F318" s="724"/>
      <c r="G318" s="724"/>
      <c r="H318" s="724"/>
      <c r="I318" s="724"/>
      <c r="J318" s="724"/>
      <c r="K318" s="724"/>
      <c r="L318" s="724"/>
      <c r="M318" s="724"/>
      <c r="N318" s="724"/>
      <c r="O318" s="725"/>
      <c r="P318" s="721" t="s">
        <v>40</v>
      </c>
      <c r="Q318" s="722"/>
      <c r="R318" s="722"/>
      <c r="S318" s="722"/>
      <c r="T318" s="722"/>
      <c r="U318" s="722"/>
      <c r="V318" s="723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4" t="s">
        <v>537</v>
      </c>
      <c r="B319" s="714"/>
      <c r="C319" s="714"/>
      <c r="D319" s="714"/>
      <c r="E319" s="714"/>
      <c r="F319" s="714"/>
      <c r="G319" s="714"/>
      <c r="H319" s="714"/>
      <c r="I319" s="714"/>
      <c r="J319" s="714"/>
      <c r="K319" s="714"/>
      <c r="L319" s="714"/>
      <c r="M319" s="714"/>
      <c r="N319" s="714"/>
      <c r="O319" s="714"/>
      <c r="P319" s="714"/>
      <c r="Q319" s="714"/>
      <c r="R319" s="714"/>
      <c r="S319" s="714"/>
      <c r="T319" s="714"/>
      <c r="U319" s="714"/>
      <c r="V319" s="714"/>
      <c r="W319" s="714"/>
      <c r="X319" s="714"/>
      <c r="Y319" s="714"/>
      <c r="Z319" s="714"/>
      <c r="AA319" s="62"/>
      <c r="AB319" s="62"/>
      <c r="AC319" s="62"/>
    </row>
    <row r="320" spans="1:68" ht="14.25" hidden="1" customHeight="1" x14ac:dyDescent="0.25">
      <c r="A320" s="715" t="s">
        <v>122</v>
      </c>
      <c r="B320" s="715"/>
      <c r="C320" s="715"/>
      <c r="D320" s="715"/>
      <c r="E320" s="715"/>
      <c r="F320" s="715"/>
      <c r="G320" s="715"/>
      <c r="H320" s="715"/>
      <c r="I320" s="715"/>
      <c r="J320" s="715"/>
      <c r="K320" s="715"/>
      <c r="L320" s="715"/>
      <c r="M320" s="715"/>
      <c r="N320" s="715"/>
      <c r="O320" s="715"/>
      <c r="P320" s="715"/>
      <c r="Q320" s="715"/>
      <c r="R320" s="715"/>
      <c r="S320" s="715"/>
      <c r="T320" s="715"/>
      <c r="U320" s="715"/>
      <c r="V320" s="715"/>
      <c r="W320" s="715"/>
      <c r="X320" s="715"/>
      <c r="Y320" s="715"/>
      <c r="Z320" s="715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6">
        <v>4680115889637</v>
      </c>
      <c r="E321" s="716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90" t="s">
        <v>540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6">
        <v>4680115885837</v>
      </c>
      <c r="E322" s="716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8"/>
      <c r="R322" s="718"/>
      <c r="S322" s="718"/>
      <c r="T322" s="719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6">
        <v>4680115887237</v>
      </c>
      <c r="E323" s="716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8"/>
      <c r="R323" s="718"/>
      <c r="S323" s="718"/>
      <c r="T323" s="719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6">
        <v>4680115885806</v>
      </c>
      <c r="E324" s="716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8"/>
      <c r="R324" s="718"/>
      <c r="S324" s="718"/>
      <c r="T324" s="719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6">
        <v>4680115885844</v>
      </c>
      <c r="E325" s="716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8"/>
      <c r="R325" s="718"/>
      <c r="S325" s="718"/>
      <c r="T325" s="719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6">
        <v>4680115885820</v>
      </c>
      <c r="E326" s="716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4"/>
      <c r="B327" s="724"/>
      <c r="C327" s="724"/>
      <c r="D327" s="724"/>
      <c r="E327" s="724"/>
      <c r="F327" s="724"/>
      <c r="G327" s="724"/>
      <c r="H327" s="724"/>
      <c r="I327" s="724"/>
      <c r="J327" s="724"/>
      <c r="K327" s="724"/>
      <c r="L327" s="724"/>
      <c r="M327" s="724"/>
      <c r="N327" s="724"/>
      <c r="O327" s="725"/>
      <c r="P327" s="721" t="s">
        <v>40</v>
      </c>
      <c r="Q327" s="722"/>
      <c r="R327" s="722"/>
      <c r="S327" s="722"/>
      <c r="T327" s="722"/>
      <c r="U327" s="722"/>
      <c r="V327" s="723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4"/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5"/>
      <c r="P328" s="721" t="s">
        <v>40</v>
      </c>
      <c r="Q328" s="722"/>
      <c r="R328" s="722"/>
      <c r="S328" s="722"/>
      <c r="T328" s="722"/>
      <c r="U328" s="722"/>
      <c r="V328" s="723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4" t="s">
        <v>558</v>
      </c>
      <c r="B329" s="714"/>
      <c r="C329" s="714"/>
      <c r="D329" s="714"/>
      <c r="E329" s="714"/>
      <c r="F329" s="714"/>
      <c r="G329" s="714"/>
      <c r="H329" s="714"/>
      <c r="I329" s="714"/>
      <c r="J329" s="714"/>
      <c r="K329" s="714"/>
      <c r="L329" s="714"/>
      <c r="M329" s="714"/>
      <c r="N329" s="714"/>
      <c r="O329" s="714"/>
      <c r="P329" s="714"/>
      <c r="Q329" s="714"/>
      <c r="R329" s="714"/>
      <c r="S329" s="714"/>
      <c r="T329" s="714"/>
      <c r="U329" s="714"/>
      <c r="V329" s="714"/>
      <c r="W329" s="714"/>
      <c r="X329" s="714"/>
      <c r="Y329" s="714"/>
      <c r="Z329" s="714"/>
      <c r="AA329" s="62"/>
      <c r="AB329" s="62"/>
      <c r="AC329" s="62"/>
    </row>
    <row r="330" spans="1:68" ht="14.25" hidden="1" customHeight="1" x14ac:dyDescent="0.25">
      <c r="A330" s="715" t="s">
        <v>86</v>
      </c>
      <c r="B330" s="715"/>
      <c r="C330" s="715"/>
      <c r="D330" s="715"/>
      <c r="E330" s="715"/>
      <c r="F330" s="715"/>
      <c r="G330" s="715"/>
      <c r="H330" s="715"/>
      <c r="I330" s="715"/>
      <c r="J330" s="715"/>
      <c r="K330" s="715"/>
      <c r="L330" s="715"/>
      <c r="M330" s="715"/>
      <c r="N330" s="715"/>
      <c r="O330" s="715"/>
      <c r="P330" s="715"/>
      <c r="Q330" s="715"/>
      <c r="R330" s="715"/>
      <c r="S330" s="715"/>
      <c r="T330" s="715"/>
      <c r="U330" s="715"/>
      <c r="V330" s="715"/>
      <c r="W330" s="715"/>
      <c r="X330" s="715"/>
      <c r="Y330" s="715"/>
      <c r="Z330" s="715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6">
        <v>4680115886186</v>
      </c>
      <c r="E331" s="716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8"/>
      <c r="R331" s="718"/>
      <c r="S331" s="718"/>
      <c r="T331" s="719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6">
        <v>4680115881228</v>
      </c>
      <c r="E332" s="716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8"/>
      <c r="R332" s="718"/>
      <c r="S332" s="718"/>
      <c r="T332" s="71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6">
        <v>4680115881211</v>
      </c>
      <c r="E333" s="716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8"/>
      <c r="R333" s="718"/>
      <c r="S333" s="718"/>
      <c r="T333" s="71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4"/>
      <c r="B334" s="724"/>
      <c r="C334" s="724"/>
      <c r="D334" s="724"/>
      <c r="E334" s="724"/>
      <c r="F334" s="724"/>
      <c r="G334" s="724"/>
      <c r="H334" s="724"/>
      <c r="I334" s="724"/>
      <c r="J334" s="724"/>
      <c r="K334" s="724"/>
      <c r="L334" s="724"/>
      <c r="M334" s="724"/>
      <c r="N334" s="724"/>
      <c r="O334" s="725"/>
      <c r="P334" s="721" t="s">
        <v>40</v>
      </c>
      <c r="Q334" s="722"/>
      <c r="R334" s="722"/>
      <c r="S334" s="722"/>
      <c r="T334" s="722"/>
      <c r="U334" s="722"/>
      <c r="V334" s="723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4"/>
      <c r="B335" s="724"/>
      <c r="C335" s="724"/>
      <c r="D335" s="724"/>
      <c r="E335" s="724"/>
      <c r="F335" s="724"/>
      <c r="G335" s="724"/>
      <c r="H335" s="724"/>
      <c r="I335" s="724"/>
      <c r="J335" s="724"/>
      <c r="K335" s="724"/>
      <c r="L335" s="724"/>
      <c r="M335" s="724"/>
      <c r="N335" s="724"/>
      <c r="O335" s="725"/>
      <c r="P335" s="721" t="s">
        <v>40</v>
      </c>
      <c r="Q335" s="722"/>
      <c r="R335" s="722"/>
      <c r="S335" s="722"/>
      <c r="T335" s="722"/>
      <c r="U335" s="722"/>
      <c r="V335" s="723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4" t="s">
        <v>567</v>
      </c>
      <c r="B336" s="714"/>
      <c r="C336" s="714"/>
      <c r="D336" s="714"/>
      <c r="E336" s="714"/>
      <c r="F336" s="714"/>
      <c r="G336" s="714"/>
      <c r="H336" s="714"/>
      <c r="I336" s="714"/>
      <c r="J336" s="714"/>
      <c r="K336" s="714"/>
      <c r="L336" s="714"/>
      <c r="M336" s="714"/>
      <c r="N336" s="714"/>
      <c r="O336" s="714"/>
      <c r="P336" s="714"/>
      <c r="Q336" s="714"/>
      <c r="R336" s="714"/>
      <c r="S336" s="714"/>
      <c r="T336" s="714"/>
      <c r="U336" s="714"/>
      <c r="V336" s="714"/>
      <c r="W336" s="714"/>
      <c r="X336" s="714"/>
      <c r="Y336" s="714"/>
      <c r="Z336" s="714"/>
      <c r="AA336" s="62"/>
      <c r="AB336" s="62"/>
      <c r="AC336" s="62"/>
    </row>
    <row r="337" spans="1:68" ht="14.25" hidden="1" customHeight="1" x14ac:dyDescent="0.25">
      <c r="A337" s="715" t="s">
        <v>77</v>
      </c>
      <c r="B337" s="715"/>
      <c r="C337" s="715"/>
      <c r="D337" s="715"/>
      <c r="E337" s="715"/>
      <c r="F337" s="715"/>
      <c r="G337" s="715"/>
      <c r="H337" s="715"/>
      <c r="I337" s="715"/>
      <c r="J337" s="715"/>
      <c r="K337" s="715"/>
      <c r="L337" s="715"/>
      <c r="M337" s="715"/>
      <c r="N337" s="715"/>
      <c r="O337" s="715"/>
      <c r="P337" s="715"/>
      <c r="Q337" s="715"/>
      <c r="R337" s="715"/>
      <c r="S337" s="715"/>
      <c r="T337" s="715"/>
      <c r="U337" s="715"/>
      <c r="V337" s="715"/>
      <c r="W337" s="715"/>
      <c r="X337" s="715"/>
      <c r="Y337" s="715"/>
      <c r="Z337" s="715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6">
        <v>4680115888319</v>
      </c>
      <c r="E338" s="716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8"/>
      <c r="R338" s="718"/>
      <c r="S338" s="718"/>
      <c r="T338" s="71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6">
        <v>4680115884700</v>
      </c>
      <c r="E339" s="716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90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8"/>
      <c r="R339" s="718"/>
      <c r="S339" s="718"/>
      <c r="T339" s="71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6">
        <v>4680115880344</v>
      </c>
      <c r="E340" s="716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9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8"/>
      <c r="R340" s="718"/>
      <c r="S340" s="718"/>
      <c r="T340" s="71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6">
        <v>4680115886919</v>
      </c>
      <c r="E341" s="716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8"/>
      <c r="R341" s="718"/>
      <c r="S341" s="718"/>
      <c r="T341" s="719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6">
        <v>4680115883970</v>
      </c>
      <c r="E342" s="716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4"/>
      <c r="B343" s="724"/>
      <c r="C343" s="724"/>
      <c r="D343" s="724"/>
      <c r="E343" s="724"/>
      <c r="F343" s="724"/>
      <c r="G343" s="724"/>
      <c r="H343" s="724"/>
      <c r="I343" s="724"/>
      <c r="J343" s="724"/>
      <c r="K343" s="724"/>
      <c r="L343" s="724"/>
      <c r="M343" s="724"/>
      <c r="N343" s="724"/>
      <c r="O343" s="725"/>
      <c r="P343" s="721" t="s">
        <v>40</v>
      </c>
      <c r="Q343" s="722"/>
      <c r="R343" s="722"/>
      <c r="S343" s="722"/>
      <c r="T343" s="722"/>
      <c r="U343" s="722"/>
      <c r="V343" s="723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4"/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5"/>
      <c r="P344" s="721" t="s">
        <v>40</v>
      </c>
      <c r="Q344" s="722"/>
      <c r="R344" s="722"/>
      <c r="S344" s="722"/>
      <c r="T344" s="722"/>
      <c r="U344" s="722"/>
      <c r="V344" s="723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5" t="s">
        <v>86</v>
      </c>
      <c r="B345" s="715"/>
      <c r="C345" s="715"/>
      <c r="D345" s="715"/>
      <c r="E345" s="715"/>
      <c r="F345" s="715"/>
      <c r="G345" s="715"/>
      <c r="H345" s="715"/>
      <c r="I345" s="715"/>
      <c r="J345" s="715"/>
      <c r="K345" s="715"/>
      <c r="L345" s="715"/>
      <c r="M345" s="715"/>
      <c r="N345" s="715"/>
      <c r="O345" s="715"/>
      <c r="P345" s="715"/>
      <c r="Q345" s="715"/>
      <c r="R345" s="715"/>
      <c r="S345" s="715"/>
      <c r="T345" s="715"/>
      <c r="U345" s="715"/>
      <c r="V345" s="715"/>
      <c r="W345" s="715"/>
      <c r="X345" s="715"/>
      <c r="Y345" s="715"/>
      <c r="Z345" s="715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6">
        <v>4680115884618</v>
      </c>
      <c r="E346" s="716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6">
        <v>4680115887114</v>
      </c>
      <c r="E347" s="716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8"/>
      <c r="R347" s="718"/>
      <c r="S347" s="718"/>
      <c r="T347" s="719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4"/>
      <c r="B349" s="724"/>
      <c r="C349" s="724"/>
      <c r="D349" s="724"/>
      <c r="E349" s="724"/>
      <c r="F349" s="724"/>
      <c r="G349" s="724"/>
      <c r="H349" s="724"/>
      <c r="I349" s="724"/>
      <c r="J349" s="724"/>
      <c r="K349" s="724"/>
      <c r="L349" s="724"/>
      <c r="M349" s="724"/>
      <c r="N349" s="724"/>
      <c r="O349" s="725"/>
      <c r="P349" s="721" t="s">
        <v>40</v>
      </c>
      <c r="Q349" s="722"/>
      <c r="R349" s="722"/>
      <c r="S349" s="722"/>
      <c r="T349" s="722"/>
      <c r="U349" s="722"/>
      <c r="V349" s="723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4" t="s">
        <v>588</v>
      </c>
      <c r="B350" s="714"/>
      <c r="C350" s="714"/>
      <c r="D350" s="714"/>
      <c r="E350" s="714"/>
      <c r="F350" s="714"/>
      <c r="G350" s="714"/>
      <c r="H350" s="714"/>
      <c r="I350" s="714"/>
      <c r="J350" s="714"/>
      <c r="K350" s="714"/>
      <c r="L350" s="714"/>
      <c r="M350" s="714"/>
      <c r="N350" s="714"/>
      <c r="O350" s="714"/>
      <c r="P350" s="714"/>
      <c r="Q350" s="714"/>
      <c r="R350" s="714"/>
      <c r="S350" s="714"/>
      <c r="T350" s="714"/>
      <c r="U350" s="714"/>
      <c r="V350" s="714"/>
      <c r="W350" s="714"/>
      <c r="X350" s="714"/>
      <c r="Y350" s="714"/>
      <c r="Z350" s="714"/>
      <c r="AA350" s="62"/>
      <c r="AB350" s="62"/>
      <c r="AC350" s="62"/>
    </row>
    <row r="351" spans="1:68" ht="14.25" hidden="1" customHeight="1" x14ac:dyDescent="0.25">
      <c r="A351" s="715" t="s">
        <v>122</v>
      </c>
      <c r="B351" s="715"/>
      <c r="C351" s="715"/>
      <c r="D351" s="715"/>
      <c r="E351" s="715"/>
      <c r="F351" s="715"/>
      <c r="G351" s="715"/>
      <c r="H351" s="715"/>
      <c r="I351" s="715"/>
      <c r="J351" s="715"/>
      <c r="K351" s="715"/>
      <c r="L351" s="715"/>
      <c r="M351" s="715"/>
      <c r="N351" s="715"/>
      <c r="O351" s="715"/>
      <c r="P351" s="715"/>
      <c r="Q351" s="715"/>
      <c r="R351" s="715"/>
      <c r="S351" s="715"/>
      <c r="T351" s="715"/>
      <c r="U351" s="715"/>
      <c r="V351" s="715"/>
      <c r="W351" s="715"/>
      <c r="X351" s="715"/>
      <c r="Y351" s="715"/>
      <c r="Z351" s="715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6">
        <v>4680115887947</v>
      </c>
      <c r="E352" s="716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8"/>
      <c r="R352" s="718"/>
      <c r="S352" s="718"/>
      <c r="T352" s="719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6">
        <v>4680115887978</v>
      </c>
      <c r="E353" s="716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8"/>
      <c r="R353" s="718"/>
      <c r="S353" s="718"/>
      <c r="T353" s="719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6">
        <v>4680115887992</v>
      </c>
      <c r="E354" s="716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8"/>
      <c r="R354" s="718"/>
      <c r="S354" s="718"/>
      <c r="T354" s="719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4"/>
      <c r="B355" s="724"/>
      <c r="C355" s="724"/>
      <c r="D355" s="724"/>
      <c r="E355" s="724"/>
      <c r="F355" s="724"/>
      <c r="G355" s="724"/>
      <c r="H355" s="724"/>
      <c r="I355" s="724"/>
      <c r="J355" s="724"/>
      <c r="K355" s="724"/>
      <c r="L355" s="724"/>
      <c r="M355" s="724"/>
      <c r="N355" s="724"/>
      <c r="O355" s="725"/>
      <c r="P355" s="721" t="s">
        <v>40</v>
      </c>
      <c r="Q355" s="722"/>
      <c r="R355" s="722"/>
      <c r="S355" s="722"/>
      <c r="T355" s="722"/>
      <c r="U355" s="722"/>
      <c r="V355" s="723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4"/>
      <c r="B356" s="724"/>
      <c r="C356" s="724"/>
      <c r="D356" s="724"/>
      <c r="E356" s="724"/>
      <c r="F356" s="724"/>
      <c r="G356" s="724"/>
      <c r="H356" s="724"/>
      <c r="I356" s="724"/>
      <c r="J356" s="724"/>
      <c r="K356" s="724"/>
      <c r="L356" s="724"/>
      <c r="M356" s="724"/>
      <c r="N356" s="724"/>
      <c r="O356" s="725"/>
      <c r="P356" s="721" t="s">
        <v>40</v>
      </c>
      <c r="Q356" s="722"/>
      <c r="R356" s="722"/>
      <c r="S356" s="722"/>
      <c r="T356" s="722"/>
      <c r="U356" s="722"/>
      <c r="V356" s="723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4" t="s">
        <v>597</v>
      </c>
      <c r="B357" s="714"/>
      <c r="C357" s="714"/>
      <c r="D357" s="714"/>
      <c r="E357" s="714"/>
      <c r="F357" s="714"/>
      <c r="G357" s="714"/>
      <c r="H357" s="714"/>
      <c r="I357" s="714"/>
      <c r="J357" s="714"/>
      <c r="K357" s="714"/>
      <c r="L357" s="714"/>
      <c r="M357" s="714"/>
      <c r="N357" s="714"/>
      <c r="O357" s="714"/>
      <c r="P357" s="714"/>
      <c r="Q357" s="714"/>
      <c r="R357" s="714"/>
      <c r="S357" s="714"/>
      <c r="T357" s="714"/>
      <c r="U357" s="714"/>
      <c r="V357" s="714"/>
      <c r="W357" s="714"/>
      <c r="X357" s="714"/>
      <c r="Y357" s="714"/>
      <c r="Z357" s="714"/>
      <c r="AA357" s="62"/>
      <c r="AB357" s="62"/>
      <c r="AC357" s="62"/>
    </row>
    <row r="358" spans="1:68" ht="14.25" hidden="1" customHeight="1" x14ac:dyDescent="0.25">
      <c r="A358" s="715" t="s">
        <v>122</v>
      </c>
      <c r="B358" s="715"/>
      <c r="C358" s="715"/>
      <c r="D358" s="715"/>
      <c r="E358" s="715"/>
      <c r="F358" s="715"/>
      <c r="G358" s="715"/>
      <c r="H358" s="715"/>
      <c r="I358" s="715"/>
      <c r="J358" s="715"/>
      <c r="K358" s="715"/>
      <c r="L358" s="715"/>
      <c r="M358" s="715"/>
      <c r="N358" s="715"/>
      <c r="O358" s="715"/>
      <c r="P358" s="715"/>
      <c r="Q358" s="715"/>
      <c r="R358" s="715"/>
      <c r="S358" s="715"/>
      <c r="T358" s="715"/>
      <c r="U358" s="715"/>
      <c r="V358" s="715"/>
      <c r="W358" s="715"/>
      <c r="X358" s="715"/>
      <c r="Y358" s="715"/>
      <c r="Z358" s="715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6">
        <v>4680115889880</v>
      </c>
      <c r="E359" s="716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9" t="s">
        <v>600</v>
      </c>
      <c r="Q359" s="718"/>
      <c r="R359" s="718"/>
      <c r="S359" s="718"/>
      <c r="T359" s="719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6">
        <v>4680115889293</v>
      </c>
      <c r="E360" s="716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8"/>
      <c r="R360" s="718"/>
      <c r="S360" s="718"/>
      <c r="T360" s="719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6">
        <v>4680115887190</v>
      </c>
      <c r="E361" s="716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8"/>
      <c r="R361" s="718"/>
      <c r="S361" s="718"/>
      <c r="T361" s="719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6">
        <v>4680115887138</v>
      </c>
      <c r="E362" s="716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8"/>
      <c r="R362" s="718"/>
      <c r="S362" s="718"/>
      <c r="T362" s="719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6">
        <v>4680115885554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6">
        <v>4680115887220</v>
      </c>
      <c r="E364" s="716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6">
        <v>4680115885608</v>
      </c>
      <c r="E365" s="716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4"/>
      <c r="B366" s="724"/>
      <c r="C366" s="724"/>
      <c r="D366" s="724"/>
      <c r="E366" s="724"/>
      <c r="F366" s="724"/>
      <c r="G366" s="724"/>
      <c r="H366" s="724"/>
      <c r="I366" s="724"/>
      <c r="J366" s="724"/>
      <c r="K366" s="724"/>
      <c r="L366" s="724"/>
      <c r="M366" s="724"/>
      <c r="N366" s="724"/>
      <c r="O366" s="725"/>
      <c r="P366" s="721" t="s">
        <v>40</v>
      </c>
      <c r="Q366" s="722"/>
      <c r="R366" s="722"/>
      <c r="S366" s="722"/>
      <c r="T366" s="722"/>
      <c r="U366" s="722"/>
      <c r="V366" s="723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4"/>
      <c r="B367" s="724"/>
      <c r="C367" s="724"/>
      <c r="D367" s="724"/>
      <c r="E367" s="724"/>
      <c r="F367" s="724"/>
      <c r="G367" s="724"/>
      <c r="H367" s="724"/>
      <c r="I367" s="724"/>
      <c r="J367" s="724"/>
      <c r="K367" s="724"/>
      <c r="L367" s="724"/>
      <c r="M367" s="724"/>
      <c r="N367" s="724"/>
      <c r="O367" s="725"/>
      <c r="P367" s="721" t="s">
        <v>40</v>
      </c>
      <c r="Q367" s="722"/>
      <c r="R367" s="722"/>
      <c r="S367" s="722"/>
      <c r="T367" s="722"/>
      <c r="U367" s="722"/>
      <c r="V367" s="723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5" t="s">
        <v>77</v>
      </c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5"/>
      <c r="P368" s="715"/>
      <c r="Q368" s="715"/>
      <c r="R368" s="715"/>
      <c r="S368" s="715"/>
      <c r="T368" s="715"/>
      <c r="U368" s="715"/>
      <c r="V368" s="715"/>
      <c r="W368" s="715"/>
      <c r="X368" s="715"/>
      <c r="Y368" s="715"/>
      <c r="Z368" s="715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6">
        <v>4607091387193</v>
      </c>
      <c r="E369" s="716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8"/>
      <c r="R369" s="718"/>
      <c r="S369" s="718"/>
      <c r="T369" s="719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6">
        <v>4607091387230</v>
      </c>
      <c r="E370" s="716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8"/>
      <c r="R370" s="718"/>
      <c r="S370" s="718"/>
      <c r="T370" s="719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6">
        <v>4607091387292</v>
      </c>
      <c r="E371" s="716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8"/>
      <c r="R371" s="718"/>
      <c r="S371" s="718"/>
      <c r="T371" s="719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6">
        <v>4607091387285</v>
      </c>
      <c r="E372" s="716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6">
        <v>4607091389845</v>
      </c>
      <c r="E373" s="716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6">
        <v>4680115887442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6">
        <v>4607091383836</v>
      </c>
      <c r="E375" s="716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4"/>
      <c r="B376" s="724"/>
      <c r="C376" s="724"/>
      <c r="D376" s="724"/>
      <c r="E376" s="724"/>
      <c r="F376" s="724"/>
      <c r="G376" s="724"/>
      <c r="H376" s="724"/>
      <c r="I376" s="724"/>
      <c r="J376" s="724"/>
      <c r="K376" s="724"/>
      <c r="L376" s="724"/>
      <c r="M376" s="724"/>
      <c r="N376" s="724"/>
      <c r="O376" s="725"/>
      <c r="P376" s="721" t="s">
        <v>40</v>
      </c>
      <c r="Q376" s="722"/>
      <c r="R376" s="722"/>
      <c r="S376" s="722"/>
      <c r="T376" s="722"/>
      <c r="U376" s="722"/>
      <c r="V376" s="723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4"/>
      <c r="B377" s="724"/>
      <c r="C377" s="724"/>
      <c r="D377" s="724"/>
      <c r="E377" s="724"/>
      <c r="F377" s="724"/>
      <c r="G377" s="724"/>
      <c r="H377" s="724"/>
      <c r="I377" s="724"/>
      <c r="J377" s="724"/>
      <c r="K377" s="724"/>
      <c r="L377" s="724"/>
      <c r="M377" s="724"/>
      <c r="N377" s="724"/>
      <c r="O377" s="725"/>
      <c r="P377" s="721" t="s">
        <v>40</v>
      </c>
      <c r="Q377" s="722"/>
      <c r="R377" s="722"/>
      <c r="S377" s="722"/>
      <c r="T377" s="722"/>
      <c r="U377" s="722"/>
      <c r="V377" s="723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5" t="s">
        <v>86</v>
      </c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5"/>
      <c r="P378" s="715"/>
      <c r="Q378" s="715"/>
      <c r="R378" s="715"/>
      <c r="S378" s="715"/>
      <c r="T378" s="715"/>
      <c r="U378" s="715"/>
      <c r="V378" s="715"/>
      <c r="W378" s="715"/>
      <c r="X378" s="715"/>
      <c r="Y378" s="715"/>
      <c r="Z378" s="715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6">
        <v>4607091387766</v>
      </c>
      <c r="E379" s="716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8"/>
      <c r="R379" s="718"/>
      <c r="S379" s="718"/>
      <c r="T379" s="71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6">
        <v>4607091387957</v>
      </c>
      <c r="E380" s="716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8"/>
      <c r="R380" s="718"/>
      <c r="S380" s="718"/>
      <c r="T380" s="71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6">
        <v>4607091387964</v>
      </c>
      <c r="E381" s="716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8"/>
      <c r="R381" s="718"/>
      <c r="S381" s="718"/>
      <c r="T381" s="719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6">
        <v>4680115884588</v>
      </c>
      <c r="E382" s="716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4"/>
      <c r="B383" s="724"/>
      <c r="C383" s="724"/>
      <c r="D383" s="724"/>
      <c r="E383" s="724"/>
      <c r="F383" s="724"/>
      <c r="G383" s="724"/>
      <c r="H383" s="724"/>
      <c r="I383" s="724"/>
      <c r="J383" s="724"/>
      <c r="K383" s="724"/>
      <c r="L383" s="724"/>
      <c r="M383" s="724"/>
      <c r="N383" s="724"/>
      <c r="O383" s="725"/>
      <c r="P383" s="721" t="s">
        <v>40</v>
      </c>
      <c r="Q383" s="722"/>
      <c r="R383" s="722"/>
      <c r="S383" s="722"/>
      <c r="T383" s="722"/>
      <c r="U383" s="722"/>
      <c r="V383" s="723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4"/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5"/>
      <c r="P384" s="721" t="s">
        <v>40</v>
      </c>
      <c r="Q384" s="722"/>
      <c r="R384" s="722"/>
      <c r="S384" s="722"/>
      <c r="T384" s="722"/>
      <c r="U384" s="722"/>
      <c r="V384" s="723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5" t="s">
        <v>175</v>
      </c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5"/>
      <c r="P385" s="715"/>
      <c r="Q385" s="715"/>
      <c r="R385" s="715"/>
      <c r="S385" s="715"/>
      <c r="T385" s="715"/>
      <c r="U385" s="715"/>
      <c r="V385" s="715"/>
      <c r="W385" s="715"/>
      <c r="X385" s="715"/>
      <c r="Y385" s="715"/>
      <c r="Z385" s="715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716">
        <v>4607091380880</v>
      </c>
      <c r="E386" s="716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8"/>
      <c r="R386" s="718"/>
      <c r="S386" s="718"/>
      <c r="T386" s="71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716">
        <v>4607091384482</v>
      </c>
      <c r="E387" s="716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8"/>
      <c r="R387" s="718"/>
      <c r="S387" s="718"/>
      <c r="T387" s="719"/>
      <c r="U387" s="37" t="s">
        <v>46</v>
      </c>
      <c r="V387" s="37" t="s">
        <v>46</v>
      </c>
      <c r="W387" s="38" t="s">
        <v>0</v>
      </c>
      <c r="X387" s="56">
        <v>124.8</v>
      </c>
      <c r="Y387" s="53">
        <f>IFERROR(IF(X387="",0,CEILING((X387/$H387),1)*$H387),"")</f>
        <v>124.8</v>
      </c>
      <c r="Z387" s="39">
        <f>IFERROR(IF(Y387=0,"",ROUNDUP(Y387/H387,0)*0.01898),"")</f>
        <v>0.30368000000000001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132.70400000000001</v>
      </c>
      <c r="BN387" s="75">
        <f>IFERROR(Y387*I387/H387,"0")</f>
        <v>132.70400000000001</v>
      </c>
      <c r="BO387" s="75">
        <f>IFERROR(1/J387*(X387/H387),"0")</f>
        <v>0.25</v>
      </c>
      <c r="BP387" s="75">
        <f>IFERROR(1/J387*(Y387/H387),"0")</f>
        <v>0.25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716">
        <v>4607091380897</v>
      </c>
      <c r="E388" s="716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8"/>
      <c r="R388" s="718"/>
      <c r="S388" s="718"/>
      <c r="T388" s="719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x14ac:dyDescent="0.2">
      <c r="A389" s="724"/>
      <c r="B389" s="724"/>
      <c r="C389" s="724"/>
      <c r="D389" s="724"/>
      <c r="E389" s="724"/>
      <c r="F389" s="724"/>
      <c r="G389" s="724"/>
      <c r="H389" s="724"/>
      <c r="I389" s="724"/>
      <c r="J389" s="724"/>
      <c r="K389" s="724"/>
      <c r="L389" s="724"/>
      <c r="M389" s="724"/>
      <c r="N389" s="724"/>
      <c r="O389" s="725"/>
      <c r="P389" s="721" t="s">
        <v>40</v>
      </c>
      <c r="Q389" s="722"/>
      <c r="R389" s="722"/>
      <c r="S389" s="722"/>
      <c r="T389" s="722"/>
      <c r="U389" s="722"/>
      <c r="V389" s="723"/>
      <c r="W389" s="40" t="s">
        <v>39</v>
      </c>
      <c r="X389" s="41">
        <f>IFERROR(X386/H386,"0")+IFERROR(X387/H387,"0")+IFERROR(X388/H388,"0")</f>
        <v>16</v>
      </c>
      <c r="Y389" s="41">
        <f>IFERROR(Y386/H386,"0")+IFERROR(Y387/H387,"0")+IFERROR(Y388/H388,"0")</f>
        <v>16</v>
      </c>
      <c r="Z389" s="41">
        <f>IFERROR(IF(Z386="",0,Z386),"0")+IFERROR(IF(Z387="",0,Z387),"0")+IFERROR(IF(Z388="",0,Z388),"0")</f>
        <v>0.30368000000000001</v>
      </c>
      <c r="AA389" s="64"/>
      <c r="AB389" s="64"/>
      <c r="AC389" s="64"/>
    </row>
    <row r="390" spans="1:68" x14ac:dyDescent="0.2">
      <c r="A390" s="724"/>
      <c r="B390" s="724"/>
      <c r="C390" s="724"/>
      <c r="D390" s="724"/>
      <c r="E390" s="724"/>
      <c r="F390" s="724"/>
      <c r="G390" s="724"/>
      <c r="H390" s="724"/>
      <c r="I390" s="724"/>
      <c r="J390" s="724"/>
      <c r="K390" s="724"/>
      <c r="L390" s="724"/>
      <c r="M390" s="724"/>
      <c r="N390" s="724"/>
      <c r="O390" s="725"/>
      <c r="P390" s="721" t="s">
        <v>40</v>
      </c>
      <c r="Q390" s="722"/>
      <c r="R390" s="722"/>
      <c r="S390" s="722"/>
      <c r="T390" s="722"/>
      <c r="U390" s="722"/>
      <c r="V390" s="723"/>
      <c r="W390" s="40" t="s">
        <v>0</v>
      </c>
      <c r="X390" s="41">
        <f>IFERROR(SUM(X386:X388),"0")</f>
        <v>124.8</v>
      </c>
      <c r="Y390" s="41">
        <f>IFERROR(SUM(Y386:Y388),"0")</f>
        <v>124.8</v>
      </c>
      <c r="Z390" s="40"/>
      <c r="AA390" s="64"/>
      <c r="AB390" s="64"/>
      <c r="AC390" s="64"/>
    </row>
    <row r="391" spans="1:68" ht="14.25" hidden="1" customHeight="1" x14ac:dyDescent="0.25">
      <c r="A391" s="715" t="s">
        <v>278</v>
      </c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5"/>
      <c r="P391" s="715"/>
      <c r="Q391" s="715"/>
      <c r="R391" s="715"/>
      <c r="S391" s="715"/>
      <c r="T391" s="715"/>
      <c r="U391" s="715"/>
      <c r="V391" s="715"/>
      <c r="W391" s="715"/>
      <c r="X391" s="715"/>
      <c r="Y391" s="715"/>
      <c r="Z391" s="715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6">
        <v>4607091388381</v>
      </c>
      <c r="E392" s="716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8"/>
      <c r="R392" s="718"/>
      <c r="S392" s="718"/>
      <c r="T392" s="719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6">
        <v>4607091388374</v>
      </c>
      <c r="E393" s="716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8"/>
      <c r="R393" s="718"/>
      <c r="S393" s="718"/>
      <c r="T393" s="719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6">
        <v>4607091383102</v>
      </c>
      <c r="E394" s="716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8"/>
      <c r="R394" s="718"/>
      <c r="S394" s="718"/>
      <c r="T394" s="719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6">
        <v>4607091388404</v>
      </c>
      <c r="E395" s="716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4"/>
      <c r="B396" s="724"/>
      <c r="C396" s="724"/>
      <c r="D396" s="724"/>
      <c r="E396" s="724"/>
      <c r="F396" s="724"/>
      <c r="G396" s="724"/>
      <c r="H396" s="724"/>
      <c r="I396" s="724"/>
      <c r="J396" s="724"/>
      <c r="K396" s="724"/>
      <c r="L396" s="724"/>
      <c r="M396" s="724"/>
      <c r="N396" s="724"/>
      <c r="O396" s="725"/>
      <c r="P396" s="721" t="s">
        <v>40</v>
      </c>
      <c r="Q396" s="722"/>
      <c r="R396" s="722"/>
      <c r="S396" s="722"/>
      <c r="T396" s="722"/>
      <c r="U396" s="722"/>
      <c r="V396" s="723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4"/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5"/>
      <c r="P397" s="721" t="s">
        <v>40</v>
      </c>
      <c r="Q397" s="722"/>
      <c r="R397" s="722"/>
      <c r="S397" s="722"/>
      <c r="T397" s="722"/>
      <c r="U397" s="722"/>
      <c r="V397" s="723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5" t="s">
        <v>666</v>
      </c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5"/>
      <c r="P398" s="715"/>
      <c r="Q398" s="715"/>
      <c r="R398" s="715"/>
      <c r="S398" s="715"/>
      <c r="T398" s="715"/>
      <c r="U398" s="715"/>
      <c r="V398" s="715"/>
      <c r="W398" s="715"/>
      <c r="X398" s="715"/>
      <c r="Y398" s="715"/>
      <c r="Z398" s="715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6">
        <v>4680115881808</v>
      </c>
      <c r="E399" s="716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8"/>
      <c r="R399" s="718"/>
      <c r="S399" s="718"/>
      <c r="T399" s="719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6">
        <v>4680115881822</v>
      </c>
      <c r="E400" s="716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8"/>
      <c r="R400" s="718"/>
      <c r="S400" s="718"/>
      <c r="T400" s="719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6">
        <v>4680115880016</v>
      </c>
      <c r="E401" s="716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8"/>
      <c r="R401" s="718"/>
      <c r="S401" s="718"/>
      <c r="T401" s="719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4"/>
      <c r="B402" s="724"/>
      <c r="C402" s="724"/>
      <c r="D402" s="724"/>
      <c r="E402" s="724"/>
      <c r="F402" s="724"/>
      <c r="G402" s="724"/>
      <c r="H402" s="724"/>
      <c r="I402" s="724"/>
      <c r="J402" s="724"/>
      <c r="K402" s="724"/>
      <c r="L402" s="724"/>
      <c r="M402" s="724"/>
      <c r="N402" s="724"/>
      <c r="O402" s="725"/>
      <c r="P402" s="721" t="s">
        <v>40</v>
      </c>
      <c r="Q402" s="722"/>
      <c r="R402" s="722"/>
      <c r="S402" s="722"/>
      <c r="T402" s="722"/>
      <c r="U402" s="722"/>
      <c r="V402" s="723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4"/>
      <c r="B403" s="724"/>
      <c r="C403" s="724"/>
      <c r="D403" s="724"/>
      <c r="E403" s="724"/>
      <c r="F403" s="724"/>
      <c r="G403" s="724"/>
      <c r="H403" s="724"/>
      <c r="I403" s="724"/>
      <c r="J403" s="724"/>
      <c r="K403" s="724"/>
      <c r="L403" s="724"/>
      <c r="M403" s="724"/>
      <c r="N403" s="724"/>
      <c r="O403" s="725"/>
      <c r="P403" s="721" t="s">
        <v>40</v>
      </c>
      <c r="Q403" s="722"/>
      <c r="R403" s="722"/>
      <c r="S403" s="722"/>
      <c r="T403" s="722"/>
      <c r="U403" s="722"/>
      <c r="V403" s="723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5" t="s">
        <v>675</v>
      </c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5"/>
      <c r="P404" s="715"/>
      <c r="Q404" s="715"/>
      <c r="R404" s="715"/>
      <c r="S404" s="715"/>
      <c r="T404" s="715"/>
      <c r="U404" s="715"/>
      <c r="V404" s="715"/>
      <c r="W404" s="715"/>
      <c r="X404" s="715"/>
      <c r="Y404" s="715"/>
      <c r="Z404" s="715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6">
        <v>4680115888678</v>
      </c>
      <c r="E405" s="716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8"/>
      <c r="R405" s="718"/>
      <c r="S405" s="718"/>
      <c r="T405" s="719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6">
        <v>4680115888654</v>
      </c>
      <c r="E406" s="716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8"/>
      <c r="R406" s="718"/>
      <c r="S406" s="718"/>
      <c r="T406" s="719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6">
        <v>4680115888753</v>
      </c>
      <c r="E407" s="716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8"/>
      <c r="R407" s="718"/>
      <c r="S407" s="718"/>
      <c r="T407" s="719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4"/>
      <c r="B408" s="724"/>
      <c r="C408" s="724"/>
      <c r="D408" s="724"/>
      <c r="E408" s="724"/>
      <c r="F408" s="724"/>
      <c r="G408" s="724"/>
      <c r="H408" s="724"/>
      <c r="I408" s="724"/>
      <c r="J408" s="724"/>
      <c r="K408" s="724"/>
      <c r="L408" s="724"/>
      <c r="M408" s="724"/>
      <c r="N408" s="724"/>
      <c r="O408" s="725"/>
      <c r="P408" s="721" t="s">
        <v>40</v>
      </c>
      <c r="Q408" s="722"/>
      <c r="R408" s="722"/>
      <c r="S408" s="722"/>
      <c r="T408" s="722"/>
      <c r="U408" s="722"/>
      <c r="V408" s="723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4"/>
      <c r="B409" s="724"/>
      <c r="C409" s="724"/>
      <c r="D409" s="724"/>
      <c r="E409" s="724"/>
      <c r="F409" s="724"/>
      <c r="G409" s="724"/>
      <c r="H409" s="724"/>
      <c r="I409" s="724"/>
      <c r="J409" s="724"/>
      <c r="K409" s="724"/>
      <c r="L409" s="724"/>
      <c r="M409" s="724"/>
      <c r="N409" s="724"/>
      <c r="O409" s="725"/>
      <c r="P409" s="721" t="s">
        <v>40</v>
      </c>
      <c r="Q409" s="722"/>
      <c r="R409" s="722"/>
      <c r="S409" s="722"/>
      <c r="T409" s="722"/>
      <c r="U409" s="722"/>
      <c r="V409" s="723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4" t="s">
        <v>684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2"/>
      <c r="AB410" s="62"/>
      <c r="AC410" s="62"/>
    </row>
    <row r="411" spans="1:68" ht="14.25" hidden="1" customHeight="1" x14ac:dyDescent="0.25">
      <c r="A411" s="715" t="s">
        <v>86</v>
      </c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5"/>
      <c r="P411" s="715"/>
      <c r="Q411" s="715"/>
      <c r="R411" s="715"/>
      <c r="S411" s="715"/>
      <c r="T411" s="715"/>
      <c r="U411" s="715"/>
      <c r="V411" s="715"/>
      <c r="W411" s="715"/>
      <c r="X411" s="715"/>
      <c r="Y411" s="715"/>
      <c r="Z411" s="715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6">
        <v>4680115889415</v>
      </c>
      <c r="E412" s="716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8"/>
      <c r="R412" s="718"/>
      <c r="S412" s="718"/>
      <c r="T412" s="719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6">
        <v>4680115889422</v>
      </c>
      <c r="E413" s="716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8"/>
      <c r="R413" s="718"/>
      <c r="S413" s="718"/>
      <c r="T413" s="719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4"/>
      <c r="B414" s="724"/>
      <c r="C414" s="724"/>
      <c r="D414" s="724"/>
      <c r="E414" s="724"/>
      <c r="F414" s="724"/>
      <c r="G414" s="724"/>
      <c r="H414" s="724"/>
      <c r="I414" s="724"/>
      <c r="J414" s="724"/>
      <c r="K414" s="724"/>
      <c r="L414" s="724"/>
      <c r="M414" s="724"/>
      <c r="N414" s="724"/>
      <c r="O414" s="725"/>
      <c r="P414" s="721" t="s">
        <v>40</v>
      </c>
      <c r="Q414" s="722"/>
      <c r="R414" s="722"/>
      <c r="S414" s="722"/>
      <c r="T414" s="722"/>
      <c r="U414" s="722"/>
      <c r="V414" s="723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4"/>
      <c r="B415" s="724"/>
      <c r="C415" s="724"/>
      <c r="D415" s="724"/>
      <c r="E415" s="724"/>
      <c r="F415" s="724"/>
      <c r="G415" s="724"/>
      <c r="H415" s="724"/>
      <c r="I415" s="724"/>
      <c r="J415" s="724"/>
      <c r="K415" s="724"/>
      <c r="L415" s="724"/>
      <c r="M415" s="724"/>
      <c r="N415" s="724"/>
      <c r="O415" s="725"/>
      <c r="P415" s="721" t="s">
        <v>40</v>
      </c>
      <c r="Q415" s="722"/>
      <c r="R415" s="722"/>
      <c r="S415" s="722"/>
      <c r="T415" s="722"/>
      <c r="U415" s="722"/>
      <c r="V415" s="723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4" t="s">
        <v>691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2"/>
      <c r="AB416" s="62"/>
      <c r="AC416" s="62"/>
    </row>
    <row r="417" spans="1:68" ht="14.25" hidden="1" customHeight="1" x14ac:dyDescent="0.25">
      <c r="A417" s="715" t="s">
        <v>86</v>
      </c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5"/>
      <c r="P417" s="715"/>
      <c r="Q417" s="715"/>
      <c r="R417" s="715"/>
      <c r="S417" s="715"/>
      <c r="T417" s="715"/>
      <c r="U417" s="715"/>
      <c r="V417" s="715"/>
      <c r="W417" s="715"/>
      <c r="X417" s="715"/>
      <c r="Y417" s="715"/>
      <c r="Z417" s="715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6">
        <v>4607091387919</v>
      </c>
      <c r="E418" s="716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8"/>
      <c r="R418" s="718"/>
      <c r="S418" s="718"/>
      <c r="T418" s="719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6">
        <v>4680115883604</v>
      </c>
      <c r="E419" s="716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8"/>
      <c r="R419" s="718"/>
      <c r="S419" s="718"/>
      <c r="T419" s="719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6">
        <v>4680115883567</v>
      </c>
      <c r="E420" s="716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8"/>
      <c r="R420" s="718"/>
      <c r="S420" s="718"/>
      <c r="T420" s="719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4"/>
      <c r="B421" s="724"/>
      <c r="C421" s="724"/>
      <c r="D421" s="724"/>
      <c r="E421" s="724"/>
      <c r="F421" s="724"/>
      <c r="G421" s="724"/>
      <c r="H421" s="724"/>
      <c r="I421" s="724"/>
      <c r="J421" s="724"/>
      <c r="K421" s="724"/>
      <c r="L421" s="724"/>
      <c r="M421" s="724"/>
      <c r="N421" s="724"/>
      <c r="O421" s="725"/>
      <c r="P421" s="721" t="s">
        <v>40</v>
      </c>
      <c r="Q421" s="722"/>
      <c r="R421" s="722"/>
      <c r="S421" s="722"/>
      <c r="T421" s="722"/>
      <c r="U421" s="722"/>
      <c r="V421" s="723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4"/>
      <c r="B422" s="724"/>
      <c r="C422" s="724"/>
      <c r="D422" s="724"/>
      <c r="E422" s="724"/>
      <c r="F422" s="724"/>
      <c r="G422" s="724"/>
      <c r="H422" s="724"/>
      <c r="I422" s="724"/>
      <c r="J422" s="724"/>
      <c r="K422" s="724"/>
      <c r="L422" s="724"/>
      <c r="M422" s="724"/>
      <c r="N422" s="724"/>
      <c r="O422" s="725"/>
      <c r="P422" s="721" t="s">
        <v>40</v>
      </c>
      <c r="Q422" s="722"/>
      <c r="R422" s="722"/>
      <c r="S422" s="722"/>
      <c r="T422" s="722"/>
      <c r="U422" s="722"/>
      <c r="V422" s="723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3" t="s">
        <v>701</v>
      </c>
      <c r="B423" s="713"/>
      <c r="C423" s="713"/>
      <c r="D423" s="713"/>
      <c r="E423" s="713"/>
      <c r="F423" s="713"/>
      <c r="G423" s="713"/>
      <c r="H423" s="713"/>
      <c r="I423" s="713"/>
      <c r="J423" s="713"/>
      <c r="K423" s="713"/>
      <c r="L423" s="713"/>
      <c r="M423" s="713"/>
      <c r="N423" s="713"/>
      <c r="O423" s="713"/>
      <c r="P423" s="713"/>
      <c r="Q423" s="713"/>
      <c r="R423" s="713"/>
      <c r="S423" s="713"/>
      <c r="T423" s="713"/>
      <c r="U423" s="713"/>
      <c r="V423" s="713"/>
      <c r="W423" s="713"/>
      <c r="X423" s="713"/>
      <c r="Y423" s="713"/>
      <c r="Z423" s="713"/>
      <c r="AA423" s="52"/>
      <c r="AB423" s="52"/>
      <c r="AC423" s="52"/>
    </row>
    <row r="424" spans="1:68" ht="16.5" hidden="1" customHeight="1" x14ac:dyDescent="0.25">
      <c r="A424" s="714" t="s">
        <v>702</v>
      </c>
      <c r="B424" s="714"/>
      <c r="C424" s="714"/>
      <c r="D424" s="714"/>
      <c r="E424" s="714"/>
      <c r="F424" s="714"/>
      <c r="G424" s="714"/>
      <c r="H424" s="714"/>
      <c r="I424" s="714"/>
      <c r="J424" s="714"/>
      <c r="K424" s="714"/>
      <c r="L424" s="714"/>
      <c r="M424" s="714"/>
      <c r="N424" s="714"/>
      <c r="O424" s="714"/>
      <c r="P424" s="714"/>
      <c r="Q424" s="714"/>
      <c r="R424" s="714"/>
      <c r="S424" s="714"/>
      <c r="T424" s="714"/>
      <c r="U424" s="714"/>
      <c r="V424" s="714"/>
      <c r="W424" s="714"/>
      <c r="X424" s="714"/>
      <c r="Y424" s="714"/>
      <c r="Z424" s="714"/>
      <c r="AA424" s="62"/>
      <c r="AB424" s="62"/>
      <c r="AC424" s="62"/>
    </row>
    <row r="425" spans="1:68" ht="14.25" hidden="1" customHeight="1" x14ac:dyDescent="0.25">
      <c r="A425" s="715" t="s">
        <v>122</v>
      </c>
      <c r="B425" s="715"/>
      <c r="C425" s="715"/>
      <c r="D425" s="715"/>
      <c r="E425" s="715"/>
      <c r="F425" s="715"/>
      <c r="G425" s="715"/>
      <c r="H425" s="715"/>
      <c r="I425" s="715"/>
      <c r="J425" s="715"/>
      <c r="K425" s="715"/>
      <c r="L425" s="715"/>
      <c r="M425" s="715"/>
      <c r="N425" s="715"/>
      <c r="O425" s="715"/>
      <c r="P425" s="715"/>
      <c r="Q425" s="715"/>
      <c r="R425" s="715"/>
      <c r="S425" s="715"/>
      <c r="T425" s="715"/>
      <c r="U425" s="715"/>
      <c r="V425" s="715"/>
      <c r="W425" s="715"/>
      <c r="X425" s="715"/>
      <c r="Y425" s="715"/>
      <c r="Z425" s="715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6">
        <v>4680115888401</v>
      </c>
      <c r="E426" s="71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8"/>
      <c r="R426" s="718"/>
      <c r="S426" s="718"/>
      <c r="T426" s="71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hidden="1" customHeight="1" x14ac:dyDescent="0.25">
      <c r="A427" s="60" t="s">
        <v>706</v>
      </c>
      <c r="B427" s="60" t="s">
        <v>707</v>
      </c>
      <c r="C427" s="34">
        <v>4301011869</v>
      </c>
      <c r="D427" s="716">
        <v>4680115884847</v>
      </c>
      <c r="E427" s="71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8"/>
      <c r="R427" s="718"/>
      <c r="S427" s="718"/>
      <c r="T427" s="71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8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0</v>
      </c>
      <c r="BN427" s="75">
        <f t="shared" si="70"/>
        <v>0</v>
      </c>
      <c r="BO427" s="75">
        <f t="shared" si="71"/>
        <v>0</v>
      </c>
      <c r="BP427" s="75">
        <f t="shared" si="72"/>
        <v>0</v>
      </c>
    </row>
    <row r="428" spans="1:68" ht="27" hidden="1" customHeight="1" x14ac:dyDescent="0.25">
      <c r="A428" s="60" t="s">
        <v>709</v>
      </c>
      <c r="B428" s="60" t="s">
        <v>710</v>
      </c>
      <c r="C428" s="34">
        <v>4301012083</v>
      </c>
      <c r="D428" s="716">
        <v>4680115884854</v>
      </c>
      <c r="E428" s="716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8"/>
      <c r="R428" s="718"/>
      <c r="S428" s="718"/>
      <c r="T428" s="71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6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0</v>
      </c>
      <c r="BN428" s="75">
        <f t="shared" si="70"/>
        <v>0</v>
      </c>
      <c r="BO428" s="75">
        <f t="shared" si="71"/>
        <v>0</v>
      </c>
      <c r="BP428" s="75">
        <f t="shared" si="72"/>
        <v>0</v>
      </c>
    </row>
    <row r="429" spans="1:68" ht="27" hidden="1" customHeight="1" x14ac:dyDescent="0.25">
      <c r="A429" s="60" t="s">
        <v>712</v>
      </c>
      <c r="B429" s="60" t="s">
        <v>713</v>
      </c>
      <c r="C429" s="34">
        <v>4301011867</v>
      </c>
      <c r="D429" s="716">
        <v>4680115884830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0</v>
      </c>
      <c r="BN429" s="75">
        <f t="shared" si="70"/>
        <v>0</v>
      </c>
      <c r="BO429" s="75">
        <f t="shared" si="71"/>
        <v>0</v>
      </c>
      <c r="BP429" s="75">
        <f t="shared" si="72"/>
        <v>0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6">
        <v>4680115889231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6">
        <v>4680115882638</v>
      </c>
      <c r="E431" s="716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6">
        <v>4680115884922</v>
      </c>
      <c r="E432" s="716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6">
        <v>4680115884861</v>
      </c>
      <c r="E433" s="716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idden="1" x14ac:dyDescent="0.2">
      <c r="A434" s="724"/>
      <c r="B434" s="724"/>
      <c r="C434" s="724"/>
      <c r="D434" s="724"/>
      <c r="E434" s="724"/>
      <c r="F434" s="724"/>
      <c r="G434" s="724"/>
      <c r="H434" s="724"/>
      <c r="I434" s="724"/>
      <c r="J434" s="724"/>
      <c r="K434" s="724"/>
      <c r="L434" s="724"/>
      <c r="M434" s="724"/>
      <c r="N434" s="724"/>
      <c r="O434" s="725"/>
      <c r="P434" s="721" t="s">
        <v>40</v>
      </c>
      <c r="Q434" s="722"/>
      <c r="R434" s="722"/>
      <c r="S434" s="722"/>
      <c r="T434" s="722"/>
      <c r="U434" s="722"/>
      <c r="V434" s="723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0</v>
      </c>
      <c r="Y434" s="41">
        <f>IFERROR(Y426/H426,"0")+IFERROR(Y427/H427,"0")+IFERROR(Y428/H428,"0")+IFERROR(Y429/H429,"0")+IFERROR(Y430/H430,"0")+IFERROR(Y431/H431,"0")+IFERROR(Y432/H432,"0")+IFERROR(Y433/H433,"0")</f>
        <v>0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4"/>
      <c r="AB434" s="64"/>
      <c r="AC434" s="64"/>
    </row>
    <row r="435" spans="1:68" hidden="1" x14ac:dyDescent="0.2">
      <c r="A435" s="724"/>
      <c r="B435" s="724"/>
      <c r="C435" s="724"/>
      <c r="D435" s="724"/>
      <c r="E435" s="724"/>
      <c r="F435" s="724"/>
      <c r="G435" s="724"/>
      <c r="H435" s="724"/>
      <c r="I435" s="724"/>
      <c r="J435" s="724"/>
      <c r="K435" s="724"/>
      <c r="L435" s="724"/>
      <c r="M435" s="724"/>
      <c r="N435" s="724"/>
      <c r="O435" s="725"/>
      <c r="P435" s="721" t="s">
        <v>40</v>
      </c>
      <c r="Q435" s="722"/>
      <c r="R435" s="722"/>
      <c r="S435" s="722"/>
      <c r="T435" s="722"/>
      <c r="U435" s="722"/>
      <c r="V435" s="723"/>
      <c r="W435" s="40" t="s">
        <v>0</v>
      </c>
      <c r="X435" s="41">
        <f>IFERROR(SUM(X426:X433),"0")</f>
        <v>0</v>
      </c>
      <c r="Y435" s="41">
        <f>IFERROR(SUM(Y426:Y433),"0")</f>
        <v>0</v>
      </c>
      <c r="Z435" s="40"/>
      <c r="AA435" s="64"/>
      <c r="AB435" s="64"/>
      <c r="AC435" s="64"/>
    </row>
    <row r="436" spans="1:68" ht="14.25" hidden="1" customHeight="1" x14ac:dyDescent="0.25">
      <c r="A436" s="715" t="s">
        <v>157</v>
      </c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5"/>
      <c r="P436" s="715"/>
      <c r="Q436" s="715"/>
      <c r="R436" s="715"/>
      <c r="S436" s="715"/>
      <c r="T436" s="715"/>
      <c r="U436" s="715"/>
      <c r="V436" s="715"/>
      <c r="W436" s="715"/>
      <c r="X436" s="715"/>
      <c r="Y436" s="715"/>
      <c r="Z436" s="715"/>
      <c r="AA436" s="63"/>
      <c r="AB436" s="63"/>
      <c r="AC436" s="63"/>
    </row>
    <row r="437" spans="1:68" ht="27" hidden="1" customHeight="1" x14ac:dyDescent="0.25">
      <c r="A437" s="60" t="s">
        <v>727</v>
      </c>
      <c r="B437" s="60" t="s">
        <v>728</v>
      </c>
      <c r="C437" s="34">
        <v>4301020178</v>
      </c>
      <c r="D437" s="716">
        <v>4607091383980</v>
      </c>
      <c r="E437" s="716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8"/>
      <c r="R437" s="718"/>
      <c r="S437" s="718"/>
      <c r="T437" s="719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6">
        <v>4680115888425</v>
      </c>
      <c r="E438" s="716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8"/>
      <c r="R438" s="718"/>
      <c r="S438" s="718"/>
      <c r="T438" s="719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6">
        <v>4607091384178</v>
      </c>
      <c r="E439" s="716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8"/>
      <c r="R439" s="718"/>
      <c r="S439" s="718"/>
      <c r="T439" s="719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724"/>
      <c r="B440" s="724"/>
      <c r="C440" s="724"/>
      <c r="D440" s="724"/>
      <c r="E440" s="724"/>
      <c r="F440" s="724"/>
      <c r="G440" s="724"/>
      <c r="H440" s="724"/>
      <c r="I440" s="724"/>
      <c r="J440" s="724"/>
      <c r="K440" s="724"/>
      <c r="L440" s="724"/>
      <c r="M440" s="724"/>
      <c r="N440" s="724"/>
      <c r="O440" s="725"/>
      <c r="P440" s="721" t="s">
        <v>40</v>
      </c>
      <c r="Q440" s="722"/>
      <c r="R440" s="722"/>
      <c r="S440" s="722"/>
      <c r="T440" s="722"/>
      <c r="U440" s="722"/>
      <c r="V440" s="723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4"/>
      <c r="B441" s="724"/>
      <c r="C441" s="724"/>
      <c r="D441" s="724"/>
      <c r="E441" s="724"/>
      <c r="F441" s="724"/>
      <c r="G441" s="724"/>
      <c r="H441" s="724"/>
      <c r="I441" s="724"/>
      <c r="J441" s="724"/>
      <c r="K441" s="724"/>
      <c r="L441" s="724"/>
      <c r="M441" s="724"/>
      <c r="N441" s="724"/>
      <c r="O441" s="725"/>
      <c r="P441" s="721" t="s">
        <v>40</v>
      </c>
      <c r="Q441" s="722"/>
      <c r="R441" s="722"/>
      <c r="S441" s="722"/>
      <c r="T441" s="722"/>
      <c r="U441" s="722"/>
      <c r="V441" s="723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5" t="s">
        <v>86</v>
      </c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5"/>
      <c r="P442" s="715"/>
      <c r="Q442" s="715"/>
      <c r="R442" s="715"/>
      <c r="S442" s="715"/>
      <c r="T442" s="715"/>
      <c r="U442" s="715"/>
      <c r="V442" s="715"/>
      <c r="W442" s="715"/>
      <c r="X442" s="715"/>
      <c r="Y442" s="715"/>
      <c r="Z442" s="715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6">
        <v>4607091383928</v>
      </c>
      <c r="E443" s="716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8"/>
      <c r="R443" s="718"/>
      <c r="S443" s="718"/>
      <c r="T443" s="71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6">
        <v>4607091384260</v>
      </c>
      <c r="E444" s="716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8"/>
      <c r="R444" s="718"/>
      <c r="S444" s="718"/>
      <c r="T444" s="719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6">
        <v>4680115889538</v>
      </c>
      <c r="E445" s="716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8"/>
      <c r="R445" s="718"/>
      <c r="S445" s="718"/>
      <c r="T445" s="719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4"/>
      <c r="B446" s="724"/>
      <c r="C446" s="724"/>
      <c r="D446" s="724"/>
      <c r="E446" s="724"/>
      <c r="F446" s="724"/>
      <c r="G446" s="724"/>
      <c r="H446" s="724"/>
      <c r="I446" s="724"/>
      <c r="J446" s="724"/>
      <c r="K446" s="724"/>
      <c r="L446" s="724"/>
      <c r="M446" s="724"/>
      <c r="N446" s="724"/>
      <c r="O446" s="725"/>
      <c r="P446" s="721" t="s">
        <v>40</v>
      </c>
      <c r="Q446" s="722"/>
      <c r="R446" s="722"/>
      <c r="S446" s="722"/>
      <c r="T446" s="722"/>
      <c r="U446" s="722"/>
      <c r="V446" s="723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4"/>
      <c r="B447" s="724"/>
      <c r="C447" s="724"/>
      <c r="D447" s="724"/>
      <c r="E447" s="724"/>
      <c r="F447" s="724"/>
      <c r="G447" s="724"/>
      <c r="H447" s="724"/>
      <c r="I447" s="724"/>
      <c r="J447" s="724"/>
      <c r="K447" s="724"/>
      <c r="L447" s="724"/>
      <c r="M447" s="724"/>
      <c r="N447" s="724"/>
      <c r="O447" s="725"/>
      <c r="P447" s="721" t="s">
        <v>40</v>
      </c>
      <c r="Q447" s="722"/>
      <c r="R447" s="722"/>
      <c r="S447" s="722"/>
      <c r="T447" s="722"/>
      <c r="U447" s="722"/>
      <c r="V447" s="723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5" t="s">
        <v>175</v>
      </c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5"/>
      <c r="P448" s="715"/>
      <c r="Q448" s="715"/>
      <c r="R448" s="715"/>
      <c r="S448" s="715"/>
      <c r="T448" s="715"/>
      <c r="U448" s="715"/>
      <c r="V448" s="715"/>
      <c r="W448" s="715"/>
      <c r="X448" s="715"/>
      <c r="Y448" s="715"/>
      <c r="Z448" s="715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6">
        <v>4680115889545</v>
      </c>
      <c r="E449" s="716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8"/>
      <c r="R449" s="718"/>
      <c r="S449" s="718"/>
      <c r="T449" s="719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716">
        <v>4607091384673</v>
      </c>
      <c r="E450" s="716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8"/>
      <c r="R450" s="718"/>
      <c r="S450" s="718"/>
      <c r="T450" s="719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4"/>
      <c r="B451" s="724"/>
      <c r="C451" s="724"/>
      <c r="D451" s="724"/>
      <c r="E451" s="724"/>
      <c r="F451" s="724"/>
      <c r="G451" s="724"/>
      <c r="H451" s="724"/>
      <c r="I451" s="724"/>
      <c r="J451" s="724"/>
      <c r="K451" s="724"/>
      <c r="L451" s="724"/>
      <c r="M451" s="724"/>
      <c r="N451" s="724"/>
      <c r="O451" s="725"/>
      <c r="P451" s="721" t="s">
        <v>40</v>
      </c>
      <c r="Q451" s="722"/>
      <c r="R451" s="722"/>
      <c r="S451" s="722"/>
      <c r="T451" s="722"/>
      <c r="U451" s="722"/>
      <c r="V451" s="723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4"/>
      <c r="B452" s="724"/>
      <c r="C452" s="724"/>
      <c r="D452" s="724"/>
      <c r="E452" s="724"/>
      <c r="F452" s="724"/>
      <c r="G452" s="724"/>
      <c r="H452" s="724"/>
      <c r="I452" s="724"/>
      <c r="J452" s="724"/>
      <c r="K452" s="724"/>
      <c r="L452" s="724"/>
      <c r="M452" s="724"/>
      <c r="N452" s="724"/>
      <c r="O452" s="725"/>
      <c r="P452" s="721" t="s">
        <v>40</v>
      </c>
      <c r="Q452" s="722"/>
      <c r="R452" s="722"/>
      <c r="S452" s="722"/>
      <c r="T452" s="722"/>
      <c r="U452" s="722"/>
      <c r="V452" s="723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4" t="s">
        <v>751</v>
      </c>
      <c r="B453" s="714"/>
      <c r="C453" s="714"/>
      <c r="D453" s="714"/>
      <c r="E453" s="714"/>
      <c r="F453" s="714"/>
      <c r="G453" s="714"/>
      <c r="H453" s="714"/>
      <c r="I453" s="714"/>
      <c r="J453" s="714"/>
      <c r="K453" s="714"/>
      <c r="L453" s="714"/>
      <c r="M453" s="714"/>
      <c r="N453" s="714"/>
      <c r="O453" s="714"/>
      <c r="P453" s="714"/>
      <c r="Q453" s="714"/>
      <c r="R453" s="714"/>
      <c r="S453" s="714"/>
      <c r="T453" s="714"/>
      <c r="U453" s="714"/>
      <c r="V453" s="714"/>
      <c r="W453" s="714"/>
      <c r="X453" s="714"/>
      <c r="Y453" s="714"/>
      <c r="Z453" s="714"/>
      <c r="AA453" s="62"/>
      <c r="AB453" s="62"/>
      <c r="AC453" s="62"/>
    </row>
    <row r="454" spans="1:68" ht="14.25" hidden="1" customHeight="1" x14ac:dyDescent="0.25">
      <c r="A454" s="715" t="s">
        <v>122</v>
      </c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5"/>
      <c r="P454" s="715"/>
      <c r="Q454" s="715"/>
      <c r="R454" s="715"/>
      <c r="S454" s="715"/>
      <c r="T454" s="715"/>
      <c r="U454" s="715"/>
      <c r="V454" s="715"/>
      <c r="W454" s="715"/>
      <c r="X454" s="715"/>
      <c r="Y454" s="715"/>
      <c r="Z454" s="715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6">
        <v>4680115884885</v>
      </c>
      <c r="E455" s="716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8"/>
      <c r="R455" s="718"/>
      <c r="S455" s="718"/>
      <c r="T455" s="719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6">
        <v>4680115884908</v>
      </c>
      <c r="E456" s="716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8"/>
      <c r="R456" s="718"/>
      <c r="S456" s="718"/>
      <c r="T456" s="719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4"/>
      <c r="B457" s="724"/>
      <c r="C457" s="724"/>
      <c r="D457" s="724"/>
      <c r="E457" s="724"/>
      <c r="F457" s="724"/>
      <c r="G457" s="724"/>
      <c r="H457" s="724"/>
      <c r="I457" s="724"/>
      <c r="J457" s="724"/>
      <c r="K457" s="724"/>
      <c r="L457" s="724"/>
      <c r="M457" s="724"/>
      <c r="N457" s="724"/>
      <c r="O457" s="725"/>
      <c r="P457" s="721" t="s">
        <v>40</v>
      </c>
      <c r="Q457" s="722"/>
      <c r="R457" s="722"/>
      <c r="S457" s="722"/>
      <c r="T457" s="722"/>
      <c r="U457" s="722"/>
      <c r="V457" s="723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4"/>
      <c r="B458" s="724"/>
      <c r="C458" s="724"/>
      <c r="D458" s="724"/>
      <c r="E458" s="724"/>
      <c r="F458" s="724"/>
      <c r="G458" s="724"/>
      <c r="H458" s="724"/>
      <c r="I458" s="724"/>
      <c r="J458" s="724"/>
      <c r="K458" s="724"/>
      <c r="L458" s="724"/>
      <c r="M458" s="724"/>
      <c r="N458" s="724"/>
      <c r="O458" s="725"/>
      <c r="P458" s="721" t="s">
        <v>40</v>
      </c>
      <c r="Q458" s="722"/>
      <c r="R458" s="722"/>
      <c r="S458" s="722"/>
      <c r="T458" s="722"/>
      <c r="U458" s="722"/>
      <c r="V458" s="723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5" t="s">
        <v>77</v>
      </c>
      <c r="B459" s="715"/>
      <c r="C459" s="715"/>
      <c r="D459" s="715"/>
      <c r="E459" s="715"/>
      <c r="F459" s="715"/>
      <c r="G459" s="715"/>
      <c r="H459" s="715"/>
      <c r="I459" s="715"/>
      <c r="J459" s="715"/>
      <c r="K459" s="715"/>
      <c r="L459" s="715"/>
      <c r="M459" s="715"/>
      <c r="N459" s="715"/>
      <c r="O459" s="715"/>
      <c r="P459" s="715"/>
      <c r="Q459" s="715"/>
      <c r="R459" s="715"/>
      <c r="S459" s="715"/>
      <c r="T459" s="715"/>
      <c r="U459" s="715"/>
      <c r="V459" s="715"/>
      <c r="W459" s="715"/>
      <c r="X459" s="715"/>
      <c r="Y459" s="715"/>
      <c r="Z459" s="715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6">
        <v>4607091384802</v>
      </c>
      <c r="E460" s="716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8"/>
      <c r="R460" s="718"/>
      <c r="S460" s="718"/>
      <c r="T460" s="719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4"/>
      <c r="B462" s="724"/>
      <c r="C462" s="724"/>
      <c r="D462" s="724"/>
      <c r="E462" s="724"/>
      <c r="F462" s="724"/>
      <c r="G462" s="724"/>
      <c r="H462" s="724"/>
      <c r="I462" s="724"/>
      <c r="J462" s="724"/>
      <c r="K462" s="724"/>
      <c r="L462" s="724"/>
      <c r="M462" s="724"/>
      <c r="N462" s="724"/>
      <c r="O462" s="725"/>
      <c r="P462" s="721" t="s">
        <v>40</v>
      </c>
      <c r="Q462" s="722"/>
      <c r="R462" s="722"/>
      <c r="S462" s="722"/>
      <c r="T462" s="722"/>
      <c r="U462" s="722"/>
      <c r="V462" s="723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5" t="s">
        <v>86</v>
      </c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5"/>
      <c r="P463" s="715"/>
      <c r="Q463" s="715"/>
      <c r="R463" s="715"/>
      <c r="S463" s="715"/>
      <c r="T463" s="715"/>
      <c r="U463" s="715"/>
      <c r="V463" s="715"/>
      <c r="W463" s="715"/>
      <c r="X463" s="715"/>
      <c r="Y463" s="715"/>
      <c r="Z463" s="715"/>
      <c r="AA463" s="63"/>
      <c r="AB463" s="63"/>
      <c r="AC463" s="63"/>
    </row>
    <row r="464" spans="1:68" ht="27" customHeight="1" x14ac:dyDescent="0.25">
      <c r="A464" s="60" t="s">
        <v>760</v>
      </c>
      <c r="B464" s="60" t="s">
        <v>761</v>
      </c>
      <c r="C464" s="34">
        <v>4301051899</v>
      </c>
      <c r="D464" s="716">
        <v>4607091384246</v>
      </c>
      <c r="E464" s="716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8"/>
      <c r="R464" s="718"/>
      <c r="S464" s="718"/>
      <c r="T464" s="719"/>
      <c r="U464" s="37" t="s">
        <v>46</v>
      </c>
      <c r="V464" s="37" t="s">
        <v>46</v>
      </c>
      <c r="W464" s="38" t="s">
        <v>0</v>
      </c>
      <c r="X464" s="56">
        <v>144</v>
      </c>
      <c r="Y464" s="53">
        <f>IFERROR(IF(X464="",0,CEILING((X464/$H464),1)*$H464),"")</f>
        <v>144</v>
      </c>
      <c r="Z464" s="39">
        <f>IFERROR(IF(Y464=0,"",ROUNDUP(Y464/H464,0)*0.01898),"")</f>
        <v>0.30368000000000001</v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151.904</v>
      </c>
      <c r="BN464" s="75">
        <f>IFERROR(Y464*I464/H464,"0")</f>
        <v>151.904</v>
      </c>
      <c r="BO464" s="75">
        <f>IFERROR(1/J464*(X464/H464),"0")</f>
        <v>0.25</v>
      </c>
      <c r="BP464" s="75">
        <f>IFERROR(1/J464*(Y464/H464),"0")</f>
        <v>0.25</v>
      </c>
    </row>
    <row r="465" spans="1:68" ht="27" customHeight="1" x14ac:dyDescent="0.25">
      <c r="A465" s="60" t="s">
        <v>763</v>
      </c>
      <c r="B465" s="60" t="s">
        <v>764</v>
      </c>
      <c r="C465" s="34">
        <v>4301051660</v>
      </c>
      <c r="D465" s="716">
        <v>4607091384253</v>
      </c>
      <c r="E465" s="716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8"/>
      <c r="R465" s="718"/>
      <c r="S465" s="718"/>
      <c r="T465" s="719"/>
      <c r="U465" s="37" t="s">
        <v>46</v>
      </c>
      <c r="V465" s="37" t="s">
        <v>46</v>
      </c>
      <c r="W465" s="38" t="s">
        <v>0</v>
      </c>
      <c r="X465" s="56">
        <v>67.2</v>
      </c>
      <c r="Y465" s="53">
        <f>IFERROR(IF(X465="",0,CEILING((X465/$H465),1)*$H465),"")</f>
        <v>67.2</v>
      </c>
      <c r="Z465" s="39">
        <f>IFERROR(IF(Y465=0,"",ROUNDUP(Y465/H465,0)*0.00651),"")</f>
        <v>0.18228</v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74.592000000000013</v>
      </c>
      <c r="BN465" s="75">
        <f>IFERROR(Y465*I465/H465,"0")</f>
        <v>74.592000000000013</v>
      </c>
      <c r="BO465" s="75">
        <f>IFERROR(1/J465*(X465/H465),"0")</f>
        <v>0.15384615384615388</v>
      </c>
      <c r="BP465" s="75">
        <f>IFERROR(1/J465*(Y465/H465),"0")</f>
        <v>0.15384615384615388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6">
        <v>4607091384253</v>
      </c>
      <c r="E466" s="716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8"/>
      <c r="R466" s="718"/>
      <c r="S466" s="718"/>
      <c r="T466" s="719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724"/>
      <c r="B467" s="724"/>
      <c r="C467" s="724"/>
      <c r="D467" s="724"/>
      <c r="E467" s="724"/>
      <c r="F467" s="724"/>
      <c r="G467" s="724"/>
      <c r="H467" s="724"/>
      <c r="I467" s="724"/>
      <c r="J467" s="724"/>
      <c r="K467" s="724"/>
      <c r="L467" s="724"/>
      <c r="M467" s="724"/>
      <c r="N467" s="724"/>
      <c r="O467" s="725"/>
      <c r="P467" s="721" t="s">
        <v>40</v>
      </c>
      <c r="Q467" s="722"/>
      <c r="R467" s="722"/>
      <c r="S467" s="722"/>
      <c r="T467" s="722"/>
      <c r="U467" s="722"/>
      <c r="V467" s="723"/>
      <c r="W467" s="40" t="s">
        <v>39</v>
      </c>
      <c r="X467" s="41">
        <f>IFERROR(X464/H464,"0")+IFERROR(X465/H465,"0")+IFERROR(X466/H466,"0")</f>
        <v>44</v>
      </c>
      <c r="Y467" s="41">
        <f>IFERROR(Y464/H464,"0")+IFERROR(Y465/H465,"0")+IFERROR(Y466/H466,"0")</f>
        <v>44</v>
      </c>
      <c r="Z467" s="41">
        <f>IFERROR(IF(Z464="",0,Z464),"0")+IFERROR(IF(Z465="",0,Z465),"0")+IFERROR(IF(Z466="",0,Z466),"0")</f>
        <v>0.48596</v>
      </c>
      <c r="AA467" s="64"/>
      <c r="AB467" s="64"/>
      <c r="AC467" s="64"/>
    </row>
    <row r="468" spans="1:68" x14ac:dyDescent="0.2">
      <c r="A468" s="724"/>
      <c r="B468" s="724"/>
      <c r="C468" s="724"/>
      <c r="D468" s="724"/>
      <c r="E468" s="724"/>
      <c r="F468" s="724"/>
      <c r="G468" s="724"/>
      <c r="H468" s="724"/>
      <c r="I468" s="724"/>
      <c r="J468" s="724"/>
      <c r="K468" s="724"/>
      <c r="L468" s="724"/>
      <c r="M468" s="724"/>
      <c r="N468" s="724"/>
      <c r="O468" s="725"/>
      <c r="P468" s="721" t="s">
        <v>40</v>
      </c>
      <c r="Q468" s="722"/>
      <c r="R468" s="722"/>
      <c r="S468" s="722"/>
      <c r="T468" s="722"/>
      <c r="U468" s="722"/>
      <c r="V468" s="723"/>
      <c r="W468" s="40" t="s">
        <v>0</v>
      </c>
      <c r="X468" s="41">
        <f>IFERROR(SUM(X464:X466),"0")</f>
        <v>211.2</v>
      </c>
      <c r="Y468" s="41">
        <f>IFERROR(SUM(Y464:Y466),"0")</f>
        <v>211.2</v>
      </c>
      <c r="Z468" s="40"/>
      <c r="AA468" s="64"/>
      <c r="AB468" s="64"/>
      <c r="AC468" s="64"/>
    </row>
    <row r="469" spans="1:68" ht="27.75" hidden="1" customHeight="1" x14ac:dyDescent="0.2">
      <c r="A469" s="713" t="s">
        <v>767</v>
      </c>
      <c r="B469" s="713"/>
      <c r="C469" s="713"/>
      <c r="D469" s="713"/>
      <c r="E469" s="713"/>
      <c r="F469" s="713"/>
      <c r="G469" s="713"/>
      <c r="H469" s="713"/>
      <c r="I469" s="713"/>
      <c r="J469" s="713"/>
      <c r="K469" s="713"/>
      <c r="L469" s="713"/>
      <c r="M469" s="713"/>
      <c r="N469" s="713"/>
      <c r="O469" s="713"/>
      <c r="P469" s="713"/>
      <c r="Q469" s="713"/>
      <c r="R469" s="713"/>
      <c r="S469" s="713"/>
      <c r="T469" s="713"/>
      <c r="U469" s="713"/>
      <c r="V469" s="713"/>
      <c r="W469" s="713"/>
      <c r="X469" s="713"/>
      <c r="Y469" s="713"/>
      <c r="Z469" s="713"/>
      <c r="AA469" s="52"/>
      <c r="AB469" s="52"/>
      <c r="AC469" s="52"/>
    </row>
    <row r="470" spans="1:68" ht="16.5" hidden="1" customHeight="1" x14ac:dyDescent="0.25">
      <c r="A470" s="714" t="s">
        <v>768</v>
      </c>
      <c r="B470" s="714"/>
      <c r="C470" s="714"/>
      <c r="D470" s="714"/>
      <c r="E470" s="714"/>
      <c r="F470" s="714"/>
      <c r="G470" s="714"/>
      <c r="H470" s="714"/>
      <c r="I470" s="714"/>
      <c r="J470" s="714"/>
      <c r="K470" s="714"/>
      <c r="L470" s="714"/>
      <c r="M470" s="714"/>
      <c r="N470" s="714"/>
      <c r="O470" s="714"/>
      <c r="P470" s="714"/>
      <c r="Q470" s="714"/>
      <c r="R470" s="714"/>
      <c r="S470" s="714"/>
      <c r="T470" s="714"/>
      <c r="U470" s="714"/>
      <c r="V470" s="714"/>
      <c r="W470" s="714"/>
      <c r="X470" s="714"/>
      <c r="Y470" s="714"/>
      <c r="Z470" s="714"/>
      <c r="AA470" s="62"/>
      <c r="AB470" s="62"/>
      <c r="AC470" s="62"/>
    </row>
    <row r="471" spans="1:68" ht="14.25" hidden="1" customHeight="1" x14ac:dyDescent="0.25">
      <c r="A471" s="715" t="s">
        <v>77</v>
      </c>
      <c r="B471" s="715"/>
      <c r="C471" s="715"/>
      <c r="D471" s="715"/>
      <c r="E471" s="715"/>
      <c r="F471" s="715"/>
      <c r="G471" s="715"/>
      <c r="H471" s="715"/>
      <c r="I471" s="715"/>
      <c r="J471" s="715"/>
      <c r="K471" s="715"/>
      <c r="L471" s="715"/>
      <c r="M471" s="715"/>
      <c r="N471" s="715"/>
      <c r="O471" s="715"/>
      <c r="P471" s="715"/>
      <c r="Q471" s="715"/>
      <c r="R471" s="715"/>
      <c r="S471" s="715"/>
      <c r="T471" s="715"/>
      <c r="U471" s="715"/>
      <c r="V471" s="715"/>
      <c r="W471" s="715"/>
      <c r="X471" s="715"/>
      <c r="Y471" s="715"/>
      <c r="Z471" s="715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6">
        <v>4680115886100</v>
      </c>
      <c r="E472" s="716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8"/>
      <c r="R472" s="718"/>
      <c r="S472" s="718"/>
      <c r="T472" s="71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6">
        <v>4680115886124</v>
      </c>
      <c r="E473" s="716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8"/>
      <c r="R473" s="718"/>
      <c r="S473" s="718"/>
      <c r="T473" s="71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6">
        <v>4607091384338</v>
      </c>
      <c r="E474" s="71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8"/>
      <c r="R474" s="718"/>
      <c r="S474" s="718"/>
      <c r="T474" s="71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6">
        <v>4680115883161</v>
      </c>
      <c r="E475" s="716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6">
        <v>4607091389531</v>
      </c>
      <c r="E476" s="716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6">
        <v>4607091384345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4"/>
      <c r="B478" s="724"/>
      <c r="C478" s="724"/>
      <c r="D478" s="724"/>
      <c r="E478" s="724"/>
      <c r="F478" s="724"/>
      <c r="G478" s="724"/>
      <c r="H478" s="724"/>
      <c r="I478" s="724"/>
      <c r="J478" s="724"/>
      <c r="K478" s="724"/>
      <c r="L478" s="724"/>
      <c r="M478" s="724"/>
      <c r="N478" s="724"/>
      <c r="O478" s="725"/>
      <c r="P478" s="721" t="s">
        <v>40</v>
      </c>
      <c r="Q478" s="722"/>
      <c r="R478" s="722"/>
      <c r="S478" s="722"/>
      <c r="T478" s="722"/>
      <c r="U478" s="722"/>
      <c r="V478" s="723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4"/>
      <c r="B479" s="724"/>
      <c r="C479" s="724"/>
      <c r="D479" s="724"/>
      <c r="E479" s="724"/>
      <c r="F479" s="724"/>
      <c r="G479" s="724"/>
      <c r="H479" s="724"/>
      <c r="I479" s="724"/>
      <c r="J479" s="724"/>
      <c r="K479" s="724"/>
      <c r="L479" s="724"/>
      <c r="M479" s="724"/>
      <c r="N479" s="724"/>
      <c r="O479" s="725"/>
      <c r="P479" s="721" t="s">
        <v>40</v>
      </c>
      <c r="Q479" s="722"/>
      <c r="R479" s="722"/>
      <c r="S479" s="722"/>
      <c r="T479" s="722"/>
      <c r="U479" s="722"/>
      <c r="V479" s="723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5" t="s">
        <v>86</v>
      </c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5"/>
      <c r="P480" s="715"/>
      <c r="Q480" s="715"/>
      <c r="R480" s="715"/>
      <c r="S480" s="715"/>
      <c r="T480" s="715"/>
      <c r="U480" s="715"/>
      <c r="V480" s="715"/>
      <c r="W480" s="715"/>
      <c r="X480" s="715"/>
      <c r="Y480" s="715"/>
      <c r="Z480" s="715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6">
        <v>4607091384352</v>
      </c>
      <c r="E481" s="716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8"/>
      <c r="R481" s="718"/>
      <c r="S481" s="718"/>
      <c r="T481" s="719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6">
        <v>4607091389654</v>
      </c>
      <c r="E482" s="716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8"/>
      <c r="R482" s="718"/>
      <c r="S482" s="718"/>
      <c r="T482" s="719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4"/>
      <c r="B483" s="724"/>
      <c r="C483" s="724"/>
      <c r="D483" s="724"/>
      <c r="E483" s="724"/>
      <c r="F483" s="724"/>
      <c r="G483" s="724"/>
      <c r="H483" s="724"/>
      <c r="I483" s="724"/>
      <c r="J483" s="724"/>
      <c r="K483" s="724"/>
      <c r="L483" s="724"/>
      <c r="M483" s="724"/>
      <c r="N483" s="724"/>
      <c r="O483" s="725"/>
      <c r="P483" s="721" t="s">
        <v>40</v>
      </c>
      <c r="Q483" s="722"/>
      <c r="R483" s="722"/>
      <c r="S483" s="722"/>
      <c r="T483" s="722"/>
      <c r="U483" s="722"/>
      <c r="V483" s="723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4"/>
      <c r="B484" s="724"/>
      <c r="C484" s="724"/>
      <c r="D484" s="724"/>
      <c r="E484" s="724"/>
      <c r="F484" s="724"/>
      <c r="G484" s="724"/>
      <c r="H484" s="724"/>
      <c r="I484" s="724"/>
      <c r="J484" s="724"/>
      <c r="K484" s="724"/>
      <c r="L484" s="724"/>
      <c r="M484" s="724"/>
      <c r="N484" s="724"/>
      <c r="O484" s="725"/>
      <c r="P484" s="721" t="s">
        <v>40</v>
      </c>
      <c r="Q484" s="722"/>
      <c r="R484" s="722"/>
      <c r="S484" s="722"/>
      <c r="T484" s="722"/>
      <c r="U484" s="722"/>
      <c r="V484" s="723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4" t="s">
        <v>791</v>
      </c>
      <c r="B485" s="714"/>
      <c r="C485" s="714"/>
      <c r="D485" s="714"/>
      <c r="E485" s="714"/>
      <c r="F485" s="714"/>
      <c r="G485" s="714"/>
      <c r="H485" s="714"/>
      <c r="I485" s="714"/>
      <c r="J485" s="714"/>
      <c r="K485" s="714"/>
      <c r="L485" s="714"/>
      <c r="M485" s="714"/>
      <c r="N485" s="714"/>
      <c r="O485" s="714"/>
      <c r="P485" s="714"/>
      <c r="Q485" s="714"/>
      <c r="R485" s="714"/>
      <c r="S485" s="714"/>
      <c r="T485" s="714"/>
      <c r="U485" s="714"/>
      <c r="V485" s="714"/>
      <c r="W485" s="714"/>
      <c r="X485" s="714"/>
      <c r="Y485" s="714"/>
      <c r="Z485" s="714"/>
      <c r="AA485" s="62"/>
      <c r="AB485" s="62"/>
      <c r="AC485" s="62"/>
    </row>
    <row r="486" spans="1:68" ht="14.25" hidden="1" customHeight="1" x14ac:dyDescent="0.25">
      <c r="A486" s="715" t="s">
        <v>157</v>
      </c>
      <c r="B486" s="715"/>
      <c r="C486" s="715"/>
      <c r="D486" s="715"/>
      <c r="E486" s="715"/>
      <c r="F486" s="715"/>
      <c r="G486" s="715"/>
      <c r="H486" s="715"/>
      <c r="I486" s="715"/>
      <c r="J486" s="715"/>
      <c r="K486" s="715"/>
      <c r="L486" s="715"/>
      <c r="M486" s="715"/>
      <c r="N486" s="715"/>
      <c r="O486" s="715"/>
      <c r="P486" s="715"/>
      <c r="Q486" s="715"/>
      <c r="R486" s="715"/>
      <c r="S486" s="715"/>
      <c r="T486" s="715"/>
      <c r="U486" s="715"/>
      <c r="V486" s="715"/>
      <c r="W486" s="715"/>
      <c r="X486" s="715"/>
      <c r="Y486" s="715"/>
      <c r="Z486" s="715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6">
        <v>4680115885240</v>
      </c>
      <c r="E487" s="716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8"/>
      <c r="R487" s="718"/>
      <c r="S487" s="718"/>
      <c r="T487" s="719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4"/>
      <c r="B488" s="724"/>
      <c r="C488" s="724"/>
      <c r="D488" s="724"/>
      <c r="E488" s="724"/>
      <c r="F488" s="724"/>
      <c r="G488" s="724"/>
      <c r="H488" s="724"/>
      <c r="I488" s="724"/>
      <c r="J488" s="724"/>
      <c r="K488" s="724"/>
      <c r="L488" s="724"/>
      <c r="M488" s="724"/>
      <c r="N488" s="724"/>
      <c r="O488" s="725"/>
      <c r="P488" s="721" t="s">
        <v>40</v>
      </c>
      <c r="Q488" s="722"/>
      <c r="R488" s="722"/>
      <c r="S488" s="722"/>
      <c r="T488" s="722"/>
      <c r="U488" s="722"/>
      <c r="V488" s="723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4"/>
      <c r="B489" s="724"/>
      <c r="C489" s="724"/>
      <c r="D489" s="724"/>
      <c r="E489" s="724"/>
      <c r="F489" s="724"/>
      <c r="G489" s="724"/>
      <c r="H489" s="724"/>
      <c r="I489" s="724"/>
      <c r="J489" s="724"/>
      <c r="K489" s="724"/>
      <c r="L489" s="724"/>
      <c r="M489" s="724"/>
      <c r="N489" s="724"/>
      <c r="O489" s="725"/>
      <c r="P489" s="721" t="s">
        <v>40</v>
      </c>
      <c r="Q489" s="722"/>
      <c r="R489" s="722"/>
      <c r="S489" s="722"/>
      <c r="T489" s="722"/>
      <c r="U489" s="722"/>
      <c r="V489" s="723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5" t="s">
        <v>77</v>
      </c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5"/>
      <c r="P490" s="715"/>
      <c r="Q490" s="715"/>
      <c r="R490" s="715"/>
      <c r="S490" s="715"/>
      <c r="T490" s="715"/>
      <c r="U490" s="715"/>
      <c r="V490" s="715"/>
      <c r="W490" s="715"/>
      <c r="X490" s="715"/>
      <c r="Y490" s="715"/>
      <c r="Z490" s="715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6">
        <v>4680115886094</v>
      </c>
      <c r="E491" s="716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8"/>
      <c r="R491" s="718"/>
      <c r="S491" s="718"/>
      <c r="T491" s="719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6">
        <v>4680115880771</v>
      </c>
      <c r="E492" s="716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8"/>
      <c r="R492" s="718"/>
      <c r="S492" s="718"/>
      <c r="T492" s="719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6">
        <v>4607091389500</v>
      </c>
      <c r="E493" s="716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8"/>
      <c r="R493" s="718"/>
      <c r="S493" s="718"/>
      <c r="T493" s="719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4"/>
      <c r="B494" s="724"/>
      <c r="C494" s="724"/>
      <c r="D494" s="724"/>
      <c r="E494" s="724"/>
      <c r="F494" s="724"/>
      <c r="G494" s="724"/>
      <c r="H494" s="724"/>
      <c r="I494" s="724"/>
      <c r="J494" s="724"/>
      <c r="K494" s="724"/>
      <c r="L494" s="724"/>
      <c r="M494" s="724"/>
      <c r="N494" s="724"/>
      <c r="O494" s="725"/>
      <c r="P494" s="721" t="s">
        <v>40</v>
      </c>
      <c r="Q494" s="722"/>
      <c r="R494" s="722"/>
      <c r="S494" s="722"/>
      <c r="T494" s="722"/>
      <c r="U494" s="722"/>
      <c r="V494" s="723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4"/>
      <c r="B495" s="724"/>
      <c r="C495" s="724"/>
      <c r="D495" s="724"/>
      <c r="E495" s="724"/>
      <c r="F495" s="724"/>
      <c r="G495" s="724"/>
      <c r="H495" s="724"/>
      <c r="I495" s="724"/>
      <c r="J495" s="724"/>
      <c r="K495" s="724"/>
      <c r="L495" s="724"/>
      <c r="M495" s="724"/>
      <c r="N495" s="724"/>
      <c r="O495" s="725"/>
      <c r="P495" s="721" t="s">
        <v>40</v>
      </c>
      <c r="Q495" s="722"/>
      <c r="R495" s="722"/>
      <c r="S495" s="722"/>
      <c r="T495" s="722"/>
      <c r="U495" s="722"/>
      <c r="V495" s="723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3" t="s">
        <v>803</v>
      </c>
      <c r="B496" s="713"/>
      <c r="C496" s="713"/>
      <c r="D496" s="713"/>
      <c r="E496" s="713"/>
      <c r="F496" s="713"/>
      <c r="G496" s="713"/>
      <c r="H496" s="713"/>
      <c r="I496" s="713"/>
      <c r="J496" s="713"/>
      <c r="K496" s="713"/>
      <c r="L496" s="713"/>
      <c r="M496" s="713"/>
      <c r="N496" s="713"/>
      <c r="O496" s="713"/>
      <c r="P496" s="713"/>
      <c r="Q496" s="713"/>
      <c r="R496" s="713"/>
      <c r="S496" s="713"/>
      <c r="T496" s="713"/>
      <c r="U496" s="713"/>
      <c r="V496" s="713"/>
      <c r="W496" s="713"/>
      <c r="X496" s="713"/>
      <c r="Y496" s="713"/>
      <c r="Z496" s="713"/>
      <c r="AA496" s="52"/>
      <c r="AB496" s="52"/>
      <c r="AC496" s="52"/>
    </row>
    <row r="497" spans="1:68" ht="16.5" hidden="1" customHeight="1" x14ac:dyDescent="0.25">
      <c r="A497" s="714" t="s">
        <v>803</v>
      </c>
      <c r="B497" s="714"/>
      <c r="C497" s="714"/>
      <c r="D497" s="714"/>
      <c r="E497" s="714"/>
      <c r="F497" s="714"/>
      <c r="G497" s="714"/>
      <c r="H497" s="714"/>
      <c r="I497" s="714"/>
      <c r="J497" s="714"/>
      <c r="K497" s="714"/>
      <c r="L497" s="714"/>
      <c r="M497" s="714"/>
      <c r="N497" s="714"/>
      <c r="O497" s="714"/>
      <c r="P497" s="714"/>
      <c r="Q497" s="714"/>
      <c r="R497" s="714"/>
      <c r="S497" s="714"/>
      <c r="T497" s="714"/>
      <c r="U497" s="714"/>
      <c r="V497" s="714"/>
      <c r="W497" s="714"/>
      <c r="X497" s="714"/>
      <c r="Y497" s="714"/>
      <c r="Z497" s="714"/>
      <c r="AA497" s="62"/>
      <c r="AB497" s="62"/>
      <c r="AC497" s="62"/>
    </row>
    <row r="498" spans="1:68" ht="14.25" hidden="1" customHeight="1" x14ac:dyDescent="0.25">
      <c r="A498" s="715" t="s">
        <v>122</v>
      </c>
      <c r="B498" s="715"/>
      <c r="C498" s="715"/>
      <c r="D498" s="715"/>
      <c r="E498" s="715"/>
      <c r="F498" s="715"/>
      <c r="G498" s="715"/>
      <c r="H498" s="715"/>
      <c r="I498" s="715"/>
      <c r="J498" s="715"/>
      <c r="K498" s="715"/>
      <c r="L498" s="715"/>
      <c r="M498" s="715"/>
      <c r="N498" s="715"/>
      <c r="O498" s="715"/>
      <c r="P498" s="715"/>
      <c r="Q498" s="715"/>
      <c r="R498" s="715"/>
      <c r="S498" s="715"/>
      <c r="T498" s="715"/>
      <c r="U498" s="715"/>
      <c r="V498" s="715"/>
      <c r="W498" s="715"/>
      <c r="X498" s="715"/>
      <c r="Y498" s="715"/>
      <c r="Z498" s="715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6">
        <v>4607091389067</v>
      </c>
      <c r="E499" s="71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8"/>
      <c r="R499" s="718"/>
      <c r="S499" s="718"/>
      <c r="T499" s="71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6">
        <v>4680115889576</v>
      </c>
      <c r="E500" s="71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8"/>
      <c r="R500" s="718"/>
      <c r="S500" s="718"/>
      <c r="T500" s="71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6">
        <v>4680115885271</v>
      </c>
      <c r="E501" s="71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8"/>
      <c r="R501" s="718"/>
      <c r="S501" s="718"/>
      <c r="T501" s="71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6">
        <v>4680115885226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6">
        <v>4680115884502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6">
        <v>4607091389104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6">
        <v>4680115886391</v>
      </c>
      <c r="E505" s="716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6">
        <v>4680115880603</v>
      </c>
      <c r="E506" s="716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6">
        <v>4607091389982</v>
      </c>
      <c r="E507" s="716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4"/>
      <c r="B508" s="724"/>
      <c r="C508" s="724"/>
      <c r="D508" s="724"/>
      <c r="E508" s="724"/>
      <c r="F508" s="724"/>
      <c r="G508" s="724"/>
      <c r="H508" s="724"/>
      <c r="I508" s="724"/>
      <c r="J508" s="724"/>
      <c r="K508" s="724"/>
      <c r="L508" s="724"/>
      <c r="M508" s="724"/>
      <c r="N508" s="724"/>
      <c r="O508" s="725"/>
      <c r="P508" s="721" t="s">
        <v>40</v>
      </c>
      <c r="Q508" s="722"/>
      <c r="R508" s="722"/>
      <c r="S508" s="722"/>
      <c r="T508" s="722"/>
      <c r="U508" s="722"/>
      <c r="V508" s="723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4"/>
      <c r="B509" s="724"/>
      <c r="C509" s="724"/>
      <c r="D509" s="724"/>
      <c r="E509" s="724"/>
      <c r="F509" s="724"/>
      <c r="G509" s="724"/>
      <c r="H509" s="724"/>
      <c r="I509" s="724"/>
      <c r="J509" s="724"/>
      <c r="K509" s="724"/>
      <c r="L509" s="724"/>
      <c r="M509" s="724"/>
      <c r="N509" s="724"/>
      <c r="O509" s="725"/>
      <c r="P509" s="721" t="s">
        <v>40</v>
      </c>
      <c r="Q509" s="722"/>
      <c r="R509" s="722"/>
      <c r="S509" s="722"/>
      <c r="T509" s="722"/>
      <c r="U509" s="722"/>
      <c r="V509" s="723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5" t="s">
        <v>157</v>
      </c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5"/>
      <c r="P510" s="715"/>
      <c r="Q510" s="715"/>
      <c r="R510" s="715"/>
      <c r="S510" s="715"/>
      <c r="T510" s="715"/>
      <c r="U510" s="715"/>
      <c r="V510" s="715"/>
      <c r="W510" s="715"/>
      <c r="X510" s="715"/>
      <c r="Y510" s="715"/>
      <c r="Z510" s="715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6">
        <v>4607091388930</v>
      </c>
      <c r="E511" s="716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8"/>
      <c r="R511" s="718"/>
      <c r="S511" s="718"/>
      <c r="T511" s="719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6">
        <v>4680115886407</v>
      </c>
      <c r="E512" s="716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8"/>
      <c r="R512" s="718"/>
      <c r="S512" s="718"/>
      <c r="T512" s="719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6">
        <v>4680115880054</v>
      </c>
      <c r="E513" s="716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8"/>
      <c r="R513" s="718"/>
      <c r="S513" s="718"/>
      <c r="T513" s="719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4"/>
      <c r="B514" s="724"/>
      <c r="C514" s="724"/>
      <c r="D514" s="724"/>
      <c r="E514" s="724"/>
      <c r="F514" s="724"/>
      <c r="G514" s="724"/>
      <c r="H514" s="724"/>
      <c r="I514" s="724"/>
      <c r="J514" s="724"/>
      <c r="K514" s="724"/>
      <c r="L514" s="724"/>
      <c r="M514" s="724"/>
      <c r="N514" s="724"/>
      <c r="O514" s="725"/>
      <c r="P514" s="721" t="s">
        <v>40</v>
      </c>
      <c r="Q514" s="722"/>
      <c r="R514" s="722"/>
      <c r="S514" s="722"/>
      <c r="T514" s="722"/>
      <c r="U514" s="722"/>
      <c r="V514" s="723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4"/>
      <c r="B515" s="724"/>
      <c r="C515" s="724"/>
      <c r="D515" s="724"/>
      <c r="E515" s="724"/>
      <c r="F515" s="724"/>
      <c r="G515" s="724"/>
      <c r="H515" s="724"/>
      <c r="I515" s="724"/>
      <c r="J515" s="724"/>
      <c r="K515" s="724"/>
      <c r="L515" s="724"/>
      <c r="M515" s="724"/>
      <c r="N515" s="724"/>
      <c r="O515" s="725"/>
      <c r="P515" s="721" t="s">
        <v>40</v>
      </c>
      <c r="Q515" s="722"/>
      <c r="R515" s="722"/>
      <c r="S515" s="722"/>
      <c r="T515" s="722"/>
      <c r="U515" s="722"/>
      <c r="V515" s="723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5" t="s">
        <v>77</v>
      </c>
      <c r="B516" s="715"/>
      <c r="C516" s="715"/>
      <c r="D516" s="715"/>
      <c r="E516" s="715"/>
      <c r="F516" s="715"/>
      <c r="G516" s="715"/>
      <c r="H516" s="715"/>
      <c r="I516" s="715"/>
      <c r="J516" s="715"/>
      <c r="K516" s="715"/>
      <c r="L516" s="715"/>
      <c r="M516" s="715"/>
      <c r="N516" s="715"/>
      <c r="O516" s="715"/>
      <c r="P516" s="715"/>
      <c r="Q516" s="715"/>
      <c r="R516" s="715"/>
      <c r="S516" s="715"/>
      <c r="T516" s="715"/>
      <c r="U516" s="715"/>
      <c r="V516" s="715"/>
      <c r="W516" s="715"/>
      <c r="X516" s="715"/>
      <c r="Y516" s="715"/>
      <c r="Z516" s="715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6">
        <v>4680115883116</v>
      </c>
      <c r="E517" s="716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8"/>
      <c r="R517" s="718"/>
      <c r="S517" s="718"/>
      <c r="T517" s="71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6">
        <v>4680115883093</v>
      </c>
      <c r="E518" s="716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8"/>
      <c r="R518" s="718"/>
      <c r="S518" s="718"/>
      <c r="T518" s="71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customHeight="1" x14ac:dyDescent="0.25">
      <c r="A519" s="60" t="s">
        <v>840</v>
      </c>
      <c r="B519" s="60" t="s">
        <v>841</v>
      </c>
      <c r="C519" s="34">
        <v>4301031353</v>
      </c>
      <c r="D519" s="716">
        <v>4680115883109</v>
      </c>
      <c r="E519" s="716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8"/>
      <c r="R519" s="718"/>
      <c r="S519" s="718"/>
      <c r="T519" s="719"/>
      <c r="U519" s="37" t="s">
        <v>46</v>
      </c>
      <c r="V519" s="37" t="s">
        <v>46</v>
      </c>
      <c r="W519" s="38" t="s">
        <v>0</v>
      </c>
      <c r="X519" s="56">
        <v>42.24</v>
      </c>
      <c r="Y519" s="53">
        <f t="shared" si="84"/>
        <v>42.24</v>
      </c>
      <c r="Z519" s="39">
        <f>IFERROR(IF(Y519=0,"",ROUNDUP(Y519/H519,0)*0.01196),"")</f>
        <v>9.5680000000000001E-2</v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45.04</v>
      </c>
      <c r="BN519" s="75">
        <f t="shared" si="86"/>
        <v>45.04</v>
      </c>
      <c r="BO519" s="75">
        <f t="shared" si="87"/>
        <v>7.6923076923076927E-2</v>
      </c>
      <c r="BP519" s="75">
        <f t="shared" si="88"/>
        <v>7.6923076923076927E-2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6">
        <v>4680115882072</v>
      </c>
      <c r="E520" s="716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6">
        <v>4680115882102</v>
      </c>
      <c r="E521" s="716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6">
        <v>4680115882102</v>
      </c>
      <c r="E522" s="716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6">
        <v>4680115882096</v>
      </c>
      <c r="E523" s="716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x14ac:dyDescent="0.2">
      <c r="A524" s="724"/>
      <c r="B524" s="724"/>
      <c r="C524" s="724"/>
      <c r="D524" s="724"/>
      <c r="E524" s="724"/>
      <c r="F524" s="724"/>
      <c r="G524" s="724"/>
      <c r="H524" s="724"/>
      <c r="I524" s="724"/>
      <c r="J524" s="724"/>
      <c r="K524" s="724"/>
      <c r="L524" s="724"/>
      <c r="M524" s="724"/>
      <c r="N524" s="724"/>
      <c r="O524" s="725"/>
      <c r="P524" s="721" t="s">
        <v>40</v>
      </c>
      <c r="Q524" s="722"/>
      <c r="R524" s="722"/>
      <c r="S524" s="722"/>
      <c r="T524" s="722"/>
      <c r="U524" s="722"/>
      <c r="V524" s="723"/>
      <c r="W524" s="40" t="s">
        <v>39</v>
      </c>
      <c r="X524" s="41">
        <f>IFERROR(X517/H517,"0")+IFERROR(X518/H518,"0")+IFERROR(X519/H519,"0")+IFERROR(X520/H520,"0")+IFERROR(X521/H521,"0")+IFERROR(X522/H522,"0")+IFERROR(X523/H523,"0")</f>
        <v>8</v>
      </c>
      <c r="Y524" s="41">
        <f>IFERROR(Y517/H517,"0")+IFERROR(Y518/H518,"0")+IFERROR(Y519/H519,"0")+IFERROR(Y520/H520,"0")+IFERROR(Y521/H521,"0")+IFERROR(Y522/H522,"0")+IFERROR(Y523/H523,"0")</f>
        <v>8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9.5680000000000001E-2</v>
      </c>
      <c r="AA524" s="64"/>
      <c r="AB524" s="64"/>
      <c r="AC524" s="64"/>
    </row>
    <row r="525" spans="1:68" x14ac:dyDescent="0.2">
      <c r="A525" s="724"/>
      <c r="B525" s="724"/>
      <c r="C525" s="724"/>
      <c r="D525" s="724"/>
      <c r="E525" s="724"/>
      <c r="F525" s="724"/>
      <c r="G525" s="724"/>
      <c r="H525" s="724"/>
      <c r="I525" s="724"/>
      <c r="J525" s="724"/>
      <c r="K525" s="724"/>
      <c r="L525" s="724"/>
      <c r="M525" s="724"/>
      <c r="N525" s="724"/>
      <c r="O525" s="725"/>
      <c r="P525" s="721" t="s">
        <v>40</v>
      </c>
      <c r="Q525" s="722"/>
      <c r="R525" s="722"/>
      <c r="S525" s="722"/>
      <c r="T525" s="722"/>
      <c r="U525" s="722"/>
      <c r="V525" s="723"/>
      <c r="W525" s="40" t="s">
        <v>0</v>
      </c>
      <c r="X525" s="41">
        <f>IFERROR(SUM(X517:X523),"0")</f>
        <v>42.24</v>
      </c>
      <c r="Y525" s="41">
        <f>IFERROR(SUM(Y517:Y523),"0")</f>
        <v>42.24</v>
      </c>
      <c r="Z525" s="40"/>
      <c r="AA525" s="64"/>
      <c r="AB525" s="64"/>
      <c r="AC525" s="64"/>
    </row>
    <row r="526" spans="1:68" ht="27.75" hidden="1" customHeight="1" x14ac:dyDescent="0.2">
      <c r="A526" s="713" t="s">
        <v>850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52"/>
      <c r="AB526" s="52"/>
      <c r="AC526" s="52"/>
    </row>
    <row r="527" spans="1:68" ht="16.5" hidden="1" customHeight="1" x14ac:dyDescent="0.25">
      <c r="A527" s="714" t="s">
        <v>850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2"/>
      <c r="AB527" s="62"/>
      <c r="AC527" s="62"/>
    </row>
    <row r="528" spans="1:68" ht="14.25" hidden="1" customHeight="1" x14ac:dyDescent="0.25">
      <c r="A528" s="715" t="s">
        <v>122</v>
      </c>
      <c r="B528" s="715"/>
      <c r="C528" s="715"/>
      <c r="D528" s="715"/>
      <c r="E528" s="715"/>
      <c r="F528" s="715"/>
      <c r="G528" s="715"/>
      <c r="H528" s="715"/>
      <c r="I528" s="715"/>
      <c r="J528" s="715"/>
      <c r="K528" s="715"/>
      <c r="L528" s="715"/>
      <c r="M528" s="715"/>
      <c r="N528" s="715"/>
      <c r="O528" s="715"/>
      <c r="P528" s="715"/>
      <c r="Q528" s="715"/>
      <c r="R528" s="715"/>
      <c r="S528" s="715"/>
      <c r="T528" s="715"/>
      <c r="U528" s="715"/>
      <c r="V528" s="715"/>
      <c r="W528" s="715"/>
      <c r="X528" s="715"/>
      <c r="Y528" s="715"/>
      <c r="Z528" s="715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6">
        <v>4640242180564</v>
      </c>
      <c r="E529" s="716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8"/>
      <c r="R529" s="718"/>
      <c r="S529" s="718"/>
      <c r="T529" s="719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4"/>
      <c r="B530" s="724"/>
      <c r="C530" s="724"/>
      <c r="D530" s="724"/>
      <c r="E530" s="724"/>
      <c r="F530" s="724"/>
      <c r="G530" s="724"/>
      <c r="H530" s="724"/>
      <c r="I530" s="724"/>
      <c r="J530" s="724"/>
      <c r="K530" s="724"/>
      <c r="L530" s="724"/>
      <c r="M530" s="724"/>
      <c r="N530" s="724"/>
      <c r="O530" s="725"/>
      <c r="P530" s="721" t="s">
        <v>40</v>
      </c>
      <c r="Q530" s="722"/>
      <c r="R530" s="722"/>
      <c r="S530" s="722"/>
      <c r="T530" s="722"/>
      <c r="U530" s="722"/>
      <c r="V530" s="723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4"/>
      <c r="B531" s="724"/>
      <c r="C531" s="724"/>
      <c r="D531" s="724"/>
      <c r="E531" s="724"/>
      <c r="F531" s="724"/>
      <c r="G531" s="724"/>
      <c r="H531" s="724"/>
      <c r="I531" s="724"/>
      <c r="J531" s="724"/>
      <c r="K531" s="724"/>
      <c r="L531" s="724"/>
      <c r="M531" s="724"/>
      <c r="N531" s="724"/>
      <c r="O531" s="725"/>
      <c r="P531" s="721" t="s">
        <v>40</v>
      </c>
      <c r="Q531" s="722"/>
      <c r="R531" s="722"/>
      <c r="S531" s="722"/>
      <c r="T531" s="722"/>
      <c r="U531" s="722"/>
      <c r="V531" s="723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5" t="s">
        <v>157</v>
      </c>
      <c r="B532" s="715"/>
      <c r="C532" s="715"/>
      <c r="D532" s="715"/>
      <c r="E532" s="715"/>
      <c r="F532" s="715"/>
      <c r="G532" s="715"/>
      <c r="H532" s="715"/>
      <c r="I532" s="715"/>
      <c r="J532" s="715"/>
      <c r="K532" s="715"/>
      <c r="L532" s="715"/>
      <c r="M532" s="715"/>
      <c r="N532" s="715"/>
      <c r="O532" s="715"/>
      <c r="P532" s="715"/>
      <c r="Q532" s="715"/>
      <c r="R532" s="715"/>
      <c r="S532" s="715"/>
      <c r="T532" s="715"/>
      <c r="U532" s="715"/>
      <c r="V532" s="715"/>
      <c r="W532" s="715"/>
      <c r="X532" s="715"/>
      <c r="Y532" s="715"/>
      <c r="Z532" s="715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6">
        <v>4640242180519</v>
      </c>
      <c r="E533" s="716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8"/>
      <c r="R533" s="718"/>
      <c r="S533" s="718"/>
      <c r="T533" s="719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4"/>
      <c r="B535" s="724"/>
      <c r="C535" s="724"/>
      <c r="D535" s="724"/>
      <c r="E535" s="724"/>
      <c r="F535" s="724"/>
      <c r="G535" s="724"/>
      <c r="H535" s="724"/>
      <c r="I535" s="724"/>
      <c r="J535" s="724"/>
      <c r="K535" s="724"/>
      <c r="L535" s="724"/>
      <c r="M535" s="724"/>
      <c r="N535" s="724"/>
      <c r="O535" s="725"/>
      <c r="P535" s="721" t="s">
        <v>40</v>
      </c>
      <c r="Q535" s="722"/>
      <c r="R535" s="722"/>
      <c r="S535" s="722"/>
      <c r="T535" s="722"/>
      <c r="U535" s="722"/>
      <c r="V535" s="723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5" t="s">
        <v>77</v>
      </c>
      <c r="B536" s="715"/>
      <c r="C536" s="715"/>
      <c r="D536" s="715"/>
      <c r="E536" s="715"/>
      <c r="F536" s="715"/>
      <c r="G536" s="715"/>
      <c r="H536" s="715"/>
      <c r="I536" s="715"/>
      <c r="J536" s="715"/>
      <c r="K536" s="715"/>
      <c r="L536" s="715"/>
      <c r="M536" s="715"/>
      <c r="N536" s="715"/>
      <c r="O536" s="715"/>
      <c r="P536" s="715"/>
      <c r="Q536" s="715"/>
      <c r="R536" s="715"/>
      <c r="S536" s="715"/>
      <c r="T536" s="715"/>
      <c r="U536" s="715"/>
      <c r="V536" s="715"/>
      <c r="W536" s="715"/>
      <c r="X536" s="715"/>
      <c r="Y536" s="715"/>
      <c r="Z536" s="715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6">
        <v>4640242180595</v>
      </c>
      <c r="E537" s="716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8"/>
      <c r="R537" s="718"/>
      <c r="S537" s="718"/>
      <c r="T537" s="719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4"/>
      <c r="B539" s="724"/>
      <c r="C539" s="724"/>
      <c r="D539" s="724"/>
      <c r="E539" s="724"/>
      <c r="F539" s="724"/>
      <c r="G539" s="724"/>
      <c r="H539" s="724"/>
      <c r="I539" s="724"/>
      <c r="J539" s="724"/>
      <c r="K539" s="724"/>
      <c r="L539" s="724"/>
      <c r="M539" s="724"/>
      <c r="N539" s="724"/>
      <c r="O539" s="725"/>
      <c r="P539" s="721" t="s">
        <v>40</v>
      </c>
      <c r="Q539" s="722"/>
      <c r="R539" s="722"/>
      <c r="S539" s="722"/>
      <c r="T539" s="722"/>
      <c r="U539" s="722"/>
      <c r="V539" s="723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5" t="s">
        <v>86</v>
      </c>
      <c r="B540" s="715"/>
      <c r="C540" s="715"/>
      <c r="D540" s="715"/>
      <c r="E540" s="715"/>
      <c r="F540" s="715"/>
      <c r="G540" s="715"/>
      <c r="H540" s="715"/>
      <c r="I540" s="715"/>
      <c r="J540" s="715"/>
      <c r="K540" s="715"/>
      <c r="L540" s="715"/>
      <c r="M540" s="715"/>
      <c r="N540" s="715"/>
      <c r="O540" s="715"/>
      <c r="P540" s="715"/>
      <c r="Q540" s="715"/>
      <c r="R540" s="715"/>
      <c r="S540" s="715"/>
      <c r="T540" s="715"/>
      <c r="U540" s="715"/>
      <c r="V540" s="715"/>
      <c r="W540" s="715"/>
      <c r="X540" s="715"/>
      <c r="Y540" s="715"/>
      <c r="Z540" s="715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6">
        <v>4640242180533</v>
      </c>
      <c r="E541" s="716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8"/>
      <c r="R541" s="718"/>
      <c r="S541" s="718"/>
      <c r="T541" s="719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4"/>
      <c r="B543" s="724"/>
      <c r="C543" s="724"/>
      <c r="D543" s="724"/>
      <c r="E543" s="724"/>
      <c r="F543" s="724"/>
      <c r="G543" s="724"/>
      <c r="H543" s="724"/>
      <c r="I543" s="724"/>
      <c r="J543" s="724"/>
      <c r="K543" s="724"/>
      <c r="L543" s="724"/>
      <c r="M543" s="724"/>
      <c r="N543" s="724"/>
      <c r="O543" s="725"/>
      <c r="P543" s="721" t="s">
        <v>40</v>
      </c>
      <c r="Q543" s="722"/>
      <c r="R543" s="722"/>
      <c r="S543" s="722"/>
      <c r="T543" s="722"/>
      <c r="U543" s="722"/>
      <c r="V543" s="723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5" t="s">
        <v>175</v>
      </c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5"/>
      <c r="P544" s="715"/>
      <c r="Q544" s="715"/>
      <c r="R544" s="715"/>
      <c r="S544" s="715"/>
      <c r="T544" s="715"/>
      <c r="U544" s="715"/>
      <c r="V544" s="715"/>
      <c r="W544" s="715"/>
      <c r="X544" s="715"/>
      <c r="Y544" s="715"/>
      <c r="Z544" s="715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6">
        <v>4640242180120</v>
      </c>
      <c r="E545" s="716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8"/>
      <c r="R545" s="718"/>
      <c r="S545" s="718"/>
      <c r="T545" s="719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6">
        <v>4640242180137</v>
      </c>
      <c r="E546" s="716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8"/>
      <c r="R546" s="718"/>
      <c r="S546" s="718"/>
      <c r="T546" s="719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4"/>
      <c r="B547" s="724"/>
      <c r="C547" s="724"/>
      <c r="D547" s="724"/>
      <c r="E547" s="724"/>
      <c r="F547" s="724"/>
      <c r="G547" s="724"/>
      <c r="H547" s="724"/>
      <c r="I547" s="724"/>
      <c r="J547" s="724"/>
      <c r="K547" s="724"/>
      <c r="L547" s="724"/>
      <c r="M547" s="724"/>
      <c r="N547" s="724"/>
      <c r="O547" s="725"/>
      <c r="P547" s="721" t="s">
        <v>40</v>
      </c>
      <c r="Q547" s="722"/>
      <c r="R547" s="722"/>
      <c r="S547" s="722"/>
      <c r="T547" s="722"/>
      <c r="U547" s="722"/>
      <c r="V547" s="723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4"/>
      <c r="B548" s="724"/>
      <c r="C548" s="724"/>
      <c r="D548" s="724"/>
      <c r="E548" s="724"/>
      <c r="F548" s="724"/>
      <c r="G548" s="724"/>
      <c r="H548" s="724"/>
      <c r="I548" s="724"/>
      <c r="J548" s="724"/>
      <c r="K548" s="724"/>
      <c r="L548" s="724"/>
      <c r="M548" s="724"/>
      <c r="N548" s="724"/>
      <c r="O548" s="725"/>
      <c r="P548" s="721" t="s">
        <v>40</v>
      </c>
      <c r="Q548" s="722"/>
      <c r="R548" s="722"/>
      <c r="S548" s="722"/>
      <c r="T548" s="722"/>
      <c r="U548" s="722"/>
      <c r="V548" s="723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4" t="s">
        <v>869</v>
      </c>
      <c r="B549" s="714"/>
      <c r="C549" s="714"/>
      <c r="D549" s="714"/>
      <c r="E549" s="714"/>
      <c r="F549" s="714"/>
      <c r="G549" s="714"/>
      <c r="H549" s="714"/>
      <c r="I549" s="714"/>
      <c r="J549" s="714"/>
      <c r="K549" s="714"/>
      <c r="L549" s="714"/>
      <c r="M549" s="714"/>
      <c r="N549" s="714"/>
      <c r="O549" s="714"/>
      <c r="P549" s="714"/>
      <c r="Q549" s="714"/>
      <c r="R549" s="714"/>
      <c r="S549" s="714"/>
      <c r="T549" s="714"/>
      <c r="U549" s="714"/>
      <c r="V549" s="714"/>
      <c r="W549" s="714"/>
      <c r="X549" s="714"/>
      <c r="Y549" s="714"/>
      <c r="Z549" s="714"/>
      <c r="AA549" s="62"/>
      <c r="AB549" s="62"/>
      <c r="AC549" s="62"/>
    </row>
    <row r="550" spans="1:68" ht="14.25" hidden="1" customHeight="1" x14ac:dyDescent="0.25">
      <c r="A550" s="715" t="s">
        <v>157</v>
      </c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715"/>
      <c r="P550" s="715"/>
      <c r="Q550" s="715"/>
      <c r="R550" s="715"/>
      <c r="S550" s="715"/>
      <c r="T550" s="715"/>
      <c r="U550" s="715"/>
      <c r="V550" s="715"/>
      <c r="W550" s="715"/>
      <c r="X550" s="715"/>
      <c r="Y550" s="715"/>
      <c r="Z550" s="715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6">
        <v>4680115889798</v>
      </c>
      <c r="E551" s="716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8"/>
      <c r="R551" s="718"/>
      <c r="S551" s="718"/>
      <c r="T551" s="719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4"/>
      <c r="B552" s="724"/>
      <c r="C552" s="724"/>
      <c r="D552" s="724"/>
      <c r="E552" s="724"/>
      <c r="F552" s="724"/>
      <c r="G552" s="724"/>
      <c r="H552" s="724"/>
      <c r="I552" s="724"/>
      <c r="J552" s="724"/>
      <c r="K552" s="724"/>
      <c r="L552" s="724"/>
      <c r="M552" s="724"/>
      <c r="N552" s="724"/>
      <c r="O552" s="725"/>
      <c r="P552" s="721" t="s">
        <v>40</v>
      </c>
      <c r="Q552" s="722"/>
      <c r="R552" s="722"/>
      <c r="S552" s="722"/>
      <c r="T552" s="722"/>
      <c r="U552" s="722"/>
      <c r="V552" s="723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4"/>
      <c r="B553" s="724"/>
      <c r="C553" s="724"/>
      <c r="D553" s="724"/>
      <c r="E553" s="724"/>
      <c r="F553" s="724"/>
      <c r="G553" s="724"/>
      <c r="H553" s="724"/>
      <c r="I553" s="724"/>
      <c r="J553" s="724"/>
      <c r="K553" s="724"/>
      <c r="L553" s="724"/>
      <c r="M553" s="724"/>
      <c r="N553" s="724"/>
      <c r="O553" s="725"/>
      <c r="P553" s="721" t="s">
        <v>40</v>
      </c>
      <c r="Q553" s="722"/>
      <c r="R553" s="722"/>
      <c r="S553" s="722"/>
      <c r="T553" s="722"/>
      <c r="U553" s="722"/>
      <c r="V553" s="723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4"/>
      <c r="B554" s="724"/>
      <c r="C554" s="724"/>
      <c r="D554" s="724"/>
      <c r="E554" s="724"/>
      <c r="F554" s="724"/>
      <c r="G554" s="724"/>
      <c r="H554" s="724"/>
      <c r="I554" s="724"/>
      <c r="J554" s="724"/>
      <c r="K554" s="724"/>
      <c r="L554" s="724"/>
      <c r="M554" s="724"/>
      <c r="N554" s="724"/>
      <c r="O554" s="1008"/>
      <c r="P554" s="1005" t="s">
        <v>33</v>
      </c>
      <c r="Q554" s="1006"/>
      <c r="R554" s="1006"/>
      <c r="S554" s="1006"/>
      <c r="T554" s="1006"/>
      <c r="U554" s="1006"/>
      <c r="V554" s="1007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1075.04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1075.04</v>
      </c>
      <c r="Z554" s="40"/>
      <c r="AA554" s="64"/>
      <c r="AB554" s="64"/>
      <c r="AC554" s="64"/>
    </row>
    <row r="555" spans="1:68" x14ac:dyDescent="0.2">
      <c r="A555" s="724"/>
      <c r="B555" s="724"/>
      <c r="C555" s="724"/>
      <c r="D555" s="724"/>
      <c r="E555" s="724"/>
      <c r="F555" s="724"/>
      <c r="G555" s="724"/>
      <c r="H555" s="724"/>
      <c r="I555" s="724"/>
      <c r="J555" s="724"/>
      <c r="K555" s="724"/>
      <c r="L555" s="724"/>
      <c r="M555" s="724"/>
      <c r="N555" s="724"/>
      <c r="O555" s="1008"/>
      <c r="P555" s="1005" t="s">
        <v>34</v>
      </c>
      <c r="Q555" s="1006"/>
      <c r="R555" s="1006"/>
      <c r="S555" s="1006"/>
      <c r="T555" s="1006"/>
      <c r="U555" s="1006"/>
      <c r="V555" s="1007"/>
      <c r="W555" s="40" t="s">
        <v>0</v>
      </c>
      <c r="X555" s="41">
        <f>IFERROR(SUM(BM22:BM551),"0")</f>
        <v>1139.1200000000001</v>
      </c>
      <c r="Y555" s="41">
        <f>IFERROR(SUM(BN22:BN551),"0")</f>
        <v>1139.1200000000001</v>
      </c>
      <c r="Z555" s="40"/>
      <c r="AA555" s="64"/>
      <c r="AB555" s="64"/>
      <c r="AC555" s="64"/>
    </row>
    <row r="556" spans="1:68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1008"/>
      <c r="P556" s="1005" t="s">
        <v>35</v>
      </c>
      <c r="Q556" s="1006"/>
      <c r="R556" s="1006"/>
      <c r="S556" s="1006"/>
      <c r="T556" s="1006"/>
      <c r="U556" s="1006"/>
      <c r="V556" s="1007"/>
      <c r="W556" s="40" t="s">
        <v>20</v>
      </c>
      <c r="X556" s="42">
        <f>ROUNDUP(SUM(BO22:BO551),0)</f>
        <v>2</v>
      </c>
      <c r="Y556" s="42">
        <f>ROUNDUP(SUM(BP22:BP551),0)</f>
        <v>2</v>
      </c>
      <c r="Z556" s="40"/>
      <c r="AA556" s="64"/>
      <c r="AB556" s="64"/>
      <c r="AC556" s="64"/>
    </row>
    <row r="557" spans="1:68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1008"/>
      <c r="P557" s="1005" t="s">
        <v>36</v>
      </c>
      <c r="Q557" s="1006"/>
      <c r="R557" s="1006"/>
      <c r="S557" s="1006"/>
      <c r="T557" s="1006"/>
      <c r="U557" s="1006"/>
      <c r="V557" s="1007"/>
      <c r="W557" s="40" t="s">
        <v>0</v>
      </c>
      <c r="X557" s="41">
        <f>GrossWeightTotal+PalletQtyTotal*25</f>
        <v>1189.1200000000001</v>
      </c>
      <c r="Y557" s="41">
        <f>GrossWeightTotalR+PalletQtyTotalR*25</f>
        <v>1189.1200000000001</v>
      </c>
      <c r="Z557" s="40"/>
      <c r="AA557" s="64"/>
      <c r="AB557" s="64"/>
      <c r="AC557" s="64"/>
    </row>
    <row r="558" spans="1:68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8"/>
      <c r="P558" s="1005" t="s">
        <v>37</v>
      </c>
      <c r="Q558" s="1006"/>
      <c r="R558" s="1006"/>
      <c r="S558" s="1006"/>
      <c r="T558" s="1006"/>
      <c r="U558" s="1006"/>
      <c r="V558" s="1007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204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204</v>
      </c>
      <c r="Z558" s="40"/>
      <c r="AA558" s="64"/>
      <c r="AB558" s="64"/>
      <c r="AC558" s="64"/>
    </row>
    <row r="559" spans="1:68" ht="14.25" hidden="1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8"/>
      <c r="P559" s="1005" t="s">
        <v>38</v>
      </c>
      <c r="Q559" s="1006"/>
      <c r="R559" s="1006"/>
      <c r="S559" s="1006"/>
      <c r="T559" s="1006"/>
      <c r="U559" s="1006"/>
      <c r="V559" s="1007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2.2902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9" t="s">
        <v>120</v>
      </c>
      <c r="E561" s="1009" t="s">
        <v>120</v>
      </c>
      <c r="F561" s="1009" t="s">
        <v>120</v>
      </c>
      <c r="G561" s="1009" t="s">
        <v>120</v>
      </c>
      <c r="H561" s="1009" t="s">
        <v>120</v>
      </c>
      <c r="I561" s="1009" t="s">
        <v>120</v>
      </c>
      <c r="J561" s="1009" t="s">
        <v>120</v>
      </c>
      <c r="K561" s="1009" t="s">
        <v>344</v>
      </c>
      <c r="L561" s="1009" t="s">
        <v>344</v>
      </c>
      <c r="M561" s="1009" t="s">
        <v>344</v>
      </c>
      <c r="N561" s="1010"/>
      <c r="O561" s="1009" t="s">
        <v>344</v>
      </c>
      <c r="P561" s="1009" t="s">
        <v>344</v>
      </c>
      <c r="Q561" s="1009" t="s">
        <v>344</v>
      </c>
      <c r="R561" s="1009" t="s">
        <v>344</v>
      </c>
      <c r="S561" s="1009" t="s">
        <v>344</v>
      </c>
      <c r="T561" s="1009" t="s">
        <v>344</v>
      </c>
      <c r="U561" s="1009" t="s">
        <v>344</v>
      </c>
      <c r="V561" s="1009" t="s">
        <v>344</v>
      </c>
      <c r="W561" s="1009" t="s">
        <v>701</v>
      </c>
      <c r="X561" s="1009" t="s">
        <v>701</v>
      </c>
      <c r="Y561" s="1009" t="s">
        <v>767</v>
      </c>
      <c r="Z561" s="1009" t="s">
        <v>767</v>
      </c>
      <c r="AA561" s="80" t="s">
        <v>803</v>
      </c>
      <c r="AB561" s="1009" t="s">
        <v>850</v>
      </c>
      <c r="AC561" s="1009" t="s">
        <v>850</v>
      </c>
      <c r="AF561" s="1"/>
    </row>
    <row r="562" spans="1:32" ht="14.25" customHeight="1" thickTop="1" x14ac:dyDescent="0.2">
      <c r="A562" s="1011" t="s">
        <v>10</v>
      </c>
      <c r="B562" s="1009" t="s">
        <v>76</v>
      </c>
      <c r="C562" s="1009" t="s">
        <v>104</v>
      </c>
      <c r="D562" s="1009" t="s">
        <v>121</v>
      </c>
      <c r="E562" s="1009" t="s">
        <v>137</v>
      </c>
      <c r="F562" s="1009" t="s">
        <v>183</v>
      </c>
      <c r="G562" s="1009" t="s">
        <v>206</v>
      </c>
      <c r="H562" s="1009" t="s">
        <v>250</v>
      </c>
      <c r="I562" s="1009" t="s">
        <v>263</v>
      </c>
      <c r="J562" s="1009" t="s">
        <v>120</v>
      </c>
      <c r="K562" s="1009" t="s">
        <v>345</v>
      </c>
      <c r="L562" s="1009" t="s">
        <v>366</v>
      </c>
      <c r="M562" s="1009" t="s">
        <v>440</v>
      </c>
      <c r="N562" s="1"/>
      <c r="O562" s="1009" t="s">
        <v>508</v>
      </c>
      <c r="P562" s="1009" t="s">
        <v>537</v>
      </c>
      <c r="Q562" s="1009" t="s">
        <v>558</v>
      </c>
      <c r="R562" s="1009" t="s">
        <v>567</v>
      </c>
      <c r="S562" s="1009" t="s">
        <v>588</v>
      </c>
      <c r="T562" s="1009" t="s">
        <v>597</v>
      </c>
      <c r="U562" s="1009" t="s">
        <v>684</v>
      </c>
      <c r="V562" s="1009" t="s">
        <v>691</v>
      </c>
      <c r="W562" s="1009" t="s">
        <v>702</v>
      </c>
      <c r="X562" s="1009" t="s">
        <v>751</v>
      </c>
      <c r="Y562" s="1009" t="s">
        <v>768</v>
      </c>
      <c r="Z562" s="1009" t="s">
        <v>791</v>
      </c>
      <c r="AA562" s="1009" t="s">
        <v>803</v>
      </c>
      <c r="AB562" s="1009" t="s">
        <v>850</v>
      </c>
      <c r="AC562" s="1009" t="s">
        <v>869</v>
      </c>
      <c r="AF562" s="1"/>
    </row>
    <row r="563" spans="1:32" ht="13.5" thickBot="1" x14ac:dyDescent="0.25">
      <c r="A563" s="1012"/>
      <c r="B563" s="1009"/>
      <c r="C563" s="1009"/>
      <c r="D563" s="1009"/>
      <c r="E563" s="1009"/>
      <c r="F563" s="1009"/>
      <c r="G563" s="1009"/>
      <c r="H563" s="1009"/>
      <c r="I563" s="1009"/>
      <c r="J563" s="1009"/>
      <c r="K563" s="1009"/>
      <c r="L563" s="1009"/>
      <c r="M563" s="1009"/>
      <c r="N563" s="1"/>
      <c r="O563" s="1009"/>
      <c r="P563" s="1009"/>
      <c r="Q563" s="1009"/>
      <c r="R563" s="1009"/>
      <c r="S563" s="1009"/>
      <c r="T563" s="1009"/>
      <c r="U563" s="1009"/>
      <c r="V563" s="1009"/>
      <c r="W563" s="1009"/>
      <c r="X563" s="1009"/>
      <c r="Y563" s="1009"/>
      <c r="Z563" s="1009"/>
      <c r="AA563" s="1009"/>
      <c r="AB563" s="1009"/>
      <c r="AC563" s="1009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176</v>
      </c>
      <c r="F564" s="50">
        <f>IFERROR(Y85*1,"0")+IFERROR(Y86*1,"0")+IFERROR(Y87*1,"0")+IFERROR(Y88*1,"0")+IFERROR(Y89*1,"0")+IFERROR(Y93*1,"0")+IFERROR(Y94*1,"0")+IFERROR(Y95*1,"0")+IFERROR(Y96*1,"0")</f>
        <v>86.4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100.80000000000001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333.60000000000008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124.8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0">
        <f>IFERROR(Y455*1,"0")+IFERROR(Y456*1,"0")+IFERROR(Y460*1,"0")+IFERROR(Y464*1,"0")+IFERROR(Y465*1,"0")+IFERROR(Y466*1,"0")</f>
        <v>211.2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42.24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5,04"/>
        <filter val="1 139,12"/>
        <filter val="1 189,12"/>
        <filter val="100,80"/>
        <filter val="124,80"/>
        <filter val="129,60"/>
        <filter val="144,00"/>
        <filter val="16,00"/>
        <filter val="2"/>
        <filter val="204,00"/>
        <filter val="211,20"/>
        <filter val="24,00"/>
        <filter val="33,60"/>
        <filter val="42,24"/>
        <filter val="44,00"/>
        <filter val="50,40"/>
        <filter val="64,00"/>
        <filter val="64,80"/>
        <filter val="67,20"/>
        <filter val="69,60"/>
        <filter val="8,00"/>
        <filter val="86,40"/>
        <filter val="89,6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2026-09-30T18:04:15Z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