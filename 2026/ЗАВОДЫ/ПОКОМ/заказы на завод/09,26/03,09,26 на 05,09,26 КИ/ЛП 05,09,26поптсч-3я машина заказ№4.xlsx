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DD2DDE-3CD3-4843-8125-0466247DCCF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91" i="2" l="1"/>
  <c r="BP375" i="2"/>
  <c r="Z64" i="2"/>
  <c r="Z284" i="2"/>
  <c r="Z470" i="2"/>
  <c r="BN470" i="2"/>
  <c r="Z480" i="2"/>
  <c r="Z108" i="2"/>
  <c r="BP114" i="2"/>
  <c r="Z233" i="2"/>
  <c r="Z310" i="2"/>
  <c r="Z394" i="2"/>
  <c r="Z513" i="2"/>
  <c r="Z31" i="2"/>
  <c r="BN31" i="2"/>
  <c r="Z86" i="2"/>
  <c r="Z93" i="2"/>
  <c r="BN93" i="2"/>
  <c r="Z97" i="2"/>
  <c r="Z155" i="2"/>
  <c r="Z214" i="2"/>
  <c r="BN214" i="2"/>
  <c r="Z304" i="2"/>
  <c r="BP345" i="2"/>
  <c r="Z388" i="2"/>
  <c r="BN388" i="2"/>
  <c r="Z424" i="2"/>
  <c r="BN424" i="2"/>
  <c r="BP493" i="2"/>
  <c r="X562" i="2"/>
  <c r="X560" i="2"/>
  <c r="Z48" i="2"/>
  <c r="BN48" i="2"/>
  <c r="Z77" i="2"/>
  <c r="BN77" i="2"/>
  <c r="Z138" i="2"/>
  <c r="BN138" i="2"/>
  <c r="Y177" i="2"/>
  <c r="BP226" i="2"/>
  <c r="Z236" i="2"/>
  <c r="BN236" i="2"/>
  <c r="Z244" i="2"/>
  <c r="BN244" i="2"/>
  <c r="Z257" i="2"/>
  <c r="Z258" i="2" s="1"/>
  <c r="BN257" i="2"/>
  <c r="BP257" i="2"/>
  <c r="Y258" i="2"/>
  <c r="Z276" i="2"/>
  <c r="Z288" i="2"/>
  <c r="BN288" i="2"/>
  <c r="Z307" i="2"/>
  <c r="Z387" i="2"/>
  <c r="BP418" i="2"/>
  <c r="BP435" i="2"/>
  <c r="Z481" i="2"/>
  <c r="BN481" i="2"/>
  <c r="Z524" i="2"/>
  <c r="BN73" i="2"/>
  <c r="BN89" i="2"/>
  <c r="BN124" i="2"/>
  <c r="BP124" i="2"/>
  <c r="Y151" i="2"/>
  <c r="BP148" i="2"/>
  <c r="BN148" i="2"/>
  <c r="Z148" i="2"/>
  <c r="BN181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N368" i="2"/>
  <c r="BN393" i="2"/>
  <c r="Z393" i="2"/>
  <c r="BN405" i="2"/>
  <c r="BN426" i="2"/>
  <c r="BP443" i="2"/>
  <c r="Z443" i="2"/>
  <c r="BN456" i="2"/>
  <c r="Z456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N552" i="2"/>
  <c r="X561" i="2"/>
  <c r="X563" i="2" s="1"/>
  <c r="X564" i="2"/>
  <c r="BP27" i="2"/>
  <c r="Z40" i="2"/>
  <c r="Z57" i="2"/>
  <c r="BN57" i="2"/>
  <c r="Z67" i="2"/>
  <c r="BN67" i="2"/>
  <c r="BN72" i="2"/>
  <c r="BP79" i="2"/>
  <c r="F570" i="2"/>
  <c r="BN87" i="2"/>
  <c r="BP98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7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Y395" i="2"/>
  <c r="BN412" i="2"/>
  <c r="BN419" i="2"/>
  <c r="Z419" i="2"/>
  <c r="Y427" i="2"/>
  <c r="BN436" i="2"/>
  <c r="BP456" i="2"/>
  <c r="BP461" i="2"/>
  <c r="BN461" i="2"/>
  <c r="Z461" i="2"/>
  <c r="BN482" i="2"/>
  <c r="AA570" i="2"/>
  <c r="Z505" i="2"/>
  <c r="BN526" i="2"/>
  <c r="Z526" i="2"/>
  <c r="Y541" i="2"/>
  <c r="Y548" i="2"/>
  <c r="BP547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Z473" i="2" s="1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81" i="2" l="1"/>
  <c r="Z446" i="2"/>
  <c r="Z140" i="2"/>
  <c r="Z395" i="2"/>
  <c r="Z341" i="2"/>
  <c r="Z414" i="2"/>
  <c r="Z68" i="2"/>
  <c r="Z402" i="2"/>
  <c r="Z457" i="2"/>
  <c r="Z463" i="2"/>
  <c r="Z520" i="2"/>
  <c r="Z145" i="2"/>
  <c r="Z530" i="2"/>
  <c r="Z484" i="2"/>
  <c r="Z382" i="2"/>
  <c r="Z280" i="2"/>
  <c r="Z192" i="2"/>
  <c r="Z119" i="2"/>
  <c r="Z32" i="2"/>
  <c r="Z350" i="2"/>
  <c r="Z172" i="2"/>
  <c r="Z427" i="2"/>
  <c r="Z489" i="2"/>
  <c r="Z300" i="2"/>
  <c r="Z514" i="2"/>
  <c r="Z553" i="2"/>
  <c r="Z420" i="2"/>
  <c r="Z389" i="2"/>
  <c r="Z334" i="2"/>
  <c r="Z311" i="2"/>
  <c r="Z295" i="2"/>
  <c r="Z254" i="2"/>
  <c r="Z372" i="2"/>
  <c r="Z325" i="2"/>
  <c r="Z248" i="2"/>
  <c r="Z61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<sst xmlns="http://schemas.openxmlformats.org/spreadsheetml/2006/main" count="4318" uniqueCount="905">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</sst>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904</v>
      </c>
      <c r="I5" s="1001"/>
      <c r="J5" s="1001"/>
      <c r="K5" s="1001"/>
      <c r="L5" s="1001"/>
      <c r="M5" s="1001"/>
      <c r="N5" s="72"/>
      <c r="P5" s="27" t="s">
        <v>4</v>
      </c>
      <c r="Q5" s="1003">
        <v>46270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Суббота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0.45833333333333331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9.0200000000000002E-2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40</v>
      </c>
      <c r="Y52" s="43">
        <f>IFERROR(SUM(Y47:Y50),"0")</f>
        <v>40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10</v>
      </c>
      <c r="Y61" s="43">
        <f>IFERROR(Y55/H55,"0")+IFERROR(Y56/H56,"0")+IFERROR(Y57/H57,"0")+IFERROR(Y58/H58,"0")+IFERROR(Y59/H59,"0")+IFERROR(Y60/H60,"0")</f>
        <v>10</v>
      </c>
      <c r="Z61" s="43">
        <f>IFERROR(IF(Z55="",0,Z55),"0")+IFERROR(IF(Z56="",0,Z56),"0")+IFERROR(IF(Z57="",0,Z57),"0")+IFERROR(IF(Z58="",0,Z58),"0")+IFERROR(IF(Z59="",0,Z59),"0")+IFERROR(IF(Z60="",0,Z60),"0")</f>
        <v>9.0200000000000002E-2</v>
      </c>
      <c r="AA61" s="67"/>
      <c r="AB61" s="67"/>
      <c r="AC61" s="67"/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40</v>
      </c>
      <c r="Y62" s="43">
        <f>IFERROR(SUM(Y55:Y60),"0")</f>
        <v>40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108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112.1</v>
      </c>
      <c r="BN64" s="78">
        <f>IFERROR(Y64*I64/H64,"0")</f>
        <v>112.1</v>
      </c>
      <c r="BO64" s="78">
        <f>IFERROR(1/J64*(X64/H64),"0")</f>
        <v>0.15625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27</v>
      </c>
      <c r="Y67" s="55">
        <f>IFERROR(IF(X67="",0,CEILING((X67/$H67),1)*$H67),"")</f>
        <v>27</v>
      </c>
      <c r="Z67" s="41">
        <f>IFERROR(IF(Y67=0,"",ROUNDUP(Y67/H67,0)*0.00651),"")</f>
        <v>6.5100000000000005E-2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28.799999999999994</v>
      </c>
      <c r="BN67" s="78">
        <f>IFERROR(Y67*I67/H67,"0")</f>
        <v>28.799999999999994</v>
      </c>
      <c r="BO67" s="78">
        <f>IFERROR(1/J67*(X67/H67),"0")</f>
        <v>5.4945054945054951E-2</v>
      </c>
      <c r="BP67" s="78">
        <f>IFERROR(1/J67*(Y67/H67),"0")</f>
        <v>5.4945054945054951E-2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20</v>
      </c>
      <c r="Y68" s="43">
        <f>IFERROR(Y64/H64,"0")+IFERROR(Y65/H65,"0")+IFERROR(Y66/H66,"0")+IFERROR(Y67/H67,"0")</f>
        <v>20</v>
      </c>
      <c r="Z68" s="43">
        <f>IFERROR(IF(Z64="",0,Z64),"0")+IFERROR(IF(Z65="",0,Z65),"0")+IFERROR(IF(Z66="",0,Z66),"0")+IFERROR(IF(Z67="",0,Z67),"0")</f>
        <v>0.25490000000000002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135</v>
      </c>
      <c r="Y69" s="43">
        <f>IFERROR(SUM(Y64:Y67),"0")</f>
        <v>135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81</v>
      </c>
      <c r="Y93" s="55">
        <f t="shared" ref="Y93:Y98" si="5"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85.94</v>
      </c>
      <c r="BN93" s="78">
        <f t="shared" ref="BN93:BN98" si="7">IFERROR(Y93*I93/H93,"0")</f>
        <v>85.94</v>
      </c>
      <c r="BO93" s="78">
        <f t="shared" ref="BO93:BO98" si="8">IFERROR(1/J93*(X93/H93),"0")</f>
        <v>0.15625</v>
      </c>
      <c r="BP93" s="78">
        <f t="shared" ref="BP93:BP98" si="9">IFERROR(1/J93*(Y93/H93),"0")</f>
        <v>0.15625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10</v>
      </c>
      <c r="Y99" s="43">
        <f>IFERROR(Y93/H93,"0")+IFERROR(Y94/H94,"0")+IFERROR(Y95/H95,"0")+IFERROR(Y96/H96,"0")+IFERROR(Y97/H97,"0")+IFERROR(Y98/H98,"0")</f>
        <v>10</v>
      </c>
      <c r="Z99" s="43">
        <f>IFERROR(IF(Z93="",0,Z93),"0")+IFERROR(IF(Z94="",0,Z94),"0")+IFERROR(IF(Z95="",0,Z95),"0")+IFERROR(IF(Z96="",0,Z96),"0")+IFERROR(IF(Z97="",0,Z97),"0")+IFERROR(IF(Z98="",0,Z98),"0")</f>
        <v>0.1898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81</v>
      </c>
      <c r="Y100" s="43">
        <f>IFERROR(SUM(Y93:Y98),"0")</f>
        <v>81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81</v>
      </c>
      <c r="Y122" s="55">
        <f t="shared" ref="Y122:Y128" si="15">IFERROR(IF(X122="",0,CEILING((X122/$H122),1)*$H122),"")</f>
        <v>81</v>
      </c>
      <c r="Z122" s="41">
        <f>IFERROR(IF(Y122=0,"",ROUNDUP(Y122/H122,0)*0.01898),"")</f>
        <v>0.1898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85.88</v>
      </c>
      <c r="BN122" s="78">
        <f t="shared" ref="BN122:BN128" si="17">IFERROR(Y122*I122/H122,"0")</f>
        <v>85.88</v>
      </c>
      <c r="BO122" s="78">
        <f t="shared" ref="BO122:BO128" si="18">IFERROR(1/J122*(X122/H122),"0")</f>
        <v>0.15625</v>
      </c>
      <c r="BP122" s="78">
        <f t="shared" ref="BP122:BP128" si="19">IFERROR(1/J122*(Y122/H122),"0")</f>
        <v>0.15625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10</v>
      </c>
      <c r="Y129" s="43">
        <f>IFERROR(Y122/H122,"0")+IFERROR(Y123/H123,"0")+IFERROR(Y124/H124,"0")+IFERROR(Y125/H125,"0")+IFERROR(Y126/H126,"0")+IFERROR(Y127/H127,"0")+IFERROR(Y128/H128,"0")</f>
        <v>10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0.1898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81</v>
      </c>
      <c r="Y130" s="43">
        <f>IFERROR(SUM(Y122:Y128),"0")</f>
        <v>81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17.5</v>
      </c>
      <c r="Y180" s="55">
        <f t="shared" ref="Y180:Y191" si="26">IFERROR(IF(X180="",0,CEILING((X180/$H180),1)*$H180),"")</f>
        <v>17.5</v>
      </c>
      <c r="Z180" s="41">
        <f>IFERROR(IF(Y180=0,"",ROUNDUP(Y180/H180,0)*0.00902),"")</f>
        <v>4.5100000000000001E-2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18.45</v>
      </c>
      <c r="BN180" s="78">
        <f t="shared" ref="BN180:BN191" si="28">IFERROR(Y180*I180/H180,"0")</f>
        <v>18.45</v>
      </c>
      <c r="BO180" s="78">
        <f t="shared" ref="BO180:BO191" si="29">IFERROR(1/J180*(X180/H180),"0")</f>
        <v>3.787878787878788E-2</v>
      </c>
      <c r="BP180" s="78">
        <f t="shared" ref="BP180:BP191" si="30">IFERROR(1/J180*(Y180/H180),"0")</f>
        <v>3.787878787878788E-2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5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5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4.5100000000000001E-2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17.5</v>
      </c>
      <c r="Y193" s="43">
        <f>IFERROR(SUM(Y180:Y191),"0")</f>
        <v>17.5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40</v>
      </c>
      <c r="Y371" s="55">
        <f t="shared" si="58"/>
        <v>40</v>
      </c>
      <c r="Z371" s="41">
        <f>IFERROR(IF(Y371=0,"",ROUNDUP(Y371/H371,0)*0.00902),"")</f>
        <v>9.0200000000000002E-2</v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41.900000000000006</v>
      </c>
      <c r="BN371" s="78">
        <f t="shared" si="60"/>
        <v>41.900000000000006</v>
      </c>
      <c r="BO371" s="78">
        <f t="shared" si="61"/>
        <v>7.575757575757576E-2</v>
      </c>
      <c r="BP371" s="78">
        <f t="shared" si="62"/>
        <v>7.575757575757576E-2</v>
      </c>
    </row>
    <row r="372" spans="1:68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10</v>
      </c>
      <c r="Y372" s="43">
        <f>IFERROR(Y366/H366,"0")+IFERROR(Y367/H367,"0")+IFERROR(Y368/H368,"0")+IFERROR(Y369/H369,"0")+IFERROR(Y370/H370,"0")+IFERROR(Y371/H371,"0")</f>
        <v>10</v>
      </c>
      <c r="Z372" s="43">
        <f>IFERROR(IF(Z366="",0,Z366),"0")+IFERROR(IF(Z367="",0,Z367),"0")+IFERROR(IF(Z368="",0,Z368),"0")+IFERROR(IF(Z369="",0,Z369),"0")+IFERROR(IF(Z370="",0,Z370),"0")+IFERROR(IF(Z371="",0,Z371),"0")</f>
        <v>9.0200000000000002E-2</v>
      </c>
      <c r="AA372" s="67"/>
      <c r="AB372" s="67"/>
      <c r="AC372" s="67"/>
    </row>
    <row r="373" spans="1:68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40</v>
      </c>
      <c r="Y373" s="43">
        <f>IFERROR(SUM(Y366:Y371),"0")</f>
        <v>40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63</v>
      </c>
      <c r="Y375" s="55">
        <f t="shared" ref="Y375:Y381" si="63">IFERROR(IF(X375="",0,CEILING((X375/$H375),1)*$H375),"")</f>
        <v>63</v>
      </c>
      <c r="Z375" s="41">
        <f>IFERROR(IF(Y375=0,"",ROUNDUP(Y375/H375,0)*0.00902),"")</f>
        <v>0.1353</v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66.75</v>
      </c>
      <c r="BN375" s="78">
        <f t="shared" ref="BN375:BN381" si="65">IFERROR(Y375*I375/H375,"0")</f>
        <v>66.75</v>
      </c>
      <c r="BO375" s="78">
        <f t="shared" ref="BO375:BO381" si="66">IFERROR(1/J375*(X375/H375),"0")</f>
        <v>0.11363636363636365</v>
      </c>
      <c r="BP375" s="78">
        <f t="shared" ref="BP375:BP381" si="67">IFERROR(1/J375*(Y375/H375),"0")</f>
        <v>0.11363636363636365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63</v>
      </c>
      <c r="Y376" s="55">
        <f t="shared" si="63"/>
        <v>63</v>
      </c>
      <c r="Z376" s="41">
        <f>IFERROR(IF(Y376=0,"",ROUNDUP(Y376/H376,0)*0.00902),"")</f>
        <v>0.1353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66.75</v>
      </c>
      <c r="BN376" s="78">
        <f t="shared" si="65"/>
        <v>66.75</v>
      </c>
      <c r="BO376" s="78">
        <f t="shared" si="66"/>
        <v>0.11363636363636365</v>
      </c>
      <c r="BP376" s="78">
        <f t="shared" si="67"/>
        <v>0.11363636363636365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10.5</v>
      </c>
      <c r="Y378" s="55">
        <f t="shared" si="63"/>
        <v>10.5</v>
      </c>
      <c r="Z378" s="41">
        <f>IFERROR(IF(Y378=0,"",ROUNDUP(Y378/H378,0)*0.00502),"")</f>
        <v>2.5100000000000001E-2</v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11.149999999999999</v>
      </c>
      <c r="BN378" s="78">
        <f t="shared" si="65"/>
        <v>11.149999999999999</v>
      </c>
      <c r="BO378" s="78">
        <f t="shared" si="66"/>
        <v>2.1367521367521368E-2</v>
      </c>
      <c r="BP378" s="78">
        <f t="shared" si="67"/>
        <v>2.1367521367521368E-2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35</v>
      </c>
      <c r="Y382" s="43">
        <f>IFERROR(Y375/H375,"0")+IFERROR(Y376/H376,"0")+IFERROR(Y377/H377,"0")+IFERROR(Y378/H378,"0")+IFERROR(Y379/H379,"0")+IFERROR(Y380/H380,"0")+IFERROR(Y381/H381,"0")</f>
        <v>35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0.29570000000000002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136.5</v>
      </c>
      <c r="Y383" s="43">
        <f>IFERROR(SUM(Y375:Y381),"0")</f>
        <v>136.5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2496</v>
      </c>
      <c r="Y385" s="55">
        <f>IFERROR(IF(X385="",0,CEILING((X385/$H385),1)*$H385),"")</f>
        <v>2496</v>
      </c>
      <c r="Z385" s="41">
        <f>IFERROR(IF(Y385=0,"",ROUNDUP(Y385/H385,0)*0.01898),"")</f>
        <v>6.0735999999999999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2652.1600000000003</v>
      </c>
      <c r="BN385" s="78">
        <f>IFERROR(Y385*I385/H385,"0")</f>
        <v>2652.1600000000003</v>
      </c>
      <c r="BO385" s="78">
        <f>IFERROR(1/J385*(X385/H385),"0")</f>
        <v>5</v>
      </c>
      <c r="BP385" s="78">
        <f>IFERROR(1/J385*(Y385/H385),"0")</f>
        <v>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15</v>
      </c>
      <c r="Y388" s="55">
        <f>IFERROR(IF(X388="",0,CEILING((X388/$H388),1)*$H388),"")</f>
        <v>15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16.23</v>
      </c>
      <c r="BN388" s="78">
        <f>IFERROR(Y388*I388/H388,"0")</f>
        <v>16.23</v>
      </c>
      <c r="BO388" s="78">
        <f>IFERROR(1/J388*(X388/H388),"0")</f>
        <v>2.7472527472527476E-2</v>
      </c>
      <c r="BP388" s="78">
        <f>IFERROR(1/J388*(Y388/H388),"0")</f>
        <v>2.7472527472527476E-2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325</v>
      </c>
      <c r="Y389" s="43">
        <f>IFERROR(Y385/H385,"0")+IFERROR(Y386/H386,"0")+IFERROR(Y387/H387,"0")+IFERROR(Y388/H388,"0")</f>
        <v>325</v>
      </c>
      <c r="Z389" s="43">
        <f>IFERROR(IF(Z385="",0,Z385),"0")+IFERROR(IF(Z386="",0,Z386),"0")+IFERROR(IF(Z387="",0,Z387),"0")+IFERROR(IF(Z388="",0,Z388),"0")</f>
        <v>6.1061499999999995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2511</v>
      </c>
      <c r="Y390" s="43">
        <f>IFERROR(SUM(Y385:Y388),"0")</f>
        <v>2511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78</v>
      </c>
      <c r="Y393" s="55">
        <f>IFERROR(IF(X393="",0,CEILING((X393/$H393),1)*$H393),"")</f>
        <v>78</v>
      </c>
      <c r="Z393" s="41">
        <f>IFERROR(IF(Y393=0,"",ROUNDUP(Y393/H393,0)*0.01898),"")</f>
        <v>0.1898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82.94</v>
      </c>
      <c r="BN393" s="78">
        <f>IFERROR(Y393*I393/H393,"0")</f>
        <v>82.94</v>
      </c>
      <c r="BO393" s="78">
        <f>IFERROR(1/J393*(X393/H393),"0")</f>
        <v>0.15625</v>
      </c>
      <c r="BP393" s="78">
        <f>IFERROR(1/J393*(Y393/H393),"0")</f>
        <v>0.15625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42</v>
      </c>
      <c r="Y394" s="55">
        <f>IFERROR(IF(X394="",0,CEILING((X394/$H394),1)*$H394),"")</f>
        <v>42</v>
      </c>
      <c r="Z394" s="41">
        <f>IFERROR(IF(Y394=0,"",ROUNDUP(Y394/H394,0)*0.01898),"")</f>
        <v>9.4899999999999998E-2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44.47</v>
      </c>
      <c r="BN394" s="78">
        <f>IFERROR(Y394*I394/H394,"0")</f>
        <v>44.47</v>
      </c>
      <c r="BO394" s="78">
        <f>IFERROR(1/J394*(X394/H394),"0")</f>
        <v>7.8125E-2</v>
      </c>
      <c r="BP394" s="78">
        <f>IFERROR(1/J394*(Y394/H394),"0")</f>
        <v>7.8125E-2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15</v>
      </c>
      <c r="Y395" s="43">
        <f>IFERROR(Y392/H392,"0")+IFERROR(Y393/H393,"0")+IFERROR(Y394/H394,"0")</f>
        <v>15</v>
      </c>
      <c r="Z395" s="43">
        <f>IFERROR(IF(Z392="",0,Z392),"0")+IFERROR(IF(Z393="",0,Z393),"0")+IFERROR(IF(Z394="",0,Z394),"0")</f>
        <v>0.28470000000000001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120</v>
      </c>
      <c r="Y396" s="43">
        <f>IFERROR(SUM(Y392:Y394),"0")</f>
        <v>120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81</v>
      </c>
      <c r="Y424" s="55">
        <f>IFERROR(IF(X424="",0,CEILING((X424/$H424),1)*$H424),"")</f>
        <v>81</v>
      </c>
      <c r="Z424" s="41">
        <f>IFERROR(IF(Y424=0,"",ROUNDUP(Y424/H424,0)*0.01898),"")</f>
        <v>0.1898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85.94</v>
      </c>
      <c r="BN424" s="78">
        <f>IFERROR(Y424*I424/H424,"0")</f>
        <v>85.94</v>
      </c>
      <c r="BO424" s="78">
        <f>IFERROR(1/J424*(X424/H424),"0")</f>
        <v>0.15625</v>
      </c>
      <c r="BP424" s="78">
        <f>IFERROR(1/J424*(Y424/H424),"0")</f>
        <v>0.15625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10.5</v>
      </c>
      <c r="Y425" s="55">
        <f>IFERROR(IF(X425="",0,CEILING((X425/$H425),1)*$H425),"")</f>
        <v>10.5</v>
      </c>
      <c r="Z425" s="41">
        <f>IFERROR(IF(Y425=0,"",ROUNDUP(Y425/H425,0)*0.00651),"")</f>
        <v>3.2550000000000003E-2</v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11.759999999999998</v>
      </c>
      <c r="BN425" s="78">
        <f>IFERROR(Y425*I425/H425,"0")</f>
        <v>11.759999999999998</v>
      </c>
      <c r="BO425" s="78">
        <f>IFERROR(1/J425*(X425/H425),"0")</f>
        <v>2.7472527472527476E-2</v>
      </c>
      <c r="BP425" s="78">
        <f>IFERROR(1/J425*(Y425/H425),"0")</f>
        <v>2.7472527472527476E-2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10.5</v>
      </c>
      <c r="Y426" s="55">
        <f>IFERROR(IF(X426="",0,CEILING((X426/$H426),1)*$H426),"")</f>
        <v>10.5</v>
      </c>
      <c r="Z426" s="41">
        <f>IFERROR(IF(Y426=0,"",ROUNDUP(Y426/H426,0)*0.00651),"")</f>
        <v>3.2550000000000003E-2</v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11.7</v>
      </c>
      <c r="BN426" s="78">
        <f>IFERROR(Y426*I426/H426,"0")</f>
        <v>11.7</v>
      </c>
      <c r="BO426" s="78">
        <f>IFERROR(1/J426*(X426/H426),"0")</f>
        <v>2.7472527472527476E-2</v>
      </c>
      <c r="BP426" s="78">
        <f>IFERROR(1/J426*(Y426/H426),"0")</f>
        <v>2.7472527472527476E-2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20</v>
      </c>
      <c r="Y427" s="43">
        <f>IFERROR(Y424/H424,"0")+IFERROR(Y425/H425,"0")+IFERROR(Y426/H426,"0")</f>
        <v>20</v>
      </c>
      <c r="Z427" s="43">
        <f>IFERROR(IF(Z424="",0,Z424),"0")+IFERROR(IF(Z425="",0,Z425),"0")+IFERROR(IF(Z426="",0,Z426),"0")</f>
        <v>0.25490000000000002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102</v>
      </c>
      <c r="Y428" s="43">
        <f>IFERROR(SUM(Y424:Y426),"0")</f>
        <v>102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150</v>
      </c>
      <c r="Y433" s="55">
        <f t="shared" si="68"/>
        <v>150</v>
      </c>
      <c r="Z433" s="41">
        <f>IFERROR(IF(Y433=0,"",ROUNDUP(Y433/H433,0)*0.02175),"")</f>
        <v>0.21749999999999997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154.69999999999999</v>
      </c>
      <c r="BN433" s="78">
        <f t="shared" si="70"/>
        <v>154.69999999999999</v>
      </c>
      <c r="BO433" s="78">
        <f t="shared" si="71"/>
        <v>0.20833333333333331</v>
      </c>
      <c r="BP433" s="78">
        <f t="shared" si="72"/>
        <v>0.20833333333333331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720</v>
      </c>
      <c r="Y435" s="55">
        <f t="shared" si="68"/>
        <v>720</v>
      </c>
      <c r="Z435" s="41">
        <f>IFERROR(IF(Y435=0,"",ROUNDUP(Y435/H435,0)*0.02175),"")</f>
        <v>1.044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742.56</v>
      </c>
      <c r="BN435" s="78">
        <f t="shared" si="70"/>
        <v>742.56</v>
      </c>
      <c r="BO435" s="78">
        <f t="shared" si="71"/>
        <v>1</v>
      </c>
      <c r="BP435" s="78">
        <f t="shared" si="72"/>
        <v>1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58</v>
      </c>
      <c r="Y440" s="43">
        <f>IFERROR(Y432/H432,"0")+IFERROR(Y433/H433,"0")+IFERROR(Y434/H434,"0")+IFERROR(Y435/H435,"0")+IFERROR(Y436/H436,"0")+IFERROR(Y437/H437,"0")+IFERROR(Y438/H438,"0")+IFERROR(Y439/H439,"0")</f>
        <v>58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1.2615000000000001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870</v>
      </c>
      <c r="Y441" s="43">
        <f>IFERROR(SUM(Y432:Y439),"0")</f>
        <v>870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720</v>
      </c>
      <c r="Y443" s="55">
        <f>IFERROR(IF(X443="",0,CEILING((X443/$H443),1)*$H443),"")</f>
        <v>720</v>
      </c>
      <c r="Z443" s="41">
        <f>IFERROR(IF(Y443=0,"",ROUNDUP(Y443/H443,0)*0.02175),"")</f>
        <v>1.044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742.56</v>
      </c>
      <c r="BN443" s="78">
        <f>IFERROR(Y443*I443/H443,"0")</f>
        <v>742.56</v>
      </c>
      <c r="BO443" s="78">
        <f>IFERROR(1/J443*(X443/H443),"0")</f>
        <v>1</v>
      </c>
      <c r="BP443" s="78">
        <f>IFERROR(1/J443*(Y443/H443),"0")</f>
        <v>1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48</v>
      </c>
      <c r="Y446" s="43">
        <f>IFERROR(Y443/H443,"0")+IFERROR(Y444/H444,"0")+IFERROR(Y445/H445,"0")</f>
        <v>48</v>
      </c>
      <c r="Z446" s="43">
        <f>IFERROR(IF(Z443="",0,Z443),"0")+IFERROR(IF(Z444="",0,Z444),"0")+IFERROR(IF(Z445="",0,Z445),"0")</f>
        <v>1.044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720</v>
      </c>
      <c r="Y447" s="43">
        <f>IFERROR(SUM(Y443:Y445),"0")</f>
        <v>720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90</v>
      </c>
      <c r="Y449" s="55">
        <f>IFERROR(IF(X449="",0,CEILING((X449/$H449),1)*$H449),"")</f>
        <v>90</v>
      </c>
      <c r="Z449" s="41">
        <f>IFERROR(IF(Y449=0,"",ROUNDUP(Y449/H449,0)*0.01898),"")</f>
        <v>0.1898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95</v>
      </c>
      <c r="BN449" s="78">
        <f>IFERROR(Y449*I449/H449,"0")</f>
        <v>95</v>
      </c>
      <c r="BO449" s="78">
        <f>IFERROR(1/J449*(X449/H449),"0")</f>
        <v>0.15625</v>
      </c>
      <c r="BP449" s="78">
        <f>IFERROR(1/J449*(Y449/H449),"0")</f>
        <v>0.15625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18</v>
      </c>
      <c r="Y450" s="55">
        <f>IFERROR(IF(X450="",0,CEILING((X450/$H450),1)*$H450),"")</f>
        <v>18</v>
      </c>
      <c r="Z450" s="41">
        <f>IFERROR(IF(Y450=0,"",ROUNDUP(Y450/H450,0)*0.01898),"")</f>
        <v>3.7960000000000001E-2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18.988</v>
      </c>
      <c r="BN450" s="78">
        <f>IFERROR(Y450*I450/H450,"0")</f>
        <v>18.988</v>
      </c>
      <c r="BO450" s="78">
        <f>IFERROR(1/J450*(X450/H450),"0")</f>
        <v>3.125E-2</v>
      </c>
      <c r="BP450" s="78">
        <f>IFERROR(1/J450*(Y450/H450),"0")</f>
        <v>3.125E-2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12</v>
      </c>
      <c r="Y452" s="43">
        <f>IFERROR(Y449/H449,"0")+IFERROR(Y450/H450,"0")+IFERROR(Y451/H451,"0")</f>
        <v>12</v>
      </c>
      <c r="Z452" s="43">
        <f>IFERROR(IF(Z449="",0,Z449),"0")+IFERROR(IF(Z450="",0,Z450),"0")+IFERROR(IF(Z451="",0,Z451),"0")</f>
        <v>0.22775999999999999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108</v>
      </c>
      <c r="Y453" s="43">
        <f>IFERROR(SUM(Y449:Y451),"0")</f>
        <v>108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52.8</v>
      </c>
      <c r="Y508" s="55">
        <f t="shared" si="78"/>
        <v>52.800000000000004</v>
      </c>
      <c r="Z508" s="41">
        <f t="shared" si="79"/>
        <v>0.1196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56.29999999999999</v>
      </c>
      <c r="BN508" s="78">
        <f t="shared" si="81"/>
        <v>56.3</v>
      </c>
      <c r="BO508" s="78">
        <f t="shared" si="82"/>
        <v>9.6153846153846145E-2</v>
      </c>
      <c r="BP508" s="78">
        <f t="shared" si="83"/>
        <v>9.6153846153846159E-2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52.8</v>
      </c>
      <c r="Y510" s="55">
        <f t="shared" si="78"/>
        <v>52.800000000000004</v>
      </c>
      <c r="Z510" s="41">
        <f t="shared" si="79"/>
        <v>0.1196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56.29999999999999</v>
      </c>
      <c r="BN510" s="78">
        <f t="shared" si="81"/>
        <v>56.3</v>
      </c>
      <c r="BO510" s="78">
        <f t="shared" si="82"/>
        <v>9.6153846153846145E-2</v>
      </c>
      <c r="BP510" s="78">
        <f t="shared" si="83"/>
        <v>9.6153846153846159E-2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19.999999999999996</v>
      </c>
      <c r="Y514" s="43">
        <f>IFERROR(Y505/H505,"0")+IFERROR(Y506/H506,"0")+IFERROR(Y507/H507,"0")+IFERROR(Y508/H508,"0")+IFERROR(Y509/H509,"0")+IFERROR(Y510/H510,"0")+IFERROR(Y511/H511,"0")+IFERROR(Y512/H512,"0")+IFERROR(Y513/H513,"0")</f>
        <v>20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0.2392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105.6</v>
      </c>
      <c r="Y515" s="43">
        <f>IFERROR(SUM(Y505:Y513),"0")</f>
        <v>105.60000000000001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52.8</v>
      </c>
      <c r="Y517" s="55">
        <f>IFERROR(IF(X517="",0,CEILING((X517/$H517),1)*$H517),"")</f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56.29999999999999</v>
      </c>
      <c r="BN517" s="78">
        <f>IFERROR(Y517*I517/H517,"0")</f>
        <v>56.3</v>
      </c>
      <c r="BO517" s="78">
        <f>IFERROR(1/J517*(X517/H517),"0")</f>
        <v>9.6153846153846145E-2</v>
      </c>
      <c r="BP517" s="78">
        <f>IFERROR(1/J517*(Y517/H517),"0")</f>
        <v>9.6153846153846159E-2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9.9999999999999982</v>
      </c>
      <c r="Y520" s="43">
        <f>IFERROR(Y517/H517,"0")+IFERROR(Y518/H518,"0")+IFERROR(Y519/H519,"0")</f>
        <v>10</v>
      </c>
      <c r="Z520" s="43">
        <f>IFERROR(IF(Z517="",0,Z517),"0")+IFERROR(IF(Z518="",0,Z518),"0")+IFERROR(IF(Z519="",0,Z519),"0")</f>
        <v>0.1196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52.8</v>
      </c>
      <c r="Y521" s="43">
        <f>IFERROR(SUM(Y517:Y519),"0")</f>
        <v>52.800000000000004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52.8</v>
      </c>
      <c r="Y524" s="55">
        <f t="shared" si="84"/>
        <v>52.800000000000004</v>
      </c>
      <c r="Z524" s="41">
        <f>IFERROR(IF(Y524=0,"",ROUNDUP(Y524/H524,0)*0.01196),"")</f>
        <v>0.1196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56.29999999999999</v>
      </c>
      <c r="BN524" s="78">
        <f t="shared" si="86"/>
        <v>56.3</v>
      </c>
      <c r="BO524" s="78">
        <f t="shared" si="87"/>
        <v>9.6153846153846145E-2</v>
      </c>
      <c r="BP524" s="78">
        <f t="shared" si="88"/>
        <v>9.6153846153846159E-2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52.8</v>
      </c>
      <c r="Y525" s="55">
        <f t="shared" si="84"/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56.29999999999999</v>
      </c>
      <c r="BN525" s="78">
        <f t="shared" si="86"/>
        <v>56.3</v>
      </c>
      <c r="BO525" s="78">
        <f t="shared" si="87"/>
        <v>9.6153846153846145E-2</v>
      </c>
      <c r="BP525" s="78">
        <f t="shared" si="88"/>
        <v>9.6153846153846159E-2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19.999999999999996</v>
      </c>
      <c r="Y530" s="43">
        <f>IFERROR(Y523/H523,"0")+IFERROR(Y524/H524,"0")+IFERROR(Y525/H525,"0")+IFERROR(Y526/H526,"0")+IFERROR(Y527/H527,"0")+IFERROR(Y528/H528,"0")+IFERROR(Y529/H529,"0")</f>
        <v>20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0.2392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105.6</v>
      </c>
      <c r="Y531" s="43">
        <f>IFERROR(SUM(Y523:Y529),"0")</f>
        <v>105.60000000000001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63</v>
      </c>
      <c r="Y543" s="55">
        <f>IFERROR(IF(X543="",0,CEILING((X543/$H543),1)*$H543),"")</f>
        <v>63</v>
      </c>
      <c r="Z543" s="41">
        <f>IFERROR(IF(Y543=0,"",ROUNDUP(Y543/H543,0)*0.00902),"")</f>
        <v>0.1353</v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66.75</v>
      </c>
      <c r="BN543" s="78">
        <f>IFERROR(Y543*I543/H543,"0")</f>
        <v>66.75</v>
      </c>
      <c r="BO543" s="78">
        <f>IFERROR(1/J543*(X543/H543),"0")</f>
        <v>0.11363636363636365</v>
      </c>
      <c r="BP543" s="78">
        <f>IFERROR(1/J543*(Y543/H543),"0")</f>
        <v>0.11363636363636365</v>
      </c>
    </row>
    <row r="544" spans="1:68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15</v>
      </c>
      <c r="Y544" s="43">
        <f>IFERROR(Y543/H543,"0")</f>
        <v>15</v>
      </c>
      <c r="Z544" s="43">
        <f>IFERROR(IF(Z543="",0,Z543),"0")</f>
        <v>0.1353</v>
      </c>
      <c r="AA544" s="67"/>
      <c r="AB544" s="67"/>
      <c r="AC544" s="67"/>
    </row>
    <row r="545" spans="1:68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63</v>
      </c>
      <c r="Y545" s="43">
        <f>IFERROR(SUM(Y543:Y543),"0")</f>
        <v>63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5329.0000000000009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5329.0000000000009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5608.7780000000002</v>
      </c>
      <c r="Y561" s="43">
        <f>IFERROR(SUM(BN22:BN557),"0")</f>
        <v>5608.7780000000002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10</v>
      </c>
      <c r="Y562" s="44">
        <f>ROUNDUP(SUM(BP22:BP557),0)</f>
        <v>10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5858.7780000000002</v>
      </c>
      <c r="Y563" s="43">
        <f>GrossWeightTotalR+PalletQtyTotalR*25</f>
        <v>5858.7780000000002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653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653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11.158210000000002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40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175</v>
      </c>
      <c r="F570" s="52">
        <f>IFERROR(Y85*1,"0")+IFERROR(Y86*1,"0")+IFERROR(Y87*1,"0")+IFERROR(Y88*1,"0")+IFERROR(Y89*1,"0")+IFERROR(Y93*1,"0")+IFERROR(Y94*1,"0")+IFERROR(Y95*1,"0")+IFERROR(Y96*1,"0")+IFERROR(Y97*1,"0")+IFERROR(Y98*1,"0")</f>
        <v>81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81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17.5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2807.5</v>
      </c>
      <c r="U570" s="52">
        <f>IFERROR(Y418*1,"0")+IFERROR(Y419*1,"0")</f>
        <v>0</v>
      </c>
      <c r="V570" s="52">
        <f>IFERROR(Y424*1,"0")+IFERROR(Y425*1,"0")+IFERROR(Y426*1,"0")</f>
        <v>102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1698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264</v>
      </c>
      <c r="AB570" s="52">
        <f>IFERROR(Y535*1,"0")+IFERROR(Y539*1,"0")+IFERROR(Y543*1,"0")+IFERROR(Y547*1,"0")+IFERROR(Y551*1,"0")+IFERROR(Y552*1,"0")</f>
        <v>63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0,00"/>
        <filter val="10,50"/>
        <filter val="102,00"/>
        <filter val="105,60"/>
        <filter val="108,00"/>
        <filter val="12,00"/>
        <filter val="120,00"/>
        <filter val="135,00"/>
        <filter val="136,50"/>
        <filter val="15,00"/>
        <filter val="150,00"/>
        <filter val="17,50"/>
        <filter val="18,00"/>
        <filter val="2 496,00"/>
        <filter val="2 511,00"/>
        <filter val="20,00"/>
        <filter val="27,00"/>
        <filter val="325,00"/>
        <filter val="35,00"/>
        <filter val="40,00"/>
        <filter val="42,00"/>
        <filter val="48,00"/>
        <filter val="5 329,00"/>
        <filter val="5 608,78"/>
        <filter val="5 858,78"/>
        <filter val="5,00"/>
        <filter val="52,80"/>
        <filter val="58,00"/>
        <filter val="63,00"/>
        <filter val="653,00"/>
        <filter val="720,00"/>
        <filter val="78,00"/>
        <filter val="81,00"/>
        <filter val="870,00"/>
        <filter val="9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