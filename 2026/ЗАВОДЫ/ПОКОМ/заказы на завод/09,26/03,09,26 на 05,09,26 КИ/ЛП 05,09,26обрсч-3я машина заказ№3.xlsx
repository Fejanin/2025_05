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6391E2F-C0FE-42BC-BEBA-D5B0E677F7B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P505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P375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P340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P307" i="2"/>
  <c r="BP306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N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P201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Z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48" i="2" l="1"/>
  <c r="Z480" i="2"/>
  <c r="Z48" i="2"/>
  <c r="BP79" i="2"/>
  <c r="Z155" i="2"/>
  <c r="Z229" i="2"/>
  <c r="Z524" i="2"/>
  <c r="Y177" i="2"/>
  <c r="Z31" i="2"/>
  <c r="BN31" i="2"/>
  <c r="Z64" i="2"/>
  <c r="Z97" i="2"/>
  <c r="Z138" i="2"/>
  <c r="BN138" i="2"/>
  <c r="BP211" i="2"/>
  <c r="BP252" i="2"/>
  <c r="Z331" i="2"/>
  <c r="BN331" i="2"/>
  <c r="BP418" i="2"/>
  <c r="Y427" i="2"/>
  <c r="Z443" i="2"/>
  <c r="BP493" i="2"/>
  <c r="Z513" i="2"/>
  <c r="BP57" i="2"/>
  <c r="BN57" i="2"/>
  <c r="BP77" i="2"/>
  <c r="Z77" i="2"/>
  <c r="BN87" i="2"/>
  <c r="BP117" i="2"/>
  <c r="BN117" i="2"/>
  <c r="Z117" i="2"/>
  <c r="BN126" i="2"/>
  <c r="BP126" i="2"/>
  <c r="BN156" i="2"/>
  <c r="BP156" i="2"/>
  <c r="BN160" i="2"/>
  <c r="Z160" i="2"/>
  <c r="BP236" i="2"/>
  <c r="BN236" i="2"/>
  <c r="Z236" i="2"/>
  <c r="BP244" i="2"/>
  <c r="BN244" i="2"/>
  <c r="Z244" i="2"/>
  <c r="Y255" i="2"/>
  <c r="Z251" i="2"/>
  <c r="BN304" i="2"/>
  <c r="Z304" i="2"/>
  <c r="BN332" i="2"/>
  <c r="BN346" i="2"/>
  <c r="BP346" i="2"/>
  <c r="BP353" i="2"/>
  <c r="Z353" i="2"/>
  <c r="Z355" i="2" s="1"/>
  <c r="BN361" i="2"/>
  <c r="BN368" i="2"/>
  <c r="BN412" i="2"/>
  <c r="BN419" i="2"/>
  <c r="Z419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P27" i="2"/>
  <c r="Z40" i="2"/>
  <c r="Z57" i="2"/>
  <c r="BN86" i="2"/>
  <c r="Z86" i="2"/>
  <c r="BP104" i="2"/>
  <c r="BN104" i="2"/>
  <c r="Z104" i="2"/>
  <c r="BN124" i="2"/>
  <c r="BP124" i="2"/>
  <c r="Y151" i="2"/>
  <c r="BP148" i="2"/>
  <c r="BN148" i="2"/>
  <c r="Z148" i="2"/>
  <c r="BP160" i="2"/>
  <c r="BP214" i="2"/>
  <c r="BN214" i="2"/>
  <c r="Z214" i="2"/>
  <c r="BN226" i="2"/>
  <c r="BP226" i="2"/>
  <c r="Y259" i="2"/>
  <c r="Y258" i="2"/>
  <c r="BP257" i="2"/>
  <c r="BN257" i="2"/>
  <c r="Z257" i="2"/>
  <c r="Z258" i="2" s="1"/>
  <c r="BN263" i="2"/>
  <c r="BN307" i="2"/>
  <c r="Z307" i="2"/>
  <c r="BP310" i="2"/>
  <c r="Z310" i="2"/>
  <c r="BN367" i="2"/>
  <c r="Z367" i="2"/>
  <c r="BN370" i="2"/>
  <c r="BN405" i="2"/>
  <c r="BN435" i="2"/>
  <c r="BP435" i="2"/>
  <c r="BN438" i="2"/>
  <c r="BP461" i="2"/>
  <c r="BN461" i="2"/>
  <c r="Z461" i="2"/>
  <c r="AA570" i="2"/>
  <c r="Z505" i="2"/>
  <c r="BN526" i="2"/>
  <c r="Z526" i="2"/>
  <c r="Y541" i="2"/>
  <c r="BN89" i="2"/>
  <c r="BN176" i="2"/>
  <c r="BN189" i="2"/>
  <c r="Y203" i="2"/>
  <c r="BN215" i="2"/>
  <c r="BN246" i="2"/>
  <c r="BN267" i="2"/>
  <c r="Y270" i="2"/>
  <c r="BN308" i="2"/>
  <c r="BN333" i="2"/>
  <c r="BN359" i="2"/>
  <c r="Y362" i="2"/>
  <c r="BN369" i="2"/>
  <c r="BN400" i="2"/>
  <c r="BN406" i="2"/>
  <c r="BN424" i="2"/>
  <c r="BP424" i="2"/>
  <c r="BN426" i="2"/>
  <c r="BN436" i="2"/>
  <c r="BP480" i="2"/>
  <c r="BN498" i="2"/>
  <c r="BN507" i="2"/>
  <c r="BN518" i="2"/>
  <c r="BN552" i="2"/>
  <c r="BP547" i="2"/>
  <c r="BN482" i="2"/>
  <c r="Z481" i="2"/>
  <c r="BN481" i="2"/>
  <c r="Z470" i="2"/>
  <c r="BN470" i="2"/>
  <c r="Z456" i="2"/>
  <c r="BP456" i="2"/>
  <c r="BN450" i="2"/>
  <c r="Z394" i="2"/>
  <c r="Z393" i="2"/>
  <c r="Y395" i="2"/>
  <c r="Y396" i="2"/>
  <c r="Z392" i="2"/>
  <c r="Z388" i="2"/>
  <c r="BN388" i="2"/>
  <c r="BP387" i="2"/>
  <c r="Z387" i="2"/>
  <c r="Z379" i="2"/>
  <c r="BN377" i="2"/>
  <c r="Z376" i="2"/>
  <c r="BN348" i="2"/>
  <c r="BP345" i="2"/>
  <c r="BN294" i="2"/>
  <c r="BN292" i="2"/>
  <c r="BN288" i="2"/>
  <c r="Z288" i="2"/>
  <c r="BP285" i="2"/>
  <c r="Z284" i="2"/>
  <c r="Z279" i="2"/>
  <c r="BP279" i="2"/>
  <c r="Z277" i="2"/>
  <c r="BP277" i="2"/>
  <c r="Z276" i="2"/>
  <c r="Z273" i="2"/>
  <c r="Y280" i="2"/>
  <c r="Z234" i="2"/>
  <c r="BN234" i="2"/>
  <c r="Z233" i="2"/>
  <c r="Z191" i="2"/>
  <c r="BN181" i="2"/>
  <c r="BP98" i="2"/>
  <c r="Z93" i="2"/>
  <c r="BP93" i="2"/>
  <c r="F570" i="2"/>
  <c r="BN77" i="2"/>
  <c r="BN73" i="2"/>
  <c r="BN72" i="2"/>
  <c r="Z67" i="2"/>
  <c r="BN67" i="2"/>
  <c r="X562" i="2"/>
  <c r="X560" i="2"/>
  <c r="X561" i="2"/>
  <c r="X564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Z39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Z269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520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27" i="2" s="1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172" i="2" s="1"/>
  <c r="Z201" i="2"/>
  <c r="Z202" i="2" s="1"/>
  <c r="Y206" i="2"/>
  <c r="Y218" i="2"/>
  <c r="Z226" i="2"/>
  <c r="Y325" i="2"/>
  <c r="Z345" i="2"/>
  <c r="Z350" i="2" s="1"/>
  <c r="Y372" i="2"/>
  <c r="Y382" i="2"/>
  <c r="Y390" i="2"/>
  <c r="Z399" i="2"/>
  <c r="Z402" i="2" s="1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Z414" i="2" s="1"/>
  <c r="BP557" i="2"/>
  <c r="C570" i="2"/>
  <c r="V570" i="2"/>
  <c r="Y130" i="2"/>
  <c r="Z22" i="2"/>
  <c r="Z24" i="2" s="1"/>
  <c r="Y51" i="2"/>
  <c r="Z79" i="2"/>
  <c r="Z27" i="2"/>
  <c r="Z32" i="2" s="1"/>
  <c r="Z39" i="2"/>
  <c r="BN64" i="2"/>
  <c r="Y75" i="2"/>
  <c r="Z85" i="2"/>
  <c r="Y91" i="2"/>
  <c r="BN95" i="2"/>
  <c r="Z98" i="2"/>
  <c r="Z114" i="2"/>
  <c r="Z119" i="2" s="1"/>
  <c r="Y146" i="2"/>
  <c r="Z156" i="2"/>
  <c r="BN169" i="2"/>
  <c r="Y172" i="2"/>
  <c r="BN184" i="2"/>
  <c r="Z187" i="2"/>
  <c r="Z192" i="2" s="1"/>
  <c r="Z197" i="2"/>
  <c r="Z211" i="2"/>
  <c r="Z222" i="2"/>
  <c r="Z223" i="2" s="1"/>
  <c r="Z232" i="2"/>
  <c r="Z252" i="2"/>
  <c r="Z275" i="2"/>
  <c r="Z280" i="2" s="1"/>
  <c r="Z285" i="2"/>
  <c r="Y296" i="2"/>
  <c r="Z306" i="2"/>
  <c r="BN318" i="2"/>
  <c r="Z329" i="2"/>
  <c r="Z340" i="2"/>
  <c r="Z341" i="2" s="1"/>
  <c r="BN353" i="2"/>
  <c r="Z375" i="2"/>
  <c r="Z385" i="2"/>
  <c r="BN407" i="2"/>
  <c r="Z418" i="2"/>
  <c r="BN433" i="2"/>
  <c r="BN443" i="2"/>
  <c r="Y446" i="2"/>
  <c r="BN466" i="2"/>
  <c r="Z478" i="2"/>
  <c r="Z484" i="2" s="1"/>
  <c r="Z488" i="2"/>
  <c r="Y494" i="2"/>
  <c r="BN513" i="2"/>
  <c r="Z523" i="2"/>
  <c r="Z530" i="2" s="1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Z145" i="2" s="1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63" i="2" l="1"/>
  <c r="Z473" i="2"/>
  <c r="Z489" i="2"/>
  <c r="Z446" i="2"/>
  <c r="Z140" i="2"/>
  <c r="Z300" i="2"/>
  <c r="Z514" i="2"/>
  <c r="Z553" i="2"/>
  <c r="Z420" i="2"/>
  <c r="Z334" i="2"/>
  <c r="Z311" i="2"/>
  <c r="Z254" i="2"/>
  <c r="Z81" i="2"/>
  <c r="Z372" i="2"/>
  <c r="Z325" i="2"/>
  <c r="Z248" i="2"/>
  <c r="Z61" i="2"/>
  <c r="Z150" i="2"/>
  <c r="Z389" i="2"/>
  <c r="Z382" i="2"/>
  <c r="Z295" i="2"/>
  <c r="X563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<sst xmlns="http://schemas.openxmlformats.org/spreadsheetml/2006/main" count="4318" uniqueCount="905">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</sst>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904</v>
      </c>
      <c r="I5" s="1001"/>
      <c r="J5" s="1001"/>
      <c r="K5" s="1001"/>
      <c r="L5" s="1001"/>
      <c r="M5" s="1001"/>
      <c r="N5" s="72"/>
      <c r="P5" s="27" t="s">
        <v>4</v>
      </c>
      <c r="Q5" s="1003">
        <v>46270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Суббота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0.45833333333333331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0.1898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108</v>
      </c>
      <c r="Y52" s="43">
        <f>IFERROR(SUM(Y47:Y50),"0")</f>
        <v>108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13.5</v>
      </c>
      <c r="Y67" s="55">
        <f>IFERROR(IF(X67="",0,CEILING((X67/$H67),1)*$H67),"")</f>
        <v>13.5</v>
      </c>
      <c r="Z67" s="41">
        <f>IFERROR(IF(Y67=0,"",ROUNDUP(Y67/H67,0)*0.00651),"")</f>
        <v>3.2550000000000003E-2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14.399999999999997</v>
      </c>
      <c r="BN67" s="78">
        <f>IFERROR(Y67*I67/H67,"0")</f>
        <v>14.399999999999997</v>
      </c>
      <c r="BO67" s="78">
        <f>IFERROR(1/J67*(X67/H67),"0")</f>
        <v>2.7472527472527476E-2</v>
      </c>
      <c r="BP67" s="78">
        <f>IFERROR(1/J67*(Y67/H67),"0")</f>
        <v>2.7472527472527476E-2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5</v>
      </c>
      <c r="Y68" s="43">
        <f>IFERROR(Y64/H64,"0")+IFERROR(Y65/H65,"0")+IFERROR(Y66/H66,"0")+IFERROR(Y67/H67,"0")</f>
        <v>5</v>
      </c>
      <c r="Z68" s="43">
        <f>IFERROR(IF(Z64="",0,Z64),"0")+IFERROR(IF(Z65="",0,Z65),"0")+IFERROR(IF(Z66="",0,Z66),"0")+IFERROR(IF(Z67="",0,Z67),"0")</f>
        <v>3.2550000000000003E-2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13.5</v>
      </c>
      <c r="Y69" s="43">
        <f>IFERROR(SUM(Y64:Y67),"0")</f>
        <v>13.5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1.8</v>
      </c>
      <c r="Y72" s="55">
        <f>IFERROR(IF(X72="",0,CEILING((X72/$H72),1)*$H72),"")</f>
        <v>1.8</v>
      </c>
      <c r="Z72" s="41">
        <f>IFERROR(IF(Y72=0,"",ROUNDUP(Y72/H72,0)*0.00651),"")</f>
        <v>6.5100000000000002E-3</v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1.98</v>
      </c>
      <c r="BN72" s="78">
        <f>IFERROR(Y72*I72/H72,"0")</f>
        <v>1.98</v>
      </c>
      <c r="BO72" s="78">
        <f>IFERROR(1/J72*(X72/H72),"0")</f>
        <v>5.4945054945054949E-3</v>
      </c>
      <c r="BP72" s="78">
        <f>IFERROR(1/J72*(Y72/H72),"0")</f>
        <v>5.4945054945054949E-3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1.8</v>
      </c>
      <c r="Y73" s="55">
        <f>IFERROR(IF(X73="",0,CEILING((X73/$H73),1)*$H73),"")</f>
        <v>1.8</v>
      </c>
      <c r="Z73" s="41">
        <f>IFERROR(IF(Y73=0,"",ROUNDUP(Y73/H73,0)*0.00651),"")</f>
        <v>6.5100000000000002E-3</v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1.98</v>
      </c>
      <c r="BN73" s="78">
        <f>IFERROR(Y73*I73/H73,"0")</f>
        <v>1.98</v>
      </c>
      <c r="BO73" s="78">
        <f>IFERROR(1/J73*(X73/H73),"0")</f>
        <v>5.4945054945054949E-3</v>
      </c>
      <c r="BP73" s="78">
        <f>IFERROR(1/J73*(Y73/H73),"0")</f>
        <v>5.4945054945054949E-3</v>
      </c>
    </row>
    <row r="74" spans="1:68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2</v>
      </c>
      <c r="Y74" s="43">
        <f>IFERROR(Y71/H71,"0")+IFERROR(Y72/H72,"0")+IFERROR(Y73/H73,"0")</f>
        <v>2</v>
      </c>
      <c r="Z74" s="43">
        <f>IFERROR(IF(Z71="",0,Z71),"0")+IFERROR(IF(Z72="",0,Z72),"0")+IFERROR(IF(Z73="",0,Z73),"0")</f>
        <v>1.302E-2</v>
      </c>
      <c r="AA74" s="67"/>
      <c r="AB74" s="67"/>
      <c r="AC74" s="67"/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3.6</v>
      </c>
      <c r="Y75" s="43">
        <f>IFERROR(SUM(Y71:Y73),"0")</f>
        <v>3.6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23.4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24.630000000000003</v>
      </c>
      <c r="BN77" s="78">
        <f>IFERROR(Y77*I77/H77,"0")</f>
        <v>24.630000000000003</v>
      </c>
      <c r="BO77" s="78">
        <f>IFERROR(1/J77*(X77/H77),"0")</f>
        <v>4.6875E-2</v>
      </c>
      <c r="BP77" s="78">
        <f>IFERROR(1/J77*(Y77/H77),"0")</f>
        <v>4.6875E-2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3</v>
      </c>
      <c r="Y81" s="43">
        <f>IFERROR(Y77/H77,"0")+IFERROR(Y78/H78,"0")+IFERROR(Y79/H79,"0")+IFERROR(Y80/H80,"0")</f>
        <v>3</v>
      </c>
      <c r="Z81" s="43">
        <f>IFERROR(IF(Z77="",0,Z77),"0")+IFERROR(IF(Z78="",0,Z78),"0")+IFERROR(IF(Z79="",0,Z79),"0")+IFERROR(IF(Z80="",0,Z80),"0")</f>
        <v>5.6940000000000004E-2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23.4</v>
      </c>
      <c r="Y82" s="43">
        <f>IFERROR(SUM(Y77:Y80),"0")</f>
        <v>23.4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81</v>
      </c>
      <c r="Y93" s="55">
        <f t="shared" ref="Y93:Y98" si="5"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85.94</v>
      </c>
      <c r="BN93" s="78">
        <f t="shared" ref="BN93:BN98" si="7">IFERROR(Y93*I93/H93,"0")</f>
        <v>85.94</v>
      </c>
      <c r="BO93" s="78">
        <f t="shared" ref="BO93:BO98" si="8">IFERROR(1/J93*(X93/H93),"0")</f>
        <v>0.15625</v>
      </c>
      <c r="BP93" s="78">
        <f t="shared" ref="BP93:BP98" si="9">IFERROR(1/J93*(Y93/H93),"0")</f>
        <v>0.15625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3.96</v>
      </c>
      <c r="Y98" s="55">
        <f t="shared" si="5"/>
        <v>3.96</v>
      </c>
      <c r="Z98" s="41">
        <f>IFERROR(IF(Y98=0,"",ROUNDUP(Y98/H98,0)*0.00651),"")</f>
        <v>1.302E-2</v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4.476</v>
      </c>
      <c r="BN98" s="78">
        <f t="shared" si="7"/>
        <v>4.476</v>
      </c>
      <c r="BO98" s="78">
        <f t="shared" si="8"/>
        <v>1.098901098901099E-2</v>
      </c>
      <c r="BP98" s="78">
        <f t="shared" si="9"/>
        <v>1.098901098901099E-2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12</v>
      </c>
      <c r="Y99" s="43">
        <f>IFERROR(Y93/H93,"0")+IFERROR(Y94/H94,"0")+IFERROR(Y95/H95,"0")+IFERROR(Y96/H96,"0")+IFERROR(Y97/H97,"0")+IFERROR(Y98/H98,"0")</f>
        <v>12</v>
      </c>
      <c r="Z99" s="43">
        <f>IFERROR(IF(Z93="",0,Z93),"0")+IFERROR(IF(Z94="",0,Z94),"0")+IFERROR(IF(Z95="",0,Z95),"0")+IFERROR(IF(Z96="",0,Z96),"0")+IFERROR(IF(Z97="",0,Z97),"0")+IFERROR(IF(Z98="",0,Z98),"0")</f>
        <v>0.20282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84.96</v>
      </c>
      <c r="Y100" s="43">
        <f>IFERROR(SUM(Y93:Y98),"0")</f>
        <v>84.96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32.4</v>
      </c>
      <c r="Y103" s="55">
        <f t="shared" ref="Y103:Y110" si="10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33.629999999999995</v>
      </c>
      <c r="BN103" s="78">
        <f t="shared" ref="BN103:BN110" si="12">IFERROR(Y103*I103/H103,"0")</f>
        <v>33.630000000000003</v>
      </c>
      <c r="BO103" s="78">
        <f t="shared" ref="BO103:BO110" si="13">IFERROR(1/J103*(X103/H103),"0")</f>
        <v>4.6874999999999993E-2</v>
      </c>
      <c r="BP103" s="78">
        <f t="shared" ref="BP103:BP110" si="14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2.9999999999999996</v>
      </c>
      <c r="Y111" s="43">
        <f>IFERROR(Y103/H103,"0")+IFERROR(Y104/H104,"0")+IFERROR(Y105/H105,"0")+IFERROR(Y106/H106,"0")+IFERROR(Y107/H107,"0")+IFERROR(Y108/H108,"0")+IFERROR(Y109/H109,"0")+IFERROR(Y110/H110,"0")</f>
        <v>3.0000000000000004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5.6940000000000004E-2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32.4</v>
      </c>
      <c r="Y112" s="43">
        <f>IFERROR(SUM(Y103:Y110),"0")</f>
        <v>32.400000000000006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81</v>
      </c>
      <c r="Y122" s="55">
        <f t="shared" ref="Y122:Y128" si="15">IFERROR(IF(X122="",0,CEILING((X122/$H122),1)*$H122),"")</f>
        <v>81</v>
      </c>
      <c r="Z122" s="41">
        <f>IFERROR(IF(Y122=0,"",ROUNDUP(Y122/H122,0)*0.01898),"")</f>
        <v>0.1898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85.88</v>
      </c>
      <c r="BN122" s="78">
        <f t="shared" ref="BN122:BN128" si="17">IFERROR(Y122*I122/H122,"0")</f>
        <v>85.88</v>
      </c>
      <c r="BO122" s="78">
        <f t="shared" ref="BO122:BO128" si="18">IFERROR(1/J122*(X122/H122),"0")</f>
        <v>0.15625</v>
      </c>
      <c r="BP122" s="78">
        <f t="shared" ref="BP122:BP128" si="19">IFERROR(1/J122*(Y122/H122),"0")</f>
        <v>0.15625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10</v>
      </c>
      <c r="Y129" s="43">
        <f>IFERROR(Y122/H122,"0")+IFERROR(Y123/H123,"0")+IFERROR(Y124/H124,"0")+IFERROR(Y125/H125,"0")+IFERROR(Y126/H126,"0")+IFERROR(Y127/H127,"0")+IFERROR(Y128/H128,"0")</f>
        <v>10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0.1898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81</v>
      </c>
      <c r="Y130" s="43">
        <f>IFERROR(SUM(Y122:Y128),"0")</f>
        <v>81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35</v>
      </c>
      <c r="Y180" s="55">
        <f t="shared" ref="Y180:Y191" si="26">IFERROR(IF(X180="",0,CEILING((X180/$H180),1)*$H180),"")</f>
        <v>35</v>
      </c>
      <c r="Z180" s="41">
        <f>IFERROR(IF(Y180=0,"",ROUNDUP(Y180/H180,0)*0.00902),"")</f>
        <v>9.0200000000000002E-2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36.9</v>
      </c>
      <c r="BN180" s="78">
        <f t="shared" ref="BN180:BN191" si="28">IFERROR(Y180*I180/H180,"0")</f>
        <v>36.9</v>
      </c>
      <c r="BO180" s="78">
        <f t="shared" ref="BO180:BO191" si="29">IFERROR(1/J180*(X180/H180),"0")</f>
        <v>7.575757575757576E-2</v>
      </c>
      <c r="BP180" s="78">
        <f t="shared" ref="BP180:BP191" si="30">IFERROR(1/J180*(Y180/H180),"0")</f>
        <v>7.575757575757576E-2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17.5</v>
      </c>
      <c r="Y181" s="55">
        <f t="shared" si="26"/>
        <v>17.5</v>
      </c>
      <c r="Z181" s="41">
        <f>IFERROR(IF(Y181=0,"",ROUNDUP(Y181/H181,0)*0.00902),"")</f>
        <v>4.5100000000000001E-2</v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18.824999999999999</v>
      </c>
      <c r="BN181" s="78">
        <f t="shared" si="28"/>
        <v>18.824999999999999</v>
      </c>
      <c r="BO181" s="78">
        <f t="shared" si="29"/>
        <v>3.787878787878788E-2</v>
      </c>
      <c r="BP181" s="78">
        <f t="shared" si="30"/>
        <v>3.787878787878788E-2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17.5</v>
      </c>
      <c r="Y182" s="55">
        <f t="shared" si="26"/>
        <v>17.5</v>
      </c>
      <c r="Z182" s="41">
        <f>IFERROR(IF(Y182=0,"",ROUNDUP(Y182/H182,0)*0.00902),"")</f>
        <v>4.5100000000000001E-2</v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18.45</v>
      </c>
      <c r="BN182" s="78">
        <f t="shared" si="28"/>
        <v>18.45</v>
      </c>
      <c r="BO182" s="78">
        <f t="shared" si="29"/>
        <v>3.787878787878788E-2</v>
      </c>
      <c r="BP182" s="78">
        <f t="shared" si="30"/>
        <v>3.787878787878788E-2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35</v>
      </c>
      <c r="Y183" s="55">
        <f t="shared" si="26"/>
        <v>35</v>
      </c>
      <c r="Z183" s="41">
        <f>IFERROR(IF(Y183=0,"",ROUNDUP(Y183/H183,0)*0.00902),"")</f>
        <v>9.0200000000000002E-2</v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36.9</v>
      </c>
      <c r="BN183" s="78">
        <f t="shared" si="28"/>
        <v>36.9</v>
      </c>
      <c r="BO183" s="78">
        <f t="shared" si="29"/>
        <v>7.575757575757576E-2</v>
      </c>
      <c r="BP183" s="78">
        <f t="shared" si="30"/>
        <v>7.575757575757576E-2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11.76</v>
      </c>
      <c r="Y187" s="55">
        <f t="shared" si="26"/>
        <v>11.76</v>
      </c>
      <c r="Z187" s="41">
        <f>IFERROR(IF(Y187=0,"",ROUNDUP(Y187/H187,0)*0.00502),"")</f>
        <v>3.5140000000000005E-2</v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12.46</v>
      </c>
      <c r="BN187" s="78">
        <f t="shared" si="28"/>
        <v>12.46</v>
      </c>
      <c r="BO187" s="78">
        <f t="shared" si="29"/>
        <v>2.9914529914529919E-2</v>
      </c>
      <c r="BP187" s="78">
        <f t="shared" si="30"/>
        <v>2.9914529914529919E-2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11.76</v>
      </c>
      <c r="Y191" s="55">
        <f t="shared" si="26"/>
        <v>11.76</v>
      </c>
      <c r="Z191" s="41">
        <f>IFERROR(IF(Y191=0,"",ROUNDUP(Y191/H191,0)*0.00502),"")</f>
        <v>3.5140000000000005E-2</v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12.46</v>
      </c>
      <c r="BN191" s="78">
        <f t="shared" si="28"/>
        <v>12.46</v>
      </c>
      <c r="BO191" s="78">
        <f t="shared" si="29"/>
        <v>2.9914529914529919E-2</v>
      </c>
      <c r="BP191" s="78">
        <f t="shared" si="30"/>
        <v>2.9914529914529919E-2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44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44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0.34088000000000002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128.52000000000001</v>
      </c>
      <c r="Y193" s="43">
        <f>IFERROR(SUM(Y180:Y191),"0")</f>
        <v>128.52000000000001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5.04</v>
      </c>
      <c r="Y195" s="55">
        <f>IFERROR(IF(X195="",0,CEILING((X195/$H195),1)*$H195),"")</f>
        <v>5.04</v>
      </c>
      <c r="Z195" s="41">
        <f>IFERROR(IF(Y195=0,"",ROUNDUP(Y195/H195,0)*0.00651),"")</f>
        <v>1.302E-2</v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5.532</v>
      </c>
      <c r="BN195" s="78">
        <f>IFERROR(Y195*I195/H195,"0")</f>
        <v>5.532</v>
      </c>
      <c r="BO195" s="78">
        <f>IFERROR(1/J195*(X195/H195),"0")</f>
        <v>1.098901098901099E-2</v>
      </c>
      <c r="BP195" s="78">
        <f>IFERROR(1/J195*(Y195/H195),"0")</f>
        <v>1.098901098901099E-2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2</v>
      </c>
      <c r="Y198" s="43">
        <f>IFERROR(Y195/H195,"0")+IFERROR(Y196/H196,"0")+IFERROR(Y197/H197,"0")</f>
        <v>2</v>
      </c>
      <c r="Z198" s="43">
        <f>IFERROR(IF(Z195="",0,Z195),"0")+IFERROR(IF(Z196="",0,Z196),"0")+IFERROR(IF(Z197="",0,Z197),"0")</f>
        <v>1.302E-2</v>
      </c>
      <c r="AA198" s="67"/>
      <c r="AB198" s="67"/>
      <c r="AC198" s="67"/>
    </row>
    <row r="199" spans="1:68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5.04</v>
      </c>
      <c r="Y199" s="43">
        <f>IFERROR(SUM(Y195:Y197),"0")</f>
        <v>5.04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42</v>
      </c>
      <c r="Y226" s="55">
        <f t="shared" ref="Y226:Y239" si="37">IFERROR(IF(X226="",0,CEILING((X226/$H226),1)*$H226),"")</f>
        <v>42</v>
      </c>
      <c r="Z226" s="41">
        <f>IFERROR(IF(Y226=0,"",ROUNDUP(Y226/H226,0)*0.00902),"")</f>
        <v>9.0200000000000002E-2</v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44.5</v>
      </c>
      <c r="BN226" s="78">
        <f t="shared" ref="BN226:BN239" si="39">IFERROR(Y226*I226/H226,"0")</f>
        <v>44.5</v>
      </c>
      <c r="BO226" s="78">
        <f t="shared" ref="BO226:BO239" si="40">IFERROR(1/J226*(X226/H226),"0")</f>
        <v>7.575757575757576E-2</v>
      </c>
      <c r="BP226" s="78">
        <f t="shared" ref="BP226:BP239" si="41">IFERROR(1/J226*(Y226/H226),"0")</f>
        <v>7.575757575757576E-2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25.2</v>
      </c>
      <c r="Y227" s="55">
        <f t="shared" si="37"/>
        <v>25.200000000000003</v>
      </c>
      <c r="Z227" s="41">
        <f>IFERROR(IF(Y227=0,"",ROUNDUP(Y227/H227,0)*0.00902),"")</f>
        <v>5.4120000000000001E-2</v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26.7</v>
      </c>
      <c r="BN227" s="78">
        <f t="shared" si="39"/>
        <v>26.700000000000003</v>
      </c>
      <c r="BO227" s="78">
        <f t="shared" si="40"/>
        <v>4.5454545454545456E-2</v>
      </c>
      <c r="BP227" s="78">
        <f t="shared" si="41"/>
        <v>4.5454545454545456E-2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42</v>
      </c>
      <c r="Y228" s="55">
        <f t="shared" si="37"/>
        <v>42</v>
      </c>
      <c r="Z228" s="41">
        <f>IFERROR(IF(Y228=0,"",ROUNDUP(Y228/H228,0)*0.00902),"")</f>
        <v>9.0200000000000002E-2</v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43.9</v>
      </c>
      <c r="BN228" s="78">
        <f t="shared" si="39"/>
        <v>43.9</v>
      </c>
      <c r="BO228" s="78">
        <f t="shared" si="40"/>
        <v>7.575757575757576E-2</v>
      </c>
      <c r="BP228" s="78">
        <f t="shared" si="41"/>
        <v>7.575757575757576E-2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14.7</v>
      </c>
      <c r="Y230" s="55">
        <f t="shared" si="37"/>
        <v>14.700000000000001</v>
      </c>
      <c r="Z230" s="41">
        <f t="shared" ref="Z230:Z235" si="42">IFERROR(IF(Y230=0,"",ROUNDUP(Y230/H230,0)*0.00502),"")</f>
        <v>3.5140000000000005E-2</v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15.61</v>
      </c>
      <c r="BN230" s="78">
        <f t="shared" si="39"/>
        <v>15.61</v>
      </c>
      <c r="BO230" s="78">
        <f t="shared" si="40"/>
        <v>2.9914529914529912E-2</v>
      </c>
      <c r="BP230" s="78">
        <f t="shared" si="41"/>
        <v>2.9914529914529919E-2</v>
      </c>
    </row>
    <row r="231" spans="1:68" ht="27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12.6</v>
      </c>
      <c r="Y231" s="55">
        <f t="shared" si="37"/>
        <v>12.6</v>
      </c>
      <c r="Z231" s="41">
        <f t="shared" si="42"/>
        <v>3.5140000000000005E-2</v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13.299999999999999</v>
      </c>
      <c r="BN231" s="78">
        <f t="shared" si="39"/>
        <v>13.299999999999999</v>
      </c>
      <c r="BO231" s="78">
        <f t="shared" si="40"/>
        <v>2.9914529914529919E-2</v>
      </c>
      <c r="BP231" s="78">
        <f t="shared" si="41"/>
        <v>2.9914529914529919E-2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14.7</v>
      </c>
      <c r="Y232" s="55">
        <f t="shared" si="37"/>
        <v>14.700000000000001</v>
      </c>
      <c r="Z232" s="41">
        <f t="shared" si="42"/>
        <v>3.5140000000000005E-2</v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15.61</v>
      </c>
      <c r="BN232" s="78">
        <f t="shared" si="39"/>
        <v>15.61</v>
      </c>
      <c r="BO232" s="78">
        <f t="shared" si="40"/>
        <v>2.9914529914529912E-2</v>
      </c>
      <c r="BP232" s="78">
        <f t="shared" si="41"/>
        <v>2.9914529914529919E-2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/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14.7</v>
      </c>
      <c r="Y234" s="55">
        <f t="shared" si="37"/>
        <v>14.700000000000001</v>
      </c>
      <c r="Z234" s="41">
        <f t="shared" si="42"/>
        <v>3.5140000000000005E-2</v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15.4</v>
      </c>
      <c r="BN234" s="78">
        <f t="shared" si="39"/>
        <v>15.4</v>
      </c>
      <c r="BO234" s="78">
        <f t="shared" si="40"/>
        <v>2.9914529914529912E-2</v>
      </c>
      <c r="BP234" s="78">
        <f t="shared" si="41"/>
        <v>2.9914529914529919E-2</v>
      </c>
    </row>
    <row r="235" spans="1:68" ht="27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12.6</v>
      </c>
      <c r="Y235" s="55">
        <f t="shared" si="37"/>
        <v>12.6</v>
      </c>
      <c r="Z235" s="41">
        <f t="shared" si="42"/>
        <v>3.5140000000000005E-2</v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13.509999999999998</v>
      </c>
      <c r="BN235" s="78">
        <f t="shared" si="39"/>
        <v>13.509999999999998</v>
      </c>
      <c r="BO235" s="78">
        <f t="shared" si="40"/>
        <v>2.9914529914529919E-2</v>
      </c>
      <c r="BP235" s="78">
        <f t="shared" si="41"/>
        <v>2.9914529914529919E-2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14.7</v>
      </c>
      <c r="Y237" s="55">
        <f t="shared" si="37"/>
        <v>14.700000000000001</v>
      </c>
      <c r="Z237" s="41">
        <f>IFERROR(IF(Y237=0,"",ROUNDUP(Y237/H237,0)*0.00502),"")</f>
        <v>3.5140000000000005E-2</v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15.4</v>
      </c>
      <c r="BN237" s="78">
        <f t="shared" si="39"/>
        <v>15.4</v>
      </c>
      <c r="BO237" s="78">
        <f t="shared" si="40"/>
        <v>2.9914529914529912E-2</v>
      </c>
      <c r="BP237" s="78">
        <f t="shared" si="41"/>
        <v>2.9914529914529919E-2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68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68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0.44536000000000003</v>
      </c>
      <c r="AA240" s="67"/>
      <c r="AB240" s="67"/>
      <c r="AC240" s="67"/>
    </row>
    <row r="241" spans="1:68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193.19999999999996</v>
      </c>
      <c r="Y241" s="43">
        <f>IFERROR(SUM(Y226:Y239),"0")</f>
        <v>193.19999999999996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9.6</v>
      </c>
      <c r="Y243" s="55">
        <f>IFERROR(IF(X243="",0,CEILING((X243/$H243),1)*$H243),"")</f>
        <v>9.6</v>
      </c>
      <c r="Z243" s="41">
        <f>IFERROR(IF(Y243=0,"",ROUNDUP(Y243/H243,0)*0.01196),"")</f>
        <v>2.392E-2</v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10.444000000000001</v>
      </c>
      <c r="BN243" s="78">
        <f>IFERROR(Y243*I243/H243,"0")</f>
        <v>10.444000000000001</v>
      </c>
      <c r="BO243" s="78">
        <f>IFERROR(1/J243*(X243/H243),"0")</f>
        <v>1.9230769230769232E-2</v>
      </c>
      <c r="BP243" s="78">
        <f>IFERROR(1/J243*(Y243/H243),"0")</f>
        <v>1.9230769230769232E-2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2</v>
      </c>
      <c r="Y248" s="43">
        <f>IFERROR(Y243/H243,"0")+IFERROR(Y244/H244,"0")+IFERROR(Y245/H245,"0")+IFERROR(Y246/H246,"0")+IFERROR(Y247/H247,"0")</f>
        <v>2</v>
      </c>
      <c r="Z248" s="43">
        <f>IFERROR(IF(Z243="",0,Z243),"0")+IFERROR(IF(Z244="",0,Z244),"0")+IFERROR(IF(Z245="",0,Z245),"0")+IFERROR(IF(Z246="",0,Z246),"0")+IFERROR(IF(Z247="",0,Z247),"0")</f>
        <v>2.392E-2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9.6</v>
      </c>
      <c r="Y249" s="43">
        <f>IFERROR(SUM(Y243:Y247),"0")</f>
        <v>9.6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ref="Y272:Y279" si="43">IFERROR(IF(X272="",0,CEILING((X272/$H272),1)*$H272),"")</f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27.95</v>
      </c>
      <c r="BN272" s="78">
        <f t="shared" ref="BN272:BN279" si="45">IFERROR(Y272*I272/H272,"0")</f>
        <v>27.95</v>
      </c>
      <c r="BO272" s="78">
        <f t="shared" ref="BO272:BO279" si="46">IFERROR(1/J272*(X272/H272),"0")</f>
        <v>3.787878787878788E-2</v>
      </c>
      <c r="BP272" s="78">
        <f t="shared" ref="BP272:BP279" si="47">IFERROR(1/J272*(Y272/H272),"0")</f>
        <v>3.787878787878788E-2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27</v>
      </c>
      <c r="Y273" s="55">
        <f t="shared" si="43"/>
        <v>27</v>
      </c>
      <c r="Z273" s="41">
        <f>IFERROR(IF(Y273=0,"",ROUNDUP(Y273/H273,0)*0.00902),"")</f>
        <v>4.5100000000000001E-2</v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27.95</v>
      </c>
      <c r="BN273" s="78">
        <f t="shared" si="45"/>
        <v>27.95</v>
      </c>
      <c r="BO273" s="78">
        <f t="shared" si="46"/>
        <v>3.787878787878788E-2</v>
      </c>
      <c r="BP273" s="78">
        <f t="shared" si="47"/>
        <v>3.787878787878788E-2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27</v>
      </c>
      <c r="Y274" s="55">
        <f t="shared" si="43"/>
        <v>27</v>
      </c>
      <c r="Z274" s="41">
        <f>IFERROR(IF(Y274=0,"",ROUNDUP(Y274/H274,0)*0.00902),"")</f>
        <v>4.5100000000000001E-2</v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27.95</v>
      </c>
      <c r="BN274" s="78">
        <f t="shared" si="45"/>
        <v>27.95</v>
      </c>
      <c r="BO274" s="78">
        <f t="shared" si="46"/>
        <v>3.787878787878788E-2</v>
      </c>
      <c r="BP274" s="78">
        <f t="shared" si="47"/>
        <v>3.787878787878788E-2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27</v>
      </c>
      <c r="Y275" s="55">
        <f t="shared" si="43"/>
        <v>27</v>
      </c>
      <c r="Z275" s="41">
        <f>IFERROR(IF(Y275=0,"",ROUNDUP(Y275/H275,0)*0.00902),"")</f>
        <v>4.5100000000000001E-2</v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27.95</v>
      </c>
      <c r="BN275" s="78">
        <f t="shared" si="45"/>
        <v>27.95</v>
      </c>
      <c r="BO275" s="78">
        <f t="shared" si="46"/>
        <v>3.787878787878788E-2</v>
      </c>
      <c r="BP275" s="78">
        <f t="shared" si="47"/>
        <v>3.787878787878788E-2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12.6</v>
      </c>
      <c r="Y276" s="55">
        <f t="shared" si="43"/>
        <v>12.6</v>
      </c>
      <c r="Z276" s="41">
        <f>IFERROR(IF(Y276=0,"",ROUNDUP(Y276/H276,0)*0.00502),"")</f>
        <v>3.5140000000000005E-2</v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13.509999999999998</v>
      </c>
      <c r="BN276" s="78">
        <f t="shared" si="45"/>
        <v>13.509999999999998</v>
      </c>
      <c r="BO276" s="78">
        <f t="shared" si="46"/>
        <v>2.9914529914529919E-2</v>
      </c>
      <c r="BP276" s="78">
        <f t="shared" si="47"/>
        <v>2.9914529914529919E-2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12.6</v>
      </c>
      <c r="Y277" s="55">
        <f t="shared" si="43"/>
        <v>12.6</v>
      </c>
      <c r="Z277" s="41">
        <f>IFERROR(IF(Y277=0,"",ROUNDUP(Y277/H277,0)*0.00502),"")</f>
        <v>3.5140000000000005E-2</v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13.299999999999999</v>
      </c>
      <c r="BN277" s="78">
        <f t="shared" si="45"/>
        <v>13.299999999999999</v>
      </c>
      <c r="BO277" s="78">
        <f t="shared" si="46"/>
        <v>2.9914529914529919E-2</v>
      </c>
      <c r="BP277" s="78">
        <f t="shared" si="47"/>
        <v>2.9914529914529919E-2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12.6</v>
      </c>
      <c r="Y278" s="55">
        <f t="shared" si="43"/>
        <v>12.6</v>
      </c>
      <c r="Z278" s="41">
        <f>IFERROR(IF(Y278=0,"",ROUNDUP(Y278/H278,0)*0.00502),"")</f>
        <v>3.5140000000000005E-2</v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13.299999999999999</v>
      </c>
      <c r="BN278" s="78">
        <f t="shared" si="45"/>
        <v>13.299999999999999</v>
      </c>
      <c r="BO278" s="78">
        <f t="shared" si="46"/>
        <v>2.9914529914529919E-2</v>
      </c>
      <c r="BP278" s="78">
        <f t="shared" si="47"/>
        <v>2.9914529914529919E-2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12.6</v>
      </c>
      <c r="Y279" s="55">
        <f t="shared" si="43"/>
        <v>12.6</v>
      </c>
      <c r="Z279" s="41">
        <f>IFERROR(IF(Y279=0,"",ROUNDUP(Y279/H279,0)*0.00502),"")</f>
        <v>3.5140000000000005E-2</v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13.299999999999999</v>
      </c>
      <c r="BN279" s="78">
        <f t="shared" si="45"/>
        <v>13.299999999999999</v>
      </c>
      <c r="BO279" s="78">
        <f t="shared" si="46"/>
        <v>2.9914529914529919E-2</v>
      </c>
      <c r="BP279" s="78">
        <f t="shared" si="47"/>
        <v>2.9914529914529919E-2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48</v>
      </c>
      <c r="Y280" s="43">
        <f>IFERROR(Y272/H272,"0")+IFERROR(Y273/H273,"0")+IFERROR(Y274/H274,"0")+IFERROR(Y275/H275,"0")+IFERROR(Y276/H276,"0")+IFERROR(Y277/H277,"0")+IFERROR(Y278/H278,"0")+IFERROR(Y279/H279,"0")</f>
        <v>48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0.32096000000000002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158.39999999999998</v>
      </c>
      <c r="Y281" s="43">
        <f>IFERROR(SUM(Y272:Y279),"0")</f>
        <v>158.39999999999998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56.7</v>
      </c>
      <c r="Y283" s="55">
        <f t="shared" ref="Y283:Y294" si="48">IFERROR(IF(X283="",0,CEILING((X283/$H283),1)*$H283),"")</f>
        <v>56.699999999999996</v>
      </c>
      <c r="Z283" s="41">
        <f>IFERROR(IF(Y283=0,"",ROUNDUP(Y283/H283,0)*0.01898),"")</f>
        <v>0.13286000000000001</v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60.158000000000001</v>
      </c>
      <c r="BN283" s="78">
        <f t="shared" ref="BN283:BN294" si="50">IFERROR(Y283*I283/H283,"0")</f>
        <v>60.157999999999994</v>
      </c>
      <c r="BO283" s="78">
        <f t="shared" ref="BO283:BO294" si="51">IFERROR(1/J283*(X283/H283),"0")</f>
        <v>0.10937500000000001</v>
      </c>
      <c r="BP283" s="78">
        <f t="shared" ref="BP283:BP294" si="52">IFERROR(1/J283*(Y283/H283),"0")</f>
        <v>0.109375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56.7</v>
      </c>
      <c r="Y284" s="55">
        <f t="shared" si="48"/>
        <v>56.699999999999996</v>
      </c>
      <c r="Z284" s="41">
        <f>IFERROR(IF(Y284=0,"",ROUNDUP(Y284/H284,0)*0.01898),"")</f>
        <v>0.13286000000000001</v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60.032000000000011</v>
      </c>
      <c r="BN284" s="78">
        <f t="shared" si="50"/>
        <v>60.031999999999996</v>
      </c>
      <c r="BO284" s="78">
        <f t="shared" si="51"/>
        <v>0.10937500000000001</v>
      </c>
      <c r="BP284" s="78">
        <f t="shared" si="52"/>
        <v>0.109375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60.9</v>
      </c>
      <c r="Y285" s="55">
        <f t="shared" si="48"/>
        <v>60.899999999999991</v>
      </c>
      <c r="Z285" s="41">
        <f>IFERROR(IF(Y285=0,"",ROUNDUP(Y285/H285,0)*0.01898),"")</f>
        <v>0.13286000000000001</v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64.358000000000018</v>
      </c>
      <c r="BN285" s="78">
        <f t="shared" si="50"/>
        <v>64.358000000000004</v>
      </c>
      <c r="BO285" s="78">
        <f t="shared" si="51"/>
        <v>0.109375</v>
      </c>
      <c r="BP285" s="78">
        <f t="shared" si="52"/>
        <v>0.109375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4.8</v>
      </c>
      <c r="Y286" s="55">
        <f t="shared" si="48"/>
        <v>4.8</v>
      </c>
      <c r="Z286" s="41">
        <f>IFERROR(IF(Y286=0,"",ROUNDUP(Y286/H286,0)*0.00651),"")</f>
        <v>1.302E-2</v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5.34</v>
      </c>
      <c r="BN286" s="78">
        <f t="shared" si="50"/>
        <v>5.34</v>
      </c>
      <c r="BO286" s="78">
        <f t="shared" si="51"/>
        <v>1.098901098901099E-2</v>
      </c>
      <c r="BP286" s="78">
        <f t="shared" si="52"/>
        <v>1.098901098901099E-2</v>
      </c>
    </row>
    <row r="287" spans="1:68" ht="27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3.6</v>
      </c>
      <c r="Y287" s="55">
        <f t="shared" si="48"/>
        <v>3.6</v>
      </c>
      <c r="Z287" s="41">
        <f>IFERROR(IF(Y287=0,"",ROUNDUP(Y287/H287,0)*0.00651),"")</f>
        <v>1.302E-2</v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4.1040000000000001</v>
      </c>
      <c r="BN287" s="78">
        <f t="shared" si="50"/>
        <v>4.1040000000000001</v>
      </c>
      <c r="BO287" s="78">
        <f t="shared" si="51"/>
        <v>1.098901098901099E-2</v>
      </c>
      <c r="BP287" s="78">
        <f t="shared" si="52"/>
        <v>1.098901098901099E-2</v>
      </c>
    </row>
    <row r="288" spans="1:68" ht="27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3.6</v>
      </c>
      <c r="Y288" s="55">
        <f t="shared" si="48"/>
        <v>3.6</v>
      </c>
      <c r="Z288" s="41">
        <f>IFERROR(IF(Y288=0,"",ROUNDUP(Y288/H288,0)*0.00902),"")</f>
        <v>1.804E-2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4.1239999999999997</v>
      </c>
      <c r="BN288" s="78">
        <f t="shared" si="50"/>
        <v>4.1239999999999997</v>
      </c>
      <c r="BO288" s="78">
        <f t="shared" si="51"/>
        <v>1.5151515151515152E-2</v>
      </c>
      <c r="BP288" s="78">
        <f t="shared" si="52"/>
        <v>1.5151515151515152E-2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4.8</v>
      </c>
      <c r="Y291" s="55">
        <f t="shared" si="48"/>
        <v>4.8</v>
      </c>
      <c r="Z291" s="41">
        <f>IFERROR(IF(Y291=0,"",ROUNDUP(Y291/H291,0)*0.00651),"")</f>
        <v>1.302E-2</v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5.3040000000000003</v>
      </c>
      <c r="BN291" s="78">
        <f t="shared" si="50"/>
        <v>5.3040000000000003</v>
      </c>
      <c r="BO291" s="78">
        <f t="shared" si="51"/>
        <v>1.098901098901099E-2</v>
      </c>
      <c r="BP291" s="78">
        <f t="shared" si="52"/>
        <v>1.098901098901099E-2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4.8</v>
      </c>
      <c r="Y292" s="55">
        <f t="shared" si="48"/>
        <v>4.8</v>
      </c>
      <c r="Z292" s="41">
        <f>IFERROR(IF(Y292=0,"",ROUNDUP(Y292/H292,0)*0.00651),"")</f>
        <v>1.302E-2</v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5.3040000000000003</v>
      </c>
      <c r="BN292" s="78">
        <f t="shared" si="50"/>
        <v>5.3040000000000003</v>
      </c>
      <c r="BO292" s="78">
        <f t="shared" si="51"/>
        <v>1.098901098901099E-2</v>
      </c>
      <c r="BP292" s="78">
        <f t="shared" si="52"/>
        <v>1.098901098901099E-2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4.8</v>
      </c>
      <c r="Y293" s="55">
        <f t="shared" si="48"/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5.3159999999999998</v>
      </c>
      <c r="BN293" s="78">
        <f t="shared" si="50"/>
        <v>5.3159999999999998</v>
      </c>
      <c r="BO293" s="78">
        <f t="shared" si="51"/>
        <v>1.098901098901099E-2</v>
      </c>
      <c r="BP293" s="78">
        <f t="shared" si="52"/>
        <v>1.098901098901099E-2</v>
      </c>
    </row>
    <row r="294" spans="1:68" ht="27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4.8</v>
      </c>
      <c r="Y294" s="55">
        <f t="shared" si="48"/>
        <v>4.8</v>
      </c>
      <c r="Z294" s="41">
        <f>IFERROR(IF(Y294=0,"",ROUNDUP(Y294/H294,0)*0.00651),"")</f>
        <v>1.302E-2</v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5.3040000000000003</v>
      </c>
      <c r="BN294" s="78">
        <f t="shared" si="50"/>
        <v>5.3040000000000003</v>
      </c>
      <c r="BO294" s="78">
        <f t="shared" si="51"/>
        <v>1.098901098901099E-2</v>
      </c>
      <c r="BP294" s="78">
        <f t="shared" si="52"/>
        <v>1.098901098901099E-2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35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35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0.4947399999999999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205.50000000000006</v>
      </c>
      <c r="Y296" s="43">
        <f>IFERROR(SUM(Y283:Y294),"0")</f>
        <v>205.50000000000003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14.7</v>
      </c>
      <c r="Y345" s="55">
        <f>IFERROR(IF(X345="",0,CEILING((X345/$H345),1)*$H345),"")</f>
        <v>14.700000000000001</v>
      </c>
      <c r="Z345" s="41">
        <f>IFERROR(IF(Y345=0,"",ROUNDUP(Y345/H345,0)*0.00502),"")</f>
        <v>3.5140000000000005E-2</v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15.61</v>
      </c>
      <c r="BN345" s="78">
        <f>IFERROR(Y345*I345/H345,"0")</f>
        <v>15.61</v>
      </c>
      <c r="BO345" s="78">
        <f>IFERROR(1/J345*(X345/H345),"0")</f>
        <v>2.9914529914529912E-2</v>
      </c>
      <c r="BP345" s="78">
        <f>IFERROR(1/J345*(Y345/H345),"0")</f>
        <v>2.9914529914529919E-2</v>
      </c>
    </row>
    <row r="346" spans="1:68" ht="27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11.6</v>
      </c>
      <c r="Y346" s="55">
        <f>IFERROR(IF(X346="",0,CEILING((X346/$H346),1)*$H346),"")</f>
        <v>11.6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12.1</v>
      </c>
      <c r="BN346" s="78">
        <f>IFERROR(Y346*I346/H346,"0")</f>
        <v>12.1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ht="27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16.8</v>
      </c>
      <c r="Y347" s="55">
        <f>IFERROR(IF(X347="",0,CEILING((X347/$H347),1)*$H347),"")</f>
        <v>16.8</v>
      </c>
      <c r="Z347" s="41">
        <f>IFERROR(IF(Y347=0,"",ROUNDUP(Y347/H347,0)*0.00502),"")</f>
        <v>5.0200000000000002E-2</v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17.800000000000004</v>
      </c>
      <c r="BN347" s="78">
        <f>IFERROR(Y347*I347/H347,"0")</f>
        <v>17.800000000000004</v>
      </c>
      <c r="BO347" s="78">
        <f>IFERROR(1/J347*(X347/H347),"0")</f>
        <v>4.2735042735042736E-2</v>
      </c>
      <c r="BP347" s="78">
        <f>IFERROR(1/J347*(Y347/H347),"0")</f>
        <v>4.2735042735042736E-2</v>
      </c>
    </row>
    <row r="348" spans="1:68" ht="27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12</v>
      </c>
      <c r="Y348" s="55">
        <f>IFERROR(IF(X348="",0,CEILING((X348/$H348),1)*$H348),"")</f>
        <v>12</v>
      </c>
      <c r="Z348" s="41">
        <f>IFERROR(IF(Y348=0,"",ROUNDUP(Y348/H348,0)*0.00651),"")</f>
        <v>3.2550000000000003E-2</v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12.9</v>
      </c>
      <c r="BN348" s="78">
        <f>IFERROR(Y348*I348/H348,"0")</f>
        <v>12.9</v>
      </c>
      <c r="BO348" s="78">
        <f>IFERROR(1/J348*(X348/H348),"0")</f>
        <v>2.7472527472527476E-2</v>
      </c>
      <c r="BP348" s="78">
        <f>IFERROR(1/J348*(Y348/H348),"0")</f>
        <v>2.7472527472527476E-2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27</v>
      </c>
      <c r="Y350" s="43">
        <f>IFERROR(Y345/H345,"0")+IFERROR(Y346/H346,"0")+IFERROR(Y347/H347,"0")+IFERROR(Y348/H348,"0")+IFERROR(Y349/H349,"0")</f>
        <v>27</v>
      </c>
      <c r="Z350" s="43">
        <f>IFERROR(IF(Z345="",0,Z345),"0")+IFERROR(IF(Z346="",0,Z346),"0")+IFERROR(IF(Z347="",0,Z347),"0")+IFERROR(IF(Z348="",0,Z348),"0")+IFERROR(IF(Z349="",0,Z349),"0")</f>
        <v>0.14299000000000001</v>
      </c>
      <c r="AA350" s="67"/>
      <c r="AB350" s="67"/>
      <c r="AC350" s="67"/>
    </row>
    <row r="351" spans="1:68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55.099999999999994</v>
      </c>
      <c r="Y351" s="43">
        <f>IFERROR(SUM(Y345:Y349),"0")</f>
        <v>55.1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105</v>
      </c>
      <c r="Y375" s="55">
        <f t="shared" ref="Y375:Y381" si="63">IFERROR(IF(X375="",0,CEILING((X375/$H375),1)*$H375),"")</f>
        <v>105</v>
      </c>
      <c r="Z375" s="41">
        <f>IFERROR(IF(Y375=0,"",ROUNDUP(Y375/H375,0)*0.00902),"")</f>
        <v>0.22550000000000001</v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111.25</v>
      </c>
      <c r="BN375" s="78">
        <f t="shared" ref="BN375:BN381" si="65">IFERROR(Y375*I375/H375,"0")</f>
        <v>111.25</v>
      </c>
      <c r="BO375" s="78">
        <f t="shared" ref="BO375:BO381" si="66">IFERROR(1/J375*(X375/H375),"0")</f>
        <v>0.18939393939393939</v>
      </c>
      <c r="BP375" s="78">
        <f t="shared" ref="BP375:BP381" si="67">IFERROR(1/J375*(Y375/H375),"0")</f>
        <v>0.18939393939393939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42</v>
      </c>
      <c r="Y376" s="55">
        <f t="shared" si="63"/>
        <v>42</v>
      </c>
      <c r="Z376" s="41">
        <f>IFERROR(IF(Y376=0,"",ROUNDUP(Y376/H376,0)*0.00902),"")</f>
        <v>9.0200000000000002E-2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44.5</v>
      </c>
      <c r="BN376" s="78">
        <f t="shared" si="65"/>
        <v>44.5</v>
      </c>
      <c r="BO376" s="78">
        <f t="shared" si="66"/>
        <v>7.575757575757576E-2</v>
      </c>
      <c r="BP376" s="78">
        <f t="shared" si="67"/>
        <v>7.575757575757576E-2</v>
      </c>
    </row>
    <row r="377" spans="1:68" ht="27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21.9</v>
      </c>
      <c r="Y377" s="55">
        <f t="shared" si="63"/>
        <v>21.9</v>
      </c>
      <c r="Z377" s="41">
        <f>IFERROR(IF(Y377=0,"",ROUNDUP(Y377/H377,0)*0.00902),"")</f>
        <v>4.5100000000000001E-2</v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23.15</v>
      </c>
      <c r="BN377" s="78">
        <f t="shared" si="65"/>
        <v>23.15</v>
      </c>
      <c r="BO377" s="78">
        <f t="shared" si="66"/>
        <v>3.787878787878788E-2</v>
      </c>
      <c r="BP377" s="78">
        <f t="shared" si="67"/>
        <v>3.787878787878788E-2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21</v>
      </c>
      <c r="Y378" s="55">
        <f t="shared" si="63"/>
        <v>21</v>
      </c>
      <c r="Z378" s="41">
        <f>IFERROR(IF(Y378=0,"",ROUNDUP(Y378/H378,0)*0.00502),"")</f>
        <v>5.0200000000000002E-2</v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22.299999999999997</v>
      </c>
      <c r="BN378" s="78">
        <f t="shared" si="65"/>
        <v>22.299999999999997</v>
      </c>
      <c r="BO378" s="78">
        <f t="shared" si="66"/>
        <v>4.2735042735042736E-2</v>
      </c>
      <c r="BP378" s="78">
        <f t="shared" si="67"/>
        <v>4.2735042735042736E-2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14.7</v>
      </c>
      <c r="Y379" s="55">
        <f t="shared" si="63"/>
        <v>14.700000000000001</v>
      </c>
      <c r="Z379" s="41">
        <f>IFERROR(IF(Y379=0,"",ROUNDUP(Y379/H379,0)*0.00502),"")</f>
        <v>3.5140000000000005E-2</v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15.4</v>
      </c>
      <c r="BN379" s="78">
        <f t="shared" si="65"/>
        <v>15.4</v>
      </c>
      <c r="BO379" s="78">
        <f t="shared" si="66"/>
        <v>2.9914529914529912E-2</v>
      </c>
      <c r="BP379" s="78">
        <f t="shared" si="67"/>
        <v>2.9914529914529919E-2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57</v>
      </c>
      <c r="Y382" s="43">
        <f>IFERROR(Y375/H375,"0")+IFERROR(Y376/H376,"0")+IFERROR(Y377/H377,"0")+IFERROR(Y378/H378,"0")+IFERROR(Y379/H379,"0")+IFERROR(Y380/H380,"0")+IFERROR(Y381/H381,"0")</f>
        <v>57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0.44614000000000004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204.6</v>
      </c>
      <c r="Y383" s="43">
        <f>IFERROR(SUM(Y375:Y381),"0")</f>
        <v>204.6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1497.6</v>
      </c>
      <c r="Y385" s="55">
        <f>IFERROR(IF(X385="",0,CEILING((X385/$H385),1)*$H385),"")</f>
        <v>1497.6</v>
      </c>
      <c r="Z385" s="41">
        <f>IFERROR(IF(Y385=0,"",ROUNDUP(Y385/H385,0)*0.01898),"")</f>
        <v>3.6441600000000003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1591.296</v>
      </c>
      <c r="BN385" s="78">
        <f>IFERROR(Y385*I385/H385,"0")</f>
        <v>1591.296</v>
      </c>
      <c r="BO385" s="78">
        <f>IFERROR(1/J385*(X385/H385),"0")</f>
        <v>3</v>
      </c>
      <c r="BP385" s="78">
        <f>IFERROR(1/J385*(Y385/H385),"0")</f>
        <v>3</v>
      </c>
    </row>
    <row r="386" spans="1:68" ht="27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78</v>
      </c>
      <c r="Y386" s="55">
        <f>IFERROR(IF(X386="",0,CEILING((X386/$H386),1)*$H386),"")</f>
        <v>78</v>
      </c>
      <c r="Z386" s="41">
        <f>IFERROR(IF(Y386=0,"",ROUNDUP(Y386/H386,0)*0.01898),"")</f>
        <v>0.1898</v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82.94</v>
      </c>
      <c r="BN386" s="78">
        <f>IFERROR(Y386*I386/H386,"0")</f>
        <v>82.94</v>
      </c>
      <c r="BO386" s="78">
        <f>IFERROR(1/J386*(X386/H386),"0")</f>
        <v>0.15625</v>
      </c>
      <c r="BP386" s="78">
        <f>IFERROR(1/J386*(Y386/H386),"0")</f>
        <v>0.15625</v>
      </c>
    </row>
    <row r="387" spans="1:68" ht="27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81</v>
      </c>
      <c r="Y387" s="55">
        <f>IFERROR(IF(X387="",0,CEILING((X387/$H387),1)*$H387),"")</f>
        <v>81</v>
      </c>
      <c r="Z387" s="41">
        <f>IFERROR(IF(Y387=0,"",ROUNDUP(Y387/H387,0)*0.01898),"")</f>
        <v>0.1898</v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85.76</v>
      </c>
      <c r="BN387" s="78">
        <f>IFERROR(Y387*I387/H387,"0")</f>
        <v>85.76</v>
      </c>
      <c r="BO387" s="78">
        <f>IFERROR(1/J387*(X387/H387),"0")</f>
        <v>0.15625</v>
      </c>
      <c r="BP387" s="78">
        <f>IFERROR(1/J387*(Y387/H387),"0")</f>
        <v>0.15625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30</v>
      </c>
      <c r="Y388" s="55">
        <f>IFERROR(IF(X388="",0,CEILING((X388/$H388),1)*$H388),"")</f>
        <v>30</v>
      </c>
      <c r="Z388" s="41">
        <f>IFERROR(IF(Y388=0,"",ROUNDUP(Y388/H388,0)*0.00651),"")</f>
        <v>6.5100000000000005E-2</v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32.46</v>
      </c>
      <c r="BN388" s="78">
        <f>IFERROR(Y388*I388/H388,"0")</f>
        <v>32.46</v>
      </c>
      <c r="BO388" s="78">
        <f>IFERROR(1/J388*(X388/H388),"0")</f>
        <v>5.4945054945054951E-2</v>
      </c>
      <c r="BP388" s="78">
        <f>IFERROR(1/J388*(Y388/H388),"0")</f>
        <v>5.4945054945054951E-2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222</v>
      </c>
      <c r="Y389" s="43">
        <f>IFERROR(Y385/H385,"0")+IFERROR(Y386/H386,"0")+IFERROR(Y387/H387,"0")+IFERROR(Y388/H388,"0")</f>
        <v>222</v>
      </c>
      <c r="Z389" s="43">
        <f>IFERROR(IF(Z385="",0,Z385),"0")+IFERROR(IF(Z386="",0,Z386),"0")+IFERROR(IF(Z387="",0,Z387),"0")+IFERROR(IF(Z388="",0,Z388),"0")</f>
        <v>4.0888600000000004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1686.6</v>
      </c>
      <c r="Y390" s="43">
        <f>IFERROR(SUM(Y385:Y388),"0")</f>
        <v>1686.6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58.8</v>
      </c>
      <c r="Y392" s="55">
        <f>IFERROR(IF(X392="",0,CEILING((X392/$H392),1)*$H392),"")</f>
        <v>58.800000000000004</v>
      </c>
      <c r="Z392" s="41">
        <f>IFERROR(IF(Y392=0,"",ROUNDUP(Y392/H392,0)*0.01898),"")</f>
        <v>0.13286000000000001</v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62.257999999999988</v>
      </c>
      <c r="BN392" s="78">
        <f>IFERROR(Y392*I392/H392,"0")</f>
        <v>62.258000000000003</v>
      </c>
      <c r="BO392" s="78">
        <f>IFERROR(1/J392*(X392/H392),"0")</f>
        <v>0.10937499999999999</v>
      </c>
      <c r="BP392" s="78">
        <f>IFERROR(1/J392*(Y392/H392),"0")</f>
        <v>0.109375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39</v>
      </c>
      <c r="Y393" s="55">
        <f>IFERROR(IF(X393="",0,CEILING((X393/$H393),1)*$H393),"")</f>
        <v>39</v>
      </c>
      <c r="Z393" s="41">
        <f>IFERROR(IF(Y393=0,"",ROUNDUP(Y393/H393,0)*0.01898),"")</f>
        <v>9.4899999999999998E-2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41.47</v>
      </c>
      <c r="BN393" s="78">
        <f>IFERROR(Y393*I393/H393,"0")</f>
        <v>41.47</v>
      </c>
      <c r="BO393" s="78">
        <f>IFERROR(1/J393*(X393/H393),"0")</f>
        <v>7.8125E-2</v>
      </c>
      <c r="BP393" s="78">
        <f>IFERROR(1/J393*(Y393/H393),"0")</f>
        <v>7.8125E-2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42</v>
      </c>
      <c r="Y394" s="55">
        <f>IFERROR(IF(X394="",0,CEILING((X394/$H394),1)*$H394),"")</f>
        <v>42</v>
      </c>
      <c r="Z394" s="41">
        <f>IFERROR(IF(Y394=0,"",ROUNDUP(Y394/H394,0)*0.01898),"")</f>
        <v>9.4899999999999998E-2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44.47</v>
      </c>
      <c r="BN394" s="78">
        <f>IFERROR(Y394*I394/H394,"0")</f>
        <v>44.47</v>
      </c>
      <c r="BO394" s="78">
        <f>IFERROR(1/J394*(X394/H394),"0")</f>
        <v>7.8125E-2</v>
      </c>
      <c r="BP394" s="78">
        <f>IFERROR(1/J394*(Y394/H394),"0")</f>
        <v>7.8125E-2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17</v>
      </c>
      <c r="Y395" s="43">
        <f>IFERROR(Y392/H392,"0")+IFERROR(Y393/H393,"0")+IFERROR(Y394/H394,"0")</f>
        <v>17</v>
      </c>
      <c r="Z395" s="43">
        <f>IFERROR(IF(Z392="",0,Z392),"0")+IFERROR(IF(Z393="",0,Z393),"0")+IFERROR(IF(Z394="",0,Z394),"0")</f>
        <v>0.32266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139.80000000000001</v>
      </c>
      <c r="Y396" s="43">
        <f>IFERROR(SUM(Y392:Y394),"0")</f>
        <v>139.80000000000001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121.5</v>
      </c>
      <c r="Y424" s="55">
        <f>IFERROR(IF(X424="",0,CEILING((X424/$H424),1)*$H424),"")</f>
        <v>121.5</v>
      </c>
      <c r="Z424" s="41">
        <f>IFERROR(IF(Y424=0,"",ROUNDUP(Y424/H424,0)*0.01898),"")</f>
        <v>0.28470000000000001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128.91</v>
      </c>
      <c r="BN424" s="78">
        <f>IFERROR(Y424*I424/H424,"0")</f>
        <v>128.91</v>
      </c>
      <c r="BO424" s="78">
        <f>IFERROR(1/J424*(X424/H424),"0")</f>
        <v>0.234375</v>
      </c>
      <c r="BP424" s="78">
        <f>IFERROR(1/J424*(Y424/H424),"0")</f>
        <v>0.234375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15</v>
      </c>
      <c r="Y427" s="43">
        <f>IFERROR(Y424/H424,"0")+IFERROR(Y425/H425,"0")+IFERROR(Y426/H426,"0")</f>
        <v>15</v>
      </c>
      <c r="Z427" s="43">
        <f>IFERROR(IF(Z424="",0,Z424),"0")+IFERROR(IF(Z425="",0,Z425),"0")+IFERROR(IF(Z426="",0,Z426),"0")</f>
        <v>0.28470000000000001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121.5</v>
      </c>
      <c r="Y428" s="43">
        <f>IFERROR(SUM(Y424:Y426),"0")</f>
        <v>121.5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720</v>
      </c>
      <c r="Y434" s="55">
        <f t="shared" si="68"/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742.56</v>
      </c>
      <c r="BN434" s="78">
        <f t="shared" si="70"/>
        <v>742.56</v>
      </c>
      <c r="BO434" s="78">
        <f t="shared" si="71"/>
        <v>1</v>
      </c>
      <c r="BP434" s="78">
        <f t="shared" si="72"/>
        <v>1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48</v>
      </c>
      <c r="Y440" s="43">
        <f>IFERROR(Y432/H432,"0")+IFERROR(Y433/H433,"0")+IFERROR(Y434/H434,"0")+IFERROR(Y435/H435,"0")+IFERROR(Y436/H436,"0")+IFERROR(Y437/H437,"0")+IFERROR(Y438/H438,"0")+IFERROR(Y439/H439,"0")</f>
        <v>48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1.044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720</v>
      </c>
      <c r="Y441" s="43">
        <f>IFERROR(SUM(Y432:Y439),"0")</f>
        <v>720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45</v>
      </c>
      <c r="Y449" s="55">
        <f>IFERROR(IF(X449="",0,CEILING((X449/$H449),1)*$H449),"")</f>
        <v>45</v>
      </c>
      <c r="Z449" s="41">
        <f>IFERROR(IF(Y449=0,"",ROUNDUP(Y449/H449,0)*0.01898),"")</f>
        <v>9.4899999999999998E-2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47.5</v>
      </c>
      <c r="BN449" s="78">
        <f>IFERROR(Y449*I449/H449,"0")</f>
        <v>47.5</v>
      </c>
      <c r="BO449" s="78">
        <f>IFERROR(1/J449*(X449/H449),"0")</f>
        <v>7.8125E-2</v>
      </c>
      <c r="BP449" s="78">
        <f>IFERROR(1/J449*(Y449/H449),"0")</f>
        <v>7.8125E-2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27</v>
      </c>
      <c r="Y450" s="55">
        <f>IFERROR(IF(X450="",0,CEILING((X450/$H450),1)*$H450),"")</f>
        <v>27</v>
      </c>
      <c r="Z450" s="41">
        <f>IFERROR(IF(Y450=0,"",ROUNDUP(Y450/H450,0)*0.01898),"")</f>
        <v>5.6940000000000004E-2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28.481999999999996</v>
      </c>
      <c r="BN450" s="78">
        <f>IFERROR(Y450*I450/H450,"0")</f>
        <v>28.481999999999996</v>
      </c>
      <c r="BO450" s="78">
        <f>IFERROR(1/J450*(X450/H450),"0")</f>
        <v>4.6875E-2</v>
      </c>
      <c r="BP450" s="78">
        <f>IFERROR(1/J450*(Y450/H450),"0")</f>
        <v>4.6875E-2</v>
      </c>
    </row>
    <row r="451" spans="1:68" ht="27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24</v>
      </c>
      <c r="Y451" s="55">
        <f>IFERROR(IF(X451="",0,CEILING((X451/$H451),1)*$H451),"")</f>
        <v>24</v>
      </c>
      <c r="Z451" s="41">
        <f>IFERROR(IF(Y451=0,"",ROUNDUP(Y451/H451,0)*0.01196),"")</f>
        <v>5.9799999999999999E-2</v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26.080000000000002</v>
      </c>
      <c r="BN451" s="78">
        <f>IFERROR(Y451*I451/H451,"0")</f>
        <v>26.080000000000002</v>
      </c>
      <c r="BO451" s="78">
        <f>IFERROR(1/J451*(X451/H451),"0")</f>
        <v>4.807692307692308E-2</v>
      </c>
      <c r="BP451" s="78">
        <f>IFERROR(1/J451*(Y451/H451),"0")</f>
        <v>4.807692307692308E-2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13</v>
      </c>
      <c r="Y452" s="43">
        <f>IFERROR(Y449/H449,"0")+IFERROR(Y450/H450,"0")+IFERROR(Y451/H451,"0")</f>
        <v>13</v>
      </c>
      <c r="Z452" s="43">
        <f>IFERROR(IF(Z449="",0,Z449),"0")+IFERROR(IF(Z450="",0,Z450),"0")+IFERROR(IF(Z451="",0,Z451),"0")</f>
        <v>0.21163999999999999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96</v>
      </c>
      <c r="Y453" s="43">
        <f>IFERROR(SUM(Y449:Y451),"0")</f>
        <v>96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18</v>
      </c>
      <c r="Y456" s="55">
        <f>IFERROR(IF(X456="",0,CEILING((X456/$H456),1)*$H456),"")</f>
        <v>18</v>
      </c>
      <c r="Z456" s="41">
        <f>IFERROR(IF(Y456=0,"",ROUNDUP(Y456/H456,0)*0.01898),"")</f>
        <v>3.7960000000000001E-2</v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18.988</v>
      </c>
      <c r="BN456" s="78">
        <f>IFERROR(Y456*I456/H456,"0")</f>
        <v>18.988</v>
      </c>
      <c r="BO456" s="78">
        <f>IFERROR(1/J456*(X456/H456),"0")</f>
        <v>3.125E-2</v>
      </c>
      <c r="BP456" s="78">
        <f>IFERROR(1/J456*(Y456/H456),"0")</f>
        <v>3.125E-2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2</v>
      </c>
      <c r="Y457" s="43">
        <f>IFERROR(Y455/H455,"0")+IFERROR(Y456/H456,"0")</f>
        <v>2</v>
      </c>
      <c r="Z457" s="43">
        <f>IFERROR(IF(Z455="",0,Z455),"0")+IFERROR(IF(Z456="",0,Z456),"0")</f>
        <v>3.7960000000000001E-2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18</v>
      </c>
      <c r="Y458" s="43">
        <f>IFERROR(SUM(Y455:Y456),"0")</f>
        <v>18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27</v>
      </c>
      <c r="Y470" s="55">
        <f>IFERROR(IF(X470="",0,CEILING((X470/$H470),1)*$H470),"")</f>
        <v>27</v>
      </c>
      <c r="Z470" s="41">
        <f>IFERROR(IF(Y470=0,"",ROUNDUP(Y470/H470,0)*0.01898),"")</f>
        <v>5.6940000000000004E-2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28.481999999999996</v>
      </c>
      <c r="BN470" s="78">
        <f>IFERROR(Y470*I470/H470,"0")</f>
        <v>28.481999999999996</v>
      </c>
      <c r="BO470" s="78">
        <f>IFERROR(1/J470*(X470/H470),"0")</f>
        <v>4.6875E-2</v>
      </c>
      <c r="BP470" s="78">
        <f>IFERROR(1/J470*(Y470/H470),"0")</f>
        <v>4.6875E-2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3</v>
      </c>
      <c r="Y473" s="43">
        <f>IFERROR(Y470/H470,"0")+IFERROR(Y471/H471,"0")+IFERROR(Y472/H472,"0")</f>
        <v>3</v>
      </c>
      <c r="Z473" s="43">
        <f>IFERROR(IF(Z470="",0,Z470),"0")+IFERROR(IF(Z471="",0,Z471),"0")+IFERROR(IF(Z472="",0,Z472),"0")</f>
        <v>5.6940000000000004E-2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27</v>
      </c>
      <c r="Y474" s="43">
        <f>IFERROR(SUM(Y470:Y472),"0")</f>
        <v>27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27</v>
      </c>
      <c r="Y478" s="55">
        <f t="shared" ref="Y478:Y483" si="73">IFERROR(IF(X478="",0,CEILING((X478/$H478),1)*$H478),"")</f>
        <v>27</v>
      </c>
      <c r="Z478" s="41">
        <f>IFERROR(IF(Y478=0,"",ROUNDUP(Y478/H478,0)*0.00902),"")</f>
        <v>4.5100000000000001E-2</v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27.95</v>
      </c>
      <c r="BN478" s="78">
        <f t="shared" ref="BN478:BN483" si="75">IFERROR(Y478*I478/H478,"0")</f>
        <v>27.95</v>
      </c>
      <c r="BO478" s="78">
        <f t="shared" ref="BO478:BO483" si="76">IFERROR(1/J478*(X478/H478),"0")</f>
        <v>3.787878787878788E-2</v>
      </c>
      <c r="BP478" s="78">
        <f t="shared" ref="BP478:BP483" si="77">IFERROR(1/J478*(Y478/H478),"0")</f>
        <v>3.787878787878788E-2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27</v>
      </c>
      <c r="Y479" s="55">
        <f t="shared" si="73"/>
        <v>27</v>
      </c>
      <c r="Z479" s="41">
        <f>IFERROR(IF(Y479=0,"",ROUNDUP(Y479/H479,0)*0.00902),"")</f>
        <v>4.5100000000000001E-2</v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27.95</v>
      </c>
      <c r="BN479" s="78">
        <f t="shared" si="75"/>
        <v>27.95</v>
      </c>
      <c r="BO479" s="78">
        <f t="shared" si="76"/>
        <v>3.787878787878788E-2</v>
      </c>
      <c r="BP479" s="78">
        <f t="shared" si="77"/>
        <v>3.787878787878788E-2</v>
      </c>
    </row>
    <row r="480" spans="1:68" ht="27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14.7</v>
      </c>
      <c r="Y480" s="55">
        <f t="shared" si="73"/>
        <v>14.700000000000001</v>
      </c>
      <c r="Z480" s="41">
        <f>IFERROR(IF(Y480=0,"",ROUNDUP(Y480/H480,0)*0.00502),"")</f>
        <v>3.5140000000000005E-2</v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15.61</v>
      </c>
      <c r="BN480" s="78">
        <f t="shared" si="75"/>
        <v>15.61</v>
      </c>
      <c r="BO480" s="78">
        <f t="shared" si="76"/>
        <v>2.9914529914529912E-2</v>
      </c>
      <c r="BP480" s="78">
        <f t="shared" si="77"/>
        <v>2.9914529914529919E-2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/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14.7</v>
      </c>
      <c r="Y482" s="55">
        <f t="shared" si="73"/>
        <v>14.700000000000001</v>
      </c>
      <c r="Z482" s="41">
        <f>IFERROR(IF(Y482=0,"",ROUNDUP(Y482/H482,0)*0.00502),"")</f>
        <v>3.5140000000000005E-2</v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15.61</v>
      </c>
      <c r="BN482" s="78">
        <f t="shared" si="75"/>
        <v>15.61</v>
      </c>
      <c r="BO482" s="78">
        <f t="shared" si="76"/>
        <v>2.9914529914529912E-2</v>
      </c>
      <c r="BP482" s="78">
        <f t="shared" si="77"/>
        <v>2.9914529914529919E-2</v>
      </c>
    </row>
    <row r="483" spans="1:68" ht="37.5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14.7</v>
      </c>
      <c r="Y483" s="55">
        <f t="shared" si="73"/>
        <v>14.700000000000001</v>
      </c>
      <c r="Z483" s="41">
        <f>IFERROR(IF(Y483=0,"",ROUNDUP(Y483/H483,0)*0.00502),"")</f>
        <v>3.5140000000000005E-2</v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15.61</v>
      </c>
      <c r="BN483" s="78">
        <f t="shared" si="75"/>
        <v>15.61</v>
      </c>
      <c r="BO483" s="78">
        <f t="shared" si="76"/>
        <v>2.9914529914529912E-2</v>
      </c>
      <c r="BP483" s="78">
        <f t="shared" si="77"/>
        <v>2.9914529914529919E-2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31</v>
      </c>
      <c r="Y484" s="43">
        <f>IFERROR(Y478/H478,"0")+IFERROR(Y479/H479,"0")+IFERROR(Y480/H480,"0")+IFERROR(Y481/H481,"0")+IFERROR(Y482/H482,"0")+IFERROR(Y483/H483,"0")</f>
        <v>31</v>
      </c>
      <c r="Z484" s="43">
        <f>IFERROR(IF(Z478="",0,Z478),"0")+IFERROR(IF(Z479="",0,Z479),"0")+IFERROR(IF(Z480="",0,Z480),"0")+IFERROR(IF(Z481="",0,Z481),"0")+IFERROR(IF(Z482="",0,Z482),"0")+IFERROR(IF(Z483="",0,Z483),"0")</f>
        <v>0.19562000000000002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98.100000000000009</v>
      </c>
      <c r="Y485" s="43">
        <f>IFERROR(SUM(Y478:Y483),"0")</f>
        <v>98.100000000000009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27</v>
      </c>
      <c r="Y497" s="55">
        <f>IFERROR(IF(X497="",0,CEILING((X497/$H497),1)*$H497),"")</f>
        <v>27</v>
      </c>
      <c r="Z497" s="41">
        <f>IFERROR(IF(Y497=0,"",ROUNDUP(Y497/H497,0)*0.00902),"")</f>
        <v>4.5100000000000001E-2</v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27.95</v>
      </c>
      <c r="BN497" s="78">
        <f>IFERROR(Y497*I497/H497,"0")</f>
        <v>27.95</v>
      </c>
      <c r="BO497" s="78">
        <f>IFERROR(1/J497*(X497/H497),"0")</f>
        <v>3.787878787878788E-2</v>
      </c>
      <c r="BP497" s="78">
        <f>IFERROR(1/J497*(Y497/H497),"0")</f>
        <v>3.787878787878788E-2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10.5</v>
      </c>
      <c r="Y499" s="55">
        <f>IFERROR(IF(X499="",0,CEILING((X499/$H499),1)*$H499),"")</f>
        <v>10.5</v>
      </c>
      <c r="Z499" s="41">
        <f>IFERROR(IF(Y499=0,"",ROUNDUP(Y499/H499,0)*0.00502),"")</f>
        <v>2.5100000000000001E-2</v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11.149999999999999</v>
      </c>
      <c r="BN499" s="78">
        <f>IFERROR(Y499*I499/H499,"0")</f>
        <v>11.149999999999999</v>
      </c>
      <c r="BO499" s="78">
        <f>IFERROR(1/J499*(X499/H499),"0")</f>
        <v>2.1367521367521368E-2</v>
      </c>
      <c r="BP499" s="78">
        <f>IFERROR(1/J499*(Y499/H499),"0")</f>
        <v>2.1367521367521368E-2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10</v>
      </c>
      <c r="Y500" s="43">
        <f>IFERROR(Y497/H497,"0")+IFERROR(Y498/H498,"0")+IFERROR(Y499/H499,"0")</f>
        <v>10</v>
      </c>
      <c r="Z500" s="43">
        <f>IFERROR(IF(Z497="",0,Z497),"0")+IFERROR(IF(Z498="",0,Z498),"0")+IFERROR(IF(Z499="",0,Z499),"0")</f>
        <v>7.0199999999999999E-2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37.5</v>
      </c>
      <c r="Y501" s="43">
        <f>IFERROR(SUM(Y497:Y499),"0")</f>
        <v>37.5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45</v>
      </c>
      <c r="Y547" s="55">
        <f>IFERROR(IF(X547="",0,CEILING((X547/$H547),1)*$H547),"")</f>
        <v>45</v>
      </c>
      <c r="Z547" s="41">
        <f>IFERROR(IF(Y547=0,"",ROUNDUP(Y547/H547,0)*0.01898),"")</f>
        <v>9.4899999999999998E-2</v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47.47</v>
      </c>
      <c r="BN547" s="78">
        <f>IFERROR(Y547*I547/H547,"0")</f>
        <v>47.47</v>
      </c>
      <c r="BO547" s="78">
        <f>IFERROR(1/J547*(X547/H547),"0")</f>
        <v>7.8125E-2</v>
      </c>
      <c r="BP547" s="78">
        <f>IFERROR(1/J547*(Y547/H547),"0")</f>
        <v>7.8125E-2</v>
      </c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5</v>
      </c>
      <c r="Y548" s="43">
        <f>IFERROR(Y547/H547,"0")</f>
        <v>5</v>
      </c>
      <c r="Z548" s="43">
        <f>IFERROR(IF(Z547="",0,Z547),"0")</f>
        <v>9.4899999999999998E-2</v>
      </c>
      <c r="AA548" s="67"/>
      <c r="AB548" s="67"/>
      <c r="AC548" s="67"/>
    </row>
    <row r="549" spans="1:68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45</v>
      </c>
      <c r="Y549" s="43">
        <f>IFERROR(SUM(Y547:Y547),"0")</f>
        <v>45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4296.3200000000006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4296.3200000000006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4531.4369999999981</v>
      </c>
      <c r="Y561" s="43">
        <f>IFERROR(SUM(BN22:BN557),"0")</f>
        <v>4531.4369999999981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8</v>
      </c>
      <c r="Y562" s="44">
        <f>ROUNDUP(SUM(BP22:BP557),0)</f>
        <v>8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4731.4369999999981</v>
      </c>
      <c r="Y563" s="43">
        <f>GrossWeightTotalR+PalletQtyTotalR*25</f>
        <v>4731.4369999999981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694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694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9.3773600000000012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108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40.5</v>
      </c>
      <c r="F570" s="52">
        <f>IFERROR(Y85*1,"0")+IFERROR(Y86*1,"0")+IFERROR(Y87*1,"0")+IFERROR(Y88*1,"0")+IFERROR(Y89*1,"0")+IFERROR(Y93*1,"0")+IFERROR(Y94*1,"0")+IFERROR(Y95*1,"0")+IFERROR(Y96*1,"0")+IFERROR(Y97*1,"0")+IFERROR(Y98*1,"0")</f>
        <v>84.96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113.4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133.56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202.79999999999995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363.90000000000003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55.1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2030.9999999999998</v>
      </c>
      <c r="U570" s="52">
        <f>IFERROR(Y418*1,"0")+IFERROR(Y419*1,"0")</f>
        <v>0</v>
      </c>
      <c r="V570" s="52">
        <f>IFERROR(Y424*1,"0")+IFERROR(Y425*1,"0")+IFERROR(Y426*1,"0")</f>
        <v>121.5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834</v>
      </c>
      <c r="X570" s="52">
        <f>IFERROR(Y461*1,"0")+IFERROR(Y462*1,"0")+IFERROR(Y466*1,"0")+IFERROR(Y470*1,"0")+IFERROR(Y471*1,"0")+IFERROR(Y472*1,"0")</f>
        <v>27</v>
      </c>
      <c r="Y570" s="52">
        <f>IFERROR(Y478*1,"0")+IFERROR(Y479*1,"0")+IFERROR(Y480*1,"0")+IFERROR(Y481*1,"0")+IFERROR(Y482*1,"0")+IFERROR(Y483*1,"0")+IFERROR(Y487*1,"0")+IFERROR(Y488*1,"0")</f>
        <v>98.100000000000009</v>
      </c>
      <c r="Z570" s="52">
        <f>IFERROR(Y493*1,"0")+IFERROR(Y497*1,"0")+IFERROR(Y498*1,"0")+IFERROR(Y499*1,"0")</f>
        <v>37.5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45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7,60"/>
        <filter val="1 686,60"/>
        <filter val="1,80"/>
        <filter val="10,00"/>
        <filter val="10,50"/>
        <filter val="105,00"/>
        <filter val="108,00"/>
        <filter val="11,60"/>
        <filter val="11,76"/>
        <filter val="12,00"/>
        <filter val="12,60"/>
        <filter val="121,50"/>
        <filter val="128,52"/>
        <filter val="13,00"/>
        <filter val="13,50"/>
        <filter val="139,80"/>
        <filter val="14,70"/>
        <filter val="15,00"/>
        <filter val="158,40"/>
        <filter val="16,80"/>
        <filter val="17,00"/>
        <filter val="17,50"/>
        <filter val="18,00"/>
        <filter val="193,20"/>
        <filter val="2,00"/>
        <filter val="204,60"/>
        <filter val="205,50"/>
        <filter val="21,00"/>
        <filter val="21,90"/>
        <filter val="222,00"/>
        <filter val="23,40"/>
        <filter val="24,00"/>
        <filter val="25,20"/>
        <filter val="27,00"/>
        <filter val="3,00"/>
        <filter val="3,60"/>
        <filter val="3,96"/>
        <filter val="30,00"/>
        <filter val="31,00"/>
        <filter val="32,40"/>
        <filter val="35,00"/>
        <filter val="37,50"/>
        <filter val="39,00"/>
        <filter val="4 296,32"/>
        <filter val="4 531,44"/>
        <filter val="4 731,44"/>
        <filter val="4,80"/>
        <filter val="42,00"/>
        <filter val="44,00"/>
        <filter val="45,00"/>
        <filter val="48,00"/>
        <filter val="5,00"/>
        <filter val="5,04"/>
        <filter val="55,10"/>
        <filter val="56,70"/>
        <filter val="57,00"/>
        <filter val="58,80"/>
        <filter val="60,90"/>
        <filter val="68,00"/>
        <filter val="694,00"/>
        <filter val="720,00"/>
        <filter val="78,00"/>
        <filter val="8"/>
        <filter val="81,00"/>
        <filter val="84,96"/>
        <filter val="9,60"/>
        <filter val="96,00"/>
        <filter val="98,1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