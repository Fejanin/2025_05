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3C88506-8068-468A-9F96-A48800DA508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P551" i="2" s="1"/>
  <c r="P551" i="2"/>
  <c r="X549" i="2"/>
  <c r="X548" i="2"/>
  <c r="BO547" i="2"/>
  <c r="BM547" i="2"/>
  <c r="Y547" i="2"/>
  <c r="Y548" i="2" s="1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Y540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BP527" i="2" s="1"/>
  <c r="P527" i="2"/>
  <c r="BO526" i="2"/>
  <c r="BM526" i="2"/>
  <c r="Y526" i="2"/>
  <c r="BN526" i="2" s="1"/>
  <c r="P526" i="2"/>
  <c r="BO525" i="2"/>
  <c r="BM525" i="2"/>
  <c r="Y525" i="2"/>
  <c r="P525" i="2"/>
  <c r="BO524" i="2"/>
  <c r="BM524" i="2"/>
  <c r="Y524" i="2"/>
  <c r="BN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BP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P505" i="2"/>
  <c r="X501" i="2"/>
  <c r="X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Z497" i="2" s="1"/>
  <c r="P497" i="2"/>
  <c r="X495" i="2"/>
  <c r="X494" i="2"/>
  <c r="BP493" i="2"/>
  <c r="BO493" i="2"/>
  <c r="BM493" i="2"/>
  <c r="Y493" i="2"/>
  <c r="Y495" i="2" s="1"/>
  <c r="P493" i="2"/>
  <c r="X490" i="2"/>
  <c r="X489" i="2"/>
  <c r="BO488" i="2"/>
  <c r="BM488" i="2"/>
  <c r="Y488" i="2"/>
  <c r="BN488" i="2" s="1"/>
  <c r="P488" i="2"/>
  <c r="BO487" i="2"/>
  <c r="BM487" i="2"/>
  <c r="Y487" i="2"/>
  <c r="Y489" i="2" s="1"/>
  <c r="P487" i="2"/>
  <c r="X485" i="2"/>
  <c r="X484" i="2"/>
  <c r="BO483" i="2"/>
  <c r="BM483" i="2"/>
  <c r="Y483" i="2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BN479" i="2" s="1"/>
  <c r="P479" i="2"/>
  <c r="BO478" i="2"/>
  <c r="BM478" i="2"/>
  <c r="Y478" i="2"/>
  <c r="P478" i="2"/>
  <c r="X474" i="2"/>
  <c r="X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N462" i="2" s="1"/>
  <c r="P462" i="2"/>
  <c r="BO461" i="2"/>
  <c r="BM461" i="2"/>
  <c r="Y461" i="2"/>
  <c r="BP461" i="2" s="1"/>
  <c r="P461" i="2"/>
  <c r="X458" i="2"/>
  <c r="X457" i="2"/>
  <c r="BO456" i="2"/>
  <c r="BM456" i="2"/>
  <c r="Y456" i="2"/>
  <c r="BN456" i="2" s="1"/>
  <c r="P456" i="2"/>
  <c r="BO455" i="2"/>
  <c r="BM455" i="2"/>
  <c r="Y455" i="2"/>
  <c r="Y458" i="2" s="1"/>
  <c r="P455" i="2"/>
  <c r="X453" i="2"/>
  <c r="X452" i="2"/>
  <c r="BO451" i="2"/>
  <c r="BM451" i="2"/>
  <c r="Y451" i="2"/>
  <c r="BP451" i="2" s="1"/>
  <c r="P451" i="2"/>
  <c r="BO450" i="2"/>
  <c r="BM450" i="2"/>
  <c r="Y450" i="2"/>
  <c r="Z450" i="2" s="1"/>
  <c r="P450" i="2"/>
  <c r="BO449" i="2"/>
  <c r="BM449" i="2"/>
  <c r="Y449" i="2"/>
  <c r="Z449" i="2" s="1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P433" i="2"/>
  <c r="BO432" i="2"/>
  <c r="BM432" i="2"/>
  <c r="Y432" i="2"/>
  <c r="BN432" i="2" s="1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P424" i="2"/>
  <c r="BO424" i="2"/>
  <c r="BM424" i="2"/>
  <c r="Z424" i="2"/>
  <c r="Y424" i="2"/>
  <c r="BN424" i="2" s="1"/>
  <c r="P424" i="2"/>
  <c r="X421" i="2"/>
  <c r="X420" i="2"/>
  <c r="BO419" i="2"/>
  <c r="BM419" i="2"/>
  <c r="Y419" i="2"/>
  <c r="BN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Z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P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Y396" i="2" s="1"/>
  <c r="P392" i="2"/>
  <c r="X390" i="2"/>
  <c r="X389" i="2"/>
  <c r="BO388" i="2"/>
  <c r="BM388" i="2"/>
  <c r="Y388" i="2"/>
  <c r="BP388" i="2" s="1"/>
  <c r="P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BN376" i="2" s="1"/>
  <c r="P376" i="2"/>
  <c r="BO375" i="2"/>
  <c r="BM375" i="2"/>
  <c r="Y375" i="2"/>
  <c r="BN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N340" i="2" s="1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BP331" i="2" s="1"/>
  <c r="P331" i="2"/>
  <c r="BO330" i="2"/>
  <c r="BM330" i="2"/>
  <c r="Y330" i="2"/>
  <c r="BN330" i="2" s="1"/>
  <c r="P330" i="2"/>
  <c r="BO329" i="2"/>
  <c r="BM329" i="2"/>
  <c r="Y329" i="2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Z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BN284" i="2" s="1"/>
  <c r="P284" i="2"/>
  <c r="BO283" i="2"/>
  <c r="BM283" i="2"/>
  <c r="Y283" i="2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59" i="2"/>
  <c r="Y258" i="2"/>
  <c r="X258" i="2"/>
  <c r="BP257" i="2"/>
  <c r="BO257" i="2"/>
  <c r="BN257" i="2"/>
  <c r="BM257" i="2"/>
  <c r="Z257" i="2"/>
  <c r="Z258" i="2" s="1"/>
  <c r="Y257" i="2"/>
  <c r="Y259" i="2" s="1"/>
  <c r="P257" i="2"/>
  <c r="X255" i="2"/>
  <c r="X254" i="2"/>
  <c r="BO253" i="2"/>
  <c r="BM253" i="2"/>
  <c r="Y253" i="2"/>
  <c r="BN253" i="2" s="1"/>
  <c r="P253" i="2"/>
  <c r="BO252" i="2"/>
  <c r="BM252" i="2"/>
  <c r="Y252" i="2"/>
  <c r="BN252" i="2" s="1"/>
  <c r="P252" i="2"/>
  <c r="BO251" i="2"/>
  <c r="BM251" i="2"/>
  <c r="Y251" i="2"/>
  <c r="Z251" i="2" s="1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BN243" i="2" s="1"/>
  <c r="P243" i="2"/>
  <c r="X241" i="2"/>
  <c r="X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N212" i="2" s="1"/>
  <c r="P212" i="2"/>
  <c r="BO211" i="2"/>
  <c r="BM211" i="2"/>
  <c r="Y211" i="2"/>
  <c r="BN211" i="2" s="1"/>
  <c r="P211" i="2"/>
  <c r="X207" i="2"/>
  <c r="X206" i="2"/>
  <c r="BO205" i="2"/>
  <c r="BM205" i="2"/>
  <c r="Y205" i="2"/>
  <c r="Z205" i="2" s="1"/>
  <c r="Z206" i="2" s="1"/>
  <c r="P205" i="2"/>
  <c r="X203" i="2"/>
  <c r="X202" i="2"/>
  <c r="BO201" i="2"/>
  <c r="BM201" i="2"/>
  <c r="Y201" i="2"/>
  <c r="Y202" i="2" s="1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P195" i="2"/>
  <c r="X193" i="2"/>
  <c r="X192" i="2"/>
  <c r="BO191" i="2"/>
  <c r="BM191" i="2"/>
  <c r="Y191" i="2"/>
  <c r="BN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P188" i="2"/>
  <c r="BO187" i="2"/>
  <c r="BM187" i="2"/>
  <c r="Y187" i="2"/>
  <c r="P187" i="2"/>
  <c r="BO186" i="2"/>
  <c r="BM186" i="2"/>
  <c r="Y186" i="2"/>
  <c r="BN186" i="2" s="1"/>
  <c r="BO185" i="2"/>
  <c r="BM185" i="2"/>
  <c r="Y185" i="2"/>
  <c r="P185" i="2"/>
  <c r="BO184" i="2"/>
  <c r="BM184" i="2"/>
  <c r="Y184" i="2"/>
  <c r="BP184" i="2" s="1"/>
  <c r="BO183" i="2"/>
  <c r="BM183" i="2"/>
  <c r="Y183" i="2"/>
  <c r="BN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X178" i="2"/>
  <c r="X177" i="2"/>
  <c r="BO176" i="2"/>
  <c r="BM176" i="2"/>
  <c r="Y176" i="2"/>
  <c r="Z176" i="2" s="1"/>
  <c r="P176" i="2"/>
  <c r="BO175" i="2"/>
  <c r="BM175" i="2"/>
  <c r="Y175" i="2"/>
  <c r="Z175" i="2" s="1"/>
  <c r="Z177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Y173" i="2" s="1"/>
  <c r="P169" i="2"/>
  <c r="X166" i="2"/>
  <c r="X165" i="2"/>
  <c r="BO164" i="2"/>
  <c r="BM164" i="2"/>
  <c r="Y164" i="2"/>
  <c r="BN164" i="2" s="1"/>
  <c r="P164" i="2"/>
  <c r="X162" i="2"/>
  <c r="X161" i="2"/>
  <c r="BO160" i="2"/>
  <c r="BM160" i="2"/>
  <c r="Y160" i="2"/>
  <c r="BN160" i="2" s="1"/>
  <c r="P160" i="2"/>
  <c r="BO159" i="2"/>
  <c r="BM159" i="2"/>
  <c r="Y159" i="2"/>
  <c r="BN159" i="2" s="1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BN156" i="2" s="1"/>
  <c r="P156" i="2"/>
  <c r="BO155" i="2"/>
  <c r="BM155" i="2"/>
  <c r="Y155" i="2"/>
  <c r="BN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BN138" i="2" s="1"/>
  <c r="P138" i="2"/>
  <c r="X135" i="2"/>
  <c r="X134" i="2"/>
  <c r="BO133" i="2"/>
  <c r="BM133" i="2"/>
  <c r="Y133" i="2"/>
  <c r="BN133" i="2" s="1"/>
  <c r="BO132" i="2"/>
  <c r="BM132" i="2"/>
  <c r="Y132" i="2"/>
  <c r="BN132" i="2" s="1"/>
  <c r="P132" i="2"/>
  <c r="X130" i="2"/>
  <c r="X129" i="2"/>
  <c r="BO128" i="2"/>
  <c r="BM128" i="2"/>
  <c r="Y128" i="2"/>
  <c r="BN128" i="2" s="1"/>
  <c r="BO127" i="2"/>
  <c r="BM127" i="2"/>
  <c r="Y127" i="2"/>
  <c r="BN127" i="2" s="1"/>
  <c r="P127" i="2"/>
  <c r="BO126" i="2"/>
  <c r="BM126" i="2"/>
  <c r="Y126" i="2"/>
  <c r="BO125" i="2"/>
  <c r="BM125" i="2"/>
  <c r="Y125" i="2"/>
  <c r="Z125" i="2" s="1"/>
  <c r="P125" i="2"/>
  <c r="BO124" i="2"/>
  <c r="BM124" i="2"/>
  <c r="Y124" i="2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N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Z110" i="2" s="1"/>
  <c r="P110" i="2"/>
  <c r="BO109" i="2"/>
  <c r="BM109" i="2"/>
  <c r="Y109" i="2"/>
  <c r="BN109" i="2" s="1"/>
  <c r="BO108" i="2"/>
  <c r="BM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P104" i="2"/>
  <c r="BO103" i="2"/>
  <c r="BM103" i="2"/>
  <c r="Y103" i="2"/>
  <c r="BP103" i="2" s="1"/>
  <c r="P103" i="2"/>
  <c r="X100" i="2"/>
  <c r="X99" i="2"/>
  <c r="BP98" i="2"/>
  <c r="BO98" i="2"/>
  <c r="BM98" i="2"/>
  <c r="Y98" i="2"/>
  <c r="BN98" i="2" s="1"/>
  <c r="P98" i="2"/>
  <c r="BO97" i="2"/>
  <c r="BM97" i="2"/>
  <c r="Y97" i="2"/>
  <c r="BN97" i="2" s="1"/>
  <c r="BO96" i="2"/>
  <c r="BM96" i="2"/>
  <c r="Y96" i="2"/>
  <c r="Z96" i="2" s="1"/>
  <c r="P96" i="2"/>
  <c r="BO95" i="2"/>
  <c r="BM95" i="2"/>
  <c r="Y95" i="2"/>
  <c r="Z95" i="2" s="1"/>
  <c r="P95" i="2"/>
  <c r="BO94" i="2"/>
  <c r="BM94" i="2"/>
  <c r="Y94" i="2"/>
  <c r="BN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Z87" i="2" s="1"/>
  <c r="BO86" i="2"/>
  <c r="BM86" i="2"/>
  <c r="Y86" i="2"/>
  <c r="BN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P27" i="2"/>
  <c r="BO27" i="2"/>
  <c r="BM27" i="2"/>
  <c r="Y27" i="2"/>
  <c r="BN27" i="2" s="1"/>
  <c r="P27" i="2"/>
  <c r="X25" i="2"/>
  <c r="X24" i="2"/>
  <c r="X564" i="2" s="1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Z138" i="2" l="1"/>
  <c r="BP138" i="2"/>
  <c r="Z276" i="2"/>
  <c r="X561" i="2"/>
  <c r="BP226" i="2"/>
  <c r="BP79" i="2"/>
  <c r="F570" i="2"/>
  <c r="BP375" i="2"/>
  <c r="AA570" i="2"/>
  <c r="Z57" i="2"/>
  <c r="BN57" i="2"/>
  <c r="Z191" i="2"/>
  <c r="Z236" i="2"/>
  <c r="BN236" i="2"/>
  <c r="Z244" i="2"/>
  <c r="BN244" i="2"/>
  <c r="Z288" i="2"/>
  <c r="BN288" i="2"/>
  <c r="Z388" i="2"/>
  <c r="BN388" i="2"/>
  <c r="Z470" i="2"/>
  <c r="BN470" i="2"/>
  <c r="Z480" i="2"/>
  <c r="Z524" i="2"/>
  <c r="Z40" i="2"/>
  <c r="Z67" i="2"/>
  <c r="BN67" i="2"/>
  <c r="Z108" i="2"/>
  <c r="BP114" i="2"/>
  <c r="Z155" i="2"/>
  <c r="Y177" i="2"/>
  <c r="Z214" i="2"/>
  <c r="BN214" i="2"/>
  <c r="Z233" i="2"/>
  <c r="Z284" i="2"/>
  <c r="Z304" i="2"/>
  <c r="Z310" i="2"/>
  <c r="BP345" i="2"/>
  <c r="Z387" i="2"/>
  <c r="Z394" i="2"/>
  <c r="Y427" i="2"/>
  <c r="BP435" i="2"/>
  <c r="Z481" i="2"/>
  <c r="BN481" i="2"/>
  <c r="Z513" i="2"/>
  <c r="BP418" i="2"/>
  <c r="BN72" i="2"/>
  <c r="BN87" i="2"/>
  <c r="BP104" i="2"/>
  <c r="BN104" i="2"/>
  <c r="BP117" i="2"/>
  <c r="BN117" i="2"/>
  <c r="Z117" i="2"/>
  <c r="BN126" i="2"/>
  <c r="BP126" i="2"/>
  <c r="X562" i="2"/>
  <c r="X563" i="2" s="1"/>
  <c r="X560" i="2"/>
  <c r="Z31" i="2"/>
  <c r="BN31" i="2"/>
  <c r="Z48" i="2"/>
  <c r="BN48" i="2"/>
  <c r="Z64" i="2"/>
  <c r="BN73" i="2"/>
  <c r="Z77" i="2"/>
  <c r="BN77" i="2"/>
  <c r="Z86" i="2"/>
  <c r="BN89" i="2"/>
  <c r="Z93" i="2"/>
  <c r="BN93" i="2"/>
  <c r="Z97" i="2"/>
  <c r="Z104" i="2"/>
  <c r="BN124" i="2"/>
  <c r="BP124" i="2"/>
  <c r="Y151" i="2"/>
  <c r="BP148" i="2"/>
  <c r="BN148" i="2"/>
  <c r="Z148" i="2"/>
  <c r="BP160" i="2"/>
  <c r="BN181" i="2"/>
  <c r="Y203" i="2"/>
  <c r="BN215" i="2"/>
  <c r="BN246" i="2"/>
  <c r="BN267" i="2"/>
  <c r="Y270" i="2"/>
  <c r="BP277" i="2"/>
  <c r="BN292" i="2"/>
  <c r="BN308" i="2"/>
  <c r="BN333" i="2"/>
  <c r="BN361" i="2"/>
  <c r="BP367" i="2"/>
  <c r="BN368" i="2"/>
  <c r="BN370" i="2"/>
  <c r="BP392" i="2"/>
  <c r="Y395" i="2"/>
  <c r="BN405" i="2"/>
  <c r="BN412" i="2"/>
  <c r="BN426" i="2"/>
  <c r="BN436" i="2"/>
  <c r="BP456" i="2"/>
  <c r="BN482" i="2"/>
  <c r="BP505" i="2"/>
  <c r="BN510" i="2"/>
  <c r="BP526" i="2"/>
  <c r="Y541" i="2"/>
  <c r="BN552" i="2"/>
  <c r="BP156" i="2"/>
  <c r="Z160" i="2"/>
  <c r="BN176" i="2"/>
  <c r="BN189" i="2"/>
  <c r="BP201" i="2"/>
  <c r="BP211" i="2"/>
  <c r="Z229" i="2"/>
  <c r="BN229" i="2"/>
  <c r="Z234" i="2"/>
  <c r="BN234" i="2"/>
  <c r="Y255" i="2"/>
  <c r="BP252" i="2"/>
  <c r="BN263" i="2"/>
  <c r="Z273" i="2"/>
  <c r="Y280" i="2"/>
  <c r="Z277" i="2"/>
  <c r="Z279" i="2"/>
  <c r="BN279" i="2"/>
  <c r="BP285" i="2"/>
  <c r="BN294" i="2"/>
  <c r="BP306" i="2"/>
  <c r="Z331" i="2"/>
  <c r="BN331" i="2"/>
  <c r="BN332" i="2"/>
  <c r="BP340" i="2"/>
  <c r="Z346" i="2"/>
  <c r="BN346" i="2"/>
  <c r="BN348" i="2"/>
  <c r="Z353" i="2"/>
  <c r="Z355" i="2" s="1"/>
  <c r="BN359" i="2"/>
  <c r="Y362" i="2"/>
  <c r="Z367" i="2"/>
  <c r="BN369" i="2"/>
  <c r="Z376" i="2"/>
  <c r="BN377" i="2"/>
  <c r="Z379" i="2"/>
  <c r="BP387" i="2"/>
  <c r="Z392" i="2"/>
  <c r="Z393" i="2"/>
  <c r="Z395" i="2" s="1"/>
  <c r="BN400" i="2"/>
  <c r="BN406" i="2"/>
  <c r="Z419" i="2"/>
  <c r="BN438" i="2"/>
  <c r="Z443" i="2"/>
  <c r="BN450" i="2"/>
  <c r="Z456" i="2"/>
  <c r="Z461" i="2"/>
  <c r="BN461" i="2"/>
  <c r="BP480" i="2"/>
  <c r="BN498" i="2"/>
  <c r="Z505" i="2"/>
  <c r="Z506" i="2"/>
  <c r="BN506" i="2"/>
  <c r="BN507" i="2"/>
  <c r="Z517" i="2"/>
  <c r="BN517" i="2"/>
  <c r="BN518" i="2"/>
  <c r="BP523" i="2"/>
  <c r="Z526" i="2"/>
  <c r="Z527" i="2"/>
  <c r="BN527" i="2"/>
  <c r="Z539" i="2"/>
  <c r="Z540" i="2" s="1"/>
  <c r="BP547" i="2"/>
  <c r="A10" i="2"/>
  <c r="BP29" i="2"/>
  <c r="Y32" i="2"/>
  <c r="BP38" i="2"/>
  <c r="BP50" i="2"/>
  <c r="BP71" i="2"/>
  <c r="BP133" i="2"/>
  <c r="BN157" i="2"/>
  <c r="BP157" i="2"/>
  <c r="BP183" i="2"/>
  <c r="BN187" i="2"/>
  <c r="BP187" i="2"/>
  <c r="BN188" i="2"/>
  <c r="Z188" i="2"/>
  <c r="BP213" i="2"/>
  <c r="BN227" i="2"/>
  <c r="BP227" i="2"/>
  <c r="Z227" i="2"/>
  <c r="BN283" i="2"/>
  <c r="Z283" i="2"/>
  <c r="BN349" i="2"/>
  <c r="Z349" i="2"/>
  <c r="BN378" i="2"/>
  <c r="BP378" i="2"/>
  <c r="Z378" i="2"/>
  <c r="BP411" i="2"/>
  <c r="BN411" i="2"/>
  <c r="Z411" i="2"/>
  <c r="BP466" i="2"/>
  <c r="Y467" i="2"/>
  <c r="Z466" i="2"/>
  <c r="Z467" i="2" s="1"/>
  <c r="H9" i="2"/>
  <c r="BP22" i="2"/>
  <c r="BN30" i="2"/>
  <c r="Z38" i="2"/>
  <c r="BP39" i="2"/>
  <c r="BP41" i="2"/>
  <c r="Y52" i="2"/>
  <c r="Z50" i="2"/>
  <c r="Z59" i="2"/>
  <c r="BP59" i="2"/>
  <c r="BP66" i="2"/>
  <c r="BN78" i="2"/>
  <c r="BP86" i="2"/>
  <c r="BP89" i="2"/>
  <c r="Y99" i="2"/>
  <c r="BP97" i="2"/>
  <c r="BN106" i="2"/>
  <c r="BP108" i="2"/>
  <c r="BP109" i="2"/>
  <c r="Z116" i="2"/>
  <c r="BP116" i="2"/>
  <c r="BN118" i="2"/>
  <c r="Y119" i="2"/>
  <c r="Z123" i="2"/>
  <c r="BP123" i="2"/>
  <c r="Z127" i="2"/>
  <c r="BP127" i="2"/>
  <c r="Z133" i="2"/>
  <c r="Y140" i="2"/>
  <c r="Y141" i="2"/>
  <c r="BN143" i="2"/>
  <c r="BN149" i="2"/>
  <c r="Y150" i="2"/>
  <c r="BP155" i="2"/>
  <c r="Z157" i="2"/>
  <c r="BP158" i="2"/>
  <c r="Z158" i="2"/>
  <c r="BN180" i="2"/>
  <c r="Y192" i="2"/>
  <c r="Z180" i="2"/>
  <c r="Z183" i="2"/>
  <c r="Z213" i="2"/>
  <c r="BP216" i="2"/>
  <c r="Y223" i="2"/>
  <c r="BP222" i="2"/>
  <c r="BN237" i="2"/>
  <c r="BP237" i="2"/>
  <c r="BP322" i="2"/>
  <c r="BN322" i="2"/>
  <c r="Z322" i="2"/>
  <c r="BN399" i="2"/>
  <c r="BP399" i="2"/>
  <c r="BN445" i="2"/>
  <c r="BP445" i="2"/>
  <c r="Y468" i="2"/>
  <c r="BP471" i="2"/>
  <c r="BN471" i="2"/>
  <c r="Z471" i="2"/>
  <c r="Z473" i="2" s="1"/>
  <c r="BP483" i="2"/>
  <c r="BN483" i="2"/>
  <c r="Z483" i="2"/>
  <c r="J9" i="2"/>
  <c r="BP28" i="2"/>
  <c r="BN29" i="2"/>
  <c r="Y33" i="2"/>
  <c r="BN71" i="2"/>
  <c r="BP87" i="2"/>
  <c r="BN88" i="2"/>
  <c r="G570" i="2"/>
  <c r="BP115" i="2"/>
  <c r="BP128" i="2"/>
  <c r="Y134" i="2"/>
  <c r="BN144" i="2"/>
  <c r="BP159" i="2"/>
  <c r="BP190" i="2"/>
  <c r="Z190" i="2"/>
  <c r="BN286" i="2"/>
  <c r="Z286" i="2"/>
  <c r="BN289" i="2"/>
  <c r="BP289" i="2"/>
  <c r="Z289" i="2"/>
  <c r="Y300" i="2"/>
  <c r="BN305" i="2"/>
  <c r="Z305" i="2"/>
  <c r="BN309" i="2"/>
  <c r="BP309" i="2"/>
  <c r="Z309" i="2"/>
  <c r="BP407" i="2"/>
  <c r="Y408" i="2"/>
  <c r="Z407" i="2"/>
  <c r="BN439" i="2"/>
  <c r="Z439" i="2"/>
  <c r="BN455" i="2"/>
  <c r="Y457" i="2"/>
  <c r="BP455" i="2"/>
  <c r="Z455" i="2"/>
  <c r="Z457" i="2" s="1"/>
  <c r="BP499" i="2"/>
  <c r="BN499" i="2"/>
  <c r="BP508" i="2"/>
  <c r="BN508" i="2"/>
  <c r="Z508" i="2"/>
  <c r="BN525" i="2"/>
  <c r="BP525" i="2"/>
  <c r="Z525" i="2"/>
  <c r="BP528" i="2"/>
  <c r="Z528" i="2"/>
  <c r="Z28" i="2"/>
  <c r="Z30" i="2"/>
  <c r="BP40" i="2"/>
  <c r="BN41" i="2"/>
  <c r="BP56" i="2"/>
  <c r="BP73" i="2"/>
  <c r="Z78" i="2"/>
  <c r="BP85" i="2"/>
  <c r="Y100" i="2"/>
  <c r="BP94" i="2"/>
  <c r="Z106" i="2"/>
  <c r="Z115" i="2"/>
  <c r="Z118" i="2"/>
  <c r="Y120" i="2"/>
  <c r="Z128" i="2"/>
  <c r="Z132" i="2"/>
  <c r="Z134" i="2" s="1"/>
  <c r="BP132" i="2"/>
  <c r="Y135" i="2"/>
  <c r="Z149" i="2"/>
  <c r="Z159" i="2"/>
  <c r="BP182" i="2"/>
  <c r="Z182" i="2"/>
  <c r="BP188" i="2"/>
  <c r="BP191" i="2"/>
  <c r="BN197" i="2"/>
  <c r="BP197" i="2"/>
  <c r="BN232" i="2"/>
  <c r="BP232" i="2"/>
  <c r="Y248" i="2"/>
  <c r="BP247" i="2"/>
  <c r="BN268" i="2"/>
  <c r="BP268" i="2"/>
  <c r="Z268" i="2"/>
  <c r="Z269" i="2" s="1"/>
  <c r="BN275" i="2"/>
  <c r="BP275" i="2"/>
  <c r="BP299" i="2"/>
  <c r="BN299" i="2"/>
  <c r="Z299" i="2"/>
  <c r="BP318" i="2"/>
  <c r="Y319" i="2"/>
  <c r="Z318" i="2"/>
  <c r="Z319" i="2" s="1"/>
  <c r="BN329" i="2"/>
  <c r="Y334" i="2"/>
  <c r="BP329" i="2"/>
  <c r="Y335" i="2"/>
  <c r="BN339" i="2"/>
  <c r="Z339" i="2"/>
  <c r="BN385" i="2"/>
  <c r="BP385" i="2"/>
  <c r="BP433" i="2"/>
  <c r="Z433" i="2"/>
  <c r="Y570" i="2"/>
  <c r="BP478" i="2"/>
  <c r="Y484" i="2"/>
  <c r="BP511" i="2"/>
  <c r="BN511" i="2"/>
  <c r="BN551" i="2"/>
  <c r="Z551" i="2"/>
  <c r="BP233" i="2"/>
  <c r="BN235" i="2"/>
  <c r="BP239" i="2"/>
  <c r="BP243" i="2"/>
  <c r="BN245" i="2"/>
  <c r="BP262" i="2"/>
  <c r="BN272" i="2"/>
  <c r="BP276" i="2"/>
  <c r="BN278" i="2"/>
  <c r="BP284" i="2"/>
  <c r="BN287" i="2"/>
  <c r="Y301" i="2"/>
  <c r="Y311" i="2"/>
  <c r="BP330" i="2"/>
  <c r="T570" i="2"/>
  <c r="BP366" i="2"/>
  <c r="BP386" i="2"/>
  <c r="BP479" i="2"/>
  <c r="BP487" i="2"/>
  <c r="J570" i="2"/>
  <c r="BP171" i="2"/>
  <c r="BP186" i="2"/>
  <c r="Y198" i="2"/>
  <c r="BP196" i="2"/>
  <c r="BP212" i="2"/>
  <c r="BP231" i="2"/>
  <c r="Z243" i="2"/>
  <c r="Z246" i="2"/>
  <c r="BP253" i="2"/>
  <c r="BP267" i="2"/>
  <c r="BP274" i="2"/>
  <c r="Y281" i="2"/>
  <c r="Z298" i="2"/>
  <c r="Z300" i="2" s="1"/>
  <c r="BP298" i="2"/>
  <c r="Z308" i="2"/>
  <c r="BN310" i="2"/>
  <c r="Z314" i="2"/>
  <c r="Z315" i="2" s="1"/>
  <c r="Z330" i="2"/>
  <c r="Z333" i="2"/>
  <c r="Z348" i="2"/>
  <c r="Z366" i="2"/>
  <c r="Z369" i="2"/>
  <c r="Z377" i="2"/>
  <c r="BN379" i="2"/>
  <c r="Z386" i="2"/>
  <c r="BN392" i="2"/>
  <c r="Z400" i="2"/>
  <c r="BP419" i="2"/>
  <c r="Y428" i="2"/>
  <c r="Z426" i="2"/>
  <c r="Z438" i="2"/>
  <c r="X570" i="2"/>
  <c r="Z462" i="2"/>
  <c r="Z479" i="2"/>
  <c r="Z482" i="2"/>
  <c r="Z487" i="2"/>
  <c r="BP488" i="2"/>
  <c r="Z570" i="2"/>
  <c r="BP498" i="2"/>
  <c r="BN505" i="2"/>
  <c r="Z507" i="2"/>
  <c r="BP510" i="2"/>
  <c r="Z518" i="2"/>
  <c r="BP524" i="2"/>
  <c r="BP535" i="2"/>
  <c r="BP539" i="2"/>
  <c r="Y559" i="2"/>
  <c r="Z169" i="2"/>
  <c r="BP176" i="2"/>
  <c r="Y178" i="2"/>
  <c r="BP181" i="2"/>
  <c r="Z184" i="2"/>
  <c r="Y193" i="2"/>
  <c r="Z186" i="2"/>
  <c r="BP189" i="2"/>
  <c r="Z196" i="2"/>
  <c r="Z212" i="2"/>
  <c r="Z215" i="2"/>
  <c r="Z231" i="2"/>
  <c r="Z235" i="2"/>
  <c r="BN239" i="2"/>
  <c r="Z245" i="2"/>
  <c r="Y254" i="2"/>
  <c r="BP251" i="2"/>
  <c r="Z253" i="2"/>
  <c r="BN262" i="2"/>
  <c r="Z272" i="2"/>
  <c r="Z274" i="2"/>
  <c r="Z278" i="2"/>
  <c r="Z287" i="2"/>
  <c r="BP292" i="2"/>
  <c r="BN293" i="2"/>
  <c r="BP307" i="2"/>
  <c r="Y312" i="2"/>
  <c r="Z332" i="2"/>
  <c r="Y341" i="2"/>
  <c r="BP361" i="2"/>
  <c r="Y363" i="2"/>
  <c r="Z368" i="2"/>
  <c r="BP376" i="2"/>
  <c r="BN380" i="2"/>
  <c r="BP394" i="2"/>
  <c r="W570" i="2"/>
  <c r="Z436" i="2"/>
  <c r="BP450" i="2"/>
  <c r="BN451" i="2"/>
  <c r="BN512" i="2"/>
  <c r="Y514" i="2"/>
  <c r="Z107" i="2"/>
  <c r="Z164" i="2"/>
  <c r="Z165" i="2" s="1"/>
  <c r="Z195" i="2"/>
  <c r="Z230" i="2"/>
  <c r="BN170" i="2"/>
  <c r="BN354" i="2"/>
  <c r="BN398" i="2"/>
  <c r="Y409" i="2"/>
  <c r="BN434" i="2"/>
  <c r="BN444" i="2"/>
  <c r="Y515" i="2"/>
  <c r="Y553" i="2"/>
  <c r="K570" i="2"/>
  <c r="H570" i="2"/>
  <c r="Y43" i="2"/>
  <c r="BN55" i="2"/>
  <c r="Y68" i="2"/>
  <c r="Z47" i="2"/>
  <c r="BP49" i="2"/>
  <c r="Z58" i="2"/>
  <c r="BN80" i="2"/>
  <c r="Z105" i="2"/>
  <c r="BP107" i="2"/>
  <c r="BN110" i="2"/>
  <c r="BP122" i="2"/>
  <c r="BN125" i="2"/>
  <c r="Z139" i="2"/>
  <c r="Z140" i="2" s="1"/>
  <c r="BP154" i="2"/>
  <c r="BP164" i="2"/>
  <c r="BN175" i="2"/>
  <c r="BP195" i="2"/>
  <c r="BN205" i="2"/>
  <c r="BN217" i="2"/>
  <c r="Z228" i="2"/>
  <c r="BP230" i="2"/>
  <c r="BN238" i="2"/>
  <c r="Y249" i="2"/>
  <c r="Y264" i="2"/>
  <c r="BP273" i="2"/>
  <c r="BP283" i="2"/>
  <c r="BN291" i="2"/>
  <c r="BP304" i="2"/>
  <c r="BP314" i="2"/>
  <c r="BN324" i="2"/>
  <c r="BP338" i="2"/>
  <c r="Z347" i="2"/>
  <c r="BP349" i="2"/>
  <c r="BN360" i="2"/>
  <c r="BN371" i="2"/>
  <c r="BN381" i="2"/>
  <c r="BP393" i="2"/>
  <c r="Z401" i="2"/>
  <c r="BN413" i="2"/>
  <c r="Z425" i="2"/>
  <c r="Z437" i="2"/>
  <c r="BP439" i="2"/>
  <c r="BN449" i="2"/>
  <c r="Y452" i="2"/>
  <c r="BP462" i="2"/>
  <c r="BN472" i="2"/>
  <c r="Y485" i="2"/>
  <c r="BN497" i="2"/>
  <c r="Y500" i="2"/>
  <c r="BN509" i="2"/>
  <c r="BN519" i="2"/>
  <c r="BN529" i="2"/>
  <c r="BN543" i="2"/>
  <c r="L570" i="2"/>
  <c r="Z185" i="2"/>
  <c r="BN96" i="2"/>
  <c r="BN185" i="2"/>
  <c r="Y320" i="2"/>
  <c r="BN23" i="2"/>
  <c r="BP37" i="2"/>
  <c r="BP60" i="2"/>
  <c r="F9" i="2"/>
  <c r="BP55" i="2"/>
  <c r="BP65" i="2"/>
  <c r="Z94" i="2"/>
  <c r="BP96" i="2"/>
  <c r="Z144" i="2"/>
  <c r="BP170" i="2"/>
  <c r="BP185" i="2"/>
  <c r="Y199" i="2"/>
  <c r="Y224" i="2"/>
  <c r="Y269" i="2"/>
  <c r="Z294" i="2"/>
  <c r="Y342" i="2"/>
  <c r="BP354" i="2"/>
  <c r="BN366" i="2"/>
  <c r="Y389" i="2"/>
  <c r="BP398" i="2"/>
  <c r="Z406" i="2"/>
  <c r="Z432" i="2"/>
  <c r="BP434" i="2"/>
  <c r="BP444" i="2"/>
  <c r="Y490" i="2"/>
  <c r="Z512" i="2"/>
  <c r="Y537" i="2"/>
  <c r="Y549" i="2"/>
  <c r="M570" i="2"/>
  <c r="Z60" i="2"/>
  <c r="BN65" i="2"/>
  <c r="BP23" i="2"/>
  <c r="BN47" i="2"/>
  <c r="BN58" i="2"/>
  <c r="Y61" i="2"/>
  <c r="Y69" i="2"/>
  <c r="BP80" i="2"/>
  <c r="BN105" i="2"/>
  <c r="BP110" i="2"/>
  <c r="BP125" i="2"/>
  <c r="BN139" i="2"/>
  <c r="Y165" i="2"/>
  <c r="BP175" i="2"/>
  <c r="BP205" i="2"/>
  <c r="BP217" i="2"/>
  <c r="BN228" i="2"/>
  <c r="BP238" i="2"/>
  <c r="BP291" i="2"/>
  <c r="Y315" i="2"/>
  <c r="BP324" i="2"/>
  <c r="BN347" i="2"/>
  <c r="Y350" i="2"/>
  <c r="BP360" i="2"/>
  <c r="BP371" i="2"/>
  <c r="BP381" i="2"/>
  <c r="BN401" i="2"/>
  <c r="BP413" i="2"/>
  <c r="BN425" i="2"/>
  <c r="BN437" i="2"/>
  <c r="Y440" i="2"/>
  <c r="BP449" i="2"/>
  <c r="Y463" i="2"/>
  <c r="BP472" i="2"/>
  <c r="BP497" i="2"/>
  <c r="BP509" i="2"/>
  <c r="BP519" i="2"/>
  <c r="BP529" i="2"/>
  <c r="BP543" i="2"/>
  <c r="Y554" i="2"/>
  <c r="O570" i="2"/>
  <c r="Y241" i="2"/>
  <c r="Y265" i="2"/>
  <c r="Y355" i="2"/>
  <c r="Y453" i="2"/>
  <c r="Y501" i="2"/>
  <c r="P570" i="2"/>
  <c r="Z126" i="2"/>
  <c r="Z171" i="2"/>
  <c r="Z201" i="2"/>
  <c r="Z202" i="2" s="1"/>
  <c r="Y206" i="2"/>
  <c r="Y218" i="2"/>
  <c r="Z226" i="2"/>
  <c r="Y325" i="2"/>
  <c r="Z345" i="2"/>
  <c r="Y372" i="2"/>
  <c r="Y382" i="2"/>
  <c r="Y390" i="2"/>
  <c r="Z399" i="2"/>
  <c r="Y414" i="2"/>
  <c r="Z435" i="2"/>
  <c r="Z445" i="2"/>
  <c r="Y473" i="2"/>
  <c r="Z493" i="2"/>
  <c r="Z494" i="2" s="1"/>
  <c r="Y520" i="2"/>
  <c r="Y530" i="2"/>
  <c r="Y544" i="2"/>
  <c r="Q570" i="2"/>
  <c r="Y62" i="2"/>
  <c r="Y129" i="2"/>
  <c r="Y166" i="2"/>
  <c r="BN251" i="2"/>
  <c r="Y316" i="2"/>
  <c r="Y351" i="2"/>
  <c r="Y420" i="2"/>
  <c r="BP432" i="2"/>
  <c r="Y441" i="2"/>
  <c r="Y464" i="2"/>
  <c r="BN487" i="2"/>
  <c r="Z557" i="2"/>
  <c r="Z558" i="2" s="1"/>
  <c r="R570" i="2"/>
  <c r="Z37" i="2"/>
  <c r="Z154" i="2"/>
  <c r="Y24" i="2"/>
  <c r="BP47" i="2"/>
  <c r="Z56" i="2"/>
  <c r="Z66" i="2"/>
  <c r="Y81" i="2"/>
  <c r="Z103" i="2"/>
  <c r="Y111" i="2"/>
  <c r="BN103" i="2"/>
  <c r="BN201" i="2"/>
  <c r="Y356" i="2"/>
  <c r="Y402" i="2"/>
  <c r="BN493" i="2"/>
  <c r="BN539" i="2"/>
  <c r="S570" i="2"/>
  <c r="Z49" i="2"/>
  <c r="Z122" i="2"/>
  <c r="Y25" i="2"/>
  <c r="Y74" i="2"/>
  <c r="Y82" i="2"/>
  <c r="Y90" i="2"/>
  <c r="Y112" i="2"/>
  <c r="Y145" i="2"/>
  <c r="Y207" i="2"/>
  <c r="Y219" i="2"/>
  <c r="Y295" i="2"/>
  <c r="Y326" i="2"/>
  <c r="Y373" i="2"/>
  <c r="Y383" i="2"/>
  <c r="Y415" i="2"/>
  <c r="Y474" i="2"/>
  <c r="Y521" i="2"/>
  <c r="Y531" i="2"/>
  <c r="Y545" i="2"/>
  <c r="BN557" i="2"/>
  <c r="Y161" i="2"/>
  <c r="Y421" i="2"/>
  <c r="B570" i="2"/>
  <c r="U570" i="2"/>
  <c r="Z109" i="2"/>
  <c r="Z124" i="2"/>
  <c r="Z216" i="2"/>
  <c r="Z237" i="2"/>
  <c r="Z247" i="2"/>
  <c r="Z290" i="2"/>
  <c r="Z323" i="2"/>
  <c r="Z359" i="2"/>
  <c r="Z362" i="2" s="1"/>
  <c r="Z370" i="2"/>
  <c r="Z380" i="2"/>
  <c r="Y403" i="2"/>
  <c r="Z412" i="2"/>
  <c r="BP557" i="2"/>
  <c r="C570" i="2"/>
  <c r="V570" i="2"/>
  <c r="Y130" i="2"/>
  <c r="Z22" i="2"/>
  <c r="Z24" i="2" s="1"/>
  <c r="Y51" i="2"/>
  <c r="Z79" i="2"/>
  <c r="Z81" i="2" s="1"/>
  <c r="Z27" i="2"/>
  <c r="Z39" i="2"/>
  <c r="BN64" i="2"/>
  <c r="Y75" i="2"/>
  <c r="Z85" i="2"/>
  <c r="Y91" i="2"/>
  <c r="BN95" i="2"/>
  <c r="Z98" i="2"/>
  <c r="Z114" i="2"/>
  <c r="Y146" i="2"/>
  <c r="Z156" i="2"/>
  <c r="BN169" i="2"/>
  <c r="Y172" i="2"/>
  <c r="BN184" i="2"/>
  <c r="Z187" i="2"/>
  <c r="Z197" i="2"/>
  <c r="Z211" i="2"/>
  <c r="Z222" i="2"/>
  <c r="Z223" i="2" s="1"/>
  <c r="Z232" i="2"/>
  <c r="Z252" i="2"/>
  <c r="Z275" i="2"/>
  <c r="Z285" i="2"/>
  <c r="Y296" i="2"/>
  <c r="Z306" i="2"/>
  <c r="BN318" i="2"/>
  <c r="Z329" i="2"/>
  <c r="Z340" i="2"/>
  <c r="BN353" i="2"/>
  <c r="Z375" i="2"/>
  <c r="Z385" i="2"/>
  <c r="BN407" i="2"/>
  <c r="Z418" i="2"/>
  <c r="BN433" i="2"/>
  <c r="BN443" i="2"/>
  <c r="Y446" i="2"/>
  <c r="BN466" i="2"/>
  <c r="Z478" i="2"/>
  <c r="Z488" i="2"/>
  <c r="Z489" i="2" s="1"/>
  <c r="Y494" i="2"/>
  <c r="BN513" i="2"/>
  <c r="Z523" i="2"/>
  <c r="Z535" i="2"/>
  <c r="Z536" i="2" s="1"/>
  <c r="Z547" i="2"/>
  <c r="Z548" i="2" s="1"/>
  <c r="D570" i="2"/>
  <c r="BN528" i="2"/>
  <c r="Z552" i="2"/>
  <c r="Y558" i="2"/>
  <c r="E570" i="2"/>
  <c r="Y162" i="2"/>
  <c r="Y240" i="2"/>
  <c r="BN247" i="2"/>
  <c r="BN290" i="2"/>
  <c r="BN323" i="2"/>
  <c r="Y42" i="2"/>
  <c r="Z72" i="2"/>
  <c r="Z74" i="2" s="1"/>
  <c r="BN85" i="2"/>
  <c r="Z88" i="2"/>
  <c r="BP95" i="2"/>
  <c r="Z143" i="2"/>
  <c r="BP169" i="2"/>
  <c r="BN222" i="2"/>
  <c r="Z263" i="2"/>
  <c r="Z264" i="2" s="1"/>
  <c r="Z293" i="2"/>
  <c r="Z405" i="2"/>
  <c r="Z451" i="2"/>
  <c r="Z452" i="2" s="1"/>
  <c r="BN478" i="2"/>
  <c r="Z499" i="2"/>
  <c r="Z500" i="2" s="1"/>
  <c r="Z511" i="2"/>
  <c r="BN535" i="2"/>
  <c r="BN547" i="2"/>
  <c r="Y447" i="2"/>
  <c r="I570" i="2"/>
  <c r="AB570" i="2"/>
  <c r="BN195" i="2"/>
  <c r="BN338" i="2"/>
  <c r="Z520" i="2" l="1"/>
  <c r="Z463" i="2"/>
  <c r="Z172" i="2"/>
  <c r="Z427" i="2"/>
  <c r="Z145" i="2"/>
  <c r="Z530" i="2"/>
  <c r="Z484" i="2"/>
  <c r="Z382" i="2"/>
  <c r="Z341" i="2"/>
  <c r="Z280" i="2"/>
  <c r="Z192" i="2"/>
  <c r="Z119" i="2"/>
  <c r="Z32" i="2"/>
  <c r="Z414" i="2"/>
  <c r="Z68" i="2"/>
  <c r="Z402" i="2"/>
  <c r="Z350" i="2"/>
  <c r="Z514" i="2"/>
  <c r="Z553" i="2"/>
  <c r="Z420" i="2"/>
  <c r="Z389" i="2"/>
  <c r="Z334" i="2"/>
  <c r="Z311" i="2"/>
  <c r="Z295" i="2"/>
  <c r="Z254" i="2"/>
  <c r="Z372" i="2"/>
  <c r="Z325" i="2"/>
  <c r="Z248" i="2"/>
  <c r="Z61" i="2"/>
  <c r="Z446" i="2"/>
  <c r="Z150" i="2"/>
  <c r="Z42" i="2"/>
  <c r="Z99" i="2"/>
  <c r="Z218" i="2"/>
  <c r="Z90" i="2"/>
  <c r="Z440" i="2"/>
  <c r="Y562" i="2"/>
  <c r="Y561" i="2"/>
  <c r="Z161" i="2"/>
  <c r="Y564" i="2"/>
  <c r="Z198" i="2"/>
  <c r="Y560" i="2"/>
  <c r="Z129" i="2"/>
  <c r="Z51" i="2"/>
  <c r="Z408" i="2"/>
  <c r="Z111" i="2"/>
  <c r="Z240" i="2"/>
  <c r="Y563" i="2" l="1"/>
  <c r="Z565" i="2"/>
</calcChain>
</file>

<file path=xl/sharedStrings.xml><?xml version="1.0" encoding="utf-8"?>
<sst xmlns="http://schemas.openxmlformats.org/spreadsheetml/2006/main" count="4318" uniqueCount="905">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</sst>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19" sqref="AA41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904</v>
      </c>
      <c r="I5" s="1001"/>
      <c r="J5" s="1001"/>
      <c r="K5" s="1001"/>
      <c r="L5" s="1001"/>
      <c r="M5" s="1001"/>
      <c r="N5" s="72"/>
      <c r="P5" s="27" t="s">
        <v>4</v>
      </c>
      <c r="Q5" s="1003">
        <v>46270</v>
      </c>
      <c r="R5" s="1003"/>
      <c r="T5" s="1004" t="s">
        <v>3</v>
      </c>
      <c r="U5" s="1005"/>
      <c r="V5" s="1006" t="s">
        <v>880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887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Суббота</v>
      </c>
      <c r="R6" s="1009"/>
      <c r="T6" s="1010" t="s">
        <v>5</v>
      </c>
      <c r="U6" s="1011"/>
      <c r="V6" s="1012" t="s">
        <v>70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3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58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0.45833333333333331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55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72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73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74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75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61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59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66</v>
      </c>
      <c r="L17" s="955" t="s">
        <v>64</v>
      </c>
      <c r="M17" s="955" t="s">
        <v>2</v>
      </c>
      <c r="N17" s="955" t="s">
        <v>63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56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60</v>
      </c>
      <c r="AB17" s="961" t="s">
        <v>19</v>
      </c>
      <c r="AC17" s="961" t="s">
        <v>65</v>
      </c>
      <c r="AD17" s="963" t="s">
        <v>57</v>
      </c>
      <c r="AE17" s="964"/>
      <c r="AF17" s="965"/>
      <c r="AG17" s="82"/>
      <c r="BD17" s="81" t="s">
        <v>62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76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77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86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104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86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121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122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3" t="s">
        <v>137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122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155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4" t="s">
        <v>86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173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182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122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24" t="s">
        <v>190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86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5" t="s">
        <v>199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8" t="s">
        <v>205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63" t="s">
        <v>209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122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00" t="s">
        <v>223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4" t="s">
        <v>155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86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hidden="1" customHeight="1" x14ac:dyDescent="0.25">
      <c r="A122" s="63" t="s">
        <v>239</v>
      </c>
      <c r="B122" s="63" t="s">
        <v>240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894" t="s">
        <v>243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97" t="s">
        <v>249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99" t="s">
        <v>254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4" t="s">
        <v>173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890" t="s">
        <v>259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260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122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77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86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273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86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289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120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122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155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77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311</v>
      </c>
      <c r="B180" s="63" t="s">
        <v>312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60" t="s">
        <v>324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62" t="s">
        <v>330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4" t="s">
        <v>86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289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356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360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361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122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382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155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77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392</v>
      </c>
      <c r="B228" s="63" t="s">
        <v>393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86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289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446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449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122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155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77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460</v>
      </c>
      <c r="B272" s="63" t="s">
        <v>461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86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4" t="s">
        <v>173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517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122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155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539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356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550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122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566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86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575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77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86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596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122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605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122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612</v>
      </c>
      <c r="B368" s="63" t="s">
        <v>613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620</v>
      </c>
      <c r="B371" s="63" t="s">
        <v>621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77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623</v>
      </c>
      <c r="B375" s="63" t="s">
        <v>624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626</v>
      </c>
      <c r="B376" s="63" t="s">
        <v>627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632</v>
      </c>
      <c r="B378" s="63" t="s">
        <v>633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64" t="s">
        <v>86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651</v>
      </c>
      <c r="B388" s="63" t="s">
        <v>652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4" t="s">
        <v>173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653</v>
      </c>
      <c r="B392" s="63" t="s">
        <v>654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659</v>
      </c>
      <c r="B394" s="63" t="s">
        <v>660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64" t="s">
        <v>289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662</v>
      </c>
      <c r="B398" s="63" t="s">
        <v>663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671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672</v>
      </c>
      <c r="B405" s="63" t="s">
        <v>673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678</v>
      </c>
      <c r="B407" s="63" t="s">
        <v>679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680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681</v>
      </c>
      <c r="B411" s="63" t="s">
        <v>682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687</v>
      </c>
      <c r="B413" s="63" t="s">
        <v>688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689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86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customHeight="1" x14ac:dyDescent="0.25">
      <c r="A418" s="63" t="s">
        <v>690</v>
      </c>
      <c r="B418" s="63" t="s">
        <v>691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234</v>
      </c>
      <c r="Y418" s="55">
        <f>IFERROR(IF(X418="",0,CEILING((X418/$H418),1)*$H418),"")</f>
        <v>234</v>
      </c>
      <c r="Z418" s="41">
        <f>IFERROR(IF(Y418=0,"",ROUNDUP(Y418/H418,0)*0.01898),"")</f>
        <v>0.56940000000000002</v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246.3</v>
      </c>
      <c r="BN418" s="78">
        <f>IFERROR(Y418*I418/H418,"0")</f>
        <v>246.3</v>
      </c>
      <c r="BO418" s="78">
        <f>IFERROR(1/J418*(X418/H418),"0")</f>
        <v>0.46875</v>
      </c>
      <c r="BP418" s="78">
        <f>IFERROR(1/J418*(Y418/H418),"0")</f>
        <v>0.46875</v>
      </c>
    </row>
    <row r="419" spans="1:68" ht="16.5" customHeight="1" x14ac:dyDescent="0.25">
      <c r="A419" s="63" t="s">
        <v>693</v>
      </c>
      <c r="B419" s="63" t="s">
        <v>694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78</v>
      </c>
      <c r="Y419" s="55">
        <f>IFERROR(IF(X419="",0,CEILING((X419/$H419),1)*$H419),"")</f>
        <v>78</v>
      </c>
      <c r="Z419" s="41">
        <f>IFERROR(IF(Y419=0,"",ROUNDUP(Y419/H419,0)*0.01898),"")</f>
        <v>0.1898</v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82.100000000000023</v>
      </c>
      <c r="BN419" s="78">
        <f>IFERROR(Y419*I419/H419,"0")</f>
        <v>82.100000000000023</v>
      </c>
      <c r="BO419" s="78">
        <f>IFERROR(1/J419*(X419/H419),"0")</f>
        <v>0.15625</v>
      </c>
      <c r="BP419" s="78">
        <f>IFERROR(1/J419*(Y419/H419),"0")</f>
        <v>0.15625</v>
      </c>
    </row>
    <row r="420" spans="1:68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40</v>
      </c>
      <c r="Y420" s="43">
        <f>IFERROR(Y418/H418,"0")+IFERROR(Y419/H419,"0")</f>
        <v>40</v>
      </c>
      <c r="Z420" s="43">
        <f>IFERROR(IF(Z418="",0,Z418),"0")+IFERROR(IF(Z419="",0,Z419),"0")</f>
        <v>0.75919999999999999</v>
      </c>
      <c r="AA420" s="67"/>
      <c r="AB420" s="67"/>
      <c r="AC420" s="67"/>
    </row>
    <row r="421" spans="1:68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312</v>
      </c>
      <c r="Y421" s="43">
        <f>IFERROR(SUM(Y418:Y419),"0")</f>
        <v>312</v>
      </c>
      <c r="Z421" s="42"/>
      <c r="AA421" s="67"/>
      <c r="AB421" s="67"/>
      <c r="AC421" s="67"/>
    </row>
    <row r="422" spans="1:68" ht="16.5" hidden="1" customHeight="1" x14ac:dyDescent="0.25">
      <c r="A422" s="663" t="s">
        <v>696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86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hidden="1" customHeight="1" x14ac:dyDescent="0.25">
      <c r="A424" s="63" t="s">
        <v>697</v>
      </c>
      <c r="B424" s="63" t="s">
        <v>698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703</v>
      </c>
      <c r="B426" s="63" t="s">
        <v>704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8" t="s">
        <v>706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122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708</v>
      </c>
      <c r="B432" s="63" t="s">
        <v>709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hidden="1" customHeight="1" x14ac:dyDescent="0.25">
      <c r="A433" s="63" t="s">
        <v>711</v>
      </c>
      <c r="B433" s="63" t="s">
        <v>712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726</v>
      </c>
      <c r="B438" s="63" t="s">
        <v>727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729</v>
      </c>
      <c r="B439" s="63" t="s">
        <v>730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idden="1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0</v>
      </c>
      <c r="Y440" s="43">
        <f>IFERROR(Y432/H432,"0")+IFERROR(Y433/H433,"0")+IFERROR(Y434/H434,"0")+IFERROR(Y435/H435,"0")+IFERROR(Y436/H436,"0")+IFERROR(Y437/H437,"0")+IFERROR(Y438/H438,"0")+IFERROR(Y439/H439,"0")</f>
        <v>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0</v>
      </c>
      <c r="Y441" s="43">
        <f>IFERROR(SUM(Y432:Y439),"0")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64" t="s">
        <v>155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hidden="1" customHeight="1" x14ac:dyDescent="0.25">
      <c r="A443" s="63" t="s">
        <v>732</v>
      </c>
      <c r="B443" s="63" t="s">
        <v>733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738</v>
      </c>
      <c r="B445" s="63" t="s">
        <v>739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4" t="s">
        <v>86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741</v>
      </c>
      <c r="B449" s="63" t="s">
        <v>742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744</v>
      </c>
      <c r="B450" s="63" t="s">
        <v>745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747</v>
      </c>
      <c r="B451" s="63" t="s">
        <v>748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173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753</v>
      </c>
      <c r="B456" s="63" t="s">
        <v>754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756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122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757</v>
      </c>
      <c r="B461" s="63" t="s">
        <v>758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760</v>
      </c>
      <c r="B462" s="63" t="s">
        <v>761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77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762</v>
      </c>
      <c r="B466" s="63" t="s">
        <v>763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86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765</v>
      </c>
      <c r="B470" s="63" t="s">
        <v>766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768</v>
      </c>
      <c r="B471" s="63" t="s">
        <v>769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770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8" t="s">
        <v>772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773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77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774</v>
      </c>
      <c r="B478" s="63" t="s">
        <v>775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780</v>
      </c>
      <c r="B480" s="63" t="s">
        <v>781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788</v>
      </c>
      <c r="B483" s="63" t="s">
        <v>789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64" t="s">
        <v>86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793</v>
      </c>
      <c r="B488" s="63" t="s">
        <v>794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796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155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797</v>
      </c>
      <c r="B493" s="63" t="s">
        <v>798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77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800</v>
      </c>
      <c r="B497" s="63" t="s">
        <v>801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806</v>
      </c>
      <c r="B499" s="63" t="s">
        <v>807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808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808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122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809</v>
      </c>
      <c r="B505" s="63" t="s">
        <v>810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820</v>
      </c>
      <c r="B509" s="63" t="s">
        <v>821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826</v>
      </c>
      <c r="B511" s="63" t="s">
        <v>827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828</v>
      </c>
      <c r="B512" s="63" t="s">
        <v>829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830</v>
      </c>
      <c r="B513" s="63" t="s">
        <v>831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4" t="s">
        <v>155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832</v>
      </c>
      <c r="B517" s="63" t="s">
        <v>833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835</v>
      </c>
      <c r="B518" s="63" t="s">
        <v>836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837</v>
      </c>
      <c r="B519" s="63" t="s">
        <v>838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77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839</v>
      </c>
      <c r="B523" s="63" t="s">
        <v>840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842</v>
      </c>
      <c r="B524" s="63" t="s">
        <v>843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845</v>
      </c>
      <c r="B525" s="63" t="s">
        <v>846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848</v>
      </c>
      <c r="B526" s="63" t="s">
        <v>849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850</v>
      </c>
      <c r="B527" s="63" t="s">
        <v>851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852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853</v>
      </c>
      <c r="B529" s="63" t="s">
        <v>854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855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855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122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856</v>
      </c>
      <c r="B535" s="63" t="s">
        <v>857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155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859</v>
      </c>
      <c r="B539" s="63" t="s">
        <v>860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77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862</v>
      </c>
      <c r="B543" s="63" t="s">
        <v>863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86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865</v>
      </c>
      <c r="B547" s="63" t="s">
        <v>866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173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871</v>
      </c>
      <c r="B552" s="63" t="s">
        <v>872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874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155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875</v>
      </c>
      <c r="B557" s="63" t="s">
        <v>876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312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312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328.40000000000003</v>
      </c>
      <c r="Y561" s="43">
        <f>IFERROR(SUM(BN22:BN557),"0")</f>
        <v>328.40000000000003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1</v>
      </c>
      <c r="Y562" s="44">
        <f>ROUNDUP(SUM(BP22:BP557),0)</f>
        <v>1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353.40000000000003</v>
      </c>
      <c r="Y563" s="43">
        <f>GrossWeightTotalR+PalletQtyTotalR*25</f>
        <v>353.40000000000003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40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40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0.75919999999999999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654" t="s">
        <v>120</v>
      </c>
      <c r="E567" s="654" t="s">
        <v>120</v>
      </c>
      <c r="F567" s="654" t="s">
        <v>120</v>
      </c>
      <c r="G567" s="654" t="s">
        <v>120</v>
      </c>
      <c r="H567" s="654" t="s">
        <v>120</v>
      </c>
      <c r="I567" s="654" t="s">
        <v>120</v>
      </c>
      <c r="J567" s="654" t="s">
        <v>120</v>
      </c>
      <c r="K567" s="654" t="s">
        <v>360</v>
      </c>
      <c r="L567" s="654" t="s">
        <v>360</v>
      </c>
      <c r="M567" s="654" t="s">
        <v>360</v>
      </c>
      <c r="N567" s="655"/>
      <c r="O567" s="654" t="s">
        <v>360</v>
      </c>
      <c r="P567" s="654" t="s">
        <v>360</v>
      </c>
      <c r="Q567" s="654" t="s">
        <v>360</v>
      </c>
      <c r="R567" s="654" t="s">
        <v>360</v>
      </c>
      <c r="S567" s="654" t="s">
        <v>360</v>
      </c>
      <c r="T567" s="654" t="s">
        <v>360</v>
      </c>
      <c r="U567" s="654" t="s">
        <v>360</v>
      </c>
      <c r="V567" s="654" t="s">
        <v>360</v>
      </c>
      <c r="W567" s="654" t="s">
        <v>706</v>
      </c>
      <c r="X567" s="654" t="s">
        <v>706</v>
      </c>
      <c r="Y567" s="654" t="s">
        <v>772</v>
      </c>
      <c r="Z567" s="654" t="s">
        <v>772</v>
      </c>
      <c r="AA567" s="85" t="s">
        <v>808</v>
      </c>
      <c r="AB567" s="654" t="s">
        <v>855</v>
      </c>
      <c r="AC567" s="654" t="s">
        <v>855</v>
      </c>
      <c r="AF567" s="1"/>
    </row>
    <row r="568" spans="1:32" ht="14.25" customHeight="1" thickTop="1" x14ac:dyDescent="0.2">
      <c r="A568" s="656" t="s">
        <v>10</v>
      </c>
      <c r="B568" s="654" t="s">
        <v>76</v>
      </c>
      <c r="C568" s="654" t="s">
        <v>104</v>
      </c>
      <c r="D568" s="654" t="s">
        <v>121</v>
      </c>
      <c r="E568" s="654" t="s">
        <v>137</v>
      </c>
      <c r="F568" s="654" t="s">
        <v>182</v>
      </c>
      <c r="G568" s="654" t="s">
        <v>209</v>
      </c>
      <c r="H568" s="654" t="s">
        <v>260</v>
      </c>
      <c r="I568" s="654" t="s">
        <v>273</v>
      </c>
      <c r="J568" s="654" t="s">
        <v>120</v>
      </c>
      <c r="K568" s="654" t="s">
        <v>361</v>
      </c>
      <c r="L568" s="654" t="s">
        <v>382</v>
      </c>
      <c r="M568" s="654" t="s">
        <v>449</v>
      </c>
      <c r="N568" s="1"/>
      <c r="O568" s="654" t="s">
        <v>517</v>
      </c>
      <c r="P568" s="654" t="s">
        <v>550</v>
      </c>
      <c r="Q568" s="654" t="s">
        <v>566</v>
      </c>
      <c r="R568" s="654" t="s">
        <v>575</v>
      </c>
      <c r="S568" s="654" t="s">
        <v>596</v>
      </c>
      <c r="T568" s="654" t="s">
        <v>605</v>
      </c>
      <c r="U568" s="654" t="s">
        <v>689</v>
      </c>
      <c r="V568" s="654" t="s">
        <v>696</v>
      </c>
      <c r="W568" s="654" t="s">
        <v>707</v>
      </c>
      <c r="X568" s="654" t="s">
        <v>756</v>
      </c>
      <c r="Y568" s="654" t="s">
        <v>773</v>
      </c>
      <c r="Z568" s="654" t="s">
        <v>796</v>
      </c>
      <c r="AA568" s="654" t="s">
        <v>808</v>
      </c>
      <c r="AB568" s="654" t="s">
        <v>855</v>
      </c>
      <c r="AC568" s="654" t="s">
        <v>874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312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uSRBYg9xXxrqv8C90DM9Oa/rj+1Bqi3tPUiyCoNW5CabgOmyR0nnyTmgsnQfcB03dcsrj3mCZtUJ4KlxAYg7TQ==" saltValue="qaAKLlgLjq8YotU9e/xdJA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234,00"/>
        <filter val="312,00"/>
        <filter val="328,40"/>
        <filter val="353,40"/>
        <filter val="40,00"/>
        <filter val="78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8" spans="2:8" x14ac:dyDescent="0.2">
      <c r="B8" s="53" t="s">
        <v>887</v>
      </c>
      <c r="C8" s="53" t="s">
        <v>888</v>
      </c>
      <c r="D8" s="53" t="s">
        <v>889</v>
      </c>
      <c r="E8" s="53" t="s">
        <v>46</v>
      </c>
    </row>
    <row r="10" spans="2:8" x14ac:dyDescent="0.2">
      <c r="B10" s="53" t="s">
        <v>890</v>
      </c>
      <c r="C10" s="53" t="s">
        <v>882</v>
      </c>
      <c r="D10" s="53" t="s">
        <v>46</v>
      </c>
      <c r="E10" s="53" t="s">
        <v>46</v>
      </c>
    </row>
    <row r="12" spans="2:8" x14ac:dyDescent="0.2">
      <c r="B12" s="53" t="s">
        <v>891</v>
      </c>
      <c r="C12" s="53" t="s">
        <v>885</v>
      </c>
      <c r="D12" s="53" t="s">
        <v>46</v>
      </c>
      <c r="E12" s="53" t="s">
        <v>46</v>
      </c>
    </row>
    <row r="14" spans="2:8" x14ac:dyDescent="0.2">
      <c r="B14" s="53" t="s">
        <v>892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893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901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</sheetData>
  <sheetProtection algorithmName="SHA-512" hashValue="3FsORioM+sqRC4kELcvd8fyeJJF6ogeS3manYWGYj1hDADyuVh7eyPm8oM8mrTMoTi4pcOd2UTH0cvwJ6fcA7Q==" saltValue="K+jVcJupVfPn2ZbB5XP8r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2026-09-03T11:18:28Z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