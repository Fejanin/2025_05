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DFCC04-F174-4CC2-BBCD-DC3B17AC54CE}" xr6:coauthVersionLast="47" xr6:coauthVersionMax="47" xr10:uidLastSave="{00000000-0000-0000-0000-000000000000}"/>
  <bookViews>
    <workbookView xWindow="75" yWindow="30" windowWidth="2527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N529" i="2" s="1"/>
  <c r="P529" i="2"/>
  <c r="BO528" i="2"/>
  <c r="BM528" i="2"/>
  <c r="Y528" i="2"/>
  <c r="BP528" i="2" s="1"/>
  <c r="P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P519" i="2"/>
  <c r="BO518" i="2"/>
  <c r="BM518" i="2"/>
  <c r="Y518" i="2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X501" i="2"/>
  <c r="X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BN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P456" i="2"/>
  <c r="BO455" i="2"/>
  <c r="BM455" i="2"/>
  <c r="Y455" i="2"/>
  <c r="Z455" i="2" s="1"/>
  <c r="P455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BP432" i="2" s="1"/>
  <c r="P432" i="2"/>
  <c r="X428" i="2"/>
  <c r="X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U566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Z411" i="2" s="1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Z405" i="2" s="1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Z358" i="2" s="1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P338" i="2"/>
  <c r="BP337" i="2"/>
  <c r="BO337" i="2"/>
  <c r="BN337" i="2"/>
  <c r="BM337" i="2"/>
  <c r="Z337" i="2"/>
  <c r="Y337" i="2"/>
  <c r="P337" i="2"/>
  <c r="X334" i="2"/>
  <c r="X333" i="2"/>
  <c r="BO332" i="2"/>
  <c r="BM332" i="2"/>
  <c r="Y332" i="2"/>
  <c r="BP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Z267" i="2" s="1"/>
  <c r="P267" i="2"/>
  <c r="X265" i="2"/>
  <c r="X264" i="2"/>
  <c r="BO263" i="2"/>
  <c r="BM263" i="2"/>
  <c r="Y263" i="2"/>
  <c r="BN263" i="2" s="1"/>
  <c r="P263" i="2"/>
  <c r="BO262" i="2"/>
  <c r="BM262" i="2"/>
  <c r="Y262" i="2"/>
  <c r="Y265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Y173" i="2" s="1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X85" i="2"/>
  <c r="X84" i="2"/>
  <c r="BO83" i="2"/>
  <c r="BM83" i="2"/>
  <c r="Y83" i="2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P77" i="2"/>
  <c r="BO76" i="2"/>
  <c r="BM76" i="2"/>
  <c r="Y76" i="2"/>
  <c r="P76" i="2"/>
  <c r="X74" i="2"/>
  <c r="X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C566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70" i="2" l="1"/>
  <c r="Z225" i="2"/>
  <c r="BN225" i="2"/>
  <c r="Z443" i="2"/>
  <c r="BN443" i="2"/>
  <c r="Z177" i="2"/>
  <c r="Z272" i="2"/>
  <c r="BN272" i="2"/>
  <c r="Z488" i="2"/>
  <c r="BN488" i="2"/>
  <c r="Z493" i="2"/>
  <c r="Z494" i="2" s="1"/>
  <c r="Z49" i="2"/>
  <c r="Z124" i="2"/>
  <c r="Z190" i="2"/>
  <c r="BN190" i="2"/>
  <c r="Z240" i="2"/>
  <c r="BN240" i="2"/>
  <c r="Z304" i="2"/>
  <c r="BN304" i="2"/>
  <c r="Z353" i="2"/>
  <c r="BN353" i="2"/>
  <c r="Z418" i="2"/>
  <c r="BN418" i="2"/>
  <c r="BP425" i="2"/>
  <c r="Y458" i="2"/>
  <c r="Z511" i="2"/>
  <c r="X560" i="2"/>
  <c r="Z28" i="2"/>
  <c r="BN28" i="2"/>
  <c r="Z57" i="2"/>
  <c r="BN57" i="2"/>
  <c r="Z59" i="2"/>
  <c r="BN59" i="2"/>
  <c r="Z96" i="2"/>
  <c r="BN96" i="2"/>
  <c r="BP183" i="2"/>
  <c r="Z209" i="2"/>
  <c r="BN209" i="2"/>
  <c r="Z229" i="2"/>
  <c r="BN229" i="2"/>
  <c r="Z251" i="2"/>
  <c r="BN251" i="2"/>
  <c r="Z284" i="2"/>
  <c r="BN284" i="2"/>
  <c r="Z314" i="2"/>
  <c r="Z315" i="2" s="1"/>
  <c r="BN314" i="2"/>
  <c r="BP314" i="2"/>
  <c r="Y315" i="2"/>
  <c r="Z318" i="2"/>
  <c r="Z319" i="2" s="1"/>
  <c r="BN318" i="2"/>
  <c r="BP318" i="2"/>
  <c r="Z345" i="2"/>
  <c r="Y350" i="2"/>
  <c r="Z375" i="2"/>
  <c r="BN375" i="2"/>
  <c r="Z392" i="2"/>
  <c r="BN392" i="2"/>
  <c r="Z406" i="2"/>
  <c r="BN406" i="2"/>
  <c r="Z434" i="2"/>
  <c r="BN434" i="2"/>
  <c r="Z472" i="2"/>
  <c r="Z523" i="2"/>
  <c r="BN523" i="2"/>
  <c r="BP525" i="2"/>
  <c r="BP30" i="2"/>
  <c r="Y51" i="2"/>
  <c r="Z56" i="2"/>
  <c r="Z63" i="2"/>
  <c r="BN63" i="2"/>
  <c r="BP98" i="2"/>
  <c r="Z144" i="2"/>
  <c r="BN144" i="2"/>
  <c r="Z171" i="2"/>
  <c r="Z178" i="2"/>
  <c r="BN178" i="2"/>
  <c r="Z181" i="2"/>
  <c r="Z185" i="2"/>
  <c r="BN185" i="2"/>
  <c r="BP207" i="2"/>
  <c r="Z211" i="2"/>
  <c r="Z231" i="2"/>
  <c r="BN231" i="2"/>
  <c r="Z242" i="2"/>
  <c r="BN242" i="2"/>
  <c r="Z263" i="2"/>
  <c r="Z274" i="2"/>
  <c r="BN274" i="2"/>
  <c r="Z293" i="2"/>
  <c r="BN293" i="2"/>
  <c r="Z306" i="2"/>
  <c r="BN306" i="2"/>
  <c r="Z328" i="2"/>
  <c r="BN328" i="2"/>
  <c r="Z339" i="2"/>
  <c r="BN339" i="2"/>
  <c r="Z348" i="2"/>
  <c r="BN348" i="2"/>
  <c r="Z371" i="2"/>
  <c r="Z394" i="2"/>
  <c r="Z413" i="2"/>
  <c r="Z432" i="2"/>
  <c r="BN432" i="2"/>
  <c r="Z438" i="2"/>
  <c r="BN438" i="2"/>
  <c r="Z445" i="2"/>
  <c r="Y452" i="2"/>
  <c r="Z451" i="2"/>
  <c r="Z462" i="2"/>
  <c r="BN462" i="2"/>
  <c r="Z466" i="2"/>
  <c r="Z467" i="2" s="1"/>
  <c r="BN466" i="2"/>
  <c r="BP466" i="2"/>
  <c r="Z487" i="2"/>
  <c r="Z566" i="2"/>
  <c r="Y500" i="2"/>
  <c r="Z499" i="2"/>
  <c r="Z509" i="2"/>
  <c r="Z512" i="2"/>
  <c r="BN512" i="2"/>
  <c r="Z529" i="2"/>
  <c r="BP37" i="2"/>
  <c r="BP69" i="2"/>
  <c r="BN69" i="2"/>
  <c r="Z69" i="2"/>
  <c r="BN76" i="2"/>
  <c r="Z76" i="2"/>
  <c r="G566" i="2"/>
  <c r="Z104" i="2"/>
  <c r="BP123" i="2"/>
  <c r="BN123" i="2"/>
  <c r="Z123" i="2"/>
  <c r="Z166" i="2"/>
  <c r="BP166" i="2"/>
  <c r="BP180" i="2"/>
  <c r="BN180" i="2"/>
  <c r="Z180" i="2"/>
  <c r="BN222" i="2"/>
  <c r="Z222" i="2"/>
  <c r="BP232" i="2"/>
  <c r="BN232" i="2"/>
  <c r="Z232" i="2"/>
  <c r="BN246" i="2"/>
  <c r="BP273" i="2"/>
  <c r="BN273" i="2"/>
  <c r="Z273" i="2"/>
  <c r="BP291" i="2"/>
  <c r="Z291" i="2"/>
  <c r="F9" i="2"/>
  <c r="X557" i="2"/>
  <c r="X558" i="2"/>
  <c r="BN23" i="2"/>
  <c r="BP23" i="2"/>
  <c r="X556" i="2"/>
  <c r="BN27" i="2"/>
  <c r="BP27" i="2"/>
  <c r="Z37" i="2"/>
  <c r="Z40" i="2"/>
  <c r="BN40" i="2"/>
  <c r="BN41" i="2"/>
  <c r="Z48" i="2"/>
  <c r="BN48" i="2"/>
  <c r="BP49" i="2"/>
  <c r="E566" i="2"/>
  <c r="BN55" i="2"/>
  <c r="BP55" i="2"/>
  <c r="BP56" i="2"/>
  <c r="Y65" i="2"/>
  <c r="Z60" i="2"/>
  <c r="BP76" i="2"/>
  <c r="BP77" i="2"/>
  <c r="BN77" i="2"/>
  <c r="Z77" i="2"/>
  <c r="Y78" i="2"/>
  <c r="Y79" i="2"/>
  <c r="BP83" i="2"/>
  <c r="Z83" i="2"/>
  <c r="BP104" i="2"/>
  <c r="BN106" i="2"/>
  <c r="BP106" i="2"/>
  <c r="BP107" i="2"/>
  <c r="BN107" i="2"/>
  <c r="Z107" i="2"/>
  <c r="Z109" i="2"/>
  <c r="BP109" i="2"/>
  <c r="BN112" i="2"/>
  <c r="BP112" i="2"/>
  <c r="BN116" i="2"/>
  <c r="BP116" i="2"/>
  <c r="BP117" i="2"/>
  <c r="BN117" i="2"/>
  <c r="Z117" i="2"/>
  <c r="Y119" i="2"/>
  <c r="BN135" i="2"/>
  <c r="BP135" i="2"/>
  <c r="Z139" i="2"/>
  <c r="Y142" i="2"/>
  <c r="Y141" i="2"/>
  <c r="BN139" i="2"/>
  <c r="BP139" i="2"/>
  <c r="BP140" i="2"/>
  <c r="BN140" i="2"/>
  <c r="Z140" i="2"/>
  <c r="I566" i="2"/>
  <c r="Y157" i="2"/>
  <c r="BN151" i="2"/>
  <c r="Z151" i="2"/>
  <c r="BN153" i="2"/>
  <c r="BP153" i="2"/>
  <c r="BN154" i="2"/>
  <c r="Z154" i="2"/>
  <c r="BP186" i="2"/>
  <c r="BN186" i="2"/>
  <c r="Z186" i="2"/>
  <c r="BN196" i="2"/>
  <c r="BP196" i="2"/>
  <c r="BN200" i="2"/>
  <c r="BP208" i="2"/>
  <c r="BN208" i="2"/>
  <c r="Z208" i="2"/>
  <c r="BN212" i="2"/>
  <c r="BP222" i="2"/>
  <c r="BP223" i="2"/>
  <c r="BN223" i="2"/>
  <c r="Z223" i="2"/>
  <c r="BN224" i="2"/>
  <c r="BN226" i="2"/>
  <c r="Z226" i="2"/>
  <c r="BP230" i="2"/>
  <c r="BN230" i="2"/>
  <c r="Z230" i="2"/>
  <c r="Y249" i="2"/>
  <c r="BP241" i="2"/>
  <c r="BN241" i="2"/>
  <c r="Z241" i="2"/>
  <c r="BP275" i="2"/>
  <c r="BN275" i="2"/>
  <c r="Z275" i="2"/>
  <c r="BP283" i="2"/>
  <c r="BN283" i="2"/>
  <c r="Z283" i="2"/>
  <c r="BP294" i="2"/>
  <c r="BN294" i="2"/>
  <c r="Z294" i="2"/>
  <c r="BN308" i="2"/>
  <c r="BP308" i="2"/>
  <c r="BN310" i="2"/>
  <c r="P566" i="2"/>
  <c r="BP327" i="2"/>
  <c r="BN327" i="2"/>
  <c r="Z327" i="2"/>
  <c r="BP338" i="2"/>
  <c r="BN338" i="2"/>
  <c r="Z338" i="2"/>
  <c r="BN347" i="2"/>
  <c r="BP347" i="2"/>
  <c r="BP360" i="2"/>
  <c r="Z360" i="2"/>
  <c r="BP365" i="2"/>
  <c r="BN365" i="2"/>
  <c r="Z365" i="2"/>
  <c r="BN367" i="2"/>
  <c r="BP367" i="2"/>
  <c r="BN369" i="2"/>
  <c r="Y372" i="2"/>
  <c r="BP393" i="2"/>
  <c r="Y396" i="2"/>
  <c r="BN393" i="2"/>
  <c r="Y440" i="2"/>
  <c r="BP433" i="2"/>
  <c r="BN433" i="2"/>
  <c r="Z433" i="2"/>
  <c r="BN439" i="2"/>
  <c r="BP444" i="2"/>
  <c r="BN444" i="2"/>
  <c r="Z444" i="2"/>
  <c r="Y446" i="2"/>
  <c r="BN22" i="2"/>
  <c r="BN29" i="2"/>
  <c r="BN39" i="2"/>
  <c r="BP39" i="2"/>
  <c r="BP60" i="2"/>
  <c r="Z62" i="2"/>
  <c r="BP62" i="2"/>
  <c r="Y73" i="2"/>
  <c r="BN67" i="2"/>
  <c r="Z67" i="2"/>
  <c r="Y74" i="2"/>
  <c r="BN90" i="2"/>
  <c r="BN97" i="2"/>
  <c r="Y100" i="2"/>
  <c r="BN152" i="2"/>
  <c r="Z152" i="2"/>
  <c r="BP155" i="2"/>
  <c r="BN155" i="2"/>
  <c r="Z155" i="2"/>
  <c r="J566" i="2"/>
  <c r="BP164" i="2"/>
  <c r="BN164" i="2"/>
  <c r="Z164" i="2"/>
  <c r="BP184" i="2"/>
  <c r="BN184" i="2"/>
  <c r="Z184" i="2"/>
  <c r="Y193" i="2"/>
  <c r="Z191" i="2"/>
  <c r="BP210" i="2"/>
  <c r="BN210" i="2"/>
  <c r="Z210" i="2"/>
  <c r="Y236" i="2"/>
  <c r="BN228" i="2"/>
  <c r="BP228" i="2"/>
  <c r="BN234" i="2"/>
  <c r="BP234" i="2"/>
  <c r="BP239" i="2"/>
  <c r="BN239" i="2"/>
  <c r="Z239" i="2"/>
  <c r="BN244" i="2"/>
  <c r="BP244" i="2"/>
  <c r="BP252" i="2"/>
  <c r="BN252" i="2"/>
  <c r="Z252" i="2"/>
  <c r="BP285" i="2"/>
  <c r="BN285" i="2"/>
  <c r="Z285" i="2"/>
  <c r="Y296" i="2"/>
  <c r="BN299" i="2"/>
  <c r="Y312" i="2"/>
  <c r="BP305" i="2"/>
  <c r="BN305" i="2"/>
  <c r="Z305" i="2"/>
  <c r="BP329" i="2"/>
  <c r="BN329" i="2"/>
  <c r="Z329" i="2"/>
  <c r="BN401" i="2"/>
  <c r="BP401" i="2"/>
  <c r="BP407" i="2"/>
  <c r="BN407" i="2"/>
  <c r="Z407" i="2"/>
  <c r="Z408" i="2" s="1"/>
  <c r="Y409" i="2"/>
  <c r="Z470" i="2"/>
  <c r="Y473" i="2"/>
  <c r="BN470" i="2"/>
  <c r="Y566" i="2"/>
  <c r="BN478" i="2"/>
  <c r="Z478" i="2"/>
  <c r="BN480" i="2"/>
  <c r="BP480" i="2"/>
  <c r="BN482" i="2"/>
  <c r="BP518" i="2"/>
  <c r="Y520" i="2"/>
  <c r="BN519" i="2"/>
  <c r="Z519" i="2"/>
  <c r="BP519" i="2"/>
  <c r="BP70" i="2"/>
  <c r="BN72" i="2"/>
  <c r="BP72" i="2"/>
  <c r="Y94" i="2"/>
  <c r="BN91" i="2"/>
  <c r="BP91" i="2"/>
  <c r="BN108" i="2"/>
  <c r="BN111" i="2"/>
  <c r="BN118" i="2"/>
  <c r="Y127" i="2"/>
  <c r="BN122" i="2"/>
  <c r="BP124" i="2"/>
  <c r="BN129" i="2"/>
  <c r="BP129" i="2"/>
  <c r="BN134" i="2"/>
  <c r="Y147" i="2"/>
  <c r="BN145" i="2"/>
  <c r="Y160" i="2"/>
  <c r="BN165" i="2"/>
  <c r="Y169" i="2"/>
  <c r="BP171" i="2"/>
  <c r="Y174" i="2"/>
  <c r="BN176" i="2"/>
  <c r="BP176" i="2"/>
  <c r="BP177" i="2"/>
  <c r="Y188" i="2"/>
  <c r="BN179" i="2"/>
  <c r="BP181" i="2"/>
  <c r="Y194" i="2"/>
  <c r="BN221" i="2"/>
  <c r="BN233" i="2"/>
  <c r="BP263" i="2"/>
  <c r="BN267" i="2"/>
  <c r="BP267" i="2"/>
  <c r="Y269" i="2"/>
  <c r="Y270" i="2"/>
  <c r="Y281" i="2"/>
  <c r="BN277" i="2"/>
  <c r="BP277" i="2"/>
  <c r="BN279" i="2"/>
  <c r="BN287" i="2"/>
  <c r="BP287" i="2"/>
  <c r="BN289" i="2"/>
  <c r="O566" i="2"/>
  <c r="Y320" i="2"/>
  <c r="BN322" i="2"/>
  <c r="Y334" i="2"/>
  <c r="BN331" i="2"/>
  <c r="BP331" i="2"/>
  <c r="Q566" i="2"/>
  <c r="Y341" i="2"/>
  <c r="Y349" i="2"/>
  <c r="BP344" i="2"/>
  <c r="BN344" i="2"/>
  <c r="Z344" i="2"/>
  <c r="Y355" i="2"/>
  <c r="BP352" i="2"/>
  <c r="BN352" i="2"/>
  <c r="Z352" i="2"/>
  <c r="Z354" i="2" s="1"/>
  <c r="BP381" i="2"/>
  <c r="Z381" i="2"/>
  <c r="BP385" i="2"/>
  <c r="Y390" i="2"/>
  <c r="BN385" i="2"/>
  <c r="Z385" i="2"/>
  <c r="BN387" i="2"/>
  <c r="BP387" i="2"/>
  <c r="Y402" i="2"/>
  <c r="BP398" i="2"/>
  <c r="BN398" i="2"/>
  <c r="Z398" i="2"/>
  <c r="BN411" i="2"/>
  <c r="Y414" i="2"/>
  <c r="BP426" i="2"/>
  <c r="BN426" i="2"/>
  <c r="Z426" i="2"/>
  <c r="BP435" i="2"/>
  <c r="Z435" i="2"/>
  <c r="X566" i="2"/>
  <c r="Y464" i="2"/>
  <c r="BP461" i="2"/>
  <c r="BN461" i="2"/>
  <c r="Z461" i="2"/>
  <c r="BN507" i="2"/>
  <c r="BN513" i="2"/>
  <c r="BN527" i="2"/>
  <c r="AB566" i="2"/>
  <c r="Y536" i="2"/>
  <c r="Z535" i="2"/>
  <c r="Z536" i="2" s="1"/>
  <c r="Y541" i="2"/>
  <c r="Y540" i="2"/>
  <c r="Z539" i="2"/>
  <c r="Z540" i="2" s="1"/>
  <c r="BP543" i="2"/>
  <c r="Y544" i="2"/>
  <c r="Z543" i="2"/>
  <c r="Z544" i="2" s="1"/>
  <c r="BP547" i="2"/>
  <c r="Z547" i="2"/>
  <c r="Y340" i="2"/>
  <c r="Y354" i="2"/>
  <c r="BN358" i="2"/>
  <c r="Y361" i="2"/>
  <c r="BN377" i="2"/>
  <c r="BP377" i="2"/>
  <c r="BN379" i="2"/>
  <c r="Y382" i="2"/>
  <c r="BP394" i="2"/>
  <c r="Y403" i="2"/>
  <c r="Y408" i="2"/>
  <c r="BP405" i="2"/>
  <c r="Y428" i="2"/>
  <c r="W566" i="2"/>
  <c r="BN437" i="2"/>
  <c r="BP437" i="2"/>
  <c r="Y447" i="2"/>
  <c r="BP449" i="2"/>
  <c r="Y453" i="2"/>
  <c r="BP451" i="2"/>
  <c r="BN455" i="2"/>
  <c r="BP455" i="2"/>
  <c r="Y457" i="2"/>
  <c r="BP472" i="2"/>
  <c r="BP487" i="2"/>
  <c r="Y489" i="2"/>
  <c r="Y490" i="2"/>
  <c r="BP497" i="2"/>
  <c r="Y501" i="2"/>
  <c r="BP499" i="2"/>
  <c r="AA566" i="2"/>
  <c r="BP509" i="2"/>
  <c r="BP511" i="2"/>
  <c r="BN517" i="2"/>
  <c r="BP529" i="2"/>
  <c r="Y530" i="2"/>
  <c r="Y93" i="2"/>
  <c r="Y101" i="2"/>
  <c r="Y52" i="2"/>
  <c r="BN82" i="2"/>
  <c r="BN150" i="2"/>
  <c r="Y161" i="2"/>
  <c r="Y237" i="2"/>
  <c r="Y120" i="2"/>
  <c r="BN166" i="2"/>
  <c r="Y254" i="2"/>
  <c r="Z262" i="2"/>
  <c r="Z292" i="2"/>
  <c r="Y420" i="2"/>
  <c r="Y441" i="2"/>
  <c r="Z450" i="2"/>
  <c r="Z498" i="2"/>
  <c r="Z510" i="2"/>
  <c r="Y549" i="2"/>
  <c r="K566" i="2"/>
  <c r="Y42" i="2"/>
  <c r="BN30" i="2"/>
  <c r="Y43" i="2"/>
  <c r="Z55" i="2"/>
  <c r="BP67" i="2"/>
  <c r="BN88" i="2"/>
  <c r="BN98" i="2"/>
  <c r="BN109" i="2"/>
  <c r="Z129" i="2"/>
  <c r="Z130" i="2" s="1"/>
  <c r="BP144" i="2"/>
  <c r="Z196" i="2"/>
  <c r="Z197" i="2" s="1"/>
  <c r="Y201" i="2"/>
  <c r="Y213" i="2"/>
  <c r="Z221" i="2"/>
  <c r="BN37" i="2"/>
  <c r="BP82" i="2"/>
  <c r="BN104" i="2"/>
  <c r="BP150" i="2"/>
  <c r="BN171" i="2"/>
  <c r="BN191" i="2"/>
  <c r="BP246" i="2"/>
  <c r="BP279" i="2"/>
  <c r="BP289" i="2"/>
  <c r="BP299" i="2"/>
  <c r="BP310" i="2"/>
  <c r="BP322" i="2"/>
  <c r="BN345" i="2"/>
  <c r="BP358" i="2"/>
  <c r="BP369" i="2"/>
  <c r="BP379" i="2"/>
  <c r="BN399" i="2"/>
  <c r="BP411" i="2"/>
  <c r="BN435" i="2"/>
  <c r="BN445" i="2"/>
  <c r="BP470" i="2"/>
  <c r="BP482" i="2"/>
  <c r="BN493" i="2"/>
  <c r="Z505" i="2"/>
  <c r="BP507" i="2"/>
  <c r="BP517" i="2"/>
  <c r="Z525" i="2"/>
  <c r="BP527" i="2"/>
  <c r="BN539" i="2"/>
  <c r="L566" i="2"/>
  <c r="Y156" i="2"/>
  <c r="BN262" i="2"/>
  <c r="BN292" i="2"/>
  <c r="Y295" i="2"/>
  <c r="Y362" i="2"/>
  <c r="Y373" i="2"/>
  <c r="Y383" i="2"/>
  <c r="Y415" i="2"/>
  <c r="BN450" i="2"/>
  <c r="Y474" i="2"/>
  <c r="BN498" i="2"/>
  <c r="BN510" i="2"/>
  <c r="Y521" i="2"/>
  <c r="Y531" i="2"/>
  <c r="Y545" i="2"/>
  <c r="M566" i="2"/>
  <c r="Z47" i="2"/>
  <c r="Z58" i="2"/>
  <c r="Z68" i="2"/>
  <c r="Z122" i="2"/>
  <c r="Z145" i="2"/>
  <c r="Z179" i="2"/>
  <c r="Y202" i="2"/>
  <c r="Y214" i="2"/>
  <c r="Z224" i="2"/>
  <c r="Y255" i="2"/>
  <c r="Y280" i="2"/>
  <c r="Y300" i="2"/>
  <c r="Y311" i="2"/>
  <c r="Y323" i="2"/>
  <c r="BP399" i="2"/>
  <c r="Y421" i="2"/>
  <c r="BP493" i="2"/>
  <c r="BN505" i="2"/>
  <c r="Z513" i="2"/>
  <c r="BP539" i="2"/>
  <c r="Y550" i="2"/>
  <c r="Y187" i="2"/>
  <c r="Z247" i="2"/>
  <c r="BP262" i="2"/>
  <c r="Z290" i="2"/>
  <c r="Z359" i="2"/>
  <c r="Z370" i="2"/>
  <c r="Z380" i="2"/>
  <c r="Y395" i="2"/>
  <c r="Z412" i="2"/>
  <c r="Z414" i="2" s="1"/>
  <c r="BP450" i="2"/>
  <c r="Z471" i="2"/>
  <c r="Z483" i="2"/>
  <c r="BP498" i="2"/>
  <c r="Z508" i="2"/>
  <c r="Z518" i="2"/>
  <c r="Z528" i="2"/>
  <c r="Z99" i="2"/>
  <c r="Z167" i="2"/>
  <c r="Z89" i="2"/>
  <c r="J9" i="2"/>
  <c r="Z38" i="2"/>
  <c r="Z50" i="2"/>
  <c r="Z61" i="2"/>
  <c r="Z71" i="2"/>
  <c r="BN83" i="2"/>
  <c r="Z105" i="2"/>
  <c r="Z125" i="2"/>
  <c r="Y130" i="2"/>
  <c r="Z172" i="2"/>
  <c r="Z182" i="2"/>
  <c r="Z192" i="2"/>
  <c r="Y197" i="2"/>
  <c r="Z206" i="2"/>
  <c r="Z217" i="2"/>
  <c r="Z218" i="2" s="1"/>
  <c r="Z227" i="2"/>
  <c r="BN247" i="2"/>
  <c r="Z257" i="2"/>
  <c r="Z258" i="2" s="1"/>
  <c r="BN290" i="2"/>
  <c r="Y301" i="2"/>
  <c r="Y324" i="2"/>
  <c r="Z346" i="2"/>
  <c r="BN359" i="2"/>
  <c r="BN370" i="2"/>
  <c r="BN380" i="2"/>
  <c r="Z400" i="2"/>
  <c r="BN412" i="2"/>
  <c r="Z424" i="2"/>
  <c r="Z436" i="2"/>
  <c r="BN471" i="2"/>
  <c r="BN483" i="2"/>
  <c r="BN508" i="2"/>
  <c r="BN518" i="2"/>
  <c r="BN528" i="2"/>
  <c r="Z553" i="2"/>
  <c r="Z554" i="2" s="1"/>
  <c r="R566" i="2"/>
  <c r="BN47" i="2"/>
  <c r="BN31" i="2"/>
  <c r="BP68" i="2"/>
  <c r="BN110" i="2"/>
  <c r="Y113" i="2"/>
  <c r="Y136" i="2"/>
  <c r="BP145" i="2"/>
  <c r="BN167" i="2"/>
  <c r="BP179" i="2"/>
  <c r="BN211" i="2"/>
  <c r="BN535" i="2"/>
  <c r="BN547" i="2"/>
  <c r="S566" i="2"/>
  <c r="Z110" i="2"/>
  <c r="Y24" i="2"/>
  <c r="BN38" i="2"/>
  <c r="BN50" i="2"/>
  <c r="Y64" i="2"/>
  <c r="BN105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BN553" i="2"/>
  <c r="T566" i="2"/>
  <c r="BN58" i="2"/>
  <c r="F10" i="2"/>
  <c r="BN61" i="2"/>
  <c r="Z92" i="2"/>
  <c r="BN125" i="2"/>
  <c r="Z159" i="2"/>
  <c r="Z160" i="2" s="1"/>
  <c r="Z29" i="2"/>
  <c r="BP31" i="2"/>
  <c r="Z41" i="2"/>
  <c r="BP89" i="2"/>
  <c r="Z97" i="2"/>
  <c r="BP99" i="2"/>
  <c r="Z108" i="2"/>
  <c r="Z118" i="2"/>
  <c r="Z165" i="2"/>
  <c r="BP167" i="2"/>
  <c r="Z393" i="2"/>
  <c r="BN405" i="2"/>
  <c r="BP418" i="2"/>
  <c r="Z439" i="2"/>
  <c r="Y467" i="2"/>
  <c r="BP478" i="2"/>
  <c r="Y514" i="2"/>
  <c r="BP535" i="2"/>
  <c r="B566" i="2"/>
  <c r="A10" i="2"/>
  <c r="BP47" i="2"/>
  <c r="BP58" i="2"/>
  <c r="BN99" i="2"/>
  <c r="BP122" i="2"/>
  <c r="BN71" i="2"/>
  <c r="Z81" i="2"/>
  <c r="Z84" i="2" s="1"/>
  <c r="BN172" i="2"/>
  <c r="Y25" i="2"/>
  <c r="BN81" i="2"/>
  <c r="Y84" i="2"/>
  <c r="BN92" i="2"/>
  <c r="Y114" i="2"/>
  <c r="Y137" i="2"/>
  <c r="BN159" i="2"/>
  <c r="BP172" i="2"/>
  <c r="BP217" i="2"/>
  <c r="BP227" i="2"/>
  <c r="BN235" i="2"/>
  <c r="BN245" i="2"/>
  <c r="Y248" i="2"/>
  <c r="BP257" i="2"/>
  <c r="BN268" i="2"/>
  <c r="BN278" i="2"/>
  <c r="BN288" i="2"/>
  <c r="BN298" i="2"/>
  <c r="BN309" i="2"/>
  <c r="BN332" i="2"/>
  <c r="BP346" i="2"/>
  <c r="BN368" i="2"/>
  <c r="BN378" i="2"/>
  <c r="BN388" i="2"/>
  <c r="BP424" i="2"/>
  <c r="BN456" i="2"/>
  <c r="BN481" i="2"/>
  <c r="Y484" i="2"/>
  <c r="BN506" i="2"/>
  <c r="BN526" i="2"/>
  <c r="BP553" i="2"/>
  <c r="V566" i="2"/>
  <c r="D566" i="2"/>
  <c r="Y32" i="2"/>
  <c r="BP81" i="2"/>
  <c r="Z90" i="2"/>
  <c r="Z111" i="2"/>
  <c r="Y126" i="2"/>
  <c r="Z134" i="2"/>
  <c r="Z136" i="2" s="1"/>
  <c r="Z200" i="2"/>
  <c r="Z201" i="2" s="1"/>
  <c r="Z212" i="2"/>
  <c r="Y218" i="2"/>
  <c r="Z233" i="2"/>
  <c r="Z243" i="2"/>
  <c r="Z253" i="2"/>
  <c r="Z254" i="2" s="1"/>
  <c r="Y258" i="2"/>
  <c r="Z276" i="2"/>
  <c r="Z286" i="2"/>
  <c r="Z307" i="2"/>
  <c r="Z330" i="2"/>
  <c r="Z366" i="2"/>
  <c r="Z376" i="2"/>
  <c r="Z386" i="2"/>
  <c r="Z419" i="2"/>
  <c r="Z420" i="2" s="1"/>
  <c r="BP456" i="2"/>
  <c r="Z479" i="2"/>
  <c r="Y515" i="2"/>
  <c r="Z524" i="2"/>
  <c r="Z548" i="2"/>
  <c r="Y554" i="2"/>
  <c r="Y168" i="2"/>
  <c r="Z22" i="2"/>
  <c r="Z24" i="2" s="1"/>
  <c r="Z183" i="2"/>
  <c r="Z207" i="2"/>
  <c r="Z228" i="2"/>
  <c r="Y264" i="2"/>
  <c r="BN291" i="2"/>
  <c r="Z347" i="2"/>
  <c r="BN360" i="2"/>
  <c r="BN371" i="2"/>
  <c r="BN381" i="2"/>
  <c r="Z401" i="2"/>
  <c r="BN413" i="2"/>
  <c r="Z425" i="2"/>
  <c r="BN449" i="2"/>
  <c r="Y485" i="2"/>
  <c r="BN497" i="2"/>
  <c r="BN543" i="2"/>
  <c r="F566" i="2"/>
  <c r="Y33" i="2"/>
  <c r="BN243" i="2"/>
  <c r="BN253" i="2"/>
  <c r="BN276" i="2"/>
  <c r="BN286" i="2"/>
  <c r="BN307" i="2"/>
  <c r="BN330" i="2"/>
  <c r="Y333" i="2"/>
  <c r="BN366" i="2"/>
  <c r="BN376" i="2"/>
  <c r="BN386" i="2"/>
  <c r="Y389" i="2"/>
  <c r="BN419" i="2"/>
  <c r="BN479" i="2"/>
  <c r="BN524" i="2"/>
  <c r="Y537" i="2"/>
  <c r="BN548" i="2"/>
  <c r="Y555" i="2"/>
  <c r="H566" i="2"/>
  <c r="Z150" i="2"/>
  <c r="Z88" i="2"/>
  <c r="BP330" i="2"/>
  <c r="Z78" i="2" l="1"/>
  <c r="Z156" i="2"/>
  <c r="Z549" i="2"/>
  <c r="Z372" i="2"/>
  <c r="Z311" i="2"/>
  <c r="Z280" i="2"/>
  <c r="Z119" i="2"/>
  <c r="Z193" i="2"/>
  <c r="Z173" i="2"/>
  <c r="Z520" i="2"/>
  <c r="Z473" i="2"/>
  <c r="Z361" i="2"/>
  <c r="Z452" i="2"/>
  <c r="Z264" i="2"/>
  <c r="Z340" i="2"/>
  <c r="Z489" i="2"/>
  <c r="Z500" i="2"/>
  <c r="Z463" i="2"/>
  <c r="Z141" i="2"/>
  <c r="X559" i="2"/>
  <c r="Z93" i="2"/>
  <c r="Z484" i="2"/>
  <c r="Z333" i="2"/>
  <c r="Z395" i="2"/>
  <c r="Z32" i="2"/>
  <c r="Z146" i="2"/>
  <c r="Z446" i="2"/>
  <c r="Z382" i="2"/>
  <c r="Z402" i="2"/>
  <c r="Z349" i="2"/>
  <c r="Z42" i="2"/>
  <c r="Z113" i="2"/>
  <c r="Z530" i="2"/>
  <c r="Z295" i="2"/>
  <c r="Z248" i="2"/>
  <c r="Z100" i="2"/>
  <c r="Z389" i="2"/>
  <c r="Z440" i="2"/>
  <c r="Z168" i="2"/>
  <c r="Y558" i="2"/>
  <c r="Z187" i="2"/>
  <c r="Z126" i="2"/>
  <c r="Z236" i="2"/>
  <c r="Y557" i="2"/>
  <c r="Z73" i="2"/>
  <c r="Y560" i="2"/>
  <c r="Z51" i="2"/>
  <c r="Z213" i="2"/>
  <c r="Z64" i="2"/>
  <c r="Z427" i="2"/>
  <c r="Z514" i="2"/>
  <c r="Y556" i="2"/>
  <c r="Y559" i="2" l="1"/>
  <c r="Z561" i="2"/>
</calcChain>
</file>

<file path=xl/sharedStrings.xml><?xml version="1.0" encoding="utf-8"?>
<sst xmlns="http://schemas.openxmlformats.org/spreadsheetml/2006/main" count="4290" uniqueCount="897">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</sst>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896</v>
      </c>
      <c r="I5" s="657"/>
      <c r="J5" s="657"/>
      <c r="K5" s="657"/>
      <c r="L5" s="657"/>
      <c r="M5" s="657"/>
      <c r="N5" s="72"/>
      <c r="P5" s="27" t="s">
        <v>4</v>
      </c>
      <c r="Q5" s="659">
        <v>46292</v>
      </c>
      <c r="R5" s="659"/>
      <c r="T5" s="660" t="s">
        <v>3</v>
      </c>
      <c r="U5" s="661"/>
      <c r="V5" s="662" t="s">
        <v>872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879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Воскресенье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3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0.375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4301020296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hidden="1" customHeight="1" x14ac:dyDescent="0.25">
      <c r="A72" s="63" t="s">
        <v>170</v>
      </c>
      <c r="B72" s="63" t="s">
        <v>172</v>
      </c>
      <c r="C72" s="36">
        <v>4301020389</v>
      </c>
      <c r="D72" s="723">
        <v>4680115881433</v>
      </c>
      <c r="E72" s="72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76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hidden="1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hidden="1" customHeight="1" x14ac:dyDescent="0.25">
      <c r="A75" s="722" t="s">
        <v>86</v>
      </c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2"/>
      <c r="Q75" s="722"/>
      <c r="R75" s="722"/>
      <c r="S75" s="722"/>
      <c r="T75" s="722"/>
      <c r="U75" s="722"/>
      <c r="V75" s="722"/>
      <c r="W75" s="722"/>
      <c r="X75" s="722"/>
      <c r="Y75" s="722"/>
      <c r="Z75" s="722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723">
        <v>4680115884311</v>
      </c>
      <c r="E76" s="72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4301052083</v>
      </c>
      <c r="D77" s="723">
        <v>4680115884403</v>
      </c>
      <c r="E77" s="72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731"/>
      <c r="B79" s="731"/>
      <c r="C79" s="731"/>
      <c r="D79" s="731"/>
      <c r="E79" s="731"/>
      <c r="F79" s="731"/>
      <c r="G79" s="731"/>
      <c r="H79" s="731"/>
      <c r="I79" s="731"/>
      <c r="J79" s="731"/>
      <c r="K79" s="731"/>
      <c r="L79" s="731"/>
      <c r="M79" s="731"/>
      <c r="N79" s="731"/>
      <c r="O79" s="732"/>
      <c r="P79" s="728" t="s">
        <v>40</v>
      </c>
      <c r="Q79" s="729"/>
      <c r="R79" s="729"/>
      <c r="S79" s="729"/>
      <c r="T79" s="729"/>
      <c r="U79" s="729"/>
      <c r="V79" s="73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722" t="s">
        <v>179</v>
      </c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2"/>
      <c r="P80" s="722"/>
      <c r="Q80" s="722"/>
      <c r="R80" s="722"/>
      <c r="S80" s="722"/>
      <c r="T80" s="722"/>
      <c r="U80" s="722"/>
      <c r="V80" s="722"/>
      <c r="W80" s="722"/>
      <c r="X80" s="722"/>
      <c r="Y80" s="722"/>
      <c r="Z80" s="722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180</v>
      </c>
      <c r="B82" s="63" t="s">
        <v>183</v>
      </c>
      <c r="C82" s="36">
        <v>4301060526</v>
      </c>
      <c r="D82" s="723">
        <v>4680115881532</v>
      </c>
      <c r="E82" s="72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7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4301060527</v>
      </c>
      <c r="D83" s="723">
        <v>4680115881464</v>
      </c>
      <c r="E83" s="72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7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5"/>
      <c r="R83" s="725"/>
      <c r="S83" s="725"/>
      <c r="T83" s="72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hidden="1" x14ac:dyDescent="0.2">
      <c r="A85" s="731"/>
      <c r="B85" s="731"/>
      <c r="C85" s="731"/>
      <c r="D85" s="731"/>
      <c r="E85" s="731"/>
      <c r="F85" s="731"/>
      <c r="G85" s="731"/>
      <c r="H85" s="731"/>
      <c r="I85" s="731"/>
      <c r="J85" s="731"/>
      <c r="K85" s="731"/>
      <c r="L85" s="731"/>
      <c r="M85" s="731"/>
      <c r="N85" s="731"/>
      <c r="O85" s="732"/>
      <c r="P85" s="728" t="s">
        <v>40</v>
      </c>
      <c r="Q85" s="729"/>
      <c r="R85" s="729"/>
      <c r="S85" s="729"/>
      <c r="T85" s="729"/>
      <c r="U85" s="729"/>
      <c r="V85" s="730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hidden="1" customHeight="1" x14ac:dyDescent="0.25">
      <c r="A86" s="721" t="s">
        <v>187</v>
      </c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1"/>
      <c r="P86" s="721"/>
      <c r="Q86" s="721"/>
      <c r="R86" s="721"/>
      <c r="S86" s="721"/>
      <c r="T86" s="721"/>
      <c r="U86" s="721"/>
      <c r="V86" s="721"/>
      <c r="W86" s="721"/>
      <c r="X86" s="721"/>
      <c r="Y86" s="721"/>
      <c r="Z86" s="721"/>
      <c r="AA86" s="65"/>
      <c r="AB86" s="65"/>
      <c r="AC86" s="79"/>
    </row>
    <row r="87" spans="1:68" ht="14.25" hidden="1" customHeight="1" x14ac:dyDescent="0.25">
      <c r="A87" s="722" t="s">
        <v>122</v>
      </c>
      <c r="B87" s="722"/>
      <c r="C87" s="722"/>
      <c r="D87" s="722"/>
      <c r="E87" s="722"/>
      <c r="F87" s="722"/>
      <c r="G87" s="722"/>
      <c r="H87" s="722"/>
      <c r="I87" s="722"/>
      <c r="J87" s="722"/>
      <c r="K87" s="722"/>
      <c r="L87" s="722"/>
      <c r="M87" s="722"/>
      <c r="N87" s="722"/>
      <c r="O87" s="722"/>
      <c r="P87" s="722"/>
      <c r="Q87" s="722"/>
      <c r="R87" s="722"/>
      <c r="S87" s="722"/>
      <c r="T87" s="722"/>
      <c r="U87" s="722"/>
      <c r="V87" s="722"/>
      <c r="W87" s="722"/>
      <c r="X87" s="722"/>
      <c r="Y87" s="722"/>
      <c r="Z87" s="722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23">
        <v>4680115881327</v>
      </c>
      <c r="E88" s="72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3">
        <v>4680115887732</v>
      </c>
      <c r="E89" s="723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6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3">
        <v>4680115881518</v>
      </c>
      <c r="E91" s="723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3">
        <v>4680115881303</v>
      </c>
      <c r="E92" s="723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5"/>
      <c r="R92" s="725"/>
      <c r="S92" s="725"/>
      <c r="T92" s="72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idden="1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731"/>
      <c r="B94" s="731"/>
      <c r="C94" s="731"/>
      <c r="D94" s="731"/>
      <c r="E94" s="731"/>
      <c r="F94" s="731"/>
      <c r="G94" s="731"/>
      <c r="H94" s="731"/>
      <c r="I94" s="731"/>
      <c r="J94" s="731"/>
      <c r="K94" s="731"/>
      <c r="L94" s="731"/>
      <c r="M94" s="731"/>
      <c r="N94" s="731"/>
      <c r="O94" s="732"/>
      <c r="P94" s="728" t="s">
        <v>40</v>
      </c>
      <c r="Q94" s="729"/>
      <c r="R94" s="729"/>
      <c r="S94" s="729"/>
      <c r="T94" s="729"/>
      <c r="U94" s="729"/>
      <c r="V94" s="730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hidden="1" customHeight="1" x14ac:dyDescent="0.25">
      <c r="A95" s="722" t="s">
        <v>86</v>
      </c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2"/>
      <c r="P95" s="722"/>
      <c r="Q95" s="722"/>
      <c r="R95" s="722"/>
      <c r="S95" s="722"/>
      <c r="T95" s="722"/>
      <c r="U95" s="722"/>
      <c r="V95" s="722"/>
      <c r="W95" s="722"/>
      <c r="X95" s="722"/>
      <c r="Y95" s="722"/>
      <c r="Z95" s="722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723">
        <v>4607091386967</v>
      </c>
      <c r="E96" s="723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3">
        <v>4680115884953</v>
      </c>
      <c r="E97" s="723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723">
        <v>4607091385731</v>
      </c>
      <c r="E98" s="72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3">
        <v>4680115880894</v>
      </c>
      <c r="E99" s="72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5"/>
      <c r="R99" s="725"/>
      <c r="S99" s="725"/>
      <c r="T99" s="72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31"/>
      <c r="B101" s="731"/>
      <c r="C101" s="731"/>
      <c r="D101" s="731"/>
      <c r="E101" s="731"/>
      <c r="F101" s="731"/>
      <c r="G101" s="731"/>
      <c r="H101" s="731"/>
      <c r="I101" s="731"/>
      <c r="J101" s="731"/>
      <c r="K101" s="731"/>
      <c r="L101" s="731"/>
      <c r="M101" s="731"/>
      <c r="N101" s="731"/>
      <c r="O101" s="732"/>
      <c r="P101" s="728" t="s">
        <v>40</v>
      </c>
      <c r="Q101" s="729"/>
      <c r="R101" s="729"/>
      <c r="S101" s="729"/>
      <c r="T101" s="729"/>
      <c r="U101" s="729"/>
      <c r="V101" s="730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721" t="s">
        <v>210</v>
      </c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1"/>
      <c r="P102" s="721"/>
      <c r="Q102" s="721"/>
      <c r="R102" s="721"/>
      <c r="S102" s="721"/>
      <c r="T102" s="721"/>
      <c r="U102" s="721"/>
      <c r="V102" s="721"/>
      <c r="W102" s="721"/>
      <c r="X102" s="721"/>
      <c r="Y102" s="721"/>
      <c r="Z102" s="721"/>
      <c r="AA102" s="65"/>
      <c r="AB102" s="65"/>
      <c r="AC102" s="79"/>
    </row>
    <row r="103" spans="1:68" ht="14.25" hidden="1" customHeight="1" x14ac:dyDescent="0.25">
      <c r="A103" s="722" t="s">
        <v>122</v>
      </c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2"/>
      <c r="P103" s="722"/>
      <c r="Q103" s="722"/>
      <c r="R103" s="722"/>
      <c r="S103" s="722"/>
      <c r="T103" s="722"/>
      <c r="U103" s="722"/>
      <c r="V103" s="722"/>
      <c r="W103" s="722"/>
      <c r="X103" s="722"/>
      <c r="Y103" s="722"/>
      <c r="Z103" s="722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3">
        <v>4680115882133</v>
      </c>
      <c r="E105" s="723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7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3">
        <v>4680115880269</v>
      </c>
      <c r="E108" s="72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3">
        <v>4680115881457</v>
      </c>
      <c r="E111" s="72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3">
        <v>4680115889477</v>
      </c>
      <c r="E112" s="72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5"/>
      <c r="R112" s="725"/>
      <c r="S112" s="725"/>
      <c r="T112" s="72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31"/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2"/>
      <c r="P114" s="728" t="s">
        <v>40</v>
      </c>
      <c r="Q114" s="729"/>
      <c r="R114" s="729"/>
      <c r="S114" s="729"/>
      <c r="T114" s="729"/>
      <c r="U114" s="729"/>
      <c r="V114" s="730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22" t="s">
        <v>159</v>
      </c>
      <c r="B115" s="722"/>
      <c r="C115" s="722"/>
      <c r="D115" s="722"/>
      <c r="E115" s="722"/>
      <c r="F115" s="722"/>
      <c r="G115" s="722"/>
      <c r="H115" s="722"/>
      <c r="I115" s="722"/>
      <c r="J115" s="722"/>
      <c r="K115" s="722"/>
      <c r="L115" s="722"/>
      <c r="M115" s="722"/>
      <c r="N115" s="722"/>
      <c r="O115" s="722"/>
      <c r="P115" s="722"/>
      <c r="Q115" s="722"/>
      <c r="R115" s="722"/>
      <c r="S115" s="722"/>
      <c r="T115" s="722"/>
      <c r="U115" s="722"/>
      <c r="V115" s="722"/>
      <c r="W115" s="722"/>
      <c r="X115" s="722"/>
      <c r="Y115" s="722"/>
      <c r="Z115" s="722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3">
        <v>4680115881488</v>
      </c>
      <c r="E116" s="72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3">
        <v>4607091383256</v>
      </c>
      <c r="E123" s="72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723">
        <v>4607091385748</v>
      </c>
      <c r="E124" s="72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3">
        <v>4680115884533</v>
      </c>
      <c r="E125" s="72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731"/>
      <c r="B127" s="731"/>
      <c r="C127" s="731"/>
      <c r="D127" s="731"/>
      <c r="E127" s="731"/>
      <c r="F127" s="731"/>
      <c r="G127" s="731"/>
      <c r="H127" s="731"/>
      <c r="I127" s="731"/>
      <c r="J127" s="731"/>
      <c r="K127" s="731"/>
      <c r="L127" s="731"/>
      <c r="M127" s="731"/>
      <c r="N127" s="731"/>
      <c r="O127" s="732"/>
      <c r="P127" s="728" t="s">
        <v>40</v>
      </c>
      <c r="Q127" s="729"/>
      <c r="R127" s="729"/>
      <c r="S127" s="729"/>
      <c r="T127" s="729"/>
      <c r="U127" s="729"/>
      <c r="V127" s="730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722" t="s">
        <v>179</v>
      </c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2"/>
      <c r="P128" s="722"/>
      <c r="Q128" s="722"/>
      <c r="R128" s="722"/>
      <c r="S128" s="722"/>
      <c r="T128" s="722"/>
      <c r="U128" s="722"/>
      <c r="V128" s="722"/>
      <c r="W128" s="722"/>
      <c r="X128" s="722"/>
      <c r="Y128" s="722"/>
      <c r="Z128" s="722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3">
        <v>4680115880238</v>
      </c>
      <c r="E129" s="72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5"/>
      <c r="R129" s="725"/>
      <c r="S129" s="725"/>
      <c r="T129" s="72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1"/>
      <c r="B131" s="731"/>
      <c r="C131" s="731"/>
      <c r="D131" s="731"/>
      <c r="E131" s="731"/>
      <c r="F131" s="731"/>
      <c r="G131" s="731"/>
      <c r="H131" s="731"/>
      <c r="I131" s="731"/>
      <c r="J131" s="731"/>
      <c r="K131" s="731"/>
      <c r="L131" s="731"/>
      <c r="M131" s="731"/>
      <c r="N131" s="731"/>
      <c r="O131" s="732"/>
      <c r="P131" s="728" t="s">
        <v>40</v>
      </c>
      <c r="Q131" s="729"/>
      <c r="R131" s="729"/>
      <c r="S131" s="729"/>
      <c r="T131" s="729"/>
      <c r="U131" s="729"/>
      <c r="V131" s="730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1" t="s">
        <v>250</v>
      </c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1"/>
      <c r="P132" s="721"/>
      <c r="Q132" s="721"/>
      <c r="R132" s="721"/>
      <c r="S132" s="721"/>
      <c r="T132" s="721"/>
      <c r="U132" s="721"/>
      <c r="V132" s="721"/>
      <c r="W132" s="721"/>
      <c r="X132" s="721"/>
      <c r="Y132" s="721"/>
      <c r="Z132" s="721"/>
      <c r="AA132" s="65"/>
      <c r="AB132" s="65"/>
      <c r="AC132" s="79"/>
    </row>
    <row r="133" spans="1:68" ht="14.25" hidden="1" customHeight="1" x14ac:dyDescent="0.25">
      <c r="A133" s="722" t="s">
        <v>122</v>
      </c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2"/>
      <c r="P133" s="722"/>
      <c r="Q133" s="722"/>
      <c r="R133" s="722"/>
      <c r="S133" s="722"/>
      <c r="T133" s="722"/>
      <c r="U133" s="722"/>
      <c r="V133" s="722"/>
      <c r="W133" s="722"/>
      <c r="X133" s="722"/>
      <c r="Y133" s="722"/>
      <c r="Z133" s="722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3">
        <v>4680115882577</v>
      </c>
      <c r="E135" s="72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5"/>
      <c r="R135" s="725"/>
      <c r="S135" s="725"/>
      <c r="T135" s="72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1"/>
      <c r="B137" s="731"/>
      <c r="C137" s="731"/>
      <c r="D137" s="731"/>
      <c r="E137" s="731"/>
      <c r="F137" s="731"/>
      <c r="G137" s="731"/>
      <c r="H137" s="731"/>
      <c r="I137" s="731"/>
      <c r="J137" s="731"/>
      <c r="K137" s="731"/>
      <c r="L137" s="731"/>
      <c r="M137" s="731"/>
      <c r="N137" s="731"/>
      <c r="O137" s="732"/>
      <c r="P137" s="728" t="s">
        <v>40</v>
      </c>
      <c r="Q137" s="729"/>
      <c r="R137" s="729"/>
      <c r="S137" s="729"/>
      <c r="T137" s="729"/>
      <c r="U137" s="729"/>
      <c r="V137" s="73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2" t="s">
        <v>77</v>
      </c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2"/>
      <c r="P138" s="722"/>
      <c r="Q138" s="722"/>
      <c r="R138" s="722"/>
      <c r="S138" s="722"/>
      <c r="T138" s="722"/>
      <c r="U138" s="722"/>
      <c r="V138" s="722"/>
      <c r="W138" s="722"/>
      <c r="X138" s="722"/>
      <c r="Y138" s="722"/>
      <c r="Z138" s="722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3">
        <v>4680115883444</v>
      </c>
      <c r="E140" s="72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5"/>
      <c r="R140" s="725"/>
      <c r="S140" s="725"/>
      <c r="T140" s="72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1"/>
      <c r="B142" s="731"/>
      <c r="C142" s="731"/>
      <c r="D142" s="731"/>
      <c r="E142" s="731"/>
      <c r="F142" s="731"/>
      <c r="G142" s="731"/>
      <c r="H142" s="731"/>
      <c r="I142" s="731"/>
      <c r="J142" s="731"/>
      <c r="K142" s="731"/>
      <c r="L142" s="731"/>
      <c r="M142" s="731"/>
      <c r="N142" s="731"/>
      <c r="O142" s="732"/>
      <c r="P142" s="728" t="s">
        <v>40</v>
      </c>
      <c r="Q142" s="729"/>
      <c r="R142" s="729"/>
      <c r="S142" s="729"/>
      <c r="T142" s="729"/>
      <c r="U142" s="729"/>
      <c r="V142" s="730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2" t="s">
        <v>86</v>
      </c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2"/>
      <c r="P143" s="722"/>
      <c r="Q143" s="722"/>
      <c r="R143" s="722"/>
      <c r="S143" s="722"/>
      <c r="T143" s="722"/>
      <c r="U143" s="722"/>
      <c r="V143" s="722"/>
      <c r="W143" s="722"/>
      <c r="X143" s="722"/>
      <c r="Y143" s="722"/>
      <c r="Z143" s="722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7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3">
        <v>4680115882584</v>
      </c>
      <c r="E145" s="72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7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5"/>
      <c r="R145" s="725"/>
      <c r="S145" s="725"/>
      <c r="T145" s="72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1"/>
      <c r="B147" s="731"/>
      <c r="C147" s="731"/>
      <c r="D147" s="731"/>
      <c r="E147" s="731"/>
      <c r="F147" s="731"/>
      <c r="G147" s="731"/>
      <c r="H147" s="731"/>
      <c r="I147" s="731"/>
      <c r="J147" s="731"/>
      <c r="K147" s="731"/>
      <c r="L147" s="731"/>
      <c r="M147" s="731"/>
      <c r="N147" s="731"/>
      <c r="O147" s="732"/>
      <c r="P147" s="728" t="s">
        <v>40</v>
      </c>
      <c r="Q147" s="729"/>
      <c r="R147" s="729"/>
      <c r="S147" s="729"/>
      <c r="T147" s="729"/>
      <c r="U147" s="729"/>
      <c r="V147" s="730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1" t="s">
        <v>263</v>
      </c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1"/>
      <c r="P148" s="721"/>
      <c r="Q148" s="721"/>
      <c r="R148" s="721"/>
      <c r="S148" s="721"/>
      <c r="T148" s="721"/>
      <c r="U148" s="721"/>
      <c r="V148" s="721"/>
      <c r="W148" s="721"/>
      <c r="X148" s="721"/>
      <c r="Y148" s="721"/>
      <c r="Z148" s="721"/>
      <c r="AA148" s="65"/>
      <c r="AB148" s="65"/>
      <c r="AC148" s="79"/>
    </row>
    <row r="149" spans="1:68" ht="14.25" hidden="1" customHeight="1" x14ac:dyDescent="0.25">
      <c r="A149" s="722" t="s">
        <v>86</v>
      </c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2"/>
      <c r="P149" s="722"/>
      <c r="Q149" s="722"/>
      <c r="R149" s="722"/>
      <c r="S149" s="722"/>
      <c r="T149" s="722"/>
      <c r="U149" s="722"/>
      <c r="V149" s="722"/>
      <c r="W149" s="722"/>
      <c r="X149" s="722"/>
      <c r="Y149" s="722"/>
      <c r="Z149" s="722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3">
        <v>4680115888203</v>
      </c>
      <c r="E150" s="72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3">
        <v>4680115888180</v>
      </c>
      <c r="E151" s="72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3">
        <v>4680115888180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3">
        <v>4680115888197</v>
      </c>
      <c r="E153" s="72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3">
        <v>4680115888210</v>
      </c>
      <c r="E154" s="72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3">
        <v>4680115888210</v>
      </c>
      <c r="E155" s="72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1"/>
      <c r="B157" s="731"/>
      <c r="C157" s="731"/>
      <c r="D157" s="731"/>
      <c r="E157" s="731"/>
      <c r="F157" s="731"/>
      <c r="G157" s="731"/>
      <c r="H157" s="731"/>
      <c r="I157" s="731"/>
      <c r="J157" s="731"/>
      <c r="K157" s="731"/>
      <c r="L157" s="731"/>
      <c r="M157" s="731"/>
      <c r="N157" s="731"/>
      <c r="O157" s="732"/>
      <c r="P157" s="728" t="s">
        <v>40</v>
      </c>
      <c r="Q157" s="729"/>
      <c r="R157" s="729"/>
      <c r="S157" s="729"/>
      <c r="T157" s="729"/>
      <c r="U157" s="729"/>
      <c r="V157" s="730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2" t="s">
        <v>278</v>
      </c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2"/>
      <c r="P158" s="722"/>
      <c r="Q158" s="722"/>
      <c r="R158" s="722"/>
      <c r="S158" s="722"/>
      <c r="T158" s="722"/>
      <c r="U158" s="722"/>
      <c r="V158" s="722"/>
      <c r="W158" s="722"/>
      <c r="X158" s="722"/>
      <c r="Y158" s="722"/>
      <c r="Z158" s="722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3">
        <v>4680115889132</v>
      </c>
      <c r="E159" s="72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1" t="s">
        <v>120</v>
      </c>
      <c r="B162" s="721"/>
      <c r="C162" s="721"/>
      <c r="D162" s="721"/>
      <c r="E162" s="721"/>
      <c r="F162" s="721"/>
      <c r="G162" s="721"/>
      <c r="H162" s="721"/>
      <c r="I162" s="721"/>
      <c r="J162" s="721"/>
      <c r="K162" s="721"/>
      <c r="L162" s="721"/>
      <c r="M162" s="721"/>
      <c r="N162" s="721"/>
      <c r="O162" s="721"/>
      <c r="P162" s="721"/>
      <c r="Q162" s="721"/>
      <c r="R162" s="721"/>
      <c r="S162" s="721"/>
      <c r="T162" s="721"/>
      <c r="U162" s="721"/>
      <c r="V162" s="721"/>
      <c r="W162" s="721"/>
      <c r="X162" s="721"/>
      <c r="Y162" s="721"/>
      <c r="Z162" s="721"/>
      <c r="AA162" s="65"/>
      <c r="AB162" s="65"/>
      <c r="AC162" s="79"/>
    </row>
    <row r="163" spans="1:68" ht="14.25" hidden="1" customHeight="1" x14ac:dyDescent="0.25">
      <c r="A163" s="722" t="s">
        <v>122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3">
        <v>4680115887374</v>
      </c>
      <c r="E164" s="72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3">
        <v>4607091384604</v>
      </c>
      <c r="E166" s="723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0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3">
        <v>4680115888876</v>
      </c>
      <c r="E167" s="723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0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5"/>
      <c r="R167" s="725"/>
      <c r="S167" s="725"/>
      <c r="T167" s="72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1"/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2"/>
      <c r="P169" s="728" t="s">
        <v>40</v>
      </c>
      <c r="Q169" s="729"/>
      <c r="R169" s="729"/>
      <c r="S169" s="729"/>
      <c r="T169" s="729"/>
      <c r="U169" s="729"/>
      <c r="V169" s="730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2" t="s">
        <v>159</v>
      </c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2"/>
      <c r="P170" s="722"/>
      <c r="Q170" s="722"/>
      <c r="R170" s="722"/>
      <c r="S170" s="722"/>
      <c r="T170" s="722"/>
      <c r="U170" s="722"/>
      <c r="V170" s="722"/>
      <c r="W170" s="722"/>
      <c r="X170" s="722"/>
      <c r="Y170" s="722"/>
      <c r="Z170" s="722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3">
        <v>4680115887695</v>
      </c>
      <c r="E171" s="723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3">
        <v>4680115889491</v>
      </c>
      <c r="E172" s="723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5"/>
      <c r="R172" s="725"/>
      <c r="S172" s="725"/>
      <c r="T172" s="72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1"/>
      <c r="B174" s="731"/>
      <c r="C174" s="731"/>
      <c r="D174" s="731"/>
      <c r="E174" s="731"/>
      <c r="F174" s="731"/>
      <c r="G174" s="731"/>
      <c r="H174" s="731"/>
      <c r="I174" s="731"/>
      <c r="J174" s="731"/>
      <c r="K174" s="731"/>
      <c r="L174" s="731"/>
      <c r="M174" s="731"/>
      <c r="N174" s="731"/>
      <c r="O174" s="732"/>
      <c r="P174" s="728" t="s">
        <v>40</v>
      </c>
      <c r="Q174" s="729"/>
      <c r="R174" s="729"/>
      <c r="S174" s="729"/>
      <c r="T174" s="729"/>
      <c r="U174" s="729"/>
      <c r="V174" s="730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2" t="s">
        <v>77</v>
      </c>
      <c r="B175" s="722"/>
      <c r="C175" s="722"/>
      <c r="D175" s="722"/>
      <c r="E175" s="722"/>
      <c r="F175" s="722"/>
      <c r="G175" s="722"/>
      <c r="H175" s="722"/>
      <c r="I175" s="722"/>
      <c r="J175" s="722"/>
      <c r="K175" s="722"/>
      <c r="L175" s="722"/>
      <c r="M175" s="722"/>
      <c r="N175" s="722"/>
      <c r="O175" s="722"/>
      <c r="P175" s="722"/>
      <c r="Q175" s="722"/>
      <c r="R175" s="722"/>
      <c r="S175" s="722"/>
      <c r="T175" s="722"/>
      <c r="U175" s="722"/>
      <c r="V175" s="722"/>
      <c r="W175" s="722"/>
      <c r="X175" s="722"/>
      <c r="Y175" s="722"/>
      <c r="Z175" s="722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3">
        <v>4680115887428</v>
      </c>
      <c r="E176" s="72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3">
        <v>4680115889170</v>
      </c>
      <c r="E177" s="723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3">
        <v>4680115887398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3">
        <v>4680115887336</v>
      </c>
      <c r="E179" s="723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3">
        <v>4680115887787</v>
      </c>
      <c r="E181" s="72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3">
        <v>4680115887503</v>
      </c>
      <c r="E182" s="72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3">
        <v>4680115887763</v>
      </c>
      <c r="E183" s="723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3">
        <v>4680115887480</v>
      </c>
      <c r="E184" s="72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3">
        <v>4680115888067</v>
      </c>
      <c r="E185" s="723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3">
        <v>4680115887435</v>
      </c>
      <c r="E186" s="723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1"/>
      <c r="B188" s="731"/>
      <c r="C188" s="731"/>
      <c r="D188" s="731"/>
      <c r="E188" s="731"/>
      <c r="F188" s="731"/>
      <c r="G188" s="731"/>
      <c r="H188" s="731"/>
      <c r="I188" s="731"/>
      <c r="J188" s="731"/>
      <c r="K188" s="731"/>
      <c r="L188" s="731"/>
      <c r="M188" s="731"/>
      <c r="N188" s="731"/>
      <c r="O188" s="732"/>
      <c r="P188" s="728" t="s">
        <v>40</v>
      </c>
      <c r="Q188" s="729"/>
      <c r="R188" s="729"/>
      <c r="S188" s="729"/>
      <c r="T188" s="729"/>
      <c r="U188" s="729"/>
      <c r="V188" s="730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2" t="s">
        <v>86</v>
      </c>
      <c r="B189" s="722"/>
      <c r="C189" s="722"/>
      <c r="D189" s="722"/>
      <c r="E189" s="722"/>
      <c r="F189" s="722"/>
      <c r="G189" s="722"/>
      <c r="H189" s="722"/>
      <c r="I189" s="722"/>
      <c r="J189" s="722"/>
      <c r="K189" s="722"/>
      <c r="L189" s="722"/>
      <c r="M189" s="722"/>
      <c r="N189" s="722"/>
      <c r="O189" s="722"/>
      <c r="P189" s="722"/>
      <c r="Q189" s="722"/>
      <c r="R189" s="722"/>
      <c r="S189" s="722"/>
      <c r="T189" s="722"/>
      <c r="U189" s="722"/>
      <c r="V189" s="722"/>
      <c r="W189" s="722"/>
      <c r="X189" s="722"/>
      <c r="Y189" s="722"/>
      <c r="Z189" s="722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3">
        <v>4680115888395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3">
        <v>4680115888371</v>
      </c>
      <c r="E191" s="723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3">
        <v>4680115887459</v>
      </c>
      <c r="E192" s="723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5"/>
      <c r="R192" s="725"/>
      <c r="S192" s="725"/>
      <c r="T192" s="72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1"/>
      <c r="B194" s="731"/>
      <c r="C194" s="731"/>
      <c r="D194" s="731"/>
      <c r="E194" s="731"/>
      <c r="F194" s="731"/>
      <c r="G194" s="731"/>
      <c r="H194" s="731"/>
      <c r="I194" s="731"/>
      <c r="J194" s="731"/>
      <c r="K194" s="731"/>
      <c r="L194" s="731"/>
      <c r="M194" s="731"/>
      <c r="N194" s="731"/>
      <c r="O194" s="732"/>
      <c r="P194" s="728" t="s">
        <v>40</v>
      </c>
      <c r="Q194" s="729"/>
      <c r="R194" s="729"/>
      <c r="S194" s="729"/>
      <c r="T194" s="729"/>
      <c r="U194" s="729"/>
      <c r="V194" s="730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2" t="s">
        <v>278</v>
      </c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2"/>
      <c r="P195" s="722"/>
      <c r="Q195" s="722"/>
      <c r="R195" s="722"/>
      <c r="S195" s="722"/>
      <c r="T195" s="722"/>
      <c r="U195" s="722"/>
      <c r="V195" s="722"/>
      <c r="W195" s="722"/>
      <c r="X195" s="722"/>
      <c r="Y195" s="722"/>
      <c r="Z195" s="722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3">
        <v>4680115889026</v>
      </c>
      <c r="E196" s="72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2" t="s">
        <v>342</v>
      </c>
      <c r="B199" s="722"/>
      <c r="C199" s="722"/>
      <c r="D199" s="722"/>
      <c r="E199" s="722"/>
      <c r="F199" s="722"/>
      <c r="G199" s="722"/>
      <c r="H199" s="722"/>
      <c r="I199" s="722"/>
      <c r="J199" s="722"/>
      <c r="K199" s="722"/>
      <c r="L199" s="722"/>
      <c r="M199" s="722"/>
      <c r="N199" s="722"/>
      <c r="O199" s="722"/>
      <c r="P199" s="722"/>
      <c r="Q199" s="722"/>
      <c r="R199" s="722"/>
      <c r="S199" s="722"/>
      <c r="T199" s="722"/>
      <c r="U199" s="722"/>
      <c r="V199" s="722"/>
      <c r="W199" s="722"/>
      <c r="X199" s="722"/>
      <c r="Y199" s="722"/>
      <c r="Z199" s="722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3">
        <v>4680115889033</v>
      </c>
      <c r="E200" s="72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5"/>
      <c r="R200" s="725"/>
      <c r="S200" s="725"/>
      <c r="T200" s="72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0" t="s">
        <v>346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54"/>
      <c r="AB203" s="54"/>
      <c r="AC203" s="54"/>
    </row>
    <row r="204" spans="1:68" ht="16.5" hidden="1" customHeight="1" x14ac:dyDescent="0.25">
      <c r="A204" s="721" t="s">
        <v>347</v>
      </c>
      <c r="B204" s="721"/>
      <c r="C204" s="721"/>
      <c r="D204" s="721"/>
      <c r="E204" s="721"/>
      <c r="F204" s="721"/>
      <c r="G204" s="721"/>
      <c r="H204" s="721"/>
      <c r="I204" s="721"/>
      <c r="J204" s="721"/>
      <c r="K204" s="721"/>
      <c r="L204" s="721"/>
      <c r="M204" s="721"/>
      <c r="N204" s="721"/>
      <c r="O204" s="721"/>
      <c r="P204" s="721"/>
      <c r="Q204" s="721"/>
      <c r="R204" s="721"/>
      <c r="S204" s="721"/>
      <c r="T204" s="721"/>
      <c r="U204" s="721"/>
      <c r="V204" s="721"/>
      <c r="W204" s="721"/>
      <c r="X204" s="721"/>
      <c r="Y204" s="721"/>
      <c r="Z204" s="721"/>
      <c r="AA204" s="65"/>
      <c r="AB204" s="65"/>
      <c r="AC204" s="79"/>
    </row>
    <row r="205" spans="1:68" ht="14.25" hidden="1" customHeight="1" x14ac:dyDescent="0.25">
      <c r="A205" s="722" t="s">
        <v>122</v>
      </c>
      <c r="B205" s="722"/>
      <c r="C205" s="722"/>
      <c r="D205" s="722"/>
      <c r="E205" s="722"/>
      <c r="F205" s="722"/>
      <c r="G205" s="722"/>
      <c r="H205" s="722"/>
      <c r="I205" s="722"/>
      <c r="J205" s="722"/>
      <c r="K205" s="722"/>
      <c r="L205" s="722"/>
      <c r="M205" s="722"/>
      <c r="N205" s="722"/>
      <c r="O205" s="722"/>
      <c r="P205" s="722"/>
      <c r="Q205" s="722"/>
      <c r="R205" s="722"/>
      <c r="S205" s="722"/>
      <c r="T205" s="722"/>
      <c r="U205" s="722"/>
      <c r="V205" s="722"/>
      <c r="W205" s="722"/>
      <c r="X205" s="722"/>
      <c r="Y205" s="722"/>
      <c r="Z205" s="722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3">
        <v>4607091383423</v>
      </c>
      <c r="E206" s="72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3">
        <v>4680115888760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3">
        <v>4680115888807</v>
      </c>
      <c r="E208" s="72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3">
        <v>4680115888852</v>
      </c>
      <c r="E209" s="72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3">
        <v>4680115886957</v>
      </c>
      <c r="E210" s="72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3">
        <v>4680115885660</v>
      </c>
      <c r="E211" s="72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3">
        <v>4680115886773</v>
      </c>
      <c r="E212" s="72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1"/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2"/>
      <c r="P214" s="728" t="s">
        <v>40</v>
      </c>
      <c r="Q214" s="729"/>
      <c r="R214" s="729"/>
      <c r="S214" s="729"/>
      <c r="T214" s="729"/>
      <c r="U214" s="729"/>
      <c r="V214" s="73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1" t="s">
        <v>368</v>
      </c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1"/>
      <c r="P215" s="721"/>
      <c r="Q215" s="721"/>
      <c r="R215" s="721"/>
      <c r="S215" s="721"/>
      <c r="T215" s="721"/>
      <c r="U215" s="721"/>
      <c r="V215" s="721"/>
      <c r="W215" s="721"/>
      <c r="X215" s="721"/>
      <c r="Y215" s="721"/>
      <c r="Z215" s="721"/>
      <c r="AA215" s="65"/>
      <c r="AB215" s="65"/>
      <c r="AC215" s="79"/>
    </row>
    <row r="216" spans="1:68" ht="14.25" hidden="1" customHeight="1" x14ac:dyDescent="0.25">
      <c r="A216" s="722" t="s">
        <v>159</v>
      </c>
      <c r="B216" s="722"/>
      <c r="C216" s="722"/>
      <c r="D216" s="722"/>
      <c r="E216" s="722"/>
      <c r="F216" s="722"/>
      <c r="G216" s="722"/>
      <c r="H216" s="722"/>
      <c r="I216" s="722"/>
      <c r="J216" s="722"/>
      <c r="K216" s="722"/>
      <c r="L216" s="722"/>
      <c r="M216" s="722"/>
      <c r="N216" s="722"/>
      <c r="O216" s="722"/>
      <c r="P216" s="722"/>
      <c r="Q216" s="722"/>
      <c r="R216" s="722"/>
      <c r="S216" s="722"/>
      <c r="T216" s="722"/>
      <c r="U216" s="722"/>
      <c r="V216" s="722"/>
      <c r="W216" s="722"/>
      <c r="X216" s="722"/>
      <c r="Y216" s="722"/>
      <c r="Z216" s="722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3">
        <v>4680115886223</v>
      </c>
      <c r="E217" s="72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2" t="s">
        <v>77</v>
      </c>
      <c r="B220" s="722"/>
      <c r="C220" s="722"/>
      <c r="D220" s="722"/>
      <c r="E220" s="722"/>
      <c r="F220" s="722"/>
      <c r="G220" s="722"/>
      <c r="H220" s="722"/>
      <c r="I220" s="722"/>
      <c r="J220" s="722"/>
      <c r="K220" s="722"/>
      <c r="L220" s="722"/>
      <c r="M220" s="722"/>
      <c r="N220" s="722"/>
      <c r="O220" s="722"/>
      <c r="P220" s="722"/>
      <c r="Q220" s="722"/>
      <c r="R220" s="722"/>
      <c r="S220" s="722"/>
      <c r="T220" s="722"/>
      <c r="U220" s="722"/>
      <c r="V220" s="722"/>
      <c r="W220" s="722"/>
      <c r="X220" s="722"/>
      <c r="Y220" s="722"/>
      <c r="Z220" s="722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723">
        <v>4680115880993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723">
        <v>4680115881761</v>
      </c>
      <c r="E222" s="72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723">
        <v>4680115881563</v>
      </c>
      <c r="E223" s="72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3">
        <v>4680115887565</v>
      </c>
      <c r="E224" s="72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3">
        <v>4680115880986</v>
      </c>
      <c r="E225" s="72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3">
        <v>4680115887213</v>
      </c>
      <c r="E226" s="72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3">
        <v>4680115881785</v>
      </c>
      <c r="E227" s="72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3">
        <v>4680115888432</v>
      </c>
      <c r="E228" s="72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3">
        <v>4680115888104</v>
      </c>
      <c r="E229" s="72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3">
        <v>4680115886537</v>
      </c>
      <c r="E230" s="72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3">
        <v>4680115887596</v>
      </c>
      <c r="E231" s="72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3">
        <v>4680115881679</v>
      </c>
      <c r="E232" s="72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3">
        <v>4680115880191</v>
      </c>
      <c r="E234" s="723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3">
        <v>4680115883963</v>
      </c>
      <c r="E235" s="723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731"/>
      <c r="B237" s="731"/>
      <c r="C237" s="731"/>
      <c r="D237" s="731"/>
      <c r="E237" s="731"/>
      <c r="F237" s="731"/>
      <c r="G237" s="731"/>
      <c r="H237" s="731"/>
      <c r="I237" s="731"/>
      <c r="J237" s="731"/>
      <c r="K237" s="731"/>
      <c r="L237" s="731"/>
      <c r="M237" s="731"/>
      <c r="N237" s="731"/>
      <c r="O237" s="732"/>
      <c r="P237" s="728" t="s">
        <v>40</v>
      </c>
      <c r="Q237" s="729"/>
      <c r="R237" s="729"/>
      <c r="S237" s="729"/>
      <c r="T237" s="729"/>
      <c r="U237" s="729"/>
      <c r="V237" s="730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722" t="s">
        <v>86</v>
      </c>
      <c r="B238" s="722"/>
      <c r="C238" s="722"/>
      <c r="D238" s="722"/>
      <c r="E238" s="722"/>
      <c r="F238" s="722"/>
      <c r="G238" s="722"/>
      <c r="H238" s="722"/>
      <c r="I238" s="722"/>
      <c r="J238" s="722"/>
      <c r="K238" s="722"/>
      <c r="L238" s="722"/>
      <c r="M238" s="722"/>
      <c r="N238" s="722"/>
      <c r="O238" s="722"/>
      <c r="P238" s="722"/>
      <c r="Q238" s="722"/>
      <c r="R238" s="722"/>
      <c r="S238" s="722"/>
      <c r="T238" s="722"/>
      <c r="U238" s="722"/>
      <c r="V238" s="722"/>
      <c r="W238" s="722"/>
      <c r="X238" s="722"/>
      <c r="Y238" s="722"/>
      <c r="Z238" s="722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3">
        <v>4680115888692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3">
        <v>4680115888722</v>
      </c>
      <c r="E242" s="723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3">
        <v>4680115888951</v>
      </c>
      <c r="E244" s="72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3">
        <v>4680115888975</v>
      </c>
      <c r="E245" s="723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5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278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439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442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159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179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510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159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532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342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3">
        <v>4680115886681</v>
      </c>
      <c r="E322" s="72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31"/>
      <c r="B324" s="731"/>
      <c r="C324" s="731"/>
      <c r="D324" s="731"/>
      <c r="E324" s="731"/>
      <c r="F324" s="731"/>
      <c r="G324" s="731"/>
      <c r="H324" s="731"/>
      <c r="I324" s="731"/>
      <c r="J324" s="731"/>
      <c r="K324" s="731"/>
      <c r="L324" s="731"/>
      <c r="M324" s="731"/>
      <c r="N324" s="731"/>
      <c r="O324" s="732"/>
      <c r="P324" s="728" t="s">
        <v>40</v>
      </c>
      <c r="Q324" s="729"/>
      <c r="R324" s="729"/>
      <c r="S324" s="729"/>
      <c r="T324" s="729"/>
      <c r="U324" s="729"/>
      <c r="V324" s="73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hidden="1" customHeight="1" x14ac:dyDescent="0.25">
      <c r="A325" s="721" t="s">
        <v>539</v>
      </c>
      <c r="B325" s="721"/>
      <c r="C325" s="721"/>
      <c r="D325" s="721"/>
      <c r="E325" s="721"/>
      <c r="F325" s="721"/>
      <c r="G325" s="721"/>
      <c r="H325" s="721"/>
      <c r="I325" s="721"/>
      <c r="J325" s="721"/>
      <c r="K325" s="721"/>
      <c r="L325" s="721"/>
      <c r="M325" s="721"/>
      <c r="N325" s="721"/>
      <c r="O325" s="721"/>
      <c r="P325" s="721"/>
      <c r="Q325" s="721"/>
      <c r="R325" s="721"/>
      <c r="S325" s="721"/>
      <c r="T325" s="721"/>
      <c r="U325" s="721"/>
      <c r="V325" s="721"/>
      <c r="W325" s="721"/>
      <c r="X325" s="721"/>
      <c r="Y325" s="721"/>
      <c r="Z325" s="721"/>
      <c r="AA325" s="65"/>
      <c r="AB325" s="65"/>
      <c r="AC325" s="79"/>
    </row>
    <row r="326" spans="1:68" ht="14.25" hidden="1" customHeight="1" x14ac:dyDescent="0.25">
      <c r="A326" s="722" t="s">
        <v>122</v>
      </c>
      <c r="B326" s="722"/>
      <c r="C326" s="722"/>
      <c r="D326" s="722"/>
      <c r="E326" s="722"/>
      <c r="F326" s="722"/>
      <c r="G326" s="722"/>
      <c r="H326" s="722"/>
      <c r="I326" s="722"/>
      <c r="J326" s="722"/>
      <c r="K326" s="722"/>
      <c r="L326" s="722"/>
      <c r="M326" s="722"/>
      <c r="N326" s="722"/>
      <c r="O326" s="722"/>
      <c r="P326" s="722"/>
      <c r="Q326" s="722"/>
      <c r="R326" s="722"/>
      <c r="S326" s="722"/>
      <c r="T326" s="722"/>
      <c r="U326" s="722"/>
      <c r="V326" s="722"/>
      <c r="W326" s="722"/>
      <c r="X326" s="722"/>
      <c r="Y326" s="722"/>
      <c r="Z326" s="722"/>
      <c r="AA326" s="66"/>
      <c r="AB326" s="66"/>
      <c r="AC326" s="80"/>
    </row>
    <row r="327" spans="1:68" ht="27" hidden="1" customHeight="1" x14ac:dyDescent="0.25">
      <c r="A327" s="63" t="s">
        <v>540</v>
      </c>
      <c r="B327" s="63" t="s">
        <v>541</v>
      </c>
      <c r="C327" s="36">
        <v>4301012390</v>
      </c>
      <c r="D327" s="723">
        <v>4680115889637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544</v>
      </c>
      <c r="B328" s="63" t="s">
        <v>545</v>
      </c>
      <c r="C328" s="36">
        <v>4301011855</v>
      </c>
      <c r="D328" s="723">
        <v>4680115885837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547</v>
      </c>
      <c r="B329" s="63" t="s">
        <v>548</v>
      </c>
      <c r="C329" s="36">
        <v>4301012234</v>
      </c>
      <c r="D329" s="723">
        <v>4680115887237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hidden="1" customHeight="1" x14ac:dyDescent="0.25">
      <c r="A330" s="63" t="s">
        <v>550</v>
      </c>
      <c r="B330" s="63" t="s">
        <v>551</v>
      </c>
      <c r="C330" s="36">
        <v>4301011850</v>
      </c>
      <c r="D330" s="723">
        <v>4680115885806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4301011852</v>
      </c>
      <c r="D331" s="723">
        <v>4680115885844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556</v>
      </c>
      <c r="B332" s="63" t="s">
        <v>557</v>
      </c>
      <c r="C332" s="36">
        <v>4301011851</v>
      </c>
      <c r="D332" s="723">
        <v>4680115885820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hidden="1" customHeight="1" x14ac:dyDescent="0.25">
      <c r="A335" s="721" t="s">
        <v>559</v>
      </c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1"/>
      <c r="P335" s="721"/>
      <c r="Q335" s="721"/>
      <c r="R335" s="721"/>
      <c r="S335" s="721"/>
      <c r="T335" s="721"/>
      <c r="U335" s="721"/>
      <c r="V335" s="721"/>
      <c r="W335" s="721"/>
      <c r="X335" s="721"/>
      <c r="Y335" s="721"/>
      <c r="Z335" s="721"/>
      <c r="AA335" s="65"/>
      <c r="AB335" s="65"/>
      <c r="AC335" s="79"/>
    </row>
    <row r="336" spans="1:68" ht="14.25" hidden="1" customHeight="1" x14ac:dyDescent="0.25">
      <c r="A336" s="722" t="s">
        <v>86</v>
      </c>
      <c r="B336" s="722"/>
      <c r="C336" s="722"/>
      <c r="D336" s="722"/>
      <c r="E336" s="722"/>
      <c r="F336" s="722"/>
      <c r="G336" s="722"/>
      <c r="H336" s="722"/>
      <c r="I336" s="722"/>
      <c r="J336" s="722"/>
      <c r="K336" s="722"/>
      <c r="L336" s="722"/>
      <c r="M336" s="722"/>
      <c r="N336" s="722"/>
      <c r="O336" s="722"/>
      <c r="P336" s="722"/>
      <c r="Q336" s="722"/>
      <c r="R336" s="722"/>
      <c r="S336" s="722"/>
      <c r="T336" s="722"/>
      <c r="U336" s="722"/>
      <c r="V336" s="722"/>
      <c r="W336" s="722"/>
      <c r="X336" s="722"/>
      <c r="Y336" s="722"/>
      <c r="Z336" s="722"/>
      <c r="AA336" s="66"/>
      <c r="AB336" s="66"/>
      <c r="AC336" s="80"/>
    </row>
    <row r="337" spans="1:68" ht="27" hidden="1" customHeight="1" x14ac:dyDescent="0.25">
      <c r="A337" s="63" t="s">
        <v>560</v>
      </c>
      <c r="B337" s="63" t="s">
        <v>561</v>
      </c>
      <c r="C337" s="36">
        <v>4301051893</v>
      </c>
      <c r="D337" s="723">
        <v>4680115886186</v>
      </c>
      <c r="E337" s="723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563</v>
      </c>
      <c r="B338" s="63" t="s">
        <v>564</v>
      </c>
      <c r="C338" s="36">
        <v>4301051795</v>
      </c>
      <c r="D338" s="723">
        <v>4680115881228</v>
      </c>
      <c r="E338" s="723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9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4301051388</v>
      </c>
      <c r="D339" s="723">
        <v>4680115881211</v>
      </c>
      <c r="E339" s="723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hidden="1" customHeight="1" x14ac:dyDescent="0.25">
      <c r="A342" s="721" t="s">
        <v>568</v>
      </c>
      <c r="B342" s="721"/>
      <c r="C342" s="721"/>
      <c r="D342" s="721"/>
      <c r="E342" s="721"/>
      <c r="F342" s="721"/>
      <c r="G342" s="721"/>
      <c r="H342" s="721"/>
      <c r="I342" s="721"/>
      <c r="J342" s="721"/>
      <c r="K342" s="721"/>
      <c r="L342" s="721"/>
      <c r="M342" s="721"/>
      <c r="N342" s="721"/>
      <c r="O342" s="721"/>
      <c r="P342" s="721"/>
      <c r="Q342" s="721"/>
      <c r="R342" s="721"/>
      <c r="S342" s="721"/>
      <c r="T342" s="721"/>
      <c r="U342" s="721"/>
      <c r="V342" s="721"/>
      <c r="W342" s="721"/>
      <c r="X342" s="721"/>
      <c r="Y342" s="721"/>
      <c r="Z342" s="721"/>
      <c r="AA342" s="65"/>
      <c r="AB342" s="65"/>
      <c r="AC342" s="79"/>
    </row>
    <row r="343" spans="1:68" ht="14.25" hidden="1" customHeight="1" x14ac:dyDescent="0.25">
      <c r="A343" s="722" t="s">
        <v>77</v>
      </c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2"/>
      <c r="P343" s="722"/>
      <c r="Q343" s="722"/>
      <c r="R343" s="722"/>
      <c r="S343" s="722"/>
      <c r="T343" s="722"/>
      <c r="U343" s="722"/>
      <c r="V343" s="722"/>
      <c r="W343" s="722"/>
      <c r="X343" s="722"/>
      <c r="Y343" s="722"/>
      <c r="Z343" s="722"/>
      <c r="AA343" s="66"/>
      <c r="AB343" s="66"/>
      <c r="AC343" s="80"/>
    </row>
    <row r="344" spans="1:68" ht="27" hidden="1" customHeight="1" x14ac:dyDescent="0.25">
      <c r="A344" s="63" t="s">
        <v>569</v>
      </c>
      <c r="B344" s="63" t="s">
        <v>570</v>
      </c>
      <c r="C344" s="36">
        <v>4301031445</v>
      </c>
      <c r="D344" s="723">
        <v>4680115888319</v>
      </c>
      <c r="E344" s="723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9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571</v>
      </c>
      <c r="B345" s="63" t="s">
        <v>572</v>
      </c>
      <c r="C345" s="36">
        <v>4301031502</v>
      </c>
      <c r="D345" s="723">
        <v>4680115884700</v>
      </c>
      <c r="E345" s="723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4301031307</v>
      </c>
      <c r="D346" s="723">
        <v>4680115880344</v>
      </c>
      <c r="E346" s="723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4301031501</v>
      </c>
      <c r="D347" s="723">
        <v>4680115886919</v>
      </c>
      <c r="E347" s="723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4301031246</v>
      </c>
      <c r="D348" s="723">
        <v>4680115883970</v>
      </c>
      <c r="E348" s="723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722" t="s">
        <v>86</v>
      </c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2"/>
      <c r="P351" s="722"/>
      <c r="Q351" s="722"/>
      <c r="R351" s="722"/>
      <c r="S351" s="722"/>
      <c r="T351" s="722"/>
      <c r="U351" s="722"/>
      <c r="V351" s="722"/>
      <c r="W351" s="722"/>
      <c r="X351" s="722"/>
      <c r="Y351" s="722"/>
      <c r="Z351" s="722"/>
      <c r="AA351" s="66"/>
      <c r="AB351" s="66"/>
      <c r="AC351" s="80"/>
    </row>
    <row r="352" spans="1:68" ht="27" hidden="1" customHeight="1" x14ac:dyDescent="0.25">
      <c r="A352" s="63" t="s">
        <v>583</v>
      </c>
      <c r="B352" s="63" t="s">
        <v>584</v>
      </c>
      <c r="C352" s="36">
        <v>4301051782</v>
      </c>
      <c r="D352" s="723">
        <v>4680115884618</v>
      </c>
      <c r="E352" s="723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586</v>
      </c>
      <c r="B353" s="63" t="s">
        <v>587</v>
      </c>
      <c r="C353" s="36">
        <v>4301052057</v>
      </c>
      <c r="D353" s="723">
        <v>4680115887114</v>
      </c>
      <c r="E353" s="723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721" t="s">
        <v>589</v>
      </c>
      <c r="B356" s="721"/>
      <c r="C356" s="721"/>
      <c r="D356" s="721"/>
      <c r="E356" s="721"/>
      <c r="F356" s="721"/>
      <c r="G356" s="721"/>
      <c r="H356" s="721"/>
      <c r="I356" s="721"/>
      <c r="J356" s="721"/>
      <c r="K356" s="721"/>
      <c r="L356" s="721"/>
      <c r="M356" s="721"/>
      <c r="N356" s="721"/>
      <c r="O356" s="721"/>
      <c r="P356" s="721"/>
      <c r="Q356" s="721"/>
      <c r="R356" s="721"/>
      <c r="S356" s="721"/>
      <c r="T356" s="721"/>
      <c r="U356" s="721"/>
      <c r="V356" s="721"/>
      <c r="W356" s="721"/>
      <c r="X356" s="721"/>
      <c r="Y356" s="721"/>
      <c r="Z356" s="721"/>
      <c r="AA356" s="65"/>
      <c r="AB356" s="65"/>
      <c r="AC356" s="79"/>
    </row>
    <row r="357" spans="1:68" ht="14.25" hidden="1" customHeight="1" x14ac:dyDescent="0.25">
      <c r="A357" s="722" t="s">
        <v>122</v>
      </c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2"/>
      <c r="P357" s="722"/>
      <c r="Q357" s="722"/>
      <c r="R357" s="722"/>
      <c r="S357" s="722"/>
      <c r="T357" s="722"/>
      <c r="U357" s="722"/>
      <c r="V357" s="722"/>
      <c r="W357" s="722"/>
      <c r="X357" s="722"/>
      <c r="Y357" s="722"/>
      <c r="Z357" s="722"/>
      <c r="AA357" s="66"/>
      <c r="AB357" s="66"/>
      <c r="AC357" s="80"/>
    </row>
    <row r="358" spans="1:68" ht="27" hidden="1" customHeight="1" x14ac:dyDescent="0.25">
      <c r="A358" s="63" t="s">
        <v>590</v>
      </c>
      <c r="B358" s="63" t="s">
        <v>591</v>
      </c>
      <c r="C358" s="36">
        <v>4301012324</v>
      </c>
      <c r="D358" s="723">
        <v>4680115887947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592</v>
      </c>
      <c r="B359" s="63" t="s">
        <v>593</v>
      </c>
      <c r="C359" s="36">
        <v>4301012325</v>
      </c>
      <c r="D359" s="723">
        <v>4680115887978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4301012327</v>
      </c>
      <c r="D360" s="723">
        <v>4680115887992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hidden="1" customHeight="1" x14ac:dyDescent="0.25">
      <c r="A363" s="721" t="s">
        <v>598</v>
      </c>
      <c r="B363" s="721"/>
      <c r="C363" s="721"/>
      <c r="D363" s="721"/>
      <c r="E363" s="721"/>
      <c r="F363" s="721"/>
      <c r="G363" s="721"/>
      <c r="H363" s="721"/>
      <c r="I363" s="721"/>
      <c r="J363" s="721"/>
      <c r="K363" s="721"/>
      <c r="L363" s="721"/>
      <c r="M363" s="721"/>
      <c r="N363" s="721"/>
      <c r="O363" s="721"/>
      <c r="P363" s="721"/>
      <c r="Q363" s="721"/>
      <c r="R363" s="721"/>
      <c r="S363" s="721"/>
      <c r="T363" s="721"/>
      <c r="U363" s="721"/>
      <c r="V363" s="721"/>
      <c r="W363" s="721"/>
      <c r="X363" s="721"/>
      <c r="Y363" s="721"/>
      <c r="Z363" s="721"/>
      <c r="AA363" s="65"/>
      <c r="AB363" s="65"/>
      <c r="AC363" s="79"/>
    </row>
    <row r="364" spans="1:68" ht="14.25" hidden="1" customHeight="1" x14ac:dyDescent="0.25">
      <c r="A364" s="722" t="s">
        <v>122</v>
      </c>
      <c r="B364" s="722"/>
      <c r="C364" s="722"/>
      <c r="D364" s="722"/>
      <c r="E364" s="722"/>
      <c r="F364" s="722"/>
      <c r="G364" s="722"/>
      <c r="H364" s="722"/>
      <c r="I364" s="722"/>
      <c r="J364" s="722"/>
      <c r="K364" s="722"/>
      <c r="L364" s="722"/>
      <c r="M364" s="722"/>
      <c r="N364" s="722"/>
      <c r="O364" s="722"/>
      <c r="P364" s="722"/>
      <c r="Q364" s="722"/>
      <c r="R364" s="722"/>
      <c r="S364" s="722"/>
      <c r="T364" s="722"/>
      <c r="U364" s="722"/>
      <c r="V364" s="722"/>
      <c r="W364" s="722"/>
      <c r="X364" s="722"/>
      <c r="Y364" s="722"/>
      <c r="Z364" s="722"/>
      <c r="AA364" s="66"/>
      <c r="AB364" s="66"/>
      <c r="AC364" s="80"/>
    </row>
    <row r="365" spans="1:68" ht="27" hidden="1" customHeight="1" x14ac:dyDescent="0.25">
      <c r="A365" s="63" t="s">
        <v>599</v>
      </c>
      <c r="B365" s="63" t="s">
        <v>600</v>
      </c>
      <c r="C365" s="36">
        <v>4301012400</v>
      </c>
      <c r="D365" s="723">
        <v>4680115889880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601</v>
      </c>
      <c r="B366" s="63" t="s">
        <v>602</v>
      </c>
      <c r="C366" s="36">
        <v>4301012360</v>
      </c>
      <c r="D366" s="723">
        <v>4680115889293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4301012235</v>
      </c>
      <c r="D367" s="723">
        <v>4680115887190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607</v>
      </c>
      <c r="B368" s="63" t="s">
        <v>608</v>
      </c>
      <c r="C368" s="36">
        <v>4301012233</v>
      </c>
      <c r="D368" s="723">
        <v>4680115887138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4301012016</v>
      </c>
      <c r="D369" s="723">
        <v>4680115885554</v>
      </c>
      <c r="E369" s="72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4301012236</v>
      </c>
      <c r="D370" s="723">
        <v>4680115887220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4301011859</v>
      </c>
      <c r="D371" s="723">
        <v>4680115885608</v>
      </c>
      <c r="E371" s="723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5"/>
      <c r="R371" s="725"/>
      <c r="S371" s="725"/>
      <c r="T371" s="72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1"/>
      <c r="B373" s="731"/>
      <c r="C373" s="731"/>
      <c r="D373" s="731"/>
      <c r="E373" s="731"/>
      <c r="F373" s="731"/>
      <c r="G373" s="731"/>
      <c r="H373" s="731"/>
      <c r="I373" s="731"/>
      <c r="J373" s="731"/>
      <c r="K373" s="731"/>
      <c r="L373" s="731"/>
      <c r="M373" s="731"/>
      <c r="N373" s="731"/>
      <c r="O373" s="732"/>
      <c r="P373" s="728" t="s">
        <v>40</v>
      </c>
      <c r="Q373" s="729"/>
      <c r="R373" s="729"/>
      <c r="S373" s="729"/>
      <c r="T373" s="729"/>
      <c r="U373" s="729"/>
      <c r="V373" s="730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2" t="s">
        <v>77</v>
      </c>
      <c r="B374" s="722"/>
      <c r="C374" s="722"/>
      <c r="D374" s="722"/>
      <c r="E374" s="722"/>
      <c r="F374" s="722"/>
      <c r="G374" s="722"/>
      <c r="H374" s="722"/>
      <c r="I374" s="722"/>
      <c r="J374" s="722"/>
      <c r="K374" s="722"/>
      <c r="L374" s="722"/>
      <c r="M374" s="722"/>
      <c r="N374" s="722"/>
      <c r="O374" s="722"/>
      <c r="P374" s="722"/>
      <c r="Q374" s="722"/>
      <c r="R374" s="722"/>
      <c r="S374" s="722"/>
      <c r="T374" s="722"/>
      <c r="U374" s="722"/>
      <c r="V374" s="722"/>
      <c r="W374" s="722"/>
      <c r="X374" s="722"/>
      <c r="Y374" s="722"/>
      <c r="Z374" s="722"/>
      <c r="AA374" s="66"/>
      <c r="AB374" s="66"/>
      <c r="AC374" s="80"/>
    </row>
    <row r="375" spans="1:68" ht="27" hidden="1" customHeight="1" x14ac:dyDescent="0.25">
      <c r="A375" s="63" t="s">
        <v>618</v>
      </c>
      <c r="B375" s="63" t="s">
        <v>619</v>
      </c>
      <c r="C375" s="36">
        <v>4301030878</v>
      </c>
      <c r="D375" s="723">
        <v>4607091387193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4301031153</v>
      </c>
      <c r="D376" s="723">
        <v>4607091387230</v>
      </c>
      <c r="E376" s="723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4301031154</v>
      </c>
      <c r="D377" s="723">
        <v>4607091387292</v>
      </c>
      <c r="E377" s="72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4301031152</v>
      </c>
      <c r="D378" s="723">
        <v>4607091387285</v>
      </c>
      <c r="E378" s="723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4301031305</v>
      </c>
      <c r="D379" s="723">
        <v>4607091389845</v>
      </c>
      <c r="E379" s="723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4301031460</v>
      </c>
      <c r="D380" s="723">
        <v>4680115887442</v>
      </c>
      <c r="E380" s="72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4301031066</v>
      </c>
      <c r="D381" s="723">
        <v>4607091383836</v>
      </c>
      <c r="E381" s="723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5"/>
      <c r="R381" s="725"/>
      <c r="S381" s="725"/>
      <c r="T381" s="72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1"/>
      <c r="B383" s="731"/>
      <c r="C383" s="731"/>
      <c r="D383" s="731"/>
      <c r="E383" s="731"/>
      <c r="F383" s="731"/>
      <c r="G383" s="731"/>
      <c r="H383" s="731"/>
      <c r="I383" s="731"/>
      <c r="J383" s="731"/>
      <c r="K383" s="731"/>
      <c r="L383" s="731"/>
      <c r="M383" s="731"/>
      <c r="N383" s="731"/>
      <c r="O383" s="732"/>
      <c r="P383" s="728" t="s">
        <v>40</v>
      </c>
      <c r="Q383" s="729"/>
      <c r="R383" s="729"/>
      <c r="S383" s="729"/>
      <c r="T383" s="729"/>
      <c r="U383" s="729"/>
      <c r="V383" s="73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2" t="s">
        <v>86</v>
      </c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2"/>
      <c r="P384" s="722"/>
      <c r="Q384" s="722"/>
      <c r="R384" s="722"/>
      <c r="S384" s="722"/>
      <c r="T384" s="722"/>
      <c r="U384" s="722"/>
      <c r="V384" s="722"/>
      <c r="W384" s="722"/>
      <c r="X384" s="722"/>
      <c r="Y384" s="722"/>
      <c r="Z384" s="722"/>
      <c r="AA384" s="66"/>
      <c r="AB384" s="66"/>
      <c r="AC384" s="80"/>
    </row>
    <row r="385" spans="1:68" ht="27" hidden="1" customHeight="1" x14ac:dyDescent="0.25">
      <c r="A385" s="63" t="s">
        <v>637</v>
      </c>
      <c r="B385" s="63" t="s">
        <v>638</v>
      </c>
      <c r="C385" s="36">
        <v>4301051100</v>
      </c>
      <c r="D385" s="723">
        <v>4607091387766</v>
      </c>
      <c r="E385" s="723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4301051818</v>
      </c>
      <c r="D386" s="723">
        <v>4607091387957</v>
      </c>
      <c r="E386" s="72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4301051819</v>
      </c>
      <c r="D387" s="723">
        <v>4607091387964</v>
      </c>
      <c r="E387" s="723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4301051734</v>
      </c>
      <c r="D388" s="723">
        <v>4680115884588</v>
      </c>
      <c r="E388" s="723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5"/>
      <c r="R388" s="725"/>
      <c r="S388" s="725"/>
      <c r="T388" s="72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1"/>
      <c r="B390" s="731"/>
      <c r="C390" s="731"/>
      <c r="D390" s="731"/>
      <c r="E390" s="731"/>
      <c r="F390" s="731"/>
      <c r="G390" s="731"/>
      <c r="H390" s="731"/>
      <c r="I390" s="731"/>
      <c r="J390" s="731"/>
      <c r="K390" s="731"/>
      <c r="L390" s="731"/>
      <c r="M390" s="731"/>
      <c r="N390" s="731"/>
      <c r="O390" s="732"/>
      <c r="P390" s="728" t="s">
        <v>40</v>
      </c>
      <c r="Q390" s="729"/>
      <c r="R390" s="729"/>
      <c r="S390" s="729"/>
      <c r="T390" s="729"/>
      <c r="U390" s="729"/>
      <c r="V390" s="73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2" t="s">
        <v>179</v>
      </c>
      <c r="B391" s="722"/>
      <c r="C391" s="722"/>
      <c r="D391" s="722"/>
      <c r="E391" s="722"/>
      <c r="F391" s="722"/>
      <c r="G391" s="722"/>
      <c r="H391" s="722"/>
      <c r="I391" s="722"/>
      <c r="J391" s="722"/>
      <c r="K391" s="722"/>
      <c r="L391" s="722"/>
      <c r="M391" s="722"/>
      <c r="N391" s="722"/>
      <c r="O391" s="722"/>
      <c r="P391" s="722"/>
      <c r="Q391" s="722"/>
      <c r="R391" s="722"/>
      <c r="S391" s="722"/>
      <c r="T391" s="722"/>
      <c r="U391" s="722"/>
      <c r="V391" s="722"/>
      <c r="W391" s="722"/>
      <c r="X391" s="722"/>
      <c r="Y391" s="722"/>
      <c r="Z391" s="722"/>
      <c r="AA391" s="66"/>
      <c r="AB391" s="66"/>
      <c r="AC391" s="80"/>
    </row>
    <row r="392" spans="1:68" ht="27" hidden="1" customHeight="1" x14ac:dyDescent="0.25">
      <c r="A392" s="63" t="s">
        <v>648</v>
      </c>
      <c r="B392" s="63" t="s">
        <v>649</v>
      </c>
      <c r="C392" s="36">
        <v>4301060387</v>
      </c>
      <c r="D392" s="723">
        <v>4607091380880</v>
      </c>
      <c r="E392" s="723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4301060406</v>
      </c>
      <c r="D393" s="723">
        <v>4607091384482</v>
      </c>
      <c r="E393" s="723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4301060484</v>
      </c>
      <c r="D394" s="723">
        <v>4607091380897</v>
      </c>
      <c r="E394" s="723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5"/>
      <c r="R394" s="725"/>
      <c r="S394" s="725"/>
      <c r="T394" s="72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1"/>
      <c r="B396" s="731"/>
      <c r="C396" s="731"/>
      <c r="D396" s="731"/>
      <c r="E396" s="731"/>
      <c r="F396" s="731"/>
      <c r="G396" s="731"/>
      <c r="H396" s="731"/>
      <c r="I396" s="731"/>
      <c r="J396" s="731"/>
      <c r="K396" s="731"/>
      <c r="L396" s="731"/>
      <c r="M396" s="731"/>
      <c r="N396" s="731"/>
      <c r="O396" s="732"/>
      <c r="P396" s="728" t="s">
        <v>40</v>
      </c>
      <c r="Q396" s="729"/>
      <c r="R396" s="729"/>
      <c r="S396" s="729"/>
      <c r="T396" s="729"/>
      <c r="U396" s="729"/>
      <c r="V396" s="73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2" t="s">
        <v>278</v>
      </c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2"/>
      <c r="P397" s="722"/>
      <c r="Q397" s="722"/>
      <c r="R397" s="722"/>
      <c r="S397" s="722"/>
      <c r="T397" s="722"/>
      <c r="U397" s="722"/>
      <c r="V397" s="722"/>
      <c r="W397" s="722"/>
      <c r="X397" s="722"/>
      <c r="Y397" s="722"/>
      <c r="Z397" s="722"/>
      <c r="AA397" s="66"/>
      <c r="AB397" s="66"/>
      <c r="AC397" s="80"/>
    </row>
    <row r="398" spans="1:68" ht="27" hidden="1" customHeight="1" x14ac:dyDescent="0.25">
      <c r="A398" s="63" t="s">
        <v>657</v>
      </c>
      <c r="B398" s="63" t="s">
        <v>658</v>
      </c>
      <c r="C398" s="36">
        <v>4301030235</v>
      </c>
      <c r="D398" s="723">
        <v>4607091388381</v>
      </c>
      <c r="E398" s="723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660</v>
      </c>
      <c r="B399" s="63" t="s">
        <v>661</v>
      </c>
      <c r="C399" s="36">
        <v>4301030232</v>
      </c>
      <c r="D399" s="723">
        <v>4607091388374</v>
      </c>
      <c r="E399" s="723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4301032015</v>
      </c>
      <c r="D400" s="723">
        <v>4607091383102</v>
      </c>
      <c r="E400" s="723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4301030233</v>
      </c>
      <c r="D401" s="723">
        <v>4607091388404</v>
      </c>
      <c r="E401" s="723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5"/>
      <c r="R401" s="725"/>
      <c r="S401" s="725"/>
      <c r="T401" s="72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1"/>
      <c r="B403" s="731"/>
      <c r="C403" s="731"/>
      <c r="D403" s="731"/>
      <c r="E403" s="731"/>
      <c r="F403" s="731"/>
      <c r="G403" s="731"/>
      <c r="H403" s="731"/>
      <c r="I403" s="731"/>
      <c r="J403" s="731"/>
      <c r="K403" s="731"/>
      <c r="L403" s="731"/>
      <c r="M403" s="731"/>
      <c r="N403" s="731"/>
      <c r="O403" s="732"/>
      <c r="P403" s="728" t="s">
        <v>40</v>
      </c>
      <c r="Q403" s="729"/>
      <c r="R403" s="729"/>
      <c r="S403" s="729"/>
      <c r="T403" s="729"/>
      <c r="U403" s="729"/>
      <c r="V403" s="73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2" t="s">
        <v>666</v>
      </c>
      <c r="B404" s="722"/>
      <c r="C404" s="722"/>
      <c r="D404" s="722"/>
      <c r="E404" s="722"/>
      <c r="F404" s="722"/>
      <c r="G404" s="722"/>
      <c r="H404" s="722"/>
      <c r="I404" s="722"/>
      <c r="J404" s="722"/>
      <c r="K404" s="722"/>
      <c r="L404" s="722"/>
      <c r="M404" s="722"/>
      <c r="N404" s="722"/>
      <c r="O404" s="722"/>
      <c r="P404" s="722"/>
      <c r="Q404" s="722"/>
      <c r="R404" s="722"/>
      <c r="S404" s="722"/>
      <c r="T404" s="722"/>
      <c r="U404" s="722"/>
      <c r="V404" s="722"/>
      <c r="W404" s="722"/>
      <c r="X404" s="722"/>
      <c r="Y404" s="722"/>
      <c r="Z404" s="722"/>
      <c r="AA404" s="66"/>
      <c r="AB404" s="66"/>
      <c r="AC404" s="80"/>
    </row>
    <row r="405" spans="1:68" ht="16.5" hidden="1" customHeight="1" x14ac:dyDescent="0.25">
      <c r="A405" s="63" t="s">
        <v>667</v>
      </c>
      <c r="B405" s="63" t="s">
        <v>668</v>
      </c>
      <c r="C405" s="36">
        <v>4301180007</v>
      </c>
      <c r="D405" s="723">
        <v>4680115881808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9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4301180006</v>
      </c>
      <c r="D406" s="723">
        <v>4680115881822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9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4301180001</v>
      </c>
      <c r="D407" s="723">
        <v>4680115880016</v>
      </c>
      <c r="E407" s="723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9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5"/>
      <c r="R407" s="725"/>
      <c r="S407" s="725"/>
      <c r="T407" s="72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1"/>
      <c r="B409" s="731"/>
      <c r="C409" s="731"/>
      <c r="D409" s="731"/>
      <c r="E409" s="731"/>
      <c r="F409" s="731"/>
      <c r="G409" s="731"/>
      <c r="H409" s="731"/>
      <c r="I409" s="731"/>
      <c r="J409" s="731"/>
      <c r="K409" s="731"/>
      <c r="L409" s="731"/>
      <c r="M409" s="731"/>
      <c r="N409" s="731"/>
      <c r="O409" s="732"/>
      <c r="P409" s="728" t="s">
        <v>40</v>
      </c>
      <c r="Q409" s="729"/>
      <c r="R409" s="729"/>
      <c r="S409" s="729"/>
      <c r="T409" s="729"/>
      <c r="U409" s="729"/>
      <c r="V409" s="73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2" t="s">
        <v>675</v>
      </c>
      <c r="B410" s="722"/>
      <c r="C410" s="722"/>
      <c r="D410" s="722"/>
      <c r="E410" s="722"/>
      <c r="F410" s="722"/>
      <c r="G410" s="722"/>
      <c r="H410" s="722"/>
      <c r="I410" s="722"/>
      <c r="J410" s="722"/>
      <c r="K410" s="722"/>
      <c r="L410" s="722"/>
      <c r="M410" s="722"/>
      <c r="N410" s="722"/>
      <c r="O410" s="722"/>
      <c r="P410" s="722"/>
      <c r="Q410" s="722"/>
      <c r="R410" s="722"/>
      <c r="S410" s="722"/>
      <c r="T410" s="722"/>
      <c r="U410" s="722"/>
      <c r="V410" s="722"/>
      <c r="W410" s="722"/>
      <c r="X410" s="722"/>
      <c r="Y410" s="722"/>
      <c r="Z410" s="722"/>
      <c r="AA410" s="66"/>
      <c r="AB410" s="66"/>
      <c r="AC410" s="80"/>
    </row>
    <row r="411" spans="1:68" ht="27" hidden="1" customHeight="1" x14ac:dyDescent="0.25">
      <c r="A411" s="63" t="s">
        <v>676</v>
      </c>
      <c r="B411" s="63" t="s">
        <v>677</v>
      </c>
      <c r="C411" s="36">
        <v>4301220003</v>
      </c>
      <c r="D411" s="723">
        <v>4680115888678</v>
      </c>
      <c r="E411" s="723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94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4301220001</v>
      </c>
      <c r="D412" s="723">
        <v>4680115888654</v>
      </c>
      <c r="E412" s="723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94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4301220002</v>
      </c>
      <c r="D413" s="723">
        <v>4680115888753</v>
      </c>
      <c r="E413" s="723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94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5"/>
      <c r="R413" s="725"/>
      <c r="S413" s="725"/>
      <c r="T413" s="72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1"/>
      <c r="B415" s="731"/>
      <c r="C415" s="731"/>
      <c r="D415" s="731"/>
      <c r="E415" s="731"/>
      <c r="F415" s="731"/>
      <c r="G415" s="731"/>
      <c r="H415" s="731"/>
      <c r="I415" s="731"/>
      <c r="J415" s="731"/>
      <c r="K415" s="731"/>
      <c r="L415" s="731"/>
      <c r="M415" s="731"/>
      <c r="N415" s="731"/>
      <c r="O415" s="732"/>
      <c r="P415" s="728" t="s">
        <v>40</v>
      </c>
      <c r="Q415" s="729"/>
      <c r="R415" s="729"/>
      <c r="S415" s="729"/>
      <c r="T415" s="729"/>
      <c r="U415" s="729"/>
      <c r="V415" s="73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1" t="s">
        <v>684</v>
      </c>
      <c r="B416" s="721"/>
      <c r="C416" s="721"/>
      <c r="D416" s="721"/>
      <c r="E416" s="721"/>
      <c r="F416" s="721"/>
      <c r="G416" s="721"/>
      <c r="H416" s="721"/>
      <c r="I416" s="721"/>
      <c r="J416" s="721"/>
      <c r="K416" s="721"/>
      <c r="L416" s="721"/>
      <c r="M416" s="721"/>
      <c r="N416" s="721"/>
      <c r="O416" s="721"/>
      <c r="P416" s="721"/>
      <c r="Q416" s="721"/>
      <c r="R416" s="721"/>
      <c r="S416" s="721"/>
      <c r="T416" s="721"/>
      <c r="U416" s="721"/>
      <c r="V416" s="721"/>
      <c r="W416" s="721"/>
      <c r="X416" s="721"/>
      <c r="Y416" s="721"/>
      <c r="Z416" s="721"/>
      <c r="AA416" s="65"/>
      <c r="AB416" s="65"/>
      <c r="AC416" s="79"/>
    </row>
    <row r="417" spans="1:68" ht="14.25" hidden="1" customHeight="1" x14ac:dyDescent="0.25">
      <c r="A417" s="722" t="s">
        <v>86</v>
      </c>
      <c r="B417" s="722"/>
      <c r="C417" s="722"/>
      <c r="D417" s="722"/>
      <c r="E417" s="722"/>
      <c r="F417" s="722"/>
      <c r="G417" s="722"/>
      <c r="H417" s="722"/>
      <c r="I417" s="722"/>
      <c r="J417" s="722"/>
      <c r="K417" s="722"/>
      <c r="L417" s="722"/>
      <c r="M417" s="722"/>
      <c r="N417" s="722"/>
      <c r="O417" s="722"/>
      <c r="P417" s="722"/>
      <c r="Q417" s="722"/>
      <c r="R417" s="722"/>
      <c r="S417" s="722"/>
      <c r="T417" s="722"/>
      <c r="U417" s="722"/>
      <c r="V417" s="722"/>
      <c r="W417" s="722"/>
      <c r="X417" s="722"/>
      <c r="Y417" s="722"/>
      <c r="Z417" s="722"/>
      <c r="AA417" s="66"/>
      <c r="AB417" s="66"/>
      <c r="AC417" s="80"/>
    </row>
    <row r="418" spans="1:68" ht="16.5" hidden="1" customHeight="1" x14ac:dyDescent="0.25">
      <c r="A418" s="63" t="s">
        <v>685</v>
      </c>
      <c r="B418" s="63" t="s">
        <v>686</v>
      </c>
      <c r="C418" s="36">
        <v>4301052235</v>
      </c>
      <c r="D418" s="723">
        <v>4680115889415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688</v>
      </c>
      <c r="B419" s="63" t="s">
        <v>689</v>
      </c>
      <c r="C419" s="36">
        <v>4301052236</v>
      </c>
      <c r="D419" s="723">
        <v>4680115889422</v>
      </c>
      <c r="E419" s="723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5"/>
      <c r="R419" s="725"/>
      <c r="S419" s="725"/>
      <c r="T419" s="72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1"/>
      <c r="B421" s="731"/>
      <c r="C421" s="731"/>
      <c r="D421" s="731"/>
      <c r="E421" s="731"/>
      <c r="F421" s="731"/>
      <c r="G421" s="731"/>
      <c r="H421" s="731"/>
      <c r="I421" s="731"/>
      <c r="J421" s="731"/>
      <c r="K421" s="731"/>
      <c r="L421" s="731"/>
      <c r="M421" s="731"/>
      <c r="N421" s="731"/>
      <c r="O421" s="732"/>
      <c r="P421" s="728" t="s">
        <v>40</v>
      </c>
      <c r="Q421" s="729"/>
      <c r="R421" s="729"/>
      <c r="S421" s="729"/>
      <c r="T421" s="729"/>
      <c r="U421" s="729"/>
      <c r="V421" s="73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1" t="s">
        <v>691</v>
      </c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1"/>
      <c r="P422" s="721"/>
      <c r="Q422" s="721"/>
      <c r="R422" s="721"/>
      <c r="S422" s="721"/>
      <c r="T422" s="721"/>
      <c r="U422" s="721"/>
      <c r="V422" s="721"/>
      <c r="W422" s="721"/>
      <c r="X422" s="721"/>
      <c r="Y422" s="721"/>
      <c r="Z422" s="721"/>
      <c r="AA422" s="65"/>
      <c r="AB422" s="65"/>
      <c r="AC422" s="79"/>
    </row>
    <row r="423" spans="1:68" ht="14.25" hidden="1" customHeight="1" x14ac:dyDescent="0.25">
      <c r="A423" s="722" t="s">
        <v>86</v>
      </c>
      <c r="B423" s="722"/>
      <c r="C423" s="722"/>
      <c r="D423" s="722"/>
      <c r="E423" s="722"/>
      <c r="F423" s="722"/>
      <c r="G423" s="722"/>
      <c r="H423" s="722"/>
      <c r="I423" s="722"/>
      <c r="J423" s="722"/>
      <c r="K423" s="722"/>
      <c r="L423" s="722"/>
      <c r="M423" s="722"/>
      <c r="N423" s="722"/>
      <c r="O423" s="722"/>
      <c r="P423" s="722"/>
      <c r="Q423" s="722"/>
      <c r="R423" s="722"/>
      <c r="S423" s="722"/>
      <c r="T423" s="722"/>
      <c r="U423" s="722"/>
      <c r="V423" s="722"/>
      <c r="W423" s="722"/>
      <c r="X423" s="722"/>
      <c r="Y423" s="722"/>
      <c r="Z423" s="722"/>
      <c r="AA423" s="66"/>
      <c r="AB423" s="66"/>
      <c r="AC423" s="80"/>
    </row>
    <row r="424" spans="1:68" ht="27" hidden="1" customHeight="1" x14ac:dyDescent="0.25">
      <c r="A424" s="63" t="s">
        <v>692</v>
      </c>
      <c r="B424" s="63" t="s">
        <v>693</v>
      </c>
      <c r="C424" s="36">
        <v>4301051489</v>
      </c>
      <c r="D424" s="723">
        <v>4607091387919</v>
      </c>
      <c r="E424" s="723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695</v>
      </c>
      <c r="B425" s="63" t="s">
        <v>696</v>
      </c>
      <c r="C425" s="36">
        <v>4301051461</v>
      </c>
      <c r="D425" s="723">
        <v>4680115883604</v>
      </c>
      <c r="E425" s="723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4301051864</v>
      </c>
      <c r="D426" s="723">
        <v>4680115883567</v>
      </c>
      <c r="E426" s="723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5"/>
      <c r="R426" s="725"/>
      <c r="S426" s="725"/>
      <c r="T426" s="72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1"/>
      <c r="B428" s="731"/>
      <c r="C428" s="731"/>
      <c r="D428" s="731"/>
      <c r="E428" s="731"/>
      <c r="F428" s="731"/>
      <c r="G428" s="731"/>
      <c r="H428" s="731"/>
      <c r="I428" s="731"/>
      <c r="J428" s="731"/>
      <c r="K428" s="731"/>
      <c r="L428" s="731"/>
      <c r="M428" s="731"/>
      <c r="N428" s="731"/>
      <c r="O428" s="732"/>
      <c r="P428" s="728" t="s">
        <v>40</v>
      </c>
      <c r="Q428" s="729"/>
      <c r="R428" s="729"/>
      <c r="S428" s="729"/>
      <c r="T428" s="729"/>
      <c r="U428" s="729"/>
      <c r="V428" s="73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0" t="s">
        <v>701</v>
      </c>
      <c r="B429" s="720"/>
      <c r="C429" s="720"/>
      <c r="D429" s="720"/>
      <c r="E429" s="720"/>
      <c r="F429" s="720"/>
      <c r="G429" s="720"/>
      <c r="H429" s="720"/>
      <c r="I429" s="720"/>
      <c r="J429" s="720"/>
      <c r="K429" s="720"/>
      <c r="L429" s="720"/>
      <c r="M429" s="720"/>
      <c r="N429" s="720"/>
      <c r="O429" s="720"/>
      <c r="P429" s="720"/>
      <c r="Q429" s="720"/>
      <c r="R429" s="720"/>
      <c r="S429" s="720"/>
      <c r="T429" s="720"/>
      <c r="U429" s="720"/>
      <c r="V429" s="720"/>
      <c r="W429" s="720"/>
      <c r="X429" s="720"/>
      <c r="Y429" s="720"/>
      <c r="Z429" s="720"/>
      <c r="AA429" s="54"/>
      <c r="AB429" s="54"/>
      <c r="AC429" s="54"/>
    </row>
    <row r="430" spans="1:68" ht="16.5" hidden="1" customHeight="1" x14ac:dyDescent="0.25">
      <c r="A430" s="721" t="s">
        <v>702</v>
      </c>
      <c r="B430" s="721"/>
      <c r="C430" s="721"/>
      <c r="D430" s="721"/>
      <c r="E430" s="721"/>
      <c r="F430" s="721"/>
      <c r="G430" s="721"/>
      <c r="H430" s="721"/>
      <c r="I430" s="721"/>
      <c r="J430" s="721"/>
      <c r="K430" s="721"/>
      <c r="L430" s="721"/>
      <c r="M430" s="721"/>
      <c r="N430" s="721"/>
      <c r="O430" s="721"/>
      <c r="P430" s="721"/>
      <c r="Q430" s="721"/>
      <c r="R430" s="721"/>
      <c r="S430" s="721"/>
      <c r="T430" s="721"/>
      <c r="U430" s="721"/>
      <c r="V430" s="721"/>
      <c r="W430" s="721"/>
      <c r="X430" s="721"/>
      <c r="Y430" s="721"/>
      <c r="Z430" s="721"/>
      <c r="AA430" s="65"/>
      <c r="AB430" s="65"/>
      <c r="AC430" s="79"/>
    </row>
    <row r="431" spans="1:68" ht="14.25" hidden="1" customHeight="1" x14ac:dyDescent="0.25">
      <c r="A431" s="722" t="s">
        <v>122</v>
      </c>
      <c r="B431" s="722"/>
      <c r="C431" s="722"/>
      <c r="D431" s="722"/>
      <c r="E431" s="722"/>
      <c r="F431" s="722"/>
      <c r="G431" s="722"/>
      <c r="H431" s="722"/>
      <c r="I431" s="722"/>
      <c r="J431" s="722"/>
      <c r="K431" s="722"/>
      <c r="L431" s="722"/>
      <c r="M431" s="722"/>
      <c r="N431" s="722"/>
      <c r="O431" s="722"/>
      <c r="P431" s="722"/>
      <c r="Q431" s="722"/>
      <c r="R431" s="722"/>
      <c r="S431" s="722"/>
      <c r="T431" s="722"/>
      <c r="U431" s="722"/>
      <c r="V431" s="722"/>
      <c r="W431" s="722"/>
      <c r="X431" s="722"/>
      <c r="Y431" s="722"/>
      <c r="Z431" s="722"/>
      <c r="AA431" s="66"/>
      <c r="AB431" s="66"/>
      <c r="AC431" s="80"/>
    </row>
    <row r="432" spans="1:68" ht="27" hidden="1" customHeight="1" x14ac:dyDescent="0.25">
      <c r="A432" s="63" t="s">
        <v>703</v>
      </c>
      <c r="B432" s="63" t="s">
        <v>704</v>
      </c>
      <c r="C432" s="36">
        <v>4301012332</v>
      </c>
      <c r="D432" s="723">
        <v>4680115888401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hidden="1" customHeight="1" x14ac:dyDescent="0.25">
      <c r="A433" s="63" t="s">
        <v>706</v>
      </c>
      <c r="B433" s="63" t="s">
        <v>707</v>
      </c>
      <c r="C433" s="36">
        <v>4301011869</v>
      </c>
      <c r="D433" s="723">
        <v>4680115884847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hidden="1" customHeight="1" x14ac:dyDescent="0.25">
      <c r="A434" s="63" t="s">
        <v>709</v>
      </c>
      <c r="B434" s="63" t="s">
        <v>710</v>
      </c>
      <c r="C434" s="36">
        <v>4301012083</v>
      </c>
      <c r="D434" s="723">
        <v>4680115884854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4301011867</v>
      </c>
      <c r="D435" s="723">
        <v>4680115884830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3000</v>
      </c>
      <c r="Y435" s="55">
        <f t="shared" si="73"/>
        <v>3000</v>
      </c>
      <c r="Z435" s="41">
        <f>IFERROR(IF(Y435=0,"",ROUNDUP(Y435/H435,0)*0.02175),"")</f>
        <v>4.3499999999999996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3094</v>
      </c>
      <c r="BN435" s="78">
        <f t="shared" si="75"/>
        <v>3094</v>
      </c>
      <c r="BO435" s="78">
        <f t="shared" si="76"/>
        <v>4.1666666666666661</v>
      </c>
      <c r="BP435" s="78">
        <f t="shared" si="77"/>
        <v>4.1666666666666661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4301012356</v>
      </c>
      <c r="D436" s="723">
        <v>4680115889231</v>
      </c>
      <c r="E436" s="72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5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4301011433</v>
      </c>
      <c r="D437" s="723">
        <v>4680115882638</v>
      </c>
      <c r="E437" s="723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4301011952</v>
      </c>
      <c r="D438" s="723">
        <v>4680115884922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hidden="1" customHeight="1" x14ac:dyDescent="0.25">
      <c r="A439" s="63" t="s">
        <v>724</v>
      </c>
      <c r="B439" s="63" t="s">
        <v>725</v>
      </c>
      <c r="C439" s="36">
        <v>4301011868</v>
      </c>
      <c r="D439" s="723">
        <v>4680115884861</v>
      </c>
      <c r="E439" s="723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5"/>
      <c r="R439" s="725"/>
      <c r="S439" s="725"/>
      <c r="T439" s="72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200</v>
      </c>
      <c r="Y440" s="43">
        <f>IFERROR(Y432/H432,"0")+IFERROR(Y433/H433,"0")+IFERROR(Y434/H434,"0")+IFERROR(Y435/H435,"0")+IFERROR(Y436/H436,"0")+IFERROR(Y437/H437,"0")+IFERROR(Y438/H438,"0")+IFERROR(Y439/H439,"0")</f>
        <v>200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4.3499999999999996</v>
      </c>
      <c r="AA440" s="67"/>
      <c r="AB440" s="67"/>
      <c r="AC440" s="67"/>
    </row>
    <row r="441" spans="1:68" x14ac:dyDescent="0.2">
      <c r="A441" s="731"/>
      <c r="B441" s="731"/>
      <c r="C441" s="731"/>
      <c r="D441" s="731"/>
      <c r="E441" s="731"/>
      <c r="F441" s="731"/>
      <c r="G441" s="731"/>
      <c r="H441" s="731"/>
      <c r="I441" s="731"/>
      <c r="J441" s="731"/>
      <c r="K441" s="731"/>
      <c r="L441" s="731"/>
      <c r="M441" s="731"/>
      <c r="N441" s="731"/>
      <c r="O441" s="732"/>
      <c r="P441" s="728" t="s">
        <v>40</v>
      </c>
      <c r="Q441" s="729"/>
      <c r="R441" s="729"/>
      <c r="S441" s="729"/>
      <c r="T441" s="729"/>
      <c r="U441" s="729"/>
      <c r="V441" s="730"/>
      <c r="W441" s="42" t="s">
        <v>0</v>
      </c>
      <c r="X441" s="43">
        <f>IFERROR(SUM(X432:X439),"0")</f>
        <v>3000</v>
      </c>
      <c r="Y441" s="43">
        <f>IFERROR(SUM(Y432:Y439),"0")</f>
        <v>3000</v>
      </c>
      <c r="Z441" s="42"/>
      <c r="AA441" s="67"/>
      <c r="AB441" s="67"/>
      <c r="AC441" s="67"/>
    </row>
    <row r="442" spans="1:68" ht="14.25" hidden="1" customHeight="1" x14ac:dyDescent="0.25">
      <c r="A442" s="722" t="s">
        <v>159</v>
      </c>
      <c r="B442" s="722"/>
      <c r="C442" s="722"/>
      <c r="D442" s="722"/>
      <c r="E442" s="722"/>
      <c r="F442" s="722"/>
      <c r="G442" s="722"/>
      <c r="H442" s="722"/>
      <c r="I442" s="722"/>
      <c r="J442" s="722"/>
      <c r="K442" s="722"/>
      <c r="L442" s="722"/>
      <c r="M442" s="722"/>
      <c r="N442" s="722"/>
      <c r="O442" s="722"/>
      <c r="P442" s="722"/>
      <c r="Q442" s="722"/>
      <c r="R442" s="722"/>
      <c r="S442" s="722"/>
      <c r="T442" s="722"/>
      <c r="U442" s="722"/>
      <c r="V442" s="722"/>
      <c r="W442" s="722"/>
      <c r="X442" s="722"/>
      <c r="Y442" s="722"/>
      <c r="Z442" s="722"/>
      <c r="AA442" s="66"/>
      <c r="AB442" s="66"/>
      <c r="AC442" s="80"/>
    </row>
    <row r="443" spans="1:68" ht="27" hidden="1" customHeight="1" x14ac:dyDescent="0.25">
      <c r="A443" s="63" t="s">
        <v>727</v>
      </c>
      <c r="B443" s="63" t="s">
        <v>728</v>
      </c>
      <c r="C443" s="36">
        <v>4301020178</v>
      </c>
      <c r="D443" s="723">
        <v>4607091383980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730</v>
      </c>
      <c r="B444" s="63" t="s">
        <v>731</v>
      </c>
      <c r="C444" s="36">
        <v>4301020355</v>
      </c>
      <c r="D444" s="723">
        <v>4680115888425</v>
      </c>
      <c r="E444" s="723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4301020179</v>
      </c>
      <c r="D445" s="723">
        <v>4607091384178</v>
      </c>
      <c r="E445" s="723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5"/>
      <c r="R445" s="725"/>
      <c r="S445" s="725"/>
      <c r="T445" s="72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1"/>
      <c r="B447" s="731"/>
      <c r="C447" s="731"/>
      <c r="D447" s="731"/>
      <c r="E447" s="731"/>
      <c r="F447" s="731"/>
      <c r="G447" s="731"/>
      <c r="H447" s="731"/>
      <c r="I447" s="731"/>
      <c r="J447" s="731"/>
      <c r="K447" s="731"/>
      <c r="L447" s="731"/>
      <c r="M447" s="731"/>
      <c r="N447" s="731"/>
      <c r="O447" s="732"/>
      <c r="P447" s="728" t="s">
        <v>40</v>
      </c>
      <c r="Q447" s="729"/>
      <c r="R447" s="729"/>
      <c r="S447" s="729"/>
      <c r="T447" s="729"/>
      <c r="U447" s="729"/>
      <c r="V447" s="73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2" t="s">
        <v>86</v>
      </c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2"/>
      <c r="P448" s="722"/>
      <c r="Q448" s="722"/>
      <c r="R448" s="722"/>
      <c r="S448" s="722"/>
      <c r="T448" s="722"/>
      <c r="U448" s="722"/>
      <c r="V448" s="722"/>
      <c r="W448" s="722"/>
      <c r="X448" s="722"/>
      <c r="Y448" s="722"/>
      <c r="Z448" s="722"/>
      <c r="AA448" s="66"/>
      <c r="AB448" s="66"/>
      <c r="AC448" s="80"/>
    </row>
    <row r="449" spans="1:68" ht="27" hidden="1" customHeight="1" x14ac:dyDescent="0.25">
      <c r="A449" s="63" t="s">
        <v>736</v>
      </c>
      <c r="B449" s="63" t="s">
        <v>737</v>
      </c>
      <c r="C449" s="36">
        <v>4301051903</v>
      </c>
      <c r="D449" s="723">
        <v>4607091383928</v>
      </c>
      <c r="E449" s="723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739</v>
      </c>
      <c r="B450" s="63" t="s">
        <v>740</v>
      </c>
      <c r="C450" s="36">
        <v>4301051897</v>
      </c>
      <c r="D450" s="723">
        <v>4607091384260</v>
      </c>
      <c r="E450" s="72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4301052220</v>
      </c>
      <c r="D451" s="723">
        <v>4680115889538</v>
      </c>
      <c r="E451" s="723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6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5"/>
      <c r="R451" s="725"/>
      <c r="S451" s="725"/>
      <c r="T451" s="72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1"/>
      <c r="B453" s="731"/>
      <c r="C453" s="731"/>
      <c r="D453" s="731"/>
      <c r="E453" s="731"/>
      <c r="F453" s="731"/>
      <c r="G453" s="731"/>
      <c r="H453" s="731"/>
      <c r="I453" s="731"/>
      <c r="J453" s="731"/>
      <c r="K453" s="731"/>
      <c r="L453" s="731"/>
      <c r="M453" s="731"/>
      <c r="N453" s="731"/>
      <c r="O453" s="732"/>
      <c r="P453" s="728" t="s">
        <v>40</v>
      </c>
      <c r="Q453" s="729"/>
      <c r="R453" s="729"/>
      <c r="S453" s="729"/>
      <c r="T453" s="729"/>
      <c r="U453" s="729"/>
      <c r="V453" s="73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2" t="s">
        <v>179</v>
      </c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2"/>
      <c r="P454" s="722"/>
      <c r="Q454" s="722"/>
      <c r="R454" s="722"/>
      <c r="S454" s="722"/>
      <c r="T454" s="722"/>
      <c r="U454" s="722"/>
      <c r="V454" s="722"/>
      <c r="W454" s="722"/>
      <c r="X454" s="722"/>
      <c r="Y454" s="722"/>
      <c r="Z454" s="722"/>
      <c r="AA454" s="66"/>
      <c r="AB454" s="66"/>
      <c r="AC454" s="80"/>
    </row>
    <row r="455" spans="1:68" ht="27" hidden="1" customHeight="1" x14ac:dyDescent="0.25">
      <c r="A455" s="63" t="s">
        <v>745</v>
      </c>
      <c r="B455" s="63" t="s">
        <v>746</v>
      </c>
      <c r="C455" s="36">
        <v>4301060537</v>
      </c>
      <c r="D455" s="723">
        <v>4680115889545</v>
      </c>
      <c r="E455" s="723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748</v>
      </c>
      <c r="B456" s="63" t="s">
        <v>749</v>
      </c>
      <c r="C456" s="36">
        <v>4301060524</v>
      </c>
      <c r="D456" s="723">
        <v>4607091384673</v>
      </c>
      <c r="E456" s="72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5"/>
      <c r="R456" s="725"/>
      <c r="S456" s="725"/>
      <c r="T456" s="72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1"/>
      <c r="B458" s="731"/>
      <c r="C458" s="731"/>
      <c r="D458" s="731"/>
      <c r="E458" s="731"/>
      <c r="F458" s="731"/>
      <c r="G458" s="731"/>
      <c r="H458" s="731"/>
      <c r="I458" s="731"/>
      <c r="J458" s="731"/>
      <c r="K458" s="731"/>
      <c r="L458" s="731"/>
      <c r="M458" s="731"/>
      <c r="N458" s="731"/>
      <c r="O458" s="732"/>
      <c r="P458" s="728" t="s">
        <v>40</v>
      </c>
      <c r="Q458" s="729"/>
      <c r="R458" s="729"/>
      <c r="S458" s="729"/>
      <c r="T458" s="729"/>
      <c r="U458" s="729"/>
      <c r="V458" s="73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1" t="s">
        <v>751</v>
      </c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1"/>
      <c r="P459" s="721"/>
      <c r="Q459" s="721"/>
      <c r="R459" s="721"/>
      <c r="S459" s="721"/>
      <c r="T459" s="721"/>
      <c r="U459" s="721"/>
      <c r="V459" s="721"/>
      <c r="W459" s="721"/>
      <c r="X459" s="721"/>
      <c r="Y459" s="721"/>
      <c r="Z459" s="721"/>
      <c r="AA459" s="65"/>
      <c r="AB459" s="65"/>
      <c r="AC459" s="79"/>
    </row>
    <row r="460" spans="1:68" ht="14.25" hidden="1" customHeight="1" x14ac:dyDescent="0.25">
      <c r="A460" s="722" t="s">
        <v>122</v>
      </c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2"/>
      <c r="P460" s="722"/>
      <c r="Q460" s="722"/>
      <c r="R460" s="722"/>
      <c r="S460" s="722"/>
      <c r="T460" s="722"/>
      <c r="U460" s="722"/>
      <c r="V460" s="722"/>
      <c r="W460" s="722"/>
      <c r="X460" s="722"/>
      <c r="Y460" s="722"/>
      <c r="Z460" s="722"/>
      <c r="AA460" s="66"/>
      <c r="AB460" s="66"/>
      <c r="AC460" s="80"/>
    </row>
    <row r="461" spans="1:68" ht="27" hidden="1" customHeight="1" x14ac:dyDescent="0.25">
      <c r="A461" s="63" t="s">
        <v>752</v>
      </c>
      <c r="B461" s="63" t="s">
        <v>753</v>
      </c>
      <c r="C461" s="36">
        <v>4301011875</v>
      </c>
      <c r="D461" s="723">
        <v>4680115884885</v>
      </c>
      <c r="E461" s="723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755</v>
      </c>
      <c r="B462" s="63" t="s">
        <v>756</v>
      </c>
      <c r="C462" s="36">
        <v>4301011871</v>
      </c>
      <c r="D462" s="723">
        <v>4680115884908</v>
      </c>
      <c r="E462" s="7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5"/>
      <c r="R462" s="725"/>
      <c r="S462" s="725"/>
      <c r="T462" s="72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1"/>
      <c r="B464" s="731"/>
      <c r="C464" s="731"/>
      <c r="D464" s="731"/>
      <c r="E464" s="731"/>
      <c r="F464" s="731"/>
      <c r="G464" s="731"/>
      <c r="H464" s="731"/>
      <c r="I464" s="731"/>
      <c r="J464" s="731"/>
      <c r="K464" s="731"/>
      <c r="L464" s="731"/>
      <c r="M464" s="731"/>
      <c r="N464" s="731"/>
      <c r="O464" s="732"/>
      <c r="P464" s="728" t="s">
        <v>40</v>
      </c>
      <c r="Q464" s="729"/>
      <c r="R464" s="729"/>
      <c r="S464" s="729"/>
      <c r="T464" s="729"/>
      <c r="U464" s="729"/>
      <c r="V464" s="73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2" t="s">
        <v>77</v>
      </c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2"/>
      <c r="P465" s="722"/>
      <c r="Q465" s="722"/>
      <c r="R465" s="722"/>
      <c r="S465" s="722"/>
      <c r="T465" s="722"/>
      <c r="U465" s="722"/>
      <c r="V465" s="722"/>
      <c r="W465" s="722"/>
      <c r="X465" s="722"/>
      <c r="Y465" s="722"/>
      <c r="Z465" s="722"/>
      <c r="AA465" s="66"/>
      <c r="AB465" s="66"/>
      <c r="AC465" s="80"/>
    </row>
    <row r="466" spans="1:68" ht="27" hidden="1" customHeight="1" x14ac:dyDescent="0.25">
      <c r="A466" s="63" t="s">
        <v>757</v>
      </c>
      <c r="B466" s="63" t="s">
        <v>758</v>
      </c>
      <c r="C466" s="36">
        <v>4301031457</v>
      </c>
      <c r="D466" s="723">
        <v>4607091384802</v>
      </c>
      <c r="E466" s="723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5"/>
      <c r="R466" s="725"/>
      <c r="S466" s="725"/>
      <c r="T466" s="72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1"/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2"/>
      <c r="P468" s="728" t="s">
        <v>40</v>
      </c>
      <c r="Q468" s="729"/>
      <c r="R468" s="729"/>
      <c r="S468" s="729"/>
      <c r="T468" s="729"/>
      <c r="U468" s="729"/>
      <c r="V468" s="73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2" t="s">
        <v>86</v>
      </c>
      <c r="B469" s="722"/>
      <c r="C469" s="722"/>
      <c r="D469" s="722"/>
      <c r="E469" s="722"/>
      <c r="F469" s="722"/>
      <c r="G469" s="722"/>
      <c r="H469" s="722"/>
      <c r="I469" s="722"/>
      <c r="J469" s="722"/>
      <c r="K469" s="722"/>
      <c r="L469" s="722"/>
      <c r="M469" s="722"/>
      <c r="N469" s="722"/>
      <c r="O469" s="722"/>
      <c r="P469" s="722"/>
      <c r="Q469" s="722"/>
      <c r="R469" s="722"/>
      <c r="S469" s="722"/>
      <c r="T469" s="722"/>
      <c r="U469" s="722"/>
      <c r="V469" s="722"/>
      <c r="W469" s="722"/>
      <c r="X469" s="722"/>
      <c r="Y469" s="722"/>
      <c r="Z469" s="722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4301051899</v>
      </c>
      <c r="D470" s="723">
        <v>4607091384246</v>
      </c>
      <c r="E470" s="723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4301051660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763</v>
      </c>
      <c r="B472" s="63" t="s">
        <v>765</v>
      </c>
      <c r="C472" s="36">
        <v>4301052069</v>
      </c>
      <c r="D472" s="723">
        <v>4607091384253</v>
      </c>
      <c r="E472" s="723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5"/>
      <c r="R472" s="725"/>
      <c r="S472" s="725"/>
      <c r="T472" s="72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1"/>
      <c r="B474" s="731"/>
      <c r="C474" s="731"/>
      <c r="D474" s="731"/>
      <c r="E474" s="731"/>
      <c r="F474" s="731"/>
      <c r="G474" s="731"/>
      <c r="H474" s="731"/>
      <c r="I474" s="731"/>
      <c r="J474" s="731"/>
      <c r="K474" s="731"/>
      <c r="L474" s="731"/>
      <c r="M474" s="731"/>
      <c r="N474" s="731"/>
      <c r="O474" s="732"/>
      <c r="P474" s="728" t="s">
        <v>40</v>
      </c>
      <c r="Q474" s="729"/>
      <c r="R474" s="729"/>
      <c r="S474" s="729"/>
      <c r="T474" s="729"/>
      <c r="U474" s="729"/>
      <c r="V474" s="73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0" t="s">
        <v>767</v>
      </c>
      <c r="B475" s="720"/>
      <c r="C475" s="720"/>
      <c r="D475" s="720"/>
      <c r="E475" s="720"/>
      <c r="F475" s="720"/>
      <c r="G475" s="720"/>
      <c r="H475" s="720"/>
      <c r="I475" s="720"/>
      <c r="J475" s="720"/>
      <c r="K475" s="720"/>
      <c r="L475" s="720"/>
      <c r="M475" s="720"/>
      <c r="N475" s="720"/>
      <c r="O475" s="720"/>
      <c r="P475" s="720"/>
      <c r="Q475" s="720"/>
      <c r="R475" s="720"/>
      <c r="S475" s="720"/>
      <c r="T475" s="720"/>
      <c r="U475" s="720"/>
      <c r="V475" s="720"/>
      <c r="W475" s="720"/>
      <c r="X475" s="720"/>
      <c r="Y475" s="720"/>
      <c r="Z475" s="720"/>
      <c r="AA475" s="54"/>
      <c r="AB475" s="54"/>
      <c r="AC475" s="54"/>
    </row>
    <row r="476" spans="1:68" ht="16.5" hidden="1" customHeight="1" x14ac:dyDescent="0.25">
      <c r="A476" s="721" t="s">
        <v>768</v>
      </c>
      <c r="B476" s="721"/>
      <c r="C476" s="721"/>
      <c r="D476" s="721"/>
      <c r="E476" s="721"/>
      <c r="F476" s="721"/>
      <c r="G476" s="721"/>
      <c r="H476" s="721"/>
      <c r="I476" s="721"/>
      <c r="J476" s="721"/>
      <c r="K476" s="721"/>
      <c r="L476" s="721"/>
      <c r="M476" s="721"/>
      <c r="N476" s="721"/>
      <c r="O476" s="721"/>
      <c r="P476" s="721"/>
      <c r="Q476" s="721"/>
      <c r="R476" s="721"/>
      <c r="S476" s="721"/>
      <c r="T476" s="721"/>
      <c r="U476" s="721"/>
      <c r="V476" s="721"/>
      <c r="W476" s="721"/>
      <c r="X476" s="721"/>
      <c r="Y476" s="721"/>
      <c r="Z476" s="721"/>
      <c r="AA476" s="65"/>
      <c r="AB476" s="65"/>
      <c r="AC476" s="79"/>
    </row>
    <row r="477" spans="1:68" ht="14.25" hidden="1" customHeight="1" x14ac:dyDescent="0.25">
      <c r="A477" s="722" t="s">
        <v>77</v>
      </c>
      <c r="B477" s="722"/>
      <c r="C477" s="722"/>
      <c r="D477" s="722"/>
      <c r="E477" s="722"/>
      <c r="F477" s="722"/>
      <c r="G477" s="722"/>
      <c r="H477" s="722"/>
      <c r="I477" s="722"/>
      <c r="J477" s="722"/>
      <c r="K477" s="722"/>
      <c r="L477" s="722"/>
      <c r="M477" s="722"/>
      <c r="N477" s="722"/>
      <c r="O477" s="722"/>
      <c r="P477" s="722"/>
      <c r="Q477" s="722"/>
      <c r="R477" s="722"/>
      <c r="S477" s="722"/>
      <c r="T477" s="722"/>
      <c r="U477" s="722"/>
      <c r="V477" s="722"/>
      <c r="W477" s="722"/>
      <c r="X477" s="722"/>
      <c r="Y477" s="722"/>
      <c r="Z477" s="722"/>
      <c r="AA477" s="66"/>
      <c r="AB477" s="66"/>
      <c r="AC477" s="80"/>
    </row>
    <row r="478" spans="1:68" ht="27" hidden="1" customHeight="1" x14ac:dyDescent="0.25">
      <c r="A478" s="63" t="s">
        <v>769</v>
      </c>
      <c r="B478" s="63" t="s">
        <v>770</v>
      </c>
      <c r="C478" s="36">
        <v>4301031405</v>
      </c>
      <c r="D478" s="723">
        <v>4680115886100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hidden="1" customHeight="1" x14ac:dyDescent="0.25">
      <c r="A479" s="63" t="s">
        <v>772</v>
      </c>
      <c r="B479" s="63" t="s">
        <v>773</v>
      </c>
      <c r="C479" s="36">
        <v>4301031402</v>
      </c>
      <c r="D479" s="723">
        <v>4680115886124</v>
      </c>
      <c r="E479" s="723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4301031362</v>
      </c>
      <c r="D480" s="723">
        <v>4607091384338</v>
      </c>
      <c r="E480" s="72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4301031364</v>
      </c>
      <c r="D481" s="723">
        <v>4680115883161</v>
      </c>
      <c r="E481" s="723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4301031358</v>
      </c>
      <c r="D482" s="723">
        <v>4607091389531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783</v>
      </c>
      <c r="B483" s="63" t="s">
        <v>784</v>
      </c>
      <c r="C483" s="36">
        <v>4301031360</v>
      </c>
      <c r="D483" s="723">
        <v>4607091384345</v>
      </c>
      <c r="E483" s="723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5"/>
      <c r="R483" s="725"/>
      <c r="S483" s="725"/>
      <c r="T483" s="72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1"/>
      <c r="B485" s="731"/>
      <c r="C485" s="731"/>
      <c r="D485" s="731"/>
      <c r="E485" s="731"/>
      <c r="F485" s="731"/>
      <c r="G485" s="731"/>
      <c r="H485" s="731"/>
      <c r="I485" s="731"/>
      <c r="J485" s="731"/>
      <c r="K485" s="731"/>
      <c r="L485" s="731"/>
      <c r="M485" s="731"/>
      <c r="N485" s="731"/>
      <c r="O485" s="732"/>
      <c r="P485" s="728" t="s">
        <v>40</v>
      </c>
      <c r="Q485" s="729"/>
      <c r="R485" s="729"/>
      <c r="S485" s="729"/>
      <c r="T485" s="729"/>
      <c r="U485" s="729"/>
      <c r="V485" s="73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2" t="s">
        <v>86</v>
      </c>
      <c r="B486" s="722"/>
      <c r="C486" s="722"/>
      <c r="D486" s="722"/>
      <c r="E486" s="722"/>
      <c r="F486" s="722"/>
      <c r="G486" s="722"/>
      <c r="H486" s="722"/>
      <c r="I486" s="722"/>
      <c r="J486" s="722"/>
      <c r="K486" s="722"/>
      <c r="L486" s="722"/>
      <c r="M486" s="722"/>
      <c r="N486" s="722"/>
      <c r="O486" s="722"/>
      <c r="P486" s="722"/>
      <c r="Q486" s="722"/>
      <c r="R486" s="722"/>
      <c r="S486" s="722"/>
      <c r="T486" s="722"/>
      <c r="U486" s="722"/>
      <c r="V486" s="722"/>
      <c r="W486" s="722"/>
      <c r="X486" s="722"/>
      <c r="Y486" s="722"/>
      <c r="Z486" s="722"/>
      <c r="AA486" s="66"/>
      <c r="AB486" s="66"/>
      <c r="AC486" s="80"/>
    </row>
    <row r="487" spans="1:68" ht="27" hidden="1" customHeight="1" x14ac:dyDescent="0.25">
      <c r="A487" s="63" t="s">
        <v>785</v>
      </c>
      <c r="B487" s="63" t="s">
        <v>786</v>
      </c>
      <c r="C487" s="36">
        <v>4301051284</v>
      </c>
      <c r="D487" s="723">
        <v>4607091384352</v>
      </c>
      <c r="E487" s="723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788</v>
      </c>
      <c r="B488" s="63" t="s">
        <v>789</v>
      </c>
      <c r="C488" s="36">
        <v>4301051431</v>
      </c>
      <c r="D488" s="723">
        <v>4607091389654</v>
      </c>
      <c r="E488" s="723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5"/>
      <c r="R488" s="725"/>
      <c r="S488" s="725"/>
      <c r="T488" s="72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1"/>
      <c r="B490" s="731"/>
      <c r="C490" s="731"/>
      <c r="D490" s="731"/>
      <c r="E490" s="731"/>
      <c r="F490" s="731"/>
      <c r="G490" s="731"/>
      <c r="H490" s="731"/>
      <c r="I490" s="731"/>
      <c r="J490" s="731"/>
      <c r="K490" s="731"/>
      <c r="L490" s="731"/>
      <c r="M490" s="731"/>
      <c r="N490" s="731"/>
      <c r="O490" s="732"/>
      <c r="P490" s="728" t="s">
        <v>40</v>
      </c>
      <c r="Q490" s="729"/>
      <c r="R490" s="729"/>
      <c r="S490" s="729"/>
      <c r="T490" s="729"/>
      <c r="U490" s="729"/>
      <c r="V490" s="73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1" t="s">
        <v>791</v>
      </c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1"/>
      <c r="P491" s="721"/>
      <c r="Q491" s="721"/>
      <c r="R491" s="721"/>
      <c r="S491" s="721"/>
      <c r="T491" s="721"/>
      <c r="U491" s="721"/>
      <c r="V491" s="721"/>
      <c r="W491" s="721"/>
      <c r="X491" s="721"/>
      <c r="Y491" s="721"/>
      <c r="Z491" s="721"/>
      <c r="AA491" s="65"/>
      <c r="AB491" s="65"/>
      <c r="AC491" s="79"/>
    </row>
    <row r="492" spans="1:68" ht="14.25" hidden="1" customHeight="1" x14ac:dyDescent="0.25">
      <c r="A492" s="722" t="s">
        <v>159</v>
      </c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2"/>
      <c r="P492" s="722"/>
      <c r="Q492" s="722"/>
      <c r="R492" s="722"/>
      <c r="S492" s="722"/>
      <c r="T492" s="722"/>
      <c r="U492" s="722"/>
      <c r="V492" s="722"/>
      <c r="W492" s="722"/>
      <c r="X492" s="722"/>
      <c r="Y492" s="722"/>
      <c r="Z492" s="722"/>
      <c r="AA492" s="66"/>
      <c r="AB492" s="66"/>
      <c r="AC492" s="80"/>
    </row>
    <row r="493" spans="1:68" ht="27" hidden="1" customHeight="1" x14ac:dyDescent="0.25">
      <c r="A493" s="63" t="s">
        <v>792</v>
      </c>
      <c r="B493" s="63" t="s">
        <v>793</v>
      </c>
      <c r="C493" s="36">
        <v>4301020416</v>
      </c>
      <c r="D493" s="723">
        <v>4680115885240</v>
      </c>
      <c r="E493" s="723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5"/>
      <c r="R493" s="725"/>
      <c r="S493" s="725"/>
      <c r="T493" s="72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1"/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2"/>
      <c r="P495" s="728" t="s">
        <v>40</v>
      </c>
      <c r="Q495" s="729"/>
      <c r="R495" s="729"/>
      <c r="S495" s="729"/>
      <c r="T495" s="729"/>
      <c r="U495" s="729"/>
      <c r="V495" s="73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2" t="s">
        <v>77</v>
      </c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2"/>
      <c r="P496" s="722"/>
      <c r="Q496" s="722"/>
      <c r="R496" s="722"/>
      <c r="S496" s="722"/>
      <c r="T496" s="722"/>
      <c r="U496" s="722"/>
      <c r="V496" s="722"/>
      <c r="W496" s="722"/>
      <c r="X496" s="722"/>
      <c r="Y496" s="722"/>
      <c r="Z496" s="722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4301031407</v>
      </c>
      <c r="D497" s="723">
        <v>4680115886094</v>
      </c>
      <c r="E497" s="723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4301031373</v>
      </c>
      <c r="D498" s="723">
        <v>4680115880771</v>
      </c>
      <c r="E498" s="723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4301031359</v>
      </c>
      <c r="D499" s="723">
        <v>4607091389500</v>
      </c>
      <c r="E499" s="723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5"/>
      <c r="R499" s="725"/>
      <c r="S499" s="725"/>
      <c r="T499" s="72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1"/>
      <c r="B501" s="731"/>
      <c r="C501" s="731"/>
      <c r="D501" s="731"/>
      <c r="E501" s="731"/>
      <c r="F501" s="731"/>
      <c r="G501" s="731"/>
      <c r="H501" s="731"/>
      <c r="I501" s="731"/>
      <c r="J501" s="731"/>
      <c r="K501" s="731"/>
      <c r="L501" s="731"/>
      <c r="M501" s="731"/>
      <c r="N501" s="731"/>
      <c r="O501" s="732"/>
      <c r="P501" s="728" t="s">
        <v>40</v>
      </c>
      <c r="Q501" s="729"/>
      <c r="R501" s="729"/>
      <c r="S501" s="729"/>
      <c r="T501" s="729"/>
      <c r="U501" s="729"/>
      <c r="V501" s="73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0" t="s">
        <v>803</v>
      </c>
      <c r="B502" s="720"/>
      <c r="C502" s="720"/>
      <c r="D502" s="720"/>
      <c r="E502" s="720"/>
      <c r="F502" s="720"/>
      <c r="G502" s="720"/>
      <c r="H502" s="720"/>
      <c r="I502" s="720"/>
      <c r="J502" s="720"/>
      <c r="K502" s="720"/>
      <c r="L502" s="720"/>
      <c r="M502" s="720"/>
      <c r="N502" s="720"/>
      <c r="O502" s="720"/>
      <c r="P502" s="720"/>
      <c r="Q502" s="720"/>
      <c r="R502" s="720"/>
      <c r="S502" s="720"/>
      <c r="T502" s="720"/>
      <c r="U502" s="720"/>
      <c r="V502" s="720"/>
      <c r="W502" s="720"/>
      <c r="X502" s="720"/>
      <c r="Y502" s="720"/>
      <c r="Z502" s="720"/>
      <c r="AA502" s="54"/>
      <c r="AB502" s="54"/>
      <c r="AC502" s="54"/>
    </row>
    <row r="503" spans="1:68" ht="16.5" hidden="1" customHeight="1" x14ac:dyDescent="0.25">
      <c r="A503" s="721" t="s">
        <v>803</v>
      </c>
      <c r="B503" s="721"/>
      <c r="C503" s="721"/>
      <c r="D503" s="721"/>
      <c r="E503" s="721"/>
      <c r="F503" s="721"/>
      <c r="G503" s="721"/>
      <c r="H503" s="721"/>
      <c r="I503" s="721"/>
      <c r="J503" s="721"/>
      <c r="K503" s="721"/>
      <c r="L503" s="721"/>
      <c r="M503" s="721"/>
      <c r="N503" s="721"/>
      <c r="O503" s="721"/>
      <c r="P503" s="721"/>
      <c r="Q503" s="721"/>
      <c r="R503" s="721"/>
      <c r="S503" s="721"/>
      <c r="T503" s="721"/>
      <c r="U503" s="721"/>
      <c r="V503" s="721"/>
      <c r="W503" s="721"/>
      <c r="X503" s="721"/>
      <c r="Y503" s="721"/>
      <c r="Z503" s="721"/>
      <c r="AA503" s="65"/>
      <c r="AB503" s="65"/>
      <c r="AC503" s="79"/>
    </row>
    <row r="504" spans="1:68" ht="14.25" hidden="1" customHeight="1" x14ac:dyDescent="0.25">
      <c r="A504" s="722" t="s">
        <v>122</v>
      </c>
      <c r="B504" s="722"/>
      <c r="C504" s="722"/>
      <c r="D504" s="722"/>
      <c r="E504" s="722"/>
      <c r="F504" s="722"/>
      <c r="G504" s="722"/>
      <c r="H504" s="722"/>
      <c r="I504" s="722"/>
      <c r="J504" s="722"/>
      <c r="K504" s="722"/>
      <c r="L504" s="722"/>
      <c r="M504" s="722"/>
      <c r="N504" s="722"/>
      <c r="O504" s="722"/>
      <c r="P504" s="722"/>
      <c r="Q504" s="722"/>
      <c r="R504" s="722"/>
      <c r="S504" s="722"/>
      <c r="T504" s="722"/>
      <c r="U504" s="722"/>
      <c r="V504" s="722"/>
      <c r="W504" s="722"/>
      <c r="X504" s="722"/>
      <c r="Y504" s="722"/>
      <c r="Z504" s="722"/>
      <c r="AA504" s="66"/>
      <c r="AB504" s="66"/>
      <c r="AC504" s="80"/>
    </row>
    <row r="505" spans="1:68" ht="27" hidden="1" customHeight="1" x14ac:dyDescent="0.25">
      <c r="A505" s="63" t="s">
        <v>804</v>
      </c>
      <c r="B505" s="63" t="s">
        <v>805</v>
      </c>
      <c r="C505" s="36">
        <v>4301011769</v>
      </c>
      <c r="D505" s="723">
        <v>4607091389067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hidden="1" customHeight="1" x14ac:dyDescent="0.25">
      <c r="A506" s="63" t="s">
        <v>806</v>
      </c>
      <c r="B506" s="63" t="s">
        <v>807</v>
      </c>
      <c r="C506" s="36">
        <v>4301012380</v>
      </c>
      <c r="D506" s="723">
        <v>4680115889576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hidden="1" customHeight="1" x14ac:dyDescent="0.25">
      <c r="A507" s="63" t="s">
        <v>809</v>
      </c>
      <c r="B507" s="63" t="s">
        <v>810</v>
      </c>
      <c r="C507" s="36">
        <v>4301011961</v>
      </c>
      <c r="D507" s="723">
        <v>4680115885271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4301011369</v>
      </c>
      <c r="D508" s="723">
        <v>4680115885226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hidden="1" customHeight="1" x14ac:dyDescent="0.25">
      <c r="A509" s="63" t="s">
        <v>815</v>
      </c>
      <c r="B509" s="63" t="s">
        <v>816</v>
      </c>
      <c r="C509" s="36">
        <v>4301011797</v>
      </c>
      <c r="D509" s="723">
        <v>4680115884502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hidden="1" customHeight="1" x14ac:dyDescent="0.25">
      <c r="A510" s="63" t="s">
        <v>818</v>
      </c>
      <c r="B510" s="63" t="s">
        <v>819</v>
      </c>
      <c r="C510" s="36">
        <v>4301011771</v>
      </c>
      <c r="D510" s="723">
        <v>4607091389104</v>
      </c>
      <c r="E510" s="72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4301012125</v>
      </c>
      <c r="D511" s="723">
        <v>4680115886391</v>
      </c>
      <c r="E511" s="72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4301012048</v>
      </c>
      <c r="D512" s="723">
        <v>4680115880603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4301012034</v>
      </c>
      <c r="D513" s="723">
        <v>4607091389982</v>
      </c>
      <c r="E513" s="72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5"/>
      <c r="R513" s="725"/>
      <c r="S513" s="725"/>
      <c r="T513" s="72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idden="1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1"/>
      <c r="B515" s="731"/>
      <c r="C515" s="731"/>
      <c r="D515" s="731"/>
      <c r="E515" s="731"/>
      <c r="F515" s="731"/>
      <c r="G515" s="731"/>
      <c r="H515" s="731"/>
      <c r="I515" s="731"/>
      <c r="J515" s="731"/>
      <c r="K515" s="731"/>
      <c r="L515" s="731"/>
      <c r="M515" s="731"/>
      <c r="N515" s="731"/>
      <c r="O515" s="732"/>
      <c r="P515" s="728" t="s">
        <v>40</v>
      </c>
      <c r="Q515" s="729"/>
      <c r="R515" s="729"/>
      <c r="S515" s="729"/>
      <c r="T515" s="729"/>
      <c r="U515" s="729"/>
      <c r="V515" s="73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2" t="s">
        <v>159</v>
      </c>
      <c r="B516" s="722"/>
      <c r="C516" s="722"/>
      <c r="D516" s="722"/>
      <c r="E516" s="722"/>
      <c r="F516" s="722"/>
      <c r="G516" s="722"/>
      <c r="H516" s="722"/>
      <c r="I516" s="722"/>
      <c r="J516" s="722"/>
      <c r="K516" s="722"/>
      <c r="L516" s="722"/>
      <c r="M516" s="722"/>
      <c r="N516" s="722"/>
      <c r="O516" s="722"/>
      <c r="P516" s="722"/>
      <c r="Q516" s="722"/>
      <c r="R516" s="722"/>
      <c r="S516" s="722"/>
      <c r="T516" s="722"/>
      <c r="U516" s="722"/>
      <c r="V516" s="722"/>
      <c r="W516" s="722"/>
      <c r="X516" s="722"/>
      <c r="Y516" s="722"/>
      <c r="Z516" s="722"/>
      <c r="AA516" s="66"/>
      <c r="AB516" s="66"/>
      <c r="AC516" s="80"/>
    </row>
    <row r="517" spans="1:68" ht="16.5" hidden="1" customHeight="1" x14ac:dyDescent="0.25">
      <c r="A517" s="63" t="s">
        <v>827</v>
      </c>
      <c r="B517" s="63" t="s">
        <v>828</v>
      </c>
      <c r="C517" s="36">
        <v>4301020334</v>
      </c>
      <c r="D517" s="723">
        <v>4607091388930</v>
      </c>
      <c r="E517" s="72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99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830</v>
      </c>
      <c r="B518" s="63" t="s">
        <v>831</v>
      </c>
      <c r="C518" s="36">
        <v>4301020374</v>
      </c>
      <c r="D518" s="723">
        <v>4680115886407</v>
      </c>
      <c r="E518" s="723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4301020385</v>
      </c>
      <c r="D519" s="723">
        <v>4680115880054</v>
      </c>
      <c r="E519" s="72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5"/>
      <c r="R519" s="725"/>
      <c r="S519" s="725"/>
      <c r="T519" s="726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1"/>
      <c r="B521" s="731"/>
      <c r="C521" s="731"/>
      <c r="D521" s="731"/>
      <c r="E521" s="731"/>
      <c r="F521" s="731"/>
      <c r="G521" s="731"/>
      <c r="H521" s="731"/>
      <c r="I521" s="731"/>
      <c r="J521" s="731"/>
      <c r="K521" s="731"/>
      <c r="L521" s="731"/>
      <c r="M521" s="731"/>
      <c r="N521" s="731"/>
      <c r="O521" s="732"/>
      <c r="P521" s="728" t="s">
        <v>40</v>
      </c>
      <c r="Q521" s="729"/>
      <c r="R521" s="729"/>
      <c r="S521" s="729"/>
      <c r="T521" s="729"/>
      <c r="U521" s="729"/>
      <c r="V521" s="73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2" t="s">
        <v>77</v>
      </c>
      <c r="B522" s="722"/>
      <c r="C522" s="722"/>
      <c r="D522" s="722"/>
      <c r="E522" s="722"/>
      <c r="F522" s="722"/>
      <c r="G522" s="722"/>
      <c r="H522" s="722"/>
      <c r="I522" s="722"/>
      <c r="J522" s="722"/>
      <c r="K522" s="722"/>
      <c r="L522" s="722"/>
      <c r="M522" s="722"/>
      <c r="N522" s="722"/>
      <c r="O522" s="722"/>
      <c r="P522" s="722"/>
      <c r="Q522" s="722"/>
      <c r="R522" s="722"/>
      <c r="S522" s="722"/>
      <c r="T522" s="722"/>
      <c r="U522" s="722"/>
      <c r="V522" s="722"/>
      <c r="W522" s="722"/>
      <c r="X522" s="722"/>
      <c r="Y522" s="722"/>
      <c r="Z522" s="722"/>
      <c r="AA522" s="66"/>
      <c r="AB522" s="66"/>
      <c r="AC522" s="80"/>
    </row>
    <row r="523" spans="1:68" ht="27" hidden="1" customHeight="1" x14ac:dyDescent="0.25">
      <c r="A523" s="63" t="s">
        <v>834</v>
      </c>
      <c r="B523" s="63" t="s">
        <v>835</v>
      </c>
      <c r="C523" s="36">
        <v>4301031349</v>
      </c>
      <c r="D523" s="723">
        <v>4680115883116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customHeight="1" x14ac:dyDescent="0.25">
      <c r="A524" s="63" t="s">
        <v>837</v>
      </c>
      <c r="B524" s="63" t="s">
        <v>838</v>
      </c>
      <c r="C524" s="36">
        <v>4301031350</v>
      </c>
      <c r="D524" s="723">
        <v>4680115883093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750</v>
      </c>
      <c r="Y524" s="55">
        <f t="shared" si="89"/>
        <v>755.04000000000008</v>
      </c>
      <c r="Z524" s="41">
        <f>IFERROR(IF(Y524=0,"",ROUNDUP(Y524/H524,0)*0.01196),"")</f>
        <v>1.71028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799.71590909090901</v>
      </c>
      <c r="BN524" s="78">
        <f t="shared" si="91"/>
        <v>805.09</v>
      </c>
      <c r="BO524" s="78">
        <f t="shared" si="92"/>
        <v>1.3658216783216783</v>
      </c>
      <c r="BP524" s="78">
        <f t="shared" si="93"/>
        <v>1.375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4301031353</v>
      </c>
      <c r="D525" s="723">
        <v>4680115883109</v>
      </c>
      <c r="E525" s="723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4301031419</v>
      </c>
      <c r="D526" s="723">
        <v>4680115882072</v>
      </c>
      <c r="E526" s="723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4301031352</v>
      </c>
      <c r="D527" s="723">
        <v>4680115882102</v>
      </c>
      <c r="E527" s="723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845</v>
      </c>
      <c r="B528" s="63" t="s">
        <v>847</v>
      </c>
      <c r="C528" s="36">
        <v>4301031418</v>
      </c>
      <c r="D528" s="723">
        <v>4680115882102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849</v>
      </c>
      <c r="C529" s="36">
        <v>4301031417</v>
      </c>
      <c r="D529" s="723">
        <v>4680115882096</v>
      </c>
      <c r="E529" s="723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5"/>
      <c r="R529" s="725"/>
      <c r="S529" s="725"/>
      <c r="T529" s="72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39</v>
      </c>
      <c r="X530" s="43">
        <f>IFERROR(X523/H523,"0")+IFERROR(X524/H524,"0")+IFERROR(X525/H525,"0")+IFERROR(X526/H526,"0")+IFERROR(X527/H527,"0")+IFERROR(X528/H528,"0")+IFERROR(X529/H529,"0")</f>
        <v>142.04545454545453</v>
      </c>
      <c r="Y530" s="43">
        <f>IFERROR(Y523/H523,"0")+IFERROR(Y524/H524,"0")+IFERROR(Y525/H525,"0")+IFERROR(Y526/H526,"0")+IFERROR(Y527/H527,"0")+IFERROR(Y528/H528,"0")+IFERROR(Y529/H529,"0")</f>
        <v>143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1.71028</v>
      </c>
      <c r="AA530" s="67"/>
      <c r="AB530" s="67"/>
      <c r="AC530" s="67"/>
    </row>
    <row r="531" spans="1:68" x14ac:dyDescent="0.2">
      <c r="A531" s="731"/>
      <c r="B531" s="731"/>
      <c r="C531" s="731"/>
      <c r="D531" s="731"/>
      <c r="E531" s="731"/>
      <c r="F531" s="731"/>
      <c r="G531" s="731"/>
      <c r="H531" s="731"/>
      <c r="I531" s="731"/>
      <c r="J531" s="731"/>
      <c r="K531" s="731"/>
      <c r="L531" s="731"/>
      <c r="M531" s="731"/>
      <c r="N531" s="731"/>
      <c r="O531" s="732"/>
      <c r="P531" s="728" t="s">
        <v>40</v>
      </c>
      <c r="Q531" s="729"/>
      <c r="R531" s="729"/>
      <c r="S531" s="729"/>
      <c r="T531" s="729"/>
      <c r="U531" s="729"/>
      <c r="V531" s="730"/>
      <c r="W531" s="42" t="s">
        <v>0</v>
      </c>
      <c r="X531" s="43">
        <f>IFERROR(SUM(X523:X529),"0")</f>
        <v>750</v>
      </c>
      <c r="Y531" s="43">
        <f>IFERROR(SUM(Y523:Y529),"0")</f>
        <v>755.04000000000008</v>
      </c>
      <c r="Z531" s="42"/>
      <c r="AA531" s="67"/>
      <c r="AB531" s="67"/>
      <c r="AC531" s="67"/>
    </row>
    <row r="532" spans="1:68" ht="27.75" hidden="1" customHeight="1" x14ac:dyDescent="0.2">
      <c r="A532" s="720" t="s">
        <v>850</v>
      </c>
      <c r="B532" s="720"/>
      <c r="C532" s="720"/>
      <c r="D532" s="720"/>
      <c r="E532" s="720"/>
      <c r="F532" s="720"/>
      <c r="G532" s="720"/>
      <c r="H532" s="720"/>
      <c r="I532" s="720"/>
      <c r="J532" s="720"/>
      <c r="K532" s="720"/>
      <c r="L532" s="720"/>
      <c r="M532" s="720"/>
      <c r="N532" s="720"/>
      <c r="O532" s="720"/>
      <c r="P532" s="720"/>
      <c r="Q532" s="720"/>
      <c r="R532" s="720"/>
      <c r="S532" s="720"/>
      <c r="T532" s="720"/>
      <c r="U532" s="720"/>
      <c r="V532" s="720"/>
      <c r="W532" s="720"/>
      <c r="X532" s="720"/>
      <c r="Y532" s="720"/>
      <c r="Z532" s="720"/>
      <c r="AA532" s="54"/>
      <c r="AB532" s="54"/>
      <c r="AC532" s="54"/>
    </row>
    <row r="533" spans="1:68" ht="16.5" hidden="1" customHeight="1" x14ac:dyDescent="0.25">
      <c r="A533" s="721" t="s">
        <v>850</v>
      </c>
      <c r="B533" s="721"/>
      <c r="C533" s="721"/>
      <c r="D533" s="721"/>
      <c r="E533" s="721"/>
      <c r="F533" s="721"/>
      <c r="G533" s="721"/>
      <c r="H533" s="721"/>
      <c r="I533" s="721"/>
      <c r="J533" s="721"/>
      <c r="K533" s="721"/>
      <c r="L533" s="721"/>
      <c r="M533" s="721"/>
      <c r="N533" s="721"/>
      <c r="O533" s="721"/>
      <c r="P533" s="721"/>
      <c r="Q533" s="721"/>
      <c r="R533" s="721"/>
      <c r="S533" s="721"/>
      <c r="T533" s="721"/>
      <c r="U533" s="721"/>
      <c r="V533" s="721"/>
      <c r="W533" s="721"/>
      <c r="X533" s="721"/>
      <c r="Y533" s="721"/>
      <c r="Z533" s="721"/>
      <c r="AA533" s="65"/>
      <c r="AB533" s="65"/>
      <c r="AC533" s="79"/>
    </row>
    <row r="534" spans="1:68" ht="14.25" hidden="1" customHeight="1" x14ac:dyDescent="0.25">
      <c r="A534" s="722" t="s">
        <v>122</v>
      </c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2"/>
      <c r="P534" s="722"/>
      <c r="Q534" s="722"/>
      <c r="R534" s="722"/>
      <c r="S534" s="722"/>
      <c r="T534" s="722"/>
      <c r="U534" s="722"/>
      <c r="V534" s="722"/>
      <c r="W534" s="722"/>
      <c r="X534" s="722"/>
      <c r="Y534" s="722"/>
      <c r="Z534" s="722"/>
      <c r="AA534" s="66"/>
      <c r="AB534" s="66"/>
      <c r="AC534" s="80"/>
    </row>
    <row r="535" spans="1:68" ht="27" hidden="1" customHeight="1" x14ac:dyDescent="0.25">
      <c r="A535" s="63" t="s">
        <v>851</v>
      </c>
      <c r="B535" s="63" t="s">
        <v>852</v>
      </c>
      <c r="C535" s="36">
        <v>4301011584</v>
      </c>
      <c r="D535" s="723">
        <v>4640242180564</v>
      </c>
      <c r="E535" s="723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5"/>
      <c r="R535" s="725"/>
      <c r="S535" s="725"/>
      <c r="T535" s="726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1"/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2"/>
      <c r="P537" s="728" t="s">
        <v>40</v>
      </c>
      <c r="Q537" s="729"/>
      <c r="R537" s="729"/>
      <c r="S537" s="729"/>
      <c r="T537" s="729"/>
      <c r="U537" s="729"/>
      <c r="V537" s="73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2" t="s">
        <v>77</v>
      </c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2"/>
      <c r="P538" s="722"/>
      <c r="Q538" s="722"/>
      <c r="R538" s="722"/>
      <c r="S538" s="722"/>
      <c r="T538" s="722"/>
      <c r="U538" s="722"/>
      <c r="V538" s="722"/>
      <c r="W538" s="722"/>
      <c r="X538" s="722"/>
      <c r="Y538" s="722"/>
      <c r="Z538" s="722"/>
      <c r="AA538" s="66"/>
      <c r="AB538" s="66"/>
      <c r="AC538" s="80"/>
    </row>
    <row r="539" spans="1:68" ht="27" hidden="1" customHeight="1" x14ac:dyDescent="0.25">
      <c r="A539" s="63" t="s">
        <v>854</v>
      </c>
      <c r="B539" s="63" t="s">
        <v>855</v>
      </c>
      <c r="C539" s="36">
        <v>4301031500</v>
      </c>
      <c r="D539" s="723">
        <v>4640242180595</v>
      </c>
      <c r="E539" s="723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725"/>
      <c r="R539" s="725"/>
      <c r="S539" s="725"/>
      <c r="T539" s="72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1"/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2"/>
      <c r="P541" s="728" t="s">
        <v>40</v>
      </c>
      <c r="Q541" s="729"/>
      <c r="R541" s="729"/>
      <c r="S541" s="729"/>
      <c r="T541" s="729"/>
      <c r="U541" s="729"/>
      <c r="V541" s="73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2" t="s">
        <v>86</v>
      </c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2"/>
      <c r="P542" s="722"/>
      <c r="Q542" s="722"/>
      <c r="R542" s="722"/>
      <c r="S542" s="722"/>
      <c r="T542" s="722"/>
      <c r="U542" s="722"/>
      <c r="V542" s="722"/>
      <c r="W542" s="722"/>
      <c r="X542" s="722"/>
      <c r="Y542" s="722"/>
      <c r="Z542" s="722"/>
      <c r="AA542" s="66"/>
      <c r="AB542" s="66"/>
      <c r="AC542" s="80"/>
    </row>
    <row r="543" spans="1:68" ht="27" hidden="1" customHeight="1" x14ac:dyDescent="0.25">
      <c r="A543" s="63" t="s">
        <v>857</v>
      </c>
      <c r="B543" s="63" t="s">
        <v>858</v>
      </c>
      <c r="C543" s="36">
        <v>4301052043</v>
      </c>
      <c r="D543" s="723">
        <v>4640242180533</v>
      </c>
      <c r="E543" s="723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10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725"/>
      <c r="R543" s="725"/>
      <c r="S543" s="725"/>
      <c r="T543" s="72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1"/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2"/>
      <c r="P545" s="728" t="s">
        <v>40</v>
      </c>
      <c r="Q545" s="729"/>
      <c r="R545" s="729"/>
      <c r="S545" s="729"/>
      <c r="T545" s="729"/>
      <c r="U545" s="729"/>
      <c r="V545" s="73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2" t="s">
        <v>179</v>
      </c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2"/>
      <c r="P546" s="722"/>
      <c r="Q546" s="722"/>
      <c r="R546" s="722"/>
      <c r="S546" s="722"/>
      <c r="T546" s="722"/>
      <c r="U546" s="722"/>
      <c r="V546" s="722"/>
      <c r="W546" s="722"/>
      <c r="X546" s="722"/>
      <c r="Y546" s="722"/>
      <c r="Z546" s="722"/>
      <c r="AA546" s="66"/>
      <c r="AB546" s="66"/>
      <c r="AC546" s="80"/>
    </row>
    <row r="547" spans="1:68" ht="27" hidden="1" customHeight="1" x14ac:dyDescent="0.25">
      <c r="A547" s="63" t="s">
        <v>860</v>
      </c>
      <c r="B547" s="63" t="s">
        <v>861</v>
      </c>
      <c r="C547" s="36">
        <v>4301060535</v>
      </c>
      <c r="D547" s="723">
        <v>4640242180120</v>
      </c>
      <c r="E547" s="723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1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725"/>
      <c r="R547" s="725"/>
      <c r="S547" s="725"/>
      <c r="T547" s="72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863</v>
      </c>
      <c r="B548" s="63" t="s">
        <v>864</v>
      </c>
      <c r="C548" s="36">
        <v>4301060536</v>
      </c>
      <c r="D548" s="723">
        <v>4640242180137</v>
      </c>
      <c r="E548" s="72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1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725"/>
      <c r="R548" s="725"/>
      <c r="S548" s="725"/>
      <c r="T548" s="72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1"/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2"/>
      <c r="P549" s="728" t="s">
        <v>40</v>
      </c>
      <c r="Q549" s="729"/>
      <c r="R549" s="729"/>
      <c r="S549" s="729"/>
      <c r="T549" s="729"/>
      <c r="U549" s="729"/>
      <c r="V549" s="730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731"/>
      <c r="B550" s="731"/>
      <c r="C550" s="731"/>
      <c r="D550" s="731"/>
      <c r="E550" s="731"/>
      <c r="F550" s="731"/>
      <c r="G550" s="731"/>
      <c r="H550" s="731"/>
      <c r="I550" s="731"/>
      <c r="J550" s="731"/>
      <c r="K550" s="731"/>
      <c r="L550" s="731"/>
      <c r="M550" s="731"/>
      <c r="N550" s="731"/>
      <c r="O550" s="732"/>
      <c r="P550" s="728" t="s">
        <v>40</v>
      </c>
      <c r="Q550" s="729"/>
      <c r="R550" s="729"/>
      <c r="S550" s="729"/>
      <c r="T550" s="729"/>
      <c r="U550" s="729"/>
      <c r="V550" s="730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721" t="s">
        <v>866</v>
      </c>
      <c r="B551" s="721"/>
      <c r="C551" s="721"/>
      <c r="D551" s="721"/>
      <c r="E551" s="721"/>
      <c r="F551" s="721"/>
      <c r="G551" s="721"/>
      <c r="H551" s="721"/>
      <c r="I551" s="721"/>
      <c r="J551" s="721"/>
      <c r="K551" s="721"/>
      <c r="L551" s="721"/>
      <c r="M551" s="721"/>
      <c r="N551" s="721"/>
      <c r="O551" s="721"/>
      <c r="P551" s="721"/>
      <c r="Q551" s="721"/>
      <c r="R551" s="721"/>
      <c r="S551" s="721"/>
      <c r="T551" s="721"/>
      <c r="U551" s="721"/>
      <c r="V551" s="721"/>
      <c r="W551" s="721"/>
      <c r="X551" s="721"/>
      <c r="Y551" s="721"/>
      <c r="Z551" s="721"/>
      <c r="AA551" s="65"/>
      <c r="AB551" s="65"/>
      <c r="AC551" s="79"/>
    </row>
    <row r="552" spans="1:68" ht="14.25" hidden="1" customHeight="1" x14ac:dyDescent="0.25">
      <c r="A552" s="722" t="s">
        <v>159</v>
      </c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2"/>
      <c r="P552" s="722"/>
      <c r="Q552" s="722"/>
      <c r="R552" s="722"/>
      <c r="S552" s="722"/>
      <c r="T552" s="722"/>
      <c r="U552" s="722"/>
      <c r="V552" s="722"/>
      <c r="W552" s="722"/>
      <c r="X552" s="722"/>
      <c r="Y552" s="722"/>
      <c r="Z552" s="722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4301020441</v>
      </c>
      <c r="D553" s="723">
        <v>4680115889798</v>
      </c>
      <c r="E553" s="723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10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725"/>
      <c r="R553" s="725"/>
      <c r="S553" s="725"/>
      <c r="T553" s="726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1"/>
      <c r="B554" s="731"/>
      <c r="C554" s="731"/>
      <c r="D554" s="731"/>
      <c r="E554" s="731"/>
      <c r="F554" s="731"/>
      <c r="G554" s="731"/>
      <c r="H554" s="731"/>
      <c r="I554" s="731"/>
      <c r="J554" s="731"/>
      <c r="K554" s="731"/>
      <c r="L554" s="731"/>
      <c r="M554" s="731"/>
      <c r="N554" s="731"/>
      <c r="O554" s="732"/>
      <c r="P554" s="728" t="s">
        <v>40</v>
      </c>
      <c r="Q554" s="729"/>
      <c r="R554" s="729"/>
      <c r="S554" s="729"/>
      <c r="T554" s="729"/>
      <c r="U554" s="729"/>
      <c r="V554" s="730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731"/>
      <c r="B555" s="731"/>
      <c r="C555" s="731"/>
      <c r="D555" s="731"/>
      <c r="E555" s="731"/>
      <c r="F555" s="731"/>
      <c r="G555" s="731"/>
      <c r="H555" s="731"/>
      <c r="I555" s="731"/>
      <c r="J555" s="731"/>
      <c r="K555" s="731"/>
      <c r="L555" s="731"/>
      <c r="M555" s="731"/>
      <c r="N555" s="731"/>
      <c r="O555" s="732"/>
      <c r="P555" s="728" t="s">
        <v>40</v>
      </c>
      <c r="Q555" s="729"/>
      <c r="R555" s="729"/>
      <c r="S555" s="729"/>
      <c r="T555" s="729"/>
      <c r="U555" s="729"/>
      <c r="V555" s="730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731"/>
      <c r="B556" s="731"/>
      <c r="C556" s="731"/>
      <c r="D556" s="731"/>
      <c r="E556" s="731"/>
      <c r="F556" s="731"/>
      <c r="G556" s="731"/>
      <c r="H556" s="731"/>
      <c r="I556" s="731"/>
      <c r="J556" s="731"/>
      <c r="K556" s="731"/>
      <c r="L556" s="731"/>
      <c r="M556" s="731"/>
      <c r="N556" s="731"/>
      <c r="O556" s="1017"/>
      <c r="P556" s="1014" t="s">
        <v>33</v>
      </c>
      <c r="Q556" s="1015"/>
      <c r="R556" s="1015"/>
      <c r="S556" s="1015"/>
      <c r="T556" s="1015"/>
      <c r="U556" s="1015"/>
      <c r="V556" s="1016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3750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3755.04</v>
      </c>
      <c r="Z556" s="42"/>
      <c r="AA556" s="67"/>
      <c r="AB556" s="67"/>
      <c r="AC556" s="67"/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1017"/>
      <c r="P557" s="1014" t="s">
        <v>34</v>
      </c>
      <c r="Q557" s="1015"/>
      <c r="R557" s="1015"/>
      <c r="S557" s="1015"/>
      <c r="T557" s="1015"/>
      <c r="U557" s="1015"/>
      <c r="V557" s="1016"/>
      <c r="W557" s="42" t="s">
        <v>0</v>
      </c>
      <c r="X557" s="43">
        <f>IFERROR(SUM(BM22:BM553),"0")</f>
        <v>3893.715909090909</v>
      </c>
      <c r="Y557" s="43">
        <f>IFERROR(SUM(BN22:BN553),"0")</f>
        <v>3899.09</v>
      </c>
      <c r="Z557" s="42"/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1017"/>
      <c r="P558" s="1014" t="s">
        <v>35</v>
      </c>
      <c r="Q558" s="1015"/>
      <c r="R558" s="1015"/>
      <c r="S558" s="1015"/>
      <c r="T558" s="1015"/>
      <c r="U558" s="1015"/>
      <c r="V558" s="1016"/>
      <c r="W558" s="42" t="s">
        <v>20</v>
      </c>
      <c r="X558" s="44">
        <f>ROUNDUP(SUM(BO22:BO553),0)</f>
        <v>6</v>
      </c>
      <c r="Y558" s="44">
        <f>ROUNDUP(SUM(BP22:BP553),0)</f>
        <v>6</v>
      </c>
      <c r="Z558" s="42"/>
      <c r="AA558" s="67"/>
      <c r="AB558" s="67"/>
      <c r="AC558" s="67"/>
    </row>
    <row r="559" spans="1:68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7"/>
      <c r="P559" s="1014" t="s">
        <v>36</v>
      </c>
      <c r="Q559" s="1015"/>
      <c r="R559" s="1015"/>
      <c r="S559" s="1015"/>
      <c r="T559" s="1015"/>
      <c r="U559" s="1015"/>
      <c r="V559" s="1016"/>
      <c r="W559" s="42" t="s">
        <v>0</v>
      </c>
      <c r="X559" s="43">
        <f>GrossWeightTotal+PalletQtyTotal*25</f>
        <v>4043.715909090909</v>
      </c>
      <c r="Y559" s="43">
        <f>GrossWeightTotalR+PalletQtyTotalR*25</f>
        <v>4049.09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7"/>
      <c r="P560" s="1014" t="s">
        <v>37</v>
      </c>
      <c r="Q560" s="1015"/>
      <c r="R560" s="1015"/>
      <c r="S560" s="1015"/>
      <c r="T560" s="1015"/>
      <c r="U560" s="1015"/>
      <c r="V560" s="1016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342.0454545454545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343</v>
      </c>
      <c r="Z560" s="42"/>
      <c r="AA560" s="67"/>
      <c r="AB560" s="67"/>
      <c r="AC560" s="67"/>
    </row>
    <row r="561" spans="1:32" ht="14.25" hidden="1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7"/>
      <c r="P561" s="1014" t="s">
        <v>38</v>
      </c>
      <c r="Q561" s="1015"/>
      <c r="R561" s="1015"/>
      <c r="S561" s="1015"/>
      <c r="T561" s="1015"/>
      <c r="U561" s="1015"/>
      <c r="V561" s="1016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6.0602799999999997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1018" t="s">
        <v>120</v>
      </c>
      <c r="E563" s="1018" t="s">
        <v>120</v>
      </c>
      <c r="F563" s="1018" t="s">
        <v>120</v>
      </c>
      <c r="G563" s="1018" t="s">
        <v>120</v>
      </c>
      <c r="H563" s="1018" t="s">
        <v>120</v>
      </c>
      <c r="I563" s="1018" t="s">
        <v>120</v>
      </c>
      <c r="J563" s="1018" t="s">
        <v>120</v>
      </c>
      <c r="K563" s="1018" t="s">
        <v>346</v>
      </c>
      <c r="L563" s="1018" t="s">
        <v>346</v>
      </c>
      <c r="M563" s="1018" t="s">
        <v>346</v>
      </c>
      <c r="N563" s="1019"/>
      <c r="O563" s="1018" t="s">
        <v>346</v>
      </c>
      <c r="P563" s="1018" t="s">
        <v>346</v>
      </c>
      <c r="Q563" s="1018" t="s">
        <v>346</v>
      </c>
      <c r="R563" s="1018" t="s">
        <v>346</v>
      </c>
      <c r="S563" s="1018" t="s">
        <v>346</v>
      </c>
      <c r="T563" s="1018" t="s">
        <v>346</v>
      </c>
      <c r="U563" s="1018" t="s">
        <v>346</v>
      </c>
      <c r="V563" s="1018" t="s">
        <v>346</v>
      </c>
      <c r="W563" s="1018" t="s">
        <v>701</v>
      </c>
      <c r="X563" s="1018" t="s">
        <v>701</v>
      </c>
      <c r="Y563" s="1018" t="s">
        <v>767</v>
      </c>
      <c r="Z563" s="1018" t="s">
        <v>767</v>
      </c>
      <c r="AA563" s="85" t="s">
        <v>803</v>
      </c>
      <c r="AB563" s="1018" t="s">
        <v>850</v>
      </c>
      <c r="AC563" s="1018" t="s">
        <v>850</v>
      </c>
      <c r="AF563" s="1"/>
    </row>
    <row r="564" spans="1:32" ht="14.25" customHeight="1" thickTop="1" x14ac:dyDescent="0.2">
      <c r="A564" s="1020" t="s">
        <v>10</v>
      </c>
      <c r="B564" s="1018" t="s">
        <v>76</v>
      </c>
      <c r="C564" s="1018" t="s">
        <v>104</v>
      </c>
      <c r="D564" s="1018" t="s">
        <v>121</v>
      </c>
      <c r="E564" s="1018" t="s">
        <v>137</v>
      </c>
      <c r="F564" s="1018" t="s">
        <v>187</v>
      </c>
      <c r="G564" s="1018" t="s">
        <v>210</v>
      </c>
      <c r="H564" s="1018" t="s">
        <v>250</v>
      </c>
      <c r="I564" s="1018" t="s">
        <v>263</v>
      </c>
      <c r="J564" s="1018" t="s">
        <v>120</v>
      </c>
      <c r="K564" s="1018" t="s">
        <v>347</v>
      </c>
      <c r="L564" s="1018" t="s">
        <v>368</v>
      </c>
      <c r="M564" s="1018" t="s">
        <v>442</v>
      </c>
      <c r="N564" s="1"/>
      <c r="O564" s="1018" t="s">
        <v>510</v>
      </c>
      <c r="P564" s="1018" t="s">
        <v>539</v>
      </c>
      <c r="Q564" s="1018" t="s">
        <v>559</v>
      </c>
      <c r="R564" s="1018" t="s">
        <v>568</v>
      </c>
      <c r="S564" s="1018" t="s">
        <v>589</v>
      </c>
      <c r="T564" s="1018" t="s">
        <v>598</v>
      </c>
      <c r="U564" s="1018" t="s">
        <v>684</v>
      </c>
      <c r="V564" s="1018" t="s">
        <v>691</v>
      </c>
      <c r="W564" s="1018" t="s">
        <v>702</v>
      </c>
      <c r="X564" s="1018" t="s">
        <v>751</v>
      </c>
      <c r="Y564" s="1018" t="s">
        <v>768</v>
      </c>
      <c r="Z564" s="1018" t="s">
        <v>791</v>
      </c>
      <c r="AA564" s="1018" t="s">
        <v>803</v>
      </c>
      <c r="AB564" s="1018" t="s">
        <v>850</v>
      </c>
      <c r="AC564" s="1018" t="s">
        <v>866</v>
      </c>
      <c r="AF564" s="1"/>
    </row>
    <row r="565" spans="1:32" ht="13.5" thickBot="1" x14ac:dyDescent="0.25">
      <c r="A565" s="1021"/>
      <c r="B565" s="1018"/>
      <c r="C565" s="1018"/>
      <c r="D565" s="1018"/>
      <c r="E565" s="1018"/>
      <c r="F565" s="1018"/>
      <c r="G565" s="1018"/>
      <c r="H565" s="1018"/>
      <c r="I565" s="1018"/>
      <c r="J565" s="1018"/>
      <c r="K565" s="1018"/>
      <c r="L565" s="1018"/>
      <c r="M565" s="1018"/>
      <c r="N565" s="1"/>
      <c r="O565" s="1018"/>
      <c r="P565" s="1018"/>
      <c r="Q565" s="1018"/>
      <c r="R565" s="1018"/>
      <c r="S565" s="1018"/>
      <c r="T565" s="1018"/>
      <c r="U565" s="1018"/>
      <c r="V565" s="1018"/>
      <c r="W565" s="1018"/>
      <c r="X565" s="1018"/>
      <c r="Y565" s="1018"/>
      <c r="Z565" s="1018"/>
      <c r="AA565" s="1018"/>
      <c r="AB565" s="1018"/>
      <c r="AC565" s="1018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3000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755.04000000000008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NMGPS3c/nndizhVDoyup2vQRuyId9sYu9RlvfIuhMJKrDqVXjtoX4FYmuO1PELzVoydPdHO0DIaiFhUIjEFBoA==" saltValue="NzaJPduxW/nVRHCnbNTOOw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2,05"/>
        <filter val="200,00"/>
        <filter val="3 000,00"/>
        <filter val="3 750,00"/>
        <filter val="3 893,72"/>
        <filter val="342,05"/>
        <filter val="4 043,72"/>
        <filter val="6"/>
        <filter val="750,00"/>
      </filters>
    </filterColumn>
    <filterColumn colId="29" showButton="0"/>
    <filterColumn colId="30" showButton="0"/>
  </autoFilter>
  <dataConsolidate/>
  <mergeCells count="999"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10" spans="2:8" x14ac:dyDescent="0.2">
      <c r="B10" s="53" t="s">
        <v>882</v>
      </c>
      <c r="C10" s="53" t="s">
        <v>874</v>
      </c>
      <c r="D10" s="53" t="s">
        <v>46</v>
      </c>
      <c r="E10" s="53" t="s">
        <v>46</v>
      </c>
    </row>
    <row r="12" spans="2:8" x14ac:dyDescent="0.2">
      <c r="B12" s="53" t="s">
        <v>883</v>
      </c>
      <c r="C12" s="53" t="s">
        <v>877</v>
      </c>
      <c r="D12" s="53" t="s">
        <v>46</v>
      </c>
      <c r="E12" s="53" t="s">
        <v>46</v>
      </c>
    </row>
    <row r="14" spans="2:8" x14ac:dyDescent="0.2">
      <c r="B14" s="53" t="s">
        <v>884</v>
      </c>
      <c r="C14" s="53" t="s">
        <v>880</v>
      </c>
      <c r="D14" s="53" t="s">
        <v>46</v>
      </c>
      <c r="E14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895</v>
      </c>
      <c r="C26" s="53" t="s">
        <v>46</v>
      </c>
      <c r="D26" s="53" t="s">
        <v>46</v>
      </c>
      <c r="E26" s="53" t="s">
        <v>46</v>
      </c>
    </row>
  </sheetData>
  <sheetProtection algorithmName="SHA-512" hashValue="3TC2fsvkcxowXtKQLUxTFoDMOy83MNaIYKDr1PISeazxeNnogs8K+Kp6nyLncYw4gSyKTcUzWJIMGQCwLOkqEQ==" saltValue="hLextTsy6OhT7g3AZ6Pl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2026-09-25T09:02:53Z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