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88AFFC-BB32-4981-8633-0818AAE8D14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BN276" i="1" s="1"/>
  <c r="P276" i="1"/>
  <c r="BO275" i="1"/>
  <c r="BM275" i="1"/>
  <c r="Z275" i="1"/>
  <c r="Y275" i="1"/>
  <c r="BP275" i="1" s="1"/>
  <c r="P275" i="1"/>
  <c r="BO274" i="1"/>
  <c r="BM274" i="1"/>
  <c r="Z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BN272" i="1" s="1"/>
  <c r="P272" i="1"/>
  <c r="BP271" i="1"/>
  <c r="BO271" i="1"/>
  <c r="BN271" i="1"/>
  <c r="BM271" i="1"/>
  <c r="Z271" i="1"/>
  <c r="Y271" i="1"/>
  <c r="P271" i="1"/>
  <c r="BO270" i="1"/>
  <c r="BN270" i="1"/>
  <c r="BM270" i="1"/>
  <c r="Z270" i="1"/>
  <c r="Y270" i="1"/>
  <c r="BP270" i="1" s="1"/>
  <c r="P270" i="1"/>
  <c r="BO269" i="1"/>
  <c r="BM269" i="1"/>
  <c r="Z269" i="1"/>
  <c r="Y269" i="1"/>
  <c r="BP269" i="1" s="1"/>
  <c r="P269" i="1"/>
  <c r="BO268" i="1"/>
  <c r="BM268" i="1"/>
  <c r="Z268" i="1"/>
  <c r="Z277" i="1" s="1"/>
  <c r="Y268" i="1"/>
  <c r="BN268" i="1" s="1"/>
  <c r="BO267" i="1"/>
  <c r="BM267" i="1"/>
  <c r="Z267" i="1"/>
  <c r="Y267" i="1"/>
  <c r="BN267" i="1" s="1"/>
  <c r="P267" i="1"/>
  <c r="X265" i="1"/>
  <c r="X264" i="1"/>
  <c r="BO263" i="1"/>
  <c r="BM263" i="1"/>
  <c r="Z263" i="1"/>
  <c r="Y263" i="1"/>
  <c r="BP263" i="1" s="1"/>
  <c r="P263" i="1"/>
  <c r="BO262" i="1"/>
  <c r="BM262" i="1"/>
  <c r="Z262" i="1"/>
  <c r="Y262" i="1"/>
  <c r="BP262" i="1" s="1"/>
  <c r="P262" i="1"/>
  <c r="BO261" i="1"/>
  <c r="BM261" i="1"/>
  <c r="Z261" i="1"/>
  <c r="Z264" i="1" s="1"/>
  <c r="Y261" i="1"/>
  <c r="BN261" i="1" s="1"/>
  <c r="P261" i="1"/>
  <c r="X259" i="1"/>
  <c r="X258" i="1"/>
  <c r="BO257" i="1"/>
  <c r="BM257" i="1"/>
  <c r="Z257" i="1"/>
  <c r="Z258" i="1" s="1"/>
  <c r="Y257" i="1"/>
  <c r="P257" i="1"/>
  <c r="X255" i="1"/>
  <c r="X254" i="1"/>
  <c r="BO253" i="1"/>
  <c r="BM253" i="1"/>
  <c r="Z253" i="1"/>
  <c r="Y253" i="1"/>
  <c r="BN253" i="1" s="1"/>
  <c r="P253" i="1"/>
  <c r="BO252" i="1"/>
  <c r="BM252" i="1"/>
  <c r="Z252" i="1"/>
  <c r="Y252" i="1"/>
  <c r="Y254" i="1" s="1"/>
  <c r="P252" i="1"/>
  <c r="X248" i="1"/>
  <c r="X247" i="1"/>
  <c r="BO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Y210" i="1"/>
  <c r="BN210" i="1" s="1"/>
  <c r="P210" i="1"/>
  <c r="BO209" i="1"/>
  <c r="BM209" i="1"/>
  <c r="Z209" i="1"/>
  <c r="Z211" i="1" s="1"/>
  <c r="Y209" i="1"/>
  <c r="Y211" i="1" s="1"/>
  <c r="P209" i="1"/>
  <c r="X206" i="1"/>
  <c r="X205" i="1"/>
  <c r="BO204" i="1"/>
  <c r="BM204" i="1"/>
  <c r="Z204" i="1"/>
  <c r="Y204" i="1"/>
  <c r="BP204" i="1" s="1"/>
  <c r="P204" i="1"/>
  <c r="BP203" i="1"/>
  <c r="BO203" i="1"/>
  <c r="BN203" i="1"/>
  <c r="BM203" i="1"/>
  <c r="Z203" i="1"/>
  <c r="Z205" i="1" s="1"/>
  <c r="Y203" i="1"/>
  <c r="P203" i="1"/>
  <c r="BO202" i="1"/>
  <c r="BM202" i="1"/>
  <c r="Z202" i="1"/>
  <c r="Y202" i="1"/>
  <c r="BN202" i="1" s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BN192" i="1" s="1"/>
  <c r="P192" i="1"/>
  <c r="BP191" i="1"/>
  <c r="BO191" i="1"/>
  <c r="BN191" i="1"/>
  <c r="BM191" i="1"/>
  <c r="Z191" i="1"/>
  <c r="Y191" i="1"/>
  <c r="P191" i="1"/>
  <c r="BO190" i="1"/>
  <c r="BN190" i="1"/>
  <c r="BM190" i="1"/>
  <c r="Z190" i="1"/>
  <c r="Y190" i="1"/>
  <c r="BP190" i="1" s="1"/>
  <c r="P190" i="1"/>
  <c r="BO189" i="1"/>
  <c r="BM189" i="1"/>
  <c r="Z189" i="1"/>
  <c r="Y189" i="1"/>
  <c r="BP189" i="1" s="1"/>
  <c r="P189" i="1"/>
  <c r="Y185" i="1"/>
  <c r="X185" i="1"/>
  <c r="Y184" i="1"/>
  <c r="X184" i="1"/>
  <c r="BP183" i="1"/>
  <c r="BO183" i="1"/>
  <c r="BN183" i="1"/>
  <c r="BM183" i="1"/>
  <c r="Z183" i="1"/>
  <c r="Z184" i="1" s="1"/>
  <c r="Y183" i="1"/>
  <c r="P183" i="1"/>
  <c r="X180" i="1"/>
  <c r="X179" i="1"/>
  <c r="BP178" i="1"/>
  <c r="BO178" i="1"/>
  <c r="BN178" i="1"/>
  <c r="BM178" i="1"/>
  <c r="Z178" i="1"/>
  <c r="Y178" i="1"/>
  <c r="P178" i="1"/>
  <c r="BO177" i="1"/>
  <c r="BM177" i="1"/>
  <c r="Z177" i="1"/>
  <c r="Y177" i="1"/>
  <c r="BN177" i="1" s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Y156" i="1"/>
  <c r="BN156" i="1" s="1"/>
  <c r="P156" i="1"/>
  <c r="BO155" i="1"/>
  <c r="BM155" i="1"/>
  <c r="Z155" i="1"/>
  <c r="Y155" i="1"/>
  <c r="BP155" i="1" s="1"/>
  <c r="P155" i="1"/>
  <c r="X152" i="1"/>
  <c r="X151" i="1"/>
  <c r="BO150" i="1"/>
  <c r="BM150" i="1"/>
  <c r="Z150" i="1"/>
  <c r="Y150" i="1"/>
  <c r="BN150" i="1" s="1"/>
  <c r="P150" i="1"/>
  <c r="BO149" i="1"/>
  <c r="BN149" i="1"/>
  <c r="BM149" i="1"/>
  <c r="Z149" i="1"/>
  <c r="Y149" i="1"/>
  <c r="BP149" i="1" s="1"/>
  <c r="P149" i="1"/>
  <c r="BO148" i="1"/>
  <c r="BM148" i="1"/>
  <c r="Z148" i="1"/>
  <c r="Y148" i="1"/>
  <c r="BP148" i="1" s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BN142" i="1" s="1"/>
  <c r="P142" i="1"/>
  <c r="X139" i="1"/>
  <c r="X138" i="1"/>
  <c r="BO137" i="1"/>
  <c r="BM137" i="1"/>
  <c r="Z137" i="1"/>
  <c r="Y137" i="1"/>
  <c r="BN137" i="1" s="1"/>
  <c r="P137" i="1"/>
  <c r="BO136" i="1"/>
  <c r="BM136" i="1"/>
  <c r="Z136" i="1"/>
  <c r="Y136" i="1"/>
  <c r="P136" i="1"/>
  <c r="BO135" i="1"/>
  <c r="BM135" i="1"/>
  <c r="Z135" i="1"/>
  <c r="Y135" i="1"/>
  <c r="BN135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N129" i="1" s="1"/>
  <c r="P129" i="1"/>
  <c r="BO128" i="1"/>
  <c r="BM128" i="1"/>
  <c r="Z128" i="1"/>
  <c r="Y128" i="1"/>
  <c r="Y132" i="1" s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N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BN112" i="1" s="1"/>
  <c r="P112" i="1"/>
  <c r="BO111" i="1"/>
  <c r="BN111" i="1"/>
  <c r="BM111" i="1"/>
  <c r="Z111" i="1"/>
  <c r="Y111" i="1"/>
  <c r="P111" i="1"/>
  <c r="BO110" i="1"/>
  <c r="BN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P104" i="1"/>
  <c r="BO104" i="1"/>
  <c r="BN104" i="1"/>
  <c r="BM104" i="1"/>
  <c r="Z104" i="1"/>
  <c r="Y104" i="1"/>
  <c r="P104" i="1"/>
  <c r="BO103" i="1"/>
  <c r="BM103" i="1"/>
  <c r="Z103" i="1"/>
  <c r="Y103" i="1"/>
  <c r="BN103" i="1" s="1"/>
  <c r="P103" i="1"/>
  <c r="X100" i="1"/>
  <c r="X99" i="1"/>
  <c r="BO98" i="1"/>
  <c r="BM98" i="1"/>
  <c r="Z98" i="1"/>
  <c r="Y98" i="1"/>
  <c r="BN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N94" i="1" s="1"/>
  <c r="P94" i="1"/>
  <c r="BO93" i="1"/>
  <c r="BM93" i="1"/>
  <c r="Z93" i="1"/>
  <c r="Z99" i="1" s="1"/>
  <c r="Y93" i="1"/>
  <c r="P93" i="1"/>
  <c r="X90" i="1"/>
  <c r="Z89" i="1"/>
  <c r="X89" i="1"/>
  <c r="BO88" i="1"/>
  <c r="BN88" i="1"/>
  <c r="BM88" i="1"/>
  <c r="Z88" i="1"/>
  <c r="Y88" i="1"/>
  <c r="BP88" i="1" s="1"/>
  <c r="P88" i="1"/>
  <c r="BO87" i="1"/>
  <c r="BN87" i="1"/>
  <c r="BM87" i="1"/>
  <c r="Z87" i="1"/>
  <c r="Y87" i="1"/>
  <c r="Y89" i="1" s="1"/>
  <c r="P87" i="1"/>
  <c r="X84" i="1"/>
  <c r="X83" i="1"/>
  <c r="BO82" i="1"/>
  <c r="BM82" i="1"/>
  <c r="Z82" i="1"/>
  <c r="Z83" i="1" s="1"/>
  <c r="Y82" i="1"/>
  <c r="BP82" i="1" s="1"/>
  <c r="P82" i="1"/>
  <c r="X79" i="1"/>
  <c r="X78" i="1"/>
  <c r="BO77" i="1"/>
  <c r="BM77" i="1"/>
  <c r="Z77" i="1"/>
  <c r="Y77" i="1"/>
  <c r="P77" i="1"/>
  <c r="BP76" i="1"/>
  <c r="BO76" i="1"/>
  <c r="BN76" i="1"/>
  <c r="BM76" i="1"/>
  <c r="Z76" i="1"/>
  <c r="Z78" i="1" s="1"/>
  <c r="Y76" i="1"/>
  <c r="P76" i="1"/>
  <c r="X73" i="1"/>
  <c r="X72" i="1"/>
  <c r="BP71" i="1"/>
  <c r="BO71" i="1"/>
  <c r="BN71" i="1"/>
  <c r="BM71" i="1"/>
  <c r="Z71" i="1"/>
  <c r="Y71" i="1"/>
  <c r="P71" i="1"/>
  <c r="BO70" i="1"/>
  <c r="BM70" i="1"/>
  <c r="Z70" i="1"/>
  <c r="Y70" i="1"/>
  <c r="BN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N56" i="1"/>
  <c r="BM56" i="1"/>
  <c r="Z56" i="1"/>
  <c r="Y56" i="1"/>
  <c r="BP56" i="1" s="1"/>
  <c r="P56" i="1"/>
  <c r="BO55" i="1"/>
  <c r="BN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Y57" i="1" s="1"/>
  <c r="P53" i="1"/>
  <c r="X50" i="1"/>
  <c r="X49" i="1"/>
  <c r="BO48" i="1"/>
  <c r="BM48" i="1"/>
  <c r="Z48" i="1"/>
  <c r="Y48" i="1"/>
  <c r="BN48" i="1" s="1"/>
  <c r="P48" i="1"/>
  <c r="BO47" i="1"/>
  <c r="BM47" i="1"/>
  <c r="Z47" i="1"/>
  <c r="Z49" i="1" s="1"/>
  <c r="Y47" i="1"/>
  <c r="BN47" i="1" s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Z43" i="1" s="1"/>
  <c r="Y41" i="1"/>
  <c r="P41" i="1"/>
  <c r="X37" i="1"/>
  <c r="X36" i="1"/>
  <c r="BO35" i="1"/>
  <c r="BN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BN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N24" i="1" s="1"/>
  <c r="P24" i="1"/>
  <c r="BO23" i="1"/>
  <c r="BM23" i="1"/>
  <c r="Z23" i="1"/>
  <c r="Y23" i="1"/>
  <c r="BN23" i="1" s="1"/>
  <c r="P23" i="1"/>
  <c r="BO22" i="1"/>
  <c r="BM22" i="1"/>
  <c r="X280" i="1" s="1"/>
  <c r="Z22" i="1"/>
  <c r="Y22" i="1"/>
  <c r="P22" i="1"/>
  <c r="H10" i="1"/>
  <c r="A9" i="1"/>
  <c r="F10" i="1" s="1"/>
  <c r="D7" i="1"/>
  <c r="Q6" i="1"/>
  <c r="P2" i="1"/>
  <c r="BP22" i="1" l="1"/>
  <c r="BN22" i="1"/>
  <c r="BP34" i="1"/>
  <c r="BN34" i="1"/>
  <c r="BP69" i="1"/>
  <c r="Y73" i="1"/>
  <c r="BN69" i="1"/>
  <c r="BP77" i="1"/>
  <c r="BN77" i="1"/>
  <c r="Y105" i="1"/>
  <c r="Y106" i="1"/>
  <c r="Y117" i="1"/>
  <c r="BP109" i="1"/>
  <c r="BN109" i="1"/>
  <c r="BP113" i="1"/>
  <c r="BN113" i="1"/>
  <c r="Y121" i="1"/>
  <c r="BN119" i="1"/>
  <c r="Y125" i="1"/>
  <c r="BN123" i="1"/>
  <c r="BP130" i="1"/>
  <c r="BN130" i="1"/>
  <c r="BP143" i="1"/>
  <c r="BN143" i="1"/>
  <c r="Y145" i="1"/>
  <c r="BP25" i="1"/>
  <c r="BN25" i="1"/>
  <c r="BP27" i="1"/>
  <c r="BN27" i="1"/>
  <c r="Z36" i="1"/>
  <c r="BP54" i="1"/>
  <c r="BN54" i="1"/>
  <c r="Y67" i="1"/>
  <c r="Y66" i="1"/>
  <c r="BP65" i="1"/>
  <c r="BN65" i="1"/>
  <c r="Y120" i="1"/>
  <c r="Y124" i="1"/>
  <c r="BP136" i="1"/>
  <c r="BN136" i="1"/>
  <c r="Z193" i="1"/>
  <c r="Y205" i="1"/>
  <c r="Y206" i="1"/>
  <c r="Y221" i="1"/>
  <c r="Y227" i="1"/>
  <c r="Y243" i="1"/>
  <c r="Y247" i="1"/>
  <c r="Z57" i="1"/>
  <c r="Y99" i="1"/>
  <c r="Z105" i="1"/>
  <c r="Z116" i="1"/>
  <c r="Y116" i="1"/>
  <c r="Z132" i="1"/>
  <c r="Z138" i="1"/>
  <c r="Z151" i="1"/>
  <c r="BN148" i="1"/>
  <c r="Z157" i="1"/>
  <c r="BN155" i="1"/>
  <c r="Y180" i="1"/>
  <c r="BN189" i="1"/>
  <c r="BN204" i="1"/>
  <c r="BN209" i="1"/>
  <c r="BN215" i="1"/>
  <c r="BP215" i="1"/>
  <c r="Y216" i="1"/>
  <c r="BN220" i="1"/>
  <c r="BN226" i="1"/>
  <c r="BN236" i="1"/>
  <c r="BP236" i="1"/>
  <c r="Y237" i="1"/>
  <c r="BN242" i="1"/>
  <c r="BN246" i="1"/>
  <c r="Z254" i="1"/>
  <c r="BN262" i="1"/>
  <c r="BN269" i="1"/>
  <c r="BN274" i="1"/>
  <c r="BN275" i="1"/>
  <c r="H9" i="1"/>
  <c r="J9" i="1"/>
  <c r="Y31" i="1"/>
  <c r="Y44" i="1"/>
  <c r="BP41" i="1"/>
  <c r="BP48" i="1"/>
  <c r="Y50" i="1"/>
  <c r="BP112" i="1"/>
  <c r="BP137" i="1"/>
  <c r="Y139" i="1"/>
  <c r="Y162" i="1"/>
  <c r="BN161" i="1"/>
  <c r="BP161" i="1"/>
  <c r="Y163" i="1"/>
  <c r="Y172" i="1"/>
  <c r="BN171" i="1"/>
  <c r="BP171" i="1"/>
  <c r="Y173" i="1"/>
  <c r="Y199" i="1"/>
  <c r="BN198" i="1"/>
  <c r="BP198" i="1"/>
  <c r="Y200" i="1"/>
  <c r="BP268" i="1"/>
  <c r="BP276" i="1"/>
  <c r="Y278" i="1"/>
  <c r="BP23" i="1"/>
  <c r="BP28" i="1"/>
  <c r="X283" i="1"/>
  <c r="Y43" i="1"/>
  <c r="Y49" i="1"/>
  <c r="BP61" i="1"/>
  <c r="BP70" i="1"/>
  <c r="Y84" i="1"/>
  <c r="BP93" i="1"/>
  <c r="BP98" i="1"/>
  <c r="Y100" i="1"/>
  <c r="BP128" i="1"/>
  <c r="Y133" i="1"/>
  <c r="BP150" i="1"/>
  <c r="BP210" i="1"/>
  <c r="BP232" i="1"/>
  <c r="BP252" i="1"/>
  <c r="Y258" i="1"/>
  <c r="BN257" i="1"/>
  <c r="BP257" i="1"/>
  <c r="Y259" i="1"/>
  <c r="Y265" i="1"/>
  <c r="A10" i="1"/>
  <c r="X281" i="1"/>
  <c r="X282" i="1" s="1"/>
  <c r="Y30" i="1"/>
  <c r="Y37" i="1"/>
  <c r="BP47" i="1"/>
  <c r="Y58" i="1"/>
  <c r="BN53" i="1"/>
  <c r="BP53" i="1"/>
  <c r="Y72" i="1"/>
  <c r="Y79" i="1"/>
  <c r="Y83" i="1"/>
  <c r="BP111" i="1"/>
  <c r="F9" i="1"/>
  <c r="Z30" i="1"/>
  <c r="BP24" i="1"/>
  <c r="BN26" i="1"/>
  <c r="X279" i="1"/>
  <c r="Y36" i="1"/>
  <c r="BN41" i="1"/>
  <c r="BN61" i="1"/>
  <c r="Y62" i="1"/>
  <c r="Z72" i="1"/>
  <c r="Y78" i="1"/>
  <c r="BN82" i="1"/>
  <c r="Y90" i="1"/>
  <c r="BP87" i="1"/>
  <c r="BN93" i="1"/>
  <c r="BP94" i="1"/>
  <c r="BN96" i="1"/>
  <c r="BP103" i="1"/>
  <c r="BP119" i="1"/>
  <c r="BN128" i="1"/>
  <c r="BP129" i="1"/>
  <c r="BN131" i="1"/>
  <c r="Y138" i="1"/>
  <c r="BP135" i="1"/>
  <c r="Z144" i="1"/>
  <c r="Y144" i="1"/>
  <c r="Y152" i="1"/>
  <c r="Y151" i="1"/>
  <c r="Y157" i="1"/>
  <c r="Z179" i="1"/>
  <c r="Y179" i="1"/>
  <c r="BP220" i="1"/>
  <c r="BN232" i="1"/>
  <c r="Y233" i="1"/>
  <c r="BP242" i="1"/>
  <c r="BN252" i="1"/>
  <c r="BP253" i="1"/>
  <c r="Y255" i="1"/>
  <c r="BP261" i="1"/>
  <c r="BN263" i="1"/>
  <c r="Y277" i="1"/>
  <c r="BP267" i="1"/>
  <c r="BP123" i="1"/>
  <c r="BP142" i="1"/>
  <c r="BP156" i="1"/>
  <c r="Y158" i="1"/>
  <c r="Y167" i="1"/>
  <c r="BN166" i="1"/>
  <c r="BP166" i="1"/>
  <c r="Y168" i="1"/>
  <c r="BP177" i="1"/>
  <c r="Y193" i="1"/>
  <c r="BP192" i="1"/>
  <c r="Y194" i="1"/>
  <c r="BP202" i="1"/>
  <c r="Y212" i="1"/>
  <c r="BP209" i="1"/>
  <c r="BP226" i="1"/>
  <c r="BP246" i="1"/>
  <c r="Y264" i="1"/>
  <c r="BP272" i="1"/>
  <c r="Y280" i="1" l="1"/>
  <c r="Y283" i="1"/>
  <c r="Z284" i="1"/>
  <c r="Y279" i="1"/>
  <c r="Y281" i="1"/>
  <c r="Y282" i="1" s="1"/>
  <c r="B292" i="1" l="1"/>
  <c r="A292" i="1"/>
  <c r="C292" i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<sst xmlns="http://schemas.openxmlformats.org/spreadsheetml/2006/main" count="1286" uniqueCount="420">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</sst>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46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1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8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1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60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91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98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9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6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9" customWidth="1"/>
    <col min="19" max="19" width="6.140625" style="26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9" customWidth="1"/>
    <col min="25" max="25" width="11" style="269" customWidth="1"/>
    <col min="26" max="26" width="10" style="269" customWidth="1"/>
    <col min="27" max="27" width="11.5703125" style="269" customWidth="1"/>
    <col min="28" max="28" width="10.42578125" style="269" customWidth="1"/>
    <col min="29" max="29" width="30" style="26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9" customWidth="1"/>
    <col min="34" max="34" width="9.140625" style="269" customWidth="1"/>
    <col min="35" max="16384" width="9.140625" style="269"/>
  </cols>
  <sheetData>
    <row r="1" spans="1:32" s="273" customFormat="1" ht="45" customHeight="1" x14ac:dyDescent="0.2">
      <c r="A1" s="41"/>
      <c r="B1" s="41"/>
      <c r="C1" s="41"/>
      <c r="D1" s="427" t="s">
        <v>0</v>
      </c>
      <c r="E1" s="293"/>
      <c r="F1" s="293"/>
      <c r="G1" s="12" t="s">
        <v>1</v>
      </c>
      <c r="H1" s="427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455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7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7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3" customFormat="1" ht="23.45" customHeight="1" x14ac:dyDescent="0.2">
      <c r="A5" s="413" t="s">
        <v>8</v>
      </c>
      <c r="B5" s="289"/>
      <c r="C5" s="290"/>
      <c r="D5" s="408"/>
      <c r="E5" s="410"/>
      <c r="F5" s="321" t="s">
        <v>9</v>
      </c>
      <c r="G5" s="290"/>
      <c r="H5" s="408" t="s">
        <v>419</v>
      </c>
      <c r="I5" s="409"/>
      <c r="J5" s="409"/>
      <c r="K5" s="409"/>
      <c r="L5" s="409"/>
      <c r="M5" s="410"/>
      <c r="N5" s="61"/>
      <c r="P5" s="24" t="s">
        <v>10</v>
      </c>
      <c r="Q5" s="307">
        <v>46294</v>
      </c>
      <c r="R5" s="308"/>
      <c r="T5" s="401" t="s">
        <v>11</v>
      </c>
      <c r="U5" s="390"/>
      <c r="V5" s="403" t="s">
        <v>12</v>
      </c>
      <c r="W5" s="308"/>
      <c r="AB5" s="51"/>
      <c r="AC5" s="51"/>
      <c r="AD5" s="51"/>
      <c r="AE5" s="51"/>
    </row>
    <row r="6" spans="1:32" s="273" customFormat="1" ht="24" customHeight="1" x14ac:dyDescent="0.2">
      <c r="A6" s="413" t="s">
        <v>13</v>
      </c>
      <c r="B6" s="289"/>
      <c r="C6" s="290"/>
      <c r="D6" s="366" t="s">
        <v>397</v>
      </c>
      <c r="E6" s="367"/>
      <c r="F6" s="367"/>
      <c r="G6" s="367"/>
      <c r="H6" s="367"/>
      <c r="I6" s="367"/>
      <c r="J6" s="367"/>
      <c r="K6" s="367"/>
      <c r="L6" s="367"/>
      <c r="M6" s="308"/>
      <c r="N6" s="62"/>
      <c r="P6" s="24" t="s">
        <v>14</v>
      </c>
      <c r="Q6" s="313" t="str">
        <f>IF(Q5=0," ",CHOOSE(WEEKDAY(Q5,2),"Понедельник","Вторник","Среда","Четверг","Пятница","Суббота","Воскресенье"))</f>
        <v>Вторник</v>
      </c>
      <c r="R6" s="292"/>
      <c r="T6" s="389" t="s">
        <v>15</v>
      </c>
      <c r="U6" s="390"/>
      <c r="V6" s="358" t="s">
        <v>16</v>
      </c>
      <c r="W6" s="359"/>
      <c r="AB6" s="51"/>
      <c r="AC6" s="51"/>
      <c r="AD6" s="51"/>
      <c r="AE6" s="51"/>
    </row>
    <row r="7" spans="1:32" s="273" customFormat="1" ht="21.75" hidden="1" customHeight="1" x14ac:dyDescent="0.2">
      <c r="A7" s="55"/>
      <c r="B7" s="55"/>
      <c r="C7" s="55"/>
      <c r="D7" s="440" t="str">
        <f>IFERROR(VLOOKUP(DeliveryAddress,Table,3,0),1)</f>
        <v>4</v>
      </c>
      <c r="E7" s="441"/>
      <c r="F7" s="441"/>
      <c r="G7" s="441"/>
      <c r="H7" s="441"/>
      <c r="I7" s="441"/>
      <c r="J7" s="441"/>
      <c r="K7" s="441"/>
      <c r="L7" s="441"/>
      <c r="M7" s="406"/>
      <c r="N7" s="63"/>
      <c r="P7" s="24"/>
      <c r="Q7" s="42"/>
      <c r="R7" s="42"/>
      <c r="T7" s="281"/>
      <c r="U7" s="390"/>
      <c r="V7" s="360"/>
      <c r="W7" s="361"/>
      <c r="AB7" s="51"/>
      <c r="AC7" s="51"/>
      <c r="AD7" s="51"/>
      <c r="AE7" s="51"/>
    </row>
    <row r="8" spans="1:32" s="273" customFormat="1" ht="25.5" customHeight="1" x14ac:dyDescent="0.2">
      <c r="A8" s="338" t="s">
        <v>17</v>
      </c>
      <c r="B8" s="285"/>
      <c r="C8" s="286"/>
      <c r="D8" s="446"/>
      <c r="E8" s="447"/>
      <c r="F8" s="447"/>
      <c r="G8" s="447"/>
      <c r="H8" s="447"/>
      <c r="I8" s="447"/>
      <c r="J8" s="447"/>
      <c r="K8" s="447"/>
      <c r="L8" s="447"/>
      <c r="M8" s="448"/>
      <c r="N8" s="64"/>
      <c r="P8" s="24" t="s">
        <v>18</v>
      </c>
      <c r="Q8" s="405">
        <v>0.41666666666666669</v>
      </c>
      <c r="R8" s="406"/>
      <c r="T8" s="281"/>
      <c r="U8" s="390"/>
      <c r="V8" s="360"/>
      <c r="W8" s="361"/>
      <c r="AB8" s="51"/>
      <c r="AC8" s="51"/>
      <c r="AD8" s="51"/>
      <c r="AE8" s="51"/>
    </row>
    <row r="9" spans="1:32" s="273" customFormat="1" ht="39.950000000000003" customHeight="1" x14ac:dyDescent="0.2">
      <c r="A9" s="3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33"/>
      <c r="E9" s="334"/>
      <c r="F9" s="3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96" t="str">
        <f>IF(AND($A$9="Тип доверенности/получателя при получении в адресе перегруза:",$D$9="Разовая доверенность"),"Введите ФИО","")</f>
        <v/>
      </c>
      <c r="I9" s="334"/>
      <c r="J9" s="39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4"/>
      <c r="L9" s="334"/>
      <c r="M9" s="334"/>
      <c r="N9" s="274"/>
      <c r="P9" s="26" t="s">
        <v>19</v>
      </c>
      <c r="Q9" s="469"/>
      <c r="R9" s="326"/>
      <c r="T9" s="281"/>
      <c r="U9" s="390"/>
      <c r="V9" s="362"/>
      <c r="W9" s="363"/>
      <c r="X9" s="43"/>
      <c r="Y9" s="43"/>
      <c r="Z9" s="43"/>
      <c r="AA9" s="43"/>
      <c r="AB9" s="51"/>
      <c r="AC9" s="51"/>
      <c r="AD9" s="51"/>
      <c r="AE9" s="51"/>
    </row>
    <row r="10" spans="1:32" s="273" customFormat="1" ht="26.45" customHeight="1" x14ac:dyDescent="0.2">
      <c r="A10" s="3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33"/>
      <c r="E10" s="334"/>
      <c r="F10" s="3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98" t="str">
        <f>IFERROR(VLOOKUP($D$10,Proxy,2,FALSE),"")</f>
        <v/>
      </c>
      <c r="I10" s="281"/>
      <c r="J10" s="281"/>
      <c r="K10" s="281"/>
      <c r="L10" s="281"/>
      <c r="M10" s="281"/>
      <c r="N10" s="272"/>
      <c r="P10" s="26" t="s">
        <v>20</v>
      </c>
      <c r="Q10" s="392"/>
      <c r="R10" s="393"/>
      <c r="U10" s="24" t="s">
        <v>21</v>
      </c>
      <c r="V10" s="467" t="s">
        <v>22</v>
      </c>
      <c r="W10" s="359"/>
      <c r="X10" s="44"/>
      <c r="Y10" s="44"/>
      <c r="Z10" s="44"/>
      <c r="AA10" s="44"/>
      <c r="AB10" s="51"/>
      <c r="AC10" s="51"/>
      <c r="AD10" s="51"/>
      <c r="AE10" s="51"/>
    </row>
    <row r="11" spans="1:32" s="273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25"/>
      <c r="R11" s="308"/>
      <c r="U11" s="24" t="s">
        <v>25</v>
      </c>
      <c r="V11" s="325" t="s">
        <v>26</v>
      </c>
      <c r="W11" s="326"/>
      <c r="X11" s="45"/>
      <c r="Y11" s="45"/>
      <c r="Z11" s="45"/>
      <c r="AA11" s="45"/>
      <c r="AB11" s="51"/>
      <c r="AC11" s="51"/>
      <c r="AD11" s="51"/>
      <c r="AE11" s="51"/>
    </row>
    <row r="12" spans="1:32" s="273" customFormat="1" ht="18.600000000000001" customHeight="1" x14ac:dyDescent="0.2">
      <c r="A12" s="394" t="s">
        <v>27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90"/>
      <c r="N12" s="65"/>
      <c r="P12" s="24" t="s">
        <v>28</v>
      </c>
      <c r="Q12" s="405"/>
      <c r="R12" s="406"/>
      <c r="S12" s="23"/>
      <c r="U12" s="24"/>
      <c r="V12" s="293"/>
      <c r="W12" s="281"/>
      <c r="AB12" s="51"/>
      <c r="AC12" s="51"/>
      <c r="AD12" s="51"/>
      <c r="AE12" s="51"/>
    </row>
    <row r="13" spans="1:32" s="273" customFormat="1" ht="23.25" customHeight="1" x14ac:dyDescent="0.2">
      <c r="A13" s="394" t="s">
        <v>29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90"/>
      <c r="N13" s="65"/>
      <c r="O13" s="26"/>
      <c r="P13" s="26" t="s">
        <v>30</v>
      </c>
      <c r="Q13" s="325"/>
      <c r="R13" s="32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3" customFormat="1" ht="18.600000000000001" customHeight="1" x14ac:dyDescent="0.2">
      <c r="A14" s="394" t="s">
        <v>31</v>
      </c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3" customFormat="1" ht="22.5" customHeight="1" x14ac:dyDescent="0.2">
      <c r="A15" s="395" t="s">
        <v>32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90"/>
      <c r="N15" s="66"/>
      <c r="P15" s="417" t="s">
        <v>33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18"/>
      <c r="Q16" s="418"/>
      <c r="R16" s="418"/>
      <c r="S16" s="418"/>
      <c r="T16" s="41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414" t="s">
        <v>36</v>
      </c>
      <c r="D17" s="305" t="s">
        <v>37</v>
      </c>
      <c r="E17" s="339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431"/>
      <c r="R17" s="431"/>
      <c r="S17" s="431"/>
      <c r="T17" s="339"/>
      <c r="U17" s="299" t="s">
        <v>49</v>
      </c>
      <c r="V17" s="290"/>
      <c r="W17" s="305" t="s">
        <v>50</v>
      </c>
      <c r="X17" s="305" t="s">
        <v>51</v>
      </c>
      <c r="Y17" s="300" t="s">
        <v>52</v>
      </c>
      <c r="Z17" s="349" t="s">
        <v>53</v>
      </c>
      <c r="AA17" s="315" t="s">
        <v>54</v>
      </c>
      <c r="AB17" s="315" t="s">
        <v>55</v>
      </c>
      <c r="AC17" s="315" t="s">
        <v>56</v>
      </c>
      <c r="AD17" s="315" t="s">
        <v>57</v>
      </c>
      <c r="AE17" s="316"/>
      <c r="AF17" s="31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0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0"/>
      <c r="Q18" s="432"/>
      <c r="R18" s="432"/>
      <c r="S18" s="432"/>
      <c r="T18" s="341"/>
      <c r="U18" s="70" t="s">
        <v>59</v>
      </c>
      <c r="V18" s="70" t="s">
        <v>60</v>
      </c>
      <c r="W18" s="306"/>
      <c r="X18" s="306"/>
      <c r="Y18" s="301"/>
      <c r="Z18" s="350"/>
      <c r="AA18" s="351"/>
      <c r="AB18" s="351"/>
      <c r="AC18" s="351"/>
      <c r="AD18" s="318"/>
      <c r="AE18" s="319"/>
      <c r="AF18" s="320"/>
      <c r="AG18" s="69"/>
      <c r="BD18" s="68"/>
    </row>
    <row r="19" spans="1:68" ht="27.75" hidden="1" customHeight="1" x14ac:dyDescent="0.2">
      <c r="A19" s="323" t="s">
        <v>61</v>
      </c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48"/>
      <c r="AB19" s="48"/>
      <c r="AC19" s="48"/>
    </row>
    <row r="20" spans="1:68" ht="16.5" hidden="1" customHeight="1" x14ac:dyDescent="0.25">
      <c r="A20" s="294" t="s">
        <v>61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71"/>
      <c r="AB20" s="271"/>
      <c r="AC20" s="271"/>
    </row>
    <row r="21" spans="1:68" ht="14.25" hidden="1" customHeight="1" x14ac:dyDescent="0.25">
      <c r="A21" s="280" t="s">
        <v>62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1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68</v>
      </c>
      <c r="X23" s="276">
        <v>12</v>
      </c>
      <c r="Y23" s="277">
        <f t="shared" si="0"/>
        <v>12</v>
      </c>
      <c r="Z23" s="36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1">
        <v>4620207491713</v>
      </c>
      <c r="E24" s="292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1">
        <v>4620207491720</v>
      </c>
      <c r="E25" s="292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29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1">
        <v>4607111035912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1">
        <v>4607111035929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1">
        <v>4607111035882</v>
      </c>
      <c r="E28" s="292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1">
        <v>4607111035905</v>
      </c>
      <c r="E29" s="292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68</v>
      </c>
      <c r="X29" s="276">
        <v>12</v>
      </c>
      <c r="Y29" s="277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02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303"/>
      <c r="P30" s="284" t="s">
        <v>87</v>
      </c>
      <c r="Q30" s="285"/>
      <c r="R30" s="285"/>
      <c r="S30" s="285"/>
      <c r="T30" s="285"/>
      <c r="U30" s="285"/>
      <c r="V30" s="286"/>
      <c r="W30" s="37" t="s">
        <v>68</v>
      </c>
      <c r="X30" s="278">
        <f>IFERROR(SUM(X22:X29),"0")</f>
        <v>24</v>
      </c>
      <c r="Y30" s="278">
        <f>IFERROR(SUM(Y22:Y29),"0")</f>
        <v>24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79"/>
      <c r="AB30" s="279"/>
      <c r="AC30" s="279"/>
    </row>
    <row r="31" spans="1:68" x14ac:dyDescent="0.2">
      <c r="A31" s="281"/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303"/>
      <c r="P31" s="284" t="s">
        <v>87</v>
      </c>
      <c r="Q31" s="285"/>
      <c r="R31" s="285"/>
      <c r="S31" s="285"/>
      <c r="T31" s="285"/>
      <c r="U31" s="285"/>
      <c r="V31" s="286"/>
      <c r="W31" s="37" t="s">
        <v>88</v>
      </c>
      <c r="X31" s="278">
        <f>IFERROR(SUMPRODUCT(X22:X29*H22:H29),"0")</f>
        <v>163.20000000000002</v>
      </c>
      <c r="Y31" s="278">
        <f>IFERROR(SUMPRODUCT(Y22:Y29*H22:H29),"0")</f>
        <v>163.20000000000002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71"/>
      <c r="AB32" s="271"/>
      <c r="AC32" s="271"/>
    </row>
    <row r="33" spans="1:68" ht="14.25" hidden="1" customHeight="1" x14ac:dyDescent="0.25">
      <c r="A33" s="280" t="s">
        <v>62</v>
      </c>
      <c r="B33" s="281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70"/>
      <c r="AB33" s="270"/>
      <c r="AC33" s="270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91">
        <v>4607111039019</v>
      </c>
      <c r="E34" s="292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4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6"/>
      <c r="R34" s="296"/>
      <c r="S34" s="296"/>
      <c r="T34" s="29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91">
        <v>4607111038708</v>
      </c>
      <c r="E35" s="292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5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6"/>
      <c r="R35" s="296"/>
      <c r="S35" s="296"/>
      <c r="T35" s="29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2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303"/>
      <c r="P36" s="284" t="s">
        <v>87</v>
      </c>
      <c r="Q36" s="285"/>
      <c r="R36" s="285"/>
      <c r="S36" s="285"/>
      <c r="T36" s="285"/>
      <c r="U36" s="285"/>
      <c r="V36" s="286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81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303"/>
      <c r="P37" s="284" t="s">
        <v>87</v>
      </c>
      <c r="Q37" s="285"/>
      <c r="R37" s="285"/>
      <c r="S37" s="285"/>
      <c r="T37" s="285"/>
      <c r="U37" s="285"/>
      <c r="V37" s="286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23" t="s">
        <v>95</v>
      </c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48"/>
      <c r="AB38" s="48"/>
      <c r="AC38" s="48"/>
    </row>
    <row r="39" spans="1:68" ht="16.5" hidden="1" customHeight="1" x14ac:dyDescent="0.25">
      <c r="A39" s="294" t="s">
        <v>96</v>
      </c>
      <c r="B39" s="281"/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71"/>
      <c r="AB39" s="271"/>
      <c r="AC39" s="271"/>
    </row>
    <row r="40" spans="1:68" ht="14.25" hidden="1" customHeight="1" x14ac:dyDescent="0.25">
      <c r="A40" s="280" t="s">
        <v>97</v>
      </c>
      <c r="B40" s="281"/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70"/>
      <c r="AB40" s="270"/>
      <c r="AC40" s="270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1">
        <v>4607111036537</v>
      </c>
      <c r="E41" s="292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6"/>
      <c r="R41" s="296"/>
      <c r="S41" s="296"/>
      <c r="T41" s="297"/>
      <c r="U41" s="34"/>
      <c r="V41" s="34"/>
      <c r="W41" s="35" t="s">
        <v>68</v>
      </c>
      <c r="X41" s="276">
        <v>196</v>
      </c>
      <c r="Y41" s="277">
        <f>IFERROR(IF(X41="","",X41),"")</f>
        <v>196</v>
      </c>
      <c r="Z41" s="36">
        <f>IFERROR(IF(X41="","",X41*0.00941),"")</f>
        <v>1.84436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376.6728</v>
      </c>
      <c r="BN41" s="67">
        <f>IFERROR(Y41*I41,"0")</f>
        <v>376.6728</v>
      </c>
      <c r="BO41" s="67">
        <f>IFERROR(X41/J41,"0")</f>
        <v>1.4</v>
      </c>
      <c r="BP41" s="67">
        <f>IFERROR(Y41/J41,"0")</f>
        <v>1.4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1">
        <v>4607111036605</v>
      </c>
      <c r="E42" s="292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6"/>
      <c r="R42" s="296"/>
      <c r="S42" s="296"/>
      <c r="T42" s="297"/>
      <c r="U42" s="34"/>
      <c r="V42" s="34"/>
      <c r="W42" s="35" t="s">
        <v>68</v>
      </c>
      <c r="X42" s="276">
        <v>84</v>
      </c>
      <c r="Y42" s="277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302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303"/>
      <c r="P43" s="284" t="s">
        <v>87</v>
      </c>
      <c r="Q43" s="285"/>
      <c r="R43" s="285"/>
      <c r="S43" s="285"/>
      <c r="T43" s="285"/>
      <c r="U43" s="285"/>
      <c r="V43" s="286"/>
      <c r="W43" s="37" t="s">
        <v>68</v>
      </c>
      <c r="X43" s="278">
        <f>IFERROR(SUM(X41:X42),"0")</f>
        <v>280</v>
      </c>
      <c r="Y43" s="278">
        <f>IFERROR(SUM(Y41:Y42),"0")</f>
        <v>280</v>
      </c>
      <c r="Z43" s="278">
        <f>IFERROR(IF(Z41="",0,Z41),"0")+IFERROR(IF(Z42="",0,Z42),"0")</f>
        <v>2.6348000000000003</v>
      </c>
      <c r="AA43" s="279"/>
      <c r="AB43" s="279"/>
      <c r="AC43" s="279"/>
    </row>
    <row r="44" spans="1:68" x14ac:dyDescent="0.2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303"/>
      <c r="P44" s="284" t="s">
        <v>87</v>
      </c>
      <c r="Q44" s="285"/>
      <c r="R44" s="285"/>
      <c r="S44" s="285"/>
      <c r="T44" s="285"/>
      <c r="U44" s="285"/>
      <c r="V44" s="286"/>
      <c r="W44" s="37" t="s">
        <v>88</v>
      </c>
      <c r="X44" s="278">
        <f>IFERROR(SUMPRODUCT(X41:X42*H41:H42),"0")</f>
        <v>420</v>
      </c>
      <c r="Y44" s="278">
        <f>IFERROR(SUMPRODUCT(Y41:Y42*H41:H42),"0")</f>
        <v>420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71"/>
      <c r="AB45" s="271"/>
      <c r="AC45" s="271"/>
    </row>
    <row r="46" spans="1:68" ht="14.25" hidden="1" customHeight="1" x14ac:dyDescent="0.25">
      <c r="A46" s="280" t="s">
        <v>62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70"/>
      <c r="AB46" s="270"/>
      <c r="AC46" s="270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91">
        <v>4620207490075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2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1">
        <v>4620207490174</v>
      </c>
      <c r="E48" s="292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0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6"/>
      <c r="R48" s="296"/>
      <c r="S48" s="296"/>
      <c r="T48" s="297"/>
      <c r="U48" s="34"/>
      <c r="V48" s="34"/>
      <c r="W48" s="35" t="s">
        <v>68</v>
      </c>
      <c r="X48" s="276">
        <v>12</v>
      </c>
      <c r="Y48" s="277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302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303"/>
      <c r="P49" s="284" t="s">
        <v>87</v>
      </c>
      <c r="Q49" s="285"/>
      <c r="R49" s="285"/>
      <c r="S49" s="285"/>
      <c r="T49" s="285"/>
      <c r="U49" s="285"/>
      <c r="V49" s="286"/>
      <c r="W49" s="37" t="s">
        <v>68</v>
      </c>
      <c r="X49" s="278">
        <f>IFERROR(SUM(X47:X48),"0")</f>
        <v>12</v>
      </c>
      <c r="Y49" s="278">
        <f>IFERROR(SUM(Y47:Y48),"0")</f>
        <v>12</v>
      </c>
      <c r="Z49" s="278">
        <f>IFERROR(IF(Z47="",0,Z47),"0")+IFERROR(IF(Z48="",0,Z48),"0")</f>
        <v>0.186</v>
      </c>
      <c r="AA49" s="279"/>
      <c r="AB49" s="279"/>
      <c r="AC49" s="279"/>
    </row>
    <row r="50" spans="1:68" x14ac:dyDescent="0.2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303"/>
      <c r="P50" s="284" t="s">
        <v>87</v>
      </c>
      <c r="Q50" s="285"/>
      <c r="R50" s="285"/>
      <c r="S50" s="285"/>
      <c r="T50" s="285"/>
      <c r="U50" s="285"/>
      <c r="V50" s="286"/>
      <c r="W50" s="37" t="s">
        <v>88</v>
      </c>
      <c r="X50" s="278">
        <f>IFERROR(SUMPRODUCT(X47:X48*H47:H48),"0")</f>
        <v>67.199999999999989</v>
      </c>
      <c r="Y50" s="278">
        <f>IFERROR(SUMPRODUCT(Y47:Y48*H47:H48),"0")</f>
        <v>67.199999999999989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71"/>
      <c r="AB51" s="271"/>
      <c r="AC51" s="271"/>
    </row>
    <row r="52" spans="1:68" ht="14.25" hidden="1" customHeight="1" x14ac:dyDescent="0.25">
      <c r="A52" s="280" t="s">
        <v>62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70"/>
      <c r="AB52" s="270"/>
      <c r="AC52" s="270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91">
        <v>4607111039385</v>
      </c>
      <c r="E53" s="292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41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6"/>
      <c r="R53" s="296"/>
      <c r="S53" s="296"/>
      <c r="T53" s="297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91">
        <v>4607111038982</v>
      </c>
      <c r="E54" s="292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6"/>
      <c r="R54" s="296"/>
      <c r="S54" s="296"/>
      <c r="T54" s="297"/>
      <c r="U54" s="34"/>
      <c r="V54" s="34"/>
      <c r="W54" s="35" t="s">
        <v>68</v>
      </c>
      <c r="X54" s="276">
        <v>12</v>
      </c>
      <c r="Y54" s="277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87.431999999999988</v>
      </c>
      <c r="BN54" s="67">
        <f>IFERROR(Y54*I54,"0")</f>
        <v>87.431999999999988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91">
        <v>4607111039354</v>
      </c>
      <c r="E55" s="292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2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6"/>
      <c r="R55" s="296"/>
      <c r="S55" s="296"/>
      <c r="T55" s="29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91">
        <v>4607111039330</v>
      </c>
      <c r="E56" s="292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6"/>
      <c r="R56" s="296"/>
      <c r="S56" s="296"/>
      <c r="T56" s="297"/>
      <c r="U56" s="34"/>
      <c r="V56" s="34"/>
      <c r="W56" s="35" t="s">
        <v>68</v>
      </c>
      <c r="X56" s="276">
        <v>24</v>
      </c>
      <c r="Y56" s="277">
        <f>IFERROR(IF(X56="","",X56),"")</f>
        <v>24</v>
      </c>
      <c r="Z56" s="36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302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303"/>
      <c r="P57" s="284" t="s">
        <v>87</v>
      </c>
      <c r="Q57" s="285"/>
      <c r="R57" s="285"/>
      <c r="S57" s="285"/>
      <c r="T57" s="285"/>
      <c r="U57" s="285"/>
      <c r="V57" s="286"/>
      <c r="W57" s="37" t="s">
        <v>68</v>
      </c>
      <c r="X57" s="278">
        <f>IFERROR(SUM(X53:X56),"0")</f>
        <v>48</v>
      </c>
      <c r="Y57" s="278">
        <f>IFERROR(SUM(Y53:Y56),"0")</f>
        <v>48</v>
      </c>
      <c r="Z57" s="278">
        <f>IFERROR(IF(Z53="",0,Z53),"0")+IFERROR(IF(Z54="",0,Z54),"0")+IFERROR(IF(Z55="",0,Z55),"0")+IFERROR(IF(Z56="",0,Z56),"0")</f>
        <v>0.74399999999999999</v>
      </c>
      <c r="AA57" s="279"/>
      <c r="AB57" s="279"/>
      <c r="AC57" s="279"/>
    </row>
    <row r="58" spans="1:68" x14ac:dyDescent="0.2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303"/>
      <c r="P58" s="284" t="s">
        <v>87</v>
      </c>
      <c r="Q58" s="285"/>
      <c r="R58" s="285"/>
      <c r="S58" s="285"/>
      <c r="T58" s="285"/>
      <c r="U58" s="285"/>
      <c r="V58" s="286"/>
      <c r="W58" s="37" t="s">
        <v>88</v>
      </c>
      <c r="X58" s="278">
        <f>IFERROR(SUMPRODUCT(X53:X56*H53:H56),"0")</f>
        <v>336</v>
      </c>
      <c r="Y58" s="278">
        <f>IFERROR(SUMPRODUCT(Y53:Y56*H53:H56),"0")</f>
        <v>336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71"/>
      <c r="AB59" s="271"/>
      <c r="AC59" s="271"/>
    </row>
    <row r="60" spans="1:68" ht="14.25" hidden="1" customHeight="1" x14ac:dyDescent="0.25">
      <c r="A60" s="280" t="s">
        <v>97</v>
      </c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70"/>
      <c r="AB60" s="270"/>
      <c r="AC60" s="270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91">
        <v>4607111039712</v>
      </c>
      <c r="E61" s="292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9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6"/>
      <c r="R61" s="296"/>
      <c r="S61" s="296"/>
      <c r="T61" s="29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2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303"/>
      <c r="P62" s="284" t="s">
        <v>87</v>
      </c>
      <c r="Q62" s="285"/>
      <c r="R62" s="285"/>
      <c r="S62" s="285"/>
      <c r="T62" s="285"/>
      <c r="U62" s="285"/>
      <c r="V62" s="286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303"/>
      <c r="P63" s="284" t="s">
        <v>87</v>
      </c>
      <c r="Q63" s="285"/>
      <c r="R63" s="285"/>
      <c r="S63" s="285"/>
      <c r="T63" s="285"/>
      <c r="U63" s="285"/>
      <c r="V63" s="286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280" t="s">
        <v>129</v>
      </c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70"/>
      <c r="AB64" s="270"/>
      <c r="AC64" s="270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91">
        <v>4607111037398</v>
      </c>
      <c r="E65" s="292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30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6"/>
      <c r="R65" s="296"/>
      <c r="S65" s="296"/>
      <c r="T65" s="29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2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303"/>
      <c r="P66" s="284" t="s">
        <v>87</v>
      </c>
      <c r="Q66" s="285"/>
      <c r="R66" s="285"/>
      <c r="S66" s="285"/>
      <c r="T66" s="285"/>
      <c r="U66" s="285"/>
      <c r="V66" s="286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303"/>
      <c r="P67" s="284" t="s">
        <v>87</v>
      </c>
      <c r="Q67" s="285"/>
      <c r="R67" s="285"/>
      <c r="S67" s="285"/>
      <c r="T67" s="285"/>
      <c r="U67" s="285"/>
      <c r="V67" s="286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280" t="s">
        <v>133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70"/>
      <c r="AB68" s="270"/>
      <c r="AC68" s="270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91">
        <v>4607111039705</v>
      </c>
      <c r="E69" s="292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40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6"/>
      <c r="R69" s="296"/>
      <c r="S69" s="296"/>
      <c r="T69" s="29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91">
        <v>4607111039729</v>
      </c>
      <c r="E70" s="292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1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6"/>
      <c r="R70" s="296"/>
      <c r="S70" s="296"/>
      <c r="T70" s="29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91">
        <v>4620207490228</v>
      </c>
      <c r="E71" s="292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34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6"/>
      <c r="R71" s="296"/>
      <c r="S71" s="296"/>
      <c r="T71" s="297"/>
      <c r="U71" s="34"/>
      <c r="V71" s="34"/>
      <c r="W71" s="35" t="s">
        <v>68</v>
      </c>
      <c r="X71" s="276">
        <v>0</v>
      </c>
      <c r="Y71" s="277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2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303"/>
      <c r="P72" s="284" t="s">
        <v>87</v>
      </c>
      <c r="Q72" s="285"/>
      <c r="R72" s="285"/>
      <c r="S72" s="285"/>
      <c r="T72" s="285"/>
      <c r="U72" s="285"/>
      <c r="V72" s="286"/>
      <c r="W72" s="37" t="s">
        <v>68</v>
      </c>
      <c r="X72" s="278">
        <f>IFERROR(SUM(X69:X71),"0")</f>
        <v>0</v>
      </c>
      <c r="Y72" s="278">
        <f>IFERROR(SUM(Y69:Y71),"0")</f>
        <v>0</v>
      </c>
      <c r="Z72" s="278">
        <f>IFERROR(IF(Z69="",0,Z69),"0")+IFERROR(IF(Z70="",0,Z70),"0")+IFERROR(IF(Z71="",0,Z71),"0")</f>
        <v>0</v>
      </c>
      <c r="AA72" s="279"/>
      <c r="AB72" s="279"/>
      <c r="AC72" s="279"/>
    </row>
    <row r="73" spans="1:68" hidden="1" x14ac:dyDescent="0.2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303"/>
      <c r="P73" s="284" t="s">
        <v>87</v>
      </c>
      <c r="Q73" s="285"/>
      <c r="R73" s="285"/>
      <c r="S73" s="285"/>
      <c r="T73" s="285"/>
      <c r="U73" s="285"/>
      <c r="V73" s="286"/>
      <c r="W73" s="37" t="s">
        <v>88</v>
      </c>
      <c r="X73" s="278">
        <f>IFERROR(SUMPRODUCT(X69:X71*H69:H71),"0")</f>
        <v>0</v>
      </c>
      <c r="Y73" s="278">
        <f>IFERROR(SUMPRODUCT(Y69:Y71*H69:H71),"0")</f>
        <v>0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71"/>
      <c r="AB74" s="271"/>
      <c r="AC74" s="271"/>
    </row>
    <row r="75" spans="1:68" ht="14.25" hidden="1" customHeight="1" x14ac:dyDescent="0.25">
      <c r="A75" s="280" t="s">
        <v>62</v>
      </c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70"/>
      <c r="AB75" s="270"/>
      <c r="AC75" s="270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91">
        <v>4607111037411</v>
      </c>
      <c r="E76" s="292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40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6"/>
      <c r="R76" s="296"/>
      <c r="S76" s="296"/>
      <c r="T76" s="29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91">
        <v>4607111036728</v>
      </c>
      <c r="E77" s="292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8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6"/>
      <c r="R77" s="296"/>
      <c r="S77" s="296"/>
      <c r="T77" s="297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2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303"/>
      <c r="P78" s="284" t="s">
        <v>87</v>
      </c>
      <c r="Q78" s="285"/>
      <c r="R78" s="285"/>
      <c r="S78" s="285"/>
      <c r="T78" s="285"/>
      <c r="U78" s="285"/>
      <c r="V78" s="286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303"/>
      <c r="P79" s="284" t="s">
        <v>87</v>
      </c>
      <c r="Q79" s="285"/>
      <c r="R79" s="285"/>
      <c r="S79" s="285"/>
      <c r="T79" s="285"/>
      <c r="U79" s="285"/>
      <c r="V79" s="286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71"/>
      <c r="AB80" s="271"/>
      <c r="AC80" s="271"/>
    </row>
    <row r="81" spans="1:68" ht="14.25" hidden="1" customHeight="1" x14ac:dyDescent="0.25">
      <c r="A81" s="280" t="s">
        <v>133</v>
      </c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70"/>
      <c r="AB81" s="270"/>
      <c r="AC81" s="270"/>
    </row>
    <row r="82" spans="1:68" ht="27" hidden="1" customHeight="1" x14ac:dyDescent="0.25">
      <c r="A82" s="54" t="s">
        <v>149</v>
      </c>
      <c r="B82" s="54" t="s">
        <v>150</v>
      </c>
      <c r="C82" s="31">
        <v>4301135574</v>
      </c>
      <c r="D82" s="291">
        <v>4607111033659</v>
      </c>
      <c r="E82" s="292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32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96"/>
      <c r="R82" s="296"/>
      <c r="S82" s="296"/>
      <c r="T82" s="297"/>
      <c r="U82" s="34"/>
      <c r="V82" s="34"/>
      <c r="W82" s="35" t="s">
        <v>68</v>
      </c>
      <c r="X82" s="276">
        <v>0</v>
      </c>
      <c r="Y82" s="277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302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303"/>
      <c r="P83" s="284" t="s">
        <v>87</v>
      </c>
      <c r="Q83" s="285"/>
      <c r="R83" s="285"/>
      <c r="S83" s="285"/>
      <c r="T83" s="285"/>
      <c r="U83" s="285"/>
      <c r="V83" s="286"/>
      <c r="W83" s="37" t="s">
        <v>68</v>
      </c>
      <c r="X83" s="278">
        <f>IFERROR(SUM(X82:X82),"0")</f>
        <v>0</v>
      </c>
      <c r="Y83" s="278">
        <f>IFERROR(SUM(Y82:Y82),"0")</f>
        <v>0</v>
      </c>
      <c r="Z83" s="278">
        <f>IFERROR(IF(Z82="",0,Z82),"0")</f>
        <v>0</v>
      </c>
      <c r="AA83" s="279"/>
      <c r="AB83" s="279"/>
      <c r="AC83" s="279"/>
    </row>
    <row r="84" spans="1:68" hidden="1" x14ac:dyDescent="0.2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303"/>
      <c r="P84" s="284" t="s">
        <v>87</v>
      </c>
      <c r="Q84" s="285"/>
      <c r="R84" s="285"/>
      <c r="S84" s="285"/>
      <c r="T84" s="285"/>
      <c r="U84" s="285"/>
      <c r="V84" s="286"/>
      <c r="W84" s="37" t="s">
        <v>88</v>
      </c>
      <c r="X84" s="278">
        <f>IFERROR(SUMPRODUCT(X82:X82*H82:H82),"0")</f>
        <v>0</v>
      </c>
      <c r="Y84" s="278">
        <f>IFERROR(SUMPRODUCT(Y82:Y82*H82:H82),"0")</f>
        <v>0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71"/>
      <c r="AB85" s="271"/>
      <c r="AC85" s="271"/>
    </row>
    <row r="86" spans="1:68" ht="14.25" hidden="1" customHeight="1" x14ac:dyDescent="0.25">
      <c r="A86" s="280" t="s">
        <v>153</v>
      </c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70"/>
      <c r="AB86" s="270"/>
      <c r="AC86" s="270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91">
        <v>4607111034120</v>
      </c>
      <c r="E87" s="292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6"/>
      <c r="R87" s="296"/>
      <c r="S87" s="296"/>
      <c r="T87" s="297"/>
      <c r="U87" s="34"/>
      <c r="V87" s="34"/>
      <c r="W87" s="35" t="s">
        <v>68</v>
      </c>
      <c r="X87" s="276">
        <v>98</v>
      </c>
      <c r="Y87" s="277">
        <f>IFERROR(IF(X87="","",X87),"")</f>
        <v>98</v>
      </c>
      <c r="Z87" s="36">
        <f>IFERROR(IF(X87="","",X87*0.01788),"")</f>
        <v>1.75224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421.75280000000004</v>
      </c>
      <c r="BN87" s="67">
        <f>IFERROR(Y87*I87,"0")</f>
        <v>421.75280000000004</v>
      </c>
      <c r="BO87" s="67">
        <f>IFERROR(X87/J87,"0")</f>
        <v>1.4</v>
      </c>
      <c r="BP87" s="67">
        <f>IFERROR(Y87/J87,"0")</f>
        <v>1.4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91">
        <v>4607111034137</v>
      </c>
      <c r="E88" s="292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6"/>
      <c r="R88" s="296"/>
      <c r="S88" s="296"/>
      <c r="T88" s="297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302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303"/>
      <c r="P89" s="284" t="s">
        <v>87</v>
      </c>
      <c r="Q89" s="285"/>
      <c r="R89" s="285"/>
      <c r="S89" s="285"/>
      <c r="T89" s="285"/>
      <c r="U89" s="285"/>
      <c r="V89" s="286"/>
      <c r="W89" s="37" t="s">
        <v>68</v>
      </c>
      <c r="X89" s="278">
        <f>IFERROR(SUM(X87:X88),"0")</f>
        <v>98</v>
      </c>
      <c r="Y89" s="278">
        <f>IFERROR(SUM(Y87:Y88),"0")</f>
        <v>98</v>
      </c>
      <c r="Z89" s="278">
        <f>IFERROR(IF(Z87="",0,Z87),"0")+IFERROR(IF(Z88="",0,Z88),"0")</f>
        <v>1.75224</v>
      </c>
      <c r="AA89" s="279"/>
      <c r="AB89" s="279"/>
      <c r="AC89" s="279"/>
    </row>
    <row r="90" spans="1:68" x14ac:dyDescent="0.2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303"/>
      <c r="P90" s="284" t="s">
        <v>87</v>
      </c>
      <c r="Q90" s="285"/>
      <c r="R90" s="285"/>
      <c r="S90" s="285"/>
      <c r="T90" s="285"/>
      <c r="U90" s="285"/>
      <c r="V90" s="286"/>
      <c r="W90" s="37" t="s">
        <v>88</v>
      </c>
      <c r="X90" s="278">
        <f>IFERROR(SUMPRODUCT(X87:X88*H87:H88),"0")</f>
        <v>352.8</v>
      </c>
      <c r="Y90" s="278">
        <f>IFERROR(SUMPRODUCT(Y87:Y88*H87:H88),"0")</f>
        <v>352.8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71"/>
      <c r="AB91" s="271"/>
      <c r="AC91" s="271"/>
    </row>
    <row r="92" spans="1:68" ht="14.25" hidden="1" customHeight="1" x14ac:dyDescent="0.25">
      <c r="A92" s="280" t="s">
        <v>133</v>
      </c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70"/>
      <c r="AB92" s="270"/>
      <c r="AC92" s="270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91">
        <v>4620207491027</v>
      </c>
      <c r="E93" s="292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6"/>
      <c r="R93" s="296"/>
      <c r="S93" s="296"/>
      <c r="T93" s="297"/>
      <c r="U93" s="34"/>
      <c r="V93" s="34"/>
      <c r="W93" s="35" t="s">
        <v>68</v>
      </c>
      <c r="X93" s="276">
        <v>98</v>
      </c>
      <c r="Y93" s="277">
        <f t="shared" ref="Y93:Y98" si="6">IFERROR(IF(X93="","",X93),"")</f>
        <v>98</v>
      </c>
      <c r="Z93" s="36">
        <f t="shared" ref="Z93:Z98" si="7">IFERROR(IF(X93="","",X93*0.01788),"")</f>
        <v>1.75224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351.19280000000003</v>
      </c>
      <c r="BN93" s="67">
        <f t="shared" ref="BN93:BN98" si="9">IFERROR(Y93*I93,"0")</f>
        <v>351.19280000000003</v>
      </c>
      <c r="BO93" s="67">
        <f t="shared" ref="BO93:BO98" si="10">IFERROR(X93/J93,"0")</f>
        <v>1.4</v>
      </c>
      <c r="BP93" s="67">
        <f t="shared" ref="BP93:BP98" si="11">IFERROR(Y93/J93,"0")</f>
        <v>1.4</v>
      </c>
    </row>
    <row r="94" spans="1:68" ht="27" customHeight="1" x14ac:dyDescent="0.25">
      <c r="A94" s="54" t="s">
        <v>163</v>
      </c>
      <c r="B94" s="54" t="s">
        <v>164</v>
      </c>
      <c r="C94" s="31">
        <v>4301135914</v>
      </c>
      <c r="D94" s="291">
        <v>4620207491621</v>
      </c>
      <c r="E94" s="292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44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68</v>
      </c>
      <c r="X94" s="276">
        <v>70</v>
      </c>
      <c r="Y94" s="277">
        <f t="shared" si="6"/>
        <v>70</v>
      </c>
      <c r="Z94" s="36">
        <f t="shared" si="7"/>
        <v>1.2516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91">
        <v>4620207491881</v>
      </c>
      <c r="E95" s="292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44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6"/>
      <c r="R95" s="296"/>
      <c r="S95" s="296"/>
      <c r="T95" s="297"/>
      <c r="U95" s="34"/>
      <c r="V95" s="34"/>
      <c r="W95" s="35" t="s">
        <v>68</v>
      </c>
      <c r="X95" s="276">
        <v>28</v>
      </c>
      <c r="Y95" s="277">
        <f t="shared" si="6"/>
        <v>28</v>
      </c>
      <c r="Z95" s="36">
        <f t="shared" si="7"/>
        <v>0.50063999999999997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91">
        <v>4620207491577</v>
      </c>
      <c r="E96" s="292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7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6"/>
      <c r="R96" s="296"/>
      <c r="S96" s="296"/>
      <c r="T96" s="297"/>
      <c r="U96" s="34"/>
      <c r="V96" s="34"/>
      <c r="W96" s="35" t="s">
        <v>68</v>
      </c>
      <c r="X96" s="276">
        <v>84</v>
      </c>
      <c r="Y96" s="277">
        <f t="shared" si="6"/>
        <v>84</v>
      </c>
      <c r="Z96" s="36">
        <f t="shared" si="7"/>
        <v>1.5019199999999999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301.0224</v>
      </c>
      <c r="BN96" s="67">
        <f t="shared" si="9"/>
        <v>301.0224</v>
      </c>
      <c r="BO96" s="67">
        <f t="shared" si="10"/>
        <v>1.2</v>
      </c>
      <c r="BP96" s="67">
        <f t="shared" si="11"/>
        <v>1.2</v>
      </c>
    </row>
    <row r="97" spans="1:68" ht="27" customHeight="1" x14ac:dyDescent="0.25">
      <c r="A97" s="54" t="s">
        <v>170</v>
      </c>
      <c r="B97" s="54" t="s">
        <v>171</v>
      </c>
      <c r="C97" s="31">
        <v>4301135984</v>
      </c>
      <c r="D97" s="291">
        <v>4620207491874</v>
      </c>
      <c r="E97" s="292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45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6"/>
      <c r="R97" s="296"/>
      <c r="S97" s="296"/>
      <c r="T97" s="297"/>
      <c r="U97" s="34"/>
      <c r="V97" s="34"/>
      <c r="W97" s="35" t="s">
        <v>68</v>
      </c>
      <c r="X97" s="276">
        <v>14</v>
      </c>
      <c r="Y97" s="277">
        <f t="shared" si="6"/>
        <v>14</v>
      </c>
      <c r="Z97" s="36">
        <f t="shared" si="7"/>
        <v>0.25031999999999999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172</v>
      </c>
      <c r="B98" s="54" t="s">
        <v>173</v>
      </c>
      <c r="C98" s="31">
        <v>4301135285</v>
      </c>
      <c r="D98" s="291">
        <v>4607111036407</v>
      </c>
      <c r="E98" s="292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35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96"/>
      <c r="R98" s="296"/>
      <c r="S98" s="296"/>
      <c r="T98" s="297"/>
      <c r="U98" s="34"/>
      <c r="V98" s="34"/>
      <c r="W98" s="35" t="s">
        <v>68</v>
      </c>
      <c r="X98" s="276">
        <v>28</v>
      </c>
      <c r="Y98" s="277">
        <f t="shared" si="6"/>
        <v>28</v>
      </c>
      <c r="Z98" s="36">
        <f t="shared" si="7"/>
        <v>0.50063999999999997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126.81760000000001</v>
      </c>
      <c r="BN98" s="67">
        <f t="shared" si="9"/>
        <v>126.81760000000001</v>
      </c>
      <c r="BO98" s="67">
        <f t="shared" si="10"/>
        <v>0.4</v>
      </c>
      <c r="BP98" s="67">
        <f t="shared" si="11"/>
        <v>0.4</v>
      </c>
    </row>
    <row r="99" spans="1:68" x14ac:dyDescent="0.2">
      <c r="A99" s="302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303"/>
      <c r="P99" s="284" t="s">
        <v>87</v>
      </c>
      <c r="Q99" s="285"/>
      <c r="R99" s="285"/>
      <c r="S99" s="285"/>
      <c r="T99" s="285"/>
      <c r="U99" s="285"/>
      <c r="V99" s="286"/>
      <c r="W99" s="37" t="s">
        <v>68</v>
      </c>
      <c r="X99" s="278">
        <f>IFERROR(SUM(X93:X98),"0")</f>
        <v>322</v>
      </c>
      <c r="Y99" s="278">
        <f>IFERROR(SUM(Y93:Y98),"0")</f>
        <v>322</v>
      </c>
      <c r="Z99" s="278">
        <f>IFERROR(IF(Z93="",0,Z93),"0")+IFERROR(IF(Z94="",0,Z94),"0")+IFERROR(IF(Z95="",0,Z95),"0")+IFERROR(IF(Z96="",0,Z96),"0")+IFERROR(IF(Z97="",0,Z97),"0")+IFERROR(IF(Z98="",0,Z98),"0")</f>
        <v>5.7573600000000003</v>
      </c>
      <c r="AA99" s="279"/>
      <c r="AB99" s="279"/>
      <c r="AC99" s="279"/>
    </row>
    <row r="100" spans="1:68" x14ac:dyDescent="0.2">
      <c r="A100" s="281"/>
      <c r="B100" s="281"/>
      <c r="C100" s="281"/>
      <c r="D100" s="281"/>
      <c r="E100" s="281"/>
      <c r="F100" s="281"/>
      <c r="G100" s="281"/>
      <c r="H100" s="281"/>
      <c r="I100" s="281"/>
      <c r="J100" s="281"/>
      <c r="K100" s="281"/>
      <c r="L100" s="281"/>
      <c r="M100" s="281"/>
      <c r="N100" s="281"/>
      <c r="O100" s="303"/>
      <c r="P100" s="284" t="s">
        <v>87</v>
      </c>
      <c r="Q100" s="285"/>
      <c r="R100" s="285"/>
      <c r="S100" s="285"/>
      <c r="T100" s="285"/>
      <c r="U100" s="285"/>
      <c r="V100" s="286"/>
      <c r="W100" s="37" t="s">
        <v>88</v>
      </c>
      <c r="X100" s="278">
        <f>IFERROR(SUMPRODUCT(X93:X98*H93:H98),"0")</f>
        <v>977.76</v>
      </c>
      <c r="Y100" s="278">
        <f>IFERROR(SUMPRODUCT(Y93:Y98*H93:H98),"0")</f>
        <v>977.76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81"/>
      <c r="C101" s="281"/>
      <c r="D101" s="281"/>
      <c r="E101" s="281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  <c r="S101" s="281"/>
      <c r="T101" s="281"/>
      <c r="U101" s="281"/>
      <c r="V101" s="281"/>
      <c r="W101" s="281"/>
      <c r="X101" s="281"/>
      <c r="Y101" s="281"/>
      <c r="Z101" s="281"/>
      <c r="AA101" s="271"/>
      <c r="AB101" s="271"/>
      <c r="AC101" s="271"/>
    </row>
    <row r="102" spans="1:68" ht="14.25" hidden="1" customHeight="1" x14ac:dyDescent="0.25">
      <c r="A102" s="280" t="s">
        <v>129</v>
      </c>
      <c r="B102" s="281"/>
      <c r="C102" s="281"/>
      <c r="D102" s="281"/>
      <c r="E102" s="281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281"/>
      <c r="W102" s="281"/>
      <c r="X102" s="281"/>
      <c r="Y102" s="281"/>
      <c r="Z102" s="281"/>
      <c r="AA102" s="270"/>
      <c r="AB102" s="270"/>
      <c r="AC102" s="270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91">
        <v>4620207491652</v>
      </c>
      <c r="E103" s="292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45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6"/>
      <c r="R103" s="296"/>
      <c r="S103" s="296"/>
      <c r="T103" s="297"/>
      <c r="U103" s="34"/>
      <c r="V103" s="34"/>
      <c r="W103" s="35" t="s">
        <v>68</v>
      </c>
      <c r="X103" s="276">
        <v>28</v>
      </c>
      <c r="Y103" s="277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91">
        <v>4620207491645</v>
      </c>
      <c r="E104" s="292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5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6"/>
      <c r="R104" s="296"/>
      <c r="S104" s="296"/>
      <c r="T104" s="29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302"/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303"/>
      <c r="P105" s="284" t="s">
        <v>87</v>
      </c>
      <c r="Q105" s="285"/>
      <c r="R105" s="285"/>
      <c r="S105" s="285"/>
      <c r="T105" s="285"/>
      <c r="U105" s="285"/>
      <c r="V105" s="286"/>
      <c r="W105" s="37" t="s">
        <v>68</v>
      </c>
      <c r="X105" s="278">
        <f>IFERROR(SUM(X103:X104),"0")</f>
        <v>28</v>
      </c>
      <c r="Y105" s="278">
        <f>IFERROR(SUM(Y103:Y104),"0")</f>
        <v>28</v>
      </c>
      <c r="Z105" s="278">
        <f>IFERROR(IF(Z103="",0,Z103),"0")+IFERROR(IF(Z104="",0,Z104),"0")</f>
        <v>0.26207999999999998</v>
      </c>
      <c r="AA105" s="279"/>
      <c r="AB105" s="279"/>
      <c r="AC105" s="279"/>
    </row>
    <row r="106" spans="1:68" x14ac:dyDescent="0.2">
      <c r="A106" s="281"/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303"/>
      <c r="P106" s="284" t="s">
        <v>87</v>
      </c>
      <c r="Q106" s="285"/>
      <c r="R106" s="285"/>
      <c r="S106" s="285"/>
      <c r="T106" s="285"/>
      <c r="U106" s="285"/>
      <c r="V106" s="286"/>
      <c r="W106" s="37" t="s">
        <v>88</v>
      </c>
      <c r="X106" s="278">
        <f>IFERROR(SUMPRODUCT(X103:X104*H103:H104),"0")</f>
        <v>60.480000000000004</v>
      </c>
      <c r="Y106" s="278">
        <f>IFERROR(SUMPRODUCT(Y103:Y104*H103:H104),"0")</f>
        <v>60.480000000000004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81"/>
      <c r="C107" s="281"/>
      <c r="D107" s="281"/>
      <c r="E107" s="281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  <c r="S107" s="281"/>
      <c r="T107" s="281"/>
      <c r="U107" s="281"/>
      <c r="V107" s="281"/>
      <c r="W107" s="281"/>
      <c r="X107" s="281"/>
      <c r="Y107" s="281"/>
      <c r="Z107" s="281"/>
      <c r="AA107" s="271"/>
      <c r="AB107" s="271"/>
      <c r="AC107" s="271"/>
    </row>
    <row r="108" spans="1:68" ht="14.25" hidden="1" customHeight="1" x14ac:dyDescent="0.25">
      <c r="A108" s="280" t="s">
        <v>62</v>
      </c>
      <c r="B108" s="281"/>
      <c r="C108" s="281"/>
      <c r="D108" s="281"/>
      <c r="E108" s="281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  <c r="S108" s="281"/>
      <c r="T108" s="281"/>
      <c r="U108" s="281"/>
      <c r="V108" s="281"/>
      <c r="W108" s="281"/>
      <c r="X108" s="281"/>
      <c r="Y108" s="281"/>
      <c r="Z108" s="281"/>
      <c r="AA108" s="270"/>
      <c r="AB108" s="270"/>
      <c r="AC108" s="270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91">
        <v>4620207491157</v>
      </c>
      <c r="E109" s="292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6"/>
      <c r="R109" s="296"/>
      <c r="S109" s="296"/>
      <c r="T109" s="297"/>
      <c r="U109" s="34"/>
      <c r="V109" s="34"/>
      <c r="W109" s="35" t="s">
        <v>68</v>
      </c>
      <c r="X109" s="276">
        <v>12</v>
      </c>
      <c r="Y109" s="277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91">
        <v>4620207491393</v>
      </c>
      <c r="E110" s="292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3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6"/>
      <c r="R110" s="296"/>
      <c r="S110" s="296"/>
      <c r="T110" s="29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91">
        <v>4607111039262</v>
      </c>
      <c r="E111" s="292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37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6"/>
      <c r="R111" s="296"/>
      <c r="S111" s="296"/>
      <c r="T111" s="297"/>
      <c r="U111" s="34"/>
      <c r="V111" s="34"/>
      <c r="W111" s="35" t="s">
        <v>68</v>
      </c>
      <c r="X111" s="276">
        <v>12</v>
      </c>
      <c r="Y111" s="277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91">
        <v>4607111039248</v>
      </c>
      <c r="E112" s="292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37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6"/>
      <c r="R112" s="296"/>
      <c r="S112" s="296"/>
      <c r="T112" s="297"/>
      <c r="U112" s="34"/>
      <c r="V112" s="34"/>
      <c r="W112" s="35" t="s">
        <v>68</v>
      </c>
      <c r="X112" s="276">
        <v>12</v>
      </c>
      <c r="Y112" s="277">
        <f t="shared" si="12"/>
        <v>12</v>
      </c>
      <c r="Z112" s="36">
        <f t="shared" si="13"/>
        <v>0.186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87.6</v>
      </c>
      <c r="BN112" s="67">
        <f t="shared" si="15"/>
        <v>87.6</v>
      </c>
      <c r="BO112" s="67">
        <f t="shared" si="16"/>
        <v>0.14285714285714285</v>
      </c>
      <c r="BP112" s="67">
        <f t="shared" si="17"/>
        <v>0.14285714285714285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91">
        <v>4607111037145</v>
      </c>
      <c r="E113" s="292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3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6"/>
      <c r="R113" s="296"/>
      <c r="S113" s="296"/>
      <c r="T113" s="29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91">
        <v>4607111039293</v>
      </c>
      <c r="E114" s="292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37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6"/>
      <c r="R114" s="296"/>
      <c r="S114" s="296"/>
      <c r="T114" s="297"/>
      <c r="U114" s="34"/>
      <c r="V114" s="34"/>
      <c r="W114" s="35" t="s">
        <v>68</v>
      </c>
      <c r="X114" s="276">
        <v>24</v>
      </c>
      <c r="Y114" s="277">
        <f t="shared" si="12"/>
        <v>24</v>
      </c>
      <c r="Z114" s="36">
        <f t="shared" si="13"/>
        <v>0.372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91">
        <v>4607111039279</v>
      </c>
      <c r="E115" s="292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6"/>
      <c r="R115" s="296"/>
      <c r="S115" s="296"/>
      <c r="T115" s="297"/>
      <c r="U115" s="34"/>
      <c r="V115" s="34"/>
      <c r="W115" s="35" t="s">
        <v>68</v>
      </c>
      <c r="X115" s="276">
        <v>84</v>
      </c>
      <c r="Y115" s="277">
        <f t="shared" si="12"/>
        <v>84</v>
      </c>
      <c r="Z115" s="36">
        <f t="shared" si="13"/>
        <v>1.302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613.19999999999993</v>
      </c>
      <c r="BN115" s="67">
        <f t="shared" si="15"/>
        <v>613.19999999999993</v>
      </c>
      <c r="BO115" s="67">
        <f t="shared" si="16"/>
        <v>1</v>
      </c>
      <c r="BP115" s="67">
        <f t="shared" si="17"/>
        <v>1</v>
      </c>
    </row>
    <row r="116" spans="1:68" x14ac:dyDescent="0.2">
      <c r="A116" s="302"/>
      <c r="B116" s="281"/>
      <c r="C116" s="281"/>
      <c r="D116" s="281"/>
      <c r="E116" s="281"/>
      <c r="F116" s="281"/>
      <c r="G116" s="281"/>
      <c r="H116" s="281"/>
      <c r="I116" s="281"/>
      <c r="J116" s="281"/>
      <c r="K116" s="281"/>
      <c r="L116" s="281"/>
      <c r="M116" s="281"/>
      <c r="N116" s="281"/>
      <c r="O116" s="303"/>
      <c r="P116" s="284" t="s">
        <v>87</v>
      </c>
      <c r="Q116" s="285"/>
      <c r="R116" s="285"/>
      <c r="S116" s="285"/>
      <c r="T116" s="285"/>
      <c r="U116" s="285"/>
      <c r="V116" s="286"/>
      <c r="W116" s="37" t="s">
        <v>68</v>
      </c>
      <c r="X116" s="278">
        <f>IFERROR(SUM(X109:X115),"0")</f>
        <v>144</v>
      </c>
      <c r="Y116" s="278">
        <f>IFERROR(SUM(Y109:Y115),"0")</f>
        <v>144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2.2320000000000002</v>
      </c>
      <c r="AA116" s="279"/>
      <c r="AB116" s="279"/>
      <c r="AC116" s="279"/>
    </row>
    <row r="117" spans="1:68" x14ac:dyDescent="0.2">
      <c r="A117" s="281"/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303"/>
      <c r="P117" s="284" t="s">
        <v>87</v>
      </c>
      <c r="Q117" s="285"/>
      <c r="R117" s="285"/>
      <c r="S117" s="285"/>
      <c r="T117" s="285"/>
      <c r="U117" s="285"/>
      <c r="V117" s="286"/>
      <c r="W117" s="37" t="s">
        <v>88</v>
      </c>
      <c r="X117" s="278">
        <f>IFERROR(SUMPRODUCT(X109:X115*H109:H115),"0")</f>
        <v>986.40000000000009</v>
      </c>
      <c r="Y117" s="278">
        <f>IFERROR(SUMPRODUCT(Y109:Y115*H109:H115),"0")</f>
        <v>986.40000000000009</v>
      </c>
      <c r="Z117" s="37"/>
      <c r="AA117" s="279"/>
      <c r="AB117" s="279"/>
      <c r="AC117" s="279"/>
    </row>
    <row r="118" spans="1:68" ht="14.25" hidden="1" customHeight="1" x14ac:dyDescent="0.25">
      <c r="A118" s="280" t="s">
        <v>133</v>
      </c>
      <c r="B118" s="281"/>
      <c r="C118" s="281"/>
      <c r="D118" s="281"/>
      <c r="E118" s="281"/>
      <c r="F118" s="281"/>
      <c r="G118" s="281"/>
      <c r="H118" s="281"/>
      <c r="I118" s="281"/>
      <c r="J118" s="281"/>
      <c r="K118" s="281"/>
      <c r="L118" s="281"/>
      <c r="M118" s="281"/>
      <c r="N118" s="281"/>
      <c r="O118" s="281"/>
      <c r="P118" s="281"/>
      <c r="Q118" s="281"/>
      <c r="R118" s="281"/>
      <c r="S118" s="281"/>
      <c r="T118" s="281"/>
      <c r="U118" s="281"/>
      <c r="V118" s="281"/>
      <c r="W118" s="281"/>
      <c r="X118" s="281"/>
      <c r="Y118" s="281"/>
      <c r="Z118" s="281"/>
      <c r="AA118" s="270"/>
      <c r="AB118" s="270"/>
      <c r="AC118" s="270"/>
    </row>
    <row r="119" spans="1:68" ht="27" customHeight="1" x14ac:dyDescent="0.25">
      <c r="A119" s="54" t="s">
        <v>199</v>
      </c>
      <c r="B119" s="54" t="s">
        <v>200</v>
      </c>
      <c r="C119" s="31">
        <v>4301135826</v>
      </c>
      <c r="D119" s="291">
        <v>4620207490983</v>
      </c>
      <c r="E119" s="292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42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6"/>
      <c r="R119" s="296"/>
      <c r="S119" s="296"/>
      <c r="T119" s="297"/>
      <c r="U119" s="34"/>
      <c r="V119" s="34"/>
      <c r="W119" s="35" t="s">
        <v>68</v>
      </c>
      <c r="X119" s="276">
        <v>14</v>
      </c>
      <c r="Y119" s="277">
        <f>IFERROR(IF(X119="","",X119),"")</f>
        <v>14</v>
      </c>
      <c r="Z119" s="36">
        <f>IFERROR(IF(X119="","",X119*0.01788),"")</f>
        <v>0.25031999999999999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46.810400000000001</v>
      </c>
      <c r="BN119" s="67">
        <f>IFERROR(Y119*I119,"0")</f>
        <v>46.810400000000001</v>
      </c>
      <c r="BO119" s="67">
        <f>IFERROR(X119/J119,"0")</f>
        <v>0.2</v>
      </c>
      <c r="BP119" s="67">
        <f>IFERROR(Y119/J119,"0")</f>
        <v>0.2</v>
      </c>
    </row>
    <row r="120" spans="1:68" x14ac:dyDescent="0.2">
      <c r="A120" s="302"/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303"/>
      <c r="P120" s="284" t="s">
        <v>87</v>
      </c>
      <c r="Q120" s="285"/>
      <c r="R120" s="285"/>
      <c r="S120" s="285"/>
      <c r="T120" s="285"/>
      <c r="U120" s="285"/>
      <c r="V120" s="286"/>
      <c r="W120" s="37" t="s">
        <v>68</v>
      </c>
      <c r="X120" s="278">
        <f>IFERROR(SUM(X119:X119),"0")</f>
        <v>14</v>
      </c>
      <c r="Y120" s="278">
        <f>IFERROR(SUM(Y119:Y119),"0")</f>
        <v>14</v>
      </c>
      <c r="Z120" s="278">
        <f>IFERROR(IF(Z119="",0,Z119),"0")</f>
        <v>0.25031999999999999</v>
      </c>
      <c r="AA120" s="279"/>
      <c r="AB120" s="279"/>
      <c r="AC120" s="279"/>
    </row>
    <row r="121" spans="1:68" x14ac:dyDescent="0.2">
      <c r="A121" s="281"/>
      <c r="B121" s="281"/>
      <c r="C121" s="281"/>
      <c r="D121" s="281"/>
      <c r="E121" s="281"/>
      <c r="F121" s="281"/>
      <c r="G121" s="281"/>
      <c r="H121" s="281"/>
      <c r="I121" s="281"/>
      <c r="J121" s="281"/>
      <c r="K121" s="281"/>
      <c r="L121" s="281"/>
      <c r="M121" s="281"/>
      <c r="N121" s="281"/>
      <c r="O121" s="303"/>
      <c r="P121" s="284" t="s">
        <v>87</v>
      </c>
      <c r="Q121" s="285"/>
      <c r="R121" s="285"/>
      <c r="S121" s="285"/>
      <c r="T121" s="285"/>
      <c r="U121" s="285"/>
      <c r="V121" s="286"/>
      <c r="W121" s="37" t="s">
        <v>88</v>
      </c>
      <c r="X121" s="278">
        <f>IFERROR(SUMPRODUCT(X119:X119*H119:H119),"0")</f>
        <v>36.96</v>
      </c>
      <c r="Y121" s="278">
        <f>IFERROR(SUMPRODUCT(Y119:Y119*H119:H119),"0")</f>
        <v>36.96</v>
      </c>
      <c r="Z121" s="37"/>
      <c r="AA121" s="279"/>
      <c r="AB121" s="279"/>
      <c r="AC121" s="279"/>
    </row>
    <row r="122" spans="1:68" ht="14.25" hidden="1" customHeight="1" x14ac:dyDescent="0.25">
      <c r="A122" s="280" t="s">
        <v>202</v>
      </c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  <c r="S122" s="281"/>
      <c r="T122" s="281"/>
      <c r="U122" s="281"/>
      <c r="V122" s="281"/>
      <c r="W122" s="281"/>
      <c r="X122" s="281"/>
      <c r="Y122" s="281"/>
      <c r="Z122" s="281"/>
      <c r="AA122" s="270"/>
      <c r="AB122" s="270"/>
      <c r="AC122" s="270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91">
        <v>4620207491140</v>
      </c>
      <c r="E123" s="292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6"/>
      <c r="R123" s="296"/>
      <c r="S123" s="296"/>
      <c r="T123" s="29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2"/>
      <c r="B124" s="281"/>
      <c r="C124" s="281"/>
      <c r="D124" s="281"/>
      <c r="E124" s="281"/>
      <c r="F124" s="281"/>
      <c r="G124" s="281"/>
      <c r="H124" s="281"/>
      <c r="I124" s="281"/>
      <c r="J124" s="281"/>
      <c r="K124" s="281"/>
      <c r="L124" s="281"/>
      <c r="M124" s="281"/>
      <c r="N124" s="281"/>
      <c r="O124" s="303"/>
      <c r="P124" s="284" t="s">
        <v>87</v>
      </c>
      <c r="Q124" s="285"/>
      <c r="R124" s="285"/>
      <c r="S124" s="285"/>
      <c r="T124" s="285"/>
      <c r="U124" s="285"/>
      <c r="V124" s="286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1"/>
      <c r="B125" s="281"/>
      <c r="C125" s="281"/>
      <c r="D125" s="281"/>
      <c r="E125" s="281"/>
      <c r="F125" s="281"/>
      <c r="G125" s="281"/>
      <c r="H125" s="281"/>
      <c r="I125" s="281"/>
      <c r="J125" s="281"/>
      <c r="K125" s="281"/>
      <c r="L125" s="281"/>
      <c r="M125" s="281"/>
      <c r="N125" s="281"/>
      <c r="O125" s="303"/>
      <c r="P125" s="284" t="s">
        <v>87</v>
      </c>
      <c r="Q125" s="285"/>
      <c r="R125" s="285"/>
      <c r="S125" s="285"/>
      <c r="T125" s="285"/>
      <c r="U125" s="285"/>
      <c r="V125" s="286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71"/>
      <c r="AB126" s="271"/>
      <c r="AC126" s="271"/>
    </row>
    <row r="127" spans="1:68" ht="14.25" hidden="1" customHeight="1" x14ac:dyDescent="0.25">
      <c r="A127" s="280" t="s">
        <v>133</v>
      </c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81"/>
      <c r="O127" s="281"/>
      <c r="P127" s="281"/>
      <c r="Q127" s="281"/>
      <c r="R127" s="281"/>
      <c r="S127" s="281"/>
      <c r="T127" s="281"/>
      <c r="U127" s="281"/>
      <c r="V127" s="281"/>
      <c r="W127" s="281"/>
      <c r="X127" s="281"/>
      <c r="Y127" s="281"/>
      <c r="Z127" s="281"/>
      <c r="AA127" s="270"/>
      <c r="AB127" s="270"/>
      <c r="AC127" s="270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91">
        <v>4620207491799</v>
      </c>
      <c r="E128" s="292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3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96"/>
      <c r="R128" s="296"/>
      <c r="S128" s="296"/>
      <c r="T128" s="297"/>
      <c r="U128" s="34"/>
      <c r="V128" s="34"/>
      <c r="W128" s="35" t="s">
        <v>68</v>
      </c>
      <c r="X128" s="276">
        <v>98</v>
      </c>
      <c r="Y128" s="277">
        <f>IFERROR(IF(X128="","",X128),"")</f>
        <v>98</v>
      </c>
      <c r="Z128" s="36">
        <f>IFERROR(IF(X128="","",X128*0.00941),"")</f>
        <v>0.92218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176.4</v>
      </c>
      <c r="BN128" s="67">
        <f>IFERROR(Y128*I128,"0")</f>
        <v>176.4</v>
      </c>
      <c r="BO128" s="67">
        <f>IFERROR(X128/J128,"0")</f>
        <v>0.7</v>
      </c>
      <c r="BP128" s="67">
        <f>IFERROR(Y128/J128,"0")</f>
        <v>0.7</v>
      </c>
    </row>
    <row r="129" spans="1:68" ht="27" customHeight="1" x14ac:dyDescent="0.25">
      <c r="A129" s="54" t="s">
        <v>210</v>
      </c>
      <c r="B129" s="54" t="s">
        <v>211</v>
      </c>
      <c r="C129" s="31">
        <v>4301135850</v>
      </c>
      <c r="D129" s="291">
        <v>4620207491492</v>
      </c>
      <c r="E129" s="292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43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96"/>
      <c r="R129" s="296"/>
      <c r="S129" s="296"/>
      <c r="T129" s="297"/>
      <c r="U129" s="34"/>
      <c r="V129" s="34"/>
      <c r="W129" s="35" t="s">
        <v>68</v>
      </c>
      <c r="X129" s="276">
        <v>56</v>
      </c>
      <c r="Y129" s="277">
        <f>IFERROR(IF(X129="","",X129),"")</f>
        <v>56</v>
      </c>
      <c r="Z129" s="36">
        <f>IFERROR(IF(X129="","",X129*0.00941),"")</f>
        <v>0.52695999999999998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100.8</v>
      </c>
      <c r="BN129" s="67">
        <f>IFERROR(Y129*I129,"0")</f>
        <v>100.8</v>
      </c>
      <c r="BO129" s="67">
        <f>IFERROR(X129/J129,"0")</f>
        <v>0.4</v>
      </c>
      <c r="BP129" s="67">
        <f>IFERROR(Y129/J129,"0")</f>
        <v>0.4</v>
      </c>
    </row>
    <row r="130" spans="1:68" ht="27" customHeight="1" x14ac:dyDescent="0.25">
      <c r="A130" s="54" t="s">
        <v>212</v>
      </c>
      <c r="B130" s="54" t="s">
        <v>213</v>
      </c>
      <c r="C130" s="31">
        <v>4301190118</v>
      </c>
      <c r="D130" s="291">
        <v>4620207491461</v>
      </c>
      <c r="E130" s="292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36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96"/>
      <c r="R130" s="296"/>
      <c r="S130" s="296"/>
      <c r="T130" s="297"/>
      <c r="U130" s="34"/>
      <c r="V130" s="34"/>
      <c r="W130" s="35" t="s">
        <v>68</v>
      </c>
      <c r="X130" s="276">
        <v>42</v>
      </c>
      <c r="Y130" s="277">
        <f>IFERROR(IF(X130="","",X130),"")</f>
        <v>42</v>
      </c>
      <c r="Z130" s="36">
        <f>IFERROR(IF(X130="","",X130*0.00941),"")</f>
        <v>0.39522000000000002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73.08</v>
      </c>
      <c r="BN130" s="67">
        <f>IFERROR(Y130*I130,"0")</f>
        <v>73.08</v>
      </c>
      <c r="BO130" s="67">
        <f>IFERROR(X130/J130,"0")</f>
        <v>0.3</v>
      </c>
      <c r="BP130" s="67">
        <f>IFERROR(Y130/J130,"0")</f>
        <v>0.3</v>
      </c>
    </row>
    <row r="131" spans="1:68" ht="27" hidden="1" customHeight="1" x14ac:dyDescent="0.25">
      <c r="A131" s="54" t="s">
        <v>214</v>
      </c>
      <c r="B131" s="54" t="s">
        <v>215</v>
      </c>
      <c r="C131" s="31">
        <v>4301135865</v>
      </c>
      <c r="D131" s="291">
        <v>4620207491485</v>
      </c>
      <c r="E131" s="292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43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96"/>
      <c r="R131" s="296"/>
      <c r="S131" s="296"/>
      <c r="T131" s="297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302"/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303"/>
      <c r="P132" s="284" t="s">
        <v>87</v>
      </c>
      <c r="Q132" s="285"/>
      <c r="R132" s="285"/>
      <c r="S132" s="285"/>
      <c r="T132" s="285"/>
      <c r="U132" s="285"/>
      <c r="V132" s="286"/>
      <c r="W132" s="37" t="s">
        <v>68</v>
      </c>
      <c r="X132" s="278">
        <f>IFERROR(SUM(X128:X131),"0")</f>
        <v>196</v>
      </c>
      <c r="Y132" s="278">
        <f>IFERROR(SUM(Y128:Y131),"0")</f>
        <v>196</v>
      </c>
      <c r="Z132" s="278">
        <f>IFERROR(IF(Z128="",0,Z128),"0")+IFERROR(IF(Z129="",0,Z129),"0")+IFERROR(IF(Z130="",0,Z130),"0")+IFERROR(IF(Z131="",0,Z131),"0")</f>
        <v>1.84436</v>
      </c>
      <c r="AA132" s="279"/>
      <c r="AB132" s="279"/>
      <c r="AC132" s="279"/>
    </row>
    <row r="133" spans="1:68" x14ac:dyDescent="0.2">
      <c r="A133" s="281"/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303"/>
      <c r="P133" s="284" t="s">
        <v>87</v>
      </c>
      <c r="Q133" s="285"/>
      <c r="R133" s="285"/>
      <c r="S133" s="285"/>
      <c r="T133" s="285"/>
      <c r="U133" s="285"/>
      <c r="V133" s="286"/>
      <c r="W133" s="37" t="s">
        <v>88</v>
      </c>
      <c r="X133" s="278">
        <f>IFERROR(SUMPRODUCT(X128:X131*H128:H131),"0")</f>
        <v>267.95999999999998</v>
      </c>
      <c r="Y133" s="278">
        <f>IFERROR(SUMPRODUCT(Y128:Y131*H128:H131),"0")</f>
        <v>267.95999999999998</v>
      </c>
      <c r="Z133" s="37"/>
      <c r="AA133" s="279"/>
      <c r="AB133" s="279"/>
      <c r="AC133" s="279"/>
    </row>
    <row r="134" spans="1:68" ht="14.25" hidden="1" customHeight="1" x14ac:dyDescent="0.25">
      <c r="A134" s="280" t="s">
        <v>216</v>
      </c>
      <c r="B134" s="281"/>
      <c r="C134" s="281"/>
      <c r="D134" s="281"/>
      <c r="E134" s="281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1"/>
      <c r="V134" s="281"/>
      <c r="W134" s="281"/>
      <c r="X134" s="281"/>
      <c r="Y134" s="281"/>
      <c r="Z134" s="281"/>
      <c r="AA134" s="270"/>
      <c r="AB134" s="270"/>
      <c r="AC134" s="270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91">
        <v>4620207491386</v>
      </c>
      <c r="E135" s="292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3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96"/>
      <c r="R135" s="296"/>
      <c r="S135" s="296"/>
      <c r="T135" s="297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91">
        <v>4620207491362</v>
      </c>
      <c r="E136" s="292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31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96"/>
      <c r="R136" s="296"/>
      <c r="S136" s="296"/>
      <c r="T136" s="29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91">
        <v>4620207491379</v>
      </c>
      <c r="E137" s="292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302"/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303"/>
      <c r="P138" s="284" t="s">
        <v>87</v>
      </c>
      <c r="Q138" s="285"/>
      <c r="R138" s="285"/>
      <c r="S138" s="285"/>
      <c r="T138" s="285"/>
      <c r="U138" s="285"/>
      <c r="V138" s="286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81"/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303"/>
      <c r="P139" s="284" t="s">
        <v>87</v>
      </c>
      <c r="Q139" s="285"/>
      <c r="R139" s="285"/>
      <c r="S139" s="285"/>
      <c r="T139" s="285"/>
      <c r="U139" s="285"/>
      <c r="V139" s="286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81"/>
      <c r="C140" s="281"/>
      <c r="D140" s="281"/>
      <c r="E140" s="281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  <c r="S140" s="281"/>
      <c r="T140" s="281"/>
      <c r="U140" s="281"/>
      <c r="V140" s="281"/>
      <c r="W140" s="281"/>
      <c r="X140" s="281"/>
      <c r="Y140" s="281"/>
      <c r="Z140" s="281"/>
      <c r="AA140" s="271"/>
      <c r="AB140" s="271"/>
      <c r="AC140" s="271"/>
    </row>
    <row r="141" spans="1:68" ht="14.25" hidden="1" customHeight="1" x14ac:dyDescent="0.25">
      <c r="A141" s="280" t="s">
        <v>133</v>
      </c>
      <c r="B141" s="281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  <c r="S141" s="281"/>
      <c r="T141" s="281"/>
      <c r="U141" s="281"/>
      <c r="V141" s="281"/>
      <c r="W141" s="281"/>
      <c r="X141" s="281"/>
      <c r="Y141" s="281"/>
      <c r="Z141" s="281"/>
      <c r="AA141" s="270"/>
      <c r="AB141" s="270"/>
      <c r="AC141" s="270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91">
        <v>4607111034014</v>
      </c>
      <c r="E142" s="292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96"/>
      <c r="R142" s="296"/>
      <c r="S142" s="296"/>
      <c r="T142" s="297"/>
      <c r="U142" s="34"/>
      <c r="V142" s="34"/>
      <c r="W142" s="35" t="s">
        <v>68</v>
      </c>
      <c r="X142" s="276">
        <v>70</v>
      </c>
      <c r="Y142" s="277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91">
        <v>4607111033994</v>
      </c>
      <c r="E143" s="292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7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96"/>
      <c r="R143" s="296"/>
      <c r="S143" s="296"/>
      <c r="T143" s="297"/>
      <c r="U143" s="34"/>
      <c r="V143" s="34"/>
      <c r="W143" s="35" t="s">
        <v>68</v>
      </c>
      <c r="X143" s="276">
        <v>210</v>
      </c>
      <c r="Y143" s="277">
        <f>IFERROR(IF(X143="","",X143),"")</f>
        <v>210</v>
      </c>
      <c r="Z143" s="36">
        <f>IFERROR(IF(X143="","",X143*0.01788),"")</f>
        <v>3.7547999999999999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777.75599999999997</v>
      </c>
      <c r="BN143" s="67">
        <f>IFERROR(Y143*I143,"0")</f>
        <v>777.75599999999997</v>
      </c>
      <c r="BO143" s="67">
        <f>IFERROR(X143/J143,"0")</f>
        <v>3</v>
      </c>
      <c r="BP143" s="67">
        <f>IFERROR(Y143/J143,"0")</f>
        <v>3</v>
      </c>
    </row>
    <row r="144" spans="1:68" x14ac:dyDescent="0.2">
      <c r="A144" s="302"/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81"/>
      <c r="O144" s="303"/>
      <c r="P144" s="284" t="s">
        <v>87</v>
      </c>
      <c r="Q144" s="285"/>
      <c r="R144" s="285"/>
      <c r="S144" s="285"/>
      <c r="T144" s="285"/>
      <c r="U144" s="285"/>
      <c r="V144" s="286"/>
      <c r="W144" s="37" t="s">
        <v>68</v>
      </c>
      <c r="X144" s="278">
        <f>IFERROR(SUM(X142:X143),"0")</f>
        <v>280</v>
      </c>
      <c r="Y144" s="278">
        <f>IFERROR(SUM(Y142:Y143),"0")</f>
        <v>280</v>
      </c>
      <c r="Z144" s="278">
        <f>IFERROR(IF(Z142="",0,Z142),"0")+IFERROR(IF(Z143="",0,Z143),"0")</f>
        <v>5.0064000000000002</v>
      </c>
      <c r="AA144" s="279"/>
      <c r="AB144" s="279"/>
      <c r="AC144" s="279"/>
    </row>
    <row r="145" spans="1:68" x14ac:dyDescent="0.2">
      <c r="A145" s="281"/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303"/>
      <c r="P145" s="284" t="s">
        <v>87</v>
      </c>
      <c r="Q145" s="285"/>
      <c r="R145" s="285"/>
      <c r="S145" s="285"/>
      <c r="T145" s="285"/>
      <c r="U145" s="285"/>
      <c r="V145" s="286"/>
      <c r="W145" s="37" t="s">
        <v>88</v>
      </c>
      <c r="X145" s="278">
        <f>IFERROR(SUMPRODUCT(X142:X143*H142:H143),"0")</f>
        <v>840</v>
      </c>
      <c r="Y145" s="278">
        <f>IFERROR(SUMPRODUCT(Y142:Y143*H142:H143),"0")</f>
        <v>840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81"/>
      <c r="C146" s="281"/>
      <c r="D146" s="281"/>
      <c r="E146" s="281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281"/>
      <c r="R146" s="281"/>
      <c r="S146" s="281"/>
      <c r="T146" s="281"/>
      <c r="U146" s="281"/>
      <c r="V146" s="281"/>
      <c r="W146" s="281"/>
      <c r="X146" s="281"/>
      <c r="Y146" s="281"/>
      <c r="Z146" s="281"/>
      <c r="AA146" s="271"/>
      <c r="AB146" s="271"/>
      <c r="AC146" s="271"/>
    </row>
    <row r="147" spans="1:68" ht="14.25" hidden="1" customHeight="1" x14ac:dyDescent="0.25">
      <c r="A147" s="280" t="s">
        <v>133</v>
      </c>
      <c r="B147" s="281"/>
      <c r="C147" s="281"/>
      <c r="D147" s="281"/>
      <c r="E147" s="281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  <c r="S147" s="281"/>
      <c r="T147" s="281"/>
      <c r="U147" s="281"/>
      <c r="V147" s="281"/>
      <c r="W147" s="281"/>
      <c r="X147" s="281"/>
      <c r="Y147" s="281"/>
      <c r="Z147" s="281"/>
      <c r="AA147" s="270"/>
      <c r="AB147" s="270"/>
      <c r="AC147" s="270"/>
    </row>
    <row r="148" spans="1:68" ht="27" customHeight="1" x14ac:dyDescent="0.25">
      <c r="A148" s="54" t="s">
        <v>231</v>
      </c>
      <c r="B148" s="54" t="s">
        <v>232</v>
      </c>
      <c r="C148" s="31">
        <v>4301135824</v>
      </c>
      <c r="D148" s="291">
        <v>4607111039095</v>
      </c>
      <c r="E148" s="292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43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96"/>
      <c r="R148" s="296"/>
      <c r="S148" s="296"/>
      <c r="T148" s="297"/>
      <c r="U148" s="34"/>
      <c r="V148" s="34"/>
      <c r="W148" s="35" t="s">
        <v>68</v>
      </c>
      <c r="X148" s="276">
        <v>56</v>
      </c>
      <c r="Y148" s="277">
        <f>IFERROR(IF(X148="","",X148),"")</f>
        <v>56</v>
      </c>
      <c r="Z148" s="36">
        <f>IFERROR(IF(X148="","",X148*0.01788),"")</f>
        <v>1.0012799999999999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209.88800000000001</v>
      </c>
      <c r="BN148" s="67">
        <f>IFERROR(Y148*I148,"0")</f>
        <v>209.88800000000001</v>
      </c>
      <c r="BO148" s="67">
        <f>IFERROR(X148/J148,"0")</f>
        <v>0.8</v>
      </c>
      <c r="BP148" s="67">
        <f>IFERROR(Y148/J148,"0")</f>
        <v>0.8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91">
        <v>4620207491768</v>
      </c>
      <c r="E149" s="292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298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96"/>
      <c r="R149" s="296"/>
      <c r="S149" s="296"/>
      <c r="T149" s="29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91">
        <v>4620207491553</v>
      </c>
      <c r="E150" s="292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45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02"/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303"/>
      <c r="P151" s="284" t="s">
        <v>87</v>
      </c>
      <c r="Q151" s="285"/>
      <c r="R151" s="285"/>
      <c r="S151" s="285"/>
      <c r="T151" s="285"/>
      <c r="U151" s="285"/>
      <c r="V151" s="286"/>
      <c r="W151" s="37" t="s">
        <v>68</v>
      </c>
      <c r="X151" s="278">
        <f>IFERROR(SUM(X148:X150),"0")</f>
        <v>56</v>
      </c>
      <c r="Y151" s="278">
        <f>IFERROR(SUM(Y148:Y150),"0")</f>
        <v>56</v>
      </c>
      <c r="Z151" s="278">
        <f>IFERROR(IF(Z148="",0,Z148),"0")+IFERROR(IF(Z149="",0,Z149),"0")+IFERROR(IF(Z150="",0,Z150),"0")</f>
        <v>1.0012799999999999</v>
      </c>
      <c r="AA151" s="279"/>
      <c r="AB151" s="279"/>
      <c r="AC151" s="279"/>
    </row>
    <row r="152" spans="1:68" x14ac:dyDescent="0.2">
      <c r="A152" s="281"/>
      <c r="B152" s="281"/>
      <c r="C152" s="281"/>
      <c r="D152" s="281"/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303"/>
      <c r="P152" s="284" t="s">
        <v>87</v>
      </c>
      <c r="Q152" s="285"/>
      <c r="R152" s="285"/>
      <c r="S152" s="285"/>
      <c r="T152" s="285"/>
      <c r="U152" s="285"/>
      <c r="V152" s="286"/>
      <c r="W152" s="37" t="s">
        <v>88</v>
      </c>
      <c r="X152" s="278">
        <f>IFERROR(SUMPRODUCT(X148:X150*H148:H150),"0")</f>
        <v>168</v>
      </c>
      <c r="Y152" s="278">
        <f>IFERROR(SUMPRODUCT(Y148:Y150*H148:H150),"0")</f>
        <v>168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71"/>
      <c r="AB153" s="271"/>
      <c r="AC153" s="271"/>
    </row>
    <row r="154" spans="1:68" ht="14.25" hidden="1" customHeight="1" x14ac:dyDescent="0.25">
      <c r="A154" s="280" t="s">
        <v>133</v>
      </c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70"/>
      <c r="AB154" s="270"/>
      <c r="AC154" s="270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91">
        <v>4620207490914</v>
      </c>
      <c r="E155" s="292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46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6"/>
      <c r="R155" s="296"/>
      <c r="S155" s="296"/>
      <c r="T155" s="297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1">
        <v>4301135932</v>
      </c>
      <c r="D156" s="291">
        <v>4620207491676</v>
      </c>
      <c r="E156" s="292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7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68</v>
      </c>
      <c r="X156" s="276">
        <v>84</v>
      </c>
      <c r="Y156" s="277">
        <f>IFERROR(IF(X156="","",X156),"")</f>
        <v>84</v>
      </c>
      <c r="Z156" s="36">
        <f>IFERROR(IF(X156="","",X156*0.01788),"")</f>
        <v>1.5019199999999999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225.12</v>
      </c>
      <c r="BN156" s="67">
        <f>IFERROR(Y156*I156,"0")</f>
        <v>225.12</v>
      </c>
      <c r="BO156" s="67">
        <f>IFERROR(X156/J156,"0")</f>
        <v>1.2</v>
      </c>
      <c r="BP156" s="67">
        <f>IFERROR(Y156/J156,"0")</f>
        <v>1.2</v>
      </c>
    </row>
    <row r="157" spans="1:68" x14ac:dyDescent="0.2">
      <c r="A157" s="302"/>
      <c r="B157" s="281"/>
      <c r="C157" s="281"/>
      <c r="D157" s="281"/>
      <c r="E157" s="281"/>
      <c r="F157" s="281"/>
      <c r="G157" s="281"/>
      <c r="H157" s="281"/>
      <c r="I157" s="281"/>
      <c r="J157" s="281"/>
      <c r="K157" s="281"/>
      <c r="L157" s="281"/>
      <c r="M157" s="281"/>
      <c r="N157" s="281"/>
      <c r="O157" s="303"/>
      <c r="P157" s="284" t="s">
        <v>87</v>
      </c>
      <c r="Q157" s="285"/>
      <c r="R157" s="285"/>
      <c r="S157" s="285"/>
      <c r="T157" s="285"/>
      <c r="U157" s="285"/>
      <c r="V157" s="286"/>
      <c r="W157" s="37" t="s">
        <v>68</v>
      </c>
      <c r="X157" s="278">
        <f>IFERROR(SUM(X155:X156),"0")</f>
        <v>84</v>
      </c>
      <c r="Y157" s="278">
        <f>IFERROR(SUM(Y155:Y156),"0")</f>
        <v>84</v>
      </c>
      <c r="Z157" s="278">
        <f>IFERROR(IF(Z155="",0,Z155),"0")+IFERROR(IF(Z156="",0,Z156),"0")</f>
        <v>1.5019199999999999</v>
      </c>
      <c r="AA157" s="279"/>
      <c r="AB157" s="279"/>
      <c r="AC157" s="279"/>
    </row>
    <row r="158" spans="1:68" x14ac:dyDescent="0.2">
      <c r="A158" s="281"/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303"/>
      <c r="P158" s="284" t="s">
        <v>87</v>
      </c>
      <c r="Q158" s="285"/>
      <c r="R158" s="285"/>
      <c r="S158" s="285"/>
      <c r="T158" s="285"/>
      <c r="U158" s="285"/>
      <c r="V158" s="286"/>
      <c r="W158" s="37" t="s">
        <v>88</v>
      </c>
      <c r="X158" s="278">
        <f>IFERROR(SUMPRODUCT(X155:X156*H155:H156),"0")</f>
        <v>201.6</v>
      </c>
      <c r="Y158" s="278">
        <f>IFERROR(SUMPRODUCT(Y155:Y156*H155:H156),"0")</f>
        <v>201.6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  <c r="S159" s="281"/>
      <c r="T159" s="281"/>
      <c r="U159" s="281"/>
      <c r="V159" s="281"/>
      <c r="W159" s="281"/>
      <c r="X159" s="281"/>
      <c r="Y159" s="281"/>
      <c r="Z159" s="281"/>
      <c r="AA159" s="271"/>
      <c r="AB159" s="271"/>
      <c r="AC159" s="271"/>
    </row>
    <row r="160" spans="1:68" ht="14.25" hidden="1" customHeight="1" x14ac:dyDescent="0.25">
      <c r="A160" s="280" t="s">
        <v>133</v>
      </c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70"/>
      <c r="AB160" s="270"/>
      <c r="AC160" s="270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91">
        <v>4620207491614</v>
      </c>
      <c r="E161" s="292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8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96"/>
      <c r="R161" s="296"/>
      <c r="S161" s="296"/>
      <c r="T161" s="297"/>
      <c r="U161" s="34"/>
      <c r="V161" s="34"/>
      <c r="W161" s="35" t="s">
        <v>68</v>
      </c>
      <c r="X161" s="276">
        <v>14</v>
      </c>
      <c r="Y161" s="277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302"/>
      <c r="B162" s="281"/>
      <c r="C162" s="281"/>
      <c r="D162" s="281"/>
      <c r="E162" s="281"/>
      <c r="F162" s="281"/>
      <c r="G162" s="281"/>
      <c r="H162" s="281"/>
      <c r="I162" s="281"/>
      <c r="J162" s="281"/>
      <c r="K162" s="281"/>
      <c r="L162" s="281"/>
      <c r="M162" s="281"/>
      <c r="N162" s="281"/>
      <c r="O162" s="303"/>
      <c r="P162" s="284" t="s">
        <v>87</v>
      </c>
      <c r="Q162" s="285"/>
      <c r="R162" s="285"/>
      <c r="S162" s="285"/>
      <c r="T162" s="285"/>
      <c r="U162" s="285"/>
      <c r="V162" s="286"/>
      <c r="W162" s="37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81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303"/>
      <c r="P163" s="284" t="s">
        <v>87</v>
      </c>
      <c r="Q163" s="285"/>
      <c r="R163" s="285"/>
      <c r="S163" s="285"/>
      <c r="T163" s="285"/>
      <c r="U163" s="285"/>
      <c r="V163" s="286"/>
      <c r="W163" s="37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  <c r="W164" s="281"/>
      <c r="X164" s="281"/>
      <c r="Y164" s="281"/>
      <c r="Z164" s="281"/>
      <c r="AA164" s="271"/>
      <c r="AB164" s="271"/>
      <c r="AC164" s="271"/>
    </row>
    <row r="165" spans="1:68" ht="14.25" hidden="1" customHeight="1" x14ac:dyDescent="0.25">
      <c r="A165" s="280" t="s">
        <v>133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70"/>
      <c r="AB165" s="270"/>
      <c r="AC165" s="270"/>
    </row>
    <row r="166" spans="1:68" ht="16.5" customHeight="1" x14ac:dyDescent="0.25">
      <c r="A166" s="54" t="s">
        <v>250</v>
      </c>
      <c r="B166" s="54" t="s">
        <v>251</v>
      </c>
      <c r="C166" s="31">
        <v>4301135607</v>
      </c>
      <c r="D166" s="291">
        <v>4607111039613</v>
      </c>
      <c r="E166" s="292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45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6"/>
      <c r="R166" s="296"/>
      <c r="S166" s="296"/>
      <c r="T166" s="297"/>
      <c r="U166" s="34"/>
      <c r="V166" s="34"/>
      <c r="W166" s="35" t="s">
        <v>68</v>
      </c>
      <c r="X166" s="276">
        <v>14</v>
      </c>
      <c r="Y166" s="277">
        <f>IFERROR(IF(X166="","",X166),"")</f>
        <v>14</v>
      </c>
      <c r="Z166" s="36">
        <f>IFERROR(IF(X166="","",X166*0.00936),"")</f>
        <v>0.13103999999999999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43.26</v>
      </c>
      <c r="BN166" s="67">
        <f>IFERROR(Y166*I166,"0")</f>
        <v>43.26</v>
      </c>
      <c r="BO166" s="67">
        <f>IFERROR(X166/J166,"0")</f>
        <v>0.1111111111111111</v>
      </c>
      <c r="BP166" s="67">
        <f>IFERROR(Y166/J166,"0")</f>
        <v>0.1111111111111111</v>
      </c>
    </row>
    <row r="167" spans="1:68" x14ac:dyDescent="0.2">
      <c r="A167" s="302"/>
      <c r="B167" s="281"/>
      <c r="C167" s="281"/>
      <c r="D167" s="281"/>
      <c r="E167" s="281"/>
      <c r="F167" s="281"/>
      <c r="G167" s="281"/>
      <c r="H167" s="281"/>
      <c r="I167" s="281"/>
      <c r="J167" s="281"/>
      <c r="K167" s="281"/>
      <c r="L167" s="281"/>
      <c r="M167" s="281"/>
      <c r="N167" s="281"/>
      <c r="O167" s="303"/>
      <c r="P167" s="284" t="s">
        <v>87</v>
      </c>
      <c r="Q167" s="285"/>
      <c r="R167" s="285"/>
      <c r="S167" s="285"/>
      <c r="T167" s="285"/>
      <c r="U167" s="285"/>
      <c r="V167" s="286"/>
      <c r="W167" s="37" t="s">
        <v>68</v>
      </c>
      <c r="X167" s="278">
        <f>IFERROR(SUM(X166:X166),"0")</f>
        <v>14</v>
      </c>
      <c r="Y167" s="278">
        <f>IFERROR(SUM(Y166:Y166),"0")</f>
        <v>14</v>
      </c>
      <c r="Z167" s="278">
        <f>IFERROR(IF(Z166="",0,Z166),"0")</f>
        <v>0.13103999999999999</v>
      </c>
      <c r="AA167" s="279"/>
      <c r="AB167" s="279"/>
      <c r="AC167" s="279"/>
    </row>
    <row r="168" spans="1:68" x14ac:dyDescent="0.2">
      <c r="A168" s="281"/>
      <c r="B168" s="281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303"/>
      <c r="P168" s="284" t="s">
        <v>87</v>
      </c>
      <c r="Q168" s="285"/>
      <c r="R168" s="285"/>
      <c r="S168" s="285"/>
      <c r="T168" s="285"/>
      <c r="U168" s="285"/>
      <c r="V168" s="286"/>
      <c r="W168" s="37" t="s">
        <v>88</v>
      </c>
      <c r="X168" s="278">
        <f>IFERROR(SUMPRODUCT(X166:X166*H166:H166),"0")</f>
        <v>37.800000000000004</v>
      </c>
      <c r="Y168" s="278">
        <f>IFERROR(SUMPRODUCT(Y166:Y166*H166:H166),"0")</f>
        <v>37.800000000000004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1"/>
      <c r="P169" s="281"/>
      <c r="Q169" s="281"/>
      <c r="R169" s="281"/>
      <c r="S169" s="281"/>
      <c r="T169" s="281"/>
      <c r="U169" s="281"/>
      <c r="V169" s="281"/>
      <c r="W169" s="281"/>
      <c r="X169" s="281"/>
      <c r="Y169" s="281"/>
      <c r="Z169" s="281"/>
      <c r="AA169" s="271"/>
      <c r="AB169" s="271"/>
      <c r="AC169" s="271"/>
    </row>
    <row r="170" spans="1:68" ht="14.25" hidden="1" customHeight="1" x14ac:dyDescent="0.25">
      <c r="A170" s="280" t="s">
        <v>133</v>
      </c>
      <c r="B170" s="281"/>
      <c r="C170" s="281"/>
      <c r="D170" s="281"/>
      <c r="E170" s="281"/>
      <c r="F170" s="281"/>
      <c r="G170" s="281"/>
      <c r="H170" s="281"/>
      <c r="I170" s="281"/>
      <c r="J170" s="281"/>
      <c r="K170" s="281"/>
      <c r="L170" s="281"/>
      <c r="M170" s="281"/>
      <c r="N170" s="281"/>
      <c r="O170" s="281"/>
      <c r="P170" s="281"/>
      <c r="Q170" s="281"/>
      <c r="R170" s="281"/>
      <c r="S170" s="281"/>
      <c r="T170" s="281"/>
      <c r="U170" s="281"/>
      <c r="V170" s="281"/>
      <c r="W170" s="281"/>
      <c r="X170" s="281"/>
      <c r="Y170" s="281"/>
      <c r="Z170" s="281"/>
      <c r="AA170" s="270"/>
      <c r="AB170" s="270"/>
      <c r="AC170" s="270"/>
    </row>
    <row r="171" spans="1:68" ht="27" hidden="1" customHeight="1" x14ac:dyDescent="0.25">
      <c r="A171" s="54" t="s">
        <v>253</v>
      </c>
      <c r="B171" s="54" t="s">
        <v>254</v>
      </c>
      <c r="C171" s="31">
        <v>4301135591</v>
      </c>
      <c r="D171" s="291">
        <v>4607111036568</v>
      </c>
      <c r="E171" s="292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4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96"/>
      <c r="R171" s="296"/>
      <c r="S171" s="296"/>
      <c r="T171" s="297"/>
      <c r="U171" s="34"/>
      <c r="V171" s="34"/>
      <c r="W171" s="35" t="s">
        <v>68</v>
      </c>
      <c r="X171" s="276">
        <v>0</v>
      </c>
      <c r="Y171" s="277">
        <f>IFERROR(IF(X171="","",X171),"")</f>
        <v>0</v>
      </c>
      <c r="Z171" s="36">
        <f>IFERROR(IF(X171="","",X171*0.00941),"")</f>
        <v>0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2"/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303"/>
      <c r="P172" s="284" t="s">
        <v>87</v>
      </c>
      <c r="Q172" s="285"/>
      <c r="R172" s="285"/>
      <c r="S172" s="285"/>
      <c r="T172" s="285"/>
      <c r="U172" s="285"/>
      <c r="V172" s="286"/>
      <c r="W172" s="37" t="s">
        <v>68</v>
      </c>
      <c r="X172" s="278">
        <f>IFERROR(SUM(X171:X171),"0")</f>
        <v>0</v>
      </c>
      <c r="Y172" s="278">
        <f>IFERROR(SUM(Y171:Y171),"0")</f>
        <v>0</v>
      </c>
      <c r="Z172" s="278">
        <f>IFERROR(IF(Z171="",0,Z171),"0")</f>
        <v>0</v>
      </c>
      <c r="AA172" s="279"/>
      <c r="AB172" s="279"/>
      <c r="AC172" s="279"/>
    </row>
    <row r="173" spans="1:68" hidden="1" x14ac:dyDescent="0.2">
      <c r="A173" s="281"/>
      <c r="B173" s="281"/>
      <c r="C173" s="281"/>
      <c r="D173" s="281"/>
      <c r="E173" s="281"/>
      <c r="F173" s="281"/>
      <c r="G173" s="281"/>
      <c r="H173" s="281"/>
      <c r="I173" s="281"/>
      <c r="J173" s="281"/>
      <c r="K173" s="281"/>
      <c r="L173" s="281"/>
      <c r="M173" s="281"/>
      <c r="N173" s="281"/>
      <c r="O173" s="303"/>
      <c r="P173" s="284" t="s">
        <v>87</v>
      </c>
      <c r="Q173" s="285"/>
      <c r="R173" s="285"/>
      <c r="S173" s="285"/>
      <c r="T173" s="285"/>
      <c r="U173" s="285"/>
      <c r="V173" s="286"/>
      <c r="W173" s="37" t="s">
        <v>88</v>
      </c>
      <c r="X173" s="278">
        <f>IFERROR(SUMPRODUCT(X171:X171*H171:H171),"0")</f>
        <v>0</v>
      </c>
      <c r="Y173" s="278">
        <f>IFERROR(SUMPRODUCT(Y171:Y171*H171:H171),"0")</f>
        <v>0</v>
      </c>
      <c r="Z173" s="37"/>
      <c r="AA173" s="279"/>
      <c r="AB173" s="279"/>
      <c r="AC173" s="279"/>
    </row>
    <row r="174" spans="1:68" ht="27.75" hidden="1" customHeight="1" x14ac:dyDescent="0.2">
      <c r="A174" s="323" t="s">
        <v>256</v>
      </c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48"/>
      <c r="AB174" s="48"/>
      <c r="AC174" s="48"/>
    </row>
    <row r="175" spans="1:68" ht="16.5" hidden="1" customHeight="1" x14ac:dyDescent="0.25">
      <c r="A175" s="294" t="s">
        <v>257</v>
      </c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281"/>
      <c r="P175" s="281"/>
      <c r="Q175" s="281"/>
      <c r="R175" s="281"/>
      <c r="S175" s="281"/>
      <c r="T175" s="281"/>
      <c r="U175" s="281"/>
      <c r="V175" s="281"/>
      <c r="W175" s="281"/>
      <c r="X175" s="281"/>
      <c r="Y175" s="281"/>
      <c r="Z175" s="281"/>
      <c r="AA175" s="271"/>
      <c r="AB175" s="271"/>
      <c r="AC175" s="271"/>
    </row>
    <row r="176" spans="1:68" ht="14.25" hidden="1" customHeight="1" x14ac:dyDescent="0.25">
      <c r="A176" s="280" t="s">
        <v>62</v>
      </c>
      <c r="B176" s="281"/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1"/>
      <c r="P176" s="281"/>
      <c r="Q176" s="281"/>
      <c r="R176" s="281"/>
      <c r="S176" s="281"/>
      <c r="T176" s="281"/>
      <c r="U176" s="281"/>
      <c r="V176" s="281"/>
      <c r="W176" s="281"/>
      <c r="X176" s="281"/>
      <c r="Y176" s="281"/>
      <c r="Z176" s="281"/>
      <c r="AA176" s="270"/>
      <c r="AB176" s="270"/>
      <c r="AC176" s="270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91">
        <v>4607111036384</v>
      </c>
      <c r="E177" s="292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6"/>
      <c r="R177" s="296"/>
      <c r="S177" s="296"/>
      <c r="T177" s="29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91">
        <v>4607111036216</v>
      </c>
      <c r="E178" s="292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34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6"/>
      <c r="R178" s="296"/>
      <c r="S178" s="296"/>
      <c r="T178" s="297"/>
      <c r="U178" s="34"/>
      <c r="V178" s="34"/>
      <c r="W178" s="35" t="s">
        <v>68</v>
      </c>
      <c r="X178" s="276">
        <v>24</v>
      </c>
      <c r="Y178" s="277">
        <f>IFERROR(IF(X178="","",X178),"")</f>
        <v>24</v>
      </c>
      <c r="Z178" s="36">
        <f>IFERROR(IF(X178="","",X178*0.00866),"")</f>
        <v>0.20783999999999997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125.11679999999998</v>
      </c>
      <c r="BN178" s="67">
        <f>IFERROR(Y178*I178,"0")</f>
        <v>125.11679999999998</v>
      </c>
      <c r="BO178" s="67">
        <f>IFERROR(X178/J178,"0")</f>
        <v>0.16666666666666666</v>
      </c>
      <c r="BP178" s="67">
        <f>IFERROR(Y178/J178,"0")</f>
        <v>0.16666666666666666</v>
      </c>
    </row>
    <row r="179" spans="1:68" x14ac:dyDescent="0.2">
      <c r="A179" s="302"/>
      <c r="B179" s="281"/>
      <c r="C179" s="281"/>
      <c r="D179" s="281"/>
      <c r="E179" s="281"/>
      <c r="F179" s="281"/>
      <c r="G179" s="281"/>
      <c r="H179" s="281"/>
      <c r="I179" s="281"/>
      <c r="J179" s="281"/>
      <c r="K179" s="281"/>
      <c r="L179" s="281"/>
      <c r="M179" s="281"/>
      <c r="N179" s="281"/>
      <c r="O179" s="303"/>
      <c r="P179" s="284" t="s">
        <v>87</v>
      </c>
      <c r="Q179" s="285"/>
      <c r="R179" s="285"/>
      <c r="S179" s="285"/>
      <c r="T179" s="285"/>
      <c r="U179" s="285"/>
      <c r="V179" s="286"/>
      <c r="W179" s="37" t="s">
        <v>68</v>
      </c>
      <c r="X179" s="278">
        <f>IFERROR(SUM(X177:X178),"0")</f>
        <v>24</v>
      </c>
      <c r="Y179" s="278">
        <f>IFERROR(SUM(Y177:Y178),"0")</f>
        <v>24</v>
      </c>
      <c r="Z179" s="278">
        <f>IFERROR(IF(Z177="",0,Z177),"0")+IFERROR(IF(Z178="",0,Z178),"0")</f>
        <v>0.20783999999999997</v>
      </c>
      <c r="AA179" s="279"/>
      <c r="AB179" s="279"/>
      <c r="AC179" s="279"/>
    </row>
    <row r="180" spans="1:68" x14ac:dyDescent="0.2">
      <c r="A180" s="281"/>
      <c r="B180" s="281"/>
      <c r="C180" s="281"/>
      <c r="D180" s="281"/>
      <c r="E180" s="281"/>
      <c r="F180" s="281"/>
      <c r="G180" s="281"/>
      <c r="H180" s="281"/>
      <c r="I180" s="281"/>
      <c r="J180" s="281"/>
      <c r="K180" s="281"/>
      <c r="L180" s="281"/>
      <c r="M180" s="281"/>
      <c r="N180" s="281"/>
      <c r="O180" s="303"/>
      <c r="P180" s="284" t="s">
        <v>87</v>
      </c>
      <c r="Q180" s="285"/>
      <c r="R180" s="285"/>
      <c r="S180" s="285"/>
      <c r="T180" s="285"/>
      <c r="U180" s="285"/>
      <c r="V180" s="286"/>
      <c r="W180" s="37" t="s">
        <v>88</v>
      </c>
      <c r="X180" s="278">
        <f>IFERROR(SUMPRODUCT(X177:X178*H177:H178),"0")</f>
        <v>120</v>
      </c>
      <c r="Y180" s="278">
        <f>IFERROR(SUMPRODUCT(Y177:Y178*H177:H178),"0")</f>
        <v>120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81"/>
      <c r="C181" s="281"/>
      <c r="D181" s="281"/>
      <c r="E181" s="281"/>
      <c r="F181" s="281"/>
      <c r="G181" s="281"/>
      <c r="H181" s="281"/>
      <c r="I181" s="281"/>
      <c r="J181" s="281"/>
      <c r="K181" s="281"/>
      <c r="L181" s="281"/>
      <c r="M181" s="281"/>
      <c r="N181" s="281"/>
      <c r="O181" s="281"/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71"/>
      <c r="AB181" s="271"/>
      <c r="AC181" s="271"/>
    </row>
    <row r="182" spans="1:68" ht="14.25" hidden="1" customHeight="1" x14ac:dyDescent="0.25">
      <c r="A182" s="280" t="s">
        <v>62</v>
      </c>
      <c r="B182" s="281"/>
      <c r="C182" s="281"/>
      <c r="D182" s="281"/>
      <c r="E182" s="281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70"/>
      <c r="AB182" s="270"/>
      <c r="AC182" s="270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91">
        <v>4620207491737</v>
      </c>
      <c r="E183" s="292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34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6"/>
      <c r="R183" s="296"/>
      <c r="S183" s="296"/>
      <c r="T183" s="297"/>
      <c r="U183" s="34"/>
      <c r="V183" s="34"/>
      <c r="W183" s="35" t="s">
        <v>68</v>
      </c>
      <c r="X183" s="276">
        <v>264</v>
      </c>
      <c r="Y183" s="277">
        <f>IFERROR(IF(X183="","",X183),"")</f>
        <v>264</v>
      </c>
      <c r="Z183" s="36">
        <f>IFERROR(IF(X183="","",X183*0.0155),"")</f>
        <v>4.0919999999999996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1389.1679999999999</v>
      </c>
      <c r="BN183" s="67">
        <f>IFERROR(Y183*I183,"0")</f>
        <v>1389.1679999999999</v>
      </c>
      <c r="BO183" s="67">
        <f>IFERROR(X183/J183,"0")</f>
        <v>3.1428571428571428</v>
      </c>
      <c r="BP183" s="67">
        <f>IFERROR(Y183/J183,"0")</f>
        <v>3.1428571428571428</v>
      </c>
    </row>
    <row r="184" spans="1:68" x14ac:dyDescent="0.2">
      <c r="A184" s="302"/>
      <c r="B184" s="281"/>
      <c r="C184" s="281"/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303"/>
      <c r="P184" s="284" t="s">
        <v>87</v>
      </c>
      <c r="Q184" s="285"/>
      <c r="R184" s="285"/>
      <c r="S184" s="285"/>
      <c r="T184" s="285"/>
      <c r="U184" s="285"/>
      <c r="V184" s="286"/>
      <c r="W184" s="37" t="s">
        <v>68</v>
      </c>
      <c r="X184" s="278">
        <f>IFERROR(SUM(X183:X183),"0")</f>
        <v>264</v>
      </c>
      <c r="Y184" s="278">
        <f>IFERROR(SUM(Y183:Y183),"0")</f>
        <v>264</v>
      </c>
      <c r="Z184" s="278">
        <f>IFERROR(IF(Z183="",0,Z183),"0")</f>
        <v>4.0919999999999996</v>
      </c>
      <c r="AA184" s="279"/>
      <c r="AB184" s="279"/>
      <c r="AC184" s="279"/>
    </row>
    <row r="185" spans="1:68" x14ac:dyDescent="0.2">
      <c r="A185" s="281"/>
      <c r="B185" s="281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81"/>
      <c r="O185" s="303"/>
      <c r="P185" s="284" t="s">
        <v>87</v>
      </c>
      <c r="Q185" s="285"/>
      <c r="R185" s="285"/>
      <c r="S185" s="285"/>
      <c r="T185" s="285"/>
      <c r="U185" s="285"/>
      <c r="V185" s="286"/>
      <c r="W185" s="37" t="s">
        <v>88</v>
      </c>
      <c r="X185" s="278">
        <f>IFERROR(SUMPRODUCT(X183:X183*H183:H183),"0")</f>
        <v>1320</v>
      </c>
      <c r="Y185" s="278">
        <f>IFERROR(SUMPRODUCT(Y183:Y183*H183:H183),"0")</f>
        <v>1320</v>
      </c>
      <c r="Z185" s="37"/>
      <c r="AA185" s="279"/>
      <c r="AB185" s="279"/>
      <c r="AC185" s="279"/>
    </row>
    <row r="186" spans="1:68" ht="27.75" hidden="1" customHeight="1" x14ac:dyDescent="0.2">
      <c r="A186" s="323" t="s">
        <v>267</v>
      </c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48"/>
      <c r="AB186" s="48"/>
      <c r="AC186" s="48"/>
    </row>
    <row r="187" spans="1:68" ht="16.5" hidden="1" customHeight="1" x14ac:dyDescent="0.25">
      <c r="A187" s="294" t="s">
        <v>268</v>
      </c>
      <c r="B187" s="281"/>
      <c r="C187" s="281"/>
      <c r="D187" s="281"/>
      <c r="E187" s="281"/>
      <c r="F187" s="281"/>
      <c r="G187" s="281"/>
      <c r="H187" s="281"/>
      <c r="I187" s="281"/>
      <c r="J187" s="281"/>
      <c r="K187" s="281"/>
      <c r="L187" s="281"/>
      <c r="M187" s="281"/>
      <c r="N187" s="281"/>
      <c r="O187" s="281"/>
      <c r="P187" s="281"/>
      <c r="Q187" s="281"/>
      <c r="R187" s="281"/>
      <c r="S187" s="281"/>
      <c r="T187" s="281"/>
      <c r="U187" s="281"/>
      <c r="V187" s="281"/>
      <c r="W187" s="281"/>
      <c r="X187" s="281"/>
      <c r="Y187" s="281"/>
      <c r="Z187" s="281"/>
      <c r="AA187" s="271"/>
      <c r="AB187" s="271"/>
      <c r="AC187" s="271"/>
    </row>
    <row r="188" spans="1:68" ht="14.25" hidden="1" customHeight="1" x14ac:dyDescent="0.25">
      <c r="A188" s="280" t="s">
        <v>97</v>
      </c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281"/>
      <c r="P188" s="281"/>
      <c r="Q188" s="281"/>
      <c r="R188" s="281"/>
      <c r="S188" s="281"/>
      <c r="T188" s="281"/>
      <c r="U188" s="281"/>
      <c r="V188" s="281"/>
      <c r="W188" s="281"/>
      <c r="X188" s="281"/>
      <c r="Y188" s="281"/>
      <c r="Z188" s="281"/>
      <c r="AA188" s="270"/>
      <c r="AB188" s="270"/>
      <c r="AC188" s="270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91">
        <v>4607111035691</v>
      </c>
      <c r="E189" s="292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6"/>
      <c r="R189" s="296"/>
      <c r="S189" s="296"/>
      <c r="T189" s="297"/>
      <c r="U189" s="34"/>
      <c r="V189" s="34"/>
      <c r="W189" s="35" t="s">
        <v>68</v>
      </c>
      <c r="X189" s="276">
        <v>56</v>
      </c>
      <c r="Y189" s="277">
        <f>IFERROR(IF(X189="","",X189),"")</f>
        <v>56</v>
      </c>
      <c r="Z189" s="36">
        <f>IFERROR(IF(X189="","",X189*0.01788),"")</f>
        <v>1.0012799999999999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189.72800000000001</v>
      </c>
      <c r="BN189" s="67">
        <f>IFERROR(Y189*I189,"0")</f>
        <v>189.72800000000001</v>
      </c>
      <c r="BO189" s="67">
        <f>IFERROR(X189/J189,"0")</f>
        <v>0.8</v>
      </c>
      <c r="BP189" s="67">
        <f>IFERROR(Y189/J189,"0")</f>
        <v>0.8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91">
        <v>4607111035721</v>
      </c>
      <c r="E190" s="292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36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6"/>
      <c r="R190" s="296"/>
      <c r="S190" s="296"/>
      <c r="T190" s="297"/>
      <c r="U190" s="34"/>
      <c r="V190" s="34"/>
      <c r="W190" s="35" t="s">
        <v>68</v>
      </c>
      <c r="X190" s="276">
        <v>42</v>
      </c>
      <c r="Y190" s="277">
        <f>IFERROR(IF(X190="","",X190),"")</f>
        <v>42</v>
      </c>
      <c r="Z190" s="36">
        <f>IFERROR(IF(X190="","",X190*0.01788),"")</f>
        <v>0.75095999999999996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91">
        <v>4607111038487</v>
      </c>
      <c r="E191" s="292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6"/>
      <c r="R191" s="296"/>
      <c r="S191" s="296"/>
      <c r="T191" s="297"/>
      <c r="U191" s="34"/>
      <c r="V191" s="34"/>
      <c r="W191" s="35" t="s">
        <v>68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104.608</v>
      </c>
      <c r="BN191" s="67">
        <f>IFERROR(Y191*I191,"0")</f>
        <v>104.608</v>
      </c>
      <c r="BO191" s="67">
        <f>IFERROR(X191/J191,"0")</f>
        <v>0.4</v>
      </c>
      <c r="BP191" s="67">
        <f>IFERROR(Y191/J191,"0")</f>
        <v>0.4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91">
        <v>4620207491195</v>
      </c>
      <c r="E192" s="292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42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6"/>
      <c r="R192" s="296"/>
      <c r="S192" s="296"/>
      <c r="T192" s="29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302"/>
      <c r="B193" s="281"/>
      <c r="C193" s="281"/>
      <c r="D193" s="281"/>
      <c r="E193" s="281"/>
      <c r="F193" s="281"/>
      <c r="G193" s="281"/>
      <c r="H193" s="281"/>
      <c r="I193" s="281"/>
      <c r="J193" s="281"/>
      <c r="K193" s="281"/>
      <c r="L193" s="281"/>
      <c r="M193" s="281"/>
      <c r="N193" s="281"/>
      <c r="O193" s="303"/>
      <c r="P193" s="284" t="s">
        <v>87</v>
      </c>
      <c r="Q193" s="285"/>
      <c r="R193" s="285"/>
      <c r="S193" s="285"/>
      <c r="T193" s="285"/>
      <c r="U193" s="285"/>
      <c r="V193" s="286"/>
      <c r="W193" s="37" t="s">
        <v>68</v>
      </c>
      <c r="X193" s="278">
        <f>IFERROR(SUM(X189:X192),"0")</f>
        <v>126</v>
      </c>
      <c r="Y193" s="278">
        <f>IFERROR(SUM(Y189:Y192),"0")</f>
        <v>126</v>
      </c>
      <c r="Z193" s="278">
        <f>IFERROR(IF(Z189="",0,Z189),"0")+IFERROR(IF(Z190="",0,Z190),"0")+IFERROR(IF(Z191="",0,Z191),"0")+IFERROR(IF(Z192="",0,Z192),"0")</f>
        <v>2.2528800000000002</v>
      </c>
      <c r="AA193" s="279"/>
      <c r="AB193" s="279"/>
      <c r="AC193" s="279"/>
    </row>
    <row r="194" spans="1:68" x14ac:dyDescent="0.2">
      <c r="A194" s="281"/>
      <c r="B194" s="281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303"/>
      <c r="P194" s="284" t="s">
        <v>87</v>
      </c>
      <c r="Q194" s="285"/>
      <c r="R194" s="285"/>
      <c r="S194" s="285"/>
      <c r="T194" s="285"/>
      <c r="U194" s="285"/>
      <c r="V194" s="286"/>
      <c r="W194" s="37" t="s">
        <v>88</v>
      </c>
      <c r="X194" s="278">
        <f>IFERROR(SUMPRODUCT(X189:X192*H189:H192),"0")</f>
        <v>378</v>
      </c>
      <c r="Y194" s="278">
        <f>IFERROR(SUMPRODUCT(Y189:Y192*H189:H192),"0")</f>
        <v>378</v>
      </c>
      <c r="Z194" s="37"/>
      <c r="AA194" s="279"/>
      <c r="AB194" s="279"/>
      <c r="AC194" s="279"/>
    </row>
    <row r="195" spans="1:68" ht="27.75" hidden="1" customHeight="1" x14ac:dyDescent="0.2">
      <c r="A195" s="323" t="s">
        <v>281</v>
      </c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48"/>
      <c r="AB195" s="48"/>
      <c r="AC195" s="48"/>
    </row>
    <row r="196" spans="1:68" ht="16.5" hidden="1" customHeight="1" x14ac:dyDescent="0.25">
      <c r="A196" s="294" t="s">
        <v>282</v>
      </c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71"/>
      <c r="AB196" s="271"/>
      <c r="AC196" s="271"/>
    </row>
    <row r="197" spans="1:68" ht="14.25" hidden="1" customHeight="1" x14ac:dyDescent="0.25">
      <c r="A197" s="280" t="s">
        <v>97</v>
      </c>
      <c r="B197" s="281"/>
      <c r="C197" s="281"/>
      <c r="D197" s="281"/>
      <c r="E197" s="281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  <c r="S197" s="281"/>
      <c r="T197" s="281"/>
      <c r="U197" s="281"/>
      <c r="V197" s="281"/>
      <c r="W197" s="281"/>
      <c r="X197" s="281"/>
      <c r="Y197" s="281"/>
      <c r="Z197" s="281"/>
      <c r="AA197" s="270"/>
      <c r="AB197" s="270"/>
      <c r="AC197" s="270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91">
        <v>4620207491133</v>
      </c>
      <c r="E198" s="292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3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6"/>
      <c r="R198" s="296"/>
      <c r="S198" s="296"/>
      <c r="T198" s="297"/>
      <c r="U198" s="34"/>
      <c r="V198" s="34"/>
      <c r="W198" s="35" t="s">
        <v>68</v>
      </c>
      <c r="X198" s="276">
        <v>28</v>
      </c>
      <c r="Y198" s="277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83.44</v>
      </c>
      <c r="BN198" s="67">
        <f>IFERROR(Y198*I198,"0")</f>
        <v>83.44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02"/>
      <c r="B199" s="281"/>
      <c r="C199" s="281"/>
      <c r="D199" s="281"/>
      <c r="E199" s="281"/>
      <c r="F199" s="281"/>
      <c r="G199" s="281"/>
      <c r="H199" s="281"/>
      <c r="I199" s="281"/>
      <c r="J199" s="281"/>
      <c r="K199" s="281"/>
      <c r="L199" s="281"/>
      <c r="M199" s="281"/>
      <c r="N199" s="281"/>
      <c r="O199" s="303"/>
      <c r="P199" s="284" t="s">
        <v>87</v>
      </c>
      <c r="Q199" s="285"/>
      <c r="R199" s="285"/>
      <c r="S199" s="285"/>
      <c r="T199" s="285"/>
      <c r="U199" s="285"/>
      <c r="V199" s="286"/>
      <c r="W199" s="37" t="s">
        <v>68</v>
      </c>
      <c r="X199" s="278">
        <f>IFERROR(SUM(X198:X198),"0")</f>
        <v>28</v>
      </c>
      <c r="Y199" s="278">
        <f>IFERROR(SUM(Y198:Y198),"0")</f>
        <v>28</v>
      </c>
      <c r="Z199" s="278">
        <f>IFERROR(IF(Z198="",0,Z198),"0")</f>
        <v>0.50063999999999997</v>
      </c>
      <c r="AA199" s="279"/>
      <c r="AB199" s="279"/>
      <c r="AC199" s="279"/>
    </row>
    <row r="200" spans="1:68" x14ac:dyDescent="0.2">
      <c r="A200" s="281"/>
      <c r="B200" s="281"/>
      <c r="C200" s="281"/>
      <c r="D200" s="281"/>
      <c r="E200" s="281"/>
      <c r="F200" s="281"/>
      <c r="G200" s="281"/>
      <c r="H200" s="281"/>
      <c r="I200" s="281"/>
      <c r="J200" s="281"/>
      <c r="K200" s="281"/>
      <c r="L200" s="281"/>
      <c r="M200" s="281"/>
      <c r="N200" s="281"/>
      <c r="O200" s="303"/>
      <c r="P200" s="284" t="s">
        <v>87</v>
      </c>
      <c r="Q200" s="285"/>
      <c r="R200" s="285"/>
      <c r="S200" s="285"/>
      <c r="T200" s="285"/>
      <c r="U200" s="285"/>
      <c r="V200" s="286"/>
      <c r="W200" s="37" t="s">
        <v>88</v>
      </c>
      <c r="X200" s="278">
        <f>IFERROR(SUMPRODUCT(X198:X198*H198:H198),"0")</f>
        <v>77.28</v>
      </c>
      <c r="Y200" s="278">
        <f>IFERROR(SUMPRODUCT(Y198:Y198*H198:H198),"0")</f>
        <v>77.28</v>
      </c>
      <c r="Z200" s="37"/>
      <c r="AA200" s="279"/>
      <c r="AB200" s="279"/>
      <c r="AC200" s="279"/>
    </row>
    <row r="201" spans="1:68" ht="14.25" hidden="1" customHeight="1" x14ac:dyDescent="0.25">
      <c r="A201" s="280" t="s">
        <v>133</v>
      </c>
      <c r="B201" s="281"/>
      <c r="C201" s="281"/>
      <c r="D201" s="281"/>
      <c r="E201" s="281"/>
      <c r="F201" s="281"/>
      <c r="G201" s="281"/>
      <c r="H201" s="281"/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  <c r="S201" s="281"/>
      <c r="T201" s="281"/>
      <c r="U201" s="281"/>
      <c r="V201" s="281"/>
      <c r="W201" s="281"/>
      <c r="X201" s="281"/>
      <c r="Y201" s="281"/>
      <c r="Z201" s="281"/>
      <c r="AA201" s="270"/>
      <c r="AB201" s="270"/>
      <c r="AC201" s="270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91">
        <v>4620207491188</v>
      </c>
      <c r="E202" s="292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1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6"/>
      <c r="R202" s="296"/>
      <c r="S202" s="296"/>
      <c r="T202" s="297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91">
        <v>4620207490235</v>
      </c>
      <c r="E203" s="292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4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6"/>
      <c r="R203" s="296"/>
      <c r="S203" s="296"/>
      <c r="T203" s="29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91">
        <v>4620207490259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6"/>
      <c r="R204" s="296"/>
      <c r="S204" s="296"/>
      <c r="T204" s="29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302"/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303"/>
      <c r="P205" s="284" t="s">
        <v>87</v>
      </c>
      <c r="Q205" s="285"/>
      <c r="R205" s="285"/>
      <c r="S205" s="285"/>
      <c r="T205" s="285"/>
      <c r="U205" s="285"/>
      <c r="V205" s="286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81"/>
      <c r="B206" s="281"/>
      <c r="C206" s="281"/>
      <c r="D206" s="281"/>
      <c r="E206" s="281"/>
      <c r="F206" s="281"/>
      <c r="G206" s="281"/>
      <c r="H206" s="281"/>
      <c r="I206" s="281"/>
      <c r="J206" s="281"/>
      <c r="K206" s="281"/>
      <c r="L206" s="281"/>
      <c r="M206" s="281"/>
      <c r="N206" s="281"/>
      <c r="O206" s="303"/>
      <c r="P206" s="284" t="s">
        <v>87</v>
      </c>
      <c r="Q206" s="285"/>
      <c r="R206" s="285"/>
      <c r="S206" s="285"/>
      <c r="T206" s="285"/>
      <c r="U206" s="285"/>
      <c r="V206" s="286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281"/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71"/>
      <c r="AB207" s="271"/>
      <c r="AC207" s="271"/>
    </row>
    <row r="208" spans="1:68" ht="14.25" hidden="1" customHeight="1" x14ac:dyDescent="0.25">
      <c r="A208" s="280" t="s">
        <v>133</v>
      </c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70"/>
      <c r="AB208" s="270"/>
      <c r="AC208" s="270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91">
        <v>4620207491706</v>
      </c>
      <c r="E209" s="292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46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6"/>
      <c r="R209" s="296"/>
      <c r="S209" s="296"/>
      <c r="T209" s="29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91">
        <v>4620207491522</v>
      </c>
      <c r="E210" s="292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42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6"/>
      <c r="R210" s="296"/>
      <c r="S210" s="296"/>
      <c r="T210" s="29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302"/>
      <c r="B211" s="281"/>
      <c r="C211" s="281"/>
      <c r="D211" s="281"/>
      <c r="E211" s="281"/>
      <c r="F211" s="281"/>
      <c r="G211" s="281"/>
      <c r="H211" s="281"/>
      <c r="I211" s="281"/>
      <c r="J211" s="281"/>
      <c r="K211" s="281"/>
      <c r="L211" s="281"/>
      <c r="M211" s="281"/>
      <c r="N211" s="281"/>
      <c r="O211" s="303"/>
      <c r="P211" s="284" t="s">
        <v>87</v>
      </c>
      <c r="Q211" s="285"/>
      <c r="R211" s="285"/>
      <c r="S211" s="285"/>
      <c r="T211" s="285"/>
      <c r="U211" s="285"/>
      <c r="V211" s="286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81"/>
      <c r="B212" s="281"/>
      <c r="C212" s="281"/>
      <c r="D212" s="281"/>
      <c r="E212" s="281"/>
      <c r="F212" s="281"/>
      <c r="G212" s="281"/>
      <c r="H212" s="281"/>
      <c r="I212" s="281"/>
      <c r="J212" s="281"/>
      <c r="K212" s="281"/>
      <c r="L212" s="281"/>
      <c r="M212" s="281"/>
      <c r="N212" s="281"/>
      <c r="O212" s="303"/>
      <c r="P212" s="284" t="s">
        <v>87</v>
      </c>
      <c r="Q212" s="285"/>
      <c r="R212" s="285"/>
      <c r="S212" s="285"/>
      <c r="T212" s="285"/>
      <c r="U212" s="285"/>
      <c r="V212" s="286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  <c r="S213" s="281"/>
      <c r="T213" s="281"/>
      <c r="U213" s="281"/>
      <c r="V213" s="281"/>
      <c r="W213" s="281"/>
      <c r="X213" s="281"/>
      <c r="Y213" s="281"/>
      <c r="Z213" s="281"/>
      <c r="AA213" s="271"/>
      <c r="AB213" s="271"/>
      <c r="AC213" s="271"/>
    </row>
    <row r="214" spans="1:68" ht="14.25" hidden="1" customHeight="1" x14ac:dyDescent="0.25">
      <c r="A214" s="280" t="s">
        <v>62</v>
      </c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  <c r="S214" s="281"/>
      <c r="T214" s="281"/>
      <c r="U214" s="281"/>
      <c r="V214" s="281"/>
      <c r="W214" s="281"/>
      <c r="X214" s="281"/>
      <c r="Y214" s="281"/>
      <c r="Z214" s="281"/>
      <c r="AA214" s="270"/>
      <c r="AB214" s="270"/>
      <c r="AC214" s="270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91">
        <v>4620207491096</v>
      </c>
      <c r="E215" s="292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45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6"/>
      <c r="R215" s="296"/>
      <c r="S215" s="296"/>
      <c r="T215" s="297"/>
      <c r="U215" s="34"/>
      <c r="V215" s="34"/>
      <c r="W215" s="35" t="s">
        <v>68</v>
      </c>
      <c r="X215" s="276">
        <v>120</v>
      </c>
      <c r="Y215" s="277">
        <f>IFERROR(IF(X215="","",X215),"")</f>
        <v>120</v>
      </c>
      <c r="Z215" s="36">
        <f>IFERROR(IF(X215="","",X215*0.0155),"")</f>
        <v>1.8599999999999999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627.6</v>
      </c>
      <c r="BN215" s="67">
        <f>IFERROR(Y215*I215,"0")</f>
        <v>627.6</v>
      </c>
      <c r="BO215" s="67">
        <f>IFERROR(X215/J215,"0")</f>
        <v>1.4285714285714286</v>
      </c>
      <c r="BP215" s="67">
        <f>IFERROR(Y215/J215,"0")</f>
        <v>1.4285714285714286</v>
      </c>
    </row>
    <row r="216" spans="1:68" x14ac:dyDescent="0.2">
      <c r="A216" s="302"/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303"/>
      <c r="P216" s="284" t="s">
        <v>87</v>
      </c>
      <c r="Q216" s="285"/>
      <c r="R216" s="285"/>
      <c r="S216" s="285"/>
      <c r="T216" s="285"/>
      <c r="U216" s="285"/>
      <c r="V216" s="286"/>
      <c r="W216" s="37" t="s">
        <v>68</v>
      </c>
      <c r="X216" s="278">
        <f>IFERROR(SUM(X215:X215),"0")</f>
        <v>120</v>
      </c>
      <c r="Y216" s="278">
        <f>IFERROR(SUM(Y215:Y215),"0")</f>
        <v>120</v>
      </c>
      <c r="Z216" s="278">
        <f>IFERROR(IF(Z215="",0,Z215),"0")</f>
        <v>1.8599999999999999</v>
      </c>
      <c r="AA216" s="279"/>
      <c r="AB216" s="279"/>
      <c r="AC216" s="279"/>
    </row>
    <row r="217" spans="1:68" x14ac:dyDescent="0.2">
      <c r="A217" s="281"/>
      <c r="B217" s="281"/>
      <c r="C217" s="281"/>
      <c r="D217" s="281"/>
      <c r="E217" s="281"/>
      <c r="F217" s="281"/>
      <c r="G217" s="281"/>
      <c r="H217" s="281"/>
      <c r="I217" s="281"/>
      <c r="J217" s="281"/>
      <c r="K217" s="281"/>
      <c r="L217" s="281"/>
      <c r="M217" s="281"/>
      <c r="N217" s="281"/>
      <c r="O217" s="303"/>
      <c r="P217" s="284" t="s">
        <v>87</v>
      </c>
      <c r="Q217" s="285"/>
      <c r="R217" s="285"/>
      <c r="S217" s="285"/>
      <c r="T217" s="285"/>
      <c r="U217" s="285"/>
      <c r="V217" s="286"/>
      <c r="W217" s="37" t="s">
        <v>88</v>
      </c>
      <c r="X217" s="278">
        <f>IFERROR(SUMPRODUCT(X215:X215*H215:H215),"0")</f>
        <v>600</v>
      </c>
      <c r="Y217" s="278">
        <f>IFERROR(SUMPRODUCT(Y215:Y215*H215:H215),"0")</f>
        <v>600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71"/>
      <c r="AB218" s="271"/>
      <c r="AC218" s="271"/>
    </row>
    <row r="219" spans="1:68" ht="14.25" hidden="1" customHeight="1" x14ac:dyDescent="0.25">
      <c r="A219" s="280" t="s">
        <v>133</v>
      </c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281"/>
      <c r="P219" s="281"/>
      <c r="Q219" s="281"/>
      <c r="R219" s="281"/>
      <c r="S219" s="281"/>
      <c r="T219" s="281"/>
      <c r="U219" s="281"/>
      <c r="V219" s="281"/>
      <c r="W219" s="281"/>
      <c r="X219" s="281"/>
      <c r="Y219" s="281"/>
      <c r="Z219" s="281"/>
      <c r="AA219" s="270"/>
      <c r="AB219" s="270"/>
      <c r="AC219" s="270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91">
        <v>4620207490501</v>
      </c>
      <c r="E220" s="292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46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6"/>
      <c r="R220" s="296"/>
      <c r="S220" s="296"/>
      <c r="T220" s="29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2"/>
      <c r="B221" s="281"/>
      <c r="C221" s="281"/>
      <c r="D221" s="281"/>
      <c r="E221" s="281"/>
      <c r="F221" s="281"/>
      <c r="G221" s="281"/>
      <c r="H221" s="281"/>
      <c r="I221" s="281"/>
      <c r="J221" s="281"/>
      <c r="K221" s="281"/>
      <c r="L221" s="281"/>
      <c r="M221" s="281"/>
      <c r="N221" s="281"/>
      <c r="O221" s="303"/>
      <c r="P221" s="284" t="s">
        <v>87</v>
      </c>
      <c r="Q221" s="285"/>
      <c r="R221" s="285"/>
      <c r="S221" s="285"/>
      <c r="T221" s="285"/>
      <c r="U221" s="285"/>
      <c r="V221" s="286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81"/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303"/>
      <c r="P222" s="284" t="s">
        <v>87</v>
      </c>
      <c r="Q222" s="285"/>
      <c r="R222" s="285"/>
      <c r="S222" s="285"/>
      <c r="T222" s="285"/>
      <c r="U222" s="285"/>
      <c r="V222" s="286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23" t="s">
        <v>310</v>
      </c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48"/>
      <c r="AB223" s="48"/>
      <c r="AC223" s="48"/>
    </row>
    <row r="224" spans="1:68" ht="16.5" hidden="1" customHeight="1" x14ac:dyDescent="0.25">
      <c r="A224" s="294" t="s">
        <v>311</v>
      </c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281"/>
      <c r="P224" s="281"/>
      <c r="Q224" s="281"/>
      <c r="R224" s="281"/>
      <c r="S224" s="281"/>
      <c r="T224" s="281"/>
      <c r="U224" s="281"/>
      <c r="V224" s="281"/>
      <c r="W224" s="281"/>
      <c r="X224" s="281"/>
      <c r="Y224" s="281"/>
      <c r="Z224" s="281"/>
      <c r="AA224" s="271"/>
      <c r="AB224" s="271"/>
      <c r="AC224" s="271"/>
    </row>
    <row r="225" spans="1:68" ht="14.25" hidden="1" customHeight="1" x14ac:dyDescent="0.25">
      <c r="A225" s="280" t="s">
        <v>62</v>
      </c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281"/>
      <c r="P225" s="281"/>
      <c r="Q225" s="281"/>
      <c r="R225" s="281"/>
      <c r="S225" s="281"/>
      <c r="T225" s="281"/>
      <c r="U225" s="281"/>
      <c r="V225" s="281"/>
      <c r="W225" s="281"/>
      <c r="X225" s="281"/>
      <c r="Y225" s="281"/>
      <c r="Z225" s="281"/>
      <c r="AA225" s="270"/>
      <c r="AB225" s="270"/>
      <c r="AC225" s="270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91">
        <v>4607111036162</v>
      </c>
      <c r="E226" s="292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35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6"/>
      <c r="R226" s="296"/>
      <c r="S226" s="296"/>
      <c r="T226" s="29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302"/>
      <c r="B227" s="281"/>
      <c r="C227" s="281"/>
      <c r="D227" s="281"/>
      <c r="E227" s="281"/>
      <c r="F227" s="281"/>
      <c r="G227" s="281"/>
      <c r="H227" s="281"/>
      <c r="I227" s="281"/>
      <c r="J227" s="281"/>
      <c r="K227" s="281"/>
      <c r="L227" s="281"/>
      <c r="M227" s="281"/>
      <c r="N227" s="281"/>
      <c r="O227" s="303"/>
      <c r="P227" s="284" t="s">
        <v>87</v>
      </c>
      <c r="Q227" s="285"/>
      <c r="R227" s="285"/>
      <c r="S227" s="285"/>
      <c r="T227" s="285"/>
      <c r="U227" s="285"/>
      <c r="V227" s="286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81"/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303"/>
      <c r="P228" s="284" t="s">
        <v>87</v>
      </c>
      <c r="Q228" s="285"/>
      <c r="R228" s="285"/>
      <c r="S228" s="285"/>
      <c r="T228" s="285"/>
      <c r="U228" s="285"/>
      <c r="V228" s="286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23" t="s">
        <v>315</v>
      </c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48"/>
      <c r="AB229" s="48"/>
      <c r="AC229" s="48"/>
    </row>
    <row r="230" spans="1:68" ht="16.5" hidden="1" customHeight="1" x14ac:dyDescent="0.25">
      <c r="A230" s="294" t="s">
        <v>316</v>
      </c>
      <c r="B230" s="281"/>
      <c r="C230" s="281"/>
      <c r="D230" s="281"/>
      <c r="E230" s="281"/>
      <c r="F230" s="281"/>
      <c r="G230" s="281"/>
      <c r="H230" s="281"/>
      <c r="I230" s="281"/>
      <c r="J230" s="281"/>
      <c r="K230" s="281"/>
      <c r="L230" s="281"/>
      <c r="M230" s="281"/>
      <c r="N230" s="281"/>
      <c r="O230" s="281"/>
      <c r="P230" s="281"/>
      <c r="Q230" s="281"/>
      <c r="R230" s="281"/>
      <c r="S230" s="281"/>
      <c r="T230" s="281"/>
      <c r="U230" s="281"/>
      <c r="V230" s="281"/>
      <c r="W230" s="281"/>
      <c r="X230" s="281"/>
      <c r="Y230" s="281"/>
      <c r="Z230" s="281"/>
      <c r="AA230" s="271"/>
      <c r="AB230" s="271"/>
      <c r="AC230" s="271"/>
    </row>
    <row r="231" spans="1:68" ht="14.25" hidden="1" customHeight="1" x14ac:dyDescent="0.25">
      <c r="A231" s="280" t="s">
        <v>317</v>
      </c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281"/>
      <c r="P231" s="281"/>
      <c r="Q231" s="281"/>
      <c r="R231" s="281"/>
      <c r="S231" s="281"/>
      <c r="T231" s="281"/>
      <c r="U231" s="281"/>
      <c r="V231" s="281"/>
      <c r="W231" s="281"/>
      <c r="X231" s="281"/>
      <c r="Y231" s="281"/>
      <c r="Z231" s="281"/>
      <c r="AA231" s="270"/>
      <c r="AB231" s="270"/>
      <c r="AC231" s="270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91">
        <v>4607111039774</v>
      </c>
      <c r="E232" s="292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7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02"/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303"/>
      <c r="P233" s="284" t="s">
        <v>87</v>
      </c>
      <c r="Q233" s="285"/>
      <c r="R233" s="285"/>
      <c r="S233" s="285"/>
      <c r="T233" s="285"/>
      <c r="U233" s="285"/>
      <c r="V233" s="286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81"/>
      <c r="B234" s="281"/>
      <c r="C234" s="281"/>
      <c r="D234" s="281"/>
      <c r="E234" s="281"/>
      <c r="F234" s="281"/>
      <c r="G234" s="281"/>
      <c r="H234" s="281"/>
      <c r="I234" s="281"/>
      <c r="J234" s="281"/>
      <c r="K234" s="281"/>
      <c r="L234" s="281"/>
      <c r="M234" s="281"/>
      <c r="N234" s="281"/>
      <c r="O234" s="303"/>
      <c r="P234" s="284" t="s">
        <v>87</v>
      </c>
      <c r="Q234" s="285"/>
      <c r="R234" s="285"/>
      <c r="S234" s="285"/>
      <c r="T234" s="285"/>
      <c r="U234" s="285"/>
      <c r="V234" s="286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280" t="s">
        <v>133</v>
      </c>
      <c r="B235" s="281"/>
      <c r="C235" s="281"/>
      <c r="D235" s="281"/>
      <c r="E235" s="281"/>
      <c r="F235" s="281"/>
      <c r="G235" s="281"/>
      <c r="H235" s="281"/>
      <c r="I235" s="281"/>
      <c r="J235" s="281"/>
      <c r="K235" s="281"/>
      <c r="L235" s="281"/>
      <c r="M235" s="281"/>
      <c r="N235" s="281"/>
      <c r="O235" s="281"/>
      <c r="P235" s="281"/>
      <c r="Q235" s="281"/>
      <c r="R235" s="281"/>
      <c r="S235" s="281"/>
      <c r="T235" s="281"/>
      <c r="U235" s="281"/>
      <c r="V235" s="281"/>
      <c r="W235" s="281"/>
      <c r="X235" s="281"/>
      <c r="Y235" s="281"/>
      <c r="Z235" s="281"/>
      <c r="AA235" s="270"/>
      <c r="AB235" s="270"/>
      <c r="AC235" s="270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91">
        <v>4607111039361</v>
      </c>
      <c r="E236" s="292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2"/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303"/>
      <c r="P237" s="284" t="s">
        <v>87</v>
      </c>
      <c r="Q237" s="285"/>
      <c r="R237" s="285"/>
      <c r="S237" s="285"/>
      <c r="T237" s="285"/>
      <c r="U237" s="285"/>
      <c r="V237" s="286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1"/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303"/>
      <c r="P238" s="284" t="s">
        <v>87</v>
      </c>
      <c r="Q238" s="285"/>
      <c r="R238" s="285"/>
      <c r="S238" s="285"/>
      <c r="T238" s="285"/>
      <c r="U238" s="285"/>
      <c r="V238" s="286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23" t="s">
        <v>323</v>
      </c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48"/>
      <c r="AB239" s="48"/>
      <c r="AC239" s="48"/>
    </row>
    <row r="240" spans="1:68" ht="16.5" hidden="1" customHeight="1" x14ac:dyDescent="0.25">
      <c r="A240" s="294" t="s">
        <v>323</v>
      </c>
      <c r="B240" s="281"/>
      <c r="C240" s="281"/>
      <c r="D240" s="281"/>
      <c r="E240" s="281"/>
      <c r="F240" s="281"/>
      <c r="G240" s="281"/>
      <c r="H240" s="281"/>
      <c r="I240" s="281"/>
      <c r="J240" s="281"/>
      <c r="K240" s="281"/>
      <c r="L240" s="281"/>
      <c r="M240" s="281"/>
      <c r="N240" s="281"/>
      <c r="O240" s="281"/>
      <c r="P240" s="281"/>
      <c r="Q240" s="281"/>
      <c r="R240" s="281"/>
      <c r="S240" s="281"/>
      <c r="T240" s="281"/>
      <c r="U240" s="281"/>
      <c r="V240" s="281"/>
      <c r="W240" s="281"/>
      <c r="X240" s="281"/>
      <c r="Y240" s="281"/>
      <c r="Z240" s="281"/>
      <c r="AA240" s="271"/>
      <c r="AB240" s="271"/>
      <c r="AC240" s="271"/>
    </row>
    <row r="241" spans="1:68" ht="14.25" hidden="1" customHeight="1" x14ac:dyDescent="0.25">
      <c r="A241" s="280" t="s">
        <v>97</v>
      </c>
      <c r="B241" s="281"/>
      <c r="C241" s="281"/>
      <c r="D241" s="281"/>
      <c r="E241" s="281"/>
      <c r="F241" s="281"/>
      <c r="G241" s="281"/>
      <c r="H241" s="281"/>
      <c r="I241" s="281"/>
      <c r="J241" s="281"/>
      <c r="K241" s="281"/>
      <c r="L241" s="281"/>
      <c r="M241" s="281"/>
      <c r="N241" s="281"/>
      <c r="O241" s="281"/>
      <c r="P241" s="281"/>
      <c r="Q241" s="281"/>
      <c r="R241" s="281"/>
      <c r="S241" s="281"/>
      <c r="T241" s="281"/>
      <c r="U241" s="281"/>
      <c r="V241" s="281"/>
      <c r="W241" s="281"/>
      <c r="X241" s="281"/>
      <c r="Y241" s="281"/>
      <c r="Z241" s="281"/>
      <c r="AA241" s="270"/>
      <c r="AB241" s="270"/>
      <c r="AC241" s="270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91">
        <v>4640242181950</v>
      </c>
      <c r="E242" s="292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43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6"/>
      <c r="R242" s="296"/>
      <c r="S242" s="296"/>
      <c r="T242" s="29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02"/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303"/>
      <c r="P243" s="284" t="s">
        <v>87</v>
      </c>
      <c r="Q243" s="285"/>
      <c r="R243" s="285"/>
      <c r="S243" s="285"/>
      <c r="T243" s="285"/>
      <c r="U243" s="285"/>
      <c r="V243" s="286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81"/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303"/>
      <c r="P244" s="284" t="s">
        <v>87</v>
      </c>
      <c r="Q244" s="285"/>
      <c r="R244" s="285"/>
      <c r="S244" s="285"/>
      <c r="T244" s="285"/>
      <c r="U244" s="285"/>
      <c r="V244" s="286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280" t="s">
        <v>129</v>
      </c>
      <c r="B245" s="281"/>
      <c r="C245" s="281"/>
      <c r="D245" s="281"/>
      <c r="E245" s="281"/>
      <c r="F245" s="281"/>
      <c r="G245" s="281"/>
      <c r="H245" s="281"/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  <c r="S245" s="281"/>
      <c r="T245" s="281"/>
      <c r="U245" s="281"/>
      <c r="V245" s="281"/>
      <c r="W245" s="281"/>
      <c r="X245" s="281"/>
      <c r="Y245" s="281"/>
      <c r="Z245" s="281"/>
      <c r="AA245" s="270"/>
      <c r="AB245" s="270"/>
      <c r="AC245" s="270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91">
        <v>4640242181943</v>
      </c>
      <c r="E246" s="292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4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6"/>
      <c r="R246" s="296"/>
      <c r="S246" s="296"/>
      <c r="T246" s="29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02"/>
      <c r="B247" s="281"/>
      <c r="C247" s="281"/>
      <c r="D247" s="281"/>
      <c r="E247" s="281"/>
      <c r="F247" s="281"/>
      <c r="G247" s="281"/>
      <c r="H247" s="281"/>
      <c r="I247" s="281"/>
      <c r="J247" s="281"/>
      <c r="K247" s="281"/>
      <c r="L247" s="281"/>
      <c r="M247" s="281"/>
      <c r="N247" s="281"/>
      <c r="O247" s="303"/>
      <c r="P247" s="284" t="s">
        <v>87</v>
      </c>
      <c r="Q247" s="285"/>
      <c r="R247" s="285"/>
      <c r="S247" s="285"/>
      <c r="T247" s="285"/>
      <c r="U247" s="285"/>
      <c r="V247" s="286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1"/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303"/>
      <c r="P248" s="284" t="s">
        <v>87</v>
      </c>
      <c r="Q248" s="285"/>
      <c r="R248" s="285"/>
      <c r="S248" s="285"/>
      <c r="T248" s="285"/>
      <c r="U248" s="285"/>
      <c r="V248" s="286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23" t="s">
        <v>330</v>
      </c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48"/>
      <c r="AB249" s="48"/>
      <c r="AC249" s="48"/>
    </row>
    <row r="250" spans="1:68" ht="16.5" hidden="1" customHeight="1" x14ac:dyDescent="0.25">
      <c r="A250" s="294" t="s">
        <v>330</v>
      </c>
      <c r="B250" s="281"/>
      <c r="C250" s="281"/>
      <c r="D250" s="281"/>
      <c r="E250" s="281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  <c r="S250" s="281"/>
      <c r="T250" s="281"/>
      <c r="U250" s="281"/>
      <c r="V250" s="281"/>
      <c r="W250" s="281"/>
      <c r="X250" s="281"/>
      <c r="Y250" s="281"/>
      <c r="Z250" s="281"/>
      <c r="AA250" s="271"/>
      <c r="AB250" s="271"/>
      <c r="AC250" s="271"/>
    </row>
    <row r="251" spans="1:68" ht="14.25" hidden="1" customHeight="1" x14ac:dyDescent="0.25">
      <c r="A251" s="280" t="s">
        <v>62</v>
      </c>
      <c r="B251" s="281"/>
      <c r="C251" s="281"/>
      <c r="D251" s="281"/>
      <c r="E251" s="281"/>
      <c r="F251" s="281"/>
      <c r="G251" s="281"/>
      <c r="H251" s="281"/>
      <c r="I251" s="281"/>
      <c r="J251" s="281"/>
      <c r="K251" s="281"/>
      <c r="L251" s="281"/>
      <c r="M251" s="281"/>
      <c r="N251" s="281"/>
      <c r="O251" s="281"/>
      <c r="P251" s="281"/>
      <c r="Q251" s="281"/>
      <c r="R251" s="281"/>
      <c r="S251" s="281"/>
      <c r="T251" s="281"/>
      <c r="U251" s="281"/>
      <c r="V251" s="281"/>
      <c r="W251" s="281"/>
      <c r="X251" s="281"/>
      <c r="Y251" s="281"/>
      <c r="Z251" s="281"/>
      <c r="AA251" s="270"/>
      <c r="AB251" s="270"/>
      <c r="AC251" s="270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91">
        <v>4640242181264</v>
      </c>
      <c r="E252" s="292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46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6"/>
      <c r="R252" s="296"/>
      <c r="S252" s="296"/>
      <c r="T252" s="29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334</v>
      </c>
      <c r="B253" s="54" t="s">
        <v>335</v>
      </c>
      <c r="C253" s="31">
        <v>4301071141</v>
      </c>
      <c r="D253" s="291">
        <v>4620207491980</v>
      </c>
      <c r="E253" s="292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32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96"/>
      <c r="R253" s="296"/>
      <c r="S253" s="296"/>
      <c r="T253" s="297"/>
      <c r="U253" s="34"/>
      <c r="V253" s="34"/>
      <c r="W253" s="35" t="s">
        <v>68</v>
      </c>
      <c r="X253" s="276">
        <v>12</v>
      </c>
      <c r="Y253" s="277">
        <f>IFERROR(IF(X253="","",X253),"")</f>
        <v>12</v>
      </c>
      <c r="Z253" s="36">
        <f>IFERROR(IF(X253="","",X253*0.0155),"")</f>
        <v>0.186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87.36</v>
      </c>
      <c r="BN253" s="67">
        <f>IFERROR(Y253*I253,"0")</f>
        <v>87.36</v>
      </c>
      <c r="BO253" s="67">
        <f>IFERROR(X253/J253,"0")</f>
        <v>0.14285714285714285</v>
      </c>
      <c r="BP253" s="67">
        <f>IFERROR(Y253/J253,"0")</f>
        <v>0.14285714285714285</v>
      </c>
    </row>
    <row r="254" spans="1:68" x14ac:dyDescent="0.2">
      <c r="A254" s="302"/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303"/>
      <c r="P254" s="284" t="s">
        <v>87</v>
      </c>
      <c r="Q254" s="285"/>
      <c r="R254" s="285"/>
      <c r="S254" s="285"/>
      <c r="T254" s="285"/>
      <c r="U254" s="285"/>
      <c r="V254" s="286"/>
      <c r="W254" s="37" t="s">
        <v>68</v>
      </c>
      <c r="X254" s="278">
        <f>IFERROR(SUM(X252:X253),"0")</f>
        <v>12</v>
      </c>
      <c r="Y254" s="278">
        <f>IFERROR(SUM(Y252:Y253),"0")</f>
        <v>12</v>
      </c>
      <c r="Z254" s="278">
        <f>IFERROR(IF(Z252="",0,Z252),"0")+IFERROR(IF(Z253="",0,Z253),"0")</f>
        <v>0.186</v>
      </c>
      <c r="AA254" s="279"/>
      <c r="AB254" s="279"/>
      <c r="AC254" s="279"/>
    </row>
    <row r="255" spans="1:68" x14ac:dyDescent="0.2">
      <c r="A255" s="281"/>
      <c r="B255" s="281"/>
      <c r="C255" s="281"/>
      <c r="D255" s="281"/>
      <c r="E255" s="281"/>
      <c r="F255" s="281"/>
      <c r="G255" s="281"/>
      <c r="H255" s="281"/>
      <c r="I255" s="281"/>
      <c r="J255" s="281"/>
      <c r="K255" s="281"/>
      <c r="L255" s="281"/>
      <c r="M255" s="281"/>
      <c r="N255" s="281"/>
      <c r="O255" s="303"/>
      <c r="P255" s="284" t="s">
        <v>87</v>
      </c>
      <c r="Q255" s="285"/>
      <c r="R255" s="285"/>
      <c r="S255" s="285"/>
      <c r="T255" s="285"/>
      <c r="U255" s="285"/>
      <c r="V255" s="286"/>
      <c r="W255" s="37" t="s">
        <v>88</v>
      </c>
      <c r="X255" s="278">
        <f>IFERROR(SUMPRODUCT(X252:X253*H252:H253),"0")</f>
        <v>84</v>
      </c>
      <c r="Y255" s="278">
        <f>IFERROR(SUMPRODUCT(Y252:Y253*H252:H253),"0")</f>
        <v>84</v>
      </c>
      <c r="Z255" s="37"/>
      <c r="AA255" s="279"/>
      <c r="AB255" s="279"/>
      <c r="AC255" s="279"/>
    </row>
    <row r="256" spans="1:68" ht="14.25" hidden="1" customHeight="1" x14ac:dyDescent="0.25">
      <c r="A256" s="280" t="s">
        <v>97</v>
      </c>
      <c r="B256" s="281"/>
      <c r="C256" s="281"/>
      <c r="D256" s="281"/>
      <c r="E256" s="281"/>
      <c r="F256" s="281"/>
      <c r="G256" s="281"/>
      <c r="H256" s="281"/>
      <c r="I256" s="281"/>
      <c r="J256" s="281"/>
      <c r="K256" s="281"/>
      <c r="L256" s="281"/>
      <c r="M256" s="281"/>
      <c r="N256" s="281"/>
      <c r="O256" s="281"/>
      <c r="P256" s="281"/>
      <c r="Q256" s="281"/>
      <c r="R256" s="281"/>
      <c r="S256" s="281"/>
      <c r="T256" s="281"/>
      <c r="U256" s="281"/>
      <c r="V256" s="281"/>
      <c r="W256" s="281"/>
      <c r="X256" s="281"/>
      <c r="Y256" s="281"/>
      <c r="Z256" s="281"/>
      <c r="AA256" s="270"/>
      <c r="AB256" s="270"/>
      <c r="AC256" s="270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91">
        <v>4640242180397</v>
      </c>
      <c r="E257" s="292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37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6"/>
      <c r="R257" s="296"/>
      <c r="S257" s="296"/>
      <c r="T257" s="297"/>
      <c r="U257" s="34"/>
      <c r="V257" s="34"/>
      <c r="W257" s="35" t="s">
        <v>68</v>
      </c>
      <c r="X257" s="276">
        <v>36</v>
      </c>
      <c r="Y257" s="277">
        <f>IFERROR(IF(X257="","",X257),"")</f>
        <v>36</v>
      </c>
      <c r="Z257" s="36">
        <f>IFERROR(IF(X257="","",X257*0.0155),"")</f>
        <v>0.55800000000000005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225.35999999999999</v>
      </c>
      <c r="BN257" s="67">
        <f>IFERROR(Y257*I257,"0")</f>
        <v>225.35999999999999</v>
      </c>
      <c r="BO257" s="67">
        <f>IFERROR(X257/J257,"0")</f>
        <v>0.42857142857142855</v>
      </c>
      <c r="BP257" s="67">
        <f>IFERROR(Y257/J257,"0")</f>
        <v>0.42857142857142855</v>
      </c>
    </row>
    <row r="258" spans="1:68" x14ac:dyDescent="0.2">
      <c r="A258" s="302"/>
      <c r="B258" s="281"/>
      <c r="C258" s="281"/>
      <c r="D258" s="281"/>
      <c r="E258" s="281"/>
      <c r="F258" s="281"/>
      <c r="G258" s="281"/>
      <c r="H258" s="281"/>
      <c r="I258" s="281"/>
      <c r="J258" s="281"/>
      <c r="K258" s="281"/>
      <c r="L258" s="281"/>
      <c r="M258" s="281"/>
      <c r="N258" s="281"/>
      <c r="O258" s="303"/>
      <c r="P258" s="284" t="s">
        <v>87</v>
      </c>
      <c r="Q258" s="285"/>
      <c r="R258" s="285"/>
      <c r="S258" s="285"/>
      <c r="T258" s="285"/>
      <c r="U258" s="285"/>
      <c r="V258" s="286"/>
      <c r="W258" s="37" t="s">
        <v>68</v>
      </c>
      <c r="X258" s="278">
        <f>IFERROR(SUM(X257:X257),"0")</f>
        <v>36</v>
      </c>
      <c r="Y258" s="278">
        <f>IFERROR(SUM(Y257:Y257),"0")</f>
        <v>36</v>
      </c>
      <c r="Z258" s="278">
        <f>IFERROR(IF(Z257="",0,Z257),"0")</f>
        <v>0.55800000000000005</v>
      </c>
      <c r="AA258" s="279"/>
      <c r="AB258" s="279"/>
      <c r="AC258" s="279"/>
    </row>
    <row r="259" spans="1:68" x14ac:dyDescent="0.2">
      <c r="A259" s="281"/>
      <c r="B259" s="281"/>
      <c r="C259" s="281"/>
      <c r="D259" s="281"/>
      <c r="E259" s="281"/>
      <c r="F259" s="281"/>
      <c r="G259" s="281"/>
      <c r="H259" s="281"/>
      <c r="I259" s="281"/>
      <c r="J259" s="281"/>
      <c r="K259" s="281"/>
      <c r="L259" s="281"/>
      <c r="M259" s="281"/>
      <c r="N259" s="281"/>
      <c r="O259" s="303"/>
      <c r="P259" s="284" t="s">
        <v>87</v>
      </c>
      <c r="Q259" s="285"/>
      <c r="R259" s="285"/>
      <c r="S259" s="285"/>
      <c r="T259" s="285"/>
      <c r="U259" s="285"/>
      <c r="V259" s="286"/>
      <c r="W259" s="37" t="s">
        <v>88</v>
      </c>
      <c r="X259" s="278">
        <f>IFERROR(SUMPRODUCT(X257:X257*H257:H257),"0")</f>
        <v>216</v>
      </c>
      <c r="Y259" s="278">
        <f>IFERROR(SUMPRODUCT(Y257:Y257*H257:H257),"0")</f>
        <v>216</v>
      </c>
      <c r="Z259" s="37"/>
      <c r="AA259" s="279"/>
      <c r="AB259" s="279"/>
      <c r="AC259" s="279"/>
    </row>
    <row r="260" spans="1:68" ht="14.25" hidden="1" customHeight="1" x14ac:dyDescent="0.25">
      <c r="A260" s="280" t="s">
        <v>129</v>
      </c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1"/>
      <c r="Q260" s="281"/>
      <c r="R260" s="281"/>
      <c r="S260" s="281"/>
      <c r="T260" s="281"/>
      <c r="U260" s="281"/>
      <c r="V260" s="281"/>
      <c r="W260" s="281"/>
      <c r="X260" s="281"/>
      <c r="Y260" s="281"/>
      <c r="Z260" s="281"/>
      <c r="AA260" s="270"/>
      <c r="AB260" s="270"/>
      <c r="AC260" s="270"/>
    </row>
    <row r="261" spans="1:68" ht="27" hidden="1" customHeight="1" x14ac:dyDescent="0.25">
      <c r="A261" s="54" t="s">
        <v>340</v>
      </c>
      <c r="B261" s="54" t="s">
        <v>341</v>
      </c>
      <c r="C261" s="31">
        <v>4301136051</v>
      </c>
      <c r="D261" s="291">
        <v>4640242180304</v>
      </c>
      <c r="E261" s="292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7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6"/>
      <c r="R261" s="296"/>
      <c r="S261" s="296"/>
      <c r="T261" s="297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91">
        <v>4640242180236</v>
      </c>
      <c r="E262" s="292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3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6"/>
      <c r="R262" s="296"/>
      <c r="S262" s="296"/>
      <c r="T262" s="297"/>
      <c r="U262" s="34"/>
      <c r="V262" s="34"/>
      <c r="W262" s="35" t="s">
        <v>68</v>
      </c>
      <c r="X262" s="276">
        <v>252</v>
      </c>
      <c r="Y262" s="277">
        <f>IFERROR(IF(X262="","",X262),"")</f>
        <v>252</v>
      </c>
      <c r="Z262" s="36">
        <f>IFERROR(IF(X262="","",X262*0.0155),"")</f>
        <v>3.9060000000000001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1319.22</v>
      </c>
      <c r="BN262" s="67">
        <f>IFERROR(Y262*I262,"0")</f>
        <v>1319.22</v>
      </c>
      <c r="BO262" s="67">
        <f>IFERROR(X262/J262,"0")</f>
        <v>3</v>
      </c>
      <c r="BP262" s="67">
        <f>IFERROR(Y262/J262,"0")</f>
        <v>3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91">
        <v>4640242180410</v>
      </c>
      <c r="E263" s="292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6"/>
      <c r="R263" s="296"/>
      <c r="S263" s="296"/>
      <c r="T263" s="29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302"/>
      <c r="B264" s="281"/>
      <c r="C264" s="281"/>
      <c r="D264" s="281"/>
      <c r="E264" s="281"/>
      <c r="F264" s="281"/>
      <c r="G264" s="281"/>
      <c r="H264" s="281"/>
      <c r="I264" s="281"/>
      <c r="J264" s="281"/>
      <c r="K264" s="281"/>
      <c r="L264" s="281"/>
      <c r="M264" s="281"/>
      <c r="N264" s="281"/>
      <c r="O264" s="303"/>
      <c r="P264" s="284" t="s">
        <v>87</v>
      </c>
      <c r="Q264" s="285"/>
      <c r="R264" s="285"/>
      <c r="S264" s="285"/>
      <c r="T264" s="285"/>
      <c r="U264" s="285"/>
      <c r="V264" s="286"/>
      <c r="W264" s="37" t="s">
        <v>68</v>
      </c>
      <c r="X264" s="278">
        <f>IFERROR(SUM(X261:X263),"0")</f>
        <v>252</v>
      </c>
      <c r="Y264" s="278">
        <f>IFERROR(SUM(Y261:Y263),"0")</f>
        <v>252</v>
      </c>
      <c r="Z264" s="278">
        <f>IFERROR(IF(Z261="",0,Z261),"0")+IFERROR(IF(Z262="",0,Z262),"0")+IFERROR(IF(Z263="",0,Z263),"0")</f>
        <v>3.9060000000000001</v>
      </c>
      <c r="AA264" s="279"/>
      <c r="AB264" s="279"/>
      <c r="AC264" s="279"/>
    </row>
    <row r="265" spans="1:68" x14ac:dyDescent="0.2">
      <c r="A265" s="281"/>
      <c r="B265" s="281"/>
      <c r="C265" s="281"/>
      <c r="D265" s="281"/>
      <c r="E265" s="281"/>
      <c r="F265" s="281"/>
      <c r="G265" s="281"/>
      <c r="H265" s="281"/>
      <c r="I265" s="281"/>
      <c r="J265" s="281"/>
      <c r="K265" s="281"/>
      <c r="L265" s="281"/>
      <c r="M265" s="281"/>
      <c r="N265" s="281"/>
      <c r="O265" s="303"/>
      <c r="P265" s="284" t="s">
        <v>87</v>
      </c>
      <c r="Q265" s="285"/>
      <c r="R265" s="285"/>
      <c r="S265" s="285"/>
      <c r="T265" s="285"/>
      <c r="U265" s="285"/>
      <c r="V265" s="286"/>
      <c r="W265" s="37" t="s">
        <v>88</v>
      </c>
      <c r="X265" s="278">
        <f>IFERROR(SUMPRODUCT(X261:X263*H261:H263),"0")</f>
        <v>1260</v>
      </c>
      <c r="Y265" s="278">
        <f>IFERROR(SUMPRODUCT(Y261:Y263*H261:H263),"0")</f>
        <v>1260</v>
      </c>
      <c r="Z265" s="37"/>
      <c r="AA265" s="279"/>
      <c r="AB265" s="279"/>
      <c r="AC265" s="279"/>
    </row>
    <row r="266" spans="1:68" ht="14.25" hidden="1" customHeight="1" x14ac:dyDescent="0.25">
      <c r="A266" s="280" t="s">
        <v>133</v>
      </c>
      <c r="B266" s="281"/>
      <c r="C266" s="281"/>
      <c r="D266" s="281"/>
      <c r="E266" s="281"/>
      <c r="F266" s="281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  <c r="S266" s="281"/>
      <c r="T266" s="281"/>
      <c r="U266" s="281"/>
      <c r="V266" s="281"/>
      <c r="W266" s="281"/>
      <c r="X266" s="281"/>
      <c r="Y266" s="281"/>
      <c r="Z266" s="281"/>
      <c r="AA266" s="270"/>
      <c r="AB266" s="270"/>
      <c r="AC266" s="270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91">
        <v>4640242181554</v>
      </c>
      <c r="E267" s="292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6"/>
      <c r="R267" s="296"/>
      <c r="S267" s="296"/>
      <c r="T267" s="29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350</v>
      </c>
      <c r="B268" s="54" t="s">
        <v>351</v>
      </c>
      <c r="C268" s="31">
        <v>4301137046</v>
      </c>
      <c r="D268" s="291">
        <v>4620207492093</v>
      </c>
      <c r="E268" s="292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454" t="s">
        <v>352</v>
      </c>
      <c r="Q268" s="296"/>
      <c r="R268" s="296"/>
      <c r="S268" s="296"/>
      <c r="T268" s="297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91">
        <v>4640242181424</v>
      </c>
      <c r="E269" s="292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35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6"/>
      <c r="R269" s="296"/>
      <c r="S269" s="296"/>
      <c r="T269" s="297"/>
      <c r="U269" s="34"/>
      <c r="V269" s="34"/>
      <c r="W269" s="35" t="s">
        <v>68</v>
      </c>
      <c r="X269" s="276">
        <v>60</v>
      </c>
      <c r="Y269" s="277">
        <f t="shared" si="18"/>
        <v>60</v>
      </c>
      <c r="Z269" s="36">
        <f>IFERROR(IF(X269="","",X269*0.0155),"")</f>
        <v>0.92999999999999994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344.1</v>
      </c>
      <c r="BN269" s="67">
        <f t="shared" si="20"/>
        <v>344.1</v>
      </c>
      <c r="BO269" s="67">
        <f t="shared" si="21"/>
        <v>0.7142857142857143</v>
      </c>
      <c r="BP269" s="67">
        <f t="shared" si="22"/>
        <v>0.7142857142857143</v>
      </c>
    </row>
    <row r="270" spans="1:68" ht="27" hidden="1" customHeight="1" x14ac:dyDescent="0.25">
      <c r="A270" s="54" t="s">
        <v>356</v>
      </c>
      <c r="B270" s="54" t="s">
        <v>357</v>
      </c>
      <c r="C270" s="31">
        <v>4301135405</v>
      </c>
      <c r="D270" s="291">
        <v>4640242181523</v>
      </c>
      <c r="E270" s="292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3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6"/>
      <c r="R270" s="296"/>
      <c r="S270" s="296"/>
      <c r="T270" s="297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 t="shared" ref="Z270:Z276" si="23">IFERROR(IF(X270="","",X270*0.00936),"")</f>
        <v>0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359</v>
      </c>
      <c r="B271" s="54" t="s">
        <v>360</v>
      </c>
      <c r="C271" s="31">
        <v>4301135375</v>
      </c>
      <c r="D271" s="291">
        <v>4640242181486</v>
      </c>
      <c r="E271" s="292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6"/>
      <c r="R271" s="296"/>
      <c r="S271" s="296"/>
      <c r="T271" s="297"/>
      <c r="U271" s="34"/>
      <c r="V271" s="34"/>
      <c r="W271" s="35" t="s">
        <v>68</v>
      </c>
      <c r="X271" s="276">
        <v>56</v>
      </c>
      <c r="Y271" s="277">
        <f t="shared" si="18"/>
        <v>56</v>
      </c>
      <c r="Z271" s="36">
        <f t="shared" si="23"/>
        <v>0.52415999999999996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217.952</v>
      </c>
      <c r="BN271" s="67">
        <f t="shared" si="20"/>
        <v>217.952</v>
      </c>
      <c r="BO271" s="67">
        <f t="shared" si="21"/>
        <v>0.44444444444444442</v>
      </c>
      <c r="BP271" s="67">
        <f t="shared" si="22"/>
        <v>0.44444444444444442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91">
        <v>4640242181493</v>
      </c>
      <c r="E272" s="292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4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6"/>
      <c r="R272" s="296"/>
      <c r="S272" s="296"/>
      <c r="T272" s="29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91">
        <v>4640242181509</v>
      </c>
      <c r="E273" s="292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45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6"/>
      <c r="R273" s="296"/>
      <c r="S273" s="296"/>
      <c r="T273" s="29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91">
        <v>4640242181240</v>
      </c>
      <c r="E274" s="292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37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6"/>
      <c r="R274" s="296"/>
      <c r="S274" s="296"/>
      <c r="T274" s="29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91">
        <v>4640242181318</v>
      </c>
      <c r="E275" s="292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6"/>
      <c r="R275" s="296"/>
      <c r="S275" s="296"/>
      <c r="T275" s="29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91">
        <v>4620207491935</v>
      </c>
      <c r="E276" s="292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34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6"/>
      <c r="R276" s="296"/>
      <c r="S276" s="296"/>
      <c r="T276" s="29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302"/>
      <c r="B277" s="281"/>
      <c r="C277" s="281"/>
      <c r="D277" s="281"/>
      <c r="E277" s="281"/>
      <c r="F277" s="281"/>
      <c r="G277" s="281"/>
      <c r="H277" s="281"/>
      <c r="I277" s="281"/>
      <c r="J277" s="281"/>
      <c r="K277" s="281"/>
      <c r="L277" s="281"/>
      <c r="M277" s="281"/>
      <c r="N277" s="281"/>
      <c r="O277" s="303"/>
      <c r="P277" s="284" t="s">
        <v>87</v>
      </c>
      <c r="Q277" s="285"/>
      <c r="R277" s="285"/>
      <c r="S277" s="285"/>
      <c r="T277" s="285"/>
      <c r="U277" s="285"/>
      <c r="V277" s="286"/>
      <c r="W277" s="37" t="s">
        <v>68</v>
      </c>
      <c r="X277" s="278">
        <f>IFERROR(SUM(X267:X276),"0")</f>
        <v>116</v>
      </c>
      <c r="Y277" s="278">
        <f>IFERROR(SUM(Y267:Y276),"0")</f>
        <v>116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1.4541599999999999</v>
      </c>
      <c r="AA277" s="279"/>
      <c r="AB277" s="279"/>
      <c r="AC277" s="279"/>
    </row>
    <row r="278" spans="1:68" x14ac:dyDescent="0.2">
      <c r="A278" s="281"/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281"/>
      <c r="M278" s="281"/>
      <c r="N278" s="281"/>
      <c r="O278" s="303"/>
      <c r="P278" s="284" t="s">
        <v>87</v>
      </c>
      <c r="Q278" s="285"/>
      <c r="R278" s="285"/>
      <c r="S278" s="285"/>
      <c r="T278" s="285"/>
      <c r="U278" s="285"/>
      <c r="V278" s="286"/>
      <c r="W278" s="37" t="s">
        <v>88</v>
      </c>
      <c r="X278" s="278">
        <f>IFERROR(SUMPRODUCT(X267:X276*H267:H276),"0")</f>
        <v>537.20000000000005</v>
      </c>
      <c r="Y278" s="278">
        <f>IFERROR(SUMPRODUCT(Y267:Y276*H267:H276),"0")</f>
        <v>537.20000000000005</v>
      </c>
      <c r="Z278" s="37"/>
      <c r="AA278" s="279"/>
      <c r="AB278" s="279"/>
      <c r="AC278" s="279"/>
    </row>
    <row r="279" spans="1:68" ht="15" customHeight="1" x14ac:dyDescent="0.2">
      <c r="A279" s="391"/>
      <c r="B279" s="281"/>
      <c r="C279" s="281"/>
      <c r="D279" s="281"/>
      <c r="E279" s="281"/>
      <c r="F279" s="281"/>
      <c r="G279" s="281"/>
      <c r="H279" s="281"/>
      <c r="I279" s="281"/>
      <c r="J279" s="281"/>
      <c r="K279" s="281"/>
      <c r="L279" s="281"/>
      <c r="M279" s="281"/>
      <c r="N279" s="281"/>
      <c r="O279" s="390"/>
      <c r="P279" s="288" t="s">
        <v>372</v>
      </c>
      <c r="Q279" s="289"/>
      <c r="R279" s="289"/>
      <c r="S279" s="289"/>
      <c r="T279" s="289"/>
      <c r="U279" s="289"/>
      <c r="V279" s="290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9550.6400000000012</v>
      </c>
      <c r="Y279" s="278">
        <f>IFERROR(Y31+Y37+Y44+Y50+Y58+Y63+Y67+Y73+Y79+Y84+Y90+Y100+Y106+Y117+Y121+Y125+Y133+Y139+Y145+Y152+Y158+Y163+Y168+Y173+Y180+Y185+Y194+Y200+Y206+Y212+Y217+Y222+Y228+Y234+Y238+Y244+Y248+Y255+Y259+Y265+Y278,"0")</f>
        <v>9550.6400000000012</v>
      </c>
      <c r="Z279" s="37"/>
      <c r="AA279" s="279"/>
      <c r="AB279" s="279"/>
      <c r="AC279" s="279"/>
    </row>
    <row r="280" spans="1:68" x14ac:dyDescent="0.2">
      <c r="A280" s="281"/>
      <c r="B280" s="281"/>
      <c r="C280" s="281"/>
      <c r="D280" s="281"/>
      <c r="E280" s="281"/>
      <c r="F280" s="281"/>
      <c r="G280" s="281"/>
      <c r="H280" s="281"/>
      <c r="I280" s="281"/>
      <c r="J280" s="281"/>
      <c r="K280" s="281"/>
      <c r="L280" s="281"/>
      <c r="M280" s="281"/>
      <c r="N280" s="281"/>
      <c r="O280" s="390"/>
      <c r="P280" s="288" t="s">
        <v>373</v>
      </c>
      <c r="Q280" s="289"/>
      <c r="R280" s="289"/>
      <c r="S280" s="289"/>
      <c r="T280" s="289"/>
      <c r="U280" s="289"/>
      <c r="V280" s="290"/>
      <c r="W280" s="37" t="s">
        <v>88</v>
      </c>
      <c r="X280" s="278">
        <f>IFERROR(SUM(BM22:BM276),"0")</f>
        <v>10662.222400000001</v>
      </c>
      <c r="Y280" s="278">
        <f>IFERROR(SUM(BN22:BN276),"0")</f>
        <v>10662.222400000001</v>
      </c>
      <c r="Z280" s="37"/>
      <c r="AA280" s="279"/>
      <c r="AB280" s="279"/>
      <c r="AC280" s="279"/>
    </row>
    <row r="281" spans="1:68" x14ac:dyDescent="0.2">
      <c r="A281" s="281"/>
      <c r="B281" s="281"/>
      <c r="C281" s="281"/>
      <c r="D281" s="281"/>
      <c r="E281" s="281"/>
      <c r="F281" s="281"/>
      <c r="G281" s="281"/>
      <c r="H281" s="281"/>
      <c r="I281" s="281"/>
      <c r="J281" s="281"/>
      <c r="K281" s="281"/>
      <c r="L281" s="281"/>
      <c r="M281" s="281"/>
      <c r="N281" s="281"/>
      <c r="O281" s="390"/>
      <c r="P281" s="288" t="s">
        <v>374</v>
      </c>
      <c r="Q281" s="289"/>
      <c r="R281" s="289"/>
      <c r="S281" s="289"/>
      <c r="T281" s="289"/>
      <c r="U281" s="289"/>
      <c r="V281" s="290"/>
      <c r="W281" s="37" t="s">
        <v>375</v>
      </c>
      <c r="X281" s="38">
        <f>ROUNDUP(SUM(BO22:BO276),0)</f>
        <v>31</v>
      </c>
      <c r="Y281" s="38">
        <f>ROUNDUP(SUM(BP22:BP276),0)</f>
        <v>31</v>
      </c>
      <c r="Z281" s="37"/>
      <c r="AA281" s="279"/>
      <c r="AB281" s="279"/>
      <c r="AC281" s="279"/>
    </row>
    <row r="282" spans="1:68" x14ac:dyDescent="0.2">
      <c r="A282" s="281"/>
      <c r="B282" s="281"/>
      <c r="C282" s="281"/>
      <c r="D282" s="281"/>
      <c r="E282" s="281"/>
      <c r="F282" s="281"/>
      <c r="G282" s="281"/>
      <c r="H282" s="281"/>
      <c r="I282" s="281"/>
      <c r="J282" s="281"/>
      <c r="K282" s="281"/>
      <c r="L282" s="281"/>
      <c r="M282" s="281"/>
      <c r="N282" s="281"/>
      <c r="O282" s="390"/>
      <c r="P282" s="288" t="s">
        <v>376</v>
      </c>
      <c r="Q282" s="289"/>
      <c r="R282" s="289"/>
      <c r="S282" s="289"/>
      <c r="T282" s="289"/>
      <c r="U282" s="289"/>
      <c r="V282" s="290"/>
      <c r="W282" s="37" t="s">
        <v>88</v>
      </c>
      <c r="X282" s="278">
        <f>GrossWeightTotal+PalletQtyTotal*25</f>
        <v>11437.222400000001</v>
      </c>
      <c r="Y282" s="278">
        <f>GrossWeightTotalR+PalletQtyTotalR*25</f>
        <v>11437.222400000001</v>
      </c>
      <c r="Z282" s="37"/>
      <c r="AA282" s="279"/>
      <c r="AB282" s="279"/>
      <c r="AC282" s="279"/>
    </row>
    <row r="283" spans="1:68" x14ac:dyDescent="0.2">
      <c r="A283" s="281"/>
      <c r="B283" s="281"/>
      <c r="C283" s="281"/>
      <c r="D283" s="281"/>
      <c r="E283" s="281"/>
      <c r="F283" s="281"/>
      <c r="G283" s="281"/>
      <c r="H283" s="281"/>
      <c r="I283" s="281"/>
      <c r="J283" s="281"/>
      <c r="K283" s="281"/>
      <c r="L283" s="281"/>
      <c r="M283" s="281"/>
      <c r="N283" s="281"/>
      <c r="O283" s="390"/>
      <c r="P283" s="288" t="s">
        <v>377</v>
      </c>
      <c r="Q283" s="289"/>
      <c r="R283" s="289"/>
      <c r="S283" s="289"/>
      <c r="T283" s="289"/>
      <c r="U283" s="289"/>
      <c r="V283" s="290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2592</v>
      </c>
      <c r="Y283" s="278">
        <f>IFERROR(Y30+Y36+Y43+Y49+Y57+Y62+Y66+Y72+Y78+Y83+Y89+Y99+Y105+Y116+Y120+Y124+Y132+Y138+Y144+Y151+Y157+Y162+Y167+Y172+Y179+Y184+Y193+Y199+Y205+Y211+Y216+Y221+Y227+Y233+Y237+Y243+Y247+Y254+Y258+Y264+Y277,"0")</f>
        <v>2592</v>
      </c>
      <c r="Z283" s="37"/>
      <c r="AA283" s="279"/>
      <c r="AB283" s="279"/>
      <c r="AC283" s="279"/>
    </row>
    <row r="284" spans="1:68" ht="14.25" hidden="1" customHeight="1" x14ac:dyDescent="0.2">
      <c r="A284" s="281"/>
      <c r="B284" s="281"/>
      <c r="C284" s="281"/>
      <c r="D284" s="281"/>
      <c r="E284" s="281"/>
      <c r="F284" s="281"/>
      <c r="G284" s="281"/>
      <c r="H284" s="281"/>
      <c r="I284" s="281"/>
      <c r="J284" s="281"/>
      <c r="K284" s="281"/>
      <c r="L284" s="281"/>
      <c r="M284" s="281"/>
      <c r="N284" s="281"/>
      <c r="O284" s="390"/>
      <c r="P284" s="288" t="s">
        <v>378</v>
      </c>
      <c r="Q284" s="289"/>
      <c r="R284" s="289"/>
      <c r="S284" s="289"/>
      <c r="T284" s="289"/>
      <c r="U284" s="289"/>
      <c r="V284" s="290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38.943640000000002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82" t="s">
        <v>61</v>
      </c>
      <c r="C286" s="283"/>
      <c r="D286" s="282" t="s">
        <v>95</v>
      </c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283"/>
      <c r="V286" s="282" t="s">
        <v>256</v>
      </c>
      <c r="W286" s="283"/>
      <c r="X286" s="268" t="s">
        <v>267</v>
      </c>
      <c r="Y286" s="282" t="s">
        <v>281</v>
      </c>
      <c r="Z286" s="347"/>
      <c r="AA286" s="347"/>
      <c r="AB286" s="283"/>
      <c r="AC286" s="268" t="s">
        <v>310</v>
      </c>
      <c r="AD286" s="268" t="s">
        <v>315</v>
      </c>
      <c r="AE286" s="268" t="s">
        <v>323</v>
      </c>
      <c r="AF286" s="268" t="s">
        <v>330</v>
      </c>
    </row>
    <row r="287" spans="1:68" ht="14.25" customHeight="1" thickTop="1" x14ac:dyDescent="0.2">
      <c r="A287" s="461" t="s">
        <v>381</v>
      </c>
      <c r="B287" s="282" t="s">
        <v>61</v>
      </c>
      <c r="C287" s="282" t="s">
        <v>89</v>
      </c>
      <c r="D287" s="282" t="s">
        <v>96</v>
      </c>
      <c r="E287" s="282" t="s">
        <v>107</v>
      </c>
      <c r="F287" s="282" t="s">
        <v>114</v>
      </c>
      <c r="G287" s="282" t="s">
        <v>125</v>
      </c>
      <c r="H287" s="282" t="s">
        <v>141</v>
      </c>
      <c r="I287" s="282" t="s">
        <v>148</v>
      </c>
      <c r="J287" s="282" t="s">
        <v>152</v>
      </c>
      <c r="K287" s="282" t="s">
        <v>160</v>
      </c>
      <c r="L287" s="282" t="s">
        <v>175</v>
      </c>
      <c r="M287" s="282" t="s">
        <v>181</v>
      </c>
      <c r="N287" s="269"/>
      <c r="O287" s="282" t="s">
        <v>206</v>
      </c>
      <c r="P287" s="282" t="s">
        <v>224</v>
      </c>
      <c r="Q287" s="282" t="s">
        <v>230</v>
      </c>
      <c r="R287" s="282" t="s">
        <v>239</v>
      </c>
      <c r="S287" s="282" t="s">
        <v>245</v>
      </c>
      <c r="T287" s="282" t="s">
        <v>249</v>
      </c>
      <c r="U287" s="282" t="s">
        <v>252</v>
      </c>
      <c r="V287" s="282" t="s">
        <v>257</v>
      </c>
      <c r="W287" s="282" t="s">
        <v>264</v>
      </c>
      <c r="X287" s="282" t="s">
        <v>268</v>
      </c>
      <c r="Y287" s="282" t="s">
        <v>282</v>
      </c>
      <c r="Z287" s="282" t="s">
        <v>295</v>
      </c>
      <c r="AA287" s="282" t="s">
        <v>302</v>
      </c>
      <c r="AB287" s="282" t="s">
        <v>306</v>
      </c>
      <c r="AC287" s="282" t="s">
        <v>311</v>
      </c>
      <c r="AD287" s="282" t="s">
        <v>316</v>
      </c>
      <c r="AE287" s="282" t="s">
        <v>323</v>
      </c>
      <c r="AF287" s="282" t="s">
        <v>330</v>
      </c>
    </row>
    <row r="288" spans="1:68" ht="13.5" customHeight="1" thickBot="1" x14ac:dyDescent="0.25">
      <c r="A288" s="462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69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287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163.20000000000002</v>
      </c>
      <c r="C289" s="46">
        <f>IFERROR(X34*H34,"0")+IFERROR(X35*H35,"0")</f>
        <v>0</v>
      </c>
      <c r="D289" s="46">
        <f>IFERROR(X41*H41,"0")+IFERROR(X42*H42,"0")</f>
        <v>420</v>
      </c>
      <c r="E289" s="46">
        <f>IFERROR(X47*H47,"0")+IFERROR(X48*H48,"0")</f>
        <v>67.199999999999989</v>
      </c>
      <c r="F289" s="46">
        <f>IFERROR(X53*H53,"0")+IFERROR(X54*H54,"0")+IFERROR(X55*H55,"0")+IFERROR(X56*H56,"0")</f>
        <v>336</v>
      </c>
      <c r="G289" s="46">
        <f>IFERROR(X61*H61,"0")+IFERROR(X65*H65,"0")+IFERROR(X69*H69,"0")+IFERROR(X70*H70,"0")+IFERROR(X71*H71,"0")</f>
        <v>0</v>
      </c>
      <c r="H289" s="46">
        <f>IFERROR(X76*H76,"0")+IFERROR(X77*H77,"0")</f>
        <v>0</v>
      </c>
      <c r="I289" s="46">
        <f>IFERROR(X82*H82,"0")</f>
        <v>0</v>
      </c>
      <c r="J289" s="46">
        <f>IFERROR(X87*H87,"0")+IFERROR(X88*H88,"0")</f>
        <v>352.8</v>
      </c>
      <c r="K289" s="46">
        <f>IFERROR(X93*H93,"0")+IFERROR(X94*H94,"0")+IFERROR(X95*H95,"0")+IFERROR(X96*H96,"0")+IFERROR(X97*H97,"0")+IFERROR(X98*H98,"0")</f>
        <v>977.76</v>
      </c>
      <c r="L289" s="46">
        <f>IFERROR(X103*H103,"0")+IFERROR(X104*H104,"0")</f>
        <v>60.480000000000004</v>
      </c>
      <c r="M289" s="46">
        <f>IFERROR(X109*H109,"0")+IFERROR(X110*H110,"0")+IFERROR(X111*H111,"0")+IFERROR(X112*H112,"0")+IFERROR(X113*H113,"0")+IFERROR(X114*H114,"0")+IFERROR(X115*H115,"0")+IFERROR(X119*H119,"0")+IFERROR(X123*H123,"0")</f>
        <v>1023.3600000000001</v>
      </c>
      <c r="N289" s="269"/>
      <c r="O289" s="46">
        <f>IFERROR(X128*H128,"0")+IFERROR(X129*H129,"0")+IFERROR(X130*H130,"0")+IFERROR(X131*H131,"0")+IFERROR(X135*H135,"0")+IFERROR(X136*H136,"0")+IFERROR(X137*H137,"0")</f>
        <v>267.95999999999998</v>
      </c>
      <c r="P289" s="46">
        <f>IFERROR(X142*H142,"0")+IFERROR(X143*H143,"0")</f>
        <v>840</v>
      </c>
      <c r="Q289" s="46">
        <f>IFERROR(X148*H148,"0")+IFERROR(X149*H149,"0")+IFERROR(X150*H150,"0")</f>
        <v>168</v>
      </c>
      <c r="R289" s="46">
        <f>IFERROR(X155*H155,"0")+IFERROR(X156*H156,"0")</f>
        <v>201.6</v>
      </c>
      <c r="S289" s="46">
        <f>IFERROR(X161*H161,"0")</f>
        <v>42</v>
      </c>
      <c r="T289" s="46">
        <f>IFERROR(X166*H166,"0")</f>
        <v>37.800000000000004</v>
      </c>
      <c r="U289" s="46">
        <f>IFERROR(X171*H171,"0")</f>
        <v>0</v>
      </c>
      <c r="V289" s="46">
        <f>IFERROR(X177*H177,"0")+IFERROR(X178*H178,"0")</f>
        <v>120</v>
      </c>
      <c r="W289" s="46">
        <f>IFERROR(X183*H183,"0")</f>
        <v>1320</v>
      </c>
      <c r="X289" s="46">
        <f>IFERROR(X189*H189,"0")+IFERROR(X190*H190,"0")+IFERROR(X191*H191,"0")+IFERROR(X192*H192,"0")</f>
        <v>378</v>
      </c>
      <c r="Y289" s="46">
        <f>IFERROR(X198*H198,"0")+IFERROR(X202*H202,"0")+IFERROR(X203*H203,"0")+IFERROR(X204*H204,"0")</f>
        <v>77.28</v>
      </c>
      <c r="Z289" s="46">
        <f>IFERROR(X209*H209,"0")+IFERROR(X210*H210,"0")</f>
        <v>0</v>
      </c>
      <c r="AA289" s="46">
        <f>IFERROR(X215*H215,"0")</f>
        <v>600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2097.1999999999998</v>
      </c>
    </row>
    <row r="290" spans="1:32" ht="13.5" customHeight="1" thickTop="1" x14ac:dyDescent="0.2">
      <c r="C290" s="269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3676.8</v>
      </c>
      <c r="B292" s="60">
        <f>SUMPRODUCT(--(BB:BB="ПГП"),--(W:W="кор"),H:H,Y:Y)+SUMPRODUCT(--(BB:BB="ПГП"),--(W:W="кг"),Y:Y)</f>
        <v>5873.84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320,00"/>
        <filter val="10 662,22"/>
        <filter val="11 437,22"/>
        <filter val="116,00"/>
        <filter val="12,00"/>
        <filter val="120,00"/>
        <filter val="126,00"/>
        <filter val="14,00"/>
        <filter val="144,00"/>
        <filter val="163,20"/>
        <filter val="168,00"/>
        <filter val="196,00"/>
        <filter val="2 592,00"/>
        <filter val="201,60"/>
        <filter val="210,00"/>
        <filter val="216,00"/>
        <filter val="24,00"/>
        <filter val="252,00"/>
        <filter val="264,00"/>
        <filter val="267,96"/>
        <filter val="28,00"/>
        <filter val="280,00"/>
        <filter val="31"/>
        <filter val="322,00"/>
        <filter val="336,00"/>
        <filter val="352,80"/>
        <filter val="36,00"/>
        <filter val="36,96"/>
        <filter val="37,80"/>
        <filter val="378,00"/>
        <filter val="42,00"/>
        <filter val="420,00"/>
        <filter val="48,00"/>
        <filter val="537,20"/>
        <filter val="56,00"/>
        <filter val="60,00"/>
        <filter val="60,48"/>
        <filter val="600,00"/>
        <filter val="67,20"/>
        <filter val="70,00"/>
        <filter val="77,28"/>
        <filter val="84,00"/>
        <filter val="840,00"/>
        <filter val="9 550,64"/>
        <filter val="977,76"/>
        <filter val="98,00"/>
        <filter val="986,40"/>
      </filters>
    </filterColumn>
    <filterColumn colId="29" showButton="0"/>
    <filterColumn colId="30" showButton="0"/>
  </autoFilter>
  <mergeCells count="507">
    <mergeCell ref="P259:V259"/>
    <mergeCell ref="P155:T155"/>
    <mergeCell ref="D70:E70"/>
    <mergeCell ref="P220:T220"/>
    <mergeCell ref="D263:E263"/>
    <mergeCell ref="A216:O217"/>
    <mergeCell ref="A80:Z80"/>
    <mergeCell ref="V10:W10"/>
    <mergeCell ref="A197:Z197"/>
    <mergeCell ref="D189:E189"/>
    <mergeCell ref="D253:E253"/>
    <mergeCell ref="D53:E53"/>
    <mergeCell ref="D47:E47"/>
    <mergeCell ref="P209:T209"/>
    <mergeCell ref="A68:Z68"/>
    <mergeCell ref="A14:M14"/>
    <mergeCell ref="D109:E109"/>
    <mergeCell ref="A258:O259"/>
    <mergeCell ref="A249:Z249"/>
    <mergeCell ref="R1:T1"/>
    <mergeCell ref="K287:K288"/>
    <mergeCell ref="D71:E71"/>
    <mergeCell ref="P150:T150"/>
    <mergeCell ref="P28:T28"/>
    <mergeCell ref="P215:T215"/>
    <mergeCell ref="A89:O9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P252:T252"/>
    <mergeCell ref="P56:T56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P279:V279"/>
    <mergeCell ref="P273:T273"/>
    <mergeCell ref="D272:E272"/>
    <mergeCell ref="D274:E274"/>
    <mergeCell ref="P268:T268"/>
    <mergeCell ref="F287:F288"/>
    <mergeCell ref="H287:H288"/>
    <mergeCell ref="P49:V49"/>
    <mergeCell ref="P36:V36"/>
    <mergeCell ref="A32:Z32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87:E87"/>
    <mergeCell ref="P166:T166"/>
    <mergeCell ref="D209:E209"/>
    <mergeCell ref="A162:O163"/>
    <mergeCell ref="A233:O234"/>
    <mergeCell ref="P103:T103"/>
    <mergeCell ref="A227:O228"/>
    <mergeCell ref="P97:T97"/>
    <mergeCell ref="H9:I9"/>
    <mergeCell ref="P211:V211"/>
    <mergeCell ref="H1:Q1"/>
    <mergeCell ref="P280:V280"/>
    <mergeCell ref="P222:V222"/>
    <mergeCell ref="P193:V193"/>
    <mergeCell ref="A74:Z74"/>
    <mergeCell ref="A66:O67"/>
    <mergeCell ref="A237:O238"/>
    <mergeCell ref="D28:E28"/>
    <mergeCell ref="A101:Z101"/>
    <mergeCell ref="D236:E236"/>
    <mergeCell ref="A179:O180"/>
    <mergeCell ref="P171:T171"/>
    <mergeCell ref="D55:E55"/>
    <mergeCell ref="P242:T242"/>
    <mergeCell ref="D5:E5"/>
    <mergeCell ref="A140:Z140"/>
    <mergeCell ref="P42:T42"/>
    <mergeCell ref="D94:E94"/>
    <mergeCell ref="D69:E69"/>
    <mergeCell ref="P148:T148"/>
    <mergeCell ref="P162:V162"/>
    <mergeCell ref="P106:V106"/>
    <mergeCell ref="P264:V264"/>
    <mergeCell ref="A45:Z45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P17:T18"/>
    <mergeCell ref="A229:Z229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P278:V278"/>
    <mergeCell ref="D24:E24"/>
    <mergeCell ref="A159:Z159"/>
    <mergeCell ref="A219:Z219"/>
    <mergeCell ref="Q11:R11"/>
    <mergeCell ref="A6:C6"/>
    <mergeCell ref="D113:E113"/>
    <mergeCell ref="AA287:AA288"/>
    <mergeCell ref="D88:E88"/>
    <mergeCell ref="P142:T142"/>
    <mergeCell ref="D26:E26"/>
    <mergeCell ref="D148:E148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19:Z19"/>
    <mergeCell ref="AC287:AC288"/>
    <mergeCell ref="P55:T55"/>
    <mergeCell ref="D115:E115"/>
    <mergeCell ref="Q12:R12"/>
    <mergeCell ref="D261:E261"/>
    <mergeCell ref="P119:T119"/>
    <mergeCell ref="A43:O44"/>
    <mergeCell ref="P246:T246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D93:E93"/>
    <mergeCell ref="A277:O278"/>
    <mergeCell ref="P72:V72"/>
    <mergeCell ref="A5:C5"/>
    <mergeCell ref="A187:Z187"/>
    <mergeCell ref="A174:Z174"/>
    <mergeCell ref="A108:Z108"/>
    <mergeCell ref="D166:E166"/>
    <mergeCell ref="A17:A18"/>
    <mergeCell ref="K17:K18"/>
    <mergeCell ref="A118:Z118"/>
    <mergeCell ref="C17:C18"/>
    <mergeCell ref="D103:E103"/>
    <mergeCell ref="D9:E9"/>
    <mergeCell ref="P137:T137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T5:U5"/>
    <mergeCell ref="P76:T76"/>
    <mergeCell ref="D119:E119"/>
    <mergeCell ref="V5:W5"/>
    <mergeCell ref="D190:E190"/>
    <mergeCell ref="P203:T203"/>
    <mergeCell ref="D246:E246"/>
    <mergeCell ref="D111:E111"/>
    <mergeCell ref="P212:V212"/>
    <mergeCell ref="Q8:R8"/>
    <mergeCell ref="P69:T69"/>
    <mergeCell ref="D183:E183"/>
    <mergeCell ref="H5:M5"/>
    <mergeCell ref="Q13:R13"/>
    <mergeCell ref="P41:T41"/>
    <mergeCell ref="D22:E22"/>
    <mergeCell ref="D155:E155"/>
    <mergeCell ref="A62:O63"/>
    <mergeCell ref="D149:E149"/>
    <mergeCell ref="M17:M18"/>
    <mergeCell ref="O17:O18"/>
    <mergeCell ref="A201:Z201"/>
    <mergeCell ref="D123:E123"/>
    <mergeCell ref="P202:T202"/>
    <mergeCell ref="P267:T267"/>
    <mergeCell ref="D104:E104"/>
    <mergeCell ref="D275:E275"/>
    <mergeCell ref="P83:V83"/>
    <mergeCell ref="P254:V254"/>
    <mergeCell ref="T6:U9"/>
    <mergeCell ref="A279:O284"/>
    <mergeCell ref="Q10:R10"/>
    <mergeCell ref="A30:O31"/>
    <mergeCell ref="D41:E41"/>
    <mergeCell ref="A208:Z208"/>
    <mergeCell ref="P84:V84"/>
    <mergeCell ref="D137:E137"/>
    <mergeCell ref="P124:V124"/>
    <mergeCell ref="A13:M13"/>
    <mergeCell ref="A15:M15"/>
    <mergeCell ref="J9:M9"/>
    <mergeCell ref="D112:E112"/>
    <mergeCell ref="P30:V30"/>
    <mergeCell ref="H17:H18"/>
    <mergeCell ref="P27:T27"/>
    <mergeCell ref="H10:M10"/>
    <mergeCell ref="P61:T61"/>
    <mergeCell ref="P48:T48"/>
    <mergeCell ref="W287:W288"/>
    <mergeCell ref="O287:O288"/>
    <mergeCell ref="P87:T87"/>
    <mergeCell ref="D130:E130"/>
    <mergeCell ref="P151:V151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73:V73"/>
    <mergeCell ref="P244:V244"/>
    <mergeCell ref="D61:E61"/>
    <mergeCell ref="P115:T115"/>
    <mergeCell ref="A256:Z256"/>
    <mergeCell ref="A196:Z196"/>
    <mergeCell ref="D48:E48"/>
    <mergeCell ref="P77:T77"/>
    <mergeCell ref="P204:T20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A146:Z146"/>
    <mergeCell ref="P261:T261"/>
    <mergeCell ref="P161:T161"/>
    <mergeCell ref="D204:E204"/>
    <mergeCell ref="D198:E198"/>
    <mergeCell ref="D269:E269"/>
    <mergeCell ref="A157:O158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Y286:AB286"/>
    <mergeCell ref="A105:O106"/>
    <mergeCell ref="A243:O244"/>
    <mergeCell ref="C287:C288"/>
    <mergeCell ref="D202:E202"/>
    <mergeCell ref="E287:E288"/>
    <mergeCell ref="P112:T112"/>
    <mergeCell ref="A91:Z91"/>
    <mergeCell ref="P116:V116"/>
    <mergeCell ref="P114:T114"/>
    <mergeCell ref="X287:X288"/>
    <mergeCell ref="P234:V234"/>
    <mergeCell ref="P22:T22"/>
    <mergeCell ref="D65:E65"/>
    <mergeCell ref="D6:M6"/>
    <mergeCell ref="G17:G18"/>
    <mergeCell ref="P57:V57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111:T111"/>
    <mergeCell ref="D7:M7"/>
    <mergeCell ref="D129:E129"/>
    <mergeCell ref="P89:V89"/>
    <mergeCell ref="Q9:R9"/>
    <mergeCell ref="A9:C9"/>
    <mergeCell ref="P120:V120"/>
    <mergeCell ref="A230:Z230"/>
    <mergeCell ref="P35:T35"/>
    <mergeCell ref="AA17:AA18"/>
    <mergeCell ref="AC17:AC18"/>
    <mergeCell ref="A122:Z122"/>
    <mergeCell ref="A224:Z224"/>
    <mergeCell ref="V6:W9"/>
    <mergeCell ref="D128:E128"/>
    <mergeCell ref="P109:T109"/>
    <mergeCell ref="A59:Z59"/>
    <mergeCell ref="D286:U286"/>
    <mergeCell ref="D177:E177"/>
    <mergeCell ref="P281:V281"/>
    <mergeCell ref="P183:T183"/>
    <mergeCell ref="D226:E226"/>
    <mergeCell ref="D270:E270"/>
    <mergeCell ref="P205:V205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P31:V31"/>
    <mergeCell ref="P158:V158"/>
    <mergeCell ref="P98:T98"/>
    <mergeCell ref="A154:Z154"/>
    <mergeCell ref="A214:Z214"/>
    <mergeCell ref="A85:Z85"/>
    <mergeCell ref="D143:E143"/>
    <mergeCell ref="P2:W3"/>
    <mergeCell ref="A57:O58"/>
    <mergeCell ref="P198:T198"/>
    <mergeCell ref="P54:T54"/>
    <mergeCell ref="D35:E35"/>
    <mergeCell ref="A170:Z170"/>
    <mergeCell ref="D10:E10"/>
    <mergeCell ref="F10:G10"/>
    <mergeCell ref="P135:T135"/>
    <mergeCell ref="D34:E34"/>
    <mergeCell ref="P191:T191"/>
    <mergeCell ref="P78:V78"/>
    <mergeCell ref="P66:V66"/>
    <mergeCell ref="A127:Z127"/>
    <mergeCell ref="A176:Z176"/>
    <mergeCell ref="A64:Z64"/>
    <mergeCell ref="A51:Z51"/>
    <mergeCell ref="A107:Z107"/>
    <mergeCell ref="A8:C8"/>
    <mergeCell ref="A10:C10"/>
    <mergeCell ref="D17:E18"/>
    <mergeCell ref="A151:O152"/>
    <mergeCell ref="P71:T71"/>
    <mergeCell ref="X17:X18"/>
    <mergeCell ref="AD17:AF18"/>
    <mergeCell ref="P167:V167"/>
    <mergeCell ref="D76:E76"/>
    <mergeCell ref="F5:G5"/>
    <mergeCell ref="P117:V117"/>
    <mergeCell ref="B287:B288"/>
    <mergeCell ref="D287:D288"/>
    <mergeCell ref="P144:V144"/>
    <mergeCell ref="A36:O37"/>
    <mergeCell ref="P82:T82"/>
    <mergeCell ref="A223:Z223"/>
    <mergeCell ref="V11:W11"/>
    <mergeCell ref="P253:T253"/>
    <mergeCell ref="A205:O206"/>
    <mergeCell ref="D29:E29"/>
    <mergeCell ref="V286:W286"/>
    <mergeCell ref="D23:E23"/>
    <mergeCell ref="A20:Z20"/>
    <mergeCell ref="D252:E252"/>
    <mergeCell ref="P123:T123"/>
    <mergeCell ref="P110:T110"/>
    <mergeCell ref="Z287:Z288"/>
    <mergeCell ref="P255:V255"/>
    <mergeCell ref="P178:T178"/>
    <mergeCell ref="M287:M28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D54:E54"/>
    <mergeCell ref="J287:J288"/>
    <mergeCell ref="P185:V185"/>
    <mergeCell ref="S287:S288"/>
    <mergeCell ref="P128:T128"/>
    <mergeCell ref="U287:U288"/>
    <mergeCell ref="P34:T34"/>
    <mergeCell ref="P276:T276"/>
    <mergeCell ref="D257:E257"/>
    <mergeCell ref="P270:T270"/>
    <mergeCell ref="P284:V284"/>
    <mergeCell ref="A99:O100"/>
    <mergeCell ref="D42:E42"/>
    <mergeCell ref="A181:Z181"/>
    <mergeCell ref="P262:T262"/>
    <mergeCell ref="D276:E276"/>
    <mergeCell ref="A83:O84"/>
    <mergeCell ref="P132:V132"/>
    <mergeCell ref="N17:N18"/>
    <mergeCell ref="Q5:R5"/>
    <mergeCell ref="F17:F18"/>
    <mergeCell ref="D242:E242"/>
    <mergeCell ref="D150:E150"/>
    <mergeCell ref="P63:V63"/>
    <mergeCell ref="D215:E215"/>
    <mergeCell ref="P194:V194"/>
    <mergeCell ref="P50:V50"/>
    <mergeCell ref="A75:Z75"/>
    <mergeCell ref="P258:V258"/>
    <mergeCell ref="A175:Z175"/>
    <mergeCell ref="A235:Z235"/>
    <mergeCell ref="P177:T177"/>
    <mergeCell ref="P93:T93"/>
    <mergeCell ref="P226:T226"/>
    <mergeCell ref="P269:T269"/>
    <mergeCell ref="A52:Z52"/>
    <mergeCell ref="B286:C286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P163:V163"/>
    <mergeCell ref="A153:Z153"/>
    <mergeCell ref="D97:E97"/>
    <mergeCell ref="P138:V138"/>
    <mergeCell ref="D268:E268"/>
    <mergeCell ref="A21:Z21"/>
    <mergeCell ref="D192:E19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