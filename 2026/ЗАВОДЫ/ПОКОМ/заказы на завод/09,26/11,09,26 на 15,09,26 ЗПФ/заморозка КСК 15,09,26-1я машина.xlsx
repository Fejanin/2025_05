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62F37D9-371B-4EDD-9203-33ED99C1237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N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P255" i="2" s="1"/>
  <c r="P255" i="2"/>
  <c r="BO254" i="2"/>
  <c r="BN254" i="2"/>
  <c r="BM254" i="2"/>
  <c r="Z254" i="2"/>
  <c r="Z257" i="2" s="1"/>
  <c r="Y254" i="2"/>
  <c r="BP254" i="2" s="1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39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3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X202" i="2"/>
  <c r="X201" i="2"/>
  <c r="BO200" i="2"/>
  <c r="BM200" i="2"/>
  <c r="Z200" i="2"/>
  <c r="Z201" i="2" s="1"/>
  <c r="Y200" i="2"/>
  <c r="BN200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Y186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BP157" i="2" s="1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N146" i="2" s="1"/>
  <c r="P146" i="2"/>
  <c r="BO145" i="2"/>
  <c r="BN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P131" i="2"/>
  <c r="X128" i="2"/>
  <c r="X127" i="2"/>
  <c r="BO126" i="2"/>
  <c r="BM126" i="2"/>
  <c r="Z126" i="2"/>
  <c r="Z127" i="2" s="1"/>
  <c r="Y126" i="2"/>
  <c r="Y127" i="2" s="1"/>
  <c r="P126" i="2"/>
  <c r="Y124" i="2"/>
  <c r="X124" i="2"/>
  <c r="X123" i="2"/>
  <c r="BO122" i="2"/>
  <c r="BM122" i="2"/>
  <c r="Z122" i="2"/>
  <c r="Z123" i="2" s="1"/>
  <c r="Y122" i="2"/>
  <c r="Y123" i="2" s="1"/>
  <c r="P122" i="2"/>
  <c r="X120" i="2"/>
  <c r="X119" i="2"/>
  <c r="BO118" i="2"/>
  <c r="BM118" i="2"/>
  <c r="Z118" i="2"/>
  <c r="Y118" i="2"/>
  <c r="BN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X107" i="2"/>
  <c r="X106" i="2"/>
  <c r="BO105" i="2"/>
  <c r="BM105" i="2"/>
  <c r="Z105" i="2"/>
  <c r="Y105" i="2"/>
  <c r="BP105" i="2" s="1"/>
  <c r="P105" i="2"/>
  <c r="BO104" i="2"/>
  <c r="BN104" i="2"/>
  <c r="BM104" i="2"/>
  <c r="Z104" i="2"/>
  <c r="Z106" i="2" s="1"/>
  <c r="Y104" i="2"/>
  <c r="Y107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BN77" i="2" s="1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BN65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P41" i="2" s="1"/>
  <c r="P41" i="2"/>
  <c r="X37" i="2"/>
  <c r="X36" i="2"/>
  <c r="BO35" i="2"/>
  <c r="BM35" i="2"/>
  <c r="Z35" i="2"/>
  <c r="Z36" i="2" s="1"/>
  <c r="Y35" i="2"/>
  <c r="BN35" i="2" s="1"/>
  <c r="P35" i="2"/>
  <c r="BO34" i="2"/>
  <c r="BM34" i="2"/>
  <c r="Z34" i="2"/>
  <c r="Y34" i="2"/>
  <c r="BP34" i="2" s="1"/>
  <c r="P34" i="2"/>
  <c r="X31" i="2"/>
  <c r="X30" i="2"/>
  <c r="BP29" i="2"/>
  <c r="BO29" i="2"/>
  <c r="BN29" i="2"/>
  <c r="BM29" i="2"/>
  <c r="Z29" i="2"/>
  <c r="Y29" i="2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Y128" i="2" l="1"/>
  <c r="Z147" i="2"/>
  <c r="Y246" i="2"/>
  <c r="BN24" i="2"/>
  <c r="BN27" i="2"/>
  <c r="Z57" i="2"/>
  <c r="BP122" i="2"/>
  <c r="Z141" i="2"/>
  <c r="BN256" i="2"/>
  <c r="BP89" i="2"/>
  <c r="BN180" i="2"/>
  <c r="Z181" i="2"/>
  <c r="BN23" i="2"/>
  <c r="BN260" i="2"/>
  <c r="Y262" i="2"/>
  <c r="Z43" i="2"/>
  <c r="BN95" i="2"/>
  <c r="BP276" i="2"/>
  <c r="BP274" i="2"/>
  <c r="Y268" i="2"/>
  <c r="BP222" i="2"/>
  <c r="Y208" i="2"/>
  <c r="BN193" i="2"/>
  <c r="Y187" i="2"/>
  <c r="Y160" i="2"/>
  <c r="BN152" i="2"/>
  <c r="BP140" i="2"/>
  <c r="BN138" i="2"/>
  <c r="Y142" i="2"/>
  <c r="Z135" i="2"/>
  <c r="BN122" i="2"/>
  <c r="BP112" i="2"/>
  <c r="BN111" i="2"/>
  <c r="BP104" i="2"/>
  <c r="Y101" i="2"/>
  <c r="Z90" i="2"/>
  <c r="Y85" i="2"/>
  <c r="Y79" i="2"/>
  <c r="Y50" i="2"/>
  <c r="BP35" i="2"/>
  <c r="Y36" i="2"/>
  <c r="BN34" i="2"/>
  <c r="Y37" i="2"/>
  <c r="X284" i="2"/>
  <c r="BP48" i="2"/>
  <c r="BP53" i="2"/>
  <c r="Y58" i="2"/>
  <c r="Y67" i="2"/>
  <c r="Y153" i="2"/>
  <c r="BP158" i="2"/>
  <c r="Y165" i="2"/>
  <c r="BP192" i="2"/>
  <c r="BP204" i="2"/>
  <c r="Z213" i="2"/>
  <c r="BP212" i="2"/>
  <c r="BP238" i="2"/>
  <c r="BP244" i="2"/>
  <c r="Y258" i="2"/>
  <c r="Z267" i="2"/>
  <c r="BP264" i="2"/>
  <c r="BP266" i="2"/>
  <c r="BN273" i="2"/>
  <c r="BP278" i="2"/>
  <c r="BP22" i="2"/>
  <c r="BP26" i="2"/>
  <c r="X286" i="2"/>
  <c r="Z49" i="2"/>
  <c r="BN54" i="2"/>
  <c r="BN56" i="2"/>
  <c r="Y57" i="2"/>
  <c r="BN61" i="2"/>
  <c r="Z67" i="2"/>
  <c r="BP65" i="2"/>
  <c r="Z73" i="2"/>
  <c r="Z79" i="2"/>
  <c r="BP78" i="2"/>
  <c r="BP83" i="2"/>
  <c r="Z100" i="2"/>
  <c r="BP115" i="2"/>
  <c r="BP117" i="2"/>
  <c r="BP133" i="2"/>
  <c r="Y141" i="2"/>
  <c r="BP146" i="2"/>
  <c r="Z159" i="2"/>
  <c r="Y164" i="2"/>
  <c r="BP173" i="2"/>
  <c r="BP228" i="2"/>
  <c r="Y257" i="2"/>
  <c r="X283" i="2"/>
  <c r="Z30" i="2"/>
  <c r="Y91" i="2"/>
  <c r="BP98" i="2"/>
  <c r="Y119" i="2"/>
  <c r="Y148" i="2"/>
  <c r="Z153" i="2"/>
  <c r="Y182" i="2"/>
  <c r="Y195" i="2"/>
  <c r="Y230" i="2"/>
  <c r="BN238" i="2"/>
  <c r="Y245" i="2"/>
  <c r="BN264" i="2"/>
  <c r="Y267" i="2"/>
  <c r="BP271" i="2"/>
  <c r="Y30" i="2"/>
  <c r="Y63" i="2"/>
  <c r="Y68" i="2"/>
  <c r="BP72" i="2"/>
  <c r="BP77" i="2"/>
  <c r="X282" i="2"/>
  <c r="Y43" i="2"/>
  <c r="BP42" i="2"/>
  <c r="BN78" i="2"/>
  <c r="Y84" i="2"/>
  <c r="Y106" i="2"/>
  <c r="Z119" i="2"/>
  <c r="BP110" i="2"/>
  <c r="Y136" i="2"/>
  <c r="Y147" i="2"/>
  <c r="BP185" i="2"/>
  <c r="Z195" i="2"/>
  <c r="Z207" i="2"/>
  <c r="Y214" i="2"/>
  <c r="BN222" i="2"/>
  <c r="Y229" i="2"/>
  <c r="Z280" i="2"/>
  <c r="F10" i="2"/>
  <c r="Y207" i="2"/>
  <c r="BN42" i="2"/>
  <c r="Y196" i="2"/>
  <c r="Y213" i="2"/>
  <c r="BN48" i="2"/>
  <c r="Y90" i="2"/>
  <c r="BN158" i="2"/>
  <c r="BN173" i="2"/>
  <c r="Y44" i="2"/>
  <c r="BP70" i="2"/>
  <c r="BP96" i="2"/>
  <c r="BP118" i="2"/>
  <c r="BP131" i="2"/>
  <c r="Y154" i="2"/>
  <c r="BN168" i="2"/>
  <c r="BP200" i="2"/>
  <c r="BN211" i="2"/>
  <c r="BN277" i="2"/>
  <c r="Y280" i="2"/>
  <c r="Y31" i="2"/>
  <c r="Y73" i="2"/>
  <c r="Y181" i="2"/>
  <c r="BP25" i="2"/>
  <c r="Y74" i="2"/>
  <c r="BN88" i="2"/>
  <c r="BP113" i="2"/>
  <c r="BN134" i="2"/>
  <c r="BN191" i="2"/>
  <c r="BN217" i="2"/>
  <c r="BN234" i="2"/>
  <c r="BN248" i="2"/>
  <c r="BN272" i="2"/>
  <c r="BN28" i="2"/>
  <c r="BN55" i="2"/>
  <c r="Y80" i="2"/>
  <c r="BN94" i="2"/>
  <c r="BN105" i="2"/>
  <c r="BN116" i="2"/>
  <c r="BP168" i="2"/>
  <c r="Y201" i="2"/>
  <c r="Y224" i="2"/>
  <c r="Y240" i="2"/>
  <c r="BN255" i="2"/>
  <c r="BP99" i="2"/>
  <c r="BP191" i="2"/>
  <c r="BP234" i="2"/>
  <c r="BP248" i="2"/>
  <c r="F9" i="2"/>
  <c r="BN41" i="2"/>
  <c r="BN66" i="2"/>
  <c r="BP94" i="2"/>
  <c r="BN126" i="2"/>
  <c r="BP139" i="2"/>
  <c r="BN151" i="2"/>
  <c r="Y169" i="2"/>
  <c r="BN194" i="2"/>
  <c r="BN265" i="2"/>
  <c r="BN275" i="2"/>
  <c r="H9" i="2"/>
  <c r="BN47" i="2"/>
  <c r="BP61" i="2"/>
  <c r="BN71" i="2"/>
  <c r="BN97" i="2"/>
  <c r="Y100" i="2"/>
  <c r="Y120" i="2"/>
  <c r="BN132" i="2"/>
  <c r="Y135" i="2"/>
  <c r="BN157" i="2"/>
  <c r="Y202" i="2"/>
  <c r="Y218" i="2"/>
  <c r="Y235" i="2"/>
  <c r="Y249" i="2"/>
  <c r="BP260" i="2"/>
  <c r="BN270" i="2"/>
  <c r="BP217" i="2"/>
  <c r="BN114" i="2"/>
  <c r="BP126" i="2"/>
  <c r="BN163" i="2"/>
  <c r="BN179" i="2"/>
  <c r="BN206" i="2"/>
  <c r="Y49" i="2"/>
  <c r="BN131" i="2"/>
  <c r="Y159" i="2"/>
  <c r="Y174" i="2"/>
  <c r="BN205" i="2"/>
  <c r="Y281" i="2"/>
  <c r="J9" i="2"/>
  <c r="X285" i="2" l="1"/>
  <c r="Z287" i="2"/>
  <c r="Y286" i="2"/>
  <c r="Y284" i="2"/>
  <c r="Y283" i="2"/>
  <c r="Y282" i="2"/>
  <c r="Y285" i="2" l="1"/>
  <c r="B295" i="2" l="1"/>
  <c r="C295" i="2"/>
  <c r="A295" i="2"/>
</calcChain>
</file>

<file path=xl/sharedStrings.xml><?xml version="1.0" encoding="utf-8"?>
<sst xmlns="http://schemas.openxmlformats.org/spreadsheetml/2006/main" count="1762" uniqueCount="409">
  <si>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</si>
  <si>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</si>
  <si>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</si>
  <si>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</si>
  <si>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</si>
  <si>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</si>
  <si>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</si>
  <si>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</si>
  <si>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</si>
  <si>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</si>
  <si>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</si>
  <si>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</si>
  <si>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</si>
  <si>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</si>
  <si>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</si>
  <si>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</si>
  <si>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</si>
  <si>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</si>
  <si>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</si>
  <si>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</si>
  <si>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</si>
  <si>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</si>
  <si>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</si>
  <si>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</si>
  <si>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</si>
  <si>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</si>
  <si>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</si>
  <si>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</si>
  <si>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</si>
  <si>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</si>
  <si>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</si>
  <si>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</si>
  <si>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</si>
  <si>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</si>
  <si>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</si>
  <si>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</si>
  <si>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</si>
  <si>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</si>
  <si>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</si>
  <si>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</si>
  <si>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</si>
  <si>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</si>
  <si>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</si>
  <si>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</si>
  <si>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</si>
  <si>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</si>
  <si>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</si>
  <si>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</si>
  <si>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</si>
  <si>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</si>
  <si>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</si>
  <si>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</si>
  <si>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</si>
  <si>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</si>
  <si>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</si>
  <si>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</si>
  <si>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</si>
  <si>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</si>
  <si>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</si>
  <si>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</si>
  <si>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</si>
  <si>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</si>
  <si>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</si>
  <si>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</si>
  <si>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</si>
  <si>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</si>
  <si>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</si>
  <si>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</si>
  <si>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</si>
  <si>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</si>
  <si>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</si>
  <si>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</si>
  <si>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</si>
  <si>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</si>
  <si>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</si>
  <si>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</si>
  <si>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</si>
  <si>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</si>
  <si>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</si>
  <si>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</si>
  <si>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</si>
  <si>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</si>
  <si>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</si>
  <si>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</si>
  <si>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</si>
  <si>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</si>
  <si>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</si>
  <si>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</si>
  <si>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</si>
  <si>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</si>
  <si>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</si>
  <si>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</si>
  <si>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</si>
  <si>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</si>
  <si>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</si>
  <si>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</si>
  <si>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</si>
  <si>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</si>
  <si>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</si>
  <si>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</si>
  <si>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</si>
  <si>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</si>
  <si>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</si>
  <si>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</si>
  <si>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</si>
  <si>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</si>
  <si>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</si>
  <si>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</si>
  <si>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</si>
  <si>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</si>
  <si>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</si>
  <si>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</si>
  <si>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</si>
  <si>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</si>
  <si>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</si>
  <si>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</si>
  <si>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</si>
  <si>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</si>
  <si>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</si>
  <si>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</si>
  <si>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</si>
  <si>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</si>
  <si>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</si>
  <si>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</si>
  <si>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</si>
  <si>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</si>
  <si>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</si>
  <si>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</si>
  <si>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</si>
  <si>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</si>
  <si>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</si>
  <si>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</si>
  <si>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</si>
  <si>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</si>
  <si>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</si>
  <si>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</si>
  <si>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</si>
  <si>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</si>
  <si>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</si>
  <si>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</si>
  <si>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</si>
  <si>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</si>
  <si>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</si>
  <si>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</si>
  <si>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</si>
  <si>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</si>
  <si>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</si>
  <si>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</si>
  <si>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</si>
  <si>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</si>
  <si>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</si>
  <si>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</si>
  <si>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</si>
  <si>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</si>
  <si>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</si>
  <si>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</si>
  <si>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</si>
  <si>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</si>
  <si>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</si>
  <si>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</si>
  <si>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</si>
  <si>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</si>
  <si>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</si>
  <si>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</si>
  <si>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</si>
  <si>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</si>
  <si>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</si>
  <si>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</si>
  <si>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</si>
  <si>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</si>
  <si>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</si>
  <si>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</si>
  <si>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</si>
  <si>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</si>
  <si>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</si>
  <si>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</si>
  <si>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</si>
  <si>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</si>
  <si>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</si>
  <si>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</si>
  <si>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</si>
  <si>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</si>
  <si>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</si>
  <si>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</si>
  <si>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</si>
  <si>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</si>
  <si>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</si>
  <si>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</si>
  <si>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</si>
  <si>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</si>
  <si>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</si>
  <si>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</si>
  <si>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</si>
  <si>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</si>
  <si>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</si>
  <si>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</si>
  <si>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</si>
  <si>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</si>
  <si>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</si>
  <si>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</si>
  <si>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</si>
  <si>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</si>
  <si>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</si>
  <si>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</si>
  <si>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</si>
  <si>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</si>
  <si>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</si>
  <si>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</si>
  <si>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</si>
  <si>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</si>
  <si>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</si>
  <si>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</si>
  <si>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</si>
  <si>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</si>
  <si>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</si>
  <si>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</si>
  <si>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</si>
  <si>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</si>
  <si>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</si>
  <si>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</si>
  <si>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</si>
  <si>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</si>
  <si>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</si>
  <si>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</si>
  <si>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</si>
  <si>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</si>
  <si>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</si>
  <si>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</si>
  <si>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</si>
  <si>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</si>
  <si>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</si>
  <si>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</si>
  <si>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</si>
  <si>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</si>
  <si>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</si>
  <si>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</si>
  <si>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</si>
  <si>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</si>
  <si>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</si>
  <si>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</si>
  <si>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</si>
  <si>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</si>
  <si>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</si>
  <si>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</si>
  <si>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</si>
  <si>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</si>
  <si>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</si>
  <si>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</si>
  <si>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</si>
  <si>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</si>
  <si>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</si>
  <si>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</si>
  <si>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SU004234</t>
  </si>
  <si>
    <t>P005500</t>
  </si>
  <si>
    <t>ЕАЭС N RU Д-RU.РА03.В.76687/26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</si>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</sst>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 t="s">
        <v>408</v>
      </c>
      <c r="I5" s="296"/>
      <c r="J5" s="296"/>
      <c r="K5" s="296"/>
      <c r="L5" s="296"/>
      <c r="M5" s="296"/>
      <c r="N5" s="75"/>
      <c r="P5" s="27" t="s">
        <v>4</v>
      </c>
      <c r="Q5" s="298">
        <v>46280</v>
      </c>
      <c r="R5" s="298"/>
      <c r="T5" s="299" t="s">
        <v>3</v>
      </c>
      <c r="U5" s="300"/>
      <c r="V5" s="301" t="s">
        <v>394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Вторник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4.1666666666666664E-2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hidden="1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hidden="1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hidden="1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36</v>
      </c>
      <c r="Y23" s="55">
        <f t="shared" si="0"/>
        <v>36</v>
      </c>
      <c r="Z23" s="41">
        <f t="shared" si="1"/>
        <v>0.55800000000000005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238.68</v>
      </c>
      <c r="BN23" s="81">
        <f t="shared" si="3"/>
        <v>238.68</v>
      </c>
      <c r="BO23" s="81">
        <f t="shared" si="4"/>
        <v>0.42857142857142855</v>
      </c>
      <c r="BP23" s="81">
        <f t="shared" si="5"/>
        <v>0.42857142857142855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24</v>
      </c>
      <c r="Y27" s="55">
        <f t="shared" si="0"/>
        <v>24</v>
      </c>
      <c r="Z27" s="41">
        <f t="shared" si="1"/>
        <v>0.372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179.28</v>
      </c>
      <c r="BN27" s="81">
        <f t="shared" si="3"/>
        <v>179.28</v>
      </c>
      <c r="BO27" s="81">
        <f t="shared" si="4"/>
        <v>0.2857142857142857</v>
      </c>
      <c r="BP27" s="81">
        <f t="shared" si="5"/>
        <v>0.2857142857142857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60</v>
      </c>
      <c r="Y30" s="43">
        <f>IFERROR(SUM(Y22:Y29),"0")</f>
        <v>60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0.93</v>
      </c>
      <c r="AA30" s="67"/>
      <c r="AB30" s="67"/>
      <c r="AC30" s="67"/>
    </row>
    <row r="31" spans="1:68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403.20000000000005</v>
      </c>
      <c r="Y31" s="43">
        <f>IFERROR(SUMPRODUCT(Y22:Y29*H22:H29),"0")</f>
        <v>403.20000000000005</v>
      </c>
      <c r="Z31" s="42"/>
      <c r="AA31" s="67"/>
      <c r="AB31" s="67"/>
      <c r="AC31" s="67"/>
    </row>
    <row r="32" spans="1:68" ht="16.5" hidden="1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hidden="1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12</v>
      </c>
      <c r="Y35" s="55">
        <f>IFERROR(IF(X35="","",X35),"")</f>
        <v>12</v>
      </c>
      <c r="Z35" s="41">
        <f>IFERROR(IF(X35="","",X35*0.0155),"")</f>
        <v>0.186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80.039999999999992</v>
      </c>
      <c r="BN35" s="81">
        <f>IFERROR(Y35*I35,"0")</f>
        <v>80.039999999999992</v>
      </c>
      <c r="BO35" s="81">
        <f>IFERROR(X35/J35,"0")</f>
        <v>0.14285714285714285</v>
      </c>
      <c r="BP35" s="81">
        <f>IFERROR(Y35/J35,"0")</f>
        <v>0.14285714285714285</v>
      </c>
    </row>
    <row r="36" spans="1:68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12</v>
      </c>
      <c r="Y36" s="43">
        <f>IFERROR(SUM(Y34:Y35),"0")</f>
        <v>12</v>
      </c>
      <c r="Z36" s="43">
        <f>IFERROR(IF(Z34="",0,Z34),"0")+IFERROR(IF(Z35="",0,Z35),"0")</f>
        <v>0.186</v>
      </c>
      <c r="AA36" s="67"/>
      <c r="AB36" s="67"/>
      <c r="AC36" s="67"/>
    </row>
    <row r="37" spans="1:68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76.800000000000011</v>
      </c>
      <c r="Y37" s="43">
        <f>IFERROR(SUMPRODUCT(Y34:Y35*H34:H35),"0")</f>
        <v>76.800000000000011</v>
      </c>
      <c r="Z37" s="42"/>
      <c r="AA37" s="67"/>
      <c r="AB37" s="67"/>
      <c r="AC37" s="67"/>
    </row>
    <row r="38" spans="1:68" ht="27.75" hidden="1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hidden="1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hidden="1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>
        <v>182</v>
      </c>
      <c r="Y41" s="55">
        <f>IFERROR(IF(X41="","",X41),"")</f>
        <v>182</v>
      </c>
      <c r="Z41" s="41">
        <f>IFERROR(IF(X41="","",X41*0.00941),"")</f>
        <v>1.71262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349.76760000000002</v>
      </c>
      <c r="BN41" s="81">
        <f>IFERROR(Y41*I41,"0")</f>
        <v>349.76760000000002</v>
      </c>
      <c r="BO41" s="81">
        <f>IFERROR(X41/J41,"0")</f>
        <v>1.3</v>
      </c>
      <c r="BP41" s="81">
        <f>IFERROR(Y41/J41,"0")</f>
        <v>1.3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182</v>
      </c>
      <c r="Y43" s="43">
        <f>IFERROR(SUM(Y41:Y42),"0")</f>
        <v>182</v>
      </c>
      <c r="Z43" s="43">
        <f>IFERROR(IF(Z41="",0,Z41),"0")+IFERROR(IF(Z42="",0,Z42),"0")</f>
        <v>1.71262</v>
      </c>
      <c r="AA43" s="67"/>
      <c r="AB43" s="67"/>
      <c r="AC43" s="67"/>
    </row>
    <row r="44" spans="1:68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273</v>
      </c>
      <c r="Y44" s="43">
        <f>IFERROR(SUMPRODUCT(Y41:Y42*H41:H42),"0")</f>
        <v>273</v>
      </c>
      <c r="Z44" s="42"/>
      <c r="AA44" s="67"/>
      <c r="AB44" s="67"/>
      <c r="AC44" s="67"/>
    </row>
    <row r="45" spans="1:68" ht="16.5" hidden="1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hidden="1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x14ac:dyDescent="0.2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7"/>
      <c r="P49" s="373" t="s">
        <v>40</v>
      </c>
      <c r="Q49" s="374"/>
      <c r="R49" s="374"/>
      <c r="S49" s="374"/>
      <c r="T49" s="374"/>
      <c r="U49" s="374"/>
      <c r="V49" s="375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60" t="s">
        <v>130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65"/>
      <c r="AB51" s="65"/>
      <c r="AC51" s="82"/>
    </row>
    <row r="52" spans="1:68" ht="14.25" hidden="1" customHeight="1" x14ac:dyDescent="0.25">
      <c r="A52" s="361" t="s">
        <v>82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62">
        <v>4607111039385</v>
      </c>
      <c r="E53" s="36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4"/>
      <c r="R53" s="364"/>
      <c r="S53" s="364"/>
      <c r="T53" s="365"/>
      <c r="U53" s="39" t="s">
        <v>46</v>
      </c>
      <c r="V53" s="39" t="s">
        <v>46</v>
      </c>
      <c r="W53" s="40" t="s">
        <v>39</v>
      </c>
      <c r="X53" s="58">
        <v>96</v>
      </c>
      <c r="Y53" s="55">
        <f>IFERROR(IF(X53="","",X53),"")</f>
        <v>96</v>
      </c>
      <c r="Z53" s="41">
        <f>IFERROR(IF(X53="","",X53*0.0155),"")</f>
        <v>1.488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700.8</v>
      </c>
      <c r="BN53" s="81">
        <f>IFERROR(Y53*I53,"0")</f>
        <v>700.8</v>
      </c>
      <c r="BO53" s="81">
        <f>IFERROR(X53/J53,"0")</f>
        <v>1.1428571428571428</v>
      </c>
      <c r="BP53" s="81">
        <f>IFERROR(Y53/J53,"0")</f>
        <v>1.1428571428571428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62">
        <v>4607111038982</v>
      </c>
      <c r="E54" s="36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108</v>
      </c>
      <c r="Y54" s="55">
        <f>IFERROR(IF(X54="","",X54),"")</f>
        <v>108</v>
      </c>
      <c r="Z54" s="41">
        <f>IFERROR(IF(X54="","",X54*0.0155),"")</f>
        <v>1.6739999999999999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786.88799999999992</v>
      </c>
      <c r="BN54" s="81">
        <f>IFERROR(Y54*I54,"0")</f>
        <v>786.88799999999992</v>
      </c>
      <c r="BO54" s="81">
        <f>IFERROR(X54/J54,"0")</f>
        <v>1.2857142857142858</v>
      </c>
      <c r="BP54" s="81">
        <f>IFERROR(Y54/J54,"0")</f>
        <v>1.2857142857142858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362">
        <v>4607111039354</v>
      </c>
      <c r="E55" s="36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62">
        <v>4607111039330</v>
      </c>
      <c r="E56" s="36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156</v>
      </c>
      <c r="Y56" s="55">
        <f>IFERROR(IF(X56="","",X56),"")</f>
        <v>156</v>
      </c>
      <c r="Z56" s="41">
        <f>IFERROR(IF(X56="","",X56*0.0155),"")</f>
        <v>2.4180000000000001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1138.8</v>
      </c>
      <c r="BN56" s="81">
        <f>IFERROR(Y56*I56,"0")</f>
        <v>1138.8</v>
      </c>
      <c r="BO56" s="81">
        <f>IFERROR(X56/J56,"0")</f>
        <v>1.8571428571428572</v>
      </c>
      <c r="BP56" s="81">
        <f>IFERROR(Y56/J56,"0")</f>
        <v>1.8571428571428572</v>
      </c>
    </row>
    <row r="57" spans="1:68" x14ac:dyDescent="0.2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7"/>
      <c r="P57" s="373" t="s">
        <v>40</v>
      </c>
      <c r="Q57" s="374"/>
      <c r="R57" s="374"/>
      <c r="S57" s="374"/>
      <c r="T57" s="374"/>
      <c r="U57" s="374"/>
      <c r="V57" s="375"/>
      <c r="W57" s="42" t="s">
        <v>39</v>
      </c>
      <c r="X57" s="43">
        <f>IFERROR(SUM(X53:X56),"0")</f>
        <v>372</v>
      </c>
      <c r="Y57" s="43">
        <f>IFERROR(SUM(Y53:Y56),"0")</f>
        <v>372</v>
      </c>
      <c r="Z57" s="43">
        <f>IFERROR(IF(Z53="",0,Z53),"0")+IFERROR(IF(Z54="",0,Z54),"0")+IFERROR(IF(Z55="",0,Z55),"0")+IFERROR(IF(Z56="",0,Z56),"0")</f>
        <v>5.766</v>
      </c>
      <c r="AA57" s="67"/>
      <c r="AB57" s="67"/>
      <c r="AC57" s="67"/>
    </row>
    <row r="58" spans="1:68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0</v>
      </c>
      <c r="X58" s="43">
        <f>IFERROR(SUMPRODUCT(X53:X56*H53:H56),"0")</f>
        <v>2596.8000000000002</v>
      </c>
      <c r="Y58" s="43">
        <f>IFERROR(SUMPRODUCT(Y53:Y56*H53:H56),"0")</f>
        <v>2596.8000000000002</v>
      </c>
      <c r="Z58" s="42"/>
      <c r="AA58" s="67"/>
      <c r="AB58" s="67"/>
      <c r="AC58" s="67"/>
    </row>
    <row r="59" spans="1:68" ht="16.5" hidden="1" customHeight="1" x14ac:dyDescent="0.25">
      <c r="A59" s="360" t="s">
        <v>141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65"/>
      <c r="AB59" s="65"/>
      <c r="AC59" s="82"/>
    </row>
    <row r="60" spans="1:68" ht="14.25" hidden="1" customHeight="1" x14ac:dyDescent="0.25">
      <c r="A60" s="361" t="s">
        <v>113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62">
        <v>4607111039712</v>
      </c>
      <c r="E61" s="36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4"/>
      <c r="R61" s="364"/>
      <c r="S61" s="364"/>
      <c r="T61" s="36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7"/>
      <c r="P62" s="373" t="s">
        <v>40</v>
      </c>
      <c r="Q62" s="374"/>
      <c r="R62" s="374"/>
      <c r="S62" s="374"/>
      <c r="T62" s="374"/>
      <c r="U62" s="374"/>
      <c r="V62" s="37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61" t="s">
        <v>145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362">
        <v>4607111037008</v>
      </c>
      <c r="E65" s="362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4"/>
      <c r="R65" s="364"/>
      <c r="S65" s="364"/>
      <c r="T65" s="36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362">
        <v>4607111037398</v>
      </c>
      <c r="E66" s="362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362">
        <v>4607111039705</v>
      </c>
      <c r="E70" s="36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362">
        <v>4607111039729</v>
      </c>
      <c r="E71" s="36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156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362">
        <v>4620207490228</v>
      </c>
      <c r="E72" s="362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119</v>
      </c>
      <c r="M72" s="38" t="s">
        <v>86</v>
      </c>
      <c r="N72" s="38"/>
      <c r="O72" s="37">
        <v>365</v>
      </c>
      <c r="P72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4"/>
      <c r="R72" s="364"/>
      <c r="S72" s="364"/>
      <c r="T72" s="365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120</v>
      </c>
      <c r="AK72" s="87">
        <v>14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39</v>
      </c>
      <c r="X73" s="43">
        <f>IFERROR(SUM(X70:X72),"0")</f>
        <v>14</v>
      </c>
      <c r="Y73" s="43">
        <f>IFERROR(SUM(Y70:Y72),"0")</f>
        <v>14</v>
      </c>
      <c r="Z73" s="43">
        <f>IFERROR(IF(Z70="",0,Z70),"0")+IFERROR(IF(Z71="",0,Z71),"0")+IFERROR(IF(Z72="",0,Z72),"0")</f>
        <v>0.13174</v>
      </c>
      <c r="AA73" s="67"/>
      <c r="AB73" s="67"/>
      <c r="AC73" s="67"/>
    </row>
    <row r="74" spans="1:68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7"/>
      <c r="P74" s="373" t="s">
        <v>40</v>
      </c>
      <c r="Q74" s="374"/>
      <c r="R74" s="374"/>
      <c r="S74" s="374"/>
      <c r="T74" s="374"/>
      <c r="U74" s="374"/>
      <c r="V74" s="375"/>
      <c r="W74" s="42" t="s">
        <v>0</v>
      </c>
      <c r="X74" s="43">
        <f>IFERROR(SUMPRODUCT(X70:X72*H70:H72),"0")</f>
        <v>16.8</v>
      </c>
      <c r="Y74" s="43">
        <f>IFERROR(SUMPRODUCT(Y70:Y72*H70:H72),"0")</f>
        <v>16.8</v>
      </c>
      <c r="Z74" s="42"/>
      <c r="AA74" s="67"/>
      <c r="AB74" s="67"/>
      <c r="AC74" s="67"/>
    </row>
    <row r="75" spans="1:68" ht="16.5" hidden="1" customHeight="1" x14ac:dyDescent="0.25">
      <c r="A75" s="360" t="s">
        <v>159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65"/>
      <c r="AB75" s="65"/>
      <c r="AC75" s="82"/>
    </row>
    <row r="76" spans="1:68" ht="14.25" hidden="1" customHeight="1" x14ac:dyDescent="0.25">
      <c r="A76" s="361" t="s">
        <v>82</v>
      </c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362">
        <v>4607111037411</v>
      </c>
      <c r="E77" s="362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362">
        <v>4607111036728</v>
      </c>
      <c r="E78" s="362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4"/>
      <c r="R78" s="364"/>
      <c r="S78" s="364"/>
      <c r="T78" s="365"/>
      <c r="U78" s="39" t="s">
        <v>46</v>
      </c>
      <c r="V78" s="39" t="s">
        <v>46</v>
      </c>
      <c r="W78" s="40" t="s">
        <v>39</v>
      </c>
      <c r="X78" s="58">
        <v>216</v>
      </c>
      <c r="Y78" s="55">
        <f>IFERROR(IF(X78="","",X78),"")</f>
        <v>216</v>
      </c>
      <c r="Z78" s="41">
        <f>IFERROR(IF(X78="","",X78*0.00866),"")</f>
        <v>1.8705599999999998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1126.0511999999999</v>
      </c>
      <c r="BN78" s="81">
        <f>IFERROR(Y78*I78,"0")</f>
        <v>1126.0511999999999</v>
      </c>
      <c r="BO78" s="81">
        <f>IFERROR(X78/J78,"0")</f>
        <v>1.5</v>
      </c>
      <c r="BP78" s="81">
        <f>IFERROR(Y78/J78,"0")</f>
        <v>1.5</v>
      </c>
    </row>
    <row r="79" spans="1:68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39</v>
      </c>
      <c r="X79" s="43">
        <f>IFERROR(SUM(X77:X78),"0")</f>
        <v>216</v>
      </c>
      <c r="Y79" s="43">
        <f>IFERROR(SUM(Y77:Y78),"0")</f>
        <v>216</v>
      </c>
      <c r="Z79" s="43">
        <f>IFERROR(IF(Z77="",0,Z77),"0")+IFERROR(IF(Z78="",0,Z78),"0")</f>
        <v>1.8705599999999998</v>
      </c>
      <c r="AA79" s="67"/>
      <c r="AB79" s="67"/>
      <c r="AC79" s="67"/>
    </row>
    <row r="80" spans="1:68" x14ac:dyDescent="0.2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7"/>
      <c r="P80" s="373" t="s">
        <v>40</v>
      </c>
      <c r="Q80" s="374"/>
      <c r="R80" s="374"/>
      <c r="S80" s="374"/>
      <c r="T80" s="374"/>
      <c r="U80" s="374"/>
      <c r="V80" s="375"/>
      <c r="W80" s="42" t="s">
        <v>0</v>
      </c>
      <c r="X80" s="43">
        <f>IFERROR(SUMPRODUCT(X77:X78*H77:H78),"0")</f>
        <v>1080</v>
      </c>
      <c r="Y80" s="43">
        <f>IFERROR(SUMPRODUCT(Y77:Y78*H77:H78),"0")</f>
        <v>1080</v>
      </c>
      <c r="Z80" s="42"/>
      <c r="AA80" s="67"/>
      <c r="AB80" s="67"/>
      <c r="AC80" s="67"/>
    </row>
    <row r="81" spans="1:68" ht="16.5" hidden="1" customHeight="1" x14ac:dyDescent="0.25">
      <c r="A81" s="360" t="s">
        <v>166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65"/>
      <c r="AB81" s="65"/>
      <c r="AC81" s="82"/>
    </row>
    <row r="82" spans="1:68" ht="14.25" hidden="1" customHeight="1" x14ac:dyDescent="0.25">
      <c r="A82" s="361" t="s">
        <v>151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362">
        <v>4607111033659</v>
      </c>
      <c r="E83" s="362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14</v>
      </c>
      <c r="Y83" s="55">
        <f>IFERROR(IF(X83="","",X83),"")</f>
        <v>14</v>
      </c>
      <c r="Z83" s="41">
        <f>IFERROR(IF(X83="","",X83*0.01788),"")</f>
        <v>0.25031999999999999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60.250400000000006</v>
      </c>
      <c r="BN83" s="81">
        <f>IFERROR(Y83*I83,"0")</f>
        <v>60.250400000000006</v>
      </c>
      <c r="BO83" s="81">
        <f>IFERROR(X83/J83,"0")</f>
        <v>0.2</v>
      </c>
      <c r="BP83" s="81">
        <f>IFERROR(Y83/J83,"0")</f>
        <v>0.2</v>
      </c>
    </row>
    <row r="84" spans="1:68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IFERROR(SUM(X83:X83),"0")</f>
        <v>14</v>
      </c>
      <c r="Y84" s="43">
        <f>IFERROR(SUM(Y83:Y83),"0")</f>
        <v>14</v>
      </c>
      <c r="Z84" s="43">
        <f>IFERROR(IF(Z83="",0,Z83),"0")</f>
        <v>0.25031999999999999</v>
      </c>
      <c r="AA84" s="67"/>
      <c r="AB84" s="67"/>
      <c r="AC84" s="67"/>
    </row>
    <row r="85" spans="1:68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IFERROR(SUMPRODUCT(X83:X83*H83:H83),"0")</f>
        <v>50.4</v>
      </c>
      <c r="Y85" s="43">
        <f>IFERROR(SUMPRODUCT(Y83:Y83*H83:H83),"0")</f>
        <v>50.4</v>
      </c>
      <c r="Z85" s="42"/>
      <c r="AA85" s="67"/>
      <c r="AB85" s="67"/>
      <c r="AC85" s="67"/>
    </row>
    <row r="86" spans="1:68" ht="16.5" hidden="1" customHeight="1" x14ac:dyDescent="0.25">
      <c r="A86" s="360" t="s">
        <v>170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hidden="1" customHeight="1" x14ac:dyDescent="0.25">
      <c r="A87" s="361" t="s">
        <v>171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362">
        <v>4607111034120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362">
        <v>4607111034137</v>
      </c>
      <c r="E89" s="362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4"/>
      <c r="R89" s="364"/>
      <c r="S89" s="364"/>
      <c r="T89" s="365"/>
      <c r="U89" s="39" t="s">
        <v>46</v>
      </c>
      <c r="V89" s="39" t="s">
        <v>46</v>
      </c>
      <c r="W89" s="40" t="s">
        <v>39</v>
      </c>
      <c r="X89" s="58">
        <v>14</v>
      </c>
      <c r="Y89" s="55">
        <f>IFERROR(IF(X89="","",X89),"")</f>
        <v>14</v>
      </c>
      <c r="Z89" s="41">
        <f>IFERROR(IF(X89="","",X89*0.01788),"")</f>
        <v>0.25031999999999999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60.250400000000006</v>
      </c>
      <c r="BN89" s="81">
        <f>IFERROR(Y89*I89,"0")</f>
        <v>60.250400000000006</v>
      </c>
      <c r="BO89" s="81">
        <f>IFERROR(X89/J89,"0")</f>
        <v>0.2</v>
      </c>
      <c r="BP89" s="81">
        <f>IFERROR(Y89/J89,"0")</f>
        <v>0.2</v>
      </c>
    </row>
    <row r="90" spans="1:68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39</v>
      </c>
      <c r="X90" s="43">
        <f>IFERROR(SUM(X88:X89),"0")</f>
        <v>28</v>
      </c>
      <c r="Y90" s="43">
        <f>IFERROR(SUM(Y88:Y89),"0")</f>
        <v>28</v>
      </c>
      <c r="Z90" s="43">
        <f>IFERROR(IF(Z88="",0,Z88),"0")+IFERROR(IF(Z89="",0,Z89),"0")</f>
        <v>0.50063999999999997</v>
      </c>
      <c r="AA90" s="67"/>
      <c r="AB90" s="67"/>
      <c r="AC90" s="67"/>
    </row>
    <row r="91" spans="1:68" x14ac:dyDescent="0.2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7"/>
      <c r="P91" s="373" t="s">
        <v>40</v>
      </c>
      <c r="Q91" s="374"/>
      <c r="R91" s="374"/>
      <c r="S91" s="374"/>
      <c r="T91" s="374"/>
      <c r="U91" s="374"/>
      <c r="V91" s="375"/>
      <c r="W91" s="42" t="s">
        <v>0</v>
      </c>
      <c r="X91" s="43">
        <f>IFERROR(SUMPRODUCT(X88:X89*H88:H89),"0")</f>
        <v>100.8</v>
      </c>
      <c r="Y91" s="43">
        <f>IFERROR(SUMPRODUCT(Y88:Y89*H88:H89),"0")</f>
        <v>100.8</v>
      </c>
      <c r="Z91" s="42"/>
      <c r="AA91" s="67"/>
      <c r="AB91" s="67"/>
      <c r="AC91" s="67"/>
    </row>
    <row r="92" spans="1:68" ht="16.5" hidden="1" customHeight="1" x14ac:dyDescent="0.25">
      <c r="A92" s="360" t="s">
        <v>178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65"/>
      <c r="AB92" s="65"/>
      <c r="AC92" s="82"/>
    </row>
    <row r="93" spans="1:68" ht="14.25" hidden="1" customHeight="1" x14ac:dyDescent="0.25">
      <c r="A93" s="361" t="s">
        <v>151</v>
      </c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362">
        <v>4620207491027</v>
      </c>
      <c r="E94" s="36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120</v>
      </c>
      <c r="AK94" s="87">
        <v>14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181</v>
      </c>
      <c r="B95" s="63" t="s">
        <v>182</v>
      </c>
      <c r="C95" s="36">
        <v>4301135914</v>
      </c>
      <c r="D95" s="362">
        <v>4620207491621</v>
      </c>
      <c r="E95" s="36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40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4"/>
      <c r="R95" s="364"/>
      <c r="S95" s="364"/>
      <c r="T95" s="365"/>
      <c r="U95" s="39" t="s">
        <v>46</v>
      </c>
      <c r="V95" s="39" t="s">
        <v>46</v>
      </c>
      <c r="W95" s="40" t="s">
        <v>39</v>
      </c>
      <c r="X95" s="58">
        <v>98</v>
      </c>
      <c r="Y95" s="55">
        <f t="shared" si="6"/>
        <v>98</v>
      </c>
      <c r="Z95" s="41">
        <f t="shared" si="7"/>
        <v>1.75224</v>
      </c>
      <c r="AA95" s="68" t="s">
        <v>46</v>
      </c>
      <c r="AB95" s="69" t="s">
        <v>46</v>
      </c>
      <c r="AC95" s="149" t="s">
        <v>183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351.19280000000003</v>
      </c>
      <c r="BN95" s="81">
        <f t="shared" si="9"/>
        <v>351.19280000000003</v>
      </c>
      <c r="BO95" s="81">
        <f t="shared" si="10"/>
        <v>1.4</v>
      </c>
      <c r="BP95" s="81">
        <f t="shared" si="11"/>
        <v>1.4</v>
      </c>
    </row>
    <row r="96" spans="1:68" ht="27" customHeight="1" x14ac:dyDescent="0.25">
      <c r="A96" s="63" t="s">
        <v>184</v>
      </c>
      <c r="B96" s="63" t="s">
        <v>185</v>
      </c>
      <c r="C96" s="36">
        <v>4301135990</v>
      </c>
      <c r="D96" s="362">
        <v>4620207491881</v>
      </c>
      <c r="E96" s="36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4"/>
      <c r="R96" s="364"/>
      <c r="S96" s="364"/>
      <c r="T96" s="365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1" t="s">
        <v>183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50.170400000000001</v>
      </c>
      <c r="BN96" s="81">
        <f t="shared" si="9"/>
        <v>50.170400000000001</v>
      </c>
      <c r="BO96" s="81">
        <f t="shared" si="10"/>
        <v>0.2</v>
      </c>
      <c r="BP96" s="81">
        <f t="shared" si="11"/>
        <v>0.2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362">
        <v>4620207491010</v>
      </c>
      <c r="E97" s="36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4"/>
      <c r="R97" s="364"/>
      <c r="S97" s="364"/>
      <c r="T97" s="365"/>
      <c r="U97" s="39" t="s">
        <v>46</v>
      </c>
      <c r="V97" s="39" t="s">
        <v>46</v>
      </c>
      <c r="W97" s="40" t="s">
        <v>39</v>
      </c>
      <c r="X97" s="58">
        <v>98</v>
      </c>
      <c r="Y97" s="55">
        <f t="shared" si="6"/>
        <v>98</v>
      </c>
      <c r="Z97" s="41">
        <f t="shared" si="7"/>
        <v>1.75224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351.19280000000003</v>
      </c>
      <c r="BN97" s="81">
        <f t="shared" si="9"/>
        <v>351.19280000000003</v>
      </c>
      <c r="BO97" s="81">
        <f t="shared" si="10"/>
        <v>1.4</v>
      </c>
      <c r="BP97" s="81">
        <f t="shared" si="11"/>
        <v>1.4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362">
        <v>4620207491874</v>
      </c>
      <c r="E98" s="36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0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4"/>
      <c r="R98" s="364"/>
      <c r="S98" s="364"/>
      <c r="T98" s="36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183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362">
        <v>4607111036407</v>
      </c>
      <c r="E99" s="36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>
        <v>14</v>
      </c>
      <c r="Y99" s="55">
        <f t="shared" si="6"/>
        <v>14</v>
      </c>
      <c r="Z99" s="41">
        <f t="shared" si="7"/>
        <v>0.25031999999999999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63.408800000000006</v>
      </c>
      <c r="BN99" s="81">
        <f t="shared" si="9"/>
        <v>63.408800000000006</v>
      </c>
      <c r="BO99" s="81">
        <f t="shared" si="10"/>
        <v>0.2</v>
      </c>
      <c r="BP99" s="81">
        <f t="shared" si="11"/>
        <v>0.2</v>
      </c>
    </row>
    <row r="100" spans="1:68" x14ac:dyDescent="0.2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7"/>
      <c r="P100" s="373" t="s">
        <v>40</v>
      </c>
      <c r="Q100" s="374"/>
      <c r="R100" s="374"/>
      <c r="S100" s="374"/>
      <c r="T100" s="374"/>
      <c r="U100" s="374"/>
      <c r="V100" s="375"/>
      <c r="W100" s="42" t="s">
        <v>39</v>
      </c>
      <c r="X100" s="43">
        <f>IFERROR(SUM(X94:X99),"0")</f>
        <v>224</v>
      </c>
      <c r="Y100" s="43">
        <f>IFERROR(SUM(Y94:Y99),"0")</f>
        <v>224</v>
      </c>
      <c r="Z100" s="43">
        <f>IFERROR(IF(Z94="",0,Z94),"0")+IFERROR(IF(Z95="",0,Z95),"0")+IFERROR(IF(Z96="",0,Z96),"0")+IFERROR(IF(Z97="",0,Z97),"0")+IFERROR(IF(Z98="",0,Z98),"0")+IFERROR(IF(Z99="",0,Z99),"0")</f>
        <v>4.0051199999999998</v>
      </c>
      <c r="AA100" s="67"/>
      <c r="AB100" s="67"/>
      <c r="AC100" s="67"/>
    </row>
    <row r="101" spans="1:68" x14ac:dyDescent="0.2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7"/>
      <c r="P101" s="373" t="s">
        <v>40</v>
      </c>
      <c r="Q101" s="374"/>
      <c r="R101" s="374"/>
      <c r="S101" s="374"/>
      <c r="T101" s="374"/>
      <c r="U101" s="374"/>
      <c r="V101" s="375"/>
      <c r="W101" s="42" t="s">
        <v>0</v>
      </c>
      <c r="X101" s="43">
        <f>IFERROR(SUMPRODUCT(X94:X99*H94:H99),"0")</f>
        <v>663.59999999999991</v>
      </c>
      <c r="Y101" s="43">
        <f>IFERROR(SUMPRODUCT(Y94:Y99*H94:H99),"0")</f>
        <v>663.59999999999991</v>
      </c>
      <c r="Z101" s="42"/>
      <c r="AA101" s="67"/>
      <c r="AB101" s="67"/>
      <c r="AC101" s="67"/>
    </row>
    <row r="102" spans="1:68" ht="16.5" hidden="1" customHeight="1" x14ac:dyDescent="0.25">
      <c r="A102" s="360" t="s">
        <v>193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65"/>
      <c r="AB102" s="65"/>
      <c r="AC102" s="82"/>
    </row>
    <row r="103" spans="1:68" ht="14.25" hidden="1" customHeight="1" x14ac:dyDescent="0.25">
      <c r="A103" s="361" t="s">
        <v>145</v>
      </c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362">
        <v>4607025784012</v>
      </c>
      <c r="E104" s="36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IFERROR(IF(X104="","",X104*0.00936),"")</f>
        <v>0.13103999999999999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34.876800000000003</v>
      </c>
      <c r="BN104" s="81">
        <f>IFERROR(Y104*I104,"0")</f>
        <v>34.876800000000003</v>
      </c>
      <c r="BO104" s="81">
        <f>IFERROR(X104/J104,"0")</f>
        <v>0.1111111111111111</v>
      </c>
      <c r="BP104" s="81">
        <f>IFERROR(Y104/J104,"0")</f>
        <v>0.1111111111111111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362">
        <v>4620207491645</v>
      </c>
      <c r="E105" s="36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4"/>
      <c r="R105" s="364"/>
      <c r="S105" s="364"/>
      <c r="T105" s="365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39</v>
      </c>
      <c r="X106" s="43">
        <f>IFERROR(SUM(X104:X105),"0")</f>
        <v>14</v>
      </c>
      <c r="Y106" s="43">
        <f>IFERROR(SUM(Y104:Y105),"0")</f>
        <v>14</v>
      </c>
      <c r="Z106" s="43">
        <f>IFERROR(IF(Z104="",0,Z104),"0")+IFERROR(IF(Z105="",0,Z105),"0")</f>
        <v>0.13103999999999999</v>
      </c>
      <c r="AA106" s="67"/>
      <c r="AB106" s="67"/>
      <c r="AC106" s="67"/>
    </row>
    <row r="107" spans="1:68" x14ac:dyDescent="0.2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7"/>
      <c r="P107" s="373" t="s">
        <v>40</v>
      </c>
      <c r="Q107" s="374"/>
      <c r="R107" s="374"/>
      <c r="S107" s="374"/>
      <c r="T107" s="374"/>
      <c r="U107" s="374"/>
      <c r="V107" s="375"/>
      <c r="W107" s="42" t="s">
        <v>0</v>
      </c>
      <c r="X107" s="43">
        <f>IFERROR(SUMPRODUCT(X104:X105*H104:H105),"0")</f>
        <v>30.240000000000002</v>
      </c>
      <c r="Y107" s="43">
        <f>IFERROR(SUMPRODUCT(Y104:Y105*H104:H105),"0")</f>
        <v>30.240000000000002</v>
      </c>
      <c r="Z107" s="42"/>
      <c r="AA107" s="67"/>
      <c r="AB107" s="67"/>
      <c r="AC107" s="67"/>
    </row>
    <row r="108" spans="1:68" ht="16.5" hidden="1" customHeight="1" x14ac:dyDescent="0.25">
      <c r="A108" s="360" t="s">
        <v>200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65"/>
      <c r="AB108" s="65"/>
      <c r="AC108" s="82"/>
    </row>
    <row r="109" spans="1:68" ht="14.25" hidden="1" customHeight="1" x14ac:dyDescent="0.25">
      <c r="A109" s="361" t="s">
        <v>82</v>
      </c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362">
        <v>4620207491157</v>
      </c>
      <c r="E110" s="36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84</v>
      </c>
      <c r="Y110" s="55">
        <f t="shared" ref="Y110:Y118" si="12">IFERROR(IF(X110="","",X110),"")</f>
        <v>84</v>
      </c>
      <c r="Z110" s="41">
        <f t="shared" ref="Z110:Z118" si="13">IFERROR(IF(X110="","",X110*0.0155),"")</f>
        <v>1.302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611.52</v>
      </c>
      <c r="BN110" s="81">
        <f t="shared" ref="BN110:BN118" si="15">IFERROR(Y110*I110,"0")</f>
        <v>611.52</v>
      </c>
      <c r="BO110" s="81">
        <f t="shared" ref="BO110:BO118" si="16">IFERROR(X110/J110,"0")</f>
        <v>1</v>
      </c>
      <c r="BP110" s="81">
        <f t="shared" ref="BP110:BP118" si="17">IFERROR(Y110/J110,"0")</f>
        <v>1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362">
        <v>4620207491393</v>
      </c>
      <c r="E111" s="36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4"/>
      <c r="R111" s="364"/>
      <c r="S111" s="364"/>
      <c r="T111" s="36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362">
        <v>4620207491829</v>
      </c>
      <c r="E112" s="362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4"/>
      <c r="R112" s="364"/>
      <c r="S112" s="364"/>
      <c r="T112" s="36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362">
        <v>4607111039262</v>
      </c>
      <c r="E113" s="362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4"/>
      <c r="R113" s="364"/>
      <c r="S113" s="364"/>
      <c r="T113" s="365"/>
      <c r="U113" s="39" t="s">
        <v>46</v>
      </c>
      <c r="V113" s="39" t="s">
        <v>46</v>
      </c>
      <c r="W113" s="40" t="s">
        <v>39</v>
      </c>
      <c r="X113" s="58">
        <v>36</v>
      </c>
      <c r="Y113" s="55">
        <f t="shared" si="12"/>
        <v>36</v>
      </c>
      <c r="Z113" s="41">
        <f t="shared" si="13"/>
        <v>0.55800000000000005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241.90559999999999</v>
      </c>
      <c r="BN113" s="81">
        <f t="shared" si="15"/>
        <v>241.90559999999999</v>
      </c>
      <c r="BO113" s="81">
        <f t="shared" si="16"/>
        <v>0.42857142857142855</v>
      </c>
      <c r="BP113" s="81">
        <f t="shared" si="17"/>
        <v>0.42857142857142855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362">
        <v>4607111039248</v>
      </c>
      <c r="E114" s="362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4"/>
      <c r="R114" s="364"/>
      <c r="S114" s="364"/>
      <c r="T114" s="365"/>
      <c r="U114" s="39" t="s">
        <v>46</v>
      </c>
      <c r="V114" s="39" t="s">
        <v>46</v>
      </c>
      <c r="W114" s="40" t="s">
        <v>39</v>
      </c>
      <c r="X114" s="58">
        <v>216</v>
      </c>
      <c r="Y114" s="55">
        <f t="shared" si="12"/>
        <v>216</v>
      </c>
      <c r="Z114" s="41">
        <f t="shared" si="13"/>
        <v>3.3479999999999999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1576.8</v>
      </c>
      <c r="BN114" s="81">
        <f t="shared" si="15"/>
        <v>1576.8</v>
      </c>
      <c r="BO114" s="81">
        <f t="shared" si="16"/>
        <v>2.5714285714285716</v>
      </c>
      <c r="BP114" s="81">
        <f t="shared" si="17"/>
        <v>2.5714285714285716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362">
        <v>4607111037145</v>
      </c>
      <c r="E115" s="362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362">
        <v>4620207491102</v>
      </c>
      <c r="E116" s="362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362">
        <v>4607111039293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>
        <v>48</v>
      </c>
      <c r="Y117" s="55">
        <f t="shared" si="12"/>
        <v>48</v>
      </c>
      <c r="Z117" s="41">
        <f t="shared" si="13"/>
        <v>0.74399999999999999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322.54079999999999</v>
      </c>
      <c r="BN117" s="81">
        <f t="shared" si="15"/>
        <v>322.54079999999999</v>
      </c>
      <c r="BO117" s="81">
        <f t="shared" si="16"/>
        <v>0.5714285714285714</v>
      </c>
      <c r="BP117" s="81">
        <f t="shared" si="17"/>
        <v>0.5714285714285714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362">
        <v>4607111039279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>
        <v>240</v>
      </c>
      <c r="Y118" s="55">
        <f t="shared" si="12"/>
        <v>240</v>
      </c>
      <c r="Z118" s="41">
        <f t="shared" si="13"/>
        <v>3.7199999999999998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1752</v>
      </c>
      <c r="BN118" s="81">
        <f t="shared" si="15"/>
        <v>1752</v>
      </c>
      <c r="BO118" s="81">
        <f t="shared" si="16"/>
        <v>2.8571428571428572</v>
      </c>
      <c r="BP118" s="81">
        <f t="shared" si="17"/>
        <v>2.8571428571428572</v>
      </c>
    </row>
    <row r="119" spans="1:68" x14ac:dyDescent="0.2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7"/>
      <c r="P119" s="373" t="s">
        <v>40</v>
      </c>
      <c r="Q119" s="374"/>
      <c r="R119" s="374"/>
      <c r="S119" s="374"/>
      <c r="T119" s="374"/>
      <c r="U119" s="374"/>
      <c r="V119" s="375"/>
      <c r="W119" s="42" t="s">
        <v>39</v>
      </c>
      <c r="X119" s="43">
        <f>IFERROR(SUM(X110:X118),"0")</f>
        <v>624</v>
      </c>
      <c r="Y119" s="43">
        <f>IFERROR(SUM(Y110:Y118),"0")</f>
        <v>624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9.6720000000000006</v>
      </c>
      <c r="AA119" s="67"/>
      <c r="AB119" s="67"/>
      <c r="AC119" s="67"/>
    </row>
    <row r="120" spans="1:68" x14ac:dyDescent="0.2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7"/>
      <c r="P120" s="373" t="s">
        <v>40</v>
      </c>
      <c r="Q120" s="374"/>
      <c r="R120" s="374"/>
      <c r="S120" s="374"/>
      <c r="T120" s="374"/>
      <c r="U120" s="374"/>
      <c r="V120" s="375"/>
      <c r="W120" s="42" t="s">
        <v>0</v>
      </c>
      <c r="X120" s="43">
        <f>IFERROR(SUMPRODUCT(X110:X118*H110:H118),"0")</f>
        <v>4317.6000000000004</v>
      </c>
      <c r="Y120" s="43">
        <f>IFERROR(SUMPRODUCT(Y110:Y118*H110:H118),"0")</f>
        <v>4317.6000000000004</v>
      </c>
      <c r="Z120" s="42"/>
      <c r="AA120" s="67"/>
      <c r="AB120" s="67"/>
      <c r="AC120" s="67"/>
    </row>
    <row r="121" spans="1:68" ht="14.25" hidden="1" customHeight="1" x14ac:dyDescent="0.25">
      <c r="A121" s="361" t="s">
        <v>151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362">
        <v>4620207490983</v>
      </c>
      <c r="E122" s="362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61" t="s">
        <v>226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362">
        <v>4620207491140</v>
      </c>
      <c r="E126" s="362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60" t="s">
        <v>230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65"/>
      <c r="AB129" s="65"/>
      <c r="AC129" s="82"/>
    </row>
    <row r="130" spans="1:68" ht="14.25" hidden="1" customHeight="1" x14ac:dyDescent="0.25">
      <c r="A130" s="361" t="s">
        <v>151</v>
      </c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66"/>
      <c r="AB130" s="66"/>
      <c r="AC130" s="83"/>
    </row>
    <row r="131" spans="1:68" ht="27" customHeight="1" x14ac:dyDescent="0.25">
      <c r="A131" s="63" t="s">
        <v>231</v>
      </c>
      <c r="B131" s="63" t="s">
        <v>232</v>
      </c>
      <c r="C131" s="36">
        <v>4301135848</v>
      </c>
      <c r="D131" s="362">
        <v>4620207491799</v>
      </c>
      <c r="E131" s="362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4"/>
      <c r="R131" s="364"/>
      <c r="S131" s="364"/>
      <c r="T131" s="365"/>
      <c r="U131" s="39" t="s">
        <v>46</v>
      </c>
      <c r="V131" s="39" t="s">
        <v>46</v>
      </c>
      <c r="W131" s="40" t="s">
        <v>39</v>
      </c>
      <c r="X131" s="58">
        <v>56</v>
      </c>
      <c r="Y131" s="55">
        <f>IFERROR(IF(X131="","",X131),"")</f>
        <v>56</v>
      </c>
      <c r="Z131" s="41">
        <f>IFERROR(IF(X131="","",X131*0.00941),"")</f>
        <v>0.52695999999999998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100.8</v>
      </c>
      <c r="BN131" s="81">
        <f>IFERROR(Y131*I131,"0")</f>
        <v>100.8</v>
      </c>
      <c r="BO131" s="81">
        <f>IFERROR(X131/J131,"0")</f>
        <v>0.4</v>
      </c>
      <c r="BP131" s="81">
        <f>IFERROR(Y131/J131,"0")</f>
        <v>0.4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362">
        <v>4620207491492</v>
      </c>
      <c r="E132" s="36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4"/>
      <c r="R132" s="364"/>
      <c r="S132" s="364"/>
      <c r="T132" s="365"/>
      <c r="U132" s="39" t="s">
        <v>46</v>
      </c>
      <c r="V132" s="39" t="s">
        <v>46</v>
      </c>
      <c r="W132" s="40" t="s">
        <v>39</v>
      </c>
      <c r="X132" s="58">
        <v>42</v>
      </c>
      <c r="Y132" s="55">
        <f>IFERROR(IF(X132="","",X132),"")</f>
        <v>42</v>
      </c>
      <c r="Z132" s="41">
        <f>IFERROR(IF(X132="","",X132*0.00941),"")</f>
        <v>0.39522000000000002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75.600000000000009</v>
      </c>
      <c r="BN132" s="81">
        <f>IFERROR(Y132*I132,"0")</f>
        <v>75.600000000000009</v>
      </c>
      <c r="BO132" s="81">
        <f>IFERROR(X132/J132,"0")</f>
        <v>0.3</v>
      </c>
      <c r="BP132" s="81">
        <f>IFERROR(Y132/J132,"0")</f>
        <v>0.3</v>
      </c>
    </row>
    <row r="133" spans="1:68" ht="27" customHeight="1" x14ac:dyDescent="0.25">
      <c r="A133" s="63" t="s">
        <v>236</v>
      </c>
      <c r="B133" s="63" t="s">
        <v>237</v>
      </c>
      <c r="C133" s="36">
        <v>4301190118</v>
      </c>
      <c r="D133" s="362">
        <v>4620207491461</v>
      </c>
      <c r="E133" s="362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4"/>
      <c r="R133" s="364"/>
      <c r="S133" s="364"/>
      <c r="T133" s="365"/>
      <c r="U133" s="39" t="s">
        <v>46</v>
      </c>
      <c r="V133" s="39" t="s">
        <v>46</v>
      </c>
      <c r="W133" s="40" t="s">
        <v>39</v>
      </c>
      <c r="X133" s="58">
        <v>56</v>
      </c>
      <c r="Y133" s="55">
        <f>IFERROR(IF(X133="","",X133),"")</f>
        <v>56</v>
      </c>
      <c r="Z133" s="41">
        <f>IFERROR(IF(X133="","",X133*0.00941),"")</f>
        <v>0.52695999999999998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97.44</v>
      </c>
      <c r="BN133" s="81">
        <f>IFERROR(Y133*I133,"0")</f>
        <v>97.44</v>
      </c>
      <c r="BO133" s="81">
        <f>IFERROR(X133/J133,"0")</f>
        <v>0.4</v>
      </c>
      <c r="BP133" s="81">
        <f>IFERROR(Y133/J133,"0")</f>
        <v>0.4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362">
        <v>4620207491485</v>
      </c>
      <c r="E134" s="36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4"/>
      <c r="R134" s="364"/>
      <c r="S134" s="364"/>
      <c r="T134" s="365"/>
      <c r="U134" s="39" t="s">
        <v>46</v>
      </c>
      <c r="V134" s="39" t="s">
        <v>46</v>
      </c>
      <c r="W134" s="40" t="s">
        <v>39</v>
      </c>
      <c r="X134" s="58">
        <v>98</v>
      </c>
      <c r="Y134" s="55">
        <f>IFERROR(IF(X134="","",X134),"")</f>
        <v>98</v>
      </c>
      <c r="Z134" s="41">
        <f>IFERROR(IF(X134="","",X134*0.00941),"")</f>
        <v>0.92218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176.4</v>
      </c>
      <c r="BN134" s="81">
        <f>IFERROR(Y134*I134,"0")</f>
        <v>176.4</v>
      </c>
      <c r="BO134" s="81">
        <f>IFERROR(X134/J134,"0")</f>
        <v>0.7</v>
      </c>
      <c r="BP134" s="81">
        <f>IFERROR(Y134/J134,"0")</f>
        <v>0.7</v>
      </c>
    </row>
    <row r="135" spans="1:68" x14ac:dyDescent="0.2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7"/>
      <c r="P135" s="373" t="s">
        <v>40</v>
      </c>
      <c r="Q135" s="374"/>
      <c r="R135" s="374"/>
      <c r="S135" s="374"/>
      <c r="T135" s="374"/>
      <c r="U135" s="374"/>
      <c r="V135" s="375"/>
      <c r="W135" s="42" t="s">
        <v>39</v>
      </c>
      <c r="X135" s="43">
        <f>IFERROR(SUM(X131:X134),"0")</f>
        <v>252</v>
      </c>
      <c r="Y135" s="43">
        <f>IFERROR(SUM(Y131:Y134),"0")</f>
        <v>252</v>
      </c>
      <c r="Z135" s="43">
        <f>IFERROR(IF(Z131="",0,Z131),"0")+IFERROR(IF(Z132="",0,Z132),"0")+IFERROR(IF(Z133="",0,Z133),"0")+IFERROR(IF(Z134="",0,Z134),"0")</f>
        <v>2.3713199999999999</v>
      </c>
      <c r="AA135" s="67"/>
      <c r="AB135" s="67"/>
      <c r="AC135" s="67"/>
    </row>
    <row r="136" spans="1:68" x14ac:dyDescent="0.2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7"/>
      <c r="P136" s="373" t="s">
        <v>40</v>
      </c>
      <c r="Q136" s="374"/>
      <c r="R136" s="374"/>
      <c r="S136" s="374"/>
      <c r="T136" s="374"/>
      <c r="U136" s="374"/>
      <c r="V136" s="375"/>
      <c r="W136" s="42" t="s">
        <v>0</v>
      </c>
      <c r="X136" s="43">
        <f>IFERROR(SUMPRODUCT(X131:X134*H131:H134),"0")</f>
        <v>344.4</v>
      </c>
      <c r="Y136" s="43">
        <f>IFERROR(SUMPRODUCT(Y131:Y134*H131:H134),"0")</f>
        <v>344.4</v>
      </c>
      <c r="Z136" s="42"/>
      <c r="AA136" s="67"/>
      <c r="AB136" s="67"/>
      <c r="AC136" s="67"/>
    </row>
    <row r="137" spans="1:68" ht="14.25" hidden="1" customHeight="1" x14ac:dyDescent="0.25">
      <c r="A137" s="361" t="s">
        <v>240</v>
      </c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362">
        <v>4620207491386</v>
      </c>
      <c r="E138" s="36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4"/>
      <c r="R138" s="364"/>
      <c r="S138" s="364"/>
      <c r="T138" s="36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362">
        <v>4620207491362</v>
      </c>
      <c r="E139" s="362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4"/>
      <c r="R139" s="364"/>
      <c r="S139" s="364"/>
      <c r="T139" s="36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362">
        <v>4620207491379</v>
      </c>
      <c r="E140" s="36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4"/>
      <c r="R140" s="364"/>
      <c r="S140" s="364"/>
      <c r="T140" s="36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7"/>
      <c r="P141" s="373" t="s">
        <v>40</v>
      </c>
      <c r="Q141" s="374"/>
      <c r="R141" s="374"/>
      <c r="S141" s="374"/>
      <c r="T141" s="374"/>
      <c r="U141" s="374"/>
      <c r="V141" s="37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7"/>
      <c r="P142" s="373" t="s">
        <v>40</v>
      </c>
      <c r="Q142" s="374"/>
      <c r="R142" s="374"/>
      <c r="S142" s="374"/>
      <c r="T142" s="374"/>
      <c r="U142" s="374"/>
      <c r="V142" s="37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60" t="s">
        <v>248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65"/>
      <c r="AB143" s="65"/>
      <c r="AC143" s="82"/>
    </row>
    <row r="144" spans="1:68" ht="14.25" hidden="1" customHeight="1" x14ac:dyDescent="0.25">
      <c r="A144" s="361" t="s">
        <v>151</v>
      </c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362">
        <v>4607111034014</v>
      </c>
      <c r="E145" s="362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4"/>
      <c r="R145" s="364"/>
      <c r="S145" s="364"/>
      <c r="T145" s="365"/>
      <c r="U145" s="39" t="s">
        <v>46</v>
      </c>
      <c r="V145" s="39" t="s">
        <v>46</v>
      </c>
      <c r="W145" s="40" t="s">
        <v>39</v>
      </c>
      <c r="X145" s="58">
        <v>126</v>
      </c>
      <c r="Y145" s="55">
        <f>IFERROR(IF(X145="","",X145),"")</f>
        <v>126</v>
      </c>
      <c r="Z145" s="41">
        <f>IFERROR(IF(X145="","",X145*0.01788),"")</f>
        <v>2.2528800000000002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466.65359999999998</v>
      </c>
      <c r="BN145" s="81">
        <f>IFERROR(Y145*I145,"0")</f>
        <v>466.65359999999998</v>
      </c>
      <c r="BO145" s="81">
        <f>IFERROR(X145/J145,"0")</f>
        <v>1.8</v>
      </c>
      <c r="BP145" s="81">
        <f>IFERROR(Y145/J145,"0")</f>
        <v>1.8</v>
      </c>
    </row>
    <row r="146" spans="1:68" ht="27" customHeight="1" x14ac:dyDescent="0.25">
      <c r="A146" s="63" t="s">
        <v>252</v>
      </c>
      <c r="B146" s="63" t="s">
        <v>253</v>
      </c>
      <c r="C146" s="36">
        <v>4301135962</v>
      </c>
      <c r="D146" s="362">
        <v>4620207491584</v>
      </c>
      <c r="E146" s="362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88</v>
      </c>
      <c r="M146" s="38" t="s">
        <v>86</v>
      </c>
      <c r="N146" s="38"/>
      <c r="O146" s="37">
        <v>180</v>
      </c>
      <c r="P146" s="42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6" s="364"/>
      <c r="R146" s="364"/>
      <c r="S146" s="364"/>
      <c r="T146" s="365"/>
      <c r="U146" s="39" t="s">
        <v>46</v>
      </c>
      <c r="V146" s="39" t="s">
        <v>46</v>
      </c>
      <c r="W146" s="40" t="s">
        <v>39</v>
      </c>
      <c r="X146" s="58">
        <v>168</v>
      </c>
      <c r="Y146" s="55">
        <f>IFERROR(IF(X146="","",X146),"")</f>
        <v>168</v>
      </c>
      <c r="Z146" s="41">
        <f>IFERROR(IF(X146="","",X146*0.01788),"")</f>
        <v>3.0038399999999998</v>
      </c>
      <c r="AA146" s="68" t="s">
        <v>46</v>
      </c>
      <c r="AB146" s="69" t="s">
        <v>46</v>
      </c>
      <c r="AC146" s="201" t="s">
        <v>254</v>
      </c>
      <c r="AG146" s="81"/>
      <c r="AJ146" s="87" t="s">
        <v>89</v>
      </c>
      <c r="AK146" s="87">
        <v>1</v>
      </c>
      <c r="BB146" s="202" t="s">
        <v>117</v>
      </c>
      <c r="BM146" s="81">
        <f>IFERROR(X146*I146,"0")</f>
        <v>622.20479999999998</v>
      </c>
      <c r="BN146" s="81">
        <f>IFERROR(Y146*I146,"0")</f>
        <v>622.20479999999998</v>
      </c>
      <c r="BO146" s="81">
        <f>IFERROR(X146/J146,"0")</f>
        <v>2.4</v>
      </c>
      <c r="BP146" s="81">
        <f>IFERROR(Y146/J146,"0")</f>
        <v>2.4</v>
      </c>
    </row>
    <row r="147" spans="1:68" x14ac:dyDescent="0.2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7"/>
      <c r="P147" s="373" t="s">
        <v>40</v>
      </c>
      <c r="Q147" s="374"/>
      <c r="R147" s="374"/>
      <c r="S147" s="374"/>
      <c r="T147" s="374"/>
      <c r="U147" s="374"/>
      <c r="V147" s="375"/>
      <c r="W147" s="42" t="s">
        <v>39</v>
      </c>
      <c r="X147" s="43">
        <f>IFERROR(SUM(X145:X146),"0")</f>
        <v>294</v>
      </c>
      <c r="Y147" s="43">
        <f>IFERROR(SUM(Y145:Y146),"0")</f>
        <v>294</v>
      </c>
      <c r="Z147" s="43">
        <f>IFERROR(IF(Z145="",0,Z145),"0")+IFERROR(IF(Z146="",0,Z146),"0")</f>
        <v>5.2567199999999996</v>
      </c>
      <c r="AA147" s="67"/>
      <c r="AB147" s="67"/>
      <c r="AC147" s="67"/>
    </row>
    <row r="148" spans="1:68" x14ac:dyDescent="0.2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7"/>
      <c r="P148" s="373" t="s">
        <v>40</v>
      </c>
      <c r="Q148" s="374"/>
      <c r="R148" s="374"/>
      <c r="S148" s="374"/>
      <c r="T148" s="374"/>
      <c r="U148" s="374"/>
      <c r="V148" s="375"/>
      <c r="W148" s="42" t="s">
        <v>0</v>
      </c>
      <c r="X148" s="43">
        <f>IFERROR(SUMPRODUCT(X145:X146*H145:H146),"0")</f>
        <v>882</v>
      </c>
      <c r="Y148" s="43">
        <f>IFERROR(SUMPRODUCT(Y145:Y146*H145:H146),"0")</f>
        <v>882</v>
      </c>
      <c r="Z148" s="42"/>
      <c r="AA148" s="67"/>
      <c r="AB148" s="67"/>
      <c r="AC148" s="67"/>
    </row>
    <row r="149" spans="1:68" ht="16.5" hidden="1" customHeight="1" x14ac:dyDescent="0.25">
      <c r="A149" s="360" t="s">
        <v>255</v>
      </c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65"/>
      <c r="AB149" s="65"/>
      <c r="AC149" s="82"/>
    </row>
    <row r="150" spans="1:68" ht="14.25" hidden="1" customHeight="1" x14ac:dyDescent="0.25">
      <c r="A150" s="361" t="s">
        <v>151</v>
      </c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66"/>
      <c r="AB150" s="66"/>
      <c r="AC150" s="83"/>
    </row>
    <row r="151" spans="1:68" ht="27" customHeight="1" x14ac:dyDescent="0.25">
      <c r="A151" s="63" t="s">
        <v>256</v>
      </c>
      <c r="B151" s="63" t="s">
        <v>257</v>
      </c>
      <c r="C151" s="36">
        <v>4301135824</v>
      </c>
      <c r="D151" s="362">
        <v>4607111039095</v>
      </c>
      <c r="E151" s="362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4"/>
      <c r="R151" s="364"/>
      <c r="S151" s="364"/>
      <c r="T151" s="365"/>
      <c r="U151" s="39" t="s">
        <v>46</v>
      </c>
      <c r="V151" s="39" t="s">
        <v>46</v>
      </c>
      <c r="W151" s="40" t="s">
        <v>39</v>
      </c>
      <c r="X151" s="58">
        <v>14</v>
      </c>
      <c r="Y151" s="55">
        <f>IFERROR(IF(X151="","",X151),"")</f>
        <v>14</v>
      </c>
      <c r="Z151" s="41">
        <f>IFERROR(IF(X151="","",X151*0.01788),"")</f>
        <v>0.25031999999999999</v>
      </c>
      <c r="AA151" s="68" t="s">
        <v>46</v>
      </c>
      <c r="AB151" s="69" t="s">
        <v>46</v>
      </c>
      <c r="AC151" s="203" t="s">
        <v>258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52.472000000000001</v>
      </c>
      <c r="BN151" s="81">
        <f>IFERROR(Y151*I151,"0")</f>
        <v>52.472000000000001</v>
      </c>
      <c r="BO151" s="81">
        <f>IFERROR(X151/J151,"0")</f>
        <v>0.2</v>
      </c>
      <c r="BP151" s="81">
        <f>IFERROR(Y151/J151,"0")</f>
        <v>0.2</v>
      </c>
    </row>
    <row r="152" spans="1:68" ht="16.5" customHeight="1" x14ac:dyDescent="0.25">
      <c r="A152" s="63" t="s">
        <v>259</v>
      </c>
      <c r="B152" s="63" t="s">
        <v>260</v>
      </c>
      <c r="C152" s="36">
        <v>4301135946</v>
      </c>
      <c r="D152" s="362">
        <v>4620207491553</v>
      </c>
      <c r="E152" s="36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4"/>
      <c r="R152" s="364"/>
      <c r="S152" s="364"/>
      <c r="T152" s="365"/>
      <c r="U152" s="39" t="s">
        <v>46</v>
      </c>
      <c r="V152" s="39" t="s">
        <v>46</v>
      </c>
      <c r="W152" s="40" t="s">
        <v>39</v>
      </c>
      <c r="X152" s="58">
        <v>28</v>
      </c>
      <c r="Y152" s="55">
        <f>IFERROR(IF(X152="","",X152),"")</f>
        <v>28</v>
      </c>
      <c r="Z152" s="41">
        <f>IFERROR(IF(X152="","",X152*0.01788),"")</f>
        <v>0.50063999999999997</v>
      </c>
      <c r="AA152" s="68" t="s">
        <v>46</v>
      </c>
      <c r="AB152" s="69" t="s">
        <v>46</v>
      </c>
      <c r="AC152" s="205" t="s">
        <v>261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103.70079999999999</v>
      </c>
      <c r="BN152" s="81">
        <f>IFERROR(Y152*I152,"0")</f>
        <v>103.70079999999999</v>
      </c>
      <c r="BO152" s="81">
        <f>IFERROR(X152/J152,"0")</f>
        <v>0.4</v>
      </c>
      <c r="BP152" s="81">
        <f>IFERROR(Y152/J152,"0")</f>
        <v>0.4</v>
      </c>
    </row>
    <row r="153" spans="1:68" x14ac:dyDescent="0.2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7"/>
      <c r="P153" s="373" t="s">
        <v>40</v>
      </c>
      <c r="Q153" s="374"/>
      <c r="R153" s="374"/>
      <c r="S153" s="374"/>
      <c r="T153" s="374"/>
      <c r="U153" s="374"/>
      <c r="V153" s="375"/>
      <c r="W153" s="42" t="s">
        <v>39</v>
      </c>
      <c r="X153" s="43">
        <f>IFERROR(SUM(X151:X152),"0")</f>
        <v>42</v>
      </c>
      <c r="Y153" s="43">
        <f>IFERROR(SUM(Y151:Y152),"0")</f>
        <v>42</v>
      </c>
      <c r="Z153" s="43">
        <f>IFERROR(IF(Z151="",0,Z151),"0")+IFERROR(IF(Z152="",0,Z152),"0")</f>
        <v>0.75095999999999996</v>
      </c>
      <c r="AA153" s="67"/>
      <c r="AB153" s="67"/>
      <c r="AC153" s="67"/>
    </row>
    <row r="154" spans="1:68" x14ac:dyDescent="0.2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7"/>
      <c r="P154" s="373" t="s">
        <v>40</v>
      </c>
      <c r="Q154" s="374"/>
      <c r="R154" s="374"/>
      <c r="S154" s="374"/>
      <c r="T154" s="374"/>
      <c r="U154" s="374"/>
      <c r="V154" s="375"/>
      <c r="W154" s="42" t="s">
        <v>0</v>
      </c>
      <c r="X154" s="43">
        <f>IFERROR(SUMPRODUCT(X151:X152*H151:H152),"0")</f>
        <v>126</v>
      </c>
      <c r="Y154" s="43">
        <f>IFERROR(SUMPRODUCT(Y151:Y152*H151:H152),"0")</f>
        <v>126</v>
      </c>
      <c r="Z154" s="42"/>
      <c r="AA154" s="67"/>
      <c r="AB154" s="67"/>
      <c r="AC154" s="67"/>
    </row>
    <row r="155" spans="1:68" ht="16.5" hidden="1" customHeight="1" x14ac:dyDescent="0.25">
      <c r="A155" s="360" t="s">
        <v>262</v>
      </c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65"/>
      <c r="AB155" s="65"/>
      <c r="AC155" s="82"/>
    </row>
    <row r="156" spans="1:68" ht="14.25" hidden="1" customHeight="1" x14ac:dyDescent="0.25">
      <c r="A156" s="361" t="s">
        <v>151</v>
      </c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66"/>
      <c r="AB156" s="66"/>
      <c r="AC156" s="83"/>
    </row>
    <row r="157" spans="1:68" ht="27" customHeight="1" x14ac:dyDescent="0.25">
      <c r="A157" s="63" t="s">
        <v>263</v>
      </c>
      <c r="B157" s="63" t="s">
        <v>264</v>
      </c>
      <c r="C157" s="36">
        <v>4301135753</v>
      </c>
      <c r="D157" s="362">
        <v>4620207490914</v>
      </c>
      <c r="E157" s="36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4"/>
      <c r="R157" s="364"/>
      <c r="S157" s="364"/>
      <c r="T157" s="365"/>
      <c r="U157" s="39" t="s">
        <v>46</v>
      </c>
      <c r="V157" s="39" t="s">
        <v>46</v>
      </c>
      <c r="W157" s="40" t="s">
        <v>39</v>
      </c>
      <c r="X157" s="58">
        <v>14</v>
      </c>
      <c r="Y157" s="55">
        <f>IFERROR(IF(X157="","",X157),"")</f>
        <v>14</v>
      </c>
      <c r="Z157" s="41">
        <f>IFERROR(IF(X157="","",X157*0.01788),"")</f>
        <v>0.25031999999999999</v>
      </c>
      <c r="AA157" s="68" t="s">
        <v>46</v>
      </c>
      <c r="AB157" s="69" t="s">
        <v>46</v>
      </c>
      <c r="AC157" s="207" t="s">
        <v>251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37.520000000000003</v>
      </c>
      <c r="BN157" s="81">
        <f>IFERROR(Y157*I157,"0")</f>
        <v>37.520000000000003</v>
      </c>
      <c r="BO157" s="81">
        <f>IFERROR(X157/J157,"0")</f>
        <v>0.2</v>
      </c>
      <c r="BP157" s="81">
        <f>IFERROR(Y157/J157,"0")</f>
        <v>0.2</v>
      </c>
    </row>
    <row r="158" spans="1:68" ht="27" customHeight="1" x14ac:dyDescent="0.25">
      <c r="A158" s="63" t="s">
        <v>265</v>
      </c>
      <c r="B158" s="63" t="s">
        <v>266</v>
      </c>
      <c r="C158" s="36">
        <v>4301135778</v>
      </c>
      <c r="D158" s="362">
        <v>4620207490853</v>
      </c>
      <c r="E158" s="362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4"/>
      <c r="R158" s="364"/>
      <c r="S158" s="364"/>
      <c r="T158" s="365"/>
      <c r="U158" s="39" t="s">
        <v>46</v>
      </c>
      <c r="V158" s="39" t="s">
        <v>46</v>
      </c>
      <c r="W158" s="40" t="s">
        <v>39</v>
      </c>
      <c r="X158" s="58">
        <v>56</v>
      </c>
      <c r="Y158" s="55">
        <f>IFERROR(IF(X158="","",X158),"")</f>
        <v>56</v>
      </c>
      <c r="Z158" s="41">
        <f>IFERROR(IF(X158="","",X158*0.01788),"")</f>
        <v>1.0012799999999999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150.08000000000001</v>
      </c>
      <c r="BN158" s="81">
        <f>IFERROR(Y158*I158,"0")</f>
        <v>150.08000000000001</v>
      </c>
      <c r="BO158" s="81">
        <f>IFERROR(X158/J158,"0")</f>
        <v>0.8</v>
      </c>
      <c r="BP158" s="81">
        <f>IFERROR(Y158/J158,"0")</f>
        <v>0.8</v>
      </c>
    </row>
    <row r="159" spans="1:68" x14ac:dyDescent="0.2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7"/>
      <c r="P159" s="373" t="s">
        <v>40</v>
      </c>
      <c r="Q159" s="374"/>
      <c r="R159" s="374"/>
      <c r="S159" s="374"/>
      <c r="T159" s="374"/>
      <c r="U159" s="374"/>
      <c r="V159" s="375"/>
      <c r="W159" s="42" t="s">
        <v>39</v>
      </c>
      <c r="X159" s="43">
        <f>IFERROR(SUM(X157:X158),"0")</f>
        <v>70</v>
      </c>
      <c r="Y159" s="43">
        <f>IFERROR(SUM(Y157:Y158),"0")</f>
        <v>70</v>
      </c>
      <c r="Z159" s="43">
        <f>IFERROR(IF(Z157="",0,Z157),"0")+IFERROR(IF(Z158="",0,Z158),"0")</f>
        <v>1.2515999999999998</v>
      </c>
      <c r="AA159" s="67"/>
      <c r="AB159" s="67"/>
      <c r="AC159" s="67"/>
    </row>
    <row r="160" spans="1:68" x14ac:dyDescent="0.2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7"/>
      <c r="P160" s="373" t="s">
        <v>40</v>
      </c>
      <c r="Q160" s="374"/>
      <c r="R160" s="374"/>
      <c r="S160" s="374"/>
      <c r="T160" s="374"/>
      <c r="U160" s="374"/>
      <c r="V160" s="375"/>
      <c r="W160" s="42" t="s">
        <v>0</v>
      </c>
      <c r="X160" s="43">
        <f>IFERROR(SUMPRODUCT(X157:X158*H157:H158),"0")</f>
        <v>168</v>
      </c>
      <c r="Y160" s="43">
        <f>IFERROR(SUMPRODUCT(Y157:Y158*H157:H158),"0")</f>
        <v>168</v>
      </c>
      <c r="Z160" s="42"/>
      <c r="AA160" s="67"/>
      <c r="AB160" s="67"/>
      <c r="AC160" s="67"/>
    </row>
    <row r="161" spans="1:68" ht="16.5" hidden="1" customHeight="1" x14ac:dyDescent="0.25">
      <c r="A161" s="360" t="s">
        <v>267</v>
      </c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65"/>
      <c r="AB161" s="65"/>
      <c r="AC161" s="82"/>
    </row>
    <row r="162" spans="1:68" ht="14.25" hidden="1" customHeight="1" x14ac:dyDescent="0.25">
      <c r="A162" s="361" t="s">
        <v>151</v>
      </c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66"/>
      <c r="AB162" s="66"/>
      <c r="AC162" s="83"/>
    </row>
    <row r="163" spans="1:68" ht="27" customHeight="1" x14ac:dyDescent="0.25">
      <c r="A163" s="63" t="s">
        <v>268</v>
      </c>
      <c r="B163" s="63" t="s">
        <v>269</v>
      </c>
      <c r="C163" s="36">
        <v>4301135940</v>
      </c>
      <c r="D163" s="362">
        <v>4620207491614</v>
      </c>
      <c r="E163" s="362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43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364"/>
      <c r="R163" s="364"/>
      <c r="S163" s="364"/>
      <c r="T163" s="365"/>
      <c r="U163" s="39" t="s">
        <v>46</v>
      </c>
      <c r="V163" s="39" t="s">
        <v>46</v>
      </c>
      <c r="W163" s="40" t="s">
        <v>39</v>
      </c>
      <c r="X163" s="58">
        <v>14</v>
      </c>
      <c r="Y163" s="55">
        <f>IFERROR(IF(X163="","",X163),"")</f>
        <v>14</v>
      </c>
      <c r="Z163" s="41">
        <f>IFERROR(IF(X163="","",X163*0.01788),"")</f>
        <v>0.25031999999999999</v>
      </c>
      <c r="AA163" s="68" t="s">
        <v>46</v>
      </c>
      <c r="AB163" s="69" t="s">
        <v>46</v>
      </c>
      <c r="AC163" s="211" t="s">
        <v>270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51.850399999999993</v>
      </c>
      <c r="BN163" s="81">
        <f>IFERROR(Y163*I163,"0")</f>
        <v>51.850399999999993</v>
      </c>
      <c r="BO163" s="81">
        <f>IFERROR(X163/J163,"0")</f>
        <v>0.2</v>
      </c>
      <c r="BP163" s="81">
        <f>IFERROR(Y163/J163,"0")</f>
        <v>0.2</v>
      </c>
    </row>
    <row r="164" spans="1:68" x14ac:dyDescent="0.2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7"/>
      <c r="P164" s="373" t="s">
        <v>40</v>
      </c>
      <c r="Q164" s="374"/>
      <c r="R164" s="374"/>
      <c r="S164" s="374"/>
      <c r="T164" s="374"/>
      <c r="U164" s="374"/>
      <c r="V164" s="375"/>
      <c r="W164" s="42" t="s">
        <v>39</v>
      </c>
      <c r="X164" s="43">
        <f>IFERROR(SUM(X163:X163),"0")</f>
        <v>14</v>
      </c>
      <c r="Y164" s="43">
        <f>IFERROR(SUM(Y163:Y163),"0")</f>
        <v>14</v>
      </c>
      <c r="Z164" s="43">
        <f>IFERROR(IF(Z163="",0,Z163),"0")</f>
        <v>0.25031999999999999</v>
      </c>
      <c r="AA164" s="67"/>
      <c r="AB164" s="67"/>
      <c r="AC164" s="67"/>
    </row>
    <row r="165" spans="1:68" x14ac:dyDescent="0.2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7"/>
      <c r="P165" s="373" t="s">
        <v>40</v>
      </c>
      <c r="Q165" s="374"/>
      <c r="R165" s="374"/>
      <c r="S165" s="374"/>
      <c r="T165" s="374"/>
      <c r="U165" s="374"/>
      <c r="V165" s="375"/>
      <c r="W165" s="42" t="s">
        <v>0</v>
      </c>
      <c r="X165" s="43">
        <f>IFERROR(SUMPRODUCT(X163:X163*H163:H163),"0")</f>
        <v>42</v>
      </c>
      <c r="Y165" s="43">
        <f>IFERROR(SUMPRODUCT(Y163:Y163*H163:H163),"0")</f>
        <v>42</v>
      </c>
      <c r="Z165" s="42"/>
      <c r="AA165" s="67"/>
      <c r="AB165" s="67"/>
      <c r="AC165" s="67"/>
    </row>
    <row r="166" spans="1:68" ht="16.5" hidden="1" customHeight="1" x14ac:dyDescent="0.25">
      <c r="A166" s="360" t="s">
        <v>271</v>
      </c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65"/>
      <c r="AB166" s="65"/>
      <c r="AC166" s="82"/>
    </row>
    <row r="167" spans="1:68" ht="14.25" hidden="1" customHeight="1" x14ac:dyDescent="0.25">
      <c r="A167" s="361" t="s">
        <v>151</v>
      </c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66"/>
      <c r="AB167" s="66"/>
      <c r="AC167" s="83"/>
    </row>
    <row r="168" spans="1:68" ht="16.5" hidden="1" customHeight="1" x14ac:dyDescent="0.25">
      <c r="A168" s="63" t="s">
        <v>272</v>
      </c>
      <c r="B168" s="63" t="s">
        <v>273</v>
      </c>
      <c r="C168" s="36">
        <v>4301135607</v>
      </c>
      <c r="D168" s="362">
        <v>4607111039613</v>
      </c>
      <c r="E168" s="362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4"/>
      <c r="R168" s="364"/>
      <c r="S168" s="364"/>
      <c r="T168" s="36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258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7"/>
      <c r="P169" s="373" t="s">
        <v>40</v>
      </c>
      <c r="Q169" s="374"/>
      <c r="R169" s="374"/>
      <c r="S169" s="374"/>
      <c r="T169" s="374"/>
      <c r="U169" s="374"/>
      <c r="V169" s="375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7"/>
      <c r="P170" s="373" t="s">
        <v>40</v>
      </c>
      <c r="Q170" s="374"/>
      <c r="R170" s="374"/>
      <c r="S170" s="374"/>
      <c r="T170" s="374"/>
      <c r="U170" s="374"/>
      <c r="V170" s="375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60" t="s">
        <v>274</v>
      </c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65"/>
      <c r="AB171" s="65"/>
      <c r="AC171" s="82"/>
    </row>
    <row r="172" spans="1:68" ht="14.25" hidden="1" customHeight="1" x14ac:dyDescent="0.25">
      <c r="A172" s="361" t="s">
        <v>151</v>
      </c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66"/>
      <c r="AB172" s="66"/>
      <c r="AC172" s="83"/>
    </row>
    <row r="173" spans="1:68" ht="27" hidden="1" customHeight="1" x14ac:dyDescent="0.25">
      <c r="A173" s="63" t="s">
        <v>275</v>
      </c>
      <c r="B173" s="63" t="s">
        <v>276</v>
      </c>
      <c r="C173" s="36">
        <v>4301135591</v>
      </c>
      <c r="D173" s="362">
        <v>4607111036568</v>
      </c>
      <c r="E173" s="362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4"/>
      <c r="R173" s="364"/>
      <c r="S173" s="364"/>
      <c r="T173" s="365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277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7"/>
      <c r="P174" s="373" t="s">
        <v>40</v>
      </c>
      <c r="Q174" s="374"/>
      <c r="R174" s="374"/>
      <c r="S174" s="374"/>
      <c r="T174" s="374"/>
      <c r="U174" s="374"/>
      <c r="V174" s="375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7"/>
      <c r="P175" s="373" t="s">
        <v>40</v>
      </c>
      <c r="Q175" s="374"/>
      <c r="R175" s="374"/>
      <c r="S175" s="374"/>
      <c r="T175" s="374"/>
      <c r="U175" s="374"/>
      <c r="V175" s="375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59" t="s">
        <v>278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54"/>
      <c r="AB176" s="54"/>
      <c r="AC176" s="54"/>
    </row>
    <row r="177" spans="1:68" ht="16.5" hidden="1" customHeight="1" x14ac:dyDescent="0.25">
      <c r="A177" s="360" t="s">
        <v>279</v>
      </c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65"/>
      <c r="AB177" s="65"/>
      <c r="AC177" s="82"/>
    </row>
    <row r="178" spans="1:68" ht="14.25" hidden="1" customHeight="1" x14ac:dyDescent="0.25">
      <c r="A178" s="361" t="s">
        <v>82</v>
      </c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66"/>
      <c r="AB178" s="66"/>
      <c r="AC178" s="83"/>
    </row>
    <row r="179" spans="1:68" ht="16.5" hidden="1" customHeight="1" x14ac:dyDescent="0.25">
      <c r="A179" s="63" t="s">
        <v>280</v>
      </c>
      <c r="B179" s="63" t="s">
        <v>281</v>
      </c>
      <c r="C179" s="36">
        <v>4301071062</v>
      </c>
      <c r="D179" s="362">
        <v>4607111036384</v>
      </c>
      <c r="E179" s="362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4"/>
      <c r="R179" s="364"/>
      <c r="S179" s="364"/>
      <c r="T179" s="36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282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283</v>
      </c>
      <c r="B180" s="63" t="s">
        <v>284</v>
      </c>
      <c r="C180" s="36">
        <v>4301071050</v>
      </c>
      <c r="D180" s="362">
        <v>4607111036216</v>
      </c>
      <c r="E180" s="362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4"/>
      <c r="R180" s="364"/>
      <c r="S180" s="364"/>
      <c r="T180" s="365"/>
      <c r="U180" s="39" t="s">
        <v>46</v>
      </c>
      <c r="V180" s="39" t="s">
        <v>46</v>
      </c>
      <c r="W180" s="40" t="s">
        <v>39</v>
      </c>
      <c r="X180" s="58">
        <v>36</v>
      </c>
      <c r="Y180" s="55">
        <f>IFERROR(IF(X180="","",X180),"")</f>
        <v>36</v>
      </c>
      <c r="Z180" s="41">
        <f>IFERROR(IF(X180="","",X180*0.00866),"")</f>
        <v>0.31175999999999998</v>
      </c>
      <c r="AA180" s="68" t="s">
        <v>46</v>
      </c>
      <c r="AB180" s="69" t="s">
        <v>46</v>
      </c>
      <c r="AC180" s="219" t="s">
        <v>285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187.67519999999999</v>
      </c>
      <c r="BN180" s="81">
        <f>IFERROR(Y180*I180,"0")</f>
        <v>187.67519999999999</v>
      </c>
      <c r="BO180" s="81">
        <f>IFERROR(X180/J180,"0")</f>
        <v>0.25</v>
      </c>
      <c r="BP180" s="81">
        <f>IFERROR(Y180/J180,"0")</f>
        <v>0.25</v>
      </c>
    </row>
    <row r="181" spans="1:68" x14ac:dyDescent="0.2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7"/>
      <c r="P181" s="373" t="s">
        <v>40</v>
      </c>
      <c r="Q181" s="374"/>
      <c r="R181" s="374"/>
      <c r="S181" s="374"/>
      <c r="T181" s="374"/>
      <c r="U181" s="374"/>
      <c r="V181" s="375"/>
      <c r="W181" s="42" t="s">
        <v>39</v>
      </c>
      <c r="X181" s="43">
        <f>IFERROR(SUM(X179:X180),"0")</f>
        <v>36</v>
      </c>
      <c r="Y181" s="43">
        <f>IFERROR(SUM(Y179:Y180),"0")</f>
        <v>36</v>
      </c>
      <c r="Z181" s="43">
        <f>IFERROR(IF(Z179="",0,Z179),"0")+IFERROR(IF(Z180="",0,Z180),"0")</f>
        <v>0.31175999999999998</v>
      </c>
      <c r="AA181" s="67"/>
      <c r="AB181" s="67"/>
      <c r="AC181" s="67"/>
    </row>
    <row r="182" spans="1:68" x14ac:dyDescent="0.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7"/>
      <c r="P182" s="373" t="s">
        <v>40</v>
      </c>
      <c r="Q182" s="374"/>
      <c r="R182" s="374"/>
      <c r="S182" s="374"/>
      <c r="T182" s="374"/>
      <c r="U182" s="374"/>
      <c r="V182" s="375"/>
      <c r="W182" s="42" t="s">
        <v>0</v>
      </c>
      <c r="X182" s="43">
        <f>IFERROR(SUMPRODUCT(X179:X180*H179:H180),"0")</f>
        <v>180</v>
      </c>
      <c r="Y182" s="43">
        <f>IFERROR(SUMPRODUCT(Y179:Y180*H179:H180),"0")</f>
        <v>180</v>
      </c>
      <c r="Z182" s="42"/>
      <c r="AA182" s="67"/>
      <c r="AB182" s="67"/>
      <c r="AC182" s="67"/>
    </row>
    <row r="183" spans="1:68" ht="16.5" hidden="1" customHeight="1" x14ac:dyDescent="0.25">
      <c r="A183" s="360" t="s">
        <v>286</v>
      </c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65"/>
      <c r="AB183" s="65"/>
      <c r="AC183" s="82"/>
    </row>
    <row r="184" spans="1:68" ht="14.25" hidden="1" customHeight="1" x14ac:dyDescent="0.25">
      <c r="A184" s="361" t="s">
        <v>82</v>
      </c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66"/>
      <c r="AB184" s="66"/>
      <c r="AC184" s="83"/>
    </row>
    <row r="185" spans="1:68" ht="27" customHeight="1" x14ac:dyDescent="0.25">
      <c r="A185" s="63" t="s">
        <v>287</v>
      </c>
      <c r="B185" s="63" t="s">
        <v>288</v>
      </c>
      <c r="C185" s="36">
        <v>4301071117</v>
      </c>
      <c r="D185" s="362">
        <v>4620207491737</v>
      </c>
      <c r="E185" s="362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4"/>
      <c r="R185" s="364"/>
      <c r="S185" s="364"/>
      <c r="T185" s="365"/>
      <c r="U185" s="39" t="s">
        <v>46</v>
      </c>
      <c r="V185" s="39" t="s">
        <v>46</v>
      </c>
      <c r="W185" s="40" t="s">
        <v>39</v>
      </c>
      <c r="X185" s="58">
        <v>96</v>
      </c>
      <c r="Y185" s="55">
        <f>IFERROR(IF(X185="","",X185),"")</f>
        <v>96</v>
      </c>
      <c r="Z185" s="41">
        <f>IFERROR(IF(X185="","",X185*0.0155),"")</f>
        <v>1.488</v>
      </c>
      <c r="AA185" s="68" t="s">
        <v>46</v>
      </c>
      <c r="AB185" s="69" t="s">
        <v>46</v>
      </c>
      <c r="AC185" s="221" t="s">
        <v>285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505.15199999999993</v>
      </c>
      <c r="BN185" s="81">
        <f>IFERROR(Y185*I185,"0")</f>
        <v>505.15199999999993</v>
      </c>
      <c r="BO185" s="81">
        <f>IFERROR(X185/J185,"0")</f>
        <v>1.1428571428571428</v>
      </c>
      <c r="BP185" s="81">
        <f>IFERROR(Y185/J185,"0")</f>
        <v>1.1428571428571428</v>
      </c>
    </row>
    <row r="186" spans="1:68" x14ac:dyDescent="0.2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7"/>
      <c r="P186" s="373" t="s">
        <v>40</v>
      </c>
      <c r="Q186" s="374"/>
      <c r="R186" s="374"/>
      <c r="S186" s="374"/>
      <c r="T186" s="374"/>
      <c r="U186" s="374"/>
      <c r="V186" s="375"/>
      <c r="W186" s="42" t="s">
        <v>39</v>
      </c>
      <c r="X186" s="43">
        <f>IFERROR(SUM(X185:X185),"0")</f>
        <v>96</v>
      </c>
      <c r="Y186" s="43">
        <f>IFERROR(SUM(Y185:Y185),"0")</f>
        <v>96</v>
      </c>
      <c r="Z186" s="43">
        <f>IFERROR(IF(Z185="",0,Z185),"0")</f>
        <v>1.488</v>
      </c>
      <c r="AA186" s="67"/>
      <c r="AB186" s="67"/>
      <c r="AC186" s="67"/>
    </row>
    <row r="187" spans="1:68" x14ac:dyDescent="0.2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7"/>
      <c r="P187" s="373" t="s">
        <v>40</v>
      </c>
      <c r="Q187" s="374"/>
      <c r="R187" s="374"/>
      <c r="S187" s="374"/>
      <c r="T187" s="374"/>
      <c r="U187" s="374"/>
      <c r="V187" s="375"/>
      <c r="W187" s="42" t="s">
        <v>0</v>
      </c>
      <c r="X187" s="43">
        <f>IFERROR(SUMPRODUCT(X185:X185*H185:H185),"0")</f>
        <v>480</v>
      </c>
      <c r="Y187" s="43">
        <f>IFERROR(SUMPRODUCT(Y185:Y185*H185:H185),"0")</f>
        <v>480</v>
      </c>
      <c r="Z187" s="42"/>
      <c r="AA187" s="67"/>
      <c r="AB187" s="67"/>
      <c r="AC187" s="67"/>
    </row>
    <row r="188" spans="1:68" ht="27.75" hidden="1" customHeight="1" x14ac:dyDescent="0.2">
      <c r="A188" s="359" t="s">
        <v>289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54"/>
      <c r="AB188" s="54"/>
      <c r="AC188" s="54"/>
    </row>
    <row r="189" spans="1:68" ht="16.5" hidden="1" customHeight="1" x14ac:dyDescent="0.25">
      <c r="A189" s="360" t="s">
        <v>290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65"/>
      <c r="AB189" s="65"/>
      <c r="AC189" s="82"/>
    </row>
    <row r="190" spans="1:68" ht="14.25" hidden="1" customHeight="1" x14ac:dyDescent="0.25">
      <c r="A190" s="361" t="s">
        <v>113</v>
      </c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66"/>
      <c r="AB190" s="66"/>
      <c r="AC190" s="83"/>
    </row>
    <row r="191" spans="1:68" ht="16.5" customHeight="1" x14ac:dyDescent="0.25">
      <c r="A191" s="63" t="s">
        <v>291</v>
      </c>
      <c r="B191" s="63" t="s">
        <v>292</v>
      </c>
      <c r="C191" s="36">
        <v>4301132179</v>
      </c>
      <c r="D191" s="362">
        <v>4607111035691</v>
      </c>
      <c r="E191" s="362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4"/>
      <c r="R191" s="364"/>
      <c r="S191" s="364"/>
      <c r="T191" s="365"/>
      <c r="U191" s="39" t="s">
        <v>46</v>
      </c>
      <c r="V191" s="39" t="s">
        <v>46</v>
      </c>
      <c r="W191" s="40" t="s">
        <v>39</v>
      </c>
      <c r="X191" s="58">
        <v>140</v>
      </c>
      <c r="Y191" s="55">
        <f>IFERROR(IF(X191="","",X191),"")</f>
        <v>140</v>
      </c>
      <c r="Z191" s="41">
        <f>IFERROR(IF(X191="","",X191*0.01788),"")</f>
        <v>2.5032000000000001</v>
      </c>
      <c r="AA191" s="68" t="s">
        <v>46</v>
      </c>
      <c r="AB191" s="69" t="s">
        <v>46</v>
      </c>
      <c r="AC191" s="223" t="s">
        <v>293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474.32</v>
      </c>
      <c r="BN191" s="81">
        <f>IFERROR(Y191*I191,"0")</f>
        <v>474.32</v>
      </c>
      <c r="BO191" s="81">
        <f>IFERROR(X191/J191,"0")</f>
        <v>2</v>
      </c>
      <c r="BP191" s="81">
        <f>IFERROR(Y191/J191,"0")</f>
        <v>2</v>
      </c>
    </row>
    <row r="192" spans="1:68" ht="27" customHeight="1" x14ac:dyDescent="0.25">
      <c r="A192" s="63" t="s">
        <v>294</v>
      </c>
      <c r="B192" s="63" t="s">
        <v>295</v>
      </c>
      <c r="C192" s="36">
        <v>4301132182</v>
      </c>
      <c r="D192" s="362">
        <v>4607111035721</v>
      </c>
      <c r="E192" s="362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4"/>
      <c r="R192" s="364"/>
      <c r="S192" s="364"/>
      <c r="T192" s="365"/>
      <c r="U192" s="39" t="s">
        <v>46</v>
      </c>
      <c r="V192" s="39" t="s">
        <v>46</v>
      </c>
      <c r="W192" s="40" t="s">
        <v>39</v>
      </c>
      <c r="X192" s="58">
        <v>126</v>
      </c>
      <c r="Y192" s="55">
        <f>IFERROR(IF(X192="","",X192),"")</f>
        <v>126</v>
      </c>
      <c r="Z192" s="41">
        <f>IFERROR(IF(X192="","",X192*0.01788),"")</f>
        <v>2.2528800000000002</v>
      </c>
      <c r="AA192" s="68" t="s">
        <v>46</v>
      </c>
      <c r="AB192" s="69" t="s">
        <v>46</v>
      </c>
      <c r="AC192" s="225" t="s">
        <v>296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426.88799999999998</v>
      </c>
      <c r="BN192" s="81">
        <f>IFERROR(Y192*I192,"0")</f>
        <v>426.88799999999998</v>
      </c>
      <c r="BO192" s="81">
        <f>IFERROR(X192/J192,"0")</f>
        <v>1.8</v>
      </c>
      <c r="BP192" s="81">
        <f>IFERROR(Y192/J192,"0")</f>
        <v>1.8</v>
      </c>
    </row>
    <row r="193" spans="1:68" ht="27" customHeight="1" x14ac:dyDescent="0.25">
      <c r="A193" s="63" t="s">
        <v>297</v>
      </c>
      <c r="B193" s="63" t="s">
        <v>298</v>
      </c>
      <c r="C193" s="36">
        <v>4301132170</v>
      </c>
      <c r="D193" s="362">
        <v>4607111038487</v>
      </c>
      <c r="E193" s="362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>
        <v>154</v>
      </c>
      <c r="Y193" s="55">
        <f>IFERROR(IF(X193="","",X193),"")</f>
        <v>154</v>
      </c>
      <c r="Z193" s="41">
        <f>IFERROR(IF(X193="","",X193*0.01788),"")</f>
        <v>2.75352</v>
      </c>
      <c r="AA193" s="68" t="s">
        <v>46</v>
      </c>
      <c r="AB193" s="69" t="s">
        <v>46</v>
      </c>
      <c r="AC193" s="227" t="s">
        <v>299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575.34400000000005</v>
      </c>
      <c r="BN193" s="81">
        <f>IFERROR(Y193*I193,"0")</f>
        <v>575.34400000000005</v>
      </c>
      <c r="BO193" s="81">
        <f>IFERROR(X193/J193,"0")</f>
        <v>2.2000000000000002</v>
      </c>
      <c r="BP193" s="81">
        <f>IFERROR(Y193/J193,"0")</f>
        <v>2.2000000000000002</v>
      </c>
    </row>
    <row r="194" spans="1:68" ht="27" customHeight="1" x14ac:dyDescent="0.25">
      <c r="A194" s="63" t="s">
        <v>300</v>
      </c>
      <c r="B194" s="63" t="s">
        <v>301</v>
      </c>
      <c r="C194" s="36">
        <v>4301132243</v>
      </c>
      <c r="D194" s="362">
        <v>4620207491195</v>
      </c>
      <c r="E194" s="362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28</v>
      </c>
      <c r="Y194" s="55">
        <f>IFERROR(IF(X194="","",X194),"")</f>
        <v>28</v>
      </c>
      <c r="Z194" s="41">
        <f>IFERROR(IF(X194="","",X194*0.01788),"")</f>
        <v>0.50063999999999997</v>
      </c>
      <c r="AA194" s="68" t="s">
        <v>46</v>
      </c>
      <c r="AB194" s="69" t="s">
        <v>46</v>
      </c>
      <c r="AC194" s="229" t="s">
        <v>302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88.144000000000005</v>
      </c>
      <c r="BN194" s="81">
        <f>IFERROR(Y194*I194,"0")</f>
        <v>88.144000000000005</v>
      </c>
      <c r="BO194" s="81">
        <f>IFERROR(X194/J194,"0")</f>
        <v>0.4</v>
      </c>
      <c r="BP194" s="81">
        <f>IFERROR(Y194/J194,"0")</f>
        <v>0.4</v>
      </c>
    </row>
    <row r="195" spans="1:68" x14ac:dyDescent="0.2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7"/>
      <c r="P195" s="373" t="s">
        <v>40</v>
      </c>
      <c r="Q195" s="374"/>
      <c r="R195" s="374"/>
      <c r="S195" s="374"/>
      <c r="T195" s="374"/>
      <c r="U195" s="374"/>
      <c r="V195" s="375"/>
      <c r="W195" s="42" t="s">
        <v>39</v>
      </c>
      <c r="X195" s="43">
        <f>IFERROR(SUM(X191:X194),"0")</f>
        <v>448</v>
      </c>
      <c r="Y195" s="43">
        <f>IFERROR(SUM(Y191:Y194),"0")</f>
        <v>448</v>
      </c>
      <c r="Z195" s="43">
        <f>IFERROR(IF(Z191="",0,Z191),"0")+IFERROR(IF(Z192="",0,Z192),"0")+IFERROR(IF(Z193="",0,Z193),"0")+IFERROR(IF(Z194="",0,Z194),"0")</f>
        <v>8.0102400000000014</v>
      </c>
      <c r="AA195" s="67"/>
      <c r="AB195" s="67"/>
      <c r="AC195" s="67"/>
    </row>
    <row r="196" spans="1:68" x14ac:dyDescent="0.2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7"/>
      <c r="P196" s="373" t="s">
        <v>40</v>
      </c>
      <c r="Q196" s="374"/>
      <c r="R196" s="374"/>
      <c r="S196" s="374"/>
      <c r="T196" s="374"/>
      <c r="U196" s="374"/>
      <c r="V196" s="375"/>
      <c r="W196" s="42" t="s">
        <v>0</v>
      </c>
      <c r="X196" s="43">
        <f>IFERROR(SUMPRODUCT(X191:X194*H191:H194),"0")</f>
        <v>1337.28</v>
      </c>
      <c r="Y196" s="43">
        <f>IFERROR(SUMPRODUCT(Y191:Y194*H191:H194),"0")</f>
        <v>1337.28</v>
      </c>
      <c r="Z196" s="42"/>
      <c r="AA196" s="67"/>
      <c r="AB196" s="67"/>
      <c r="AC196" s="67"/>
    </row>
    <row r="197" spans="1:68" ht="27.75" hidden="1" customHeight="1" x14ac:dyDescent="0.2">
      <c r="A197" s="359" t="s">
        <v>303</v>
      </c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54"/>
      <c r="AB197" s="54"/>
      <c r="AC197" s="54"/>
    </row>
    <row r="198" spans="1:68" ht="16.5" hidden="1" customHeight="1" x14ac:dyDescent="0.25">
      <c r="A198" s="360" t="s">
        <v>304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65"/>
      <c r="AB198" s="65"/>
      <c r="AC198" s="82"/>
    </row>
    <row r="199" spans="1:68" ht="14.25" hidden="1" customHeight="1" x14ac:dyDescent="0.25">
      <c r="A199" s="361" t="s">
        <v>113</v>
      </c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66"/>
      <c r="AB199" s="66"/>
      <c r="AC199" s="83"/>
    </row>
    <row r="200" spans="1:68" ht="27" customHeight="1" x14ac:dyDescent="0.25">
      <c r="A200" s="63" t="s">
        <v>305</v>
      </c>
      <c r="B200" s="63" t="s">
        <v>306</v>
      </c>
      <c r="C200" s="36">
        <v>4301132227</v>
      </c>
      <c r="D200" s="362">
        <v>4620207491133</v>
      </c>
      <c r="E200" s="362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4"/>
      <c r="R200" s="364"/>
      <c r="S200" s="364"/>
      <c r="T200" s="365"/>
      <c r="U200" s="39" t="s">
        <v>46</v>
      </c>
      <c r="V200" s="39" t="s">
        <v>46</v>
      </c>
      <c r="W200" s="40" t="s">
        <v>39</v>
      </c>
      <c r="X200" s="58">
        <v>28</v>
      </c>
      <c r="Y200" s="55">
        <f>IFERROR(IF(X200="","",X200),"")</f>
        <v>28</v>
      </c>
      <c r="Z200" s="41">
        <f>IFERROR(IF(X200="","",X200*0.01788),"")</f>
        <v>0.50063999999999997</v>
      </c>
      <c r="AA200" s="68" t="s">
        <v>46</v>
      </c>
      <c r="AB200" s="69" t="s">
        <v>46</v>
      </c>
      <c r="AC200" s="231" t="s">
        <v>307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83.44</v>
      </c>
      <c r="BN200" s="81">
        <f>IFERROR(Y200*I200,"0")</f>
        <v>83.44</v>
      </c>
      <c r="BO200" s="81">
        <f>IFERROR(X200/J200,"0")</f>
        <v>0.4</v>
      </c>
      <c r="BP200" s="81">
        <f>IFERROR(Y200/J200,"0")</f>
        <v>0.4</v>
      </c>
    </row>
    <row r="201" spans="1:68" x14ac:dyDescent="0.2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7"/>
      <c r="P201" s="373" t="s">
        <v>40</v>
      </c>
      <c r="Q201" s="374"/>
      <c r="R201" s="374"/>
      <c r="S201" s="374"/>
      <c r="T201" s="374"/>
      <c r="U201" s="374"/>
      <c r="V201" s="375"/>
      <c r="W201" s="42" t="s">
        <v>39</v>
      </c>
      <c r="X201" s="43">
        <f>IFERROR(SUM(X200:X200),"0")</f>
        <v>28</v>
      </c>
      <c r="Y201" s="43">
        <f>IFERROR(SUM(Y200:Y200),"0")</f>
        <v>28</v>
      </c>
      <c r="Z201" s="43">
        <f>IFERROR(IF(Z200="",0,Z200),"0")</f>
        <v>0.50063999999999997</v>
      </c>
      <c r="AA201" s="67"/>
      <c r="AB201" s="67"/>
      <c r="AC201" s="67"/>
    </row>
    <row r="202" spans="1:68" x14ac:dyDescent="0.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7"/>
      <c r="P202" s="373" t="s">
        <v>40</v>
      </c>
      <c r="Q202" s="374"/>
      <c r="R202" s="374"/>
      <c r="S202" s="374"/>
      <c r="T202" s="374"/>
      <c r="U202" s="374"/>
      <c r="V202" s="375"/>
      <c r="W202" s="42" t="s">
        <v>0</v>
      </c>
      <c r="X202" s="43">
        <f>IFERROR(SUMPRODUCT(X200:X200*H200:H200),"0")</f>
        <v>77.28</v>
      </c>
      <c r="Y202" s="43">
        <f>IFERROR(SUMPRODUCT(Y200:Y200*H200:H200),"0")</f>
        <v>77.28</v>
      </c>
      <c r="Z202" s="42"/>
      <c r="AA202" s="67"/>
      <c r="AB202" s="67"/>
      <c r="AC202" s="67"/>
    </row>
    <row r="203" spans="1:68" ht="14.25" hidden="1" customHeight="1" x14ac:dyDescent="0.25">
      <c r="A203" s="361" t="s">
        <v>151</v>
      </c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66"/>
      <c r="AB203" s="66"/>
      <c r="AC203" s="83"/>
    </row>
    <row r="204" spans="1:68" ht="27" hidden="1" customHeight="1" x14ac:dyDescent="0.25">
      <c r="A204" s="63" t="s">
        <v>308</v>
      </c>
      <c r="B204" s="63" t="s">
        <v>309</v>
      </c>
      <c r="C204" s="36">
        <v>4301135834</v>
      </c>
      <c r="D204" s="362">
        <v>4620207491188</v>
      </c>
      <c r="E204" s="36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4"/>
      <c r="R204" s="364"/>
      <c r="S204" s="364"/>
      <c r="T204" s="36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310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311</v>
      </c>
      <c r="B205" s="63" t="s">
        <v>312</v>
      </c>
      <c r="C205" s="36">
        <v>4301135696</v>
      </c>
      <c r="D205" s="362">
        <v>4620207490235</v>
      </c>
      <c r="E205" s="36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4"/>
      <c r="R205" s="364"/>
      <c r="S205" s="364"/>
      <c r="T205" s="36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313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314</v>
      </c>
      <c r="B206" s="63" t="s">
        <v>315</v>
      </c>
      <c r="C206" s="36">
        <v>4301135697</v>
      </c>
      <c r="D206" s="362">
        <v>4620207490259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180</v>
      </c>
      <c r="P20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316</v>
      </c>
      <c r="AG206" s="81"/>
      <c r="AJ206" s="87" t="s">
        <v>120</v>
      </c>
      <c r="AK206" s="87">
        <v>14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7"/>
      <c r="P207" s="373" t="s">
        <v>40</v>
      </c>
      <c r="Q207" s="374"/>
      <c r="R207" s="374"/>
      <c r="S207" s="374"/>
      <c r="T207" s="374"/>
      <c r="U207" s="374"/>
      <c r="V207" s="375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7"/>
      <c r="P208" s="373" t="s">
        <v>40</v>
      </c>
      <c r="Q208" s="374"/>
      <c r="R208" s="374"/>
      <c r="S208" s="374"/>
      <c r="T208" s="374"/>
      <c r="U208" s="374"/>
      <c r="V208" s="375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60" t="s">
        <v>317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65"/>
      <c r="AB209" s="65"/>
      <c r="AC209" s="82"/>
    </row>
    <row r="210" spans="1:68" ht="14.25" hidden="1" customHeight="1" x14ac:dyDescent="0.25">
      <c r="A210" s="361" t="s">
        <v>151</v>
      </c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66"/>
      <c r="AB210" s="66"/>
      <c r="AC210" s="83"/>
    </row>
    <row r="211" spans="1:68" ht="27" hidden="1" customHeight="1" x14ac:dyDescent="0.25">
      <c r="A211" s="63" t="s">
        <v>318</v>
      </c>
      <c r="B211" s="63" t="s">
        <v>319</v>
      </c>
      <c r="C211" s="36">
        <v>4301135854</v>
      </c>
      <c r="D211" s="362">
        <v>4620207491706</v>
      </c>
      <c r="E211" s="362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4"/>
      <c r="R211" s="364"/>
      <c r="S211" s="364"/>
      <c r="T211" s="36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320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321</v>
      </c>
      <c r="B212" s="63" t="s">
        <v>322</v>
      </c>
      <c r="C212" s="36">
        <v>4301135895</v>
      </c>
      <c r="D212" s="362">
        <v>4620207491522</v>
      </c>
      <c r="E212" s="362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4"/>
      <c r="R212" s="364"/>
      <c r="S212" s="364"/>
      <c r="T212" s="365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323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7"/>
      <c r="P213" s="373" t="s">
        <v>40</v>
      </c>
      <c r="Q213" s="374"/>
      <c r="R213" s="374"/>
      <c r="S213" s="374"/>
      <c r="T213" s="374"/>
      <c r="U213" s="374"/>
      <c r="V213" s="37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7"/>
      <c r="P214" s="373" t="s">
        <v>40</v>
      </c>
      <c r="Q214" s="374"/>
      <c r="R214" s="374"/>
      <c r="S214" s="374"/>
      <c r="T214" s="374"/>
      <c r="U214" s="374"/>
      <c r="V214" s="37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60" t="s">
        <v>324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65"/>
      <c r="AB215" s="65"/>
      <c r="AC215" s="82"/>
    </row>
    <row r="216" spans="1:68" ht="14.25" hidden="1" customHeight="1" x14ac:dyDescent="0.25">
      <c r="A216" s="361" t="s">
        <v>82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66"/>
      <c r="AB216" s="66"/>
      <c r="AC216" s="83"/>
    </row>
    <row r="217" spans="1:68" ht="27" customHeight="1" x14ac:dyDescent="0.25">
      <c r="A217" s="63" t="s">
        <v>325</v>
      </c>
      <c r="B217" s="63" t="s">
        <v>326</v>
      </c>
      <c r="C217" s="36">
        <v>4301071097</v>
      </c>
      <c r="D217" s="362">
        <v>4620207491096</v>
      </c>
      <c r="E217" s="362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4"/>
      <c r="R217" s="364"/>
      <c r="S217" s="364"/>
      <c r="T217" s="365"/>
      <c r="U217" s="39" t="s">
        <v>46</v>
      </c>
      <c r="V217" s="39" t="s">
        <v>46</v>
      </c>
      <c r="W217" s="40" t="s">
        <v>39</v>
      </c>
      <c r="X217" s="58">
        <v>36</v>
      </c>
      <c r="Y217" s="55">
        <f>IFERROR(IF(X217="","",X217),"")</f>
        <v>36</v>
      </c>
      <c r="Z217" s="41">
        <f>IFERROR(IF(X217="","",X217*0.0155),"")</f>
        <v>0.55800000000000005</v>
      </c>
      <c r="AA217" s="68" t="s">
        <v>46</v>
      </c>
      <c r="AB217" s="69" t="s">
        <v>46</v>
      </c>
      <c r="AC217" s="243" t="s">
        <v>327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188.28000000000003</v>
      </c>
      <c r="BN217" s="81">
        <f>IFERROR(Y217*I217,"0")</f>
        <v>188.28000000000003</v>
      </c>
      <c r="BO217" s="81">
        <f>IFERROR(X217/J217,"0")</f>
        <v>0.42857142857142855</v>
      </c>
      <c r="BP217" s="81">
        <f>IFERROR(Y217/J217,"0")</f>
        <v>0.42857142857142855</v>
      </c>
    </row>
    <row r="218" spans="1:68" x14ac:dyDescent="0.2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7"/>
      <c r="P218" s="373" t="s">
        <v>40</v>
      </c>
      <c r="Q218" s="374"/>
      <c r="R218" s="374"/>
      <c r="S218" s="374"/>
      <c r="T218" s="374"/>
      <c r="U218" s="374"/>
      <c r="V218" s="375"/>
      <c r="W218" s="42" t="s">
        <v>39</v>
      </c>
      <c r="X218" s="43">
        <f>IFERROR(SUM(X217:X217),"0")</f>
        <v>36</v>
      </c>
      <c r="Y218" s="43">
        <f>IFERROR(SUM(Y217:Y217),"0")</f>
        <v>36</v>
      </c>
      <c r="Z218" s="43">
        <f>IFERROR(IF(Z217="",0,Z217),"0")</f>
        <v>0.55800000000000005</v>
      </c>
      <c r="AA218" s="67"/>
      <c r="AB218" s="67"/>
      <c r="AC218" s="67"/>
    </row>
    <row r="219" spans="1:68" x14ac:dyDescent="0.2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7"/>
      <c r="P219" s="373" t="s">
        <v>40</v>
      </c>
      <c r="Q219" s="374"/>
      <c r="R219" s="374"/>
      <c r="S219" s="374"/>
      <c r="T219" s="374"/>
      <c r="U219" s="374"/>
      <c r="V219" s="375"/>
      <c r="W219" s="42" t="s">
        <v>0</v>
      </c>
      <c r="X219" s="43">
        <f>IFERROR(SUMPRODUCT(X217:X217*H217:H217),"0")</f>
        <v>180</v>
      </c>
      <c r="Y219" s="43">
        <f>IFERROR(SUMPRODUCT(Y217:Y217*H217:H217),"0")</f>
        <v>180</v>
      </c>
      <c r="Z219" s="42"/>
      <c r="AA219" s="67"/>
      <c r="AB219" s="67"/>
      <c r="AC219" s="67"/>
    </row>
    <row r="220" spans="1:68" ht="16.5" hidden="1" customHeight="1" x14ac:dyDescent="0.25">
      <c r="A220" s="360" t="s">
        <v>328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65"/>
      <c r="AB220" s="65"/>
      <c r="AC220" s="82"/>
    </row>
    <row r="221" spans="1:68" ht="14.25" hidden="1" customHeight="1" x14ac:dyDescent="0.25">
      <c r="A221" s="361" t="s">
        <v>151</v>
      </c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66"/>
      <c r="AB221" s="66"/>
      <c r="AC221" s="83"/>
    </row>
    <row r="222" spans="1:68" ht="27" hidden="1" customHeight="1" x14ac:dyDescent="0.25">
      <c r="A222" s="63" t="s">
        <v>329</v>
      </c>
      <c r="B222" s="63" t="s">
        <v>330</v>
      </c>
      <c r="C222" s="36">
        <v>4301135694</v>
      </c>
      <c r="D222" s="362">
        <v>4620207490501</v>
      </c>
      <c r="E222" s="36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4"/>
      <c r="R222" s="364"/>
      <c r="S222" s="364"/>
      <c r="T222" s="36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331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7"/>
      <c r="P223" s="373" t="s">
        <v>40</v>
      </c>
      <c r="Q223" s="374"/>
      <c r="R223" s="374"/>
      <c r="S223" s="374"/>
      <c r="T223" s="374"/>
      <c r="U223" s="374"/>
      <c r="V223" s="37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7"/>
      <c r="P224" s="373" t="s">
        <v>40</v>
      </c>
      <c r="Q224" s="374"/>
      <c r="R224" s="374"/>
      <c r="S224" s="374"/>
      <c r="T224" s="374"/>
      <c r="U224" s="374"/>
      <c r="V224" s="37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59" t="s">
        <v>332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54"/>
      <c r="AB225" s="54"/>
      <c r="AC225" s="54"/>
    </row>
    <row r="226" spans="1:68" ht="16.5" hidden="1" customHeight="1" x14ac:dyDescent="0.25">
      <c r="A226" s="360" t="s">
        <v>333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65"/>
      <c r="AB226" s="65"/>
      <c r="AC226" s="82"/>
    </row>
    <row r="227" spans="1:68" ht="14.25" hidden="1" customHeight="1" x14ac:dyDescent="0.25">
      <c r="A227" s="361" t="s">
        <v>82</v>
      </c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66"/>
      <c r="AB227" s="66"/>
      <c r="AC227" s="83"/>
    </row>
    <row r="228" spans="1:68" ht="27" hidden="1" customHeight="1" x14ac:dyDescent="0.25">
      <c r="A228" s="63" t="s">
        <v>334</v>
      </c>
      <c r="B228" s="63" t="s">
        <v>335</v>
      </c>
      <c r="C228" s="36">
        <v>4301071036</v>
      </c>
      <c r="D228" s="362">
        <v>4607111036162</v>
      </c>
      <c r="E228" s="362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4"/>
      <c r="R228" s="364"/>
      <c r="S228" s="364"/>
      <c r="T228" s="36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336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7"/>
      <c r="P229" s="373" t="s">
        <v>40</v>
      </c>
      <c r="Q229" s="374"/>
      <c r="R229" s="374"/>
      <c r="S229" s="374"/>
      <c r="T229" s="374"/>
      <c r="U229" s="374"/>
      <c r="V229" s="37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7"/>
      <c r="P230" s="373" t="s">
        <v>40</v>
      </c>
      <c r="Q230" s="374"/>
      <c r="R230" s="374"/>
      <c r="S230" s="374"/>
      <c r="T230" s="374"/>
      <c r="U230" s="374"/>
      <c r="V230" s="37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59" t="s">
        <v>337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54"/>
      <c r="AB231" s="54"/>
      <c r="AC231" s="54"/>
    </row>
    <row r="232" spans="1:68" ht="16.5" hidden="1" customHeight="1" x14ac:dyDescent="0.25">
      <c r="A232" s="360" t="s">
        <v>338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65"/>
      <c r="AB232" s="65"/>
      <c r="AC232" s="82"/>
    </row>
    <row r="233" spans="1:68" ht="14.25" hidden="1" customHeight="1" x14ac:dyDescent="0.25">
      <c r="A233" s="361" t="s">
        <v>339</v>
      </c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66"/>
      <c r="AB233" s="66"/>
      <c r="AC233" s="83"/>
    </row>
    <row r="234" spans="1:68" ht="27" hidden="1" customHeight="1" x14ac:dyDescent="0.25">
      <c r="A234" s="63" t="s">
        <v>340</v>
      </c>
      <c r="B234" s="63" t="s">
        <v>341</v>
      </c>
      <c r="C234" s="36">
        <v>4301133004</v>
      </c>
      <c r="D234" s="362">
        <v>4607111039774</v>
      </c>
      <c r="E234" s="36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5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4"/>
      <c r="R234" s="364"/>
      <c r="S234" s="364"/>
      <c r="T234" s="36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342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7"/>
      <c r="P235" s="373" t="s">
        <v>40</v>
      </c>
      <c r="Q235" s="374"/>
      <c r="R235" s="374"/>
      <c r="S235" s="374"/>
      <c r="T235" s="374"/>
      <c r="U235" s="374"/>
      <c r="V235" s="37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7"/>
      <c r="P236" s="373" t="s">
        <v>40</v>
      </c>
      <c r="Q236" s="374"/>
      <c r="R236" s="374"/>
      <c r="S236" s="374"/>
      <c r="T236" s="374"/>
      <c r="U236" s="374"/>
      <c r="V236" s="37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61" t="s">
        <v>151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66"/>
      <c r="AB237" s="66"/>
      <c r="AC237" s="83"/>
    </row>
    <row r="238" spans="1:68" ht="37.5" hidden="1" customHeight="1" x14ac:dyDescent="0.25">
      <c r="A238" s="63" t="s">
        <v>343</v>
      </c>
      <c r="B238" s="63" t="s">
        <v>344</v>
      </c>
      <c r="C238" s="36">
        <v>4301135400</v>
      </c>
      <c r="D238" s="362">
        <v>4607111039361</v>
      </c>
      <c r="E238" s="36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5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4"/>
      <c r="R238" s="364"/>
      <c r="S238" s="364"/>
      <c r="T238" s="36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342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7"/>
      <c r="P240" s="373" t="s">
        <v>40</v>
      </c>
      <c r="Q240" s="374"/>
      <c r="R240" s="374"/>
      <c r="S240" s="374"/>
      <c r="T240" s="374"/>
      <c r="U240" s="374"/>
      <c r="V240" s="37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59" t="s">
        <v>345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54"/>
      <c r="AB241" s="54"/>
      <c r="AC241" s="54"/>
    </row>
    <row r="242" spans="1:68" ht="16.5" hidden="1" customHeight="1" x14ac:dyDescent="0.25">
      <c r="A242" s="360" t="s">
        <v>345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65"/>
      <c r="AB242" s="65"/>
      <c r="AC242" s="82"/>
    </row>
    <row r="243" spans="1:68" ht="14.25" hidden="1" customHeight="1" x14ac:dyDescent="0.25">
      <c r="A243" s="361" t="s">
        <v>113</v>
      </c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66"/>
      <c r="AB243" s="66"/>
      <c r="AC243" s="83"/>
    </row>
    <row r="244" spans="1:68" ht="27" hidden="1" customHeight="1" x14ac:dyDescent="0.25">
      <c r="A244" s="63" t="s">
        <v>346</v>
      </c>
      <c r="B244" s="63" t="s">
        <v>347</v>
      </c>
      <c r="C244" s="36">
        <v>4301132228</v>
      </c>
      <c r="D244" s="362">
        <v>4640242181950</v>
      </c>
      <c r="E244" s="362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5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4"/>
      <c r="R244" s="364"/>
      <c r="S244" s="364"/>
      <c r="T244" s="36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348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7"/>
      <c r="P246" s="373" t="s">
        <v>40</v>
      </c>
      <c r="Q246" s="374"/>
      <c r="R246" s="374"/>
      <c r="S246" s="374"/>
      <c r="T246" s="374"/>
      <c r="U246" s="374"/>
      <c r="V246" s="37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61" t="s">
        <v>145</v>
      </c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66"/>
      <c r="AB247" s="66"/>
      <c r="AC247" s="83"/>
    </row>
    <row r="248" spans="1:68" ht="27" hidden="1" customHeight="1" x14ac:dyDescent="0.25">
      <c r="A248" s="63" t="s">
        <v>349</v>
      </c>
      <c r="B248" s="63" t="s">
        <v>350</v>
      </c>
      <c r="C248" s="36">
        <v>4301136098</v>
      </c>
      <c r="D248" s="362">
        <v>4640242181943</v>
      </c>
      <c r="E248" s="362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4"/>
      <c r="R248" s="364"/>
      <c r="S248" s="364"/>
      <c r="T248" s="36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351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7"/>
      <c r="P250" s="373" t="s">
        <v>40</v>
      </c>
      <c r="Q250" s="374"/>
      <c r="R250" s="374"/>
      <c r="S250" s="374"/>
      <c r="T250" s="374"/>
      <c r="U250" s="374"/>
      <c r="V250" s="37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59" t="s">
        <v>352</v>
      </c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54"/>
      <c r="AB251" s="54"/>
      <c r="AC251" s="54"/>
    </row>
    <row r="252" spans="1:68" ht="16.5" hidden="1" customHeight="1" x14ac:dyDescent="0.25">
      <c r="A252" s="360" t="s">
        <v>352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65"/>
      <c r="AB252" s="65"/>
      <c r="AC252" s="82"/>
    </row>
    <row r="253" spans="1:68" ht="14.25" hidden="1" customHeight="1" x14ac:dyDescent="0.25">
      <c r="A253" s="361" t="s">
        <v>82</v>
      </c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66"/>
      <c r="AB253" s="66"/>
      <c r="AC253" s="83"/>
    </row>
    <row r="254" spans="1:68" ht="27" hidden="1" customHeight="1" x14ac:dyDescent="0.25">
      <c r="A254" s="63" t="s">
        <v>353</v>
      </c>
      <c r="B254" s="63" t="s">
        <v>354</v>
      </c>
      <c r="C254" s="36">
        <v>4301071014</v>
      </c>
      <c r="D254" s="362">
        <v>4640242181264</v>
      </c>
      <c r="E254" s="362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4"/>
      <c r="R254" s="364"/>
      <c r="S254" s="364"/>
      <c r="T254" s="36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355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356</v>
      </c>
      <c r="B255" s="63" t="s">
        <v>357</v>
      </c>
      <c r="C255" s="36">
        <v>4301071021</v>
      </c>
      <c r="D255" s="362">
        <v>4640242181325</v>
      </c>
      <c r="E255" s="362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4"/>
      <c r="R255" s="364"/>
      <c r="S255" s="364"/>
      <c r="T255" s="36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355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356</v>
      </c>
      <c r="B256" s="63" t="s">
        <v>358</v>
      </c>
      <c r="C256" s="36">
        <v>4301071141</v>
      </c>
      <c r="D256" s="362">
        <v>4620207491980</v>
      </c>
      <c r="E256" s="362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5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359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61" t="s">
        <v>113</v>
      </c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66"/>
      <c r="AB259" s="66"/>
      <c r="AC259" s="83"/>
    </row>
    <row r="260" spans="1:68" ht="27" customHeight="1" x14ac:dyDescent="0.25">
      <c r="A260" s="63" t="s">
        <v>360</v>
      </c>
      <c r="B260" s="63" t="s">
        <v>361</v>
      </c>
      <c r="C260" s="36">
        <v>4301132080</v>
      </c>
      <c r="D260" s="362">
        <v>4640242180397</v>
      </c>
      <c r="E260" s="362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132</v>
      </c>
      <c r="Y260" s="55">
        <f>IFERROR(IF(X260="","",X260),"")</f>
        <v>132</v>
      </c>
      <c r="Z260" s="41">
        <f>IFERROR(IF(X260="","",X260*0.0155),"")</f>
        <v>2.0459999999999998</v>
      </c>
      <c r="AA260" s="68" t="s">
        <v>46</v>
      </c>
      <c r="AB260" s="69" t="s">
        <v>46</v>
      </c>
      <c r="AC260" s="263" t="s">
        <v>362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826.31999999999994</v>
      </c>
      <c r="BN260" s="81">
        <f>IFERROR(Y260*I260,"0")</f>
        <v>826.31999999999994</v>
      </c>
      <c r="BO260" s="81">
        <f>IFERROR(X260/J260,"0")</f>
        <v>1.5714285714285714</v>
      </c>
      <c r="BP260" s="81">
        <f>IFERROR(Y260/J260,"0")</f>
        <v>1.5714285714285714</v>
      </c>
    </row>
    <row r="261" spans="1:68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IFERROR(SUM(X260:X260),"0")</f>
        <v>132</v>
      </c>
      <c r="Y261" s="43">
        <f>IFERROR(SUM(Y260:Y260),"0")</f>
        <v>132</v>
      </c>
      <c r="Z261" s="43">
        <f>IFERROR(IF(Z260="",0,Z260),"0")</f>
        <v>2.0459999999999998</v>
      </c>
      <c r="AA261" s="67"/>
      <c r="AB261" s="67"/>
      <c r="AC261" s="67"/>
    </row>
    <row r="262" spans="1:68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IFERROR(SUMPRODUCT(X260:X260*H260:H260),"0")</f>
        <v>792</v>
      </c>
      <c r="Y262" s="43">
        <f>IFERROR(SUMPRODUCT(Y260:Y260*H260:H260),"0")</f>
        <v>792</v>
      </c>
      <c r="Z262" s="42"/>
      <c r="AA262" s="67"/>
      <c r="AB262" s="67"/>
      <c r="AC262" s="67"/>
    </row>
    <row r="263" spans="1:68" ht="14.25" hidden="1" customHeight="1" x14ac:dyDescent="0.25">
      <c r="A263" s="361" t="s">
        <v>145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hidden="1" customHeight="1" x14ac:dyDescent="0.25">
      <c r="A264" s="63" t="s">
        <v>363</v>
      </c>
      <c r="B264" s="63" t="s">
        <v>364</v>
      </c>
      <c r="C264" s="36">
        <v>4301136051</v>
      </c>
      <c r="D264" s="362">
        <v>4640242180304</v>
      </c>
      <c r="E264" s="362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365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366</v>
      </c>
      <c r="B265" s="63" t="s">
        <v>367</v>
      </c>
      <c r="C265" s="36">
        <v>4301136053</v>
      </c>
      <c r="D265" s="362">
        <v>4640242180236</v>
      </c>
      <c r="E265" s="362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364"/>
      <c r="R265" s="364"/>
      <c r="S265" s="364"/>
      <c r="T265" s="365"/>
      <c r="U265" s="39" t="s">
        <v>46</v>
      </c>
      <c r="V265" s="39" t="s">
        <v>46</v>
      </c>
      <c r="W265" s="40" t="s">
        <v>39</v>
      </c>
      <c r="X265" s="58">
        <v>156</v>
      </c>
      <c r="Y265" s="55">
        <f>IFERROR(IF(X265="","",X265),"")</f>
        <v>156</v>
      </c>
      <c r="Z265" s="41">
        <f>IFERROR(IF(X265="","",X265*0.0155),"")</f>
        <v>2.4180000000000001</v>
      </c>
      <c r="AA265" s="68" t="s">
        <v>46</v>
      </c>
      <c r="AB265" s="69" t="s">
        <v>46</v>
      </c>
      <c r="AC265" s="267" t="s">
        <v>365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816.66000000000008</v>
      </c>
      <c r="BN265" s="81">
        <f>IFERROR(Y265*I265,"0")</f>
        <v>816.66000000000008</v>
      </c>
      <c r="BO265" s="81">
        <f>IFERROR(X265/J265,"0")</f>
        <v>1.8571428571428572</v>
      </c>
      <c r="BP265" s="81">
        <f>IFERROR(Y265/J265,"0")</f>
        <v>1.8571428571428572</v>
      </c>
    </row>
    <row r="266" spans="1:68" ht="27" customHeight="1" x14ac:dyDescent="0.25">
      <c r="A266" s="63" t="s">
        <v>368</v>
      </c>
      <c r="B266" s="63" t="s">
        <v>369</v>
      </c>
      <c r="C266" s="36">
        <v>4301136052</v>
      </c>
      <c r="D266" s="362">
        <v>4640242180410</v>
      </c>
      <c r="E266" s="362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364"/>
      <c r="R266" s="364"/>
      <c r="S266" s="364"/>
      <c r="T266" s="365"/>
      <c r="U266" s="39" t="s">
        <v>46</v>
      </c>
      <c r="V266" s="39" t="s">
        <v>46</v>
      </c>
      <c r="W266" s="40" t="s">
        <v>39</v>
      </c>
      <c r="X266" s="58">
        <v>14</v>
      </c>
      <c r="Y266" s="55">
        <f>IFERROR(IF(X266="","",X266),"")</f>
        <v>14</v>
      </c>
      <c r="Z266" s="41">
        <f>IFERROR(IF(X266="","",X266*0.00936),"")</f>
        <v>0.13103999999999999</v>
      </c>
      <c r="AA266" s="68" t="s">
        <v>46</v>
      </c>
      <c r="AB266" s="69" t="s">
        <v>46</v>
      </c>
      <c r="AC266" s="269" t="s">
        <v>365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34.048000000000002</v>
      </c>
      <c r="BN266" s="81">
        <f>IFERROR(Y266*I266,"0")</f>
        <v>34.048000000000002</v>
      </c>
      <c r="BO266" s="81">
        <f>IFERROR(X266/J266,"0")</f>
        <v>0.1111111111111111</v>
      </c>
      <c r="BP266" s="81">
        <f>IFERROR(Y266/J266,"0")</f>
        <v>0.1111111111111111</v>
      </c>
    </row>
    <row r="267" spans="1:68" x14ac:dyDescent="0.2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7"/>
      <c r="P267" s="373" t="s">
        <v>40</v>
      </c>
      <c r="Q267" s="374"/>
      <c r="R267" s="374"/>
      <c r="S267" s="374"/>
      <c r="T267" s="374"/>
      <c r="U267" s="374"/>
      <c r="V267" s="375"/>
      <c r="W267" s="42" t="s">
        <v>39</v>
      </c>
      <c r="X267" s="43">
        <f>IFERROR(SUM(X264:X266),"0")</f>
        <v>170</v>
      </c>
      <c r="Y267" s="43">
        <f>IFERROR(SUM(Y264:Y266),"0")</f>
        <v>170</v>
      </c>
      <c r="Z267" s="43">
        <f>IFERROR(IF(Z264="",0,Z264),"0")+IFERROR(IF(Z265="",0,Z265),"0")+IFERROR(IF(Z266="",0,Z266),"0")</f>
        <v>2.5490400000000002</v>
      </c>
      <c r="AA267" s="67"/>
      <c r="AB267" s="67"/>
      <c r="AC267" s="67"/>
    </row>
    <row r="268" spans="1:68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0</v>
      </c>
      <c r="X268" s="43">
        <f>IFERROR(SUMPRODUCT(X264:X266*H264:H266),"0")</f>
        <v>811.36</v>
      </c>
      <c r="Y268" s="43">
        <f>IFERROR(SUMPRODUCT(Y264:Y266*H264:H266),"0")</f>
        <v>811.36</v>
      </c>
      <c r="Z268" s="42"/>
      <c r="AA268" s="67"/>
      <c r="AB268" s="67"/>
      <c r="AC268" s="67"/>
    </row>
    <row r="269" spans="1:68" ht="14.25" hidden="1" customHeight="1" x14ac:dyDescent="0.25">
      <c r="A269" s="361" t="s">
        <v>151</v>
      </c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66"/>
      <c r="AB269" s="66"/>
      <c r="AC269" s="83"/>
    </row>
    <row r="270" spans="1:68" ht="37.5" hidden="1" customHeight="1" x14ac:dyDescent="0.25">
      <c r="A270" s="63" t="s">
        <v>370</v>
      </c>
      <c r="B270" s="63" t="s">
        <v>371</v>
      </c>
      <c r="C270" s="36">
        <v>4301135504</v>
      </c>
      <c r="D270" s="362">
        <v>4640242181554</v>
      </c>
      <c r="E270" s="362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372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customHeight="1" x14ac:dyDescent="0.25">
      <c r="A271" s="63" t="s">
        <v>373</v>
      </c>
      <c r="B271" s="63" t="s">
        <v>374</v>
      </c>
      <c r="C271" s="36">
        <v>4301135518</v>
      </c>
      <c r="D271" s="362">
        <v>4640242181561</v>
      </c>
      <c r="E271" s="362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>
        <v>28</v>
      </c>
      <c r="Y271" s="55">
        <f t="shared" si="18"/>
        <v>28</v>
      </c>
      <c r="Z271" s="41">
        <f>IFERROR(IF(X271="","",X271*0.00936),"")</f>
        <v>0.26207999999999998</v>
      </c>
      <c r="AA271" s="68" t="s">
        <v>46</v>
      </c>
      <c r="AB271" s="69" t="s">
        <v>46</v>
      </c>
      <c r="AC271" s="273" t="s">
        <v>375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108.976</v>
      </c>
      <c r="BN271" s="81">
        <f t="shared" si="20"/>
        <v>108.976</v>
      </c>
      <c r="BO271" s="81">
        <f t="shared" si="21"/>
        <v>0.22222222222222221</v>
      </c>
      <c r="BP271" s="81">
        <f t="shared" si="22"/>
        <v>0.22222222222222221</v>
      </c>
    </row>
    <row r="272" spans="1:68" ht="27" customHeight="1" x14ac:dyDescent="0.25">
      <c r="A272" s="63" t="s">
        <v>376</v>
      </c>
      <c r="B272" s="63" t="s">
        <v>377</v>
      </c>
      <c r="C272" s="36">
        <v>4301135374</v>
      </c>
      <c r="D272" s="362">
        <v>4640242181424</v>
      </c>
      <c r="E272" s="362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12</v>
      </c>
      <c r="Y272" s="55">
        <f t="shared" si="18"/>
        <v>12</v>
      </c>
      <c r="Z272" s="41">
        <f>IFERROR(IF(X272="","",X272*0.0155),"")</f>
        <v>0.186</v>
      </c>
      <c r="AA272" s="68" t="s">
        <v>46</v>
      </c>
      <c r="AB272" s="69" t="s">
        <v>46</v>
      </c>
      <c r="AC272" s="275" t="s">
        <v>372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68.820000000000007</v>
      </c>
      <c r="BN272" s="81">
        <f t="shared" si="20"/>
        <v>68.820000000000007</v>
      </c>
      <c r="BO272" s="81">
        <f t="shared" si="21"/>
        <v>0.14285714285714285</v>
      </c>
      <c r="BP272" s="81">
        <f t="shared" si="22"/>
        <v>0.14285714285714285</v>
      </c>
    </row>
    <row r="273" spans="1:68" ht="27" customHeight="1" x14ac:dyDescent="0.25">
      <c r="A273" s="63" t="s">
        <v>378</v>
      </c>
      <c r="B273" s="63" t="s">
        <v>379</v>
      </c>
      <c r="C273" s="36">
        <v>4301135405</v>
      </c>
      <c r="D273" s="362">
        <v>4640242181523</v>
      </c>
      <c r="E273" s="362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>
        <v>98</v>
      </c>
      <c r="Y273" s="55">
        <f t="shared" si="18"/>
        <v>98</v>
      </c>
      <c r="Z273" s="41">
        <f t="shared" ref="Z273:Z278" si="23">IFERROR(IF(X273="","",X273*0.00936),"")</f>
        <v>0.91727999999999998</v>
      </c>
      <c r="AA273" s="68" t="s">
        <v>46</v>
      </c>
      <c r="AB273" s="69" t="s">
        <v>46</v>
      </c>
      <c r="AC273" s="277" t="s">
        <v>375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312.81600000000003</v>
      </c>
      <c r="BN273" s="81">
        <f t="shared" si="20"/>
        <v>312.81600000000003</v>
      </c>
      <c r="BO273" s="81">
        <f t="shared" si="21"/>
        <v>0.77777777777777779</v>
      </c>
      <c r="BP273" s="81">
        <f t="shared" si="22"/>
        <v>0.77777777777777779</v>
      </c>
    </row>
    <row r="274" spans="1:68" ht="27" hidden="1" customHeight="1" x14ac:dyDescent="0.25">
      <c r="A274" s="63" t="s">
        <v>380</v>
      </c>
      <c r="B274" s="63" t="s">
        <v>381</v>
      </c>
      <c r="C274" s="36">
        <v>4301135375</v>
      </c>
      <c r="D274" s="362">
        <v>4640242181486</v>
      </c>
      <c r="E274" s="362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372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382</v>
      </c>
      <c r="B275" s="63" t="s">
        <v>383</v>
      </c>
      <c r="C275" s="36">
        <v>4301135402</v>
      </c>
      <c r="D275" s="362">
        <v>4640242181493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hidden="1" customHeight="1" x14ac:dyDescent="0.25">
      <c r="A276" s="63" t="s">
        <v>384</v>
      </c>
      <c r="B276" s="63" t="s">
        <v>385</v>
      </c>
      <c r="C276" s="36">
        <v>4301135403</v>
      </c>
      <c r="D276" s="362">
        <v>4640242181509</v>
      </c>
      <c r="E276" s="362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372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386</v>
      </c>
      <c r="B277" s="63" t="s">
        <v>387</v>
      </c>
      <c r="C277" s="36">
        <v>4301135304</v>
      </c>
      <c r="D277" s="362">
        <v>4640242181240</v>
      </c>
      <c r="E277" s="362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372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388</v>
      </c>
      <c r="B278" s="63" t="s">
        <v>389</v>
      </c>
      <c r="C278" s="36">
        <v>4301135610</v>
      </c>
      <c r="D278" s="362">
        <v>4640242181318</v>
      </c>
      <c r="E278" s="362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375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390</v>
      </c>
      <c r="B279" s="63" t="s">
        <v>391</v>
      </c>
      <c r="C279" s="36">
        <v>4301135306</v>
      </c>
      <c r="D279" s="362">
        <v>4640242181387</v>
      </c>
      <c r="E279" s="362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372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x14ac:dyDescent="0.2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7"/>
      <c r="P280" s="373" t="s">
        <v>40</v>
      </c>
      <c r="Q280" s="374"/>
      <c r="R280" s="374"/>
      <c r="S280" s="374"/>
      <c r="T280" s="374"/>
      <c r="U280" s="374"/>
      <c r="V280" s="375"/>
      <c r="W280" s="42" t="s">
        <v>39</v>
      </c>
      <c r="X280" s="43">
        <f>IFERROR(SUM(X270:X279),"0")</f>
        <v>138</v>
      </c>
      <c r="Y280" s="43">
        <f>IFERROR(SUM(Y270:Y279),"0")</f>
        <v>138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1.3653599999999999</v>
      </c>
      <c r="AA280" s="67"/>
      <c r="AB280" s="67"/>
      <c r="AC280" s="67"/>
    </row>
    <row r="281" spans="1:68" x14ac:dyDescent="0.2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7"/>
      <c r="P281" s="373" t="s">
        <v>40</v>
      </c>
      <c r="Q281" s="374"/>
      <c r="R281" s="374"/>
      <c r="S281" s="374"/>
      <c r="T281" s="374"/>
      <c r="U281" s="374"/>
      <c r="V281" s="375"/>
      <c r="W281" s="42" t="s">
        <v>0</v>
      </c>
      <c r="X281" s="43">
        <f>IFERROR(SUMPRODUCT(X270:X279*H270:H279),"0")</f>
        <v>463.6</v>
      </c>
      <c r="Y281" s="43">
        <f>IFERROR(SUMPRODUCT(Y270:Y279*H270:H279),"0")</f>
        <v>463.6</v>
      </c>
      <c r="Z281" s="42"/>
      <c r="AA281" s="67"/>
      <c r="AB281" s="67"/>
      <c r="AC281" s="67"/>
    </row>
    <row r="282" spans="1:68" ht="15" customHeight="1" x14ac:dyDescent="0.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474"/>
      <c r="P282" s="471" t="s">
        <v>33</v>
      </c>
      <c r="Q282" s="472"/>
      <c r="R282" s="472"/>
      <c r="S282" s="472"/>
      <c r="T282" s="472"/>
      <c r="U282" s="472"/>
      <c r="V282" s="473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15627.560000000001</v>
      </c>
      <c r="Y282" s="43">
        <f>IFERROR(Y31+Y37+Y44+Y50+Y58+Y63+Y68+Y74+Y80+Y85+Y91+Y101+Y107+Y120+Y124+Y128+Y136+Y142+Y148+Y154+Y160+Y165+Y170+Y175+Y182+Y187+Y196+Y202+Y208+Y214+Y219+Y224+Y230+Y236+Y240+Y246+Y250+Y258+Y262+Y268+Y281,"0")</f>
        <v>15627.560000000001</v>
      </c>
      <c r="Z282" s="42"/>
      <c r="AA282" s="67"/>
      <c r="AB282" s="67"/>
      <c r="AC282" s="67"/>
    </row>
    <row r="283" spans="1:68" x14ac:dyDescent="0.2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474"/>
      <c r="P283" s="471" t="s">
        <v>34</v>
      </c>
      <c r="Q283" s="472"/>
      <c r="R283" s="472"/>
      <c r="S283" s="472"/>
      <c r="T283" s="472"/>
      <c r="U283" s="472"/>
      <c r="V283" s="473"/>
      <c r="W283" s="42" t="s">
        <v>0</v>
      </c>
      <c r="X283" s="43">
        <f>IFERROR(SUM(BM22:BM279),"0")</f>
        <v>17011.625999999997</v>
      </c>
      <c r="Y283" s="43">
        <f>IFERROR(SUM(BN22:BN279),"0")</f>
        <v>17011.625999999997</v>
      </c>
      <c r="Z283" s="42"/>
      <c r="AA283" s="67"/>
      <c r="AB283" s="67"/>
      <c r="AC283" s="67"/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474"/>
      <c r="P284" s="471" t="s">
        <v>35</v>
      </c>
      <c r="Q284" s="472"/>
      <c r="R284" s="472"/>
      <c r="S284" s="472"/>
      <c r="T284" s="472"/>
      <c r="U284" s="472"/>
      <c r="V284" s="473"/>
      <c r="W284" s="42" t="s">
        <v>20</v>
      </c>
      <c r="X284" s="44">
        <f>ROUNDUP(SUM(BO22:BO279),0)</f>
        <v>41</v>
      </c>
      <c r="Y284" s="44">
        <f>ROUNDUP(SUM(BP22:BP279),0)</f>
        <v>41</v>
      </c>
      <c r="Z284" s="42"/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474"/>
      <c r="P285" s="471" t="s">
        <v>36</v>
      </c>
      <c r="Q285" s="472"/>
      <c r="R285" s="472"/>
      <c r="S285" s="472"/>
      <c r="T285" s="472"/>
      <c r="U285" s="472"/>
      <c r="V285" s="473"/>
      <c r="W285" s="42" t="s">
        <v>0</v>
      </c>
      <c r="X285" s="43">
        <f>GrossWeightTotal+PalletQtyTotal*25</f>
        <v>18036.625999999997</v>
      </c>
      <c r="Y285" s="43">
        <f>GrossWeightTotalR+PalletQtyTotalR*25</f>
        <v>18036.625999999997</v>
      </c>
      <c r="Z285" s="42"/>
      <c r="AA285" s="67"/>
      <c r="AB285" s="67"/>
      <c r="AC285" s="67"/>
    </row>
    <row r="286" spans="1:68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37</v>
      </c>
      <c r="Q286" s="472"/>
      <c r="R286" s="472"/>
      <c r="S286" s="472"/>
      <c r="T286" s="472"/>
      <c r="U286" s="472"/>
      <c r="V286" s="473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3540</v>
      </c>
      <c r="Y286" s="43">
        <f>IFERROR(Y30+Y36+Y43+Y49+Y57+Y62+Y67+Y73+Y79+Y84+Y90+Y100+Y106+Y119+Y123+Y127+Y135+Y141+Y147+Y153+Y159+Y164+Y169+Y174+Y181+Y186+Y195+Y201+Y207+Y213+Y218+Y223+Y229+Y235+Y239+Y245+Y249+Y257+Y261+Y267+Y280,"0")</f>
        <v>3540</v>
      </c>
      <c r="Z286" s="42"/>
      <c r="AA286" s="67"/>
      <c r="AB286" s="67"/>
      <c r="AC286" s="67"/>
    </row>
    <row r="287" spans="1:68" ht="14.25" hidden="1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38</v>
      </c>
      <c r="Q287" s="472"/>
      <c r="R287" s="472"/>
      <c r="S287" s="472"/>
      <c r="T287" s="472"/>
      <c r="U287" s="472"/>
      <c r="V287" s="473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52.238000000000007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475" t="s">
        <v>81</v>
      </c>
      <c r="C289" s="475" t="s">
        <v>81</v>
      </c>
      <c r="D289" s="475" t="s">
        <v>45</v>
      </c>
      <c r="E289" s="475" t="s">
        <v>45</v>
      </c>
      <c r="F289" s="475" t="s">
        <v>45</v>
      </c>
      <c r="G289" s="475" t="s">
        <v>45</v>
      </c>
      <c r="H289" s="475" t="s">
        <v>45</v>
      </c>
      <c r="I289" s="475" t="s">
        <v>45</v>
      </c>
      <c r="J289" s="475" t="s">
        <v>45</v>
      </c>
      <c r="K289" s="475" t="s">
        <v>45</v>
      </c>
      <c r="L289" s="475" t="s">
        <v>45</v>
      </c>
      <c r="M289" s="475" t="s">
        <v>45</v>
      </c>
      <c r="N289" s="476"/>
      <c r="O289" s="475" t="s">
        <v>45</v>
      </c>
      <c r="P289" s="475" t="s">
        <v>45</v>
      </c>
      <c r="Q289" s="475" t="s">
        <v>45</v>
      </c>
      <c r="R289" s="475" t="s">
        <v>45</v>
      </c>
      <c r="S289" s="475" t="s">
        <v>45</v>
      </c>
      <c r="T289" s="475" t="s">
        <v>45</v>
      </c>
      <c r="U289" s="475" t="s">
        <v>45</v>
      </c>
      <c r="V289" s="475" t="s">
        <v>278</v>
      </c>
      <c r="W289" s="475" t="s">
        <v>278</v>
      </c>
      <c r="X289" s="88" t="s">
        <v>289</v>
      </c>
      <c r="Y289" s="475" t="s">
        <v>303</v>
      </c>
      <c r="Z289" s="475" t="s">
        <v>303</v>
      </c>
      <c r="AA289" s="475" t="s">
        <v>303</v>
      </c>
      <c r="AB289" s="475" t="s">
        <v>303</v>
      </c>
      <c r="AC289" s="88" t="s">
        <v>332</v>
      </c>
      <c r="AD289" s="88" t="s">
        <v>337</v>
      </c>
      <c r="AE289" s="88" t="s">
        <v>345</v>
      </c>
      <c r="AF289" s="88" t="s">
        <v>352</v>
      </c>
    </row>
    <row r="290" spans="1:32" ht="14.25" customHeight="1" thickTop="1" x14ac:dyDescent="0.2">
      <c r="A290" s="477" t="s">
        <v>10</v>
      </c>
      <c r="B290" s="475" t="s">
        <v>81</v>
      </c>
      <c r="C290" s="475" t="s">
        <v>106</v>
      </c>
      <c r="D290" s="475" t="s">
        <v>112</v>
      </c>
      <c r="E290" s="475" t="s">
        <v>123</v>
      </c>
      <c r="F290" s="475" t="s">
        <v>130</v>
      </c>
      <c r="G290" s="475" t="s">
        <v>141</v>
      </c>
      <c r="H290" s="475" t="s">
        <v>159</v>
      </c>
      <c r="I290" s="475" t="s">
        <v>166</v>
      </c>
      <c r="J290" s="475" t="s">
        <v>170</v>
      </c>
      <c r="K290" s="475" t="s">
        <v>178</v>
      </c>
      <c r="L290" s="475" t="s">
        <v>193</v>
      </c>
      <c r="M290" s="475" t="s">
        <v>200</v>
      </c>
      <c r="N290" s="1"/>
      <c r="O290" s="475" t="s">
        <v>230</v>
      </c>
      <c r="P290" s="475" t="s">
        <v>248</v>
      </c>
      <c r="Q290" s="475" t="s">
        <v>255</v>
      </c>
      <c r="R290" s="475" t="s">
        <v>262</v>
      </c>
      <c r="S290" s="475" t="s">
        <v>267</v>
      </c>
      <c r="T290" s="475" t="s">
        <v>271</v>
      </c>
      <c r="U290" s="475" t="s">
        <v>274</v>
      </c>
      <c r="V290" s="475" t="s">
        <v>279</v>
      </c>
      <c r="W290" s="475" t="s">
        <v>286</v>
      </c>
      <c r="X290" s="475" t="s">
        <v>290</v>
      </c>
      <c r="Y290" s="475" t="s">
        <v>304</v>
      </c>
      <c r="Z290" s="475" t="s">
        <v>317</v>
      </c>
      <c r="AA290" s="475" t="s">
        <v>324</v>
      </c>
      <c r="AB290" s="475" t="s">
        <v>328</v>
      </c>
      <c r="AC290" s="475" t="s">
        <v>333</v>
      </c>
      <c r="AD290" s="475" t="s">
        <v>338</v>
      </c>
      <c r="AE290" s="475" t="s">
        <v>345</v>
      </c>
      <c r="AF290" s="475" t="s">
        <v>352</v>
      </c>
    </row>
    <row r="291" spans="1:32" ht="13.5" thickBot="1" x14ac:dyDescent="0.25">
      <c r="A291" s="478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1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403.20000000000005</v>
      </c>
      <c r="C292" s="52">
        <f>IFERROR(X34*H34,"0")+IFERROR(X35*H35,"0")</f>
        <v>76.800000000000011</v>
      </c>
      <c r="D292" s="52">
        <f>IFERROR(X41*H41,"0")+IFERROR(X42*H42,"0")</f>
        <v>273</v>
      </c>
      <c r="E292" s="52">
        <f>IFERROR(X47*H47,"0")+IFERROR(X48*H48,"0")</f>
        <v>134.39999999999998</v>
      </c>
      <c r="F292" s="52">
        <f>IFERROR(X53*H53,"0")+IFERROR(X54*H54,"0")+IFERROR(X55*H55,"0")+IFERROR(X56*H56,"0")</f>
        <v>2596.8000000000002</v>
      </c>
      <c r="G292" s="52">
        <f>IFERROR(X61*H61,"0")+IFERROR(X65*H65,"0")+IFERROR(X66*H66,"0")+IFERROR(X70*H70,"0")+IFERROR(X71*H71,"0")+IFERROR(X72*H72,"0")</f>
        <v>16.8</v>
      </c>
      <c r="H292" s="52">
        <f>IFERROR(X77*H77,"0")+IFERROR(X78*H78,"0")</f>
        <v>1080</v>
      </c>
      <c r="I292" s="52">
        <f>IFERROR(X83*H83,"0")</f>
        <v>50.4</v>
      </c>
      <c r="J292" s="52">
        <f>IFERROR(X88*H88,"0")+IFERROR(X89*H89,"0")</f>
        <v>100.8</v>
      </c>
      <c r="K292" s="52">
        <f>IFERROR(X94*H94,"0")+IFERROR(X95*H95,"0")+IFERROR(X96*H96,"0")+IFERROR(X97*H97,"0")+IFERROR(X98*H98,"0")+IFERROR(X99*H99,"0")</f>
        <v>663.59999999999991</v>
      </c>
      <c r="L292" s="52">
        <f>IFERROR(X104*H104,"0")+IFERROR(X105*H105,"0")</f>
        <v>30.240000000000002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4317.6000000000004</v>
      </c>
      <c r="N292" s="1"/>
      <c r="O292" s="52">
        <f>IFERROR(X131*H131,"0")+IFERROR(X132*H132,"0")+IFERROR(X133*H133,"0")+IFERROR(X134*H134,"0")+IFERROR(X138*H138,"0")+IFERROR(X139*H139,"0")+IFERROR(X140*H140,"0")</f>
        <v>344.4</v>
      </c>
      <c r="P292" s="52">
        <f>IFERROR(X145*H145,"0")+IFERROR(X146*H146,"0")</f>
        <v>882</v>
      </c>
      <c r="Q292" s="52">
        <f>IFERROR(X151*H151,"0")+IFERROR(X152*H152,"0")</f>
        <v>126</v>
      </c>
      <c r="R292" s="52">
        <f>IFERROR(X157*H157,"0")+IFERROR(X158*H158,"0")</f>
        <v>168</v>
      </c>
      <c r="S292" s="52">
        <f>IFERROR(X163*H163,"0")</f>
        <v>42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180</v>
      </c>
      <c r="W292" s="52">
        <f>IFERROR(X185*H185,"0")</f>
        <v>480</v>
      </c>
      <c r="X292" s="52">
        <f>IFERROR(X191*H191,"0")+IFERROR(X192*H192,"0")+IFERROR(X193*H193,"0")+IFERROR(X194*H194,"0")</f>
        <v>1337.28</v>
      </c>
      <c r="Y292" s="52">
        <f>IFERROR(X200*H200,"0")+IFERROR(X204*H204,"0")+IFERROR(X205*H205,"0")+IFERROR(X206*H206,"0")</f>
        <v>77.28</v>
      </c>
      <c r="Z292" s="52">
        <f>IFERROR(X211*H211,"0")+IFERROR(X212*H212,"0")</f>
        <v>0</v>
      </c>
      <c r="AA292" s="52">
        <f>IFERROR(X217*H217,"0")</f>
        <v>180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2066.96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9448.7999999999993</v>
      </c>
      <c r="B295" s="72">
        <f>SUMPRODUCT(--(BB:BB="ПГП"),--(W:W="кор"),H:H,Y:Y)+SUMPRODUCT(--(BB:BB="ПГП"),--(W:W="кг"),Y:Y)</f>
        <v>6178.76</v>
      </c>
      <c r="C295" s="72">
        <f>SUMPRODUCT(--(BB:BB="КИЗ"),--(W:W="кор"),H:H,Y:Y)+SUMPRODUCT(--(BB:BB="КИЗ"),--(W:W="кг"),Y:Y)</f>
        <v>0</v>
      </c>
    </row>
  </sheetData>
  <sheetProtection algorithmName="SHA-512" hashValue="woh/O9CUPdA5hh0HXW+8RDRPAChnXzJ9LIBxMxgLG3UuXdyCrcsjjbtpLkJNC0DfE94C3XdRZBjti65bmOCuaQ==" saltValue="Bv9XhGY0Uv5R+FGjObWbRA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337,28"/>
        <filter val="100,80"/>
        <filter val="108,00"/>
        <filter val="12,00"/>
        <filter val="126,00"/>
        <filter val="132,00"/>
        <filter val="134,40"/>
        <filter val="138,00"/>
        <filter val="14,00"/>
        <filter val="140,00"/>
        <filter val="15 627,56"/>
        <filter val="154,00"/>
        <filter val="156,00"/>
        <filter val="16,80"/>
        <filter val="168,00"/>
        <filter val="17 011,63"/>
        <filter val="170,00"/>
        <filter val="18 036,63"/>
        <filter val="180,00"/>
        <filter val="182,00"/>
        <filter val="2 596,80"/>
        <filter val="216,00"/>
        <filter val="224,00"/>
        <filter val="24,00"/>
        <filter val="240,00"/>
        <filter val="252,00"/>
        <filter val="273,00"/>
        <filter val="28,00"/>
        <filter val="294,00"/>
        <filter val="3 540,00"/>
        <filter val="30,24"/>
        <filter val="344,40"/>
        <filter val="36,00"/>
        <filter val="372,00"/>
        <filter val="4 317,60"/>
        <filter val="403,20"/>
        <filter val="41"/>
        <filter val="42,00"/>
        <filter val="448,00"/>
        <filter val="463,60"/>
        <filter val="48,00"/>
        <filter val="480,00"/>
        <filter val="50,40"/>
        <filter val="56,00"/>
        <filter val="60,00"/>
        <filter val="624,00"/>
        <filter val="663,60"/>
        <filter val="70,00"/>
        <filter val="76,80"/>
        <filter val="77,28"/>
        <filter val="792,00"/>
        <filter val="811,36"/>
        <filter val="84,00"/>
        <filter val="882,00"/>
        <filter val="96,00"/>
        <filter val="98,00"/>
      </filters>
    </filterColumn>
    <filterColumn colId="29" showButton="0"/>
    <filterColumn colId="30" showButton="0"/>
  </autoFilter>
  <dataConsolidate/>
  <mergeCells count="513"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79 X270 X254:X256 X248 X244 X238 X234 X228 X222 X211:X212 X204 X194 X185 X173 X163 X157 X151:X152 X146 X138:X140 X131:X134 X126 X122 X115:X116 X111:X112 X105 X98 X95: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1:X274 X264:X266 X260 X217 X205:X206 X200 X191:X193 X179:X180 X168 X158 X145 X117:X118 X113:X114 X110 X104 X99 X97 X94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392</v>
      </c>
      <c r="H1" s="9"/>
    </row>
    <row r="3" spans="2:8" x14ac:dyDescent="0.2">
      <c r="B3" s="53" t="s">
        <v>393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395</v>
      </c>
      <c r="D6" s="53" t="s">
        <v>396</v>
      </c>
      <c r="E6" s="53" t="s">
        <v>46</v>
      </c>
    </row>
    <row r="8" spans="2:8" x14ac:dyDescent="0.2">
      <c r="B8" s="53" t="s">
        <v>80</v>
      </c>
      <c r="C8" s="53" t="s">
        <v>395</v>
      </c>
      <c r="D8" s="53" t="s">
        <v>46</v>
      </c>
      <c r="E8" s="53" t="s">
        <v>46</v>
      </c>
    </row>
    <row r="10" spans="2:8" x14ac:dyDescent="0.2">
      <c r="B10" s="53" t="s">
        <v>397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407</v>
      </c>
      <c r="C20" s="53" t="s">
        <v>46</v>
      </c>
      <c r="D20" s="53" t="s">
        <v>46</v>
      </c>
      <c r="E20" s="53" t="s">
        <v>46</v>
      </c>
    </row>
  </sheetData>
  <sheetProtection algorithmName="SHA-512" hashValue="FUqR/SWITw/uEAEmYF/LoA4GMj4wHEy790IUkNKi5lHkpqI6s8bbZM8HM9feXHydgt+RkTlPo7sPFEynfDioAA==" saltValue="ZV1wWIcY4RDLDOenLEPtB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2026-09-11T13:37:53Z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