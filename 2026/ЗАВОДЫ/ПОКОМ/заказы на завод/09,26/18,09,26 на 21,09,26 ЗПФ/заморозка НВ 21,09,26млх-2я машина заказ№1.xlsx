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F742B8-44C3-4093-9524-AC72D5FF735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N262" i="1"/>
  <c r="BM262" i="1"/>
  <c r="Z262" i="1"/>
  <c r="Y262" i="1"/>
  <c r="BP262" i="1" s="1"/>
  <c r="P262" i="1"/>
  <c r="BO261" i="1"/>
  <c r="BM261" i="1"/>
  <c r="Z261" i="1"/>
  <c r="Z264" i="1" s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Y254" i="1" s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Y210" i="1"/>
  <c r="BN210" i="1" s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O191" i="1"/>
  <c r="BN191" i="1"/>
  <c r="BM191" i="1"/>
  <c r="Z191" i="1"/>
  <c r="Y191" i="1"/>
  <c r="BP191" i="1" s="1"/>
  <c r="P191" i="1"/>
  <c r="BO190" i="1"/>
  <c r="BM190" i="1"/>
  <c r="Z190" i="1"/>
  <c r="Y190" i="1"/>
  <c r="P190" i="1"/>
  <c r="BO189" i="1"/>
  <c r="BN189" i="1"/>
  <c r="BM189" i="1"/>
  <c r="Z189" i="1"/>
  <c r="Y189" i="1"/>
  <c r="BP189" i="1" s="1"/>
  <c r="P189" i="1"/>
  <c r="X185" i="1"/>
  <c r="X184" i="1"/>
  <c r="BP183" i="1"/>
  <c r="BO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BP178" i="1" s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O150" i="1"/>
  <c r="BN150" i="1"/>
  <c r="BM150" i="1"/>
  <c r="Z150" i="1"/>
  <c r="Y150" i="1"/>
  <c r="BP150" i="1" s="1"/>
  <c r="P150" i="1"/>
  <c r="BO149" i="1"/>
  <c r="BM149" i="1"/>
  <c r="Z149" i="1"/>
  <c r="Y149" i="1"/>
  <c r="P149" i="1"/>
  <c r="BO148" i="1"/>
  <c r="BN148" i="1"/>
  <c r="BM148" i="1"/>
  <c r="Z148" i="1"/>
  <c r="Y148" i="1"/>
  <c r="BP148" i="1" s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M136" i="1"/>
  <c r="Z136" i="1"/>
  <c r="Y136" i="1"/>
  <c r="BN136" i="1" s="1"/>
  <c r="P136" i="1"/>
  <c r="BO135" i="1"/>
  <c r="BM135" i="1"/>
  <c r="Z135" i="1"/>
  <c r="Y135" i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M129" i="1"/>
  <c r="Z129" i="1"/>
  <c r="Y129" i="1"/>
  <c r="BP129" i="1" s="1"/>
  <c r="P129" i="1"/>
  <c r="BO128" i="1"/>
  <c r="BM128" i="1"/>
  <c r="Z128" i="1"/>
  <c r="Y128" i="1"/>
  <c r="Y132" i="1" s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Y121" i="1" s="1"/>
  <c r="P119" i="1"/>
  <c r="X117" i="1"/>
  <c r="X116" i="1"/>
  <c r="BO115" i="1"/>
  <c r="BN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N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N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BO109" i="1"/>
  <c r="BN109" i="1"/>
  <c r="BM109" i="1"/>
  <c r="Z109" i="1"/>
  <c r="Y109" i="1"/>
  <c r="BP109" i="1" s="1"/>
  <c r="P109" i="1"/>
  <c r="X106" i="1"/>
  <c r="X105" i="1"/>
  <c r="BO104" i="1"/>
  <c r="BM104" i="1"/>
  <c r="Z104" i="1"/>
  <c r="Y104" i="1"/>
  <c r="P104" i="1"/>
  <c r="BO103" i="1"/>
  <c r="BM103" i="1"/>
  <c r="Z103" i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X89" i="1"/>
  <c r="BO88" i="1"/>
  <c r="BN88" i="1"/>
  <c r="BM88" i="1"/>
  <c r="Z88" i="1"/>
  <c r="Y88" i="1"/>
  <c r="BP88" i="1" s="1"/>
  <c r="P88" i="1"/>
  <c r="BO87" i="1"/>
  <c r="BM87" i="1"/>
  <c r="Z87" i="1"/>
  <c r="Y87" i="1"/>
  <c r="Y90" i="1" s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Y78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Z72" i="1" s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N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N34" i="1"/>
  <c r="BM34" i="1"/>
  <c r="Z34" i="1"/>
  <c r="Y34" i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Z30" i="1" s="1"/>
  <c r="Y22" i="1"/>
  <c r="P22" i="1"/>
  <c r="H10" i="1"/>
  <c r="A9" i="1"/>
  <c r="A10" i="1" s="1"/>
  <c r="D7" i="1"/>
  <c r="Q6" i="1"/>
  <c r="P2" i="1"/>
  <c r="Y36" i="1" l="1"/>
  <c r="BP210" i="1"/>
  <c r="Z36" i="1"/>
  <c r="Y138" i="1"/>
  <c r="Z144" i="1"/>
  <c r="Z151" i="1"/>
  <c r="BN183" i="1"/>
  <c r="Y184" i="1"/>
  <c r="Z193" i="1"/>
  <c r="Z277" i="1"/>
  <c r="Z105" i="1"/>
  <c r="Z116" i="1"/>
  <c r="Z205" i="1"/>
  <c r="Y67" i="1"/>
  <c r="BP65" i="1"/>
  <c r="BN65" i="1"/>
  <c r="BP104" i="1"/>
  <c r="BN104" i="1"/>
  <c r="Y125" i="1"/>
  <c r="BN123" i="1"/>
  <c r="X281" i="1"/>
  <c r="BP23" i="1"/>
  <c r="BN23" i="1"/>
  <c r="BP25" i="1"/>
  <c r="BN25" i="1"/>
  <c r="BP27" i="1"/>
  <c r="BN27" i="1"/>
  <c r="BP29" i="1"/>
  <c r="BN29" i="1"/>
  <c r="X283" i="1"/>
  <c r="Y49" i="1"/>
  <c r="BP47" i="1"/>
  <c r="BN47" i="1"/>
  <c r="Y63" i="1"/>
  <c r="Y62" i="1"/>
  <c r="BP61" i="1"/>
  <c r="BN61" i="1"/>
  <c r="Y99" i="1"/>
  <c r="BP93" i="1"/>
  <c r="BN93" i="1"/>
  <c r="BP95" i="1"/>
  <c r="BN95" i="1"/>
  <c r="BP97" i="1"/>
  <c r="BN97" i="1"/>
  <c r="BP143" i="1"/>
  <c r="BN143" i="1"/>
  <c r="Y157" i="1"/>
  <c r="BP155" i="1"/>
  <c r="BN155" i="1"/>
  <c r="Y158" i="1"/>
  <c r="Y206" i="1"/>
  <c r="Y30" i="1"/>
  <c r="X280" i="1"/>
  <c r="X282" i="1" s="1"/>
  <c r="X279" i="1"/>
  <c r="Z43" i="1"/>
  <c r="Z49" i="1"/>
  <c r="Z57" i="1"/>
  <c r="Y73" i="1"/>
  <c r="Z78" i="1"/>
  <c r="Z89" i="1"/>
  <c r="Z99" i="1"/>
  <c r="Y106" i="1"/>
  <c r="Y117" i="1"/>
  <c r="Z132" i="1"/>
  <c r="Z138" i="1"/>
  <c r="Y145" i="1"/>
  <c r="Y152" i="1"/>
  <c r="BN178" i="1"/>
  <c r="Y193" i="1"/>
  <c r="Y194" i="1"/>
  <c r="BN203" i="1"/>
  <c r="BN215" i="1"/>
  <c r="BP215" i="1"/>
  <c r="Y216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Y243" i="1"/>
  <c r="BN246" i="1"/>
  <c r="BP246" i="1"/>
  <c r="Y247" i="1"/>
  <c r="Z254" i="1"/>
  <c r="BN252" i="1"/>
  <c r="BP252" i="1"/>
  <c r="F9" i="1"/>
  <c r="J9" i="1"/>
  <c r="F10" i="1"/>
  <c r="BN22" i="1"/>
  <c r="BP22" i="1"/>
  <c r="BN24" i="1"/>
  <c r="BN26" i="1"/>
  <c r="BN28" i="1"/>
  <c r="Y31" i="1"/>
  <c r="BN35" i="1"/>
  <c r="Y37" i="1"/>
  <c r="Y44" i="1"/>
  <c r="BP41" i="1"/>
  <c r="BN41" i="1"/>
  <c r="Y43" i="1"/>
  <c r="H9" i="1"/>
  <c r="BP34" i="1"/>
  <c r="Y50" i="1"/>
  <c r="Y57" i="1"/>
  <c r="Y66" i="1"/>
  <c r="BN69" i="1"/>
  <c r="BP69" i="1"/>
  <c r="BN71" i="1"/>
  <c r="Y72" i="1"/>
  <c r="BN76" i="1"/>
  <c r="BP76" i="1"/>
  <c r="Y79" i="1"/>
  <c r="Y84" i="1"/>
  <c r="Y89" i="1"/>
  <c r="Y100" i="1"/>
  <c r="Y105" i="1"/>
  <c r="Y116" i="1"/>
  <c r="BN119" i="1"/>
  <c r="BP119" i="1"/>
  <c r="Y120" i="1"/>
  <c r="BP123" i="1"/>
  <c r="Y124" i="1"/>
  <c r="BN128" i="1"/>
  <c r="BP128" i="1"/>
  <c r="BN130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83" i="1"/>
  <c r="Y280" i="1"/>
  <c r="Y279" i="1"/>
  <c r="Y281" i="1"/>
  <c r="Y282" i="1" l="1"/>
  <c r="B292" i="1" s="1"/>
  <c r="A292" i="1"/>
  <c r="C292" i="1" l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<sst xmlns="http://schemas.openxmlformats.org/spreadsheetml/2006/main" count="1286" uniqueCount="420">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</sst>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4" t="s">
        <v>0</v>
      </c>
      <c r="E1" s="294"/>
      <c r="F1" s="294"/>
      <c r="G1" s="12" t="s">
        <v>1</v>
      </c>
      <c r="H1" s="334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9"/>
      <c r="Q3" s="299"/>
      <c r="R3" s="299"/>
      <c r="S3" s="299"/>
      <c r="T3" s="299"/>
      <c r="U3" s="299"/>
      <c r="V3" s="299"/>
      <c r="W3" s="29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3" t="s">
        <v>8</v>
      </c>
      <c r="B5" s="288"/>
      <c r="C5" s="289"/>
      <c r="D5" s="337"/>
      <c r="E5" s="338"/>
      <c r="F5" s="448" t="s">
        <v>9</v>
      </c>
      <c r="G5" s="289"/>
      <c r="H5" s="337" t="s">
        <v>419</v>
      </c>
      <c r="I5" s="379"/>
      <c r="J5" s="379"/>
      <c r="K5" s="379"/>
      <c r="L5" s="379"/>
      <c r="M5" s="338"/>
      <c r="N5" s="61"/>
      <c r="P5" s="24" t="s">
        <v>10</v>
      </c>
      <c r="Q5" s="453">
        <v>46286</v>
      </c>
      <c r="R5" s="377"/>
      <c r="T5" s="372" t="s">
        <v>11</v>
      </c>
      <c r="U5" s="373"/>
      <c r="V5" s="376" t="s">
        <v>12</v>
      </c>
      <c r="W5" s="377"/>
      <c r="AB5" s="51"/>
      <c r="AC5" s="51"/>
      <c r="AD5" s="51"/>
      <c r="AE5" s="51"/>
    </row>
    <row r="6" spans="1:32" s="270" customFormat="1" ht="24" customHeight="1" x14ac:dyDescent="0.2">
      <c r="A6" s="363" t="s">
        <v>13</v>
      </c>
      <c r="B6" s="288"/>
      <c r="C6" s="289"/>
      <c r="D6" s="419" t="s">
        <v>400</v>
      </c>
      <c r="E6" s="420"/>
      <c r="F6" s="420"/>
      <c r="G6" s="420"/>
      <c r="H6" s="420"/>
      <c r="I6" s="420"/>
      <c r="J6" s="420"/>
      <c r="K6" s="420"/>
      <c r="L6" s="420"/>
      <c r="M6" s="377"/>
      <c r="N6" s="62"/>
      <c r="P6" s="24" t="s">
        <v>14</v>
      </c>
      <c r="Q6" s="458" t="str">
        <f>IF(Q5=0," ",CHOOSE(WEEKDAY(Q5,2),"Понедельник","Вторник","Среда","Четверг","Пятница","Суббота","Воскресенье"))</f>
        <v>Понедельник</v>
      </c>
      <c r="R6" s="291"/>
      <c r="T6" s="469" t="s">
        <v>15</v>
      </c>
      <c r="U6" s="373"/>
      <c r="V6" s="412" t="s">
        <v>16</v>
      </c>
      <c r="W6" s="31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9" t="str">
        <f>IFERROR(VLOOKUP(DeliveryAddress,Table,3,0),1)</f>
        <v>5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99"/>
      <c r="U7" s="373"/>
      <c r="V7" s="413"/>
      <c r="W7" s="414"/>
      <c r="AB7" s="51"/>
      <c r="AC7" s="51"/>
      <c r="AD7" s="51"/>
      <c r="AE7" s="51"/>
    </row>
    <row r="8" spans="1:32" s="270" customFormat="1" ht="25.5" customHeight="1" x14ac:dyDescent="0.2">
      <c r="A8" s="465" t="s">
        <v>17</v>
      </c>
      <c r="B8" s="302"/>
      <c r="C8" s="303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58">
        <v>0.41666666666666669</v>
      </c>
      <c r="R8" s="321"/>
      <c r="T8" s="299"/>
      <c r="U8" s="373"/>
      <c r="V8" s="413"/>
      <c r="W8" s="414"/>
      <c r="AB8" s="51"/>
      <c r="AC8" s="51"/>
      <c r="AD8" s="51"/>
      <c r="AE8" s="51"/>
    </row>
    <row r="9" spans="1:32" s="270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9"/>
      <c r="C9" s="299"/>
      <c r="D9" s="366"/>
      <c r="E9" s="310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9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268"/>
      <c r="P9" s="26" t="s">
        <v>19</v>
      </c>
      <c r="Q9" s="283"/>
      <c r="R9" s="284"/>
      <c r="T9" s="299"/>
      <c r="U9" s="373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9"/>
      <c r="C10" s="299"/>
      <c r="D10" s="366"/>
      <c r="E10" s="310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9"/>
      <c r="H10" s="411" t="str">
        <f>IFERROR(VLOOKUP($D$10,Proxy,2,FALSE),"")</f>
        <v/>
      </c>
      <c r="I10" s="299"/>
      <c r="J10" s="299"/>
      <c r="K10" s="299"/>
      <c r="L10" s="299"/>
      <c r="M10" s="299"/>
      <c r="N10" s="269"/>
      <c r="P10" s="26" t="s">
        <v>20</v>
      </c>
      <c r="Q10" s="383"/>
      <c r="R10" s="384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2"/>
      <c r="R11" s="377"/>
      <c r="U11" s="24" t="s">
        <v>25</v>
      </c>
      <c r="V11" s="380" t="s">
        <v>26</v>
      </c>
      <c r="W11" s="28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7" t="s">
        <v>27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9"/>
      <c r="N12" s="65"/>
      <c r="P12" s="24" t="s">
        <v>28</v>
      </c>
      <c r="Q12" s="358"/>
      <c r="R12" s="321"/>
      <c r="S12" s="23"/>
      <c r="U12" s="24"/>
      <c r="V12" s="294"/>
      <c r="W12" s="299"/>
      <c r="AB12" s="51"/>
      <c r="AC12" s="51"/>
      <c r="AD12" s="51"/>
      <c r="AE12" s="51"/>
    </row>
    <row r="13" spans="1:32" s="270" customFormat="1" ht="23.25" customHeight="1" x14ac:dyDescent="0.2">
      <c r="A13" s="287" t="s">
        <v>29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9"/>
      <c r="N13" s="65"/>
      <c r="O13" s="26"/>
      <c r="P13" s="26" t="s">
        <v>30</v>
      </c>
      <c r="Q13" s="380"/>
      <c r="R13" s="28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7" t="s">
        <v>31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5" t="s">
        <v>32</v>
      </c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9"/>
      <c r="N15" s="66"/>
      <c r="P15" s="369" t="s">
        <v>33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64" t="s">
        <v>36</v>
      </c>
      <c r="D17" s="305" t="s">
        <v>37</v>
      </c>
      <c r="E17" s="345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4"/>
      <c r="R17" s="344"/>
      <c r="S17" s="344"/>
      <c r="T17" s="345"/>
      <c r="U17" s="462" t="s">
        <v>49</v>
      </c>
      <c r="V17" s="289"/>
      <c r="W17" s="305" t="s">
        <v>50</v>
      </c>
      <c r="X17" s="305" t="s">
        <v>51</v>
      </c>
      <c r="Y17" s="463" t="s">
        <v>52</v>
      </c>
      <c r="Z17" s="423" t="s">
        <v>53</v>
      </c>
      <c r="AA17" s="409" t="s">
        <v>54</v>
      </c>
      <c r="AB17" s="409" t="s">
        <v>55</v>
      </c>
      <c r="AC17" s="409" t="s">
        <v>56</v>
      </c>
      <c r="AD17" s="409" t="s">
        <v>57</v>
      </c>
      <c r="AE17" s="443"/>
      <c r="AF17" s="444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6"/>
      <c r="E18" s="348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6"/>
      <c r="X18" s="306"/>
      <c r="Y18" s="464"/>
      <c r="Z18" s="424"/>
      <c r="AA18" s="410"/>
      <c r="AB18" s="410"/>
      <c r="AC18" s="410"/>
      <c r="AD18" s="445"/>
      <c r="AE18" s="446"/>
      <c r="AF18" s="447"/>
      <c r="AG18" s="69"/>
      <c r="BD18" s="68"/>
    </row>
    <row r="19" spans="1:68" ht="27.75" hidden="1" customHeight="1" x14ac:dyDescent="0.2">
      <c r="A19" s="285" t="s">
        <v>61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312" t="s">
        <v>61</v>
      </c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71"/>
      <c r="AB20" s="271"/>
      <c r="AC20" s="271"/>
    </row>
    <row r="21" spans="1:68" ht="14.25" hidden="1" customHeight="1" x14ac:dyDescent="0.25">
      <c r="A21" s="307" t="s">
        <v>62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0">
        <v>4620207491508</v>
      </c>
      <c r="E22" s="29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0">
        <v>4620207491256</v>
      </c>
      <c r="E23" s="29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0">
        <v>4620207491713</v>
      </c>
      <c r="E24" s="29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0">
        <v>4620207491720</v>
      </c>
      <c r="E25" s="29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0">
        <v>4607111035912</v>
      </c>
      <c r="E26" s="29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0">
        <v>4607111035929</v>
      </c>
      <c r="E27" s="29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0">
        <v>4607111035882</v>
      </c>
      <c r="E28" s="29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0">
        <v>4607111035905</v>
      </c>
      <c r="E29" s="29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00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00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7"/>
      <c r="AA31" s="279"/>
      <c r="AB31" s="279"/>
      <c r="AC31" s="279"/>
    </row>
    <row r="32" spans="1:68" ht="16.5" hidden="1" customHeight="1" x14ac:dyDescent="0.25">
      <c r="A32" s="312" t="s">
        <v>89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71"/>
      <c r="AB32" s="271"/>
      <c r="AC32" s="271"/>
    </row>
    <row r="33" spans="1:68" ht="14.25" hidden="1" customHeight="1" x14ac:dyDescent="0.25">
      <c r="A33" s="307" t="s">
        <v>62</v>
      </c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0">
        <v>4607111039019</v>
      </c>
      <c r="E34" s="29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0">
        <v>4607111038708</v>
      </c>
      <c r="E35" s="29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00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00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285" t="s">
        <v>95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48"/>
      <c r="AB38" s="48"/>
      <c r="AC38" s="48"/>
    </row>
    <row r="39" spans="1:68" ht="16.5" hidden="1" customHeight="1" x14ac:dyDescent="0.25">
      <c r="A39" s="312" t="s">
        <v>96</v>
      </c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71"/>
      <c r="AB39" s="271"/>
      <c r="AC39" s="271"/>
    </row>
    <row r="40" spans="1:68" ht="14.25" hidden="1" customHeight="1" x14ac:dyDescent="0.25">
      <c r="A40" s="307" t="s">
        <v>97</v>
      </c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0">
        <v>4607111036537</v>
      </c>
      <c r="E41" s="29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14</v>
      </c>
      <c r="Y41" s="277">
        <f>IFERROR(IF(X41="","",X41),"")</f>
        <v>14</v>
      </c>
      <c r="Z41" s="36">
        <f>IFERROR(IF(X41="","",X41*0.00941),"")</f>
        <v>0.13174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26.905200000000001</v>
      </c>
      <c r="BN41" s="67">
        <f>IFERROR(Y41*I41,"0")</f>
        <v>26.905200000000001</v>
      </c>
      <c r="BO41" s="67">
        <f>IFERROR(X41/J41,"0")</f>
        <v>0.1</v>
      </c>
      <c r="BP41" s="67">
        <f>IFERROR(Y41/J41,"0")</f>
        <v>0.1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90">
        <v>4607111036605</v>
      </c>
      <c r="E42" s="29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8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00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78">
        <f>IFERROR(SUM(X41:X42),"0")</f>
        <v>14</v>
      </c>
      <c r="Y43" s="278">
        <f>IFERROR(SUM(Y41:Y42),"0")</f>
        <v>14</v>
      </c>
      <c r="Z43" s="278">
        <f>IFERROR(IF(Z41="",0,Z41),"0")+IFERROR(IF(Z42="",0,Z42),"0")</f>
        <v>0.13174</v>
      </c>
      <c r="AA43" s="279"/>
      <c r="AB43" s="279"/>
      <c r="AC43" s="279"/>
    </row>
    <row r="44" spans="1:68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00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78">
        <f>IFERROR(SUMPRODUCT(X41:X42*H41:H42),"0")</f>
        <v>21</v>
      </c>
      <c r="Y44" s="278">
        <f>IFERROR(SUMPRODUCT(Y41:Y42*H41:H42),"0")</f>
        <v>21</v>
      </c>
      <c r="Z44" s="37"/>
      <c r="AA44" s="279"/>
      <c r="AB44" s="279"/>
      <c r="AC44" s="279"/>
    </row>
    <row r="45" spans="1:68" ht="16.5" hidden="1" customHeight="1" x14ac:dyDescent="0.25">
      <c r="A45" s="312" t="s">
        <v>107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71"/>
      <c r="AB45" s="271"/>
      <c r="AC45" s="271"/>
    </row>
    <row r="46" spans="1:68" ht="14.25" hidden="1" customHeight="1" x14ac:dyDescent="0.25">
      <c r="A46" s="307" t="s">
        <v>62</v>
      </c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0">
        <v>4620207490075</v>
      </c>
      <c r="E47" s="29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0">
        <v>4620207490174</v>
      </c>
      <c r="E48" s="29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12</v>
      </c>
      <c r="Y48" s="277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8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00"/>
      <c r="P49" s="301" t="s">
        <v>87</v>
      </c>
      <c r="Q49" s="302"/>
      <c r="R49" s="302"/>
      <c r="S49" s="302"/>
      <c r="T49" s="302"/>
      <c r="U49" s="302"/>
      <c r="V49" s="303"/>
      <c r="W49" s="37" t="s">
        <v>68</v>
      </c>
      <c r="X49" s="278">
        <f>IFERROR(SUM(X47:X48),"0")</f>
        <v>24</v>
      </c>
      <c r="Y49" s="278">
        <f>IFERROR(SUM(Y47:Y48),"0")</f>
        <v>24</v>
      </c>
      <c r="Z49" s="278">
        <f>IFERROR(IF(Z47="",0,Z47),"0")+IFERROR(IF(Z48="",0,Z48),"0")</f>
        <v>0.372</v>
      </c>
      <c r="AA49" s="279"/>
      <c r="AB49" s="279"/>
      <c r="AC49" s="279"/>
    </row>
    <row r="50" spans="1:68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00"/>
      <c r="P50" s="301" t="s">
        <v>87</v>
      </c>
      <c r="Q50" s="302"/>
      <c r="R50" s="302"/>
      <c r="S50" s="302"/>
      <c r="T50" s="302"/>
      <c r="U50" s="302"/>
      <c r="V50" s="303"/>
      <c r="W50" s="37" t="s">
        <v>88</v>
      </c>
      <c r="X50" s="278">
        <f>IFERROR(SUMPRODUCT(X47:X48*H47:H48),"0")</f>
        <v>134.39999999999998</v>
      </c>
      <c r="Y50" s="278">
        <f>IFERROR(SUMPRODUCT(Y47:Y48*H47:H48),"0")</f>
        <v>134.39999999999998</v>
      </c>
      <c r="Z50" s="37"/>
      <c r="AA50" s="279"/>
      <c r="AB50" s="279"/>
      <c r="AC50" s="279"/>
    </row>
    <row r="51" spans="1:68" ht="16.5" hidden="1" customHeight="1" x14ac:dyDescent="0.25">
      <c r="A51" s="312" t="s">
        <v>114</v>
      </c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71"/>
      <c r="AB51" s="271"/>
      <c r="AC51" s="271"/>
    </row>
    <row r="52" spans="1:68" ht="14.25" hidden="1" customHeight="1" x14ac:dyDescent="0.25">
      <c r="A52" s="307" t="s">
        <v>62</v>
      </c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90">
        <v>4607111039385</v>
      </c>
      <c r="E53" s="29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90">
        <v>4607111038982</v>
      </c>
      <c r="E54" s="29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0">
        <v>4607111039354</v>
      </c>
      <c r="E55" s="29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90">
        <v>4607111039330</v>
      </c>
      <c r="E56" s="29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98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00"/>
      <c r="P57" s="301" t="s">
        <v>87</v>
      </c>
      <c r="Q57" s="302"/>
      <c r="R57" s="302"/>
      <c r="S57" s="302"/>
      <c r="T57" s="302"/>
      <c r="U57" s="302"/>
      <c r="V57" s="303"/>
      <c r="W57" s="37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idden="1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00"/>
      <c r="P58" s="301" t="s">
        <v>87</v>
      </c>
      <c r="Q58" s="302"/>
      <c r="R58" s="302"/>
      <c r="S58" s="302"/>
      <c r="T58" s="302"/>
      <c r="U58" s="302"/>
      <c r="V58" s="303"/>
      <c r="W58" s="37" t="s">
        <v>88</v>
      </c>
      <c r="X58" s="278">
        <f>IFERROR(SUMPRODUCT(X53:X56*H53:H56),"0")</f>
        <v>0</v>
      </c>
      <c r="Y58" s="278">
        <f>IFERROR(SUMPRODUCT(Y53:Y56*H53:H56),"0")</f>
        <v>0</v>
      </c>
      <c r="Z58" s="37"/>
      <c r="AA58" s="279"/>
      <c r="AB58" s="279"/>
      <c r="AC58" s="279"/>
    </row>
    <row r="59" spans="1:68" ht="16.5" hidden="1" customHeight="1" x14ac:dyDescent="0.25">
      <c r="A59" s="312" t="s">
        <v>125</v>
      </c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71"/>
      <c r="AB59" s="271"/>
      <c r="AC59" s="271"/>
    </row>
    <row r="60" spans="1:68" ht="14.25" hidden="1" customHeight="1" x14ac:dyDescent="0.25">
      <c r="A60" s="307" t="s">
        <v>97</v>
      </c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0">
        <v>4607111039712</v>
      </c>
      <c r="E61" s="29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8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00"/>
      <c r="P62" s="301" t="s">
        <v>87</v>
      </c>
      <c r="Q62" s="302"/>
      <c r="R62" s="302"/>
      <c r="S62" s="302"/>
      <c r="T62" s="302"/>
      <c r="U62" s="302"/>
      <c r="V62" s="303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00"/>
      <c r="P63" s="301" t="s">
        <v>87</v>
      </c>
      <c r="Q63" s="302"/>
      <c r="R63" s="302"/>
      <c r="S63" s="302"/>
      <c r="T63" s="302"/>
      <c r="U63" s="302"/>
      <c r="V63" s="303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7" t="s">
        <v>129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0">
        <v>4607111037398</v>
      </c>
      <c r="E65" s="291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8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00"/>
      <c r="P66" s="301" t="s">
        <v>87</v>
      </c>
      <c r="Q66" s="302"/>
      <c r="R66" s="302"/>
      <c r="S66" s="302"/>
      <c r="T66" s="302"/>
      <c r="U66" s="302"/>
      <c r="V66" s="303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00"/>
      <c r="P67" s="301" t="s">
        <v>87</v>
      </c>
      <c r="Q67" s="302"/>
      <c r="R67" s="302"/>
      <c r="S67" s="302"/>
      <c r="T67" s="302"/>
      <c r="U67" s="302"/>
      <c r="V67" s="303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7" t="s">
        <v>133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0">
        <v>4607111039705</v>
      </c>
      <c r="E69" s="291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0">
        <v>4607111039729</v>
      </c>
      <c r="E70" s="29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90">
        <v>4620207490228</v>
      </c>
      <c r="E71" s="29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00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00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312" t="s">
        <v>141</v>
      </c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71"/>
      <c r="AB74" s="271"/>
      <c r="AC74" s="271"/>
    </row>
    <row r="75" spans="1:68" ht="14.25" hidden="1" customHeight="1" x14ac:dyDescent="0.25">
      <c r="A75" s="307" t="s">
        <v>62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0">
        <v>4607111037411</v>
      </c>
      <c r="E76" s="291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1"/>
      <c r="R76" s="281"/>
      <c r="S76" s="281"/>
      <c r="T76" s="282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90">
        <v>4607111036728</v>
      </c>
      <c r="E77" s="291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1"/>
      <c r="R77" s="281"/>
      <c r="S77" s="281"/>
      <c r="T77" s="282"/>
      <c r="U77" s="34"/>
      <c r="V77" s="34"/>
      <c r="W77" s="35" t="s">
        <v>68</v>
      </c>
      <c r="X77" s="276">
        <v>72</v>
      </c>
      <c r="Y77" s="277">
        <f>IFERROR(IF(X77="","",X77),"")</f>
        <v>72</v>
      </c>
      <c r="Z77" s="36">
        <f>IFERROR(IF(X77="","",X77*0.00866),"")</f>
        <v>0.62351999999999996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375.35039999999998</v>
      </c>
      <c r="BN77" s="67">
        <f>IFERROR(Y77*I77,"0")</f>
        <v>375.35039999999998</v>
      </c>
      <c r="BO77" s="67">
        <f>IFERROR(X77/J77,"0")</f>
        <v>0.5</v>
      </c>
      <c r="BP77" s="67">
        <f>IFERROR(Y77/J77,"0")</f>
        <v>0.5</v>
      </c>
    </row>
    <row r="78" spans="1:68" x14ac:dyDescent="0.2">
      <c r="A78" s="298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00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78">
        <f>IFERROR(SUM(X76:X77),"0")</f>
        <v>72</v>
      </c>
      <c r="Y78" s="278">
        <f>IFERROR(SUM(Y76:Y77),"0")</f>
        <v>72</v>
      </c>
      <c r="Z78" s="278">
        <f>IFERROR(IF(Z76="",0,Z76),"0")+IFERROR(IF(Z77="",0,Z77),"0")</f>
        <v>0.62351999999999996</v>
      </c>
      <c r="AA78" s="279"/>
      <c r="AB78" s="279"/>
      <c r="AC78" s="279"/>
    </row>
    <row r="79" spans="1:68" x14ac:dyDescent="0.2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78">
        <f>IFERROR(SUMPRODUCT(X76:X77*H76:H77),"0")</f>
        <v>360</v>
      </c>
      <c r="Y79" s="278">
        <f>IFERROR(SUMPRODUCT(Y76:Y77*H76:H77),"0")</f>
        <v>360</v>
      </c>
      <c r="Z79" s="37"/>
      <c r="AA79" s="279"/>
      <c r="AB79" s="279"/>
      <c r="AC79" s="279"/>
    </row>
    <row r="80" spans="1:68" ht="16.5" hidden="1" customHeight="1" x14ac:dyDescent="0.25">
      <c r="A80" s="312" t="s">
        <v>148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71"/>
      <c r="AB80" s="271"/>
      <c r="AC80" s="271"/>
    </row>
    <row r="81" spans="1:68" ht="14.25" hidden="1" customHeight="1" x14ac:dyDescent="0.25">
      <c r="A81" s="307" t="s">
        <v>133</v>
      </c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90">
        <v>4607111033659</v>
      </c>
      <c r="E82" s="291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1"/>
      <c r="R82" s="281"/>
      <c r="S82" s="281"/>
      <c r="T82" s="282"/>
      <c r="U82" s="34"/>
      <c r="V82" s="34"/>
      <c r="W82" s="35" t="s">
        <v>68</v>
      </c>
      <c r="X82" s="276">
        <v>14</v>
      </c>
      <c r="Y82" s="277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8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00"/>
      <c r="P83" s="301" t="s">
        <v>87</v>
      </c>
      <c r="Q83" s="302"/>
      <c r="R83" s="302"/>
      <c r="S83" s="302"/>
      <c r="T83" s="302"/>
      <c r="U83" s="302"/>
      <c r="V83" s="303"/>
      <c r="W83" s="37" t="s">
        <v>68</v>
      </c>
      <c r="X83" s="278">
        <f>IFERROR(SUM(X82:X82),"0")</f>
        <v>14</v>
      </c>
      <c r="Y83" s="278">
        <f>IFERROR(SUM(Y82:Y82),"0")</f>
        <v>14</v>
      </c>
      <c r="Z83" s="278">
        <f>IFERROR(IF(Z82="",0,Z82),"0")</f>
        <v>0.25031999999999999</v>
      </c>
      <c r="AA83" s="279"/>
      <c r="AB83" s="279"/>
      <c r="AC83" s="279"/>
    </row>
    <row r="84" spans="1:68" x14ac:dyDescent="0.2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00"/>
      <c r="P84" s="301" t="s">
        <v>87</v>
      </c>
      <c r="Q84" s="302"/>
      <c r="R84" s="302"/>
      <c r="S84" s="302"/>
      <c r="T84" s="302"/>
      <c r="U84" s="302"/>
      <c r="V84" s="303"/>
      <c r="W84" s="37" t="s">
        <v>88</v>
      </c>
      <c r="X84" s="278">
        <f>IFERROR(SUMPRODUCT(X82:X82*H82:H82),"0")</f>
        <v>50.4</v>
      </c>
      <c r="Y84" s="278">
        <f>IFERROR(SUMPRODUCT(Y82:Y82*H82:H82),"0")</f>
        <v>50.4</v>
      </c>
      <c r="Z84" s="37"/>
      <c r="AA84" s="279"/>
      <c r="AB84" s="279"/>
      <c r="AC84" s="279"/>
    </row>
    <row r="85" spans="1:68" ht="16.5" hidden="1" customHeight="1" x14ac:dyDescent="0.25">
      <c r="A85" s="312" t="s">
        <v>152</v>
      </c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71"/>
      <c r="AB85" s="271"/>
      <c r="AC85" s="271"/>
    </row>
    <row r="86" spans="1:68" ht="14.25" hidden="1" customHeight="1" x14ac:dyDescent="0.25">
      <c r="A86" s="307" t="s">
        <v>153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90">
        <v>4607111034120</v>
      </c>
      <c r="E87" s="291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1"/>
      <c r="R87" s="281"/>
      <c r="S87" s="281"/>
      <c r="T87" s="282"/>
      <c r="U87" s="34"/>
      <c r="V87" s="34"/>
      <c r="W87" s="35" t="s">
        <v>68</v>
      </c>
      <c r="X87" s="276">
        <v>14</v>
      </c>
      <c r="Y87" s="277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90">
        <v>4607111034137</v>
      </c>
      <c r="E88" s="29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00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78">
        <f>IFERROR(SUM(X87:X88),"0")</f>
        <v>14</v>
      </c>
      <c r="Y89" s="278">
        <f>IFERROR(SUM(Y87:Y88),"0")</f>
        <v>14</v>
      </c>
      <c r="Z89" s="278">
        <f>IFERROR(IF(Z87="",0,Z87),"0")+IFERROR(IF(Z88="",0,Z88),"0")</f>
        <v>0.25031999999999999</v>
      </c>
      <c r="AA89" s="279"/>
      <c r="AB89" s="279"/>
      <c r="AC89" s="279"/>
    </row>
    <row r="90" spans="1:68" x14ac:dyDescent="0.2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00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78">
        <f>IFERROR(SUMPRODUCT(X87:X88*H87:H88),"0")</f>
        <v>50.4</v>
      </c>
      <c r="Y90" s="278">
        <f>IFERROR(SUMPRODUCT(Y87:Y88*H87:H88),"0")</f>
        <v>50.4</v>
      </c>
      <c r="Z90" s="37"/>
      <c r="AA90" s="279"/>
      <c r="AB90" s="279"/>
      <c r="AC90" s="279"/>
    </row>
    <row r="91" spans="1:68" ht="16.5" hidden="1" customHeight="1" x14ac:dyDescent="0.25">
      <c r="A91" s="312" t="s">
        <v>160</v>
      </c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71"/>
      <c r="AB91" s="271"/>
      <c r="AC91" s="271"/>
    </row>
    <row r="92" spans="1:68" ht="14.25" hidden="1" customHeight="1" x14ac:dyDescent="0.25">
      <c r="A92" s="307" t="s">
        <v>133</v>
      </c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90">
        <v>4620207491027</v>
      </c>
      <c r="E93" s="29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90">
        <v>4620207491621</v>
      </c>
      <c r="E94" s="29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90">
        <v>4620207491881</v>
      </c>
      <c r="E95" s="29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90">
        <v>4620207491577</v>
      </c>
      <c r="E96" s="29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28</v>
      </c>
      <c r="Y96" s="277">
        <f t="shared" si="6"/>
        <v>28</v>
      </c>
      <c r="Z96" s="36">
        <f t="shared" si="7"/>
        <v>0.50063999999999997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90">
        <v>4620207491874</v>
      </c>
      <c r="E97" s="291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90">
        <v>4607111036407</v>
      </c>
      <c r="E98" s="291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1"/>
      <c r="R98" s="281"/>
      <c r="S98" s="281"/>
      <c r="T98" s="282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8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00"/>
      <c r="P99" s="301" t="s">
        <v>87</v>
      </c>
      <c r="Q99" s="302"/>
      <c r="R99" s="302"/>
      <c r="S99" s="302"/>
      <c r="T99" s="302"/>
      <c r="U99" s="302"/>
      <c r="V99" s="303"/>
      <c r="W99" s="37" t="s">
        <v>68</v>
      </c>
      <c r="X99" s="278">
        <f>IFERROR(SUM(X93:X98),"0")</f>
        <v>28</v>
      </c>
      <c r="Y99" s="278">
        <f>IFERROR(SUM(Y93:Y98),"0")</f>
        <v>28</v>
      </c>
      <c r="Z99" s="278">
        <f>IFERROR(IF(Z93="",0,Z93),"0")+IFERROR(IF(Z94="",0,Z94),"0")+IFERROR(IF(Z95="",0,Z95),"0")+IFERROR(IF(Z96="",0,Z96),"0")+IFERROR(IF(Z97="",0,Z97),"0")+IFERROR(IF(Z98="",0,Z98),"0")</f>
        <v>0.50063999999999997</v>
      </c>
      <c r="AA99" s="279"/>
      <c r="AB99" s="279"/>
      <c r="AC99" s="279"/>
    </row>
    <row r="100" spans="1:68" x14ac:dyDescent="0.2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00"/>
      <c r="P100" s="301" t="s">
        <v>87</v>
      </c>
      <c r="Q100" s="302"/>
      <c r="R100" s="302"/>
      <c r="S100" s="302"/>
      <c r="T100" s="302"/>
      <c r="U100" s="302"/>
      <c r="V100" s="303"/>
      <c r="W100" s="37" t="s">
        <v>88</v>
      </c>
      <c r="X100" s="278">
        <f>IFERROR(SUMPRODUCT(X93:X98*H93:H98),"0")</f>
        <v>80.64</v>
      </c>
      <c r="Y100" s="278">
        <f>IFERROR(SUMPRODUCT(Y93:Y98*H93:H98),"0")</f>
        <v>80.64</v>
      </c>
      <c r="Z100" s="37"/>
      <c r="AA100" s="279"/>
      <c r="AB100" s="279"/>
      <c r="AC100" s="279"/>
    </row>
    <row r="101" spans="1:68" ht="16.5" hidden="1" customHeight="1" x14ac:dyDescent="0.25">
      <c r="A101" s="312" t="s">
        <v>175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71"/>
      <c r="AB101" s="271"/>
      <c r="AC101" s="271"/>
    </row>
    <row r="102" spans="1:68" ht="14.25" hidden="1" customHeight="1" x14ac:dyDescent="0.25">
      <c r="A102" s="307" t="s">
        <v>129</v>
      </c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90">
        <v>4620207491652</v>
      </c>
      <c r="E103" s="291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1"/>
      <c r="R103" s="281"/>
      <c r="S103" s="281"/>
      <c r="T103" s="282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0">
        <v>4620207491645</v>
      </c>
      <c r="E104" s="291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8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00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00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312" t="s">
        <v>181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  <c r="AA107" s="271"/>
      <c r="AB107" s="271"/>
      <c r="AC107" s="271"/>
    </row>
    <row r="108" spans="1:68" ht="14.25" hidden="1" customHeight="1" x14ac:dyDescent="0.25">
      <c r="A108" s="307" t="s">
        <v>62</v>
      </c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90">
        <v>4620207491157</v>
      </c>
      <c r="E109" s="291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12</v>
      </c>
      <c r="Y109" s="277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0">
        <v>4620207491393</v>
      </c>
      <c r="E110" s="291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4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90">
        <v>4607111039262</v>
      </c>
      <c r="E111" s="291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0">
        <v>4607111039248</v>
      </c>
      <c r="E112" s="291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0">
        <v>4607111037145</v>
      </c>
      <c r="E113" s="291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4301071049</v>
      </c>
      <c r="D114" s="290">
        <v>4607111039293</v>
      </c>
      <c r="E114" s="291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90">
        <v>4607111039279</v>
      </c>
      <c r="E115" s="291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36</v>
      </c>
      <c r="Y115" s="277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298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300"/>
      <c r="P116" s="301" t="s">
        <v>87</v>
      </c>
      <c r="Q116" s="302"/>
      <c r="R116" s="302"/>
      <c r="S116" s="302"/>
      <c r="T116" s="302"/>
      <c r="U116" s="302"/>
      <c r="V116" s="303"/>
      <c r="W116" s="37" t="s">
        <v>68</v>
      </c>
      <c r="X116" s="278">
        <f>IFERROR(SUM(X109:X115),"0")</f>
        <v>72</v>
      </c>
      <c r="Y116" s="278">
        <f>IFERROR(SUM(Y109:Y115),"0")</f>
        <v>72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1.1160000000000001</v>
      </c>
      <c r="AA116" s="279"/>
      <c r="AB116" s="279"/>
      <c r="AC116" s="279"/>
    </row>
    <row r="117" spans="1:68" x14ac:dyDescent="0.2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00"/>
      <c r="P117" s="301" t="s">
        <v>87</v>
      </c>
      <c r="Q117" s="302"/>
      <c r="R117" s="302"/>
      <c r="S117" s="302"/>
      <c r="T117" s="302"/>
      <c r="U117" s="302"/>
      <c r="V117" s="303"/>
      <c r="W117" s="37" t="s">
        <v>88</v>
      </c>
      <c r="X117" s="278">
        <f>IFERROR(SUMPRODUCT(X109:X115*H109:H115),"0")</f>
        <v>504</v>
      </c>
      <c r="Y117" s="278">
        <f>IFERROR(SUMPRODUCT(Y109:Y115*H109:H115),"0")</f>
        <v>504</v>
      </c>
      <c r="Z117" s="37"/>
      <c r="AA117" s="279"/>
      <c r="AB117" s="279"/>
      <c r="AC117" s="279"/>
    </row>
    <row r="118" spans="1:68" ht="14.25" hidden="1" customHeight="1" x14ac:dyDescent="0.25">
      <c r="A118" s="307" t="s">
        <v>133</v>
      </c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90">
        <v>4620207490983</v>
      </c>
      <c r="E119" s="291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1"/>
      <c r="R119" s="281"/>
      <c r="S119" s="281"/>
      <c r="T119" s="282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8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300"/>
      <c r="P120" s="301" t="s">
        <v>87</v>
      </c>
      <c r="Q120" s="302"/>
      <c r="R120" s="302"/>
      <c r="S120" s="302"/>
      <c r="T120" s="302"/>
      <c r="U120" s="302"/>
      <c r="V120" s="303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00"/>
      <c r="P121" s="301" t="s">
        <v>87</v>
      </c>
      <c r="Q121" s="302"/>
      <c r="R121" s="302"/>
      <c r="S121" s="302"/>
      <c r="T121" s="302"/>
      <c r="U121" s="302"/>
      <c r="V121" s="303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7" t="s">
        <v>202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0">
        <v>4620207491140</v>
      </c>
      <c r="E123" s="291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1"/>
      <c r="R123" s="281"/>
      <c r="S123" s="281"/>
      <c r="T123" s="282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8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300"/>
      <c r="P124" s="301" t="s">
        <v>87</v>
      </c>
      <c r="Q124" s="302"/>
      <c r="R124" s="302"/>
      <c r="S124" s="302"/>
      <c r="T124" s="302"/>
      <c r="U124" s="302"/>
      <c r="V124" s="303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00"/>
      <c r="P125" s="301" t="s">
        <v>87</v>
      </c>
      <c r="Q125" s="302"/>
      <c r="R125" s="302"/>
      <c r="S125" s="302"/>
      <c r="T125" s="302"/>
      <c r="U125" s="302"/>
      <c r="V125" s="303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312" t="s">
        <v>206</v>
      </c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71"/>
      <c r="AB126" s="271"/>
      <c r="AC126" s="271"/>
    </row>
    <row r="127" spans="1:68" ht="14.25" hidden="1" customHeight="1" x14ac:dyDescent="0.25">
      <c r="A127" s="307" t="s">
        <v>133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90">
        <v>4620207491799</v>
      </c>
      <c r="E128" s="291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5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1"/>
      <c r="R128" s="281"/>
      <c r="S128" s="281"/>
      <c r="T128" s="282"/>
      <c r="U128" s="34"/>
      <c r="V128" s="34"/>
      <c r="W128" s="35" t="s">
        <v>68</v>
      </c>
      <c r="X128" s="276">
        <v>28</v>
      </c>
      <c r="Y128" s="277">
        <f>IFERROR(IF(X128="","",X128),"")</f>
        <v>28</v>
      </c>
      <c r="Z128" s="36">
        <f>IFERROR(IF(X128="","",X128*0.00941),"")</f>
        <v>0.26347999999999999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50.4</v>
      </c>
      <c r="BN128" s="67">
        <f>IFERROR(Y128*I128,"0")</f>
        <v>50.4</v>
      </c>
      <c r="BO128" s="67">
        <f>IFERROR(X128/J128,"0")</f>
        <v>0.2</v>
      </c>
      <c r="BP128" s="67">
        <f>IFERROR(Y128/J128,"0")</f>
        <v>0.2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90">
        <v>4620207491492</v>
      </c>
      <c r="E129" s="29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customHeight="1" x14ac:dyDescent="0.25">
      <c r="A130" s="54" t="s">
        <v>212</v>
      </c>
      <c r="B130" s="54" t="s">
        <v>213</v>
      </c>
      <c r="C130" s="31">
        <v>4301190118</v>
      </c>
      <c r="D130" s="290">
        <v>4620207491461</v>
      </c>
      <c r="E130" s="291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14</v>
      </c>
      <c r="Y130" s="277">
        <f>IFERROR(IF(X130="","",X130),"")</f>
        <v>14</v>
      </c>
      <c r="Z130" s="36">
        <f>IFERROR(IF(X130="","",X130*0.00941),"")</f>
        <v>0.13174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24.36</v>
      </c>
      <c r="BN130" s="67">
        <f>IFERROR(Y130*I130,"0")</f>
        <v>24.36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214</v>
      </c>
      <c r="B131" s="54" t="s">
        <v>215</v>
      </c>
      <c r="C131" s="31">
        <v>4301135865</v>
      </c>
      <c r="D131" s="290">
        <v>4620207491485</v>
      </c>
      <c r="E131" s="291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298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300"/>
      <c r="P132" s="301" t="s">
        <v>87</v>
      </c>
      <c r="Q132" s="302"/>
      <c r="R132" s="302"/>
      <c r="S132" s="302"/>
      <c r="T132" s="302"/>
      <c r="U132" s="302"/>
      <c r="V132" s="303"/>
      <c r="W132" s="37" t="s">
        <v>68</v>
      </c>
      <c r="X132" s="278">
        <f>IFERROR(SUM(X128:X131),"0")</f>
        <v>42</v>
      </c>
      <c r="Y132" s="278">
        <f>IFERROR(SUM(Y128:Y131),"0")</f>
        <v>42</v>
      </c>
      <c r="Z132" s="278">
        <f>IFERROR(IF(Z128="",0,Z128),"0")+IFERROR(IF(Z129="",0,Z129),"0")+IFERROR(IF(Z130="",0,Z130),"0")+IFERROR(IF(Z131="",0,Z131),"0")</f>
        <v>0.39522000000000002</v>
      </c>
      <c r="AA132" s="279"/>
      <c r="AB132" s="279"/>
      <c r="AC132" s="279"/>
    </row>
    <row r="133" spans="1:68" x14ac:dyDescent="0.2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00"/>
      <c r="P133" s="301" t="s">
        <v>87</v>
      </c>
      <c r="Q133" s="302"/>
      <c r="R133" s="302"/>
      <c r="S133" s="302"/>
      <c r="T133" s="302"/>
      <c r="U133" s="302"/>
      <c r="V133" s="303"/>
      <c r="W133" s="37" t="s">
        <v>88</v>
      </c>
      <c r="X133" s="278">
        <f>IFERROR(SUMPRODUCT(X128:X131*H128:H131),"0")</f>
        <v>57.120000000000005</v>
      </c>
      <c r="Y133" s="278">
        <f>IFERROR(SUMPRODUCT(Y128:Y131*H128:H131),"0")</f>
        <v>57.120000000000005</v>
      </c>
      <c r="Z133" s="37"/>
      <c r="AA133" s="279"/>
      <c r="AB133" s="279"/>
      <c r="AC133" s="279"/>
    </row>
    <row r="134" spans="1:68" ht="14.25" hidden="1" customHeight="1" x14ac:dyDescent="0.25">
      <c r="A134" s="307" t="s">
        <v>216</v>
      </c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90">
        <v>4620207491386</v>
      </c>
      <c r="E135" s="291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3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1"/>
      <c r="R135" s="281"/>
      <c r="S135" s="281"/>
      <c r="T135" s="282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0">
        <v>4620207491362</v>
      </c>
      <c r="E136" s="29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0">
        <v>4620207491379</v>
      </c>
      <c r="E137" s="29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8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300"/>
      <c r="P138" s="301" t="s">
        <v>87</v>
      </c>
      <c r="Q138" s="302"/>
      <c r="R138" s="302"/>
      <c r="S138" s="302"/>
      <c r="T138" s="302"/>
      <c r="U138" s="302"/>
      <c r="V138" s="303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00"/>
      <c r="P139" s="301" t="s">
        <v>87</v>
      </c>
      <c r="Q139" s="302"/>
      <c r="R139" s="302"/>
      <c r="S139" s="302"/>
      <c r="T139" s="302"/>
      <c r="U139" s="302"/>
      <c r="V139" s="303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312" t="s">
        <v>224</v>
      </c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71"/>
      <c r="AB140" s="271"/>
      <c r="AC140" s="271"/>
    </row>
    <row r="141" spans="1:68" ht="14.25" hidden="1" customHeight="1" x14ac:dyDescent="0.25">
      <c r="A141" s="307" t="s">
        <v>133</v>
      </c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90">
        <v>4607111034014</v>
      </c>
      <c r="E142" s="291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1"/>
      <c r="R142" s="281"/>
      <c r="S142" s="281"/>
      <c r="T142" s="282"/>
      <c r="U142" s="34"/>
      <c r="V142" s="34"/>
      <c r="W142" s="35" t="s">
        <v>68</v>
      </c>
      <c r="X142" s="276">
        <v>14</v>
      </c>
      <c r="Y142" s="277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51.850399999999993</v>
      </c>
      <c r="BN142" s="67">
        <f>IFERROR(Y142*I142,"0")</f>
        <v>51.850399999999993</v>
      </c>
      <c r="BO142" s="67">
        <f>IFERROR(X142/J142,"0")</f>
        <v>0.2</v>
      </c>
      <c r="BP142" s="67">
        <f>IFERROR(Y142/J142,"0")</f>
        <v>0.2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90">
        <v>4607111033994</v>
      </c>
      <c r="E143" s="29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300"/>
      <c r="P144" s="301" t="s">
        <v>87</v>
      </c>
      <c r="Q144" s="302"/>
      <c r="R144" s="302"/>
      <c r="S144" s="302"/>
      <c r="T144" s="302"/>
      <c r="U144" s="302"/>
      <c r="V144" s="303"/>
      <c r="W144" s="37" t="s">
        <v>68</v>
      </c>
      <c r="X144" s="278">
        <f>IFERROR(SUM(X142:X143),"0")</f>
        <v>14</v>
      </c>
      <c r="Y144" s="278">
        <f>IFERROR(SUM(Y142:Y143),"0")</f>
        <v>14</v>
      </c>
      <c r="Z144" s="278">
        <f>IFERROR(IF(Z142="",0,Z142),"0")+IFERROR(IF(Z143="",0,Z143),"0")</f>
        <v>0.25031999999999999</v>
      </c>
      <c r="AA144" s="279"/>
      <c r="AB144" s="279"/>
      <c r="AC144" s="279"/>
    </row>
    <row r="145" spans="1:68" x14ac:dyDescent="0.2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00"/>
      <c r="P145" s="301" t="s">
        <v>87</v>
      </c>
      <c r="Q145" s="302"/>
      <c r="R145" s="302"/>
      <c r="S145" s="302"/>
      <c r="T145" s="302"/>
      <c r="U145" s="302"/>
      <c r="V145" s="303"/>
      <c r="W145" s="37" t="s">
        <v>88</v>
      </c>
      <c r="X145" s="278">
        <f>IFERROR(SUMPRODUCT(X142:X143*H142:H143),"0")</f>
        <v>42</v>
      </c>
      <c r="Y145" s="278">
        <f>IFERROR(SUMPRODUCT(Y142:Y143*H142:H143),"0")</f>
        <v>42</v>
      </c>
      <c r="Z145" s="37"/>
      <c r="AA145" s="279"/>
      <c r="AB145" s="279"/>
      <c r="AC145" s="279"/>
    </row>
    <row r="146" spans="1:68" ht="16.5" hidden="1" customHeight="1" x14ac:dyDescent="0.25">
      <c r="A146" s="312" t="s">
        <v>230</v>
      </c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71"/>
      <c r="AB146" s="271"/>
      <c r="AC146" s="271"/>
    </row>
    <row r="147" spans="1:68" ht="14.25" hidden="1" customHeight="1" x14ac:dyDescent="0.25">
      <c r="A147" s="307" t="s">
        <v>133</v>
      </c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90">
        <v>4607111039095</v>
      </c>
      <c r="E148" s="291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1"/>
      <c r="R148" s="281"/>
      <c r="S148" s="281"/>
      <c r="T148" s="282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0">
        <v>4620207491768</v>
      </c>
      <c r="E149" s="29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90">
        <v>4620207491553</v>
      </c>
      <c r="E150" s="29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29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8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00"/>
      <c r="P151" s="301" t="s">
        <v>87</v>
      </c>
      <c r="Q151" s="302"/>
      <c r="R151" s="302"/>
      <c r="S151" s="302"/>
      <c r="T151" s="302"/>
      <c r="U151" s="302"/>
      <c r="V151" s="303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00"/>
      <c r="P152" s="301" t="s">
        <v>87</v>
      </c>
      <c r="Q152" s="302"/>
      <c r="R152" s="302"/>
      <c r="S152" s="302"/>
      <c r="T152" s="302"/>
      <c r="U152" s="302"/>
      <c r="V152" s="303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312" t="s">
        <v>239</v>
      </c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71"/>
      <c r="AB153" s="271"/>
      <c r="AC153" s="271"/>
    </row>
    <row r="154" spans="1:68" ht="14.25" hidden="1" customHeight="1" x14ac:dyDescent="0.25">
      <c r="A154" s="307" t="s">
        <v>133</v>
      </c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90">
        <v>4620207490914</v>
      </c>
      <c r="E155" s="29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90">
        <v>4620207491676</v>
      </c>
      <c r="E156" s="29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8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300"/>
      <c r="P157" s="301" t="s">
        <v>87</v>
      </c>
      <c r="Q157" s="302"/>
      <c r="R157" s="302"/>
      <c r="S157" s="302"/>
      <c r="T157" s="302"/>
      <c r="U157" s="302"/>
      <c r="V157" s="303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00"/>
      <c r="P158" s="301" t="s">
        <v>87</v>
      </c>
      <c r="Q158" s="302"/>
      <c r="R158" s="302"/>
      <c r="S158" s="302"/>
      <c r="T158" s="302"/>
      <c r="U158" s="302"/>
      <c r="V158" s="303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312" t="s">
        <v>245</v>
      </c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71"/>
      <c r="AB159" s="271"/>
      <c r="AC159" s="271"/>
    </row>
    <row r="160" spans="1:68" ht="14.25" hidden="1" customHeight="1" x14ac:dyDescent="0.25">
      <c r="A160" s="307" t="s">
        <v>133</v>
      </c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72"/>
      <c r="AB160" s="272"/>
      <c r="AC160" s="272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90">
        <v>4620207491614</v>
      </c>
      <c r="E161" s="29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8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300"/>
      <c r="P162" s="301" t="s">
        <v>87</v>
      </c>
      <c r="Q162" s="302"/>
      <c r="R162" s="302"/>
      <c r="S162" s="302"/>
      <c r="T162" s="302"/>
      <c r="U162" s="302"/>
      <c r="V162" s="303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00"/>
      <c r="P163" s="301" t="s">
        <v>87</v>
      </c>
      <c r="Q163" s="302"/>
      <c r="R163" s="302"/>
      <c r="S163" s="302"/>
      <c r="T163" s="302"/>
      <c r="U163" s="302"/>
      <c r="V163" s="303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312" t="s">
        <v>249</v>
      </c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71"/>
      <c r="AB164" s="271"/>
      <c r="AC164" s="271"/>
    </row>
    <row r="165" spans="1:68" ht="14.25" hidden="1" customHeight="1" x14ac:dyDescent="0.25">
      <c r="A165" s="307" t="s">
        <v>133</v>
      </c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90">
        <v>4607111039613</v>
      </c>
      <c r="E166" s="29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8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300"/>
      <c r="P167" s="301" t="s">
        <v>87</v>
      </c>
      <c r="Q167" s="302"/>
      <c r="R167" s="302"/>
      <c r="S167" s="302"/>
      <c r="T167" s="302"/>
      <c r="U167" s="302"/>
      <c r="V167" s="303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00"/>
      <c r="P168" s="301" t="s">
        <v>87</v>
      </c>
      <c r="Q168" s="302"/>
      <c r="R168" s="302"/>
      <c r="S168" s="302"/>
      <c r="T168" s="302"/>
      <c r="U168" s="302"/>
      <c r="V168" s="303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312" t="s">
        <v>252</v>
      </c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71"/>
      <c r="AB169" s="271"/>
      <c r="AC169" s="271"/>
    </row>
    <row r="170" spans="1:68" ht="14.25" hidden="1" customHeight="1" x14ac:dyDescent="0.25">
      <c r="A170" s="307" t="s">
        <v>133</v>
      </c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90">
        <v>4607111036568</v>
      </c>
      <c r="E171" s="29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14</v>
      </c>
      <c r="Y171" s="277">
        <f>IFERROR(IF(X171="","",X171),"")</f>
        <v>14</v>
      </c>
      <c r="Z171" s="36">
        <f>IFERROR(IF(X171="","",X171*0.00941),"")</f>
        <v>0.13174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298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300"/>
      <c r="P172" s="301" t="s">
        <v>87</v>
      </c>
      <c r="Q172" s="302"/>
      <c r="R172" s="302"/>
      <c r="S172" s="302"/>
      <c r="T172" s="302"/>
      <c r="U172" s="302"/>
      <c r="V172" s="303"/>
      <c r="W172" s="37" t="s">
        <v>68</v>
      </c>
      <c r="X172" s="278">
        <f>IFERROR(SUM(X171:X171),"0")</f>
        <v>14</v>
      </c>
      <c r="Y172" s="278">
        <f>IFERROR(SUM(Y171:Y171),"0")</f>
        <v>14</v>
      </c>
      <c r="Z172" s="278">
        <f>IFERROR(IF(Z171="",0,Z171),"0")</f>
        <v>0.13174</v>
      </c>
      <c r="AA172" s="279"/>
      <c r="AB172" s="279"/>
      <c r="AC172" s="279"/>
    </row>
    <row r="173" spans="1:68" x14ac:dyDescent="0.2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00"/>
      <c r="P173" s="301" t="s">
        <v>87</v>
      </c>
      <c r="Q173" s="302"/>
      <c r="R173" s="302"/>
      <c r="S173" s="302"/>
      <c r="T173" s="302"/>
      <c r="U173" s="302"/>
      <c r="V173" s="303"/>
      <c r="W173" s="37" t="s">
        <v>88</v>
      </c>
      <c r="X173" s="278">
        <f>IFERROR(SUMPRODUCT(X171:X171*H171:H171),"0")</f>
        <v>23.52</v>
      </c>
      <c r="Y173" s="278">
        <f>IFERROR(SUMPRODUCT(Y171:Y171*H171:H171),"0")</f>
        <v>23.52</v>
      </c>
      <c r="Z173" s="37"/>
      <c r="AA173" s="279"/>
      <c r="AB173" s="279"/>
      <c r="AC173" s="279"/>
    </row>
    <row r="174" spans="1:68" ht="27.75" hidden="1" customHeight="1" x14ac:dyDescent="0.2">
      <c r="A174" s="285" t="s">
        <v>256</v>
      </c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48"/>
      <c r="AB174" s="48"/>
      <c r="AC174" s="48"/>
    </row>
    <row r="175" spans="1:68" ht="16.5" hidden="1" customHeight="1" x14ac:dyDescent="0.25">
      <c r="A175" s="312" t="s">
        <v>257</v>
      </c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71"/>
      <c r="AB175" s="271"/>
      <c r="AC175" s="271"/>
    </row>
    <row r="176" spans="1:68" ht="14.25" hidden="1" customHeight="1" x14ac:dyDescent="0.25">
      <c r="A176" s="307" t="s">
        <v>62</v>
      </c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0">
        <v>4607111036384</v>
      </c>
      <c r="E177" s="29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90">
        <v>4607111036216</v>
      </c>
      <c r="E178" s="29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IFERROR(IF(X178="","",X178*0.00866),"")</f>
        <v>0.10391999999999998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98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00"/>
      <c r="P179" s="301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00"/>
      <c r="P180" s="301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7"/>
      <c r="AA180" s="279"/>
      <c r="AB180" s="279"/>
      <c r="AC180" s="279"/>
    </row>
    <row r="181" spans="1:68" ht="16.5" hidden="1" customHeight="1" x14ac:dyDescent="0.25">
      <c r="A181" s="312" t="s">
        <v>264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71"/>
      <c r="AB181" s="271"/>
      <c r="AC181" s="271"/>
    </row>
    <row r="182" spans="1:68" ht="14.25" hidden="1" customHeight="1" x14ac:dyDescent="0.25">
      <c r="A182" s="307" t="s">
        <v>62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72"/>
      <c r="AB182" s="272"/>
      <c r="AC182" s="272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90">
        <v>4620207491737</v>
      </c>
      <c r="E183" s="29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12</v>
      </c>
      <c r="Y183" s="277">
        <f>IFERROR(IF(X183="","",X183),"")</f>
        <v>12</v>
      </c>
      <c r="Z183" s="36">
        <f>IFERROR(IF(X183="","",X183*0.0155),"")</f>
        <v>0.186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63.143999999999991</v>
      </c>
      <c r="BN183" s="67">
        <f>IFERROR(Y183*I183,"0")</f>
        <v>63.143999999999991</v>
      </c>
      <c r="BO183" s="67">
        <f>IFERROR(X183/J183,"0")</f>
        <v>0.14285714285714285</v>
      </c>
      <c r="BP183" s="67">
        <f>IFERROR(Y183/J183,"0")</f>
        <v>0.14285714285714285</v>
      </c>
    </row>
    <row r="184" spans="1:68" x14ac:dyDescent="0.2">
      <c r="A184" s="298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00"/>
      <c r="P184" s="301" t="s">
        <v>87</v>
      </c>
      <c r="Q184" s="302"/>
      <c r="R184" s="302"/>
      <c r="S184" s="302"/>
      <c r="T184" s="302"/>
      <c r="U184" s="302"/>
      <c r="V184" s="303"/>
      <c r="W184" s="37" t="s">
        <v>68</v>
      </c>
      <c r="X184" s="278">
        <f>IFERROR(SUM(X183:X183),"0")</f>
        <v>12</v>
      </c>
      <c r="Y184" s="278">
        <f>IFERROR(SUM(Y183:Y183),"0")</f>
        <v>12</v>
      </c>
      <c r="Z184" s="278">
        <f>IFERROR(IF(Z183="",0,Z183),"0")</f>
        <v>0.186</v>
      </c>
      <c r="AA184" s="279"/>
      <c r="AB184" s="279"/>
      <c r="AC184" s="279"/>
    </row>
    <row r="185" spans="1:68" x14ac:dyDescent="0.2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300"/>
      <c r="P185" s="301" t="s">
        <v>87</v>
      </c>
      <c r="Q185" s="302"/>
      <c r="R185" s="302"/>
      <c r="S185" s="302"/>
      <c r="T185" s="302"/>
      <c r="U185" s="302"/>
      <c r="V185" s="303"/>
      <c r="W185" s="37" t="s">
        <v>88</v>
      </c>
      <c r="X185" s="278">
        <f>IFERROR(SUMPRODUCT(X183:X183*H183:H183),"0")</f>
        <v>60</v>
      </c>
      <c r="Y185" s="278">
        <f>IFERROR(SUMPRODUCT(Y183:Y183*H183:H183),"0")</f>
        <v>60</v>
      </c>
      <c r="Z185" s="37"/>
      <c r="AA185" s="279"/>
      <c r="AB185" s="279"/>
      <c r="AC185" s="279"/>
    </row>
    <row r="186" spans="1:68" ht="27.75" hidden="1" customHeight="1" x14ac:dyDescent="0.2">
      <c r="A186" s="285" t="s">
        <v>267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48"/>
      <c r="AB186" s="48"/>
      <c r="AC186" s="48"/>
    </row>
    <row r="187" spans="1:68" ht="16.5" hidden="1" customHeight="1" x14ac:dyDescent="0.25">
      <c r="A187" s="312" t="s">
        <v>268</v>
      </c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71"/>
      <c r="AB187" s="271"/>
      <c r="AC187" s="271"/>
    </row>
    <row r="188" spans="1:68" ht="14.25" hidden="1" customHeight="1" x14ac:dyDescent="0.25">
      <c r="A188" s="307" t="s">
        <v>97</v>
      </c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72"/>
      <c r="AB188" s="272"/>
      <c r="AC188" s="272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90">
        <v>4607111035691</v>
      </c>
      <c r="E189" s="29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272</v>
      </c>
      <c r="B190" s="54" t="s">
        <v>273</v>
      </c>
      <c r="C190" s="31">
        <v>4301132182</v>
      </c>
      <c r="D190" s="290">
        <v>4607111035721</v>
      </c>
      <c r="E190" s="29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0</v>
      </c>
      <c r="Y190" s="277">
        <f>IFERROR(IF(X190="","",X190),"")</f>
        <v>0</v>
      </c>
      <c r="Z190" s="36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275</v>
      </c>
      <c r="B191" s="54" t="s">
        <v>276</v>
      </c>
      <c r="C191" s="31">
        <v>4301132170</v>
      </c>
      <c r="D191" s="290">
        <v>4607111038487</v>
      </c>
      <c r="E191" s="29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0">
        <v>4620207491195</v>
      </c>
      <c r="E192" s="29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98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300"/>
      <c r="P193" s="301" t="s">
        <v>87</v>
      </c>
      <c r="Q193" s="302"/>
      <c r="R193" s="302"/>
      <c r="S193" s="302"/>
      <c r="T193" s="302"/>
      <c r="U193" s="302"/>
      <c r="V193" s="303"/>
      <c r="W193" s="37" t="s">
        <v>68</v>
      </c>
      <c r="X193" s="278">
        <f>IFERROR(SUM(X189:X192),"0")</f>
        <v>0</v>
      </c>
      <c r="Y193" s="278">
        <f>IFERROR(SUM(Y189:Y192),"0")</f>
        <v>0</v>
      </c>
      <c r="Z193" s="278">
        <f>IFERROR(IF(Z189="",0,Z189),"0")+IFERROR(IF(Z190="",0,Z190),"0")+IFERROR(IF(Z191="",0,Z191),"0")+IFERROR(IF(Z192="",0,Z192),"0")</f>
        <v>0</v>
      </c>
      <c r="AA193" s="279"/>
      <c r="AB193" s="279"/>
      <c r="AC193" s="279"/>
    </row>
    <row r="194" spans="1:68" hidden="1" x14ac:dyDescent="0.2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300"/>
      <c r="P194" s="301" t="s">
        <v>87</v>
      </c>
      <c r="Q194" s="302"/>
      <c r="R194" s="302"/>
      <c r="S194" s="302"/>
      <c r="T194" s="302"/>
      <c r="U194" s="302"/>
      <c r="V194" s="303"/>
      <c r="W194" s="37" t="s">
        <v>88</v>
      </c>
      <c r="X194" s="278">
        <f>IFERROR(SUMPRODUCT(X189:X192*H189:H192),"0")</f>
        <v>0</v>
      </c>
      <c r="Y194" s="278">
        <f>IFERROR(SUMPRODUCT(Y189:Y192*H189:H192),"0")</f>
        <v>0</v>
      </c>
      <c r="Z194" s="37"/>
      <c r="AA194" s="279"/>
      <c r="AB194" s="279"/>
      <c r="AC194" s="279"/>
    </row>
    <row r="195" spans="1:68" ht="27.75" hidden="1" customHeight="1" x14ac:dyDescent="0.2">
      <c r="A195" s="285" t="s">
        <v>281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48"/>
      <c r="AB195" s="48"/>
      <c r="AC195" s="48"/>
    </row>
    <row r="196" spans="1:68" ht="16.5" hidden="1" customHeight="1" x14ac:dyDescent="0.25">
      <c r="A196" s="312" t="s">
        <v>282</v>
      </c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71"/>
      <c r="AB196" s="271"/>
      <c r="AC196" s="271"/>
    </row>
    <row r="197" spans="1:68" ht="14.25" hidden="1" customHeight="1" x14ac:dyDescent="0.25">
      <c r="A197" s="307" t="s">
        <v>97</v>
      </c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72"/>
      <c r="AB197" s="272"/>
      <c r="AC197" s="272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90">
        <v>4620207491133</v>
      </c>
      <c r="E198" s="29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98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300"/>
      <c r="P199" s="301" t="s">
        <v>87</v>
      </c>
      <c r="Q199" s="302"/>
      <c r="R199" s="302"/>
      <c r="S199" s="302"/>
      <c r="T199" s="302"/>
      <c r="U199" s="302"/>
      <c r="V199" s="303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00"/>
      <c r="P200" s="301" t="s">
        <v>87</v>
      </c>
      <c r="Q200" s="302"/>
      <c r="R200" s="302"/>
      <c r="S200" s="302"/>
      <c r="T200" s="302"/>
      <c r="U200" s="302"/>
      <c r="V200" s="303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307" t="s">
        <v>133</v>
      </c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72"/>
      <c r="AB201" s="272"/>
      <c r="AC201" s="272"/>
    </row>
    <row r="202" spans="1:68" ht="27" customHeight="1" x14ac:dyDescent="0.25">
      <c r="A202" s="54" t="s">
        <v>286</v>
      </c>
      <c r="B202" s="54" t="s">
        <v>287</v>
      </c>
      <c r="C202" s="31">
        <v>4301135834</v>
      </c>
      <c r="D202" s="290">
        <v>4620207491188</v>
      </c>
      <c r="E202" s="29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14</v>
      </c>
      <c r="Y202" s="277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43.450400000000002</v>
      </c>
      <c r="BN202" s="67">
        <f>IFERROR(Y202*I202,"0")</f>
        <v>43.450400000000002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0">
        <v>4620207490235</v>
      </c>
      <c r="E203" s="29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0">
        <v>4620207490259</v>
      </c>
      <c r="E204" s="29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8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300"/>
      <c r="P205" s="301" t="s">
        <v>87</v>
      </c>
      <c r="Q205" s="302"/>
      <c r="R205" s="302"/>
      <c r="S205" s="302"/>
      <c r="T205" s="302"/>
      <c r="U205" s="302"/>
      <c r="V205" s="303"/>
      <c r="W205" s="37" t="s">
        <v>68</v>
      </c>
      <c r="X205" s="278">
        <f>IFERROR(SUM(X202:X204),"0")</f>
        <v>14</v>
      </c>
      <c r="Y205" s="278">
        <f>IFERROR(SUM(Y202:Y204),"0")</f>
        <v>14</v>
      </c>
      <c r="Z205" s="278">
        <f>IFERROR(IF(Z202="",0,Z202),"0")+IFERROR(IF(Z203="",0,Z203),"0")+IFERROR(IF(Z204="",0,Z204),"0")</f>
        <v>0.25031999999999999</v>
      </c>
      <c r="AA205" s="279"/>
      <c r="AB205" s="279"/>
      <c r="AC205" s="279"/>
    </row>
    <row r="206" spans="1:68" x14ac:dyDescent="0.2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300"/>
      <c r="P206" s="301" t="s">
        <v>87</v>
      </c>
      <c r="Q206" s="302"/>
      <c r="R206" s="302"/>
      <c r="S206" s="302"/>
      <c r="T206" s="302"/>
      <c r="U206" s="302"/>
      <c r="V206" s="303"/>
      <c r="W206" s="37" t="s">
        <v>88</v>
      </c>
      <c r="X206" s="278">
        <f>IFERROR(SUMPRODUCT(X202:X204*H202:H204),"0")</f>
        <v>33.6</v>
      </c>
      <c r="Y206" s="278">
        <f>IFERROR(SUMPRODUCT(Y202:Y204*H202:H204),"0")</f>
        <v>33.6</v>
      </c>
      <c r="Z206" s="37"/>
      <c r="AA206" s="279"/>
      <c r="AB206" s="279"/>
      <c r="AC206" s="279"/>
    </row>
    <row r="207" spans="1:68" ht="16.5" hidden="1" customHeight="1" x14ac:dyDescent="0.25">
      <c r="A207" s="312" t="s">
        <v>295</v>
      </c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71"/>
      <c r="AB207" s="271"/>
      <c r="AC207" s="271"/>
    </row>
    <row r="208" spans="1:68" ht="14.25" hidden="1" customHeight="1" x14ac:dyDescent="0.25">
      <c r="A208" s="307" t="s">
        <v>133</v>
      </c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0">
        <v>4620207491706</v>
      </c>
      <c r="E209" s="29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8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0">
        <v>4620207491522</v>
      </c>
      <c r="E210" s="29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6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8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300"/>
      <c r="P211" s="301" t="s">
        <v>87</v>
      </c>
      <c r="Q211" s="302"/>
      <c r="R211" s="302"/>
      <c r="S211" s="302"/>
      <c r="T211" s="302"/>
      <c r="U211" s="302"/>
      <c r="V211" s="303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300"/>
      <c r="P212" s="301" t="s">
        <v>87</v>
      </c>
      <c r="Q212" s="302"/>
      <c r="R212" s="302"/>
      <c r="S212" s="302"/>
      <c r="T212" s="302"/>
      <c r="U212" s="302"/>
      <c r="V212" s="303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12" t="s">
        <v>302</v>
      </c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71"/>
      <c r="AB213" s="271"/>
      <c r="AC213" s="271"/>
    </row>
    <row r="214" spans="1:68" ht="14.25" hidden="1" customHeight="1" x14ac:dyDescent="0.25">
      <c r="A214" s="307" t="s">
        <v>62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72"/>
      <c r="AB214" s="272"/>
      <c r="AC214" s="272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90">
        <v>4620207491096</v>
      </c>
      <c r="E215" s="29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8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00"/>
      <c r="P216" s="301" t="s">
        <v>87</v>
      </c>
      <c r="Q216" s="302"/>
      <c r="R216" s="302"/>
      <c r="S216" s="302"/>
      <c r="T216" s="302"/>
      <c r="U216" s="302"/>
      <c r="V216" s="303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300"/>
      <c r="P217" s="301" t="s">
        <v>87</v>
      </c>
      <c r="Q217" s="302"/>
      <c r="R217" s="302"/>
      <c r="S217" s="302"/>
      <c r="T217" s="302"/>
      <c r="U217" s="302"/>
      <c r="V217" s="303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312" t="s">
        <v>306</v>
      </c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71"/>
      <c r="AB218" s="271"/>
      <c r="AC218" s="271"/>
    </row>
    <row r="219" spans="1:68" ht="14.25" hidden="1" customHeight="1" x14ac:dyDescent="0.25">
      <c r="A219" s="307" t="s">
        <v>133</v>
      </c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0">
        <v>4620207490501</v>
      </c>
      <c r="E220" s="29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00"/>
      <c r="P221" s="301" t="s">
        <v>87</v>
      </c>
      <c r="Q221" s="302"/>
      <c r="R221" s="302"/>
      <c r="S221" s="302"/>
      <c r="T221" s="302"/>
      <c r="U221" s="302"/>
      <c r="V221" s="303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00"/>
      <c r="P222" s="301" t="s">
        <v>87</v>
      </c>
      <c r="Q222" s="302"/>
      <c r="R222" s="302"/>
      <c r="S222" s="302"/>
      <c r="T222" s="302"/>
      <c r="U222" s="302"/>
      <c r="V222" s="303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285" t="s">
        <v>310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312" t="s">
        <v>311</v>
      </c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  <c r="AA224" s="271"/>
      <c r="AB224" s="271"/>
      <c r="AC224" s="271"/>
    </row>
    <row r="225" spans="1:68" ht="14.25" hidden="1" customHeight="1" x14ac:dyDescent="0.25">
      <c r="A225" s="307" t="s">
        <v>62</v>
      </c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0">
        <v>4607111036162</v>
      </c>
      <c r="E226" s="29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8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00"/>
      <c r="P227" s="301" t="s">
        <v>87</v>
      </c>
      <c r="Q227" s="302"/>
      <c r="R227" s="302"/>
      <c r="S227" s="302"/>
      <c r="T227" s="302"/>
      <c r="U227" s="302"/>
      <c r="V227" s="303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00"/>
      <c r="P228" s="301" t="s">
        <v>87</v>
      </c>
      <c r="Q228" s="302"/>
      <c r="R228" s="302"/>
      <c r="S228" s="302"/>
      <c r="T228" s="302"/>
      <c r="U228" s="302"/>
      <c r="V228" s="303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285" t="s">
        <v>315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312" t="s">
        <v>316</v>
      </c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71"/>
      <c r="AB230" s="271"/>
      <c r="AC230" s="271"/>
    </row>
    <row r="231" spans="1:68" ht="14.25" hidden="1" customHeight="1" x14ac:dyDescent="0.25">
      <c r="A231" s="307" t="s">
        <v>317</v>
      </c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0">
        <v>4607111039774</v>
      </c>
      <c r="E232" s="29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8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00"/>
      <c r="P233" s="301" t="s">
        <v>87</v>
      </c>
      <c r="Q233" s="302"/>
      <c r="R233" s="302"/>
      <c r="S233" s="302"/>
      <c r="T233" s="302"/>
      <c r="U233" s="302"/>
      <c r="V233" s="303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300"/>
      <c r="P234" s="301" t="s">
        <v>87</v>
      </c>
      <c r="Q234" s="302"/>
      <c r="R234" s="302"/>
      <c r="S234" s="302"/>
      <c r="T234" s="302"/>
      <c r="U234" s="302"/>
      <c r="V234" s="303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7" t="s">
        <v>133</v>
      </c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0">
        <v>4607111039361</v>
      </c>
      <c r="E236" s="29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8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300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00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285" t="s">
        <v>323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48"/>
      <c r="AB239" s="48"/>
      <c r="AC239" s="48"/>
    </row>
    <row r="240" spans="1:68" ht="16.5" hidden="1" customHeight="1" x14ac:dyDescent="0.25">
      <c r="A240" s="312" t="s">
        <v>323</v>
      </c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71"/>
      <c r="AB240" s="271"/>
      <c r="AC240" s="271"/>
    </row>
    <row r="241" spans="1:68" ht="14.25" hidden="1" customHeight="1" x14ac:dyDescent="0.25">
      <c r="A241" s="307" t="s">
        <v>97</v>
      </c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0">
        <v>4640242181950</v>
      </c>
      <c r="E242" s="29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8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300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00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7" t="s">
        <v>129</v>
      </c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0">
        <v>4640242181943</v>
      </c>
      <c r="E246" s="29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8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300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00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285" t="s">
        <v>330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48"/>
      <c r="AB249" s="48"/>
      <c r="AC249" s="48"/>
    </row>
    <row r="250" spans="1:68" ht="16.5" hidden="1" customHeight="1" x14ac:dyDescent="0.25">
      <c r="A250" s="312" t="s">
        <v>330</v>
      </c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71"/>
      <c r="AB250" s="271"/>
      <c r="AC250" s="271"/>
    </row>
    <row r="251" spans="1:68" ht="14.25" hidden="1" customHeight="1" x14ac:dyDescent="0.25">
      <c r="A251" s="307" t="s">
        <v>62</v>
      </c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0">
        <v>4640242181264</v>
      </c>
      <c r="E252" s="29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90">
        <v>4620207491980</v>
      </c>
      <c r="E253" s="29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8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00"/>
      <c r="P254" s="301" t="s">
        <v>87</v>
      </c>
      <c r="Q254" s="302"/>
      <c r="R254" s="302"/>
      <c r="S254" s="302"/>
      <c r="T254" s="302"/>
      <c r="U254" s="302"/>
      <c r="V254" s="303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00"/>
      <c r="P255" s="301" t="s">
        <v>87</v>
      </c>
      <c r="Q255" s="302"/>
      <c r="R255" s="302"/>
      <c r="S255" s="302"/>
      <c r="T255" s="302"/>
      <c r="U255" s="302"/>
      <c r="V255" s="303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7" t="s">
        <v>97</v>
      </c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90">
        <v>4640242180397</v>
      </c>
      <c r="E257" s="29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36</v>
      </c>
      <c r="Y257" s="277">
        <f>IFERROR(IF(X257="","",X257),"")</f>
        <v>36</v>
      </c>
      <c r="Z257" s="36">
        <f>IFERROR(IF(X257="","",X257*0.0155),"")</f>
        <v>0.55800000000000005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225.35999999999999</v>
      </c>
      <c r="BN257" s="67">
        <f>IFERROR(Y257*I257,"0")</f>
        <v>225.35999999999999</v>
      </c>
      <c r="BO257" s="67">
        <f>IFERROR(X257/J257,"0")</f>
        <v>0.42857142857142855</v>
      </c>
      <c r="BP257" s="67">
        <f>IFERROR(Y257/J257,"0")</f>
        <v>0.42857142857142855</v>
      </c>
    </row>
    <row r="258" spans="1:68" x14ac:dyDescent="0.2">
      <c r="A258" s="298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00"/>
      <c r="P258" s="301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IFERROR(SUM(X257:X257),"0")</f>
        <v>36</v>
      </c>
      <c r="Y258" s="278">
        <f>IFERROR(SUM(Y257:Y257),"0")</f>
        <v>36</v>
      </c>
      <c r="Z258" s="278">
        <f>IFERROR(IF(Z257="",0,Z257),"0")</f>
        <v>0.55800000000000005</v>
      </c>
      <c r="AA258" s="279"/>
      <c r="AB258" s="279"/>
      <c r="AC258" s="279"/>
    </row>
    <row r="259" spans="1:68" x14ac:dyDescent="0.2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00"/>
      <c r="P259" s="301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IFERROR(SUMPRODUCT(X257:X257*H257:H257),"0")</f>
        <v>216</v>
      </c>
      <c r="Y259" s="278">
        <f>IFERROR(SUMPRODUCT(Y257:Y257*H257:H257),"0")</f>
        <v>216</v>
      </c>
      <c r="Z259" s="37"/>
      <c r="AA259" s="279"/>
      <c r="AB259" s="279"/>
      <c r="AC259" s="279"/>
    </row>
    <row r="260" spans="1:68" ht="14.25" hidden="1" customHeight="1" x14ac:dyDescent="0.25">
      <c r="A260" s="307" t="s">
        <v>129</v>
      </c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90">
        <v>4640242180304</v>
      </c>
      <c r="E261" s="29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140</v>
      </c>
      <c r="Y261" s="277">
        <f>IFERROR(IF(X261="","",X261),"")</f>
        <v>140</v>
      </c>
      <c r="Z261" s="36">
        <f>IFERROR(IF(X261="","",X261*0.00936),"")</f>
        <v>1.3104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404.68400000000003</v>
      </c>
      <c r="BN261" s="67">
        <f>IFERROR(Y261*I261,"0")</f>
        <v>404.68400000000003</v>
      </c>
      <c r="BO261" s="67">
        <f>IFERROR(X261/J261,"0")</f>
        <v>1.1111111111111112</v>
      </c>
      <c r="BP261" s="67">
        <f>IFERROR(Y261/J261,"0")</f>
        <v>1.1111111111111112</v>
      </c>
    </row>
    <row r="262" spans="1:68" ht="27" hidden="1" customHeight="1" x14ac:dyDescent="0.25">
      <c r="A262" s="54" t="s">
        <v>343</v>
      </c>
      <c r="B262" s="54" t="s">
        <v>344</v>
      </c>
      <c r="C262" s="31">
        <v>4301136053</v>
      </c>
      <c r="D262" s="290">
        <v>4640242180236</v>
      </c>
      <c r="E262" s="29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29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0">
        <v>4640242180410</v>
      </c>
      <c r="E263" s="29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8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300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140</v>
      </c>
      <c r="Y264" s="278">
        <f>IFERROR(SUM(Y261:Y263),"0")</f>
        <v>140</v>
      </c>
      <c r="Z264" s="278">
        <f>IFERROR(IF(Z261="",0,Z261),"0")+IFERROR(IF(Z262="",0,Z262),"0")+IFERROR(IF(Z263="",0,Z263),"0")</f>
        <v>1.3104</v>
      </c>
      <c r="AA264" s="279"/>
      <c r="AB264" s="279"/>
      <c r="AC264" s="279"/>
    </row>
    <row r="265" spans="1:68" x14ac:dyDescent="0.2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00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378</v>
      </c>
      <c r="Y265" s="278">
        <f>IFERROR(SUMPRODUCT(Y261:Y263*H261:H263),"0")</f>
        <v>378</v>
      </c>
      <c r="Z265" s="37"/>
      <c r="AA265" s="279"/>
      <c r="AB265" s="279"/>
      <c r="AC265" s="279"/>
    </row>
    <row r="266" spans="1:68" ht="14.25" hidden="1" customHeight="1" x14ac:dyDescent="0.25">
      <c r="A266" s="307" t="s">
        <v>133</v>
      </c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0">
        <v>4640242181554</v>
      </c>
      <c r="E267" s="29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90">
        <v>4620207492093</v>
      </c>
      <c r="E268" s="291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2" t="s">
        <v>352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42</v>
      </c>
      <c r="Y268" s="277">
        <f t="shared" si="18"/>
        <v>42</v>
      </c>
      <c r="Z268" s="36">
        <f>IFERROR(IF(X268="","",X268*0.00936),"")</f>
        <v>0.39312000000000002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163.464</v>
      </c>
      <c r="BN268" s="67">
        <f t="shared" si="20"/>
        <v>163.464</v>
      </c>
      <c r="BO268" s="67">
        <f t="shared" si="21"/>
        <v>0.33333333333333331</v>
      </c>
      <c r="BP268" s="67">
        <f t="shared" si="22"/>
        <v>0.33333333333333331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90">
        <v>4640242181424</v>
      </c>
      <c r="E269" s="29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90">
        <v>4640242181523</v>
      </c>
      <c r="E270" s="29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90">
        <v>4640242181486</v>
      </c>
      <c r="E271" s="29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0">
        <v>4640242181493</v>
      </c>
      <c r="E272" s="29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0">
        <v>4640242181509</v>
      </c>
      <c r="E273" s="29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0">
        <v>4640242181240</v>
      </c>
      <c r="E274" s="29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0">
        <v>4640242181318</v>
      </c>
      <c r="E275" s="29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0">
        <v>4620207491935</v>
      </c>
      <c r="E276" s="29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8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300"/>
      <c r="P277" s="301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68</v>
      </c>
      <c r="Y277" s="278">
        <f>IFERROR(SUM(Y267:Y276),"0")</f>
        <v>68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0.71016000000000012</v>
      </c>
      <c r="AA277" s="279"/>
      <c r="AB277" s="279"/>
      <c r="AC277" s="279"/>
    </row>
    <row r="278" spans="1:68" x14ac:dyDescent="0.2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300"/>
      <c r="P278" s="301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263.39999999999998</v>
      </c>
      <c r="Y278" s="278">
        <f>IFERROR(SUMPRODUCT(Y267:Y276*H267:H276),"0")</f>
        <v>263.39999999999998</v>
      </c>
      <c r="Z278" s="37"/>
      <c r="AA278" s="279"/>
      <c r="AB278" s="279"/>
      <c r="AC278" s="279"/>
    </row>
    <row r="279" spans="1:68" ht="15" customHeight="1" x14ac:dyDescent="0.2">
      <c r="A279" s="433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373"/>
      <c r="P279" s="317" t="s">
        <v>372</v>
      </c>
      <c r="Q279" s="288"/>
      <c r="R279" s="288"/>
      <c r="S279" s="288"/>
      <c r="T279" s="288"/>
      <c r="U279" s="288"/>
      <c r="V279" s="289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2437.6799999999998</v>
      </c>
      <c r="Y279" s="278">
        <f>IFERROR(Y31+Y37+Y44+Y50+Y58+Y63+Y67+Y73+Y79+Y84+Y90+Y100+Y106+Y117+Y121+Y125+Y133+Y139+Y145+Y152+Y158+Y163+Y168+Y173+Y180+Y185+Y194+Y200+Y206+Y212+Y217+Y222+Y228+Y234+Y238+Y244+Y248+Y255+Y259+Y265+Y278,"0")</f>
        <v>2437.6799999999998</v>
      </c>
      <c r="Z279" s="37"/>
      <c r="AA279" s="279"/>
      <c r="AB279" s="279"/>
      <c r="AC279" s="279"/>
    </row>
    <row r="280" spans="1:68" x14ac:dyDescent="0.2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373"/>
      <c r="P280" s="317" t="s">
        <v>373</v>
      </c>
      <c r="Q280" s="288"/>
      <c r="R280" s="288"/>
      <c r="S280" s="288"/>
      <c r="T280" s="288"/>
      <c r="U280" s="288"/>
      <c r="V280" s="289"/>
      <c r="W280" s="37" t="s">
        <v>88</v>
      </c>
      <c r="X280" s="278">
        <f>IFERROR(SUM(BM22:BM276),"0")</f>
        <v>2633.0216</v>
      </c>
      <c r="Y280" s="278">
        <f>IFERROR(SUM(BN22:BN276),"0")</f>
        <v>2633.0216</v>
      </c>
      <c r="Z280" s="37"/>
      <c r="AA280" s="279"/>
      <c r="AB280" s="279"/>
      <c r="AC280" s="279"/>
    </row>
    <row r="281" spans="1:68" x14ac:dyDescent="0.2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373"/>
      <c r="P281" s="317" t="s">
        <v>374</v>
      </c>
      <c r="Q281" s="288"/>
      <c r="R281" s="288"/>
      <c r="S281" s="288"/>
      <c r="T281" s="288"/>
      <c r="U281" s="288"/>
      <c r="V281" s="289"/>
      <c r="W281" s="37" t="s">
        <v>375</v>
      </c>
      <c r="X281" s="38">
        <f>ROUNDUP(SUM(BO22:BO276),0)</f>
        <v>6</v>
      </c>
      <c r="Y281" s="38">
        <f>ROUNDUP(SUM(BP22:BP276),0)</f>
        <v>6</v>
      </c>
      <c r="Z281" s="37"/>
      <c r="AA281" s="279"/>
      <c r="AB281" s="279"/>
      <c r="AC281" s="279"/>
    </row>
    <row r="282" spans="1:68" x14ac:dyDescent="0.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373"/>
      <c r="P282" s="317" t="s">
        <v>376</v>
      </c>
      <c r="Q282" s="288"/>
      <c r="R282" s="288"/>
      <c r="S282" s="288"/>
      <c r="T282" s="288"/>
      <c r="U282" s="288"/>
      <c r="V282" s="289"/>
      <c r="W282" s="37" t="s">
        <v>88</v>
      </c>
      <c r="X282" s="278">
        <f>GrossWeightTotal+PalletQtyTotal*25</f>
        <v>2783.0216</v>
      </c>
      <c r="Y282" s="278">
        <f>GrossWeightTotalR+PalletQtyTotalR*25</f>
        <v>2783.0216</v>
      </c>
      <c r="Z282" s="37"/>
      <c r="AA282" s="279"/>
      <c r="AB282" s="279"/>
      <c r="AC282" s="279"/>
    </row>
    <row r="283" spans="1:68" x14ac:dyDescent="0.2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373"/>
      <c r="P283" s="317" t="s">
        <v>377</v>
      </c>
      <c r="Q283" s="288"/>
      <c r="R283" s="288"/>
      <c r="S283" s="288"/>
      <c r="T283" s="288"/>
      <c r="U283" s="288"/>
      <c r="V283" s="289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616</v>
      </c>
      <c r="Y283" s="278">
        <f>IFERROR(Y30+Y36+Y43+Y49+Y57+Y62+Y66+Y72+Y78+Y83+Y89+Y99+Y105+Y116+Y120+Y124+Y132+Y138+Y144+Y151+Y157+Y162+Y167+Y172+Y179+Y184+Y193+Y199+Y205+Y211+Y216+Y221+Y227+Y233+Y237+Y243+Y247+Y254+Y258+Y264+Y277,"0")</f>
        <v>616</v>
      </c>
      <c r="Z283" s="37"/>
      <c r="AA283" s="279"/>
      <c r="AB283" s="279"/>
      <c r="AC283" s="279"/>
    </row>
    <row r="284" spans="1:68" ht="14.25" hidden="1" customHeight="1" x14ac:dyDescent="0.2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73"/>
      <c r="P284" s="317" t="s">
        <v>378</v>
      </c>
      <c r="Q284" s="288"/>
      <c r="R284" s="288"/>
      <c r="S284" s="288"/>
      <c r="T284" s="288"/>
      <c r="U284" s="288"/>
      <c r="V284" s="289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7.458359999999999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315" t="s">
        <v>61</v>
      </c>
      <c r="C286" s="406"/>
      <c r="D286" s="315" t="s">
        <v>95</v>
      </c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6"/>
      <c r="V286" s="315" t="s">
        <v>256</v>
      </c>
      <c r="W286" s="406"/>
      <c r="X286" s="273" t="s">
        <v>267</v>
      </c>
      <c r="Y286" s="315" t="s">
        <v>281</v>
      </c>
      <c r="Z286" s="405"/>
      <c r="AA286" s="405"/>
      <c r="AB286" s="406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53" t="s">
        <v>381</v>
      </c>
      <c r="B287" s="315" t="s">
        <v>61</v>
      </c>
      <c r="C287" s="315" t="s">
        <v>89</v>
      </c>
      <c r="D287" s="315" t="s">
        <v>96</v>
      </c>
      <c r="E287" s="315" t="s">
        <v>107</v>
      </c>
      <c r="F287" s="315" t="s">
        <v>114</v>
      </c>
      <c r="G287" s="315" t="s">
        <v>125</v>
      </c>
      <c r="H287" s="315" t="s">
        <v>141</v>
      </c>
      <c r="I287" s="315" t="s">
        <v>148</v>
      </c>
      <c r="J287" s="315" t="s">
        <v>152</v>
      </c>
      <c r="K287" s="315" t="s">
        <v>160</v>
      </c>
      <c r="L287" s="315" t="s">
        <v>175</v>
      </c>
      <c r="M287" s="315" t="s">
        <v>181</v>
      </c>
      <c r="N287" s="274"/>
      <c r="O287" s="315" t="s">
        <v>206</v>
      </c>
      <c r="P287" s="315" t="s">
        <v>224</v>
      </c>
      <c r="Q287" s="315" t="s">
        <v>230</v>
      </c>
      <c r="R287" s="315" t="s">
        <v>239</v>
      </c>
      <c r="S287" s="315" t="s">
        <v>245</v>
      </c>
      <c r="T287" s="315" t="s">
        <v>249</v>
      </c>
      <c r="U287" s="315" t="s">
        <v>252</v>
      </c>
      <c r="V287" s="315" t="s">
        <v>257</v>
      </c>
      <c r="W287" s="315" t="s">
        <v>264</v>
      </c>
      <c r="X287" s="315" t="s">
        <v>268</v>
      </c>
      <c r="Y287" s="315" t="s">
        <v>282</v>
      </c>
      <c r="Z287" s="315" t="s">
        <v>295</v>
      </c>
      <c r="AA287" s="315" t="s">
        <v>302</v>
      </c>
      <c r="AB287" s="315" t="s">
        <v>306</v>
      </c>
      <c r="AC287" s="315" t="s">
        <v>311</v>
      </c>
      <c r="AD287" s="315" t="s">
        <v>316</v>
      </c>
      <c r="AE287" s="315" t="s">
        <v>323</v>
      </c>
      <c r="AF287" s="315" t="s">
        <v>330</v>
      </c>
    </row>
    <row r="288" spans="1:68" ht="13.5" customHeight="1" thickBot="1" x14ac:dyDescent="0.25">
      <c r="A288" s="354"/>
      <c r="B288" s="316"/>
      <c r="C288" s="316"/>
      <c r="D288" s="316"/>
      <c r="E288" s="316"/>
      <c r="F288" s="316"/>
      <c r="G288" s="316"/>
      <c r="H288" s="316"/>
      <c r="I288" s="316"/>
      <c r="J288" s="316"/>
      <c r="K288" s="316"/>
      <c r="L288" s="316"/>
      <c r="M288" s="316"/>
      <c r="N288" s="274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  <c r="AB288" s="316"/>
      <c r="AC288" s="316"/>
      <c r="AD288" s="316"/>
      <c r="AE288" s="316"/>
      <c r="AF288" s="31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86.4</v>
      </c>
      <c r="C289" s="46">
        <f>IFERROR(X34*H34,"0")+IFERROR(X35*H35,"0")</f>
        <v>0</v>
      </c>
      <c r="D289" s="46">
        <f>IFERROR(X41*H41,"0")+IFERROR(X42*H42,"0")</f>
        <v>21</v>
      </c>
      <c r="E289" s="46">
        <f>IFERROR(X47*H47,"0")+IFERROR(X48*H48,"0")</f>
        <v>134.39999999999998</v>
      </c>
      <c r="F289" s="46">
        <f>IFERROR(X53*H53,"0")+IFERROR(X54*H54,"0")+IFERROR(X55*H55,"0")+IFERROR(X56*H56,"0")</f>
        <v>0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360</v>
      </c>
      <c r="I289" s="46">
        <f>IFERROR(X82*H82,"0")</f>
        <v>50.4</v>
      </c>
      <c r="J289" s="46">
        <f>IFERROR(X87*H87,"0")+IFERROR(X88*H88,"0")</f>
        <v>50.4</v>
      </c>
      <c r="K289" s="46">
        <f>IFERROR(X93*H93,"0")+IFERROR(X94*H94,"0")+IFERROR(X95*H95,"0")+IFERROR(X96*H96,"0")+IFERROR(X97*H97,"0")+IFERROR(X98*H98,"0")</f>
        <v>80.64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504</v>
      </c>
      <c r="N289" s="274"/>
      <c r="O289" s="46">
        <f>IFERROR(X128*H128,"0")+IFERROR(X129*H129,"0")+IFERROR(X130*H130,"0")+IFERROR(X131*H131,"0")+IFERROR(X135*H135,"0")+IFERROR(X136*H136,"0")+IFERROR(X137*H137,"0")</f>
        <v>57.120000000000005</v>
      </c>
      <c r="P289" s="46">
        <f>IFERROR(X142*H142,"0")+IFERROR(X143*H143,"0")</f>
        <v>42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0</v>
      </c>
      <c r="T289" s="46">
        <f>IFERROR(X166*H166,"0")</f>
        <v>0</v>
      </c>
      <c r="U289" s="46">
        <f>IFERROR(X171*H171,"0")</f>
        <v>23.52</v>
      </c>
      <c r="V289" s="46">
        <f>IFERROR(X177*H177,"0")+IFERROR(X178*H178,"0")</f>
        <v>60</v>
      </c>
      <c r="W289" s="46">
        <f>IFERROR(X183*H183,"0")</f>
        <v>60</v>
      </c>
      <c r="X289" s="46">
        <f>IFERROR(X189*H189,"0")+IFERROR(X190*H190,"0")+IFERROR(X191*H191,"0")+IFERROR(X192*H192,"0")</f>
        <v>0</v>
      </c>
      <c r="Y289" s="46">
        <f>IFERROR(X198*H198,"0")+IFERROR(X202*H202,"0")+IFERROR(X203*H203,"0")+IFERROR(X204*H204,"0")</f>
        <v>33.6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857.4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1204.8</v>
      </c>
      <c r="B292" s="60">
        <f>SUMPRODUCT(--(BB:BB="ПГП"),--(W:W="кор"),H:H,Y:Y)+SUMPRODUCT(--(BB:BB="ПГП"),--(W:W="кг"),Y:Y)</f>
        <v>1232.8800000000001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34,40"/>
        <filter val="14,00"/>
        <filter val="140,00"/>
        <filter val="16,80"/>
        <filter val="2 437,68"/>
        <filter val="2 633,02"/>
        <filter val="2 783,02"/>
        <filter val="21,00"/>
        <filter val="216,00"/>
        <filter val="23,52"/>
        <filter val="24,00"/>
        <filter val="263,40"/>
        <filter val="28,00"/>
        <filter val="33,60"/>
        <filter val="36,00"/>
        <filter val="360,00"/>
        <filter val="378,00"/>
        <filter val="42,00"/>
        <filter val="50,40"/>
        <filter val="504,00"/>
        <filter val="57,12"/>
        <filter val="6"/>
        <filter val="60,00"/>
        <filter val="616,00"/>
        <filter val="68,00"/>
        <filter val="72,00"/>
        <filter val="80,64"/>
        <filter val="86,40"/>
      </filters>
    </filterColumn>
    <filterColumn colId="29" showButton="0"/>
    <filterColumn colId="30" showButton="0"/>
  </autoFilter>
  <mergeCells count="507"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P255:V255"/>
    <mergeCell ref="P35:T35"/>
    <mergeCell ref="A30:O31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A249:Z249"/>
    <mergeCell ref="X287:X288"/>
    <mergeCell ref="Z287:Z28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P205:V205"/>
    <mergeCell ref="A258:O259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D270:E270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P78:V78"/>
    <mergeCell ref="P110:T110"/>
    <mergeCell ref="P66:V66"/>
    <mergeCell ref="A127:Z127"/>
    <mergeCell ref="A176:Z176"/>
    <mergeCell ref="A64:Z64"/>
    <mergeCell ref="D155:E155"/>
    <mergeCell ref="D22:E22"/>
    <mergeCell ref="D149:E149"/>
    <mergeCell ref="A62:O63"/>
    <mergeCell ref="P178:T178"/>
    <mergeCell ref="P34:T34"/>
    <mergeCell ref="P50:V50"/>
    <mergeCell ref="P270:T270"/>
    <mergeCell ref="P284:V284"/>
    <mergeCell ref="D150:E150"/>
    <mergeCell ref="P63:V63"/>
    <mergeCell ref="D215:E215"/>
    <mergeCell ref="P194:V194"/>
    <mergeCell ref="A75:Z75"/>
    <mergeCell ref="P258:V258"/>
    <mergeCell ref="A175:Z175"/>
    <mergeCell ref="A235:Z235"/>
    <mergeCell ref="A230:Z230"/>
    <mergeCell ref="P267:T267"/>
    <mergeCell ref="D275:E275"/>
    <mergeCell ref="D104:E104"/>
    <mergeCell ref="P254:V254"/>
    <mergeCell ref="P83:V83"/>
    <mergeCell ref="A279:O284"/>
    <mergeCell ref="P278:V278"/>
    <mergeCell ref="D263:E263"/>
    <mergeCell ref="P220:T220"/>
    <mergeCell ref="A216:O217"/>
    <mergeCell ref="D253:E253"/>
    <mergeCell ref="P163:V163"/>
    <mergeCell ref="A153:Z153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P276:T276"/>
    <mergeCell ref="D257:E257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D177:E177"/>
    <mergeCell ref="A8:C8"/>
    <mergeCell ref="T6:U9"/>
    <mergeCell ref="P112:T112"/>
    <mergeCell ref="A91:Z91"/>
    <mergeCell ref="P116:V116"/>
    <mergeCell ref="P114:T114"/>
    <mergeCell ref="AA17:AA18"/>
    <mergeCell ref="H10:M10"/>
    <mergeCell ref="AC17:AC18"/>
    <mergeCell ref="A122:Z122"/>
    <mergeCell ref="A224:Z224"/>
    <mergeCell ref="D128:E128"/>
    <mergeCell ref="D48:E48"/>
    <mergeCell ref="P77:T77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A157:O158"/>
    <mergeCell ref="A78:O79"/>
    <mergeCell ref="P247:V247"/>
    <mergeCell ref="A221:O222"/>
    <mergeCell ref="P156:T156"/>
    <mergeCell ref="P105:V105"/>
    <mergeCell ref="P99:V99"/>
    <mergeCell ref="A160:Z160"/>
    <mergeCell ref="A141:Z141"/>
    <mergeCell ref="A144:O145"/>
    <mergeCell ref="P111:T111"/>
    <mergeCell ref="A105:O106"/>
    <mergeCell ref="A243:O244"/>
    <mergeCell ref="D202:E202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A12:M12"/>
    <mergeCell ref="A68:Z68"/>
    <mergeCell ref="D189:E189"/>
    <mergeCell ref="D53:E53"/>
    <mergeCell ref="D47:E47"/>
    <mergeCell ref="P124:V124"/>
    <mergeCell ref="P151:V151"/>
    <mergeCell ref="D130:E130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159:Z159"/>
    <mergeCell ref="D24:E24"/>
    <mergeCell ref="A219:Z219"/>
    <mergeCell ref="Q11:R11"/>
    <mergeCell ref="A6:C6"/>
    <mergeCell ref="D113:E113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A250:Z250"/>
    <mergeCell ref="A254:O255"/>
    <mergeCell ref="D232:E232"/>
    <mergeCell ref="P238:V238"/>
    <mergeCell ref="A247:O248"/>
    <mergeCell ref="D156:E156"/>
    <mergeCell ref="P210:T210"/>
    <mergeCell ref="P87:T87"/>
    <mergeCell ref="P24:T24"/>
    <mergeCell ref="D178:E178"/>
    <mergeCell ref="P88:T88"/>
    <mergeCell ref="P26:T26"/>
    <mergeCell ref="A72:O73"/>
    <mergeCell ref="A199:O200"/>
    <mergeCell ref="A287:A288"/>
    <mergeCell ref="P248:V248"/>
    <mergeCell ref="A266:Z266"/>
    <mergeCell ref="A260:Z260"/>
    <mergeCell ref="P252:T252"/>
    <mergeCell ref="P259:V259"/>
    <mergeCell ref="AC287:AC288"/>
    <mergeCell ref="D148:E148"/>
    <mergeCell ref="P142:T142"/>
    <mergeCell ref="R287:R288"/>
    <mergeCell ref="G287:G288"/>
    <mergeCell ref="I287:I288"/>
    <mergeCell ref="P272:T272"/>
    <mergeCell ref="W287:W288"/>
    <mergeCell ref="O287:O288"/>
    <mergeCell ref="D269:E269"/>
    <mergeCell ref="P287:P288"/>
    <mergeCell ref="D273:E273"/>
    <mergeCell ref="P274:T274"/>
    <mergeCell ref="P257:T257"/>
    <mergeCell ref="Y286:AB286"/>
    <mergeCell ref="C287:C288"/>
    <mergeCell ref="E287:E288"/>
    <mergeCell ref="D286:U286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AA287:AA288"/>
    <mergeCell ref="D88:E88"/>
    <mergeCell ref="A277:O278"/>
    <mergeCell ref="D93:E93"/>
    <mergeCell ref="D220:E220"/>
    <mergeCell ref="P199:V199"/>
    <mergeCell ref="A195:Z195"/>
    <mergeCell ref="P211:V211"/>
    <mergeCell ref="P155:T155"/>
    <mergeCell ref="D70:E70"/>
    <mergeCell ref="A80:Z80"/>
    <mergeCell ref="A197:Z197"/>
    <mergeCell ref="V10:W10"/>
    <mergeCell ref="AB287:AB288"/>
    <mergeCell ref="A193:O194"/>
    <mergeCell ref="W17:W18"/>
    <mergeCell ref="A264:O265"/>
    <mergeCell ref="P49:V49"/>
    <mergeCell ref="P36:V36"/>
    <mergeCell ref="A32:Z32"/>
    <mergeCell ref="P72:V72"/>
    <mergeCell ref="A251:Z251"/>
    <mergeCell ref="A188:Z188"/>
    <mergeCell ref="A126:Z126"/>
    <mergeCell ref="P228:V228"/>
    <mergeCell ref="A240:Z240"/>
    <mergeCell ref="P200:V200"/>
    <mergeCell ref="P243:V243"/>
    <mergeCell ref="K287:K288"/>
    <mergeCell ref="P233:V233"/>
    <mergeCell ref="P275:T275"/>
    <mergeCell ref="P209:T209"/>
    <mergeCell ref="Q9:R9"/>
    <mergeCell ref="A19:Z19"/>
    <mergeCell ref="A14:M14"/>
    <mergeCell ref="D109:E109"/>
    <mergeCell ref="P262:T262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37:V37"/>
    <mergeCell ref="P168:V168"/>
    <mergeCell ref="P104:T104"/>
    <mergeCell ref="B17:B18"/>
    <mergeCell ref="D131:E131"/>
    <mergeCell ref="A60:Z60"/>
    <mergeCell ref="P56:T56"/>
    <mergeCell ref="H9:I9"/>
    <mergeCell ref="P89:V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