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A9DF888-F7A4-469A-ACE9-5B5103AE151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N275" i="1"/>
  <c r="BM275" i="1"/>
  <c r="Z275" i="1"/>
  <c r="Y275" i="1"/>
  <c r="BP275" i="1" s="1"/>
  <c r="P275" i="1"/>
  <c r="BO274" i="1"/>
  <c r="BM274" i="1"/>
  <c r="Z274" i="1"/>
  <c r="Y274" i="1"/>
  <c r="P274" i="1"/>
  <c r="BO273" i="1"/>
  <c r="BN273" i="1"/>
  <c r="BM273" i="1"/>
  <c r="Z273" i="1"/>
  <c r="Y273" i="1"/>
  <c r="BP273" i="1" s="1"/>
  <c r="P273" i="1"/>
  <c r="BO272" i="1"/>
  <c r="BM272" i="1"/>
  <c r="Z272" i="1"/>
  <c r="Y272" i="1"/>
  <c r="P272" i="1"/>
  <c r="BO271" i="1"/>
  <c r="BN271" i="1"/>
  <c r="BM271" i="1"/>
  <c r="Z271" i="1"/>
  <c r="Y271" i="1"/>
  <c r="BP271" i="1" s="1"/>
  <c r="P271" i="1"/>
  <c r="BO270" i="1"/>
  <c r="BM270" i="1"/>
  <c r="Z270" i="1"/>
  <c r="Y270" i="1"/>
  <c r="P270" i="1"/>
  <c r="BO269" i="1"/>
  <c r="BN269" i="1"/>
  <c r="BM269" i="1"/>
  <c r="Z269" i="1"/>
  <c r="Y269" i="1"/>
  <c r="BP269" i="1" s="1"/>
  <c r="P269" i="1"/>
  <c r="BO268" i="1"/>
  <c r="BM268" i="1"/>
  <c r="Z268" i="1"/>
  <c r="Y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P263" i="1"/>
  <c r="BO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P215" i="1"/>
  <c r="X212" i="1"/>
  <c r="X211" i="1"/>
  <c r="BO210" i="1"/>
  <c r="BN210" i="1"/>
  <c r="BM210" i="1"/>
  <c r="Z210" i="1"/>
  <c r="Y210" i="1"/>
  <c r="BP210" i="1" s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P191" i="1"/>
  <c r="BO191" i="1"/>
  <c r="BM191" i="1"/>
  <c r="Z191" i="1"/>
  <c r="Y191" i="1"/>
  <c r="BN191" i="1" s="1"/>
  <c r="P191" i="1"/>
  <c r="BO190" i="1"/>
  <c r="BM190" i="1"/>
  <c r="Z190" i="1"/>
  <c r="Y190" i="1"/>
  <c r="P190" i="1"/>
  <c r="BP189" i="1"/>
  <c r="BO189" i="1"/>
  <c r="BN189" i="1"/>
  <c r="BM189" i="1"/>
  <c r="Z189" i="1"/>
  <c r="Z193" i="1" s="1"/>
  <c r="Y189" i="1"/>
  <c r="P189" i="1"/>
  <c r="X185" i="1"/>
  <c r="Y184" i="1"/>
  <c r="X184" i="1"/>
  <c r="BO183" i="1"/>
  <c r="BN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Y156" i="1"/>
  <c r="P156" i="1"/>
  <c r="BO155" i="1"/>
  <c r="BM155" i="1"/>
  <c r="Z155" i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BP148" i="1"/>
  <c r="BO148" i="1"/>
  <c r="BN148" i="1"/>
  <c r="BM148" i="1"/>
  <c r="Z148" i="1"/>
  <c r="Z151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O136" i="1"/>
  <c r="BN136" i="1"/>
  <c r="BM136" i="1"/>
  <c r="Z136" i="1"/>
  <c r="Y136" i="1"/>
  <c r="BP136" i="1" s="1"/>
  <c r="P136" i="1"/>
  <c r="BO135" i="1"/>
  <c r="BM135" i="1"/>
  <c r="Z135" i="1"/>
  <c r="Y135" i="1"/>
  <c r="Y138" i="1" s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P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Z116" i="1" s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O97" i="1"/>
  <c r="BN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N95" i="1"/>
  <c r="BM95" i="1"/>
  <c r="Z95" i="1"/>
  <c r="Y95" i="1"/>
  <c r="BP95" i="1" s="1"/>
  <c r="P95" i="1"/>
  <c r="BO94" i="1"/>
  <c r="BM94" i="1"/>
  <c r="Z94" i="1"/>
  <c r="Y94" i="1"/>
  <c r="BP94" i="1" s="1"/>
  <c r="P94" i="1"/>
  <c r="BO93" i="1"/>
  <c r="BN93" i="1"/>
  <c r="BM93" i="1"/>
  <c r="Z93" i="1"/>
  <c r="Y93" i="1"/>
  <c r="BP93" i="1" s="1"/>
  <c r="P93" i="1"/>
  <c r="X90" i="1"/>
  <c r="X89" i="1"/>
  <c r="BO88" i="1"/>
  <c r="BM88" i="1"/>
  <c r="Z88" i="1"/>
  <c r="Y88" i="1"/>
  <c r="P88" i="1"/>
  <c r="BO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BN76" i="1" s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BN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N29" i="1" s="1"/>
  <c r="P29" i="1"/>
  <c r="BO28" i="1"/>
  <c r="BM28" i="1"/>
  <c r="Z28" i="1"/>
  <c r="Y28" i="1"/>
  <c r="BP28" i="1" s="1"/>
  <c r="P28" i="1"/>
  <c r="BO27" i="1"/>
  <c r="BM27" i="1"/>
  <c r="Z27" i="1"/>
  <c r="Y27" i="1"/>
  <c r="BN27" i="1" s="1"/>
  <c r="P27" i="1"/>
  <c r="BO26" i="1"/>
  <c r="BM26" i="1"/>
  <c r="Z26" i="1"/>
  <c r="Y26" i="1"/>
  <c r="BP26" i="1" s="1"/>
  <c r="P26" i="1"/>
  <c r="BO25" i="1"/>
  <c r="BM25" i="1"/>
  <c r="Z25" i="1"/>
  <c r="Y25" i="1"/>
  <c r="BN25" i="1" s="1"/>
  <c r="P25" i="1"/>
  <c r="BO24" i="1"/>
  <c r="BM24" i="1"/>
  <c r="Z24" i="1"/>
  <c r="Y24" i="1"/>
  <c r="BP24" i="1" s="1"/>
  <c r="P24" i="1"/>
  <c r="BO23" i="1"/>
  <c r="BM23" i="1"/>
  <c r="Z23" i="1"/>
  <c r="Y23" i="1"/>
  <c r="BN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BP25" i="1" l="1"/>
  <c r="BP76" i="1"/>
  <c r="X280" i="1"/>
  <c r="BP23" i="1"/>
  <c r="BP27" i="1"/>
  <c r="BP29" i="1"/>
  <c r="BP54" i="1"/>
  <c r="BP56" i="1"/>
  <c r="Z78" i="1"/>
  <c r="Z99" i="1"/>
  <c r="Z138" i="1"/>
  <c r="Z157" i="1"/>
  <c r="BP183" i="1"/>
  <c r="Y31" i="1"/>
  <c r="X279" i="1"/>
  <c r="Y58" i="1"/>
  <c r="Y36" i="1"/>
  <c r="BP34" i="1"/>
  <c r="BN34" i="1"/>
  <c r="Y49" i="1"/>
  <c r="BP47" i="1"/>
  <c r="BN47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2" i="1"/>
  <c r="BP128" i="1"/>
  <c r="BN128" i="1"/>
  <c r="BP130" i="1"/>
  <c r="BN130" i="1"/>
  <c r="BP143" i="1"/>
  <c r="BN143" i="1"/>
  <c r="Y157" i="1"/>
  <c r="BP155" i="1"/>
  <c r="BN155" i="1"/>
  <c r="Y158" i="1"/>
  <c r="Y222" i="1"/>
  <c r="Y221" i="1"/>
  <c r="BP220" i="1"/>
  <c r="BN220" i="1"/>
  <c r="Y234" i="1"/>
  <c r="Y233" i="1"/>
  <c r="BP232" i="1"/>
  <c r="BN232" i="1"/>
  <c r="Y244" i="1"/>
  <c r="Y243" i="1"/>
  <c r="BP242" i="1"/>
  <c r="BN242" i="1"/>
  <c r="BP252" i="1"/>
  <c r="BN252" i="1"/>
  <c r="BP262" i="1"/>
  <c r="BN262" i="1"/>
  <c r="Z30" i="1"/>
  <c r="X281" i="1"/>
  <c r="X282" i="1" s="1"/>
  <c r="Z36" i="1"/>
  <c r="Y67" i="1"/>
  <c r="Y66" i="1"/>
  <c r="BP65" i="1"/>
  <c r="BN65" i="1"/>
  <c r="Y125" i="1"/>
  <c r="Y124" i="1"/>
  <c r="BP123" i="1"/>
  <c r="BN123" i="1"/>
  <c r="BP178" i="1"/>
  <c r="BN178" i="1"/>
  <c r="BP203" i="1"/>
  <c r="BN203" i="1"/>
  <c r="Y206" i="1"/>
  <c r="Y217" i="1"/>
  <c r="Y216" i="1"/>
  <c r="BP215" i="1"/>
  <c r="BN215" i="1"/>
  <c r="Y228" i="1"/>
  <c r="Y227" i="1"/>
  <c r="BP226" i="1"/>
  <c r="BN226" i="1"/>
  <c r="Y238" i="1"/>
  <c r="Y237" i="1"/>
  <c r="BP236" i="1"/>
  <c r="BN236" i="1"/>
  <c r="Y248" i="1"/>
  <c r="Y247" i="1"/>
  <c r="BP246" i="1"/>
  <c r="BN246" i="1"/>
  <c r="Z277" i="1"/>
  <c r="Z43" i="1"/>
  <c r="Z49" i="1"/>
  <c r="Z57" i="1"/>
  <c r="Z72" i="1"/>
  <c r="Y78" i="1"/>
  <c r="Y90" i="1"/>
  <c r="Y99" i="1"/>
  <c r="Y106" i="1"/>
  <c r="Y117" i="1"/>
  <c r="Z132" i="1"/>
  <c r="Y145" i="1"/>
  <c r="Y152" i="1"/>
  <c r="Y193" i="1"/>
  <c r="Y194" i="1"/>
  <c r="Z254" i="1"/>
  <c r="Z264" i="1"/>
  <c r="H9" i="1"/>
  <c r="A10" i="1"/>
  <c r="Y30" i="1"/>
  <c r="Y37" i="1"/>
  <c r="Y43" i="1"/>
  <c r="Y50" i="1"/>
  <c r="Y57" i="1"/>
  <c r="Y72" i="1"/>
  <c r="Y79" i="1"/>
  <c r="Y84" i="1"/>
  <c r="Y89" i="1"/>
  <c r="Y100" i="1"/>
  <c r="Y105" i="1"/>
  <c r="Y116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F9" i="1"/>
  <c r="J9" i="1"/>
  <c r="BN22" i="1"/>
  <c r="BP22" i="1"/>
  <c r="BN24" i="1"/>
  <c r="BN26" i="1"/>
  <c r="BN28" i="1"/>
  <c r="X283" i="1"/>
  <c r="BN35" i="1"/>
  <c r="BN41" i="1"/>
  <c r="BP41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Y254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Z284" i="1" l="1"/>
  <c r="Y279" i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<sst xmlns="http://schemas.openxmlformats.org/spreadsheetml/2006/main" count="1286" uniqueCount="420">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</sst>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8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1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34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2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4" t="s">
        <v>0</v>
      </c>
      <c r="E1" s="294"/>
      <c r="F1" s="294"/>
      <c r="G1" s="12" t="s">
        <v>1</v>
      </c>
      <c r="H1" s="334" t="s">
        <v>2</v>
      </c>
      <c r="I1" s="294"/>
      <c r="J1" s="294"/>
      <c r="K1" s="294"/>
      <c r="L1" s="294"/>
      <c r="M1" s="294"/>
      <c r="N1" s="294"/>
      <c r="O1" s="294"/>
      <c r="P1" s="294"/>
      <c r="Q1" s="294"/>
      <c r="R1" s="293" t="s">
        <v>3</v>
      </c>
      <c r="S1" s="294"/>
      <c r="T1" s="2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9"/>
      <c r="R2" s="299"/>
      <c r="S2" s="299"/>
      <c r="T2" s="299"/>
      <c r="U2" s="299"/>
      <c r="V2" s="299"/>
      <c r="W2" s="299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9"/>
      <c r="Q3" s="299"/>
      <c r="R3" s="299"/>
      <c r="S3" s="299"/>
      <c r="T3" s="299"/>
      <c r="U3" s="299"/>
      <c r="V3" s="299"/>
      <c r="W3" s="299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63" t="s">
        <v>8</v>
      </c>
      <c r="B5" s="288"/>
      <c r="C5" s="289"/>
      <c r="D5" s="337"/>
      <c r="E5" s="338"/>
      <c r="F5" s="448" t="s">
        <v>9</v>
      </c>
      <c r="G5" s="289"/>
      <c r="H5" s="337" t="s">
        <v>419</v>
      </c>
      <c r="I5" s="379"/>
      <c r="J5" s="379"/>
      <c r="K5" s="379"/>
      <c r="L5" s="379"/>
      <c r="M5" s="338"/>
      <c r="N5" s="61"/>
      <c r="P5" s="24" t="s">
        <v>10</v>
      </c>
      <c r="Q5" s="453">
        <v>46286</v>
      </c>
      <c r="R5" s="377"/>
      <c r="T5" s="372" t="s">
        <v>11</v>
      </c>
      <c r="U5" s="373"/>
      <c r="V5" s="376" t="s">
        <v>12</v>
      </c>
      <c r="W5" s="377"/>
      <c r="AB5" s="51"/>
      <c r="AC5" s="51"/>
      <c r="AD5" s="51"/>
      <c r="AE5" s="51"/>
    </row>
    <row r="6" spans="1:32" s="270" customFormat="1" ht="24" customHeight="1" x14ac:dyDescent="0.2">
      <c r="A6" s="363" t="s">
        <v>13</v>
      </c>
      <c r="B6" s="288"/>
      <c r="C6" s="289"/>
      <c r="D6" s="419" t="s">
        <v>388</v>
      </c>
      <c r="E6" s="420"/>
      <c r="F6" s="420"/>
      <c r="G6" s="420"/>
      <c r="H6" s="420"/>
      <c r="I6" s="420"/>
      <c r="J6" s="420"/>
      <c r="K6" s="420"/>
      <c r="L6" s="420"/>
      <c r="M6" s="377"/>
      <c r="N6" s="62"/>
      <c r="P6" s="24" t="s">
        <v>14</v>
      </c>
      <c r="Q6" s="458" t="str">
        <f>IF(Q5=0," ",CHOOSE(WEEKDAY(Q5,2),"Понедельник","Вторник","Среда","Четверг","Пятница","Суббота","Воскресенье"))</f>
        <v>Понедельник</v>
      </c>
      <c r="R6" s="291"/>
      <c r="T6" s="469" t="s">
        <v>15</v>
      </c>
      <c r="U6" s="373"/>
      <c r="V6" s="412" t="s">
        <v>16</v>
      </c>
      <c r="W6" s="31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9" t="str">
        <f>IFERROR(VLOOKUP(DeliveryAddress,Table,3,0),1)</f>
        <v>1</v>
      </c>
      <c r="E7" s="320"/>
      <c r="F7" s="320"/>
      <c r="G7" s="320"/>
      <c r="H7" s="320"/>
      <c r="I7" s="320"/>
      <c r="J7" s="320"/>
      <c r="K7" s="320"/>
      <c r="L7" s="320"/>
      <c r="M7" s="321"/>
      <c r="N7" s="63"/>
      <c r="P7" s="24"/>
      <c r="Q7" s="42"/>
      <c r="R7" s="42"/>
      <c r="T7" s="299"/>
      <c r="U7" s="373"/>
      <c r="V7" s="413"/>
      <c r="W7" s="414"/>
      <c r="AB7" s="51"/>
      <c r="AC7" s="51"/>
      <c r="AD7" s="51"/>
      <c r="AE7" s="51"/>
    </row>
    <row r="8" spans="1:32" s="270" customFormat="1" ht="25.5" customHeight="1" x14ac:dyDescent="0.2">
      <c r="A8" s="465" t="s">
        <v>17</v>
      </c>
      <c r="B8" s="302"/>
      <c r="C8" s="303"/>
      <c r="D8" s="326"/>
      <c r="E8" s="327"/>
      <c r="F8" s="327"/>
      <c r="G8" s="327"/>
      <c r="H8" s="327"/>
      <c r="I8" s="327"/>
      <c r="J8" s="327"/>
      <c r="K8" s="327"/>
      <c r="L8" s="327"/>
      <c r="M8" s="328"/>
      <c r="N8" s="64"/>
      <c r="P8" s="24" t="s">
        <v>18</v>
      </c>
      <c r="Q8" s="358">
        <v>0.41666666666666669</v>
      </c>
      <c r="R8" s="321"/>
      <c r="T8" s="299"/>
      <c r="U8" s="373"/>
      <c r="V8" s="413"/>
      <c r="W8" s="414"/>
      <c r="AB8" s="51"/>
      <c r="AC8" s="51"/>
      <c r="AD8" s="51"/>
      <c r="AE8" s="51"/>
    </row>
    <row r="9" spans="1:32" s="270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9"/>
      <c r="C9" s="299"/>
      <c r="D9" s="366"/>
      <c r="E9" s="310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9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10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0"/>
      <c r="L9" s="310"/>
      <c r="M9" s="310"/>
      <c r="N9" s="268"/>
      <c r="P9" s="26" t="s">
        <v>19</v>
      </c>
      <c r="Q9" s="283"/>
      <c r="R9" s="284"/>
      <c r="T9" s="299"/>
      <c r="U9" s="373"/>
      <c r="V9" s="415"/>
      <c r="W9" s="41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9"/>
      <c r="C10" s="299"/>
      <c r="D10" s="366"/>
      <c r="E10" s="310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9"/>
      <c r="H10" s="411" t="str">
        <f>IFERROR(VLOOKUP($D$10,Proxy,2,FALSE),"")</f>
        <v/>
      </c>
      <c r="I10" s="299"/>
      <c r="J10" s="299"/>
      <c r="K10" s="299"/>
      <c r="L10" s="299"/>
      <c r="M10" s="299"/>
      <c r="N10" s="269"/>
      <c r="P10" s="26" t="s">
        <v>20</v>
      </c>
      <c r="Q10" s="383"/>
      <c r="R10" s="384"/>
      <c r="U10" s="24" t="s">
        <v>21</v>
      </c>
      <c r="V10" s="313" t="s">
        <v>22</v>
      </c>
      <c r="W10" s="31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82"/>
      <c r="R11" s="377"/>
      <c r="U11" s="24" t="s">
        <v>25</v>
      </c>
      <c r="V11" s="380" t="s">
        <v>26</v>
      </c>
      <c r="W11" s="284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287" t="s">
        <v>27</v>
      </c>
      <c r="B12" s="288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9"/>
      <c r="N12" s="65"/>
      <c r="P12" s="24" t="s">
        <v>28</v>
      </c>
      <c r="Q12" s="358"/>
      <c r="R12" s="321"/>
      <c r="S12" s="23"/>
      <c r="U12" s="24"/>
      <c r="V12" s="294"/>
      <c r="W12" s="299"/>
      <c r="AB12" s="51"/>
      <c r="AC12" s="51"/>
      <c r="AD12" s="51"/>
      <c r="AE12" s="51"/>
    </row>
    <row r="13" spans="1:32" s="270" customFormat="1" ht="23.25" customHeight="1" x14ac:dyDescent="0.2">
      <c r="A13" s="287" t="s">
        <v>29</v>
      </c>
      <c r="B13" s="288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9"/>
      <c r="N13" s="65"/>
      <c r="O13" s="26"/>
      <c r="P13" s="26" t="s">
        <v>30</v>
      </c>
      <c r="Q13" s="380"/>
      <c r="R13" s="28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287" t="s">
        <v>31</v>
      </c>
      <c r="B14" s="288"/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8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5" t="s">
        <v>32</v>
      </c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9"/>
      <c r="N15" s="66"/>
      <c r="P15" s="369" t="s">
        <v>33</v>
      </c>
      <c r="Q15" s="294"/>
      <c r="R15" s="294"/>
      <c r="S15" s="294"/>
      <c r="T15" s="2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0"/>
      <c r="Q16" s="370"/>
      <c r="R16" s="370"/>
      <c r="S16" s="370"/>
      <c r="T16" s="3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64" t="s">
        <v>36</v>
      </c>
      <c r="D17" s="305" t="s">
        <v>37</v>
      </c>
      <c r="E17" s="345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4"/>
      <c r="R17" s="344"/>
      <c r="S17" s="344"/>
      <c r="T17" s="345"/>
      <c r="U17" s="462" t="s">
        <v>49</v>
      </c>
      <c r="V17" s="289"/>
      <c r="W17" s="305" t="s">
        <v>50</v>
      </c>
      <c r="X17" s="305" t="s">
        <v>51</v>
      </c>
      <c r="Y17" s="463" t="s">
        <v>52</v>
      </c>
      <c r="Z17" s="423" t="s">
        <v>53</v>
      </c>
      <c r="AA17" s="409" t="s">
        <v>54</v>
      </c>
      <c r="AB17" s="409" t="s">
        <v>55</v>
      </c>
      <c r="AC17" s="409" t="s">
        <v>56</v>
      </c>
      <c r="AD17" s="409" t="s">
        <v>57</v>
      </c>
      <c r="AE17" s="443"/>
      <c r="AF17" s="444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6"/>
      <c r="E18" s="348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6"/>
      <c r="X18" s="306"/>
      <c r="Y18" s="464"/>
      <c r="Z18" s="424"/>
      <c r="AA18" s="410"/>
      <c r="AB18" s="410"/>
      <c r="AC18" s="410"/>
      <c r="AD18" s="445"/>
      <c r="AE18" s="446"/>
      <c r="AF18" s="447"/>
      <c r="AG18" s="69"/>
      <c r="BD18" s="68"/>
    </row>
    <row r="19" spans="1:68" ht="27.75" hidden="1" customHeight="1" x14ac:dyDescent="0.2">
      <c r="A19" s="285" t="s">
        <v>61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hidden="1" customHeight="1" x14ac:dyDescent="0.25">
      <c r="A20" s="312" t="s">
        <v>61</v>
      </c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  <c r="AA20" s="271"/>
      <c r="AB20" s="271"/>
      <c r="AC20" s="271"/>
    </row>
    <row r="21" spans="1:68" ht="14.25" hidden="1" customHeight="1" x14ac:dyDescent="0.25">
      <c r="A21" s="307" t="s">
        <v>62</v>
      </c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0">
        <v>4620207491508</v>
      </c>
      <c r="E22" s="29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0">
        <v>4620207491256</v>
      </c>
      <c r="E23" s="29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4"/>
      <c r="V23" s="34"/>
      <c r="W23" s="35" t="s">
        <v>68</v>
      </c>
      <c r="X23" s="276">
        <v>36</v>
      </c>
      <c r="Y23" s="277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90">
        <v>4620207491713</v>
      </c>
      <c r="E24" s="29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90">
        <v>4620207491720</v>
      </c>
      <c r="E25" s="29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90">
        <v>4607111035912</v>
      </c>
      <c r="E26" s="29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90">
        <v>4607111035929</v>
      </c>
      <c r="E27" s="29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8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90">
        <v>4607111035882</v>
      </c>
      <c r="E28" s="29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90">
        <v>4607111035905</v>
      </c>
      <c r="E29" s="29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8"/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300"/>
      <c r="P30" s="301" t="s">
        <v>87</v>
      </c>
      <c r="Q30" s="302"/>
      <c r="R30" s="302"/>
      <c r="S30" s="302"/>
      <c r="T30" s="302"/>
      <c r="U30" s="302"/>
      <c r="V30" s="303"/>
      <c r="W30" s="37" t="s">
        <v>68</v>
      </c>
      <c r="X30" s="278">
        <f>IFERROR(SUM(X22:X29),"0")</f>
        <v>36</v>
      </c>
      <c r="Y30" s="278">
        <f>IFERROR(SUM(Y22:Y29),"0")</f>
        <v>36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79"/>
      <c r="AB30" s="279"/>
      <c r="AC30" s="279"/>
    </row>
    <row r="31" spans="1:68" x14ac:dyDescent="0.2">
      <c r="A31" s="299"/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300"/>
      <c r="P31" s="301" t="s">
        <v>87</v>
      </c>
      <c r="Q31" s="302"/>
      <c r="R31" s="302"/>
      <c r="S31" s="302"/>
      <c r="T31" s="302"/>
      <c r="U31" s="302"/>
      <c r="V31" s="303"/>
      <c r="W31" s="37" t="s">
        <v>88</v>
      </c>
      <c r="X31" s="278">
        <f>IFERROR(SUMPRODUCT(X22:X29*H22:H29),"0")</f>
        <v>230.4</v>
      </c>
      <c r="Y31" s="278">
        <f>IFERROR(SUMPRODUCT(Y22:Y29*H22:H29),"0")</f>
        <v>230.4</v>
      </c>
      <c r="Z31" s="37"/>
      <c r="AA31" s="279"/>
      <c r="AB31" s="279"/>
      <c r="AC31" s="279"/>
    </row>
    <row r="32" spans="1:68" ht="16.5" hidden="1" customHeight="1" x14ac:dyDescent="0.25">
      <c r="A32" s="312" t="s">
        <v>89</v>
      </c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  <c r="W32" s="299"/>
      <c r="X32" s="299"/>
      <c r="Y32" s="299"/>
      <c r="Z32" s="299"/>
      <c r="AA32" s="271"/>
      <c r="AB32" s="271"/>
      <c r="AC32" s="271"/>
    </row>
    <row r="33" spans="1:68" ht="14.25" hidden="1" customHeight="1" x14ac:dyDescent="0.25">
      <c r="A33" s="307" t="s">
        <v>62</v>
      </c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90">
        <v>4607111039019</v>
      </c>
      <c r="E34" s="291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4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1"/>
      <c r="R34" s="281"/>
      <c r="S34" s="281"/>
      <c r="T34" s="282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90">
        <v>4607111038708</v>
      </c>
      <c r="E35" s="291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6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1"/>
      <c r="R35" s="281"/>
      <c r="S35" s="281"/>
      <c r="T35" s="282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8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300"/>
      <c r="P36" s="301" t="s">
        <v>87</v>
      </c>
      <c r="Q36" s="302"/>
      <c r="R36" s="302"/>
      <c r="S36" s="302"/>
      <c r="T36" s="302"/>
      <c r="U36" s="302"/>
      <c r="V36" s="303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99"/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300"/>
      <c r="P37" s="301" t="s">
        <v>87</v>
      </c>
      <c r="Q37" s="302"/>
      <c r="R37" s="302"/>
      <c r="S37" s="302"/>
      <c r="T37" s="302"/>
      <c r="U37" s="302"/>
      <c r="V37" s="303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285" t="s">
        <v>95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48"/>
      <c r="AB38" s="48"/>
      <c r="AC38" s="48"/>
    </row>
    <row r="39" spans="1:68" ht="16.5" hidden="1" customHeight="1" x14ac:dyDescent="0.25">
      <c r="A39" s="312" t="s">
        <v>96</v>
      </c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299"/>
      <c r="Z39" s="299"/>
      <c r="AA39" s="271"/>
      <c r="AB39" s="271"/>
      <c r="AC39" s="271"/>
    </row>
    <row r="40" spans="1:68" ht="14.25" hidden="1" customHeight="1" x14ac:dyDescent="0.25">
      <c r="A40" s="307" t="s">
        <v>97</v>
      </c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0">
        <v>4607111036537</v>
      </c>
      <c r="E41" s="291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8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1"/>
      <c r="R41" s="281"/>
      <c r="S41" s="281"/>
      <c r="T41" s="282"/>
      <c r="U41" s="34"/>
      <c r="V41" s="34"/>
      <c r="W41" s="35" t="s">
        <v>68</v>
      </c>
      <c r="X41" s="276">
        <v>42</v>
      </c>
      <c r="Y41" s="277">
        <f>IFERROR(IF(X41="","",X41),"")</f>
        <v>42</v>
      </c>
      <c r="Z41" s="36">
        <f>IFERROR(IF(X41="","",X41*0.00941),"")</f>
        <v>0.39522000000000002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80.715599999999995</v>
      </c>
      <c r="BN41" s="67">
        <f>IFERROR(Y41*I41,"0")</f>
        <v>80.715599999999995</v>
      </c>
      <c r="BO41" s="67">
        <f>IFERROR(X41/J41,"0")</f>
        <v>0.3</v>
      </c>
      <c r="BP41" s="67">
        <f>IFERROR(Y41/J41,"0")</f>
        <v>0.3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90">
        <v>4607111036605</v>
      </c>
      <c r="E42" s="291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1"/>
      <c r="R42" s="281"/>
      <c r="S42" s="281"/>
      <c r="T42" s="282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8"/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300"/>
      <c r="P43" s="301" t="s">
        <v>87</v>
      </c>
      <c r="Q43" s="302"/>
      <c r="R43" s="302"/>
      <c r="S43" s="302"/>
      <c r="T43" s="302"/>
      <c r="U43" s="302"/>
      <c r="V43" s="303"/>
      <c r="W43" s="37" t="s">
        <v>68</v>
      </c>
      <c r="X43" s="278">
        <f>IFERROR(SUM(X41:X42),"0")</f>
        <v>42</v>
      </c>
      <c r="Y43" s="278">
        <f>IFERROR(SUM(Y41:Y42),"0")</f>
        <v>42</v>
      </c>
      <c r="Z43" s="278">
        <f>IFERROR(IF(Z41="",0,Z41),"0")+IFERROR(IF(Z42="",0,Z42),"0")</f>
        <v>0.39522000000000002</v>
      </c>
      <c r="AA43" s="279"/>
      <c r="AB43" s="279"/>
      <c r="AC43" s="279"/>
    </row>
    <row r="44" spans="1:68" x14ac:dyDescent="0.2">
      <c r="A44" s="299"/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300"/>
      <c r="P44" s="301" t="s">
        <v>87</v>
      </c>
      <c r="Q44" s="302"/>
      <c r="R44" s="302"/>
      <c r="S44" s="302"/>
      <c r="T44" s="302"/>
      <c r="U44" s="302"/>
      <c r="V44" s="303"/>
      <c r="W44" s="37" t="s">
        <v>88</v>
      </c>
      <c r="X44" s="278">
        <f>IFERROR(SUMPRODUCT(X41:X42*H41:H42),"0")</f>
        <v>63</v>
      </c>
      <c r="Y44" s="278">
        <f>IFERROR(SUMPRODUCT(Y41:Y42*H41:H42),"0")</f>
        <v>63</v>
      </c>
      <c r="Z44" s="37"/>
      <c r="AA44" s="279"/>
      <c r="AB44" s="279"/>
      <c r="AC44" s="279"/>
    </row>
    <row r="45" spans="1:68" ht="16.5" hidden="1" customHeight="1" x14ac:dyDescent="0.25">
      <c r="A45" s="312" t="s">
        <v>107</v>
      </c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  <c r="Z45" s="299"/>
      <c r="AA45" s="271"/>
      <c r="AB45" s="271"/>
      <c r="AC45" s="271"/>
    </row>
    <row r="46" spans="1:68" ht="14.25" hidden="1" customHeight="1" x14ac:dyDescent="0.25">
      <c r="A46" s="307" t="s">
        <v>62</v>
      </c>
      <c r="B46" s="299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  <c r="AA46" s="272"/>
      <c r="AB46" s="272"/>
      <c r="AC46" s="272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90">
        <v>4620207490075</v>
      </c>
      <c r="E47" s="29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1"/>
      <c r="R47" s="281"/>
      <c r="S47" s="281"/>
      <c r="T47" s="282"/>
      <c r="U47" s="34"/>
      <c r="V47" s="34"/>
      <c r="W47" s="35" t="s">
        <v>68</v>
      </c>
      <c r="X47" s="276">
        <v>0</v>
      </c>
      <c r="Y47" s="27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90">
        <v>4620207490174</v>
      </c>
      <c r="E48" s="291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1"/>
      <c r="R48" s="281"/>
      <c r="S48" s="281"/>
      <c r="T48" s="282"/>
      <c r="U48" s="34"/>
      <c r="V48" s="34"/>
      <c r="W48" s="35" t="s">
        <v>68</v>
      </c>
      <c r="X48" s="276">
        <v>0</v>
      </c>
      <c r="Y48" s="277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idden="1" x14ac:dyDescent="0.2">
      <c r="A49" s="298"/>
      <c r="B49" s="299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299"/>
      <c r="O49" s="300"/>
      <c r="P49" s="301" t="s">
        <v>87</v>
      </c>
      <c r="Q49" s="302"/>
      <c r="R49" s="302"/>
      <c r="S49" s="302"/>
      <c r="T49" s="302"/>
      <c r="U49" s="302"/>
      <c r="V49" s="303"/>
      <c r="W49" s="37" t="s">
        <v>68</v>
      </c>
      <c r="X49" s="278">
        <f>IFERROR(SUM(X47:X48),"0")</f>
        <v>0</v>
      </c>
      <c r="Y49" s="278">
        <f>IFERROR(SUM(Y47:Y48),"0")</f>
        <v>0</v>
      </c>
      <c r="Z49" s="278">
        <f>IFERROR(IF(Z47="",0,Z47),"0")+IFERROR(IF(Z48="",0,Z48),"0")</f>
        <v>0</v>
      </c>
      <c r="AA49" s="279"/>
      <c r="AB49" s="279"/>
      <c r="AC49" s="279"/>
    </row>
    <row r="50" spans="1:68" hidden="1" x14ac:dyDescent="0.2">
      <c r="A50" s="299"/>
      <c r="B50" s="299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300"/>
      <c r="P50" s="301" t="s">
        <v>87</v>
      </c>
      <c r="Q50" s="302"/>
      <c r="R50" s="302"/>
      <c r="S50" s="302"/>
      <c r="T50" s="302"/>
      <c r="U50" s="302"/>
      <c r="V50" s="303"/>
      <c r="W50" s="37" t="s">
        <v>88</v>
      </c>
      <c r="X50" s="278">
        <f>IFERROR(SUMPRODUCT(X47:X48*H47:H48),"0")</f>
        <v>0</v>
      </c>
      <c r="Y50" s="278">
        <f>IFERROR(SUMPRODUCT(Y47:Y48*H47:H48),"0")</f>
        <v>0</v>
      </c>
      <c r="Z50" s="37"/>
      <c r="AA50" s="279"/>
      <c r="AB50" s="279"/>
      <c r="AC50" s="279"/>
    </row>
    <row r="51" spans="1:68" ht="16.5" hidden="1" customHeight="1" x14ac:dyDescent="0.25">
      <c r="A51" s="312" t="s">
        <v>114</v>
      </c>
      <c r="B51" s="299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  <c r="Z51" s="299"/>
      <c r="AA51" s="271"/>
      <c r="AB51" s="271"/>
      <c r="AC51" s="271"/>
    </row>
    <row r="52" spans="1:68" ht="14.25" hidden="1" customHeight="1" x14ac:dyDescent="0.25">
      <c r="A52" s="307" t="s">
        <v>62</v>
      </c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  <c r="Z52" s="299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90">
        <v>4607111039385</v>
      </c>
      <c r="E53" s="291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1"/>
      <c r="R53" s="281"/>
      <c r="S53" s="281"/>
      <c r="T53" s="282"/>
      <c r="U53" s="34"/>
      <c r="V53" s="34"/>
      <c r="W53" s="35" t="s">
        <v>68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90">
        <v>4607111038982</v>
      </c>
      <c r="E54" s="291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1"/>
      <c r="R54" s="281"/>
      <c r="S54" s="281"/>
      <c r="T54" s="282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90">
        <v>4607111039354</v>
      </c>
      <c r="E55" s="291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1"/>
      <c r="R55" s="281"/>
      <c r="S55" s="281"/>
      <c r="T55" s="282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90">
        <v>4607111039330</v>
      </c>
      <c r="E56" s="291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1"/>
      <c r="R56" s="281"/>
      <c r="S56" s="281"/>
      <c r="T56" s="282"/>
      <c r="U56" s="34"/>
      <c r="V56" s="34"/>
      <c r="W56" s="35" t="s">
        <v>68</v>
      </c>
      <c r="X56" s="276">
        <v>0</v>
      </c>
      <c r="Y56" s="277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8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300"/>
      <c r="P57" s="301" t="s">
        <v>87</v>
      </c>
      <c r="Q57" s="302"/>
      <c r="R57" s="302"/>
      <c r="S57" s="302"/>
      <c r="T57" s="302"/>
      <c r="U57" s="302"/>
      <c r="V57" s="303"/>
      <c r="W57" s="37" t="s">
        <v>68</v>
      </c>
      <c r="X57" s="278">
        <f>IFERROR(SUM(X53:X56),"0")</f>
        <v>36</v>
      </c>
      <c r="Y57" s="278">
        <f>IFERROR(SUM(Y53:Y56),"0")</f>
        <v>36</v>
      </c>
      <c r="Z57" s="278">
        <f>IFERROR(IF(Z53="",0,Z53),"0")+IFERROR(IF(Z54="",0,Z54),"0")+IFERROR(IF(Z55="",0,Z55),"0")+IFERROR(IF(Z56="",0,Z56),"0")</f>
        <v>0.55800000000000005</v>
      </c>
      <c r="AA57" s="279"/>
      <c r="AB57" s="279"/>
      <c r="AC57" s="279"/>
    </row>
    <row r="58" spans="1:68" x14ac:dyDescent="0.2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300"/>
      <c r="P58" s="301" t="s">
        <v>87</v>
      </c>
      <c r="Q58" s="302"/>
      <c r="R58" s="302"/>
      <c r="S58" s="302"/>
      <c r="T58" s="302"/>
      <c r="U58" s="302"/>
      <c r="V58" s="303"/>
      <c r="W58" s="37" t="s">
        <v>88</v>
      </c>
      <c r="X58" s="278">
        <f>IFERROR(SUMPRODUCT(X53:X56*H53:H56),"0")</f>
        <v>252</v>
      </c>
      <c r="Y58" s="278">
        <f>IFERROR(SUMPRODUCT(Y53:Y56*H53:H56),"0")</f>
        <v>252</v>
      </c>
      <c r="Z58" s="37"/>
      <c r="AA58" s="279"/>
      <c r="AB58" s="279"/>
      <c r="AC58" s="279"/>
    </row>
    <row r="59" spans="1:68" ht="16.5" hidden="1" customHeight="1" x14ac:dyDescent="0.25">
      <c r="A59" s="312" t="s">
        <v>125</v>
      </c>
      <c r="B59" s="299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  <c r="AA59" s="271"/>
      <c r="AB59" s="271"/>
      <c r="AC59" s="271"/>
    </row>
    <row r="60" spans="1:68" ht="14.25" hidden="1" customHeight="1" x14ac:dyDescent="0.25">
      <c r="A60" s="307" t="s">
        <v>97</v>
      </c>
      <c r="B60" s="299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90">
        <v>4607111039712</v>
      </c>
      <c r="E61" s="291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1"/>
      <c r="R61" s="281"/>
      <c r="S61" s="281"/>
      <c r="T61" s="282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8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300"/>
      <c r="P62" s="301" t="s">
        <v>87</v>
      </c>
      <c r="Q62" s="302"/>
      <c r="R62" s="302"/>
      <c r="S62" s="302"/>
      <c r="T62" s="302"/>
      <c r="U62" s="302"/>
      <c r="V62" s="303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300"/>
      <c r="P63" s="301" t="s">
        <v>87</v>
      </c>
      <c r="Q63" s="302"/>
      <c r="R63" s="302"/>
      <c r="S63" s="302"/>
      <c r="T63" s="302"/>
      <c r="U63" s="302"/>
      <c r="V63" s="303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307" t="s">
        <v>129</v>
      </c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90">
        <v>4607111037398</v>
      </c>
      <c r="E65" s="291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1"/>
      <c r="R65" s="281"/>
      <c r="S65" s="281"/>
      <c r="T65" s="282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8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300"/>
      <c r="P66" s="301" t="s">
        <v>87</v>
      </c>
      <c r="Q66" s="302"/>
      <c r="R66" s="302"/>
      <c r="S66" s="302"/>
      <c r="T66" s="302"/>
      <c r="U66" s="302"/>
      <c r="V66" s="303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300"/>
      <c r="P67" s="301" t="s">
        <v>87</v>
      </c>
      <c r="Q67" s="302"/>
      <c r="R67" s="302"/>
      <c r="S67" s="302"/>
      <c r="T67" s="302"/>
      <c r="U67" s="302"/>
      <c r="V67" s="303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307" t="s">
        <v>133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90">
        <v>4607111039705</v>
      </c>
      <c r="E69" s="291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1"/>
      <c r="R69" s="281"/>
      <c r="S69" s="281"/>
      <c r="T69" s="282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90">
        <v>4607111039729</v>
      </c>
      <c r="E70" s="291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1"/>
      <c r="R70" s="281"/>
      <c r="S70" s="281"/>
      <c r="T70" s="282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90">
        <v>4620207490228</v>
      </c>
      <c r="E71" s="291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1"/>
      <c r="R71" s="281"/>
      <c r="S71" s="281"/>
      <c r="T71" s="282"/>
      <c r="U71" s="34"/>
      <c r="V71" s="34"/>
      <c r="W71" s="35" t="s">
        <v>68</v>
      </c>
      <c r="X71" s="276">
        <v>14</v>
      </c>
      <c r="Y71" s="277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300"/>
      <c r="P72" s="301" t="s">
        <v>87</v>
      </c>
      <c r="Q72" s="302"/>
      <c r="R72" s="302"/>
      <c r="S72" s="302"/>
      <c r="T72" s="302"/>
      <c r="U72" s="302"/>
      <c r="V72" s="303"/>
      <c r="W72" s="37" t="s">
        <v>68</v>
      </c>
      <c r="X72" s="278">
        <f>IFERROR(SUM(X69:X71),"0")</f>
        <v>14</v>
      </c>
      <c r="Y72" s="278">
        <f>IFERROR(SUM(Y69:Y71),"0")</f>
        <v>14</v>
      </c>
      <c r="Z72" s="278">
        <f>IFERROR(IF(Z69="",0,Z69),"0")+IFERROR(IF(Z70="",0,Z70),"0")+IFERROR(IF(Z71="",0,Z71),"0")</f>
        <v>0.13174</v>
      </c>
      <c r="AA72" s="279"/>
      <c r="AB72" s="279"/>
      <c r="AC72" s="279"/>
    </row>
    <row r="73" spans="1:68" x14ac:dyDescent="0.2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300"/>
      <c r="P73" s="301" t="s">
        <v>87</v>
      </c>
      <c r="Q73" s="302"/>
      <c r="R73" s="302"/>
      <c r="S73" s="302"/>
      <c r="T73" s="302"/>
      <c r="U73" s="302"/>
      <c r="V73" s="303"/>
      <c r="W73" s="37" t="s">
        <v>88</v>
      </c>
      <c r="X73" s="278">
        <f>IFERROR(SUMPRODUCT(X69:X71*H69:H71),"0")</f>
        <v>16.8</v>
      </c>
      <c r="Y73" s="278">
        <f>IFERROR(SUMPRODUCT(Y69:Y71*H69:H71),"0")</f>
        <v>16.8</v>
      </c>
      <c r="Z73" s="37"/>
      <c r="AA73" s="279"/>
      <c r="AB73" s="279"/>
      <c r="AC73" s="279"/>
    </row>
    <row r="74" spans="1:68" ht="16.5" hidden="1" customHeight="1" x14ac:dyDescent="0.25">
      <c r="A74" s="312" t="s">
        <v>141</v>
      </c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  <c r="AA74" s="271"/>
      <c r="AB74" s="271"/>
      <c r="AC74" s="271"/>
    </row>
    <row r="75" spans="1:68" ht="14.25" hidden="1" customHeight="1" x14ac:dyDescent="0.25">
      <c r="A75" s="307" t="s">
        <v>62</v>
      </c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90">
        <v>4607111037411</v>
      </c>
      <c r="E76" s="291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1"/>
      <c r="R76" s="281"/>
      <c r="S76" s="281"/>
      <c r="T76" s="282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4301070981</v>
      </c>
      <c r="D77" s="290">
        <v>4607111036728</v>
      </c>
      <c r="E77" s="291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1"/>
      <c r="R77" s="281"/>
      <c r="S77" s="281"/>
      <c r="T77" s="282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IFERROR(IF(X77="","",X77*0.00866),"")</f>
        <v>0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298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300"/>
      <c r="P78" s="301" t="s">
        <v>87</v>
      </c>
      <c r="Q78" s="302"/>
      <c r="R78" s="302"/>
      <c r="S78" s="302"/>
      <c r="T78" s="302"/>
      <c r="U78" s="302"/>
      <c r="V78" s="303"/>
      <c r="W78" s="37" t="s">
        <v>68</v>
      </c>
      <c r="X78" s="278">
        <f>IFERROR(SUM(X76:X77),"0")</f>
        <v>0</v>
      </c>
      <c r="Y78" s="278">
        <f>IFERROR(SUM(Y76:Y77),"0")</f>
        <v>0</v>
      </c>
      <c r="Z78" s="278">
        <f>IFERROR(IF(Z76="",0,Z76),"0")+IFERROR(IF(Z77="",0,Z77),"0")</f>
        <v>0</v>
      </c>
      <c r="AA78" s="279"/>
      <c r="AB78" s="279"/>
      <c r="AC78" s="279"/>
    </row>
    <row r="79" spans="1:68" hidden="1" x14ac:dyDescent="0.2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301" t="s">
        <v>87</v>
      </c>
      <c r="Q79" s="302"/>
      <c r="R79" s="302"/>
      <c r="S79" s="302"/>
      <c r="T79" s="302"/>
      <c r="U79" s="302"/>
      <c r="V79" s="303"/>
      <c r="W79" s="37" t="s">
        <v>88</v>
      </c>
      <c r="X79" s="278">
        <f>IFERROR(SUMPRODUCT(X76:X77*H76:H77),"0")</f>
        <v>0</v>
      </c>
      <c r="Y79" s="278">
        <f>IFERROR(SUMPRODUCT(Y76:Y77*H76:H77),"0")</f>
        <v>0</v>
      </c>
      <c r="Z79" s="37"/>
      <c r="AA79" s="279"/>
      <c r="AB79" s="279"/>
      <c r="AC79" s="279"/>
    </row>
    <row r="80" spans="1:68" ht="16.5" hidden="1" customHeight="1" x14ac:dyDescent="0.25">
      <c r="A80" s="312" t="s">
        <v>148</v>
      </c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  <c r="AA80" s="271"/>
      <c r="AB80" s="271"/>
      <c r="AC80" s="271"/>
    </row>
    <row r="81" spans="1:68" ht="14.25" hidden="1" customHeight="1" x14ac:dyDescent="0.25">
      <c r="A81" s="307" t="s">
        <v>133</v>
      </c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  <c r="Z81" s="299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4301135574</v>
      </c>
      <c r="D82" s="290">
        <v>4607111033659</v>
      </c>
      <c r="E82" s="291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45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1"/>
      <c r="R82" s="281"/>
      <c r="S82" s="281"/>
      <c r="T82" s="282"/>
      <c r="U82" s="34"/>
      <c r="V82" s="34"/>
      <c r="W82" s="35" t="s">
        <v>68</v>
      </c>
      <c r="X82" s="276">
        <v>0</v>
      </c>
      <c r="Y82" s="277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98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300"/>
      <c r="P83" s="301" t="s">
        <v>87</v>
      </c>
      <c r="Q83" s="302"/>
      <c r="R83" s="302"/>
      <c r="S83" s="302"/>
      <c r="T83" s="302"/>
      <c r="U83" s="302"/>
      <c r="V83" s="303"/>
      <c r="W83" s="37" t="s">
        <v>68</v>
      </c>
      <c r="X83" s="278">
        <f>IFERROR(SUM(X82:X82),"0")</f>
        <v>0</v>
      </c>
      <c r="Y83" s="278">
        <f>IFERROR(SUM(Y82:Y82),"0")</f>
        <v>0</v>
      </c>
      <c r="Z83" s="278">
        <f>IFERROR(IF(Z82="",0,Z82),"0")</f>
        <v>0</v>
      </c>
      <c r="AA83" s="279"/>
      <c r="AB83" s="279"/>
      <c r="AC83" s="279"/>
    </row>
    <row r="84" spans="1:68" hidden="1" x14ac:dyDescent="0.2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300"/>
      <c r="P84" s="301" t="s">
        <v>87</v>
      </c>
      <c r="Q84" s="302"/>
      <c r="R84" s="302"/>
      <c r="S84" s="302"/>
      <c r="T84" s="302"/>
      <c r="U84" s="302"/>
      <c r="V84" s="303"/>
      <c r="W84" s="37" t="s">
        <v>88</v>
      </c>
      <c r="X84" s="278">
        <f>IFERROR(SUMPRODUCT(X82:X82*H82:H82),"0")</f>
        <v>0</v>
      </c>
      <c r="Y84" s="278">
        <f>IFERROR(SUMPRODUCT(Y82:Y82*H82:H82),"0")</f>
        <v>0</v>
      </c>
      <c r="Z84" s="37"/>
      <c r="AA84" s="279"/>
      <c r="AB84" s="279"/>
      <c r="AC84" s="279"/>
    </row>
    <row r="85" spans="1:68" ht="16.5" hidden="1" customHeight="1" x14ac:dyDescent="0.25">
      <c r="A85" s="312" t="s">
        <v>152</v>
      </c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  <c r="AA85" s="271"/>
      <c r="AB85" s="271"/>
      <c r="AC85" s="271"/>
    </row>
    <row r="86" spans="1:68" ht="14.25" hidden="1" customHeight="1" x14ac:dyDescent="0.25">
      <c r="A86" s="307" t="s">
        <v>153</v>
      </c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90">
        <v>4607111034120</v>
      </c>
      <c r="E87" s="291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1"/>
      <c r="R87" s="281"/>
      <c r="S87" s="281"/>
      <c r="T87" s="282"/>
      <c r="U87" s="34"/>
      <c r="V87" s="34"/>
      <c r="W87" s="35" t="s">
        <v>68</v>
      </c>
      <c r="X87" s="276">
        <v>14</v>
      </c>
      <c r="Y87" s="277">
        <f>IFERROR(IF(X87="","",X87),"")</f>
        <v>14</v>
      </c>
      <c r="Z87" s="36">
        <f>IFERROR(IF(X87="","",X87*0.01788),"")</f>
        <v>0.25031999999999999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90">
        <v>4607111034137</v>
      </c>
      <c r="E88" s="291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1"/>
      <c r="R88" s="281"/>
      <c r="S88" s="281"/>
      <c r="T88" s="282"/>
      <c r="U88" s="34"/>
      <c r="V88" s="34"/>
      <c r="W88" s="35" t="s">
        <v>68</v>
      </c>
      <c r="X88" s="276">
        <v>0</v>
      </c>
      <c r="Y88" s="277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98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300"/>
      <c r="P89" s="301" t="s">
        <v>87</v>
      </c>
      <c r="Q89" s="302"/>
      <c r="R89" s="302"/>
      <c r="S89" s="302"/>
      <c r="T89" s="302"/>
      <c r="U89" s="302"/>
      <c r="V89" s="303"/>
      <c r="W89" s="37" t="s">
        <v>68</v>
      </c>
      <c r="X89" s="278">
        <f>IFERROR(SUM(X87:X88),"0")</f>
        <v>14</v>
      </c>
      <c r="Y89" s="278">
        <f>IFERROR(SUM(Y87:Y88),"0")</f>
        <v>14</v>
      </c>
      <c r="Z89" s="278">
        <f>IFERROR(IF(Z87="",0,Z87),"0")+IFERROR(IF(Z88="",0,Z88),"0")</f>
        <v>0.25031999999999999</v>
      </c>
      <c r="AA89" s="279"/>
      <c r="AB89" s="279"/>
      <c r="AC89" s="279"/>
    </row>
    <row r="90" spans="1:68" x14ac:dyDescent="0.2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300"/>
      <c r="P90" s="301" t="s">
        <v>87</v>
      </c>
      <c r="Q90" s="302"/>
      <c r="R90" s="302"/>
      <c r="S90" s="302"/>
      <c r="T90" s="302"/>
      <c r="U90" s="302"/>
      <c r="V90" s="303"/>
      <c r="W90" s="37" t="s">
        <v>88</v>
      </c>
      <c r="X90" s="278">
        <f>IFERROR(SUMPRODUCT(X87:X88*H87:H88),"0")</f>
        <v>50.4</v>
      </c>
      <c r="Y90" s="278">
        <f>IFERROR(SUMPRODUCT(Y87:Y88*H87:H88),"0")</f>
        <v>50.4</v>
      </c>
      <c r="Z90" s="37"/>
      <c r="AA90" s="279"/>
      <c r="AB90" s="279"/>
      <c r="AC90" s="279"/>
    </row>
    <row r="91" spans="1:68" ht="16.5" hidden="1" customHeight="1" x14ac:dyDescent="0.25">
      <c r="A91" s="312" t="s">
        <v>160</v>
      </c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  <c r="Z91" s="299"/>
      <c r="AA91" s="271"/>
      <c r="AB91" s="271"/>
      <c r="AC91" s="271"/>
    </row>
    <row r="92" spans="1:68" ht="14.25" hidden="1" customHeight="1" x14ac:dyDescent="0.25">
      <c r="A92" s="307" t="s">
        <v>133</v>
      </c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  <c r="Y92" s="299"/>
      <c r="Z92" s="299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90">
        <v>4620207491027</v>
      </c>
      <c r="E93" s="291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1"/>
      <c r="R93" s="281"/>
      <c r="S93" s="281"/>
      <c r="T93" s="282"/>
      <c r="U93" s="34"/>
      <c r="V93" s="34"/>
      <c r="W93" s="35" t="s">
        <v>68</v>
      </c>
      <c r="X93" s="276">
        <v>56</v>
      </c>
      <c r="Y93" s="277">
        <f t="shared" ref="Y93:Y98" si="6">IFERROR(IF(X93="","",X93),"")</f>
        <v>56</v>
      </c>
      <c r="Z93" s="36">
        <f t="shared" ref="Z93:Z98" si="7">IFERROR(IF(X93="","",X93*0.01788),"")</f>
        <v>1.0012799999999999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200.6816</v>
      </c>
      <c r="BN93" s="67">
        <f t="shared" ref="BN93:BN98" si="9">IFERROR(Y93*I93,"0")</f>
        <v>200.6816</v>
      </c>
      <c r="BO93" s="67">
        <f t="shared" ref="BO93:BO98" si="10">IFERROR(X93/J93,"0")</f>
        <v>0.8</v>
      </c>
      <c r="BP93" s="67">
        <f t="shared" ref="BP93:BP98" si="11">IFERROR(Y93/J93,"0")</f>
        <v>0.8</v>
      </c>
    </row>
    <row r="94" spans="1:68" ht="27" hidden="1" customHeight="1" x14ac:dyDescent="0.25">
      <c r="A94" s="54" t="s">
        <v>163</v>
      </c>
      <c r="B94" s="54" t="s">
        <v>164</v>
      </c>
      <c r="C94" s="31">
        <v>4301135914</v>
      </c>
      <c r="D94" s="290">
        <v>4620207491621</v>
      </c>
      <c r="E94" s="29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1"/>
      <c r="R94" s="281"/>
      <c r="S94" s="281"/>
      <c r="T94" s="282"/>
      <c r="U94" s="34"/>
      <c r="V94" s="34"/>
      <c r="W94" s="35" t="s">
        <v>68</v>
      </c>
      <c r="X94" s="276">
        <v>0</v>
      </c>
      <c r="Y94" s="277">
        <f t="shared" si="6"/>
        <v>0</v>
      </c>
      <c r="Z94" s="36">
        <f t="shared" si="7"/>
        <v>0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166</v>
      </c>
      <c r="B95" s="54" t="s">
        <v>167</v>
      </c>
      <c r="C95" s="31">
        <v>4301135990</v>
      </c>
      <c r="D95" s="290">
        <v>4620207491881</v>
      </c>
      <c r="E95" s="291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1"/>
      <c r="R95" s="281"/>
      <c r="S95" s="281"/>
      <c r="T95" s="282"/>
      <c r="U95" s="34"/>
      <c r="V95" s="34"/>
      <c r="W95" s="35" t="s">
        <v>68</v>
      </c>
      <c r="X95" s="276">
        <v>14</v>
      </c>
      <c r="Y95" s="277">
        <f t="shared" si="6"/>
        <v>14</v>
      </c>
      <c r="Z95" s="36">
        <f t="shared" si="7"/>
        <v>0.25031999999999999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168</v>
      </c>
      <c r="B96" s="54" t="s">
        <v>169</v>
      </c>
      <c r="C96" s="31">
        <v>4301135920</v>
      </c>
      <c r="D96" s="290">
        <v>4620207491577</v>
      </c>
      <c r="E96" s="291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9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1"/>
      <c r="R96" s="281"/>
      <c r="S96" s="281"/>
      <c r="T96" s="282"/>
      <c r="U96" s="34"/>
      <c r="V96" s="34"/>
      <c r="W96" s="35" t="s">
        <v>68</v>
      </c>
      <c r="X96" s="276">
        <v>14</v>
      </c>
      <c r="Y96" s="277">
        <f t="shared" si="6"/>
        <v>14</v>
      </c>
      <c r="Z96" s="36">
        <f t="shared" si="7"/>
        <v>0.25031999999999999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50.170400000000001</v>
      </c>
      <c r="BN96" s="67">
        <f t="shared" si="9"/>
        <v>50.170400000000001</v>
      </c>
      <c r="BO96" s="67">
        <f t="shared" si="10"/>
        <v>0.2</v>
      </c>
      <c r="BP96" s="67">
        <f t="shared" si="11"/>
        <v>0.2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90">
        <v>4620207491874</v>
      </c>
      <c r="E97" s="291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1"/>
      <c r="R97" s="281"/>
      <c r="S97" s="281"/>
      <c r="T97" s="282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172</v>
      </c>
      <c r="B98" s="54" t="s">
        <v>173</v>
      </c>
      <c r="C98" s="31">
        <v>4301135285</v>
      </c>
      <c r="D98" s="290">
        <v>4607111036407</v>
      </c>
      <c r="E98" s="291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1"/>
      <c r="R98" s="281"/>
      <c r="S98" s="281"/>
      <c r="T98" s="282"/>
      <c r="U98" s="34"/>
      <c r="V98" s="34"/>
      <c r="W98" s="35" t="s">
        <v>68</v>
      </c>
      <c r="X98" s="276">
        <v>14</v>
      </c>
      <c r="Y98" s="277">
        <f t="shared" si="6"/>
        <v>14</v>
      </c>
      <c r="Z98" s="36">
        <f t="shared" si="7"/>
        <v>0.25031999999999999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98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300"/>
      <c r="P99" s="301" t="s">
        <v>87</v>
      </c>
      <c r="Q99" s="302"/>
      <c r="R99" s="302"/>
      <c r="S99" s="302"/>
      <c r="T99" s="302"/>
      <c r="U99" s="302"/>
      <c r="V99" s="303"/>
      <c r="W99" s="37" t="s">
        <v>68</v>
      </c>
      <c r="X99" s="278">
        <f>IFERROR(SUM(X93:X98),"0")</f>
        <v>98</v>
      </c>
      <c r="Y99" s="278">
        <f>IFERROR(SUM(Y93:Y98),"0")</f>
        <v>98</v>
      </c>
      <c r="Z99" s="278">
        <f>IFERROR(IF(Z93="",0,Z93),"0")+IFERROR(IF(Z94="",0,Z94),"0")+IFERROR(IF(Z95="",0,Z95),"0")+IFERROR(IF(Z96="",0,Z96),"0")+IFERROR(IF(Z97="",0,Z97),"0")+IFERROR(IF(Z98="",0,Z98),"0")</f>
        <v>1.7522399999999996</v>
      </c>
      <c r="AA99" s="279"/>
      <c r="AB99" s="279"/>
      <c r="AC99" s="279"/>
    </row>
    <row r="100" spans="1:68" x14ac:dyDescent="0.2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300"/>
      <c r="P100" s="301" t="s">
        <v>87</v>
      </c>
      <c r="Q100" s="302"/>
      <c r="R100" s="302"/>
      <c r="S100" s="302"/>
      <c r="T100" s="302"/>
      <c r="U100" s="302"/>
      <c r="V100" s="303"/>
      <c r="W100" s="37" t="s">
        <v>88</v>
      </c>
      <c r="X100" s="278">
        <f>IFERROR(SUMPRODUCT(X93:X98*H93:H98),"0")</f>
        <v>300.71999999999997</v>
      </c>
      <c r="Y100" s="278">
        <f>IFERROR(SUMPRODUCT(Y93:Y98*H93:H98),"0")</f>
        <v>300.71999999999997</v>
      </c>
      <c r="Z100" s="37"/>
      <c r="AA100" s="279"/>
      <c r="AB100" s="279"/>
      <c r="AC100" s="279"/>
    </row>
    <row r="101" spans="1:68" ht="16.5" hidden="1" customHeight="1" x14ac:dyDescent="0.25">
      <c r="A101" s="312" t="s">
        <v>175</v>
      </c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  <c r="Z101" s="299"/>
      <c r="AA101" s="271"/>
      <c r="AB101" s="271"/>
      <c r="AC101" s="271"/>
    </row>
    <row r="102" spans="1:68" ht="14.25" hidden="1" customHeight="1" x14ac:dyDescent="0.25">
      <c r="A102" s="307" t="s">
        <v>129</v>
      </c>
      <c r="B102" s="299"/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90">
        <v>4620207491652</v>
      </c>
      <c r="E103" s="291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1"/>
      <c r="R103" s="281"/>
      <c r="S103" s="281"/>
      <c r="T103" s="282"/>
      <c r="U103" s="34"/>
      <c r="V103" s="34"/>
      <c r="W103" s="35" t="s">
        <v>68</v>
      </c>
      <c r="X103" s="276">
        <v>0</v>
      </c>
      <c r="Y103" s="277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90">
        <v>4620207491645</v>
      </c>
      <c r="E104" s="291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1"/>
      <c r="R104" s="281"/>
      <c r="S104" s="281"/>
      <c r="T104" s="282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98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300"/>
      <c r="P105" s="301" t="s">
        <v>87</v>
      </c>
      <c r="Q105" s="302"/>
      <c r="R105" s="302"/>
      <c r="S105" s="302"/>
      <c r="T105" s="302"/>
      <c r="U105" s="302"/>
      <c r="V105" s="303"/>
      <c r="W105" s="37" t="s">
        <v>68</v>
      </c>
      <c r="X105" s="278">
        <f>IFERROR(SUM(X103:X104),"0")</f>
        <v>0</v>
      </c>
      <c r="Y105" s="278">
        <f>IFERROR(SUM(Y103:Y104),"0")</f>
        <v>0</v>
      </c>
      <c r="Z105" s="278">
        <f>IFERROR(IF(Z103="",0,Z103),"0")+IFERROR(IF(Z104="",0,Z104),"0")</f>
        <v>0</v>
      </c>
      <c r="AA105" s="279"/>
      <c r="AB105" s="279"/>
      <c r="AC105" s="279"/>
    </row>
    <row r="106" spans="1:68" hidden="1" x14ac:dyDescent="0.2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300"/>
      <c r="P106" s="301" t="s">
        <v>87</v>
      </c>
      <c r="Q106" s="302"/>
      <c r="R106" s="302"/>
      <c r="S106" s="302"/>
      <c r="T106" s="302"/>
      <c r="U106" s="302"/>
      <c r="V106" s="303"/>
      <c r="W106" s="37" t="s">
        <v>88</v>
      </c>
      <c r="X106" s="278">
        <f>IFERROR(SUMPRODUCT(X103:X104*H103:H104),"0")</f>
        <v>0</v>
      </c>
      <c r="Y106" s="278">
        <f>IFERROR(SUMPRODUCT(Y103:Y104*H103:H104),"0")</f>
        <v>0</v>
      </c>
      <c r="Z106" s="37"/>
      <c r="AA106" s="279"/>
      <c r="AB106" s="279"/>
      <c r="AC106" s="279"/>
    </row>
    <row r="107" spans="1:68" ht="16.5" hidden="1" customHeight="1" x14ac:dyDescent="0.25">
      <c r="A107" s="312" t="s">
        <v>181</v>
      </c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  <c r="Y107" s="299"/>
      <c r="Z107" s="299"/>
      <c r="AA107" s="271"/>
      <c r="AB107" s="271"/>
      <c r="AC107" s="271"/>
    </row>
    <row r="108" spans="1:68" ht="14.25" hidden="1" customHeight="1" x14ac:dyDescent="0.25">
      <c r="A108" s="307" t="s">
        <v>62</v>
      </c>
      <c r="B108" s="299"/>
      <c r="C108" s="299"/>
      <c r="D108" s="299"/>
      <c r="E108" s="299"/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  <c r="Y108" s="299"/>
      <c r="Z108" s="299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90">
        <v>4620207491157</v>
      </c>
      <c r="E109" s="291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1"/>
      <c r="R109" s="281"/>
      <c r="S109" s="281"/>
      <c r="T109" s="282"/>
      <c r="U109" s="34"/>
      <c r="V109" s="34"/>
      <c r="W109" s="35" t="s">
        <v>68</v>
      </c>
      <c r="X109" s="276">
        <v>0</v>
      </c>
      <c r="Y109" s="277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90">
        <v>4620207491393</v>
      </c>
      <c r="E110" s="291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4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1"/>
      <c r="R110" s="281"/>
      <c r="S110" s="281"/>
      <c r="T110" s="282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90">
        <v>4607111039262</v>
      </c>
      <c r="E111" s="291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1"/>
      <c r="R111" s="281"/>
      <c r="S111" s="281"/>
      <c r="T111" s="282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90">
        <v>4607111039248</v>
      </c>
      <c r="E112" s="291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1"/>
      <c r="R112" s="281"/>
      <c r="S112" s="281"/>
      <c r="T112" s="282"/>
      <c r="U112" s="34"/>
      <c r="V112" s="34"/>
      <c r="W112" s="35" t="s">
        <v>68</v>
      </c>
      <c r="X112" s="276">
        <v>60</v>
      </c>
      <c r="Y112" s="277">
        <f t="shared" si="12"/>
        <v>60</v>
      </c>
      <c r="Z112" s="36">
        <f t="shared" si="13"/>
        <v>0.92999999999999994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438</v>
      </c>
      <c r="BN112" s="67">
        <f t="shared" si="15"/>
        <v>438</v>
      </c>
      <c r="BO112" s="67">
        <f t="shared" si="16"/>
        <v>0.7142857142857143</v>
      </c>
      <c r="BP112" s="67">
        <f t="shared" si="17"/>
        <v>0.7142857142857143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90">
        <v>4607111037145</v>
      </c>
      <c r="E113" s="291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1"/>
      <c r="R113" s="281"/>
      <c r="S113" s="281"/>
      <c r="T113" s="282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4301071049</v>
      </c>
      <c r="D114" s="290">
        <v>4607111039293</v>
      </c>
      <c r="E114" s="291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1"/>
      <c r="R114" s="281"/>
      <c r="S114" s="281"/>
      <c r="T114" s="282"/>
      <c r="U114" s="34"/>
      <c r="V114" s="34"/>
      <c r="W114" s="35" t="s">
        <v>68</v>
      </c>
      <c r="X114" s="276">
        <v>60</v>
      </c>
      <c r="Y114" s="277">
        <f t="shared" si="12"/>
        <v>60</v>
      </c>
      <c r="Z114" s="36">
        <f t="shared" si="13"/>
        <v>0.92999999999999994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403.17599999999999</v>
      </c>
      <c r="BN114" s="67">
        <f t="shared" si="15"/>
        <v>403.17599999999999</v>
      </c>
      <c r="BO114" s="67">
        <f t="shared" si="16"/>
        <v>0.7142857142857143</v>
      </c>
      <c r="BP114" s="67">
        <f t="shared" si="17"/>
        <v>0.7142857142857143</v>
      </c>
    </row>
    <row r="115" spans="1:68" ht="27" customHeight="1" x14ac:dyDescent="0.25">
      <c r="A115" s="54" t="s">
        <v>197</v>
      </c>
      <c r="B115" s="54" t="s">
        <v>198</v>
      </c>
      <c r="C115" s="31">
        <v>4301071039</v>
      </c>
      <c r="D115" s="290">
        <v>4607111039279</v>
      </c>
      <c r="E115" s="291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1"/>
      <c r="R115" s="281"/>
      <c r="S115" s="281"/>
      <c r="T115" s="282"/>
      <c r="U115" s="34"/>
      <c r="V115" s="34"/>
      <c r="W115" s="35" t="s">
        <v>68</v>
      </c>
      <c r="X115" s="276">
        <v>132</v>
      </c>
      <c r="Y115" s="277">
        <f t="shared" si="12"/>
        <v>132</v>
      </c>
      <c r="Z115" s="36">
        <f t="shared" si="13"/>
        <v>2.0459999999999998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963.6</v>
      </c>
      <c r="BN115" s="67">
        <f t="shared" si="15"/>
        <v>963.6</v>
      </c>
      <c r="BO115" s="67">
        <f t="shared" si="16"/>
        <v>1.5714285714285714</v>
      </c>
      <c r="BP115" s="67">
        <f t="shared" si="17"/>
        <v>1.5714285714285714</v>
      </c>
    </row>
    <row r="116" spans="1:68" x14ac:dyDescent="0.2">
      <c r="A116" s="298"/>
      <c r="B116" s="299"/>
      <c r="C116" s="299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99"/>
      <c r="O116" s="300"/>
      <c r="P116" s="301" t="s">
        <v>87</v>
      </c>
      <c r="Q116" s="302"/>
      <c r="R116" s="302"/>
      <c r="S116" s="302"/>
      <c r="T116" s="302"/>
      <c r="U116" s="302"/>
      <c r="V116" s="303"/>
      <c r="W116" s="37" t="s">
        <v>68</v>
      </c>
      <c r="X116" s="278">
        <f>IFERROR(SUM(X109:X115),"0")</f>
        <v>252</v>
      </c>
      <c r="Y116" s="278">
        <f>IFERROR(SUM(Y109:Y115),"0")</f>
        <v>252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3.9059999999999997</v>
      </c>
      <c r="AA116" s="279"/>
      <c r="AB116" s="279"/>
      <c r="AC116" s="279"/>
    </row>
    <row r="117" spans="1:68" x14ac:dyDescent="0.2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300"/>
      <c r="P117" s="301" t="s">
        <v>87</v>
      </c>
      <c r="Q117" s="302"/>
      <c r="R117" s="302"/>
      <c r="S117" s="302"/>
      <c r="T117" s="302"/>
      <c r="U117" s="302"/>
      <c r="V117" s="303"/>
      <c r="W117" s="37" t="s">
        <v>88</v>
      </c>
      <c r="X117" s="278">
        <f>IFERROR(SUMPRODUCT(X109:X115*H109:H115),"0")</f>
        <v>1728</v>
      </c>
      <c r="Y117" s="278">
        <f>IFERROR(SUMPRODUCT(Y109:Y115*H109:H115),"0")</f>
        <v>1728</v>
      </c>
      <c r="Z117" s="37"/>
      <c r="AA117" s="279"/>
      <c r="AB117" s="279"/>
      <c r="AC117" s="279"/>
    </row>
    <row r="118" spans="1:68" ht="14.25" hidden="1" customHeight="1" x14ac:dyDescent="0.25">
      <c r="A118" s="307" t="s">
        <v>133</v>
      </c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  <c r="Z118" s="299"/>
      <c r="AA118" s="272"/>
      <c r="AB118" s="272"/>
      <c r="AC118" s="272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90">
        <v>4620207490983</v>
      </c>
      <c r="E119" s="291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1"/>
      <c r="R119" s="281"/>
      <c r="S119" s="281"/>
      <c r="T119" s="282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8"/>
      <c r="B120" s="299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300"/>
      <c r="P120" s="301" t="s">
        <v>87</v>
      </c>
      <c r="Q120" s="302"/>
      <c r="R120" s="302"/>
      <c r="S120" s="302"/>
      <c r="T120" s="302"/>
      <c r="U120" s="302"/>
      <c r="V120" s="303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300"/>
      <c r="P121" s="301" t="s">
        <v>87</v>
      </c>
      <c r="Q121" s="302"/>
      <c r="R121" s="302"/>
      <c r="S121" s="302"/>
      <c r="T121" s="302"/>
      <c r="U121" s="302"/>
      <c r="V121" s="303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307" t="s">
        <v>202</v>
      </c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  <c r="AA122" s="272"/>
      <c r="AB122" s="272"/>
      <c r="AC122" s="272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90">
        <v>4620207491140</v>
      </c>
      <c r="E123" s="291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1"/>
      <c r="R123" s="281"/>
      <c r="S123" s="281"/>
      <c r="T123" s="282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8"/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300"/>
      <c r="P124" s="301" t="s">
        <v>87</v>
      </c>
      <c r="Q124" s="302"/>
      <c r="R124" s="302"/>
      <c r="S124" s="302"/>
      <c r="T124" s="302"/>
      <c r="U124" s="302"/>
      <c r="V124" s="303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300"/>
      <c r="P125" s="301" t="s">
        <v>87</v>
      </c>
      <c r="Q125" s="302"/>
      <c r="R125" s="302"/>
      <c r="S125" s="302"/>
      <c r="T125" s="302"/>
      <c r="U125" s="302"/>
      <c r="V125" s="303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312" t="s">
        <v>206</v>
      </c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71"/>
      <c r="AB126" s="271"/>
      <c r="AC126" s="271"/>
    </row>
    <row r="127" spans="1:68" ht="14.25" hidden="1" customHeight="1" x14ac:dyDescent="0.25">
      <c r="A127" s="307" t="s">
        <v>133</v>
      </c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72"/>
      <c r="AB127" s="272"/>
      <c r="AC127" s="272"/>
    </row>
    <row r="128" spans="1:68" ht="27" hidden="1" customHeight="1" x14ac:dyDescent="0.25">
      <c r="A128" s="54" t="s">
        <v>207</v>
      </c>
      <c r="B128" s="54" t="s">
        <v>208</v>
      </c>
      <c r="C128" s="31">
        <v>4301135848</v>
      </c>
      <c r="D128" s="290">
        <v>4620207491799</v>
      </c>
      <c r="E128" s="291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45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1"/>
      <c r="R128" s="281"/>
      <c r="S128" s="281"/>
      <c r="T128" s="282"/>
      <c r="U128" s="34"/>
      <c r="V128" s="34"/>
      <c r="W128" s="35" t="s">
        <v>68</v>
      </c>
      <c r="X128" s="276">
        <v>0</v>
      </c>
      <c r="Y128" s="277">
        <f>IFERROR(IF(X128="","",X128),"")</f>
        <v>0</v>
      </c>
      <c r="Z128" s="36">
        <f>IFERROR(IF(X128="","",X128*0.00941),"")</f>
        <v>0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27" hidden="1" customHeight="1" x14ac:dyDescent="0.25">
      <c r="A129" s="54" t="s">
        <v>210</v>
      </c>
      <c r="B129" s="54" t="s">
        <v>211</v>
      </c>
      <c r="C129" s="31">
        <v>4301135850</v>
      </c>
      <c r="D129" s="290">
        <v>4620207491492</v>
      </c>
      <c r="E129" s="291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1"/>
      <c r="R129" s="281"/>
      <c r="S129" s="281"/>
      <c r="T129" s="282"/>
      <c r="U129" s="34"/>
      <c r="V129" s="34"/>
      <c r="W129" s="35" t="s">
        <v>68</v>
      </c>
      <c r="X129" s="276">
        <v>0</v>
      </c>
      <c r="Y129" s="277">
        <f>IFERROR(IF(X129="","",X129),"")</f>
        <v>0</v>
      </c>
      <c r="Z129" s="36">
        <f>IFERROR(IF(X129="","",X129*0.00941),"")</f>
        <v>0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t="27" hidden="1" customHeight="1" x14ac:dyDescent="0.25">
      <c r="A130" s="54" t="s">
        <v>212</v>
      </c>
      <c r="B130" s="54" t="s">
        <v>213</v>
      </c>
      <c r="C130" s="31">
        <v>4301190118</v>
      </c>
      <c r="D130" s="290">
        <v>4620207491461</v>
      </c>
      <c r="E130" s="291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1"/>
      <c r="R130" s="281"/>
      <c r="S130" s="281"/>
      <c r="T130" s="282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214</v>
      </c>
      <c r="B131" s="54" t="s">
        <v>215</v>
      </c>
      <c r="C131" s="31">
        <v>4301135865</v>
      </c>
      <c r="D131" s="290">
        <v>4620207491485</v>
      </c>
      <c r="E131" s="291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1"/>
      <c r="R131" s="281"/>
      <c r="S131" s="281"/>
      <c r="T131" s="282"/>
      <c r="U131" s="34"/>
      <c r="V131" s="34"/>
      <c r="W131" s="35" t="s">
        <v>68</v>
      </c>
      <c r="X131" s="276">
        <v>28</v>
      </c>
      <c r="Y131" s="277">
        <f>IFERROR(IF(X131="","",X131),"")</f>
        <v>28</v>
      </c>
      <c r="Z131" s="36">
        <f>IFERROR(IF(X131="","",X131*0.00941),"")</f>
        <v>0.26347999999999999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50.4</v>
      </c>
      <c r="BN131" s="67">
        <f>IFERROR(Y131*I131,"0")</f>
        <v>50.4</v>
      </c>
      <c r="BO131" s="67">
        <f>IFERROR(X131/J131,"0")</f>
        <v>0.2</v>
      </c>
      <c r="BP131" s="67">
        <f>IFERROR(Y131/J131,"0")</f>
        <v>0.2</v>
      </c>
    </row>
    <row r="132" spans="1:68" x14ac:dyDescent="0.2">
      <c r="A132" s="298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300"/>
      <c r="P132" s="301" t="s">
        <v>87</v>
      </c>
      <c r="Q132" s="302"/>
      <c r="R132" s="302"/>
      <c r="S132" s="302"/>
      <c r="T132" s="302"/>
      <c r="U132" s="302"/>
      <c r="V132" s="303"/>
      <c r="W132" s="37" t="s">
        <v>68</v>
      </c>
      <c r="X132" s="278">
        <f>IFERROR(SUM(X128:X131),"0")</f>
        <v>28</v>
      </c>
      <c r="Y132" s="278">
        <f>IFERROR(SUM(Y128:Y131),"0")</f>
        <v>28</v>
      </c>
      <c r="Z132" s="278">
        <f>IFERROR(IF(Z128="",0,Z128),"0")+IFERROR(IF(Z129="",0,Z129),"0")+IFERROR(IF(Z130="",0,Z130),"0")+IFERROR(IF(Z131="",0,Z131),"0")</f>
        <v>0.26347999999999999</v>
      </c>
      <c r="AA132" s="279"/>
      <c r="AB132" s="279"/>
      <c r="AC132" s="279"/>
    </row>
    <row r="133" spans="1:68" x14ac:dyDescent="0.2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300"/>
      <c r="P133" s="301" t="s">
        <v>87</v>
      </c>
      <c r="Q133" s="302"/>
      <c r="R133" s="302"/>
      <c r="S133" s="302"/>
      <c r="T133" s="302"/>
      <c r="U133" s="302"/>
      <c r="V133" s="303"/>
      <c r="W133" s="37" t="s">
        <v>88</v>
      </c>
      <c r="X133" s="278">
        <f>IFERROR(SUMPRODUCT(X128:X131*H128:H131),"0")</f>
        <v>38.64</v>
      </c>
      <c r="Y133" s="278">
        <f>IFERROR(SUMPRODUCT(Y128:Y131*H128:H131),"0")</f>
        <v>38.64</v>
      </c>
      <c r="Z133" s="37"/>
      <c r="AA133" s="279"/>
      <c r="AB133" s="279"/>
      <c r="AC133" s="279"/>
    </row>
    <row r="134" spans="1:68" ht="14.25" hidden="1" customHeight="1" x14ac:dyDescent="0.25">
      <c r="A134" s="307" t="s">
        <v>216</v>
      </c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72"/>
      <c r="AB134" s="272"/>
      <c r="AC134" s="272"/>
    </row>
    <row r="135" spans="1:68" ht="27" hidden="1" customHeight="1" x14ac:dyDescent="0.25">
      <c r="A135" s="54" t="s">
        <v>217</v>
      </c>
      <c r="B135" s="54" t="s">
        <v>218</v>
      </c>
      <c r="C135" s="31">
        <v>4301190117</v>
      </c>
      <c r="D135" s="290">
        <v>4620207491386</v>
      </c>
      <c r="E135" s="291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3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1"/>
      <c r="R135" s="281"/>
      <c r="S135" s="281"/>
      <c r="T135" s="282"/>
      <c r="U135" s="34"/>
      <c r="V135" s="34"/>
      <c r="W135" s="35" t="s">
        <v>68</v>
      </c>
      <c r="X135" s="276">
        <v>0</v>
      </c>
      <c r="Y135" s="277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90">
        <v>4620207491362</v>
      </c>
      <c r="E136" s="291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1"/>
      <c r="R136" s="281"/>
      <c r="S136" s="281"/>
      <c r="T136" s="282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90">
        <v>4620207491379</v>
      </c>
      <c r="E137" s="29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1"/>
      <c r="R137" s="281"/>
      <c r="S137" s="281"/>
      <c r="T137" s="282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298"/>
      <c r="B138" s="299"/>
      <c r="C138" s="299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300"/>
      <c r="P138" s="301" t="s">
        <v>87</v>
      </c>
      <c r="Q138" s="302"/>
      <c r="R138" s="302"/>
      <c r="S138" s="302"/>
      <c r="T138" s="302"/>
      <c r="U138" s="302"/>
      <c r="V138" s="303"/>
      <c r="W138" s="37" t="s">
        <v>68</v>
      </c>
      <c r="X138" s="278">
        <f>IFERROR(SUM(X135:X137),"0")</f>
        <v>0</v>
      </c>
      <c r="Y138" s="278">
        <f>IFERROR(SUM(Y135:Y137),"0")</f>
        <v>0</v>
      </c>
      <c r="Z138" s="278">
        <f>IFERROR(IF(Z135="",0,Z135),"0")+IFERROR(IF(Z136="",0,Z136),"0")+IFERROR(IF(Z137="",0,Z137),"0")</f>
        <v>0</v>
      </c>
      <c r="AA138" s="279"/>
      <c r="AB138" s="279"/>
      <c r="AC138" s="279"/>
    </row>
    <row r="139" spans="1:68" hidden="1" x14ac:dyDescent="0.2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300"/>
      <c r="P139" s="301" t="s">
        <v>87</v>
      </c>
      <c r="Q139" s="302"/>
      <c r="R139" s="302"/>
      <c r="S139" s="302"/>
      <c r="T139" s="302"/>
      <c r="U139" s="302"/>
      <c r="V139" s="303"/>
      <c r="W139" s="37" t="s">
        <v>88</v>
      </c>
      <c r="X139" s="278">
        <f>IFERROR(SUMPRODUCT(X135:X137*H135:H137),"0")</f>
        <v>0</v>
      </c>
      <c r="Y139" s="278">
        <f>IFERROR(SUMPRODUCT(Y135:Y137*H135:H137),"0")</f>
        <v>0</v>
      </c>
      <c r="Z139" s="37"/>
      <c r="AA139" s="279"/>
      <c r="AB139" s="279"/>
      <c r="AC139" s="279"/>
    </row>
    <row r="140" spans="1:68" ht="16.5" hidden="1" customHeight="1" x14ac:dyDescent="0.25">
      <c r="A140" s="312" t="s">
        <v>224</v>
      </c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71"/>
      <c r="AB140" s="271"/>
      <c r="AC140" s="271"/>
    </row>
    <row r="141" spans="1:68" ht="14.25" hidden="1" customHeight="1" x14ac:dyDescent="0.25">
      <c r="A141" s="307" t="s">
        <v>133</v>
      </c>
      <c r="B141" s="299"/>
      <c r="C141" s="299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72"/>
      <c r="AB141" s="272"/>
      <c r="AC141" s="272"/>
    </row>
    <row r="142" spans="1:68" ht="27" customHeight="1" x14ac:dyDescent="0.25">
      <c r="A142" s="54" t="s">
        <v>225</v>
      </c>
      <c r="B142" s="54" t="s">
        <v>226</v>
      </c>
      <c r="C142" s="31">
        <v>4301135555</v>
      </c>
      <c r="D142" s="290">
        <v>4607111034014</v>
      </c>
      <c r="E142" s="291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35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1"/>
      <c r="R142" s="281"/>
      <c r="S142" s="281"/>
      <c r="T142" s="282"/>
      <c r="U142" s="34"/>
      <c r="V142" s="34"/>
      <c r="W142" s="35" t="s">
        <v>68</v>
      </c>
      <c r="X142" s="276">
        <v>28</v>
      </c>
      <c r="Y142" s="277">
        <f>IFERROR(IF(X142="","",X142),"")</f>
        <v>28</v>
      </c>
      <c r="Z142" s="36">
        <f>IFERROR(IF(X142="","",X142*0.01788),"")</f>
        <v>0.50063999999999997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103.70079999999999</v>
      </c>
      <c r="BN142" s="67">
        <f>IFERROR(Y142*I142,"0")</f>
        <v>103.70079999999999</v>
      </c>
      <c r="BO142" s="67">
        <f>IFERROR(X142/J142,"0")</f>
        <v>0.4</v>
      </c>
      <c r="BP142" s="67">
        <f>IFERROR(Y142/J142,"0")</f>
        <v>0.4</v>
      </c>
    </row>
    <row r="143" spans="1:68" ht="27" customHeight="1" x14ac:dyDescent="0.25">
      <c r="A143" s="54" t="s">
        <v>228</v>
      </c>
      <c r="B143" s="54" t="s">
        <v>229</v>
      </c>
      <c r="C143" s="31">
        <v>4301135532</v>
      </c>
      <c r="D143" s="290">
        <v>4607111033994</v>
      </c>
      <c r="E143" s="291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1"/>
      <c r="R143" s="281"/>
      <c r="S143" s="281"/>
      <c r="T143" s="282"/>
      <c r="U143" s="34"/>
      <c r="V143" s="34"/>
      <c r="W143" s="35" t="s">
        <v>68</v>
      </c>
      <c r="X143" s="276">
        <v>14</v>
      </c>
      <c r="Y143" s="277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298"/>
      <c r="B144" s="299"/>
      <c r="C144" s="299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300"/>
      <c r="P144" s="301" t="s">
        <v>87</v>
      </c>
      <c r="Q144" s="302"/>
      <c r="R144" s="302"/>
      <c r="S144" s="302"/>
      <c r="T144" s="302"/>
      <c r="U144" s="302"/>
      <c r="V144" s="303"/>
      <c r="W144" s="37" t="s">
        <v>68</v>
      </c>
      <c r="X144" s="278">
        <f>IFERROR(SUM(X142:X143),"0")</f>
        <v>42</v>
      </c>
      <c r="Y144" s="278">
        <f>IFERROR(SUM(Y142:Y143),"0")</f>
        <v>42</v>
      </c>
      <c r="Z144" s="278">
        <f>IFERROR(IF(Z142="",0,Z142),"0")+IFERROR(IF(Z143="",0,Z143),"0")</f>
        <v>0.75095999999999996</v>
      </c>
      <c r="AA144" s="279"/>
      <c r="AB144" s="279"/>
      <c r="AC144" s="279"/>
    </row>
    <row r="145" spans="1:68" x14ac:dyDescent="0.2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300"/>
      <c r="P145" s="301" t="s">
        <v>87</v>
      </c>
      <c r="Q145" s="302"/>
      <c r="R145" s="302"/>
      <c r="S145" s="302"/>
      <c r="T145" s="302"/>
      <c r="U145" s="302"/>
      <c r="V145" s="303"/>
      <c r="W145" s="37" t="s">
        <v>88</v>
      </c>
      <c r="X145" s="278">
        <f>IFERROR(SUMPRODUCT(X142:X143*H142:H143),"0")</f>
        <v>126</v>
      </c>
      <c r="Y145" s="278">
        <f>IFERROR(SUMPRODUCT(Y142:Y143*H142:H143),"0")</f>
        <v>126</v>
      </c>
      <c r="Z145" s="37"/>
      <c r="AA145" s="279"/>
      <c r="AB145" s="279"/>
      <c r="AC145" s="279"/>
    </row>
    <row r="146" spans="1:68" ht="16.5" hidden="1" customHeight="1" x14ac:dyDescent="0.25">
      <c r="A146" s="312" t="s">
        <v>230</v>
      </c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71"/>
      <c r="AB146" s="271"/>
      <c r="AC146" s="271"/>
    </row>
    <row r="147" spans="1:68" ht="14.25" hidden="1" customHeight="1" x14ac:dyDescent="0.25">
      <c r="A147" s="307" t="s">
        <v>133</v>
      </c>
      <c r="B147" s="299"/>
      <c r="C147" s="299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72"/>
      <c r="AB147" s="272"/>
      <c r="AC147" s="272"/>
    </row>
    <row r="148" spans="1:68" ht="27" hidden="1" customHeight="1" x14ac:dyDescent="0.25">
      <c r="A148" s="54" t="s">
        <v>231</v>
      </c>
      <c r="B148" s="54" t="s">
        <v>232</v>
      </c>
      <c r="C148" s="31">
        <v>4301135824</v>
      </c>
      <c r="D148" s="290">
        <v>4607111039095</v>
      </c>
      <c r="E148" s="291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1"/>
      <c r="R148" s="281"/>
      <c r="S148" s="281"/>
      <c r="T148" s="282"/>
      <c r="U148" s="34"/>
      <c r="V148" s="34"/>
      <c r="W148" s="35" t="s">
        <v>68</v>
      </c>
      <c r="X148" s="276">
        <v>0</v>
      </c>
      <c r="Y148" s="277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90">
        <v>4620207491768</v>
      </c>
      <c r="E149" s="291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1"/>
      <c r="R149" s="281"/>
      <c r="S149" s="281"/>
      <c r="T149" s="282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customHeight="1" x14ac:dyDescent="0.25">
      <c r="A150" s="54" t="s">
        <v>237</v>
      </c>
      <c r="B150" s="54" t="s">
        <v>238</v>
      </c>
      <c r="C150" s="31">
        <v>4301135946</v>
      </c>
      <c r="D150" s="290">
        <v>4620207491553</v>
      </c>
      <c r="E150" s="291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29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1"/>
      <c r="R150" s="281"/>
      <c r="S150" s="281"/>
      <c r="T150" s="282"/>
      <c r="U150" s="34"/>
      <c r="V150" s="34"/>
      <c r="W150" s="35" t="s">
        <v>68</v>
      </c>
      <c r="X150" s="276">
        <v>28</v>
      </c>
      <c r="Y150" s="277">
        <f>IFERROR(IF(X150="","",X150),"")</f>
        <v>28</v>
      </c>
      <c r="Z150" s="36">
        <f>IFERROR(IF(X150="","",X150*0.01788),"")</f>
        <v>0.50063999999999997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103.70079999999999</v>
      </c>
      <c r="BN150" s="67">
        <f>IFERROR(Y150*I150,"0")</f>
        <v>103.70079999999999</v>
      </c>
      <c r="BO150" s="67">
        <f>IFERROR(X150/J150,"0")</f>
        <v>0.4</v>
      </c>
      <c r="BP150" s="67">
        <f>IFERROR(Y150/J150,"0")</f>
        <v>0.4</v>
      </c>
    </row>
    <row r="151" spans="1:68" x14ac:dyDescent="0.2">
      <c r="A151" s="298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300"/>
      <c r="P151" s="301" t="s">
        <v>87</v>
      </c>
      <c r="Q151" s="302"/>
      <c r="R151" s="302"/>
      <c r="S151" s="302"/>
      <c r="T151" s="302"/>
      <c r="U151" s="302"/>
      <c r="V151" s="303"/>
      <c r="W151" s="37" t="s">
        <v>68</v>
      </c>
      <c r="X151" s="278">
        <f>IFERROR(SUM(X148:X150),"0")</f>
        <v>28</v>
      </c>
      <c r="Y151" s="278">
        <f>IFERROR(SUM(Y148:Y150),"0")</f>
        <v>28</v>
      </c>
      <c r="Z151" s="278">
        <f>IFERROR(IF(Z148="",0,Z148),"0")+IFERROR(IF(Z149="",0,Z149),"0")+IFERROR(IF(Z150="",0,Z150),"0")</f>
        <v>0.50063999999999997</v>
      </c>
      <c r="AA151" s="279"/>
      <c r="AB151" s="279"/>
      <c r="AC151" s="279"/>
    </row>
    <row r="152" spans="1:68" x14ac:dyDescent="0.2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300"/>
      <c r="P152" s="301" t="s">
        <v>87</v>
      </c>
      <c r="Q152" s="302"/>
      <c r="R152" s="302"/>
      <c r="S152" s="302"/>
      <c r="T152" s="302"/>
      <c r="U152" s="302"/>
      <c r="V152" s="303"/>
      <c r="W152" s="37" t="s">
        <v>88</v>
      </c>
      <c r="X152" s="278">
        <f>IFERROR(SUMPRODUCT(X148:X150*H148:H150),"0")</f>
        <v>84</v>
      </c>
      <c r="Y152" s="278">
        <f>IFERROR(SUMPRODUCT(Y148:Y150*H148:H150),"0")</f>
        <v>84</v>
      </c>
      <c r="Z152" s="37"/>
      <c r="AA152" s="279"/>
      <c r="AB152" s="279"/>
      <c r="AC152" s="279"/>
    </row>
    <row r="153" spans="1:68" ht="16.5" hidden="1" customHeight="1" x14ac:dyDescent="0.25">
      <c r="A153" s="312" t="s">
        <v>239</v>
      </c>
      <c r="B153" s="299"/>
      <c r="C153" s="299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71"/>
      <c r="AB153" s="271"/>
      <c r="AC153" s="271"/>
    </row>
    <row r="154" spans="1:68" ht="14.25" hidden="1" customHeight="1" x14ac:dyDescent="0.25">
      <c r="A154" s="307" t="s">
        <v>133</v>
      </c>
      <c r="B154" s="299"/>
      <c r="C154" s="299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72"/>
      <c r="AB154" s="272"/>
      <c r="AC154" s="272"/>
    </row>
    <row r="155" spans="1:68" ht="27" hidden="1" customHeight="1" x14ac:dyDescent="0.25">
      <c r="A155" s="54" t="s">
        <v>240</v>
      </c>
      <c r="B155" s="54" t="s">
        <v>241</v>
      </c>
      <c r="C155" s="31">
        <v>4301135753</v>
      </c>
      <c r="D155" s="290">
        <v>4620207490914</v>
      </c>
      <c r="E155" s="291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1"/>
      <c r="R155" s="281"/>
      <c r="S155" s="281"/>
      <c r="T155" s="282"/>
      <c r="U155" s="34"/>
      <c r="V155" s="34"/>
      <c r="W155" s="35" t="s">
        <v>68</v>
      </c>
      <c r="X155" s="276">
        <v>0</v>
      </c>
      <c r="Y155" s="277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customHeight="1" x14ac:dyDescent="0.25">
      <c r="A156" s="54" t="s">
        <v>242</v>
      </c>
      <c r="B156" s="54" t="s">
        <v>243</v>
      </c>
      <c r="C156" s="31">
        <v>4301135932</v>
      </c>
      <c r="D156" s="290">
        <v>4620207491676</v>
      </c>
      <c r="E156" s="29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4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1"/>
      <c r="R156" s="281"/>
      <c r="S156" s="281"/>
      <c r="T156" s="282"/>
      <c r="U156" s="34"/>
      <c r="V156" s="34"/>
      <c r="W156" s="35" t="s">
        <v>68</v>
      </c>
      <c r="X156" s="276">
        <v>28</v>
      </c>
      <c r="Y156" s="277">
        <f>IFERROR(IF(X156="","",X156),"")</f>
        <v>28</v>
      </c>
      <c r="Z156" s="36">
        <f>IFERROR(IF(X156="","",X156*0.01788),"")</f>
        <v>0.50063999999999997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75.040000000000006</v>
      </c>
      <c r="BN156" s="67">
        <f>IFERROR(Y156*I156,"0")</f>
        <v>75.040000000000006</v>
      </c>
      <c r="BO156" s="67">
        <f>IFERROR(X156/J156,"0")</f>
        <v>0.4</v>
      </c>
      <c r="BP156" s="67">
        <f>IFERROR(Y156/J156,"0")</f>
        <v>0.4</v>
      </c>
    </row>
    <row r="157" spans="1:68" x14ac:dyDescent="0.2">
      <c r="A157" s="298"/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300"/>
      <c r="P157" s="301" t="s">
        <v>87</v>
      </c>
      <c r="Q157" s="302"/>
      <c r="R157" s="302"/>
      <c r="S157" s="302"/>
      <c r="T157" s="302"/>
      <c r="U157" s="302"/>
      <c r="V157" s="303"/>
      <c r="W157" s="37" t="s">
        <v>68</v>
      </c>
      <c r="X157" s="278">
        <f>IFERROR(SUM(X155:X156),"0")</f>
        <v>28</v>
      </c>
      <c r="Y157" s="278">
        <f>IFERROR(SUM(Y155:Y156),"0")</f>
        <v>28</v>
      </c>
      <c r="Z157" s="278">
        <f>IFERROR(IF(Z155="",0,Z155),"0")+IFERROR(IF(Z156="",0,Z156),"0")</f>
        <v>0.50063999999999997</v>
      </c>
      <c r="AA157" s="279"/>
      <c r="AB157" s="279"/>
      <c r="AC157" s="279"/>
    </row>
    <row r="158" spans="1:68" x14ac:dyDescent="0.2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300"/>
      <c r="P158" s="301" t="s">
        <v>87</v>
      </c>
      <c r="Q158" s="302"/>
      <c r="R158" s="302"/>
      <c r="S158" s="302"/>
      <c r="T158" s="302"/>
      <c r="U158" s="302"/>
      <c r="V158" s="303"/>
      <c r="W158" s="37" t="s">
        <v>88</v>
      </c>
      <c r="X158" s="278">
        <f>IFERROR(SUMPRODUCT(X155:X156*H155:H156),"0")</f>
        <v>67.2</v>
      </c>
      <c r="Y158" s="278">
        <f>IFERROR(SUMPRODUCT(Y155:Y156*H155:H156),"0")</f>
        <v>67.2</v>
      </c>
      <c r="Z158" s="37"/>
      <c r="AA158" s="279"/>
      <c r="AB158" s="279"/>
      <c r="AC158" s="279"/>
    </row>
    <row r="159" spans="1:68" ht="16.5" hidden="1" customHeight="1" x14ac:dyDescent="0.25">
      <c r="A159" s="312" t="s">
        <v>245</v>
      </c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71"/>
      <c r="AB159" s="271"/>
      <c r="AC159" s="271"/>
    </row>
    <row r="160" spans="1:68" ht="14.25" hidden="1" customHeight="1" x14ac:dyDescent="0.25">
      <c r="A160" s="307" t="s">
        <v>133</v>
      </c>
      <c r="B160" s="299"/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72"/>
      <c r="AB160" s="272"/>
      <c r="AC160" s="272"/>
    </row>
    <row r="161" spans="1:68" ht="27" customHeight="1" x14ac:dyDescent="0.25">
      <c r="A161" s="54" t="s">
        <v>246</v>
      </c>
      <c r="B161" s="54" t="s">
        <v>247</v>
      </c>
      <c r="C161" s="31">
        <v>4301135940</v>
      </c>
      <c r="D161" s="290">
        <v>4620207491614</v>
      </c>
      <c r="E161" s="291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1"/>
      <c r="R161" s="281"/>
      <c r="S161" s="281"/>
      <c r="T161" s="282"/>
      <c r="U161" s="34"/>
      <c r="V161" s="34"/>
      <c r="W161" s="35" t="s">
        <v>68</v>
      </c>
      <c r="X161" s="276">
        <v>14</v>
      </c>
      <c r="Y161" s="277">
        <f>IFERROR(IF(X161="","",X161),"")</f>
        <v>14</v>
      </c>
      <c r="Z161" s="36">
        <f>IFERROR(IF(X161="","",X161*0.01788),"")</f>
        <v>0.25031999999999999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51.850399999999993</v>
      </c>
      <c r="BN161" s="67">
        <f>IFERROR(Y161*I161,"0")</f>
        <v>51.850399999999993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298"/>
      <c r="B162" s="299"/>
      <c r="C162" s="299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300"/>
      <c r="P162" s="301" t="s">
        <v>87</v>
      </c>
      <c r="Q162" s="302"/>
      <c r="R162" s="302"/>
      <c r="S162" s="302"/>
      <c r="T162" s="302"/>
      <c r="U162" s="302"/>
      <c r="V162" s="303"/>
      <c r="W162" s="37" t="s">
        <v>68</v>
      </c>
      <c r="X162" s="278">
        <f>IFERROR(SUM(X161:X161),"0")</f>
        <v>14</v>
      </c>
      <c r="Y162" s="278">
        <f>IFERROR(SUM(Y161:Y161),"0")</f>
        <v>14</v>
      </c>
      <c r="Z162" s="278">
        <f>IFERROR(IF(Z161="",0,Z161),"0")</f>
        <v>0.25031999999999999</v>
      </c>
      <c r="AA162" s="279"/>
      <c r="AB162" s="279"/>
      <c r="AC162" s="279"/>
    </row>
    <row r="163" spans="1:68" x14ac:dyDescent="0.2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300"/>
      <c r="P163" s="301" t="s">
        <v>87</v>
      </c>
      <c r="Q163" s="302"/>
      <c r="R163" s="302"/>
      <c r="S163" s="302"/>
      <c r="T163" s="302"/>
      <c r="U163" s="302"/>
      <c r="V163" s="303"/>
      <c r="W163" s="37" t="s">
        <v>88</v>
      </c>
      <c r="X163" s="278">
        <f>IFERROR(SUMPRODUCT(X161:X161*H161:H161),"0")</f>
        <v>42</v>
      </c>
      <c r="Y163" s="278">
        <f>IFERROR(SUMPRODUCT(Y161:Y161*H161:H161),"0")</f>
        <v>42</v>
      </c>
      <c r="Z163" s="37"/>
      <c r="AA163" s="279"/>
      <c r="AB163" s="279"/>
      <c r="AC163" s="279"/>
    </row>
    <row r="164" spans="1:68" ht="16.5" hidden="1" customHeight="1" x14ac:dyDescent="0.25">
      <c r="A164" s="312" t="s">
        <v>249</v>
      </c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71"/>
      <c r="AB164" s="271"/>
      <c r="AC164" s="271"/>
    </row>
    <row r="165" spans="1:68" ht="14.25" hidden="1" customHeight="1" x14ac:dyDescent="0.25">
      <c r="A165" s="307" t="s">
        <v>133</v>
      </c>
      <c r="B165" s="299"/>
      <c r="C165" s="299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72"/>
      <c r="AB165" s="272"/>
      <c r="AC165" s="272"/>
    </row>
    <row r="166" spans="1:68" ht="16.5" hidden="1" customHeight="1" x14ac:dyDescent="0.25">
      <c r="A166" s="54" t="s">
        <v>250</v>
      </c>
      <c r="B166" s="54" t="s">
        <v>251</v>
      </c>
      <c r="C166" s="31">
        <v>4301135607</v>
      </c>
      <c r="D166" s="290">
        <v>4607111039613</v>
      </c>
      <c r="E166" s="291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1"/>
      <c r="R166" s="281"/>
      <c r="S166" s="281"/>
      <c r="T166" s="282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8"/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300"/>
      <c r="P167" s="301" t="s">
        <v>87</v>
      </c>
      <c r="Q167" s="302"/>
      <c r="R167" s="302"/>
      <c r="S167" s="302"/>
      <c r="T167" s="302"/>
      <c r="U167" s="302"/>
      <c r="V167" s="303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300"/>
      <c r="P168" s="301" t="s">
        <v>87</v>
      </c>
      <c r="Q168" s="302"/>
      <c r="R168" s="302"/>
      <c r="S168" s="302"/>
      <c r="T168" s="302"/>
      <c r="U168" s="302"/>
      <c r="V168" s="303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hidden="1" customHeight="1" x14ac:dyDescent="0.25">
      <c r="A169" s="312" t="s">
        <v>252</v>
      </c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71"/>
      <c r="AB169" s="271"/>
      <c r="AC169" s="271"/>
    </row>
    <row r="170" spans="1:68" ht="14.25" hidden="1" customHeight="1" x14ac:dyDescent="0.25">
      <c r="A170" s="307" t="s">
        <v>133</v>
      </c>
      <c r="B170" s="299"/>
      <c r="C170" s="299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72"/>
      <c r="AB170" s="272"/>
      <c r="AC170" s="272"/>
    </row>
    <row r="171" spans="1:68" ht="27" customHeight="1" x14ac:dyDescent="0.25">
      <c r="A171" s="54" t="s">
        <v>253</v>
      </c>
      <c r="B171" s="54" t="s">
        <v>254</v>
      </c>
      <c r="C171" s="31">
        <v>4301135591</v>
      </c>
      <c r="D171" s="290">
        <v>4607111036568</v>
      </c>
      <c r="E171" s="291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1"/>
      <c r="R171" s="281"/>
      <c r="S171" s="281"/>
      <c r="T171" s="282"/>
      <c r="U171" s="34"/>
      <c r="V171" s="34"/>
      <c r="W171" s="35" t="s">
        <v>68</v>
      </c>
      <c r="X171" s="276">
        <v>14</v>
      </c>
      <c r="Y171" s="277">
        <f>IFERROR(IF(X171="","",X171),"")</f>
        <v>14</v>
      </c>
      <c r="Z171" s="36">
        <f>IFERROR(IF(X171="","",X171*0.00941),"")</f>
        <v>0.13174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29.425199999999997</v>
      </c>
      <c r="BN171" s="67">
        <f>IFERROR(Y171*I171,"0")</f>
        <v>29.425199999999997</v>
      </c>
      <c r="BO171" s="67">
        <f>IFERROR(X171/J171,"0")</f>
        <v>0.1</v>
      </c>
      <c r="BP171" s="67">
        <f>IFERROR(Y171/J171,"0")</f>
        <v>0.1</v>
      </c>
    </row>
    <row r="172" spans="1:68" x14ac:dyDescent="0.2">
      <c r="A172" s="298"/>
      <c r="B172" s="299"/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300"/>
      <c r="P172" s="301" t="s">
        <v>87</v>
      </c>
      <c r="Q172" s="302"/>
      <c r="R172" s="302"/>
      <c r="S172" s="302"/>
      <c r="T172" s="302"/>
      <c r="U172" s="302"/>
      <c r="V172" s="303"/>
      <c r="W172" s="37" t="s">
        <v>68</v>
      </c>
      <c r="X172" s="278">
        <f>IFERROR(SUM(X171:X171),"0")</f>
        <v>14</v>
      </c>
      <c r="Y172" s="278">
        <f>IFERROR(SUM(Y171:Y171),"0")</f>
        <v>14</v>
      </c>
      <c r="Z172" s="278">
        <f>IFERROR(IF(Z171="",0,Z171),"0")</f>
        <v>0.13174</v>
      </c>
      <c r="AA172" s="279"/>
      <c r="AB172" s="279"/>
      <c r="AC172" s="279"/>
    </row>
    <row r="173" spans="1:68" x14ac:dyDescent="0.2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300"/>
      <c r="P173" s="301" t="s">
        <v>87</v>
      </c>
      <c r="Q173" s="302"/>
      <c r="R173" s="302"/>
      <c r="S173" s="302"/>
      <c r="T173" s="302"/>
      <c r="U173" s="302"/>
      <c r="V173" s="303"/>
      <c r="W173" s="37" t="s">
        <v>88</v>
      </c>
      <c r="X173" s="278">
        <f>IFERROR(SUMPRODUCT(X171:X171*H171:H171),"0")</f>
        <v>23.52</v>
      </c>
      <c r="Y173" s="278">
        <f>IFERROR(SUMPRODUCT(Y171:Y171*H171:H171),"0")</f>
        <v>23.52</v>
      </c>
      <c r="Z173" s="37"/>
      <c r="AA173" s="279"/>
      <c r="AB173" s="279"/>
      <c r="AC173" s="279"/>
    </row>
    <row r="174" spans="1:68" ht="27.75" hidden="1" customHeight="1" x14ac:dyDescent="0.2">
      <c r="A174" s="285" t="s">
        <v>256</v>
      </c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48"/>
      <c r="AB174" s="48"/>
      <c r="AC174" s="48"/>
    </row>
    <row r="175" spans="1:68" ht="16.5" hidden="1" customHeight="1" x14ac:dyDescent="0.25">
      <c r="A175" s="312" t="s">
        <v>257</v>
      </c>
      <c r="B175" s="299"/>
      <c r="C175" s="299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71"/>
      <c r="AB175" s="271"/>
      <c r="AC175" s="271"/>
    </row>
    <row r="176" spans="1:68" ht="14.25" hidden="1" customHeight="1" x14ac:dyDescent="0.25">
      <c r="A176" s="307" t="s">
        <v>62</v>
      </c>
      <c r="B176" s="299"/>
      <c r="C176" s="299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72"/>
      <c r="AB176" s="272"/>
      <c r="AC176" s="272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90">
        <v>4607111036384</v>
      </c>
      <c r="E177" s="291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1"/>
      <c r="R177" s="281"/>
      <c r="S177" s="281"/>
      <c r="T177" s="282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261</v>
      </c>
      <c r="B178" s="54" t="s">
        <v>262</v>
      </c>
      <c r="C178" s="31">
        <v>4301071050</v>
      </c>
      <c r="D178" s="290">
        <v>4607111036216</v>
      </c>
      <c r="E178" s="291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1"/>
      <c r="R178" s="281"/>
      <c r="S178" s="281"/>
      <c r="T178" s="282"/>
      <c r="U178" s="34"/>
      <c r="V178" s="34"/>
      <c r="W178" s="35" t="s">
        <v>68</v>
      </c>
      <c r="X178" s="276">
        <v>156</v>
      </c>
      <c r="Y178" s="277">
        <f>IFERROR(IF(X178="","",X178),"")</f>
        <v>156</v>
      </c>
      <c r="Z178" s="36">
        <f>IFERROR(IF(X178="","",X178*0.00866),"")</f>
        <v>1.3509599999999999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813.25919999999996</v>
      </c>
      <c r="BN178" s="67">
        <f>IFERROR(Y178*I178,"0")</f>
        <v>813.25919999999996</v>
      </c>
      <c r="BO178" s="67">
        <f>IFERROR(X178/J178,"0")</f>
        <v>1.0833333333333333</v>
      </c>
      <c r="BP178" s="67">
        <f>IFERROR(Y178/J178,"0")</f>
        <v>1.0833333333333333</v>
      </c>
    </row>
    <row r="179" spans="1:68" x14ac:dyDescent="0.2">
      <c r="A179" s="298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300"/>
      <c r="P179" s="301" t="s">
        <v>87</v>
      </c>
      <c r="Q179" s="302"/>
      <c r="R179" s="302"/>
      <c r="S179" s="302"/>
      <c r="T179" s="302"/>
      <c r="U179" s="302"/>
      <c r="V179" s="303"/>
      <c r="W179" s="37" t="s">
        <v>68</v>
      </c>
      <c r="X179" s="278">
        <f>IFERROR(SUM(X177:X178),"0")</f>
        <v>156</v>
      </c>
      <c r="Y179" s="278">
        <f>IFERROR(SUM(Y177:Y178),"0")</f>
        <v>156</v>
      </c>
      <c r="Z179" s="278">
        <f>IFERROR(IF(Z177="",0,Z177),"0")+IFERROR(IF(Z178="",0,Z178),"0")</f>
        <v>1.3509599999999999</v>
      </c>
      <c r="AA179" s="279"/>
      <c r="AB179" s="279"/>
      <c r="AC179" s="279"/>
    </row>
    <row r="180" spans="1:68" x14ac:dyDescent="0.2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300"/>
      <c r="P180" s="301" t="s">
        <v>87</v>
      </c>
      <c r="Q180" s="302"/>
      <c r="R180" s="302"/>
      <c r="S180" s="302"/>
      <c r="T180" s="302"/>
      <c r="U180" s="302"/>
      <c r="V180" s="303"/>
      <c r="W180" s="37" t="s">
        <v>88</v>
      </c>
      <c r="X180" s="278">
        <f>IFERROR(SUMPRODUCT(X177:X178*H177:H178),"0")</f>
        <v>780</v>
      </c>
      <c r="Y180" s="278">
        <f>IFERROR(SUMPRODUCT(Y177:Y178*H177:H178),"0")</f>
        <v>780</v>
      </c>
      <c r="Z180" s="37"/>
      <c r="AA180" s="279"/>
      <c r="AB180" s="279"/>
      <c r="AC180" s="279"/>
    </row>
    <row r="181" spans="1:68" ht="16.5" hidden="1" customHeight="1" x14ac:dyDescent="0.25">
      <c r="A181" s="312" t="s">
        <v>264</v>
      </c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71"/>
      <c r="AB181" s="271"/>
      <c r="AC181" s="271"/>
    </row>
    <row r="182" spans="1:68" ht="14.25" hidden="1" customHeight="1" x14ac:dyDescent="0.25">
      <c r="A182" s="307" t="s">
        <v>62</v>
      </c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72"/>
      <c r="AB182" s="272"/>
      <c r="AC182" s="272"/>
    </row>
    <row r="183" spans="1:68" ht="27" hidden="1" customHeight="1" x14ac:dyDescent="0.25">
      <c r="A183" s="54" t="s">
        <v>265</v>
      </c>
      <c r="B183" s="54" t="s">
        <v>266</v>
      </c>
      <c r="C183" s="31">
        <v>4301071117</v>
      </c>
      <c r="D183" s="290">
        <v>4620207491737</v>
      </c>
      <c r="E183" s="291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5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1"/>
      <c r="R183" s="281"/>
      <c r="S183" s="281"/>
      <c r="T183" s="282"/>
      <c r="U183" s="34"/>
      <c r="V183" s="34"/>
      <c r="W183" s="35" t="s">
        <v>68</v>
      </c>
      <c r="X183" s="276">
        <v>0</v>
      </c>
      <c r="Y183" s="277">
        <f>IFERROR(IF(X183="","",X183),"")</f>
        <v>0</v>
      </c>
      <c r="Z183" s="36">
        <f>IFERROR(IF(X183="","",X183*0.0155),"")</f>
        <v>0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98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300"/>
      <c r="P184" s="301" t="s">
        <v>87</v>
      </c>
      <c r="Q184" s="302"/>
      <c r="R184" s="302"/>
      <c r="S184" s="302"/>
      <c r="T184" s="302"/>
      <c r="U184" s="302"/>
      <c r="V184" s="303"/>
      <c r="W184" s="37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hidden="1" x14ac:dyDescent="0.2">
      <c r="A185" s="299"/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300"/>
      <c r="P185" s="301" t="s">
        <v>87</v>
      </c>
      <c r="Q185" s="302"/>
      <c r="R185" s="302"/>
      <c r="S185" s="302"/>
      <c r="T185" s="302"/>
      <c r="U185" s="302"/>
      <c r="V185" s="303"/>
      <c r="W185" s="37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7"/>
      <c r="AA185" s="279"/>
      <c r="AB185" s="279"/>
      <c r="AC185" s="279"/>
    </row>
    <row r="186" spans="1:68" ht="27.75" hidden="1" customHeight="1" x14ac:dyDescent="0.2">
      <c r="A186" s="285" t="s">
        <v>267</v>
      </c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48"/>
      <c r="AB186" s="48"/>
      <c r="AC186" s="48"/>
    </row>
    <row r="187" spans="1:68" ht="16.5" hidden="1" customHeight="1" x14ac:dyDescent="0.25">
      <c r="A187" s="312" t="s">
        <v>268</v>
      </c>
      <c r="B187" s="299"/>
      <c r="C187" s="299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71"/>
      <c r="AB187" s="271"/>
      <c r="AC187" s="271"/>
    </row>
    <row r="188" spans="1:68" ht="14.25" hidden="1" customHeight="1" x14ac:dyDescent="0.25">
      <c r="A188" s="307" t="s">
        <v>97</v>
      </c>
      <c r="B188" s="299"/>
      <c r="C188" s="299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72"/>
      <c r="AB188" s="272"/>
      <c r="AC188" s="272"/>
    </row>
    <row r="189" spans="1:68" ht="16.5" customHeight="1" x14ac:dyDescent="0.25">
      <c r="A189" s="54" t="s">
        <v>269</v>
      </c>
      <c r="B189" s="54" t="s">
        <v>270</v>
      </c>
      <c r="C189" s="31">
        <v>4301132179</v>
      </c>
      <c r="D189" s="290">
        <v>4607111035691</v>
      </c>
      <c r="E189" s="291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1"/>
      <c r="R189" s="281"/>
      <c r="S189" s="281"/>
      <c r="T189" s="282"/>
      <c r="U189" s="34"/>
      <c r="V189" s="34"/>
      <c r="W189" s="35" t="s">
        <v>68</v>
      </c>
      <c r="X189" s="276">
        <v>14</v>
      </c>
      <c r="Y189" s="277">
        <f>IFERROR(IF(X189="","",X189),"")</f>
        <v>14</v>
      </c>
      <c r="Z189" s="36">
        <f>IFERROR(IF(X189="","",X189*0.01788),"")</f>
        <v>0.25031999999999999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47.432000000000002</v>
      </c>
      <c r="BN189" s="67">
        <f>IFERROR(Y189*I189,"0")</f>
        <v>47.432000000000002</v>
      </c>
      <c r="BO189" s="67">
        <f>IFERROR(X189/J189,"0")</f>
        <v>0.2</v>
      </c>
      <c r="BP189" s="67">
        <f>IFERROR(Y189/J189,"0")</f>
        <v>0.2</v>
      </c>
    </row>
    <row r="190" spans="1:68" ht="27" customHeight="1" x14ac:dyDescent="0.25">
      <c r="A190" s="54" t="s">
        <v>272</v>
      </c>
      <c r="B190" s="54" t="s">
        <v>273</v>
      </c>
      <c r="C190" s="31">
        <v>4301132182</v>
      </c>
      <c r="D190" s="290">
        <v>4607111035721</v>
      </c>
      <c r="E190" s="291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1"/>
      <c r="R190" s="281"/>
      <c r="S190" s="281"/>
      <c r="T190" s="282"/>
      <c r="U190" s="34"/>
      <c r="V190" s="34"/>
      <c r="W190" s="35" t="s">
        <v>68</v>
      </c>
      <c r="X190" s="276">
        <v>28</v>
      </c>
      <c r="Y190" s="277">
        <f>IFERROR(IF(X190="","",X190),"")</f>
        <v>28</v>
      </c>
      <c r="Z190" s="36">
        <f>IFERROR(IF(X190="","",X190*0.01788),"")</f>
        <v>0.50063999999999997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94.864000000000004</v>
      </c>
      <c r="BN190" s="67">
        <f>IFERROR(Y190*I190,"0")</f>
        <v>94.864000000000004</v>
      </c>
      <c r="BO190" s="67">
        <f>IFERROR(X190/J190,"0")</f>
        <v>0.4</v>
      </c>
      <c r="BP190" s="67">
        <f>IFERROR(Y190/J190,"0")</f>
        <v>0.4</v>
      </c>
    </row>
    <row r="191" spans="1:68" ht="27" customHeight="1" x14ac:dyDescent="0.25">
      <c r="A191" s="54" t="s">
        <v>275</v>
      </c>
      <c r="B191" s="54" t="s">
        <v>276</v>
      </c>
      <c r="C191" s="31">
        <v>4301132170</v>
      </c>
      <c r="D191" s="290">
        <v>4607111038487</v>
      </c>
      <c r="E191" s="291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1"/>
      <c r="R191" s="281"/>
      <c r="S191" s="281"/>
      <c r="T191" s="282"/>
      <c r="U191" s="34"/>
      <c r="V191" s="34"/>
      <c r="W191" s="35" t="s">
        <v>68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52.304000000000002</v>
      </c>
      <c r="BN191" s="67">
        <f>IFERROR(Y191*I191,"0")</f>
        <v>52.304000000000002</v>
      </c>
      <c r="BO191" s="67">
        <f>IFERROR(X191/J191,"0")</f>
        <v>0.2</v>
      </c>
      <c r="BP191" s="67">
        <f>IFERROR(Y191/J191,"0")</f>
        <v>0.2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90">
        <v>4620207491195</v>
      </c>
      <c r="E192" s="291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1"/>
      <c r="R192" s="281"/>
      <c r="S192" s="281"/>
      <c r="T192" s="282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98"/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300"/>
      <c r="P193" s="301" t="s">
        <v>87</v>
      </c>
      <c r="Q193" s="302"/>
      <c r="R193" s="302"/>
      <c r="S193" s="302"/>
      <c r="T193" s="302"/>
      <c r="U193" s="302"/>
      <c r="V193" s="303"/>
      <c r="W193" s="37" t="s">
        <v>68</v>
      </c>
      <c r="X193" s="278">
        <f>IFERROR(SUM(X189:X192),"0")</f>
        <v>56</v>
      </c>
      <c r="Y193" s="278">
        <f>IFERROR(SUM(Y189:Y192),"0")</f>
        <v>56</v>
      </c>
      <c r="Z193" s="278">
        <f>IFERROR(IF(Z189="",0,Z189),"0")+IFERROR(IF(Z190="",0,Z190),"0")+IFERROR(IF(Z191="",0,Z191),"0")+IFERROR(IF(Z192="",0,Z192),"0")</f>
        <v>1.0012799999999999</v>
      </c>
      <c r="AA193" s="279"/>
      <c r="AB193" s="279"/>
      <c r="AC193" s="279"/>
    </row>
    <row r="194" spans="1:68" x14ac:dyDescent="0.2">
      <c r="A194" s="299"/>
      <c r="B194" s="299"/>
      <c r="C194" s="299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300"/>
      <c r="P194" s="301" t="s">
        <v>87</v>
      </c>
      <c r="Q194" s="302"/>
      <c r="R194" s="302"/>
      <c r="S194" s="302"/>
      <c r="T194" s="302"/>
      <c r="U194" s="302"/>
      <c r="V194" s="303"/>
      <c r="W194" s="37" t="s">
        <v>88</v>
      </c>
      <c r="X194" s="278">
        <f>IFERROR(SUMPRODUCT(X189:X192*H189:H192),"0")</f>
        <v>168</v>
      </c>
      <c r="Y194" s="278">
        <f>IFERROR(SUMPRODUCT(Y189:Y192*H189:H192),"0")</f>
        <v>168</v>
      </c>
      <c r="Z194" s="37"/>
      <c r="AA194" s="279"/>
      <c r="AB194" s="279"/>
      <c r="AC194" s="279"/>
    </row>
    <row r="195" spans="1:68" ht="27.75" hidden="1" customHeight="1" x14ac:dyDescent="0.2">
      <c r="A195" s="285" t="s">
        <v>281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48"/>
      <c r="AB195" s="48"/>
      <c r="AC195" s="48"/>
    </row>
    <row r="196" spans="1:68" ht="16.5" hidden="1" customHeight="1" x14ac:dyDescent="0.25">
      <c r="A196" s="312" t="s">
        <v>282</v>
      </c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71"/>
      <c r="AB196" s="271"/>
      <c r="AC196" s="271"/>
    </row>
    <row r="197" spans="1:68" ht="14.25" hidden="1" customHeight="1" x14ac:dyDescent="0.25">
      <c r="A197" s="307" t="s">
        <v>97</v>
      </c>
      <c r="B197" s="299"/>
      <c r="C197" s="299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72"/>
      <c r="AB197" s="272"/>
      <c r="AC197" s="272"/>
    </row>
    <row r="198" spans="1:68" ht="27" customHeight="1" x14ac:dyDescent="0.25">
      <c r="A198" s="54" t="s">
        <v>283</v>
      </c>
      <c r="B198" s="54" t="s">
        <v>284</v>
      </c>
      <c r="C198" s="31">
        <v>4301132227</v>
      </c>
      <c r="D198" s="290">
        <v>4620207491133</v>
      </c>
      <c r="E198" s="291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1"/>
      <c r="R198" s="281"/>
      <c r="S198" s="281"/>
      <c r="T198" s="282"/>
      <c r="U198" s="34"/>
      <c r="V198" s="34"/>
      <c r="W198" s="35" t="s">
        <v>68</v>
      </c>
      <c r="X198" s="276">
        <v>14</v>
      </c>
      <c r="Y198" s="277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41.72</v>
      </c>
      <c r="BN198" s="67">
        <f>IFERROR(Y198*I198,"0")</f>
        <v>41.72</v>
      </c>
      <c r="BO198" s="67">
        <f>IFERROR(X198/J198,"0")</f>
        <v>0.2</v>
      </c>
      <c r="BP198" s="67">
        <f>IFERROR(Y198/J198,"0")</f>
        <v>0.2</v>
      </c>
    </row>
    <row r="199" spans="1:68" x14ac:dyDescent="0.2">
      <c r="A199" s="298"/>
      <c r="B199" s="299"/>
      <c r="C199" s="299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300"/>
      <c r="P199" s="301" t="s">
        <v>87</v>
      </c>
      <c r="Q199" s="302"/>
      <c r="R199" s="302"/>
      <c r="S199" s="302"/>
      <c r="T199" s="302"/>
      <c r="U199" s="302"/>
      <c r="V199" s="303"/>
      <c r="W199" s="37" t="s">
        <v>68</v>
      </c>
      <c r="X199" s="278">
        <f>IFERROR(SUM(X198:X198),"0")</f>
        <v>14</v>
      </c>
      <c r="Y199" s="278">
        <f>IFERROR(SUM(Y198:Y198),"0")</f>
        <v>14</v>
      </c>
      <c r="Z199" s="278">
        <f>IFERROR(IF(Z198="",0,Z198),"0")</f>
        <v>0.25031999999999999</v>
      </c>
      <c r="AA199" s="279"/>
      <c r="AB199" s="279"/>
      <c r="AC199" s="279"/>
    </row>
    <row r="200" spans="1:68" x14ac:dyDescent="0.2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300"/>
      <c r="P200" s="301" t="s">
        <v>87</v>
      </c>
      <c r="Q200" s="302"/>
      <c r="R200" s="302"/>
      <c r="S200" s="302"/>
      <c r="T200" s="302"/>
      <c r="U200" s="302"/>
      <c r="V200" s="303"/>
      <c r="W200" s="37" t="s">
        <v>88</v>
      </c>
      <c r="X200" s="278">
        <f>IFERROR(SUMPRODUCT(X198:X198*H198:H198),"0")</f>
        <v>38.64</v>
      </c>
      <c r="Y200" s="278">
        <f>IFERROR(SUMPRODUCT(Y198:Y198*H198:H198),"0")</f>
        <v>38.64</v>
      </c>
      <c r="Z200" s="37"/>
      <c r="AA200" s="279"/>
      <c r="AB200" s="279"/>
      <c r="AC200" s="279"/>
    </row>
    <row r="201" spans="1:68" ht="14.25" hidden="1" customHeight="1" x14ac:dyDescent="0.25">
      <c r="A201" s="307" t="s">
        <v>133</v>
      </c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72"/>
      <c r="AB201" s="272"/>
      <c r="AC201" s="272"/>
    </row>
    <row r="202" spans="1:68" ht="27" hidden="1" customHeight="1" x14ac:dyDescent="0.25">
      <c r="A202" s="54" t="s">
        <v>286</v>
      </c>
      <c r="B202" s="54" t="s">
        <v>287</v>
      </c>
      <c r="C202" s="31">
        <v>4301135834</v>
      </c>
      <c r="D202" s="290">
        <v>4620207491188</v>
      </c>
      <c r="E202" s="291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1"/>
      <c r="R202" s="281"/>
      <c r="S202" s="281"/>
      <c r="T202" s="282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90">
        <v>4620207490235</v>
      </c>
      <c r="E203" s="291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7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1"/>
      <c r="R203" s="281"/>
      <c r="S203" s="281"/>
      <c r="T203" s="282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90">
        <v>4620207490259</v>
      </c>
      <c r="E204" s="29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1"/>
      <c r="R204" s="281"/>
      <c r="S204" s="281"/>
      <c r="T204" s="282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8"/>
      <c r="B205" s="299"/>
      <c r="C205" s="299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300"/>
      <c r="P205" s="301" t="s">
        <v>87</v>
      </c>
      <c r="Q205" s="302"/>
      <c r="R205" s="302"/>
      <c r="S205" s="302"/>
      <c r="T205" s="302"/>
      <c r="U205" s="302"/>
      <c r="V205" s="303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99"/>
      <c r="B206" s="299"/>
      <c r="C206" s="299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300"/>
      <c r="P206" s="301" t="s">
        <v>87</v>
      </c>
      <c r="Q206" s="302"/>
      <c r="R206" s="302"/>
      <c r="S206" s="302"/>
      <c r="T206" s="302"/>
      <c r="U206" s="302"/>
      <c r="V206" s="303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hidden="1" customHeight="1" x14ac:dyDescent="0.25">
      <c r="A207" s="312" t="s">
        <v>295</v>
      </c>
      <c r="B207" s="299"/>
      <c r="C207" s="299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71"/>
      <c r="AB207" s="271"/>
      <c r="AC207" s="271"/>
    </row>
    <row r="208" spans="1:68" ht="14.25" hidden="1" customHeight="1" x14ac:dyDescent="0.25">
      <c r="A208" s="307" t="s">
        <v>133</v>
      </c>
      <c r="B208" s="299"/>
      <c r="C208" s="299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72"/>
      <c r="AB208" s="272"/>
      <c r="AC208" s="272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90">
        <v>4620207491706</v>
      </c>
      <c r="E209" s="291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28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1"/>
      <c r="R209" s="281"/>
      <c r="S209" s="281"/>
      <c r="T209" s="282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90">
        <v>4620207491522</v>
      </c>
      <c r="E210" s="291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6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1"/>
      <c r="R210" s="281"/>
      <c r="S210" s="281"/>
      <c r="T210" s="282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8"/>
      <c r="B211" s="299"/>
      <c r="C211" s="299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300"/>
      <c r="P211" s="301" t="s">
        <v>87</v>
      </c>
      <c r="Q211" s="302"/>
      <c r="R211" s="302"/>
      <c r="S211" s="302"/>
      <c r="T211" s="302"/>
      <c r="U211" s="302"/>
      <c r="V211" s="303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99"/>
      <c r="B212" s="299"/>
      <c r="C212" s="299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300"/>
      <c r="P212" s="301" t="s">
        <v>87</v>
      </c>
      <c r="Q212" s="302"/>
      <c r="R212" s="302"/>
      <c r="S212" s="302"/>
      <c r="T212" s="302"/>
      <c r="U212" s="302"/>
      <c r="V212" s="303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312" t="s">
        <v>302</v>
      </c>
      <c r="B213" s="299"/>
      <c r="C213" s="299"/>
      <c r="D213" s="299"/>
      <c r="E213" s="299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  <c r="Y213" s="299"/>
      <c r="Z213" s="299"/>
      <c r="AA213" s="271"/>
      <c r="AB213" s="271"/>
      <c r="AC213" s="271"/>
    </row>
    <row r="214" spans="1:68" ht="14.25" hidden="1" customHeight="1" x14ac:dyDescent="0.25">
      <c r="A214" s="307" t="s">
        <v>62</v>
      </c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  <c r="Y214" s="299"/>
      <c r="Z214" s="299"/>
      <c r="AA214" s="272"/>
      <c r="AB214" s="272"/>
      <c r="AC214" s="272"/>
    </row>
    <row r="215" spans="1:68" ht="27" customHeight="1" x14ac:dyDescent="0.25">
      <c r="A215" s="54" t="s">
        <v>303</v>
      </c>
      <c r="B215" s="54" t="s">
        <v>304</v>
      </c>
      <c r="C215" s="31">
        <v>4301071097</v>
      </c>
      <c r="D215" s="290">
        <v>4620207491096</v>
      </c>
      <c r="E215" s="291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1"/>
      <c r="R215" s="281"/>
      <c r="S215" s="281"/>
      <c r="T215" s="282"/>
      <c r="U215" s="34"/>
      <c r="V215" s="34"/>
      <c r="W215" s="35" t="s">
        <v>68</v>
      </c>
      <c r="X215" s="276">
        <v>24</v>
      </c>
      <c r="Y215" s="277">
        <f>IFERROR(IF(X215="","",X215),"")</f>
        <v>24</v>
      </c>
      <c r="Z215" s="36">
        <f>IFERROR(IF(X215="","",X215*0.0155),"")</f>
        <v>0.372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125.52000000000001</v>
      </c>
      <c r="BN215" s="67">
        <f>IFERROR(Y215*I215,"0")</f>
        <v>125.52000000000001</v>
      </c>
      <c r="BO215" s="67">
        <f>IFERROR(X215/J215,"0")</f>
        <v>0.2857142857142857</v>
      </c>
      <c r="BP215" s="67">
        <f>IFERROR(Y215/J215,"0")</f>
        <v>0.2857142857142857</v>
      </c>
    </row>
    <row r="216" spans="1:68" x14ac:dyDescent="0.2">
      <c r="A216" s="298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300"/>
      <c r="P216" s="301" t="s">
        <v>87</v>
      </c>
      <c r="Q216" s="302"/>
      <c r="R216" s="302"/>
      <c r="S216" s="302"/>
      <c r="T216" s="302"/>
      <c r="U216" s="302"/>
      <c r="V216" s="303"/>
      <c r="W216" s="37" t="s">
        <v>68</v>
      </c>
      <c r="X216" s="278">
        <f>IFERROR(SUM(X215:X215),"0")</f>
        <v>24</v>
      </c>
      <c r="Y216" s="278">
        <f>IFERROR(SUM(Y215:Y215),"0")</f>
        <v>24</v>
      </c>
      <c r="Z216" s="278">
        <f>IFERROR(IF(Z215="",0,Z215),"0")</f>
        <v>0.372</v>
      </c>
      <c r="AA216" s="279"/>
      <c r="AB216" s="279"/>
      <c r="AC216" s="279"/>
    </row>
    <row r="217" spans="1:68" x14ac:dyDescent="0.2">
      <c r="A217" s="299"/>
      <c r="B217" s="299"/>
      <c r="C217" s="299"/>
      <c r="D217" s="299"/>
      <c r="E217" s="299"/>
      <c r="F217" s="299"/>
      <c r="G217" s="299"/>
      <c r="H217" s="299"/>
      <c r="I217" s="299"/>
      <c r="J217" s="299"/>
      <c r="K217" s="299"/>
      <c r="L217" s="299"/>
      <c r="M217" s="299"/>
      <c r="N217" s="299"/>
      <c r="O217" s="300"/>
      <c r="P217" s="301" t="s">
        <v>87</v>
      </c>
      <c r="Q217" s="302"/>
      <c r="R217" s="302"/>
      <c r="S217" s="302"/>
      <c r="T217" s="302"/>
      <c r="U217" s="302"/>
      <c r="V217" s="303"/>
      <c r="W217" s="37" t="s">
        <v>88</v>
      </c>
      <c r="X217" s="278">
        <f>IFERROR(SUMPRODUCT(X215:X215*H215:H215),"0")</f>
        <v>120</v>
      </c>
      <c r="Y217" s="278">
        <f>IFERROR(SUMPRODUCT(Y215:Y215*H215:H215),"0")</f>
        <v>120</v>
      </c>
      <c r="Z217" s="37"/>
      <c r="AA217" s="279"/>
      <c r="AB217" s="279"/>
      <c r="AC217" s="279"/>
    </row>
    <row r="218" spans="1:68" ht="16.5" hidden="1" customHeight="1" x14ac:dyDescent="0.25">
      <c r="A218" s="312" t="s">
        <v>306</v>
      </c>
      <c r="B218" s="299"/>
      <c r="C218" s="299"/>
      <c r="D218" s="299"/>
      <c r="E218" s="299"/>
      <c r="F218" s="299"/>
      <c r="G218" s="299"/>
      <c r="H218" s="299"/>
      <c r="I218" s="299"/>
      <c r="J218" s="299"/>
      <c r="K218" s="299"/>
      <c r="L218" s="299"/>
      <c r="M218" s="299"/>
      <c r="N218" s="299"/>
      <c r="O218" s="299"/>
      <c r="P218" s="299"/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71"/>
      <c r="AB218" s="271"/>
      <c r="AC218" s="271"/>
    </row>
    <row r="219" spans="1:68" ht="14.25" hidden="1" customHeight="1" x14ac:dyDescent="0.25">
      <c r="A219" s="307" t="s">
        <v>133</v>
      </c>
      <c r="B219" s="299"/>
      <c r="C219" s="299"/>
      <c r="D219" s="299"/>
      <c r="E219" s="299"/>
      <c r="F219" s="299"/>
      <c r="G219" s="299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72"/>
      <c r="AB219" s="272"/>
      <c r="AC219" s="272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90">
        <v>4620207490501</v>
      </c>
      <c r="E220" s="291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43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1"/>
      <c r="R220" s="281"/>
      <c r="S220" s="281"/>
      <c r="T220" s="282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8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300"/>
      <c r="P221" s="301" t="s">
        <v>87</v>
      </c>
      <c r="Q221" s="302"/>
      <c r="R221" s="302"/>
      <c r="S221" s="302"/>
      <c r="T221" s="302"/>
      <c r="U221" s="302"/>
      <c r="V221" s="303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300"/>
      <c r="P222" s="301" t="s">
        <v>87</v>
      </c>
      <c r="Q222" s="302"/>
      <c r="R222" s="302"/>
      <c r="S222" s="302"/>
      <c r="T222" s="302"/>
      <c r="U222" s="302"/>
      <c r="V222" s="303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285" t="s">
        <v>310</v>
      </c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48"/>
      <c r="AB223" s="48"/>
      <c r="AC223" s="48"/>
    </row>
    <row r="224" spans="1:68" ht="16.5" hidden="1" customHeight="1" x14ac:dyDescent="0.25">
      <c r="A224" s="312" t="s">
        <v>311</v>
      </c>
      <c r="B224" s="299"/>
      <c r="C224" s="299"/>
      <c r="D224" s="299"/>
      <c r="E224" s="299"/>
      <c r="F224" s="299"/>
      <c r="G224" s="299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99"/>
      <c r="S224" s="299"/>
      <c r="T224" s="299"/>
      <c r="U224" s="299"/>
      <c r="V224" s="299"/>
      <c r="W224" s="299"/>
      <c r="X224" s="299"/>
      <c r="Y224" s="299"/>
      <c r="Z224" s="299"/>
      <c r="AA224" s="271"/>
      <c r="AB224" s="271"/>
      <c r="AC224" s="271"/>
    </row>
    <row r="225" spans="1:68" ht="14.25" hidden="1" customHeight="1" x14ac:dyDescent="0.25">
      <c r="A225" s="307" t="s">
        <v>62</v>
      </c>
      <c r="B225" s="299"/>
      <c r="C225" s="299"/>
      <c r="D225" s="299"/>
      <c r="E225" s="299"/>
      <c r="F225" s="299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  <c r="AA225" s="272"/>
      <c r="AB225" s="272"/>
      <c r="AC225" s="272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90">
        <v>4607111036162</v>
      </c>
      <c r="E226" s="291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1"/>
      <c r="R226" s="281"/>
      <c r="S226" s="281"/>
      <c r="T226" s="282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8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300"/>
      <c r="P227" s="301" t="s">
        <v>87</v>
      </c>
      <c r="Q227" s="302"/>
      <c r="R227" s="302"/>
      <c r="S227" s="302"/>
      <c r="T227" s="302"/>
      <c r="U227" s="302"/>
      <c r="V227" s="303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300"/>
      <c r="P228" s="301" t="s">
        <v>87</v>
      </c>
      <c r="Q228" s="302"/>
      <c r="R228" s="302"/>
      <c r="S228" s="302"/>
      <c r="T228" s="302"/>
      <c r="U228" s="302"/>
      <c r="V228" s="303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285" t="s">
        <v>315</v>
      </c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48"/>
      <c r="AB229" s="48"/>
      <c r="AC229" s="48"/>
    </row>
    <row r="230" spans="1:68" ht="16.5" hidden="1" customHeight="1" x14ac:dyDescent="0.25">
      <c r="A230" s="312" t="s">
        <v>316</v>
      </c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  <c r="AA230" s="271"/>
      <c r="AB230" s="271"/>
      <c r="AC230" s="271"/>
    </row>
    <row r="231" spans="1:68" ht="14.25" hidden="1" customHeight="1" x14ac:dyDescent="0.25">
      <c r="A231" s="307" t="s">
        <v>317</v>
      </c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  <c r="AA231" s="272"/>
      <c r="AB231" s="272"/>
      <c r="AC231" s="272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90">
        <v>4607111039774</v>
      </c>
      <c r="E232" s="291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1"/>
      <c r="R232" s="281"/>
      <c r="S232" s="281"/>
      <c r="T232" s="282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8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300"/>
      <c r="P233" s="301" t="s">
        <v>87</v>
      </c>
      <c r="Q233" s="302"/>
      <c r="R233" s="302"/>
      <c r="S233" s="302"/>
      <c r="T233" s="302"/>
      <c r="U233" s="302"/>
      <c r="V233" s="303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300"/>
      <c r="P234" s="301" t="s">
        <v>87</v>
      </c>
      <c r="Q234" s="302"/>
      <c r="R234" s="302"/>
      <c r="S234" s="302"/>
      <c r="T234" s="302"/>
      <c r="U234" s="302"/>
      <c r="V234" s="303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307" t="s">
        <v>133</v>
      </c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  <c r="AA235" s="272"/>
      <c r="AB235" s="272"/>
      <c r="AC235" s="272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90">
        <v>4607111039361</v>
      </c>
      <c r="E236" s="291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1"/>
      <c r="R236" s="281"/>
      <c r="S236" s="281"/>
      <c r="T236" s="282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8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300"/>
      <c r="P237" s="301" t="s">
        <v>87</v>
      </c>
      <c r="Q237" s="302"/>
      <c r="R237" s="302"/>
      <c r="S237" s="302"/>
      <c r="T237" s="302"/>
      <c r="U237" s="302"/>
      <c r="V237" s="303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300"/>
      <c r="P238" s="301" t="s">
        <v>87</v>
      </c>
      <c r="Q238" s="302"/>
      <c r="R238" s="302"/>
      <c r="S238" s="302"/>
      <c r="T238" s="302"/>
      <c r="U238" s="302"/>
      <c r="V238" s="303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285" t="s">
        <v>323</v>
      </c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48"/>
      <c r="AB239" s="48"/>
      <c r="AC239" s="48"/>
    </row>
    <row r="240" spans="1:68" ht="16.5" hidden="1" customHeight="1" x14ac:dyDescent="0.25">
      <c r="A240" s="312" t="s">
        <v>323</v>
      </c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  <c r="AA240" s="271"/>
      <c r="AB240" s="271"/>
      <c r="AC240" s="271"/>
    </row>
    <row r="241" spans="1:68" ht="14.25" hidden="1" customHeight="1" x14ac:dyDescent="0.25">
      <c r="A241" s="307" t="s">
        <v>97</v>
      </c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  <c r="AA241" s="272"/>
      <c r="AB241" s="272"/>
      <c r="AC241" s="272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90">
        <v>4640242181950</v>
      </c>
      <c r="E242" s="291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1"/>
      <c r="R242" s="281"/>
      <c r="S242" s="281"/>
      <c r="T242" s="282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8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300"/>
      <c r="P243" s="301" t="s">
        <v>87</v>
      </c>
      <c r="Q243" s="302"/>
      <c r="R243" s="302"/>
      <c r="S243" s="302"/>
      <c r="T243" s="302"/>
      <c r="U243" s="302"/>
      <c r="V243" s="303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300"/>
      <c r="P244" s="301" t="s">
        <v>87</v>
      </c>
      <c r="Q244" s="302"/>
      <c r="R244" s="302"/>
      <c r="S244" s="302"/>
      <c r="T244" s="302"/>
      <c r="U244" s="302"/>
      <c r="V244" s="303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307" t="s">
        <v>129</v>
      </c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  <c r="AA245" s="272"/>
      <c r="AB245" s="272"/>
      <c r="AC245" s="272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90">
        <v>4640242181943</v>
      </c>
      <c r="E246" s="291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1"/>
      <c r="R246" s="281"/>
      <c r="S246" s="281"/>
      <c r="T246" s="282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8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300"/>
      <c r="P247" s="301" t="s">
        <v>87</v>
      </c>
      <c r="Q247" s="302"/>
      <c r="R247" s="302"/>
      <c r="S247" s="302"/>
      <c r="T247" s="302"/>
      <c r="U247" s="302"/>
      <c r="V247" s="303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300"/>
      <c r="P248" s="301" t="s">
        <v>87</v>
      </c>
      <c r="Q248" s="302"/>
      <c r="R248" s="302"/>
      <c r="S248" s="302"/>
      <c r="T248" s="302"/>
      <c r="U248" s="302"/>
      <c r="V248" s="303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285" t="s">
        <v>330</v>
      </c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48"/>
      <c r="AB249" s="48"/>
      <c r="AC249" s="48"/>
    </row>
    <row r="250" spans="1:68" ht="16.5" hidden="1" customHeight="1" x14ac:dyDescent="0.25">
      <c r="A250" s="312" t="s">
        <v>330</v>
      </c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  <c r="AA250" s="271"/>
      <c r="AB250" s="271"/>
      <c r="AC250" s="271"/>
    </row>
    <row r="251" spans="1:68" ht="14.25" hidden="1" customHeight="1" x14ac:dyDescent="0.25">
      <c r="A251" s="307" t="s">
        <v>62</v>
      </c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  <c r="AA251" s="272"/>
      <c r="AB251" s="272"/>
      <c r="AC251" s="272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90">
        <v>4640242181264</v>
      </c>
      <c r="E252" s="291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5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1"/>
      <c r="R252" s="281"/>
      <c r="S252" s="281"/>
      <c r="T252" s="282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334</v>
      </c>
      <c r="B253" s="54" t="s">
        <v>335</v>
      </c>
      <c r="C253" s="31">
        <v>4301071141</v>
      </c>
      <c r="D253" s="290">
        <v>4620207491980</v>
      </c>
      <c r="E253" s="291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1"/>
      <c r="R253" s="281"/>
      <c r="S253" s="281"/>
      <c r="T253" s="282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8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300"/>
      <c r="P254" s="301" t="s">
        <v>87</v>
      </c>
      <c r="Q254" s="302"/>
      <c r="R254" s="302"/>
      <c r="S254" s="302"/>
      <c r="T254" s="302"/>
      <c r="U254" s="302"/>
      <c r="V254" s="303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300"/>
      <c r="P255" s="301" t="s">
        <v>87</v>
      </c>
      <c r="Q255" s="302"/>
      <c r="R255" s="302"/>
      <c r="S255" s="302"/>
      <c r="T255" s="302"/>
      <c r="U255" s="302"/>
      <c r="V255" s="303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307" t="s">
        <v>97</v>
      </c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  <c r="AA256" s="272"/>
      <c r="AB256" s="272"/>
      <c r="AC256" s="272"/>
    </row>
    <row r="257" spans="1:68" ht="27" customHeight="1" x14ac:dyDescent="0.25">
      <c r="A257" s="54" t="s">
        <v>337</v>
      </c>
      <c r="B257" s="54" t="s">
        <v>338</v>
      </c>
      <c r="C257" s="31">
        <v>4301132080</v>
      </c>
      <c r="D257" s="290">
        <v>4640242180397</v>
      </c>
      <c r="E257" s="291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0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1"/>
      <c r="R257" s="281"/>
      <c r="S257" s="281"/>
      <c r="T257" s="282"/>
      <c r="U257" s="34"/>
      <c r="V257" s="34"/>
      <c r="W257" s="35" t="s">
        <v>68</v>
      </c>
      <c r="X257" s="276">
        <v>24</v>
      </c>
      <c r="Y257" s="277">
        <f>IFERROR(IF(X257="","",X257),"")</f>
        <v>24</v>
      </c>
      <c r="Z257" s="36">
        <f>IFERROR(IF(X257="","",X257*0.0155),"")</f>
        <v>0.372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150.24</v>
      </c>
      <c r="BN257" s="67">
        <f>IFERROR(Y257*I257,"0")</f>
        <v>150.24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298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300"/>
      <c r="P258" s="301" t="s">
        <v>87</v>
      </c>
      <c r="Q258" s="302"/>
      <c r="R258" s="302"/>
      <c r="S258" s="302"/>
      <c r="T258" s="302"/>
      <c r="U258" s="302"/>
      <c r="V258" s="303"/>
      <c r="W258" s="37" t="s">
        <v>68</v>
      </c>
      <c r="X258" s="278">
        <f>IFERROR(SUM(X257:X257),"0")</f>
        <v>24</v>
      </c>
      <c r="Y258" s="278">
        <f>IFERROR(SUM(Y257:Y257),"0")</f>
        <v>24</v>
      </c>
      <c r="Z258" s="278">
        <f>IFERROR(IF(Z257="",0,Z257),"0")</f>
        <v>0.372</v>
      </c>
      <c r="AA258" s="279"/>
      <c r="AB258" s="279"/>
      <c r="AC258" s="279"/>
    </row>
    <row r="259" spans="1:68" x14ac:dyDescent="0.2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300"/>
      <c r="P259" s="301" t="s">
        <v>87</v>
      </c>
      <c r="Q259" s="302"/>
      <c r="R259" s="302"/>
      <c r="S259" s="302"/>
      <c r="T259" s="302"/>
      <c r="U259" s="302"/>
      <c r="V259" s="303"/>
      <c r="W259" s="37" t="s">
        <v>88</v>
      </c>
      <c r="X259" s="278">
        <f>IFERROR(SUMPRODUCT(X257:X257*H257:H257),"0")</f>
        <v>144</v>
      </c>
      <c r="Y259" s="278">
        <f>IFERROR(SUMPRODUCT(Y257:Y257*H257:H257),"0")</f>
        <v>144</v>
      </c>
      <c r="Z259" s="37"/>
      <c r="AA259" s="279"/>
      <c r="AB259" s="279"/>
      <c r="AC259" s="279"/>
    </row>
    <row r="260" spans="1:68" ht="14.25" hidden="1" customHeight="1" x14ac:dyDescent="0.25">
      <c r="A260" s="307" t="s">
        <v>129</v>
      </c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  <c r="AA260" s="272"/>
      <c r="AB260" s="272"/>
      <c r="AC260" s="272"/>
    </row>
    <row r="261" spans="1:68" ht="27" customHeight="1" x14ac:dyDescent="0.25">
      <c r="A261" s="54" t="s">
        <v>340</v>
      </c>
      <c r="B261" s="54" t="s">
        <v>341</v>
      </c>
      <c r="C261" s="31">
        <v>4301136051</v>
      </c>
      <c r="D261" s="290">
        <v>4640242180304</v>
      </c>
      <c r="E261" s="29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1"/>
      <c r="R261" s="281"/>
      <c r="S261" s="281"/>
      <c r="T261" s="282"/>
      <c r="U261" s="34"/>
      <c r="V261" s="34"/>
      <c r="W261" s="35" t="s">
        <v>68</v>
      </c>
      <c r="X261" s="276">
        <v>14</v>
      </c>
      <c r="Y261" s="277">
        <f>IFERROR(IF(X261="","",X261),"")</f>
        <v>14</v>
      </c>
      <c r="Z261" s="36">
        <f>IFERROR(IF(X261="","",X261*0.00936),"")</f>
        <v>0.13103999999999999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40.468400000000003</v>
      </c>
      <c r="BN261" s="67">
        <f>IFERROR(Y261*I261,"0")</f>
        <v>40.468400000000003</v>
      </c>
      <c r="BO261" s="67">
        <f>IFERROR(X261/J261,"0")</f>
        <v>0.1111111111111111</v>
      </c>
      <c r="BP261" s="67">
        <f>IFERROR(Y261/J261,"0")</f>
        <v>0.1111111111111111</v>
      </c>
    </row>
    <row r="262" spans="1:68" ht="27" customHeight="1" x14ac:dyDescent="0.25">
      <c r="A262" s="54" t="s">
        <v>343</v>
      </c>
      <c r="B262" s="54" t="s">
        <v>344</v>
      </c>
      <c r="C262" s="31">
        <v>4301136053</v>
      </c>
      <c r="D262" s="290">
        <v>4640242180236</v>
      </c>
      <c r="E262" s="29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29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1"/>
      <c r="R262" s="281"/>
      <c r="S262" s="281"/>
      <c r="T262" s="282"/>
      <c r="U262" s="34"/>
      <c r="V262" s="34"/>
      <c r="W262" s="35" t="s">
        <v>68</v>
      </c>
      <c r="X262" s="276">
        <v>96</v>
      </c>
      <c r="Y262" s="277">
        <f>IFERROR(IF(X262="","",X262),"")</f>
        <v>96</v>
      </c>
      <c r="Z262" s="36">
        <f>IFERROR(IF(X262="","",X262*0.0155),"")</f>
        <v>1.488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502.56000000000006</v>
      </c>
      <c r="BN262" s="67">
        <f>IFERROR(Y262*I262,"0")</f>
        <v>502.56000000000006</v>
      </c>
      <c r="BO262" s="67">
        <f>IFERROR(X262/J262,"0")</f>
        <v>1.1428571428571428</v>
      </c>
      <c r="BP262" s="67">
        <f>IFERROR(Y262/J262,"0")</f>
        <v>1.1428571428571428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90">
        <v>4640242180410</v>
      </c>
      <c r="E263" s="29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5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1"/>
      <c r="R263" s="281"/>
      <c r="S263" s="281"/>
      <c r="T263" s="282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8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300"/>
      <c r="P264" s="301" t="s">
        <v>87</v>
      </c>
      <c r="Q264" s="302"/>
      <c r="R264" s="302"/>
      <c r="S264" s="302"/>
      <c r="T264" s="302"/>
      <c r="U264" s="302"/>
      <c r="V264" s="303"/>
      <c r="W264" s="37" t="s">
        <v>68</v>
      </c>
      <c r="X264" s="278">
        <f>IFERROR(SUM(X261:X263),"0")</f>
        <v>110</v>
      </c>
      <c r="Y264" s="278">
        <f>IFERROR(SUM(Y261:Y263),"0")</f>
        <v>110</v>
      </c>
      <c r="Z264" s="278">
        <f>IFERROR(IF(Z261="",0,Z261),"0")+IFERROR(IF(Z262="",0,Z262),"0")+IFERROR(IF(Z263="",0,Z263),"0")</f>
        <v>1.61904</v>
      </c>
      <c r="AA264" s="279"/>
      <c r="AB264" s="279"/>
      <c r="AC264" s="279"/>
    </row>
    <row r="265" spans="1:68" x14ac:dyDescent="0.2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300"/>
      <c r="P265" s="301" t="s">
        <v>87</v>
      </c>
      <c r="Q265" s="302"/>
      <c r="R265" s="302"/>
      <c r="S265" s="302"/>
      <c r="T265" s="302"/>
      <c r="U265" s="302"/>
      <c r="V265" s="303"/>
      <c r="W265" s="37" t="s">
        <v>88</v>
      </c>
      <c r="X265" s="278">
        <f>IFERROR(SUMPRODUCT(X261:X263*H261:H263),"0")</f>
        <v>517.79999999999995</v>
      </c>
      <c r="Y265" s="278">
        <f>IFERROR(SUMPRODUCT(Y261:Y263*H261:H263),"0")</f>
        <v>517.79999999999995</v>
      </c>
      <c r="Z265" s="37"/>
      <c r="AA265" s="279"/>
      <c r="AB265" s="279"/>
      <c r="AC265" s="279"/>
    </row>
    <row r="266" spans="1:68" ht="14.25" hidden="1" customHeight="1" x14ac:dyDescent="0.25">
      <c r="A266" s="307" t="s">
        <v>133</v>
      </c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  <c r="AA266" s="272"/>
      <c r="AB266" s="272"/>
      <c r="AC266" s="272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90">
        <v>4640242181554</v>
      </c>
      <c r="E267" s="291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1"/>
      <c r="R267" s="281"/>
      <c r="S267" s="281"/>
      <c r="T267" s="282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hidden="1" customHeight="1" x14ac:dyDescent="0.25">
      <c r="A268" s="54" t="s">
        <v>350</v>
      </c>
      <c r="B268" s="54" t="s">
        <v>351</v>
      </c>
      <c r="C268" s="31">
        <v>4301137046</v>
      </c>
      <c r="D268" s="290">
        <v>4620207492093</v>
      </c>
      <c r="E268" s="291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332" t="s">
        <v>352</v>
      </c>
      <c r="Q268" s="281"/>
      <c r="R268" s="281"/>
      <c r="S268" s="281"/>
      <c r="T268" s="282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354</v>
      </c>
      <c r="B269" s="54" t="s">
        <v>355</v>
      </c>
      <c r="C269" s="31">
        <v>4301135374</v>
      </c>
      <c r="D269" s="290">
        <v>4640242181424</v>
      </c>
      <c r="E269" s="291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1"/>
      <c r="R269" s="281"/>
      <c r="S269" s="281"/>
      <c r="T269" s="282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IFERROR(IF(X269="","",X269*0.0155),"")</f>
        <v>0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356</v>
      </c>
      <c r="B270" s="54" t="s">
        <v>357</v>
      </c>
      <c r="C270" s="31">
        <v>4301135405</v>
      </c>
      <c r="D270" s="290">
        <v>4640242181523</v>
      </c>
      <c r="E270" s="291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1"/>
      <c r="R270" s="281"/>
      <c r="S270" s="281"/>
      <c r="T270" s="282"/>
      <c r="U270" s="34"/>
      <c r="V270" s="34"/>
      <c r="W270" s="35" t="s">
        <v>68</v>
      </c>
      <c r="X270" s="276">
        <v>14</v>
      </c>
      <c r="Y270" s="277">
        <f t="shared" si="18"/>
        <v>14</v>
      </c>
      <c r="Z270" s="36">
        <f t="shared" ref="Z270:Z276" si="23">IFERROR(IF(X270="","",X270*0.00936),"")</f>
        <v>0.13103999999999999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44.688000000000002</v>
      </c>
      <c r="BN270" s="67">
        <f t="shared" si="20"/>
        <v>44.688000000000002</v>
      </c>
      <c r="BO270" s="67">
        <f t="shared" si="21"/>
        <v>0.1111111111111111</v>
      </c>
      <c r="BP270" s="67">
        <f t="shared" si="22"/>
        <v>0.1111111111111111</v>
      </c>
    </row>
    <row r="271" spans="1:68" ht="27" hidden="1" customHeight="1" x14ac:dyDescent="0.25">
      <c r="A271" s="54" t="s">
        <v>359</v>
      </c>
      <c r="B271" s="54" t="s">
        <v>360</v>
      </c>
      <c r="C271" s="31">
        <v>4301135375</v>
      </c>
      <c r="D271" s="290">
        <v>4640242181486</v>
      </c>
      <c r="E271" s="291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1"/>
      <c r="R271" s="281"/>
      <c r="S271" s="281"/>
      <c r="T271" s="282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si="23"/>
        <v>0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90">
        <v>4640242181493</v>
      </c>
      <c r="E272" s="29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1"/>
      <c r="R272" s="281"/>
      <c r="S272" s="281"/>
      <c r="T272" s="282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90">
        <v>4640242181509</v>
      </c>
      <c r="E273" s="29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1"/>
      <c r="R273" s="281"/>
      <c r="S273" s="281"/>
      <c r="T273" s="282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90">
        <v>4640242181240</v>
      </c>
      <c r="E274" s="29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1"/>
      <c r="R274" s="281"/>
      <c r="S274" s="281"/>
      <c r="T274" s="282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90">
        <v>4640242181318</v>
      </c>
      <c r="E275" s="29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1"/>
      <c r="R275" s="281"/>
      <c r="S275" s="281"/>
      <c r="T275" s="282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90">
        <v>4620207491935</v>
      </c>
      <c r="E276" s="291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0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1"/>
      <c r="R276" s="281"/>
      <c r="S276" s="281"/>
      <c r="T276" s="282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8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300"/>
      <c r="P277" s="301" t="s">
        <v>87</v>
      </c>
      <c r="Q277" s="302"/>
      <c r="R277" s="302"/>
      <c r="S277" s="302"/>
      <c r="T277" s="302"/>
      <c r="U277" s="302"/>
      <c r="V277" s="303"/>
      <c r="W277" s="37" t="s">
        <v>68</v>
      </c>
      <c r="X277" s="278">
        <f>IFERROR(SUM(X267:X276),"0")</f>
        <v>14</v>
      </c>
      <c r="Y277" s="278">
        <f>IFERROR(SUM(Y267:Y276),"0")</f>
        <v>14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0.13103999999999999</v>
      </c>
      <c r="AA277" s="279"/>
      <c r="AB277" s="279"/>
      <c r="AC277" s="279"/>
    </row>
    <row r="278" spans="1:68" x14ac:dyDescent="0.2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300"/>
      <c r="P278" s="301" t="s">
        <v>87</v>
      </c>
      <c r="Q278" s="302"/>
      <c r="R278" s="302"/>
      <c r="S278" s="302"/>
      <c r="T278" s="302"/>
      <c r="U278" s="302"/>
      <c r="V278" s="303"/>
      <c r="W278" s="37" t="s">
        <v>88</v>
      </c>
      <c r="X278" s="278">
        <f>IFERROR(SUMPRODUCT(X267:X276*H267:H276),"0")</f>
        <v>42</v>
      </c>
      <c r="Y278" s="278">
        <f>IFERROR(SUMPRODUCT(Y267:Y276*H267:H276),"0")</f>
        <v>42</v>
      </c>
      <c r="Z278" s="37"/>
      <c r="AA278" s="279"/>
      <c r="AB278" s="279"/>
      <c r="AC278" s="279"/>
    </row>
    <row r="279" spans="1:68" ht="15" customHeight="1" x14ac:dyDescent="0.2">
      <c r="A279" s="433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373"/>
      <c r="P279" s="317" t="s">
        <v>372</v>
      </c>
      <c r="Q279" s="288"/>
      <c r="R279" s="288"/>
      <c r="S279" s="288"/>
      <c r="T279" s="288"/>
      <c r="U279" s="288"/>
      <c r="V279" s="289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4833.12</v>
      </c>
      <c r="Y279" s="278">
        <f>IFERROR(Y31+Y37+Y44+Y50+Y58+Y63+Y67+Y73+Y79+Y84+Y90+Y100+Y106+Y117+Y121+Y125+Y133+Y139+Y145+Y152+Y158+Y163+Y168+Y173+Y180+Y185+Y194+Y200+Y206+Y212+Y217+Y222+Y228+Y234+Y238+Y244+Y248+Y255+Y259+Y265+Y278,"0")</f>
        <v>4833.12</v>
      </c>
      <c r="Z279" s="37"/>
      <c r="AA279" s="279"/>
      <c r="AB279" s="279"/>
      <c r="AC279" s="279"/>
    </row>
    <row r="280" spans="1:68" x14ac:dyDescent="0.2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373"/>
      <c r="P280" s="317" t="s">
        <v>373</v>
      </c>
      <c r="Q280" s="288"/>
      <c r="R280" s="288"/>
      <c r="S280" s="288"/>
      <c r="T280" s="288"/>
      <c r="U280" s="288"/>
      <c r="V280" s="289"/>
      <c r="W280" s="37" t="s">
        <v>88</v>
      </c>
      <c r="X280" s="278">
        <f>IFERROR(SUM(BM22:BM276),"0")</f>
        <v>5212.5163999999995</v>
      </c>
      <c r="Y280" s="278">
        <f>IFERROR(SUM(BN22:BN276),"0")</f>
        <v>5212.5163999999995</v>
      </c>
      <c r="Z280" s="37"/>
      <c r="AA280" s="279"/>
      <c r="AB280" s="279"/>
      <c r="AC280" s="279"/>
    </row>
    <row r="281" spans="1:68" x14ac:dyDescent="0.2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373"/>
      <c r="P281" s="317" t="s">
        <v>374</v>
      </c>
      <c r="Q281" s="288"/>
      <c r="R281" s="288"/>
      <c r="S281" s="288"/>
      <c r="T281" s="288"/>
      <c r="U281" s="288"/>
      <c r="V281" s="289"/>
      <c r="W281" s="37" t="s">
        <v>375</v>
      </c>
      <c r="X281" s="38">
        <f>ROUNDUP(SUM(BO22:BO276),0)</f>
        <v>12</v>
      </c>
      <c r="Y281" s="38">
        <f>ROUNDUP(SUM(BP22:BP276),0)</f>
        <v>12</v>
      </c>
      <c r="Z281" s="37"/>
      <c r="AA281" s="279"/>
      <c r="AB281" s="279"/>
      <c r="AC281" s="279"/>
    </row>
    <row r="282" spans="1:68" x14ac:dyDescent="0.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373"/>
      <c r="P282" s="317" t="s">
        <v>376</v>
      </c>
      <c r="Q282" s="288"/>
      <c r="R282" s="288"/>
      <c r="S282" s="288"/>
      <c r="T282" s="288"/>
      <c r="U282" s="288"/>
      <c r="V282" s="289"/>
      <c r="W282" s="37" t="s">
        <v>88</v>
      </c>
      <c r="X282" s="278">
        <f>GrossWeightTotal+PalletQtyTotal*25</f>
        <v>5512.5163999999995</v>
      </c>
      <c r="Y282" s="278">
        <f>GrossWeightTotalR+PalletQtyTotalR*25</f>
        <v>5512.5163999999995</v>
      </c>
      <c r="Z282" s="37"/>
      <c r="AA282" s="279"/>
      <c r="AB282" s="279"/>
      <c r="AC282" s="279"/>
    </row>
    <row r="283" spans="1:68" x14ac:dyDescent="0.2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373"/>
      <c r="P283" s="317" t="s">
        <v>377</v>
      </c>
      <c r="Q283" s="288"/>
      <c r="R283" s="288"/>
      <c r="S283" s="288"/>
      <c r="T283" s="288"/>
      <c r="U283" s="288"/>
      <c r="V283" s="289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1044</v>
      </c>
      <c r="Y283" s="278">
        <f>IFERROR(Y30+Y36+Y43+Y49+Y57+Y62+Y66+Y72+Y78+Y83+Y89+Y99+Y105+Y116+Y120+Y124+Y132+Y138+Y144+Y151+Y157+Y162+Y167+Y172+Y179+Y184+Y193+Y199+Y205+Y211+Y216+Y221+Y227+Y233+Y237+Y243+Y247+Y254+Y258+Y264+Y277,"0")</f>
        <v>1044</v>
      </c>
      <c r="Z283" s="37"/>
      <c r="AA283" s="279"/>
      <c r="AB283" s="279"/>
      <c r="AC283" s="279"/>
    </row>
    <row r="284" spans="1:68" ht="14.25" hidden="1" customHeight="1" x14ac:dyDescent="0.2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373"/>
      <c r="P284" s="317" t="s">
        <v>378</v>
      </c>
      <c r="Q284" s="288"/>
      <c r="R284" s="288"/>
      <c r="S284" s="288"/>
      <c r="T284" s="288"/>
      <c r="U284" s="288"/>
      <c r="V284" s="289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15.045940000000003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315" t="s">
        <v>61</v>
      </c>
      <c r="C286" s="406"/>
      <c r="D286" s="315" t="s">
        <v>95</v>
      </c>
      <c r="E286" s="405"/>
      <c r="F286" s="405"/>
      <c r="G286" s="405"/>
      <c r="H286" s="405"/>
      <c r="I286" s="405"/>
      <c r="J286" s="405"/>
      <c r="K286" s="405"/>
      <c r="L286" s="405"/>
      <c r="M286" s="405"/>
      <c r="N286" s="405"/>
      <c r="O286" s="405"/>
      <c r="P286" s="405"/>
      <c r="Q286" s="405"/>
      <c r="R286" s="405"/>
      <c r="S286" s="405"/>
      <c r="T286" s="405"/>
      <c r="U286" s="406"/>
      <c r="V286" s="315" t="s">
        <v>256</v>
      </c>
      <c r="W286" s="406"/>
      <c r="X286" s="273" t="s">
        <v>267</v>
      </c>
      <c r="Y286" s="315" t="s">
        <v>281</v>
      </c>
      <c r="Z286" s="405"/>
      <c r="AA286" s="405"/>
      <c r="AB286" s="406"/>
      <c r="AC286" s="273" t="s">
        <v>310</v>
      </c>
      <c r="AD286" s="273" t="s">
        <v>315</v>
      </c>
      <c r="AE286" s="273" t="s">
        <v>323</v>
      </c>
      <c r="AF286" s="273" t="s">
        <v>330</v>
      </c>
    </row>
    <row r="287" spans="1:68" ht="14.25" customHeight="1" thickTop="1" x14ac:dyDescent="0.2">
      <c r="A287" s="353" t="s">
        <v>381</v>
      </c>
      <c r="B287" s="315" t="s">
        <v>61</v>
      </c>
      <c r="C287" s="315" t="s">
        <v>89</v>
      </c>
      <c r="D287" s="315" t="s">
        <v>96</v>
      </c>
      <c r="E287" s="315" t="s">
        <v>107</v>
      </c>
      <c r="F287" s="315" t="s">
        <v>114</v>
      </c>
      <c r="G287" s="315" t="s">
        <v>125</v>
      </c>
      <c r="H287" s="315" t="s">
        <v>141</v>
      </c>
      <c r="I287" s="315" t="s">
        <v>148</v>
      </c>
      <c r="J287" s="315" t="s">
        <v>152</v>
      </c>
      <c r="K287" s="315" t="s">
        <v>160</v>
      </c>
      <c r="L287" s="315" t="s">
        <v>175</v>
      </c>
      <c r="M287" s="315" t="s">
        <v>181</v>
      </c>
      <c r="N287" s="274"/>
      <c r="O287" s="315" t="s">
        <v>206</v>
      </c>
      <c r="P287" s="315" t="s">
        <v>224</v>
      </c>
      <c r="Q287" s="315" t="s">
        <v>230</v>
      </c>
      <c r="R287" s="315" t="s">
        <v>239</v>
      </c>
      <c r="S287" s="315" t="s">
        <v>245</v>
      </c>
      <c r="T287" s="315" t="s">
        <v>249</v>
      </c>
      <c r="U287" s="315" t="s">
        <v>252</v>
      </c>
      <c r="V287" s="315" t="s">
        <v>257</v>
      </c>
      <c r="W287" s="315" t="s">
        <v>264</v>
      </c>
      <c r="X287" s="315" t="s">
        <v>268</v>
      </c>
      <c r="Y287" s="315" t="s">
        <v>282</v>
      </c>
      <c r="Z287" s="315" t="s">
        <v>295</v>
      </c>
      <c r="AA287" s="315" t="s">
        <v>302</v>
      </c>
      <c r="AB287" s="315" t="s">
        <v>306</v>
      </c>
      <c r="AC287" s="315" t="s">
        <v>311</v>
      </c>
      <c r="AD287" s="315" t="s">
        <v>316</v>
      </c>
      <c r="AE287" s="315" t="s">
        <v>323</v>
      </c>
      <c r="AF287" s="315" t="s">
        <v>330</v>
      </c>
    </row>
    <row r="288" spans="1:68" ht="13.5" customHeight="1" thickBot="1" x14ac:dyDescent="0.25">
      <c r="A288" s="354"/>
      <c r="B288" s="316"/>
      <c r="C288" s="316"/>
      <c r="D288" s="316"/>
      <c r="E288" s="316"/>
      <c r="F288" s="316"/>
      <c r="G288" s="316"/>
      <c r="H288" s="316"/>
      <c r="I288" s="316"/>
      <c r="J288" s="316"/>
      <c r="K288" s="316"/>
      <c r="L288" s="316"/>
      <c r="M288" s="316"/>
      <c r="N288" s="274"/>
      <c r="O288" s="316"/>
      <c r="P288" s="316"/>
      <c r="Q288" s="316"/>
      <c r="R288" s="316"/>
      <c r="S288" s="316"/>
      <c r="T288" s="316"/>
      <c r="U288" s="316"/>
      <c r="V288" s="316"/>
      <c r="W288" s="316"/>
      <c r="X288" s="316"/>
      <c r="Y288" s="316"/>
      <c r="Z288" s="316"/>
      <c r="AA288" s="316"/>
      <c r="AB288" s="316"/>
      <c r="AC288" s="316"/>
      <c r="AD288" s="316"/>
      <c r="AE288" s="316"/>
      <c r="AF288" s="316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230.4</v>
      </c>
      <c r="C289" s="46">
        <f>IFERROR(X34*H34,"0")+IFERROR(X35*H35,"0")</f>
        <v>0</v>
      </c>
      <c r="D289" s="46">
        <f>IFERROR(X41*H41,"0")+IFERROR(X42*H42,"0")</f>
        <v>63</v>
      </c>
      <c r="E289" s="46">
        <f>IFERROR(X47*H47,"0")+IFERROR(X48*H48,"0")</f>
        <v>0</v>
      </c>
      <c r="F289" s="46">
        <f>IFERROR(X53*H53,"0")+IFERROR(X54*H54,"0")+IFERROR(X55*H55,"0")+IFERROR(X56*H56,"0")</f>
        <v>252</v>
      </c>
      <c r="G289" s="46">
        <f>IFERROR(X61*H61,"0")+IFERROR(X65*H65,"0")+IFERROR(X69*H69,"0")+IFERROR(X70*H70,"0")+IFERROR(X71*H71,"0")</f>
        <v>16.8</v>
      </c>
      <c r="H289" s="46">
        <f>IFERROR(X76*H76,"0")+IFERROR(X77*H77,"0")</f>
        <v>0</v>
      </c>
      <c r="I289" s="46">
        <f>IFERROR(X82*H82,"0")</f>
        <v>0</v>
      </c>
      <c r="J289" s="46">
        <f>IFERROR(X87*H87,"0")+IFERROR(X88*H88,"0")</f>
        <v>50.4</v>
      </c>
      <c r="K289" s="46">
        <f>IFERROR(X93*H93,"0")+IFERROR(X94*H94,"0")+IFERROR(X95*H95,"0")+IFERROR(X96*H96,"0")+IFERROR(X97*H97,"0")+IFERROR(X98*H98,"0")</f>
        <v>300.71999999999997</v>
      </c>
      <c r="L289" s="46">
        <f>IFERROR(X103*H103,"0")+IFERROR(X104*H104,"0")</f>
        <v>0</v>
      </c>
      <c r="M289" s="46">
        <f>IFERROR(X109*H109,"0")+IFERROR(X110*H110,"0")+IFERROR(X111*H111,"0")+IFERROR(X112*H112,"0")+IFERROR(X113*H113,"0")+IFERROR(X114*H114,"0")+IFERROR(X115*H115,"0")+IFERROR(X119*H119,"0")+IFERROR(X123*H123,"0")</f>
        <v>1728</v>
      </c>
      <c r="N289" s="274"/>
      <c r="O289" s="46">
        <f>IFERROR(X128*H128,"0")+IFERROR(X129*H129,"0")+IFERROR(X130*H130,"0")+IFERROR(X131*H131,"0")+IFERROR(X135*H135,"0")+IFERROR(X136*H136,"0")+IFERROR(X137*H137,"0")</f>
        <v>38.64</v>
      </c>
      <c r="P289" s="46">
        <f>IFERROR(X142*H142,"0")+IFERROR(X143*H143,"0")</f>
        <v>126</v>
      </c>
      <c r="Q289" s="46">
        <f>IFERROR(X148*H148,"0")+IFERROR(X149*H149,"0")+IFERROR(X150*H150,"0")</f>
        <v>84</v>
      </c>
      <c r="R289" s="46">
        <f>IFERROR(X155*H155,"0")+IFERROR(X156*H156,"0")</f>
        <v>67.2</v>
      </c>
      <c r="S289" s="46">
        <f>IFERROR(X161*H161,"0")</f>
        <v>42</v>
      </c>
      <c r="T289" s="46">
        <f>IFERROR(X166*H166,"0")</f>
        <v>0</v>
      </c>
      <c r="U289" s="46">
        <f>IFERROR(X171*H171,"0")</f>
        <v>23.52</v>
      </c>
      <c r="V289" s="46">
        <f>IFERROR(X177*H177,"0")+IFERROR(X178*H178,"0")</f>
        <v>780</v>
      </c>
      <c r="W289" s="46">
        <f>IFERROR(X183*H183,"0")</f>
        <v>0</v>
      </c>
      <c r="X289" s="46">
        <f>IFERROR(X189*H189,"0")+IFERROR(X190*H190,"0")+IFERROR(X191*H191,"0")+IFERROR(X192*H192,"0")</f>
        <v>168</v>
      </c>
      <c r="Y289" s="46">
        <f>IFERROR(X198*H198,"0")+IFERROR(X202*H202,"0")+IFERROR(X203*H203,"0")+IFERROR(X204*H204,"0")</f>
        <v>38.64</v>
      </c>
      <c r="Z289" s="46">
        <f>IFERROR(X209*H209,"0")+IFERROR(X210*H210,"0")</f>
        <v>0</v>
      </c>
      <c r="AA289" s="46">
        <f>IFERROR(X215*H215,"0")</f>
        <v>120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703.8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3110.4</v>
      </c>
      <c r="B292" s="60">
        <f>SUMPRODUCT(--(BB:BB="ПГП"),--(W:W="кор"),H:H,Y:Y)+SUMPRODUCT(--(BB:BB="ПГП"),--(W:W="кг"),Y:Y)</f>
        <v>1722.72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4,00"/>
        <filter val="1 728,00"/>
        <filter val="110,00"/>
        <filter val="12"/>
        <filter val="120,00"/>
        <filter val="126,00"/>
        <filter val="132,00"/>
        <filter val="14,00"/>
        <filter val="144,00"/>
        <filter val="156,00"/>
        <filter val="16,80"/>
        <filter val="168,00"/>
        <filter val="23,52"/>
        <filter val="230,40"/>
        <filter val="24,00"/>
        <filter val="252,00"/>
        <filter val="28,00"/>
        <filter val="300,72"/>
        <filter val="36,00"/>
        <filter val="38,64"/>
        <filter val="4 833,12"/>
        <filter val="42,00"/>
        <filter val="5 212,52"/>
        <filter val="5 512,52"/>
        <filter val="50,40"/>
        <filter val="517,80"/>
        <filter val="56,00"/>
        <filter val="60,00"/>
        <filter val="63,00"/>
        <filter val="67,20"/>
        <filter val="780,00"/>
        <filter val="84,00"/>
        <filter val="96,00"/>
        <filter val="98,00"/>
      </filters>
    </filterColumn>
    <filterColumn colId="29" showButton="0"/>
    <filterColumn colId="30" showButton="0"/>
  </autoFilter>
  <mergeCells count="507">
    <mergeCell ref="D268:E268"/>
    <mergeCell ref="P138:V138"/>
    <mergeCell ref="D97:E97"/>
    <mergeCell ref="A10:C10"/>
    <mergeCell ref="A21:Z21"/>
    <mergeCell ref="D192:E192"/>
    <mergeCell ref="A99:O100"/>
    <mergeCell ref="D42:E42"/>
    <mergeCell ref="A181:Z181"/>
    <mergeCell ref="D17:E18"/>
    <mergeCell ref="A151:O152"/>
    <mergeCell ref="P71:T71"/>
    <mergeCell ref="P202:T202"/>
    <mergeCell ref="D123:E123"/>
    <mergeCell ref="X17:X18"/>
    <mergeCell ref="A52:Z52"/>
    <mergeCell ref="P216:V216"/>
    <mergeCell ref="P255:V255"/>
    <mergeCell ref="P35:T35"/>
    <mergeCell ref="A30:O31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B286:C286"/>
    <mergeCell ref="D276:E276"/>
    <mergeCell ref="A107:Z107"/>
    <mergeCell ref="A51:Z51"/>
    <mergeCell ref="A83:O84"/>
    <mergeCell ref="P132:V132"/>
    <mergeCell ref="N17:N18"/>
    <mergeCell ref="A249:Z249"/>
    <mergeCell ref="X287:X288"/>
    <mergeCell ref="Z287:Z288"/>
    <mergeCell ref="Q5:R5"/>
    <mergeCell ref="D242:E242"/>
    <mergeCell ref="M287:M288"/>
    <mergeCell ref="F17:F1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J287:J288"/>
    <mergeCell ref="D54:E54"/>
    <mergeCell ref="S287:S288"/>
    <mergeCell ref="A201:Z201"/>
    <mergeCell ref="U287:U288"/>
    <mergeCell ref="P128:T128"/>
    <mergeCell ref="P205:V205"/>
    <mergeCell ref="A258:O259"/>
    <mergeCell ref="AD17:AF18"/>
    <mergeCell ref="P167:V167"/>
    <mergeCell ref="P117:V117"/>
    <mergeCell ref="D76:E76"/>
    <mergeCell ref="F5:G5"/>
    <mergeCell ref="B287:B288"/>
    <mergeCell ref="D287:D288"/>
    <mergeCell ref="P144:V144"/>
    <mergeCell ref="A36:O37"/>
    <mergeCell ref="P253:T253"/>
    <mergeCell ref="A223:Z223"/>
    <mergeCell ref="P82:T82"/>
    <mergeCell ref="V11:W11"/>
    <mergeCell ref="A205:O206"/>
    <mergeCell ref="D29:E29"/>
    <mergeCell ref="V286:W286"/>
    <mergeCell ref="D23:E23"/>
    <mergeCell ref="A20:Z20"/>
    <mergeCell ref="D252:E252"/>
    <mergeCell ref="P123:T123"/>
    <mergeCell ref="P281:V281"/>
    <mergeCell ref="D226:E226"/>
    <mergeCell ref="P183:T183"/>
    <mergeCell ref="D270:E270"/>
    <mergeCell ref="P2:W3"/>
    <mergeCell ref="A57:O58"/>
    <mergeCell ref="P198:T198"/>
    <mergeCell ref="P54:T54"/>
    <mergeCell ref="A170:Z170"/>
    <mergeCell ref="D35:E35"/>
    <mergeCell ref="D10:E10"/>
    <mergeCell ref="P135:T135"/>
    <mergeCell ref="P191:T191"/>
    <mergeCell ref="D34:E34"/>
    <mergeCell ref="F10:G10"/>
    <mergeCell ref="P78:V78"/>
    <mergeCell ref="P110:T110"/>
    <mergeCell ref="P66:V66"/>
    <mergeCell ref="A127:Z127"/>
    <mergeCell ref="A176:Z176"/>
    <mergeCell ref="A64:Z64"/>
    <mergeCell ref="D155:E155"/>
    <mergeCell ref="D22:E22"/>
    <mergeCell ref="D149:E149"/>
    <mergeCell ref="A62:O63"/>
    <mergeCell ref="P178:T178"/>
    <mergeCell ref="P34:T34"/>
    <mergeCell ref="P50:V50"/>
    <mergeCell ref="P270:T270"/>
    <mergeCell ref="P284:V284"/>
    <mergeCell ref="D150:E150"/>
    <mergeCell ref="P63:V63"/>
    <mergeCell ref="D215:E215"/>
    <mergeCell ref="P194:V194"/>
    <mergeCell ref="A75:Z75"/>
    <mergeCell ref="P258:V258"/>
    <mergeCell ref="A175:Z175"/>
    <mergeCell ref="A235:Z235"/>
    <mergeCell ref="A230:Z230"/>
    <mergeCell ref="P267:T267"/>
    <mergeCell ref="D275:E275"/>
    <mergeCell ref="D104:E104"/>
    <mergeCell ref="P254:V254"/>
    <mergeCell ref="P83:V83"/>
    <mergeCell ref="A279:O284"/>
    <mergeCell ref="P278:V278"/>
    <mergeCell ref="D263:E263"/>
    <mergeCell ref="P220:T220"/>
    <mergeCell ref="A216:O217"/>
    <mergeCell ref="D253:E253"/>
    <mergeCell ref="P163:V163"/>
    <mergeCell ref="A153:Z153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A85:Z85"/>
    <mergeCell ref="D143:E143"/>
    <mergeCell ref="P177:T177"/>
    <mergeCell ref="P226:T226"/>
    <mergeCell ref="P93:T93"/>
    <mergeCell ref="P269:T269"/>
    <mergeCell ref="P120:V120"/>
    <mergeCell ref="P276:T276"/>
    <mergeCell ref="D257:E257"/>
    <mergeCell ref="V6:W9"/>
    <mergeCell ref="P234:V234"/>
    <mergeCell ref="P109:T109"/>
    <mergeCell ref="A59:Z59"/>
    <mergeCell ref="D65:E65"/>
    <mergeCell ref="P22:T22"/>
    <mergeCell ref="D6:M6"/>
    <mergeCell ref="P57:V57"/>
    <mergeCell ref="G17:G18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D177:E177"/>
    <mergeCell ref="A8:C8"/>
    <mergeCell ref="T6:U9"/>
    <mergeCell ref="P112:T112"/>
    <mergeCell ref="A91:Z91"/>
    <mergeCell ref="P116:V116"/>
    <mergeCell ref="P114:T114"/>
    <mergeCell ref="AA17:AA18"/>
    <mergeCell ref="H10:M10"/>
    <mergeCell ref="AC17:AC18"/>
    <mergeCell ref="A122:Z122"/>
    <mergeCell ref="A224:Z224"/>
    <mergeCell ref="D128:E128"/>
    <mergeCell ref="D48:E48"/>
    <mergeCell ref="P77:T77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P261:T261"/>
    <mergeCell ref="A146:Z146"/>
    <mergeCell ref="D204:E204"/>
    <mergeCell ref="P161:T161"/>
    <mergeCell ref="D198:E198"/>
    <mergeCell ref="A92:Z92"/>
    <mergeCell ref="P227:V227"/>
    <mergeCell ref="P58:V58"/>
    <mergeCell ref="P79:V79"/>
    <mergeCell ref="P244:V244"/>
    <mergeCell ref="P73:V73"/>
    <mergeCell ref="A196:Z196"/>
    <mergeCell ref="P115:T115"/>
    <mergeCell ref="A256:Z256"/>
    <mergeCell ref="D61:E61"/>
    <mergeCell ref="A157:O158"/>
    <mergeCell ref="A78:O79"/>
    <mergeCell ref="P247:V247"/>
    <mergeCell ref="A221:O222"/>
    <mergeCell ref="P156:T156"/>
    <mergeCell ref="P105:V105"/>
    <mergeCell ref="P99:V99"/>
    <mergeCell ref="A160:Z160"/>
    <mergeCell ref="A141:Z141"/>
    <mergeCell ref="A144:O145"/>
    <mergeCell ref="P111:T111"/>
    <mergeCell ref="A105:O106"/>
    <mergeCell ref="A243:O244"/>
    <mergeCell ref="D202:E202"/>
    <mergeCell ref="Q10:R10"/>
    <mergeCell ref="D41:E41"/>
    <mergeCell ref="A208:Z208"/>
    <mergeCell ref="P84:V84"/>
    <mergeCell ref="D137:E137"/>
    <mergeCell ref="A13:M13"/>
    <mergeCell ref="A15:M15"/>
    <mergeCell ref="P204:T204"/>
    <mergeCell ref="J9:M9"/>
    <mergeCell ref="D112:E112"/>
    <mergeCell ref="P30:V30"/>
    <mergeCell ref="H17:H18"/>
    <mergeCell ref="P27:T27"/>
    <mergeCell ref="P61:T61"/>
    <mergeCell ref="P48:T48"/>
    <mergeCell ref="A9:C9"/>
    <mergeCell ref="A12:M12"/>
    <mergeCell ref="A68:Z68"/>
    <mergeCell ref="D189:E189"/>
    <mergeCell ref="D53:E53"/>
    <mergeCell ref="D47:E47"/>
    <mergeCell ref="P124:V124"/>
    <mergeCell ref="P151:V151"/>
    <mergeCell ref="D130:E130"/>
    <mergeCell ref="T5:U5"/>
    <mergeCell ref="D119:E119"/>
    <mergeCell ref="P76:T76"/>
    <mergeCell ref="D190:E190"/>
    <mergeCell ref="D246:E246"/>
    <mergeCell ref="P203:T203"/>
    <mergeCell ref="V5:W5"/>
    <mergeCell ref="D111:E111"/>
    <mergeCell ref="P212:V212"/>
    <mergeCell ref="Q8:R8"/>
    <mergeCell ref="P69:T69"/>
    <mergeCell ref="D183:E183"/>
    <mergeCell ref="H5:M5"/>
    <mergeCell ref="Q13:R13"/>
    <mergeCell ref="P41:T41"/>
    <mergeCell ref="M17:M18"/>
    <mergeCell ref="O17:O18"/>
    <mergeCell ref="P185:V185"/>
    <mergeCell ref="A159:Z159"/>
    <mergeCell ref="D24:E24"/>
    <mergeCell ref="A219:Z219"/>
    <mergeCell ref="Q11:R11"/>
    <mergeCell ref="A6:C6"/>
    <mergeCell ref="D113:E113"/>
    <mergeCell ref="A5:C5"/>
    <mergeCell ref="A187:Z187"/>
    <mergeCell ref="A174:Z174"/>
    <mergeCell ref="A108:Z108"/>
    <mergeCell ref="D166:E166"/>
    <mergeCell ref="A118:Z118"/>
    <mergeCell ref="A17:A18"/>
    <mergeCell ref="K17:K18"/>
    <mergeCell ref="C17:C18"/>
    <mergeCell ref="D103:E103"/>
    <mergeCell ref="P137:T137"/>
    <mergeCell ref="D9:E9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D26:E26"/>
    <mergeCell ref="P55:T55"/>
    <mergeCell ref="D115:E115"/>
    <mergeCell ref="Q12:R12"/>
    <mergeCell ref="D261:E261"/>
    <mergeCell ref="P119:T119"/>
    <mergeCell ref="P246:T246"/>
    <mergeCell ref="A43:O44"/>
    <mergeCell ref="P62:V62"/>
    <mergeCell ref="P133:V133"/>
    <mergeCell ref="A250:Z250"/>
    <mergeCell ref="A254:O255"/>
    <mergeCell ref="D232:E232"/>
    <mergeCell ref="P238:V238"/>
    <mergeCell ref="A247:O248"/>
    <mergeCell ref="D156:E156"/>
    <mergeCell ref="P210:T210"/>
    <mergeCell ref="P87:T87"/>
    <mergeCell ref="P24:T24"/>
    <mergeCell ref="D178:E178"/>
    <mergeCell ref="P88:T88"/>
    <mergeCell ref="P26:T26"/>
    <mergeCell ref="A72:O73"/>
    <mergeCell ref="A199:O200"/>
    <mergeCell ref="A287:A288"/>
    <mergeCell ref="P248:V248"/>
    <mergeCell ref="A266:Z266"/>
    <mergeCell ref="A260:Z260"/>
    <mergeCell ref="P252:T252"/>
    <mergeCell ref="P259:V259"/>
    <mergeCell ref="AC287:AC288"/>
    <mergeCell ref="D148:E148"/>
    <mergeCell ref="P142:T142"/>
    <mergeCell ref="R287:R288"/>
    <mergeCell ref="G287:G288"/>
    <mergeCell ref="I287:I288"/>
    <mergeCell ref="P272:T272"/>
    <mergeCell ref="W287:W288"/>
    <mergeCell ref="O287:O288"/>
    <mergeCell ref="D269:E269"/>
    <mergeCell ref="P287:P288"/>
    <mergeCell ref="D273:E273"/>
    <mergeCell ref="P274:T274"/>
    <mergeCell ref="P257:T257"/>
    <mergeCell ref="Y286:AB286"/>
    <mergeCell ref="C287:C288"/>
    <mergeCell ref="E287:E288"/>
    <mergeCell ref="D286:U286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A229:Z229"/>
    <mergeCell ref="P17:T18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H1:Q1"/>
    <mergeCell ref="P280:V280"/>
    <mergeCell ref="P222:V222"/>
    <mergeCell ref="P193:V193"/>
    <mergeCell ref="A74:Z74"/>
    <mergeCell ref="A237:O238"/>
    <mergeCell ref="A66:O67"/>
    <mergeCell ref="D28:E28"/>
    <mergeCell ref="A101:Z101"/>
    <mergeCell ref="D236:E236"/>
    <mergeCell ref="A179:O180"/>
    <mergeCell ref="P171:T171"/>
    <mergeCell ref="D55:E55"/>
    <mergeCell ref="P242:T242"/>
    <mergeCell ref="A140:Z140"/>
    <mergeCell ref="D5:E5"/>
    <mergeCell ref="P42:T42"/>
    <mergeCell ref="D94:E94"/>
    <mergeCell ref="P148:T148"/>
    <mergeCell ref="D69:E69"/>
    <mergeCell ref="P162:V162"/>
    <mergeCell ref="P106:V106"/>
    <mergeCell ref="P264:V264"/>
    <mergeCell ref="A45:Z45"/>
    <mergeCell ref="D7:M7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209:E209"/>
    <mergeCell ref="P166:T166"/>
    <mergeCell ref="D87:E87"/>
    <mergeCell ref="A162:O163"/>
    <mergeCell ref="A233:O234"/>
    <mergeCell ref="P103:T103"/>
    <mergeCell ref="A227:O228"/>
    <mergeCell ref="P268:T268"/>
    <mergeCell ref="P97:T97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D129:E129"/>
    <mergeCell ref="P279:V279"/>
    <mergeCell ref="P273:T273"/>
    <mergeCell ref="D272:E272"/>
    <mergeCell ref="D274:E274"/>
    <mergeCell ref="F287:F288"/>
    <mergeCell ref="H287:H288"/>
    <mergeCell ref="AA287:AA288"/>
    <mergeCell ref="D88:E88"/>
    <mergeCell ref="A277:O278"/>
    <mergeCell ref="D93:E93"/>
    <mergeCell ref="D220:E220"/>
    <mergeCell ref="P199:V199"/>
    <mergeCell ref="A195:Z195"/>
    <mergeCell ref="P211:V211"/>
    <mergeCell ref="P155:T155"/>
    <mergeCell ref="D70:E70"/>
    <mergeCell ref="A80:Z80"/>
    <mergeCell ref="A197:Z197"/>
    <mergeCell ref="V10:W10"/>
    <mergeCell ref="AB287:AB288"/>
    <mergeCell ref="A193:O194"/>
    <mergeCell ref="W17:W18"/>
    <mergeCell ref="A264:O265"/>
    <mergeCell ref="P49:V49"/>
    <mergeCell ref="P36:V36"/>
    <mergeCell ref="A32:Z32"/>
    <mergeCell ref="P72:V72"/>
    <mergeCell ref="A251:Z251"/>
    <mergeCell ref="A188:Z188"/>
    <mergeCell ref="A126:Z126"/>
    <mergeCell ref="P228:V228"/>
    <mergeCell ref="A240:Z240"/>
    <mergeCell ref="P200:V200"/>
    <mergeCell ref="P243:V243"/>
    <mergeCell ref="K287:K288"/>
    <mergeCell ref="P233:V233"/>
    <mergeCell ref="P275:T275"/>
    <mergeCell ref="P209:T209"/>
    <mergeCell ref="Q9:R9"/>
    <mergeCell ref="A19:Z19"/>
    <mergeCell ref="A14:M14"/>
    <mergeCell ref="D109:E109"/>
    <mergeCell ref="P262:T262"/>
    <mergeCell ref="R1:T1"/>
    <mergeCell ref="D71:E71"/>
    <mergeCell ref="P28:T28"/>
    <mergeCell ref="P150:T150"/>
    <mergeCell ref="P215:T215"/>
    <mergeCell ref="A89:O90"/>
    <mergeCell ref="D98:E98"/>
    <mergeCell ref="P179:V179"/>
    <mergeCell ref="P206:V206"/>
    <mergeCell ref="P37:V37"/>
    <mergeCell ref="P168:V168"/>
    <mergeCell ref="P104:T104"/>
    <mergeCell ref="B17:B18"/>
    <mergeCell ref="D131:E131"/>
    <mergeCell ref="A60:Z60"/>
    <mergeCell ref="P56:T56"/>
    <mergeCell ref="H9:I9"/>
    <mergeCell ref="P89:V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2026-09-18T12:25:31Z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