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4FB2F77-0A39-4977-BA53-C3F72D6CB7A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Z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P115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P98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Z86" i="2"/>
  <c r="Y86" i="2"/>
  <c r="BN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Y82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P50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P38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N31" i="2" l="1"/>
  <c r="BN41" i="2"/>
  <c r="BN118" i="2"/>
  <c r="BN185" i="2"/>
  <c r="BN298" i="2"/>
  <c r="BN397" i="2"/>
  <c r="BN416" i="2"/>
  <c r="BN521" i="2"/>
  <c r="BP80" i="2"/>
  <c r="BP86" i="2"/>
  <c r="Z105" i="2"/>
  <c r="BN107" i="2"/>
  <c r="BN159" i="2"/>
  <c r="BP173" i="2"/>
  <c r="BN191" i="2"/>
  <c r="Z205" i="2"/>
  <c r="Z206" i="2" s="1"/>
  <c r="Z221" i="2"/>
  <c r="BN233" i="2"/>
  <c r="BN327" i="2"/>
  <c r="Z349" i="2"/>
  <c r="BN384" i="2"/>
  <c r="BN410" i="2"/>
  <c r="BN443" i="2"/>
  <c r="Z466" i="2"/>
  <c r="BN466" i="2"/>
  <c r="Z476" i="2"/>
  <c r="BN486" i="2"/>
  <c r="Y366" i="2"/>
  <c r="BP436" i="2"/>
  <c r="Z436" i="2"/>
  <c r="BN240" i="2"/>
  <c r="Z233" i="2"/>
  <c r="Z318" i="2"/>
  <c r="Z319" i="2" s="1"/>
  <c r="BN512" i="2"/>
  <c r="BN516" i="2"/>
  <c r="Z241" i="2"/>
  <c r="Z293" i="2"/>
  <c r="BN474" i="2"/>
  <c r="BP93" i="2"/>
  <c r="Z93" i="2"/>
  <c r="Z532" i="2"/>
  <c r="BN530" i="2"/>
  <c r="Z521" i="2"/>
  <c r="BN515" i="2"/>
  <c r="Z512" i="2"/>
  <c r="BN510" i="2"/>
  <c r="BN503" i="2"/>
  <c r="BN502" i="2"/>
  <c r="Z486" i="2"/>
  <c r="Z474" i="2"/>
  <c r="Z465" i="2"/>
  <c r="BP465" i="2"/>
  <c r="Y467" i="2"/>
  <c r="BN460" i="2"/>
  <c r="Y462" i="2"/>
  <c r="BN455" i="2"/>
  <c r="BN454" i="2"/>
  <c r="Y451" i="2"/>
  <c r="Z442" i="2"/>
  <c r="BN442" i="2"/>
  <c r="Z440" i="2"/>
  <c r="Y432" i="2"/>
  <c r="BN429" i="2"/>
  <c r="BP428" i="2"/>
  <c r="BP422" i="2"/>
  <c r="Z417" i="2"/>
  <c r="Z415" i="2"/>
  <c r="Z404" i="2"/>
  <c r="Y399" i="2"/>
  <c r="Z397" i="2"/>
  <c r="Z396" i="2"/>
  <c r="BP396" i="2"/>
  <c r="BN392" i="2"/>
  <c r="BP389" i="2"/>
  <c r="Y394" i="2"/>
  <c r="BN382" i="2"/>
  <c r="Y387" i="2"/>
  <c r="BP379" i="2"/>
  <c r="Z374" i="2"/>
  <c r="BN374" i="2"/>
  <c r="BN372" i="2"/>
  <c r="Z363" i="2"/>
  <c r="Z353" i="2"/>
  <c r="BN351" i="2"/>
  <c r="BN343" i="2"/>
  <c r="Z337" i="2"/>
  <c r="BN336" i="2"/>
  <c r="BP333" i="2"/>
  <c r="Z328" i="2"/>
  <c r="Z327" i="2"/>
  <c r="Z326" i="2"/>
  <c r="BN326" i="2"/>
  <c r="BN313" i="2"/>
  <c r="Z295" i="2"/>
  <c r="BN293" i="2"/>
  <c r="BN292" i="2"/>
  <c r="Y299" i="2"/>
  <c r="Z277" i="2"/>
  <c r="BN266" i="2"/>
  <c r="Z261" i="2"/>
  <c r="Z262" i="2" s="1"/>
  <c r="Y252" i="2"/>
  <c r="Z251" i="2"/>
  <c r="BN250" i="2"/>
  <c r="Z242" i="2"/>
  <c r="Z240" i="2"/>
  <c r="Z231" i="2"/>
  <c r="Z230" i="2"/>
  <c r="BN218" i="2"/>
  <c r="BN199" i="2"/>
  <c r="BN194" i="2"/>
  <c r="BN192" i="2"/>
  <c r="Z191" i="2"/>
  <c r="Z190" i="2"/>
  <c r="BN187" i="2"/>
  <c r="Z185" i="2"/>
  <c r="Z184" i="2"/>
  <c r="BP184" i="2"/>
  <c r="Y179" i="2"/>
  <c r="Z161" i="2"/>
  <c r="BP161" i="2"/>
  <c r="Y148" i="2"/>
  <c r="BN145" i="2"/>
  <c r="Y136" i="2"/>
  <c r="Z127" i="2"/>
  <c r="Z107" i="2"/>
  <c r="BN106" i="2"/>
  <c r="Y112" i="2"/>
  <c r="Z104" i="2"/>
  <c r="Y100" i="2"/>
  <c r="Z77" i="2"/>
  <c r="BP77" i="2"/>
  <c r="BN77" i="2"/>
  <c r="Z48" i="2"/>
  <c r="Z31" i="2"/>
  <c r="BN28" i="2"/>
  <c r="Y33" i="2"/>
  <c r="Z28" i="2"/>
  <c r="X565" i="2"/>
  <c r="X568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Z354" i="2" s="1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Z406" i="2" s="1"/>
  <c r="BP404" i="2"/>
  <c r="BN415" i="2"/>
  <c r="Z416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32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Z399" i="2" s="1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418" i="2" l="1"/>
  <c r="Z431" i="2"/>
  <c r="Z467" i="2"/>
  <c r="Z142" i="2"/>
  <c r="Z477" i="2"/>
  <c r="Z534" i="2"/>
  <c r="Z456" i="2"/>
  <c r="Z444" i="2"/>
  <c r="Z386" i="2"/>
  <c r="Z366" i="2"/>
  <c r="Z345" i="2"/>
  <c r="Z338" i="2"/>
  <c r="Z273" i="2"/>
  <c r="Z174" i="2"/>
  <c r="Z147" i="2"/>
  <c r="Z131" i="2"/>
  <c r="Z120" i="2"/>
  <c r="Z90" i="2"/>
  <c r="X567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<sst xmlns="http://schemas.openxmlformats.org/spreadsheetml/2006/main" count="4366" uniqueCount="910">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</sst>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909</v>
      </c>
      <c r="I5" s="1013"/>
      <c r="J5" s="1013"/>
      <c r="K5" s="1013"/>
      <c r="L5" s="1013"/>
      <c r="M5" s="1013"/>
      <c r="N5" s="72"/>
      <c r="P5" s="27" t="s">
        <v>4</v>
      </c>
      <c r="Q5" s="1015">
        <v>46277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Суббота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0.375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32</v>
      </c>
      <c r="Y41" s="55">
        <f>IFERROR(IF(X41="",0,CEILING((X41/$H41),1)*$H41),"")</f>
        <v>32.64</v>
      </c>
      <c r="Z41" s="41">
        <f>IFERROR(IF(Y41=0,"",ROUNDUP(Y41/H41,0)*0.00651),"")</f>
        <v>0.11067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35</v>
      </c>
      <c r="BN41" s="78">
        <f>IFERROR(Y41*I41/H41,"0")</f>
        <v>35.70000000000001</v>
      </c>
      <c r="BO41" s="78">
        <f>IFERROR(1/J41*(X41/H41),"0")</f>
        <v>9.1575091575091583E-2</v>
      </c>
      <c r="BP41" s="78">
        <f>IFERROR(1/J41*(Y41/H41),"0")</f>
        <v>9.3406593406593408E-2</v>
      </c>
    </row>
    <row r="42" spans="1:68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16.666666666666668</v>
      </c>
      <c r="Y42" s="43">
        <f>IFERROR(Y37/H37,"0")+IFERROR(Y38/H38,"0")+IFERROR(Y39/H39,"0")+IFERROR(Y40/H40,"0")+IFERROR(Y41/H41,"0")</f>
        <v>17</v>
      </c>
      <c r="Z42" s="43">
        <f>IFERROR(IF(Z37="",0,Z37),"0")+IFERROR(IF(Z38="",0,Z38),"0")+IFERROR(IF(Z39="",0,Z39),"0")+IFERROR(IF(Z40="",0,Z40),"0")+IFERROR(IF(Z41="",0,Z41),"0")</f>
        <v>0.11067</v>
      </c>
      <c r="AA42" s="67"/>
      <c r="AB42" s="67"/>
      <c r="AC42" s="67"/>
    </row>
    <row r="43" spans="1:68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32</v>
      </c>
      <c r="Y43" s="43">
        <f>IFERROR(SUM(Y37:Y41),"0")</f>
        <v>32.64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200</v>
      </c>
      <c r="Y47" s="55">
        <f>IFERROR(IF(X47="",0,CEILING((X47/$H47),1)*$H47),"")</f>
        <v>205.20000000000002</v>
      </c>
      <c r="Z47" s="41">
        <f>IFERROR(IF(Y47=0,"",ROUNDUP(Y47/H47,0)*0.01898),"")</f>
        <v>0.36062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207.59259259259258</v>
      </c>
      <c r="BN47" s="78">
        <f>IFERROR(Y47*I47/H47,"0")</f>
        <v>212.99</v>
      </c>
      <c r="BO47" s="78">
        <f>IFERROR(1/J47*(X47/H47),"0")</f>
        <v>0.28935185185185186</v>
      </c>
      <c r="BP47" s="78">
        <f>IFERROR(1/J47*(Y47/H47),"0")</f>
        <v>0.296875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360</v>
      </c>
      <c r="Y49" s="55">
        <f>IFERROR(IF(X49="",0,CEILING((X49/$H49),1)*$H49),"")</f>
        <v>360</v>
      </c>
      <c r="Z49" s="41">
        <f>IFERROR(IF(Y49=0,"",ROUNDUP(Y49/H49,0)*0.00902),"")</f>
        <v>0.81180000000000008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377.1</v>
      </c>
      <c r="BN49" s="78">
        <f>IFERROR(Y49*I49/H49,"0")</f>
        <v>377.1</v>
      </c>
      <c r="BO49" s="78">
        <f>IFERROR(1/J49*(X49/H49),"0")</f>
        <v>0.68181818181818188</v>
      </c>
      <c r="BP49" s="78">
        <f>IFERROR(1/J49*(Y49/H49),"0")</f>
        <v>0.68181818181818188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108.51851851851852</v>
      </c>
      <c r="Y51" s="43">
        <f>IFERROR(Y47/H47,"0")+IFERROR(Y48/H48,"0")+IFERROR(Y49/H49,"0")+IFERROR(Y50/H50,"0")</f>
        <v>109</v>
      </c>
      <c r="Z51" s="43">
        <f>IFERROR(IF(Z47="",0,Z47),"0")+IFERROR(IF(Z48="",0,Z48),"0")+IFERROR(IF(Z49="",0,Z49),"0")+IFERROR(IF(Z50="",0,Z50),"0")</f>
        <v>1.17242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560</v>
      </c>
      <c r="Y52" s="43">
        <f>IFERROR(SUM(Y47:Y50),"0")</f>
        <v>565.20000000000005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200</v>
      </c>
      <c r="Y56" s="55">
        <f t="shared" si="0"/>
        <v>205.20000000000002</v>
      </c>
      <c r="Z56" s="41">
        <f>IFERROR(IF(Y56=0,"",ROUNDUP(Y56/H56,0)*0.01898),"")</f>
        <v>0.36062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207.59259259259258</v>
      </c>
      <c r="BN56" s="78">
        <f t="shared" si="2"/>
        <v>212.99</v>
      </c>
      <c r="BO56" s="78">
        <f t="shared" si="3"/>
        <v>0.28935185185185186</v>
      </c>
      <c r="BP56" s="78">
        <f t="shared" si="4"/>
        <v>0.296875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630</v>
      </c>
      <c r="Y60" s="55">
        <f t="shared" si="0"/>
        <v>630</v>
      </c>
      <c r="Z60" s="41">
        <f>IFERROR(IF(Y60=0,"",ROUNDUP(Y60/H60,0)*0.00902),"")</f>
        <v>1.2627999999999999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656.6</v>
      </c>
      <c r="BN60" s="78">
        <f t="shared" si="2"/>
        <v>656.6</v>
      </c>
      <c r="BO60" s="78">
        <f t="shared" si="3"/>
        <v>1.0606060606060606</v>
      </c>
      <c r="BP60" s="78">
        <f t="shared" si="4"/>
        <v>1.0606060606060606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158.51851851851853</v>
      </c>
      <c r="Y61" s="43">
        <f>IFERROR(Y55/H55,"0")+IFERROR(Y56/H56,"0")+IFERROR(Y57/H57,"0")+IFERROR(Y58/H58,"0")+IFERROR(Y59/H59,"0")+IFERROR(Y60/H60,"0")</f>
        <v>159</v>
      </c>
      <c r="Z61" s="43">
        <f>IFERROR(IF(Z55="",0,Z55),"0")+IFERROR(IF(Z56="",0,Z56),"0")+IFERROR(IF(Z57="",0,Z57),"0")+IFERROR(IF(Z58="",0,Z58),"0")+IFERROR(IF(Z59="",0,Z59),"0")+IFERROR(IF(Z60="",0,Z60),"0")</f>
        <v>1.6234199999999999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830</v>
      </c>
      <c r="Y62" s="43">
        <f>IFERROR(SUM(Y55:Y60),"0")</f>
        <v>835.2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150</v>
      </c>
      <c r="Y64" s="55">
        <f>IFERROR(IF(X64="",0,CEILING((X64/$H64),1)*$H64),"")</f>
        <v>151.20000000000002</v>
      </c>
      <c r="Z64" s="41">
        <f>IFERROR(IF(Y64=0,"",ROUNDUP(Y64/H64,0)*0.01898),"")</f>
        <v>0.26572000000000001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155.69444444444446</v>
      </c>
      <c r="BN64" s="78">
        <f>IFERROR(Y64*I64/H64,"0")</f>
        <v>156.94</v>
      </c>
      <c r="BO64" s="78">
        <f>IFERROR(1/J64*(X64/H64),"0")</f>
        <v>0.21701388888888887</v>
      </c>
      <c r="BP64" s="78">
        <f>IFERROR(1/J64*(Y64/H64),"0")</f>
        <v>0.21875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180</v>
      </c>
      <c r="Y67" s="55">
        <f>IFERROR(IF(X67="",0,CEILING((X67/$H67),1)*$H67),"")</f>
        <v>180.9</v>
      </c>
      <c r="Z67" s="41">
        <f>IFERROR(IF(Y67=0,"",ROUNDUP(Y67/H67,0)*0.00651),"")</f>
        <v>0.43617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191.99999999999997</v>
      </c>
      <c r="BN67" s="78">
        <f>IFERROR(Y67*I67/H67,"0")</f>
        <v>192.95999999999998</v>
      </c>
      <c r="BO67" s="78">
        <f>IFERROR(1/J67*(X67/H67),"0")</f>
        <v>0.36630036630036628</v>
      </c>
      <c r="BP67" s="78">
        <f>IFERROR(1/J67*(Y67/H67),"0")</f>
        <v>0.36813186813186816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80.555555555555543</v>
      </c>
      <c r="Y68" s="43">
        <f>IFERROR(Y64/H64,"0")+IFERROR(Y65/H65,"0")+IFERROR(Y66/H66,"0")+IFERROR(Y67/H67,"0")</f>
        <v>81</v>
      </c>
      <c r="Z68" s="43">
        <f>IFERROR(IF(Z64="",0,Z64),"0")+IFERROR(IF(Z65="",0,Z65),"0")+IFERROR(IF(Z66="",0,Z66),"0")+IFERROR(IF(Z67="",0,Z67),"0")</f>
        <v>0.70189000000000001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330</v>
      </c>
      <c r="Y69" s="43">
        <f>IFERROR(SUM(Y64:Y67),"0")</f>
        <v>332.1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50</v>
      </c>
      <c r="Y77" s="55">
        <f>IFERROR(IF(X77="",0,CEILING((X77/$H77),1)*$H77),"")</f>
        <v>54.6</v>
      </c>
      <c r="Z77" s="41">
        <f>IFERROR(IF(Y77=0,"",ROUNDUP(Y77/H77,0)*0.01898),"")</f>
        <v>0.13286000000000001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52.628205128205138</v>
      </c>
      <c r="BN77" s="78">
        <f>IFERROR(Y77*I77/H77,"0")</f>
        <v>57.470000000000013</v>
      </c>
      <c r="BO77" s="78">
        <f>IFERROR(1/J77*(X77/H77),"0")</f>
        <v>0.10016025641025642</v>
      </c>
      <c r="BP77" s="78">
        <f>IFERROR(1/J77*(Y77/H77),"0")</f>
        <v>0.109375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6.4102564102564106</v>
      </c>
      <c r="Y81" s="43">
        <f>IFERROR(Y77/H77,"0")+IFERROR(Y78/H78,"0")+IFERROR(Y79/H79,"0")+IFERROR(Y80/H80,"0")</f>
        <v>7</v>
      </c>
      <c r="Z81" s="43">
        <f>IFERROR(IF(Z77="",0,Z77),"0")+IFERROR(IF(Z78="",0,Z78),"0")+IFERROR(IF(Z79="",0,Z79),"0")+IFERROR(IF(Z80="",0,Z80),"0")</f>
        <v>0.13286000000000001</v>
      </c>
      <c r="AA81" s="67"/>
      <c r="AB81" s="67"/>
      <c r="AC81" s="67"/>
    </row>
    <row r="82" spans="1:68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50</v>
      </c>
      <c r="Y82" s="43">
        <f>IFERROR(SUM(Y77:Y80),"0")</f>
        <v>54.6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150</v>
      </c>
      <c r="Y85" s="55">
        <f>IFERROR(IF(X85="",0,CEILING((X85/$H85),1)*$H85),"")</f>
        <v>151.20000000000002</v>
      </c>
      <c r="Z85" s="41">
        <f>IFERROR(IF(Y85=0,"",ROUNDUP(Y85/H85,0)*0.01898),"")</f>
        <v>0.26572000000000001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155.69444444444446</v>
      </c>
      <c r="BN85" s="78">
        <f>IFERROR(Y85*I85/H85,"0")</f>
        <v>156.94</v>
      </c>
      <c r="BO85" s="78">
        <f>IFERROR(1/J85*(X85/H85),"0")</f>
        <v>0.21701388888888887</v>
      </c>
      <c r="BP85" s="78">
        <f>IFERROR(1/J85*(Y85/H85),"0")</f>
        <v>0.21875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495</v>
      </c>
      <c r="Y89" s="55">
        <f>IFERROR(IF(X89="",0,CEILING((X89/$H89),1)*$H89),"")</f>
        <v>495</v>
      </c>
      <c r="Z89" s="41">
        <f>IFERROR(IF(Y89=0,"",ROUNDUP(Y89/H89,0)*0.00902),"")</f>
        <v>0.99219999999999997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515.90000000000009</v>
      </c>
      <c r="BN89" s="78">
        <f>IFERROR(Y89*I89/H89,"0")</f>
        <v>515.90000000000009</v>
      </c>
      <c r="BO89" s="78">
        <f>IFERROR(1/J89*(X89/H89),"0")</f>
        <v>0.83333333333333337</v>
      </c>
      <c r="BP89" s="78">
        <f>IFERROR(1/J89*(Y89/H89),"0")</f>
        <v>0.83333333333333337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123.88888888888889</v>
      </c>
      <c r="Y90" s="43">
        <f>IFERROR(Y85/H85,"0")+IFERROR(Y86/H86,"0")+IFERROR(Y87/H87,"0")+IFERROR(Y88/H88,"0")+IFERROR(Y89/H89,"0")</f>
        <v>124</v>
      </c>
      <c r="Z90" s="43">
        <f>IFERROR(IF(Z85="",0,Z85),"0")+IFERROR(IF(Z86="",0,Z86),"0")+IFERROR(IF(Z87="",0,Z87),"0")+IFERROR(IF(Z88="",0,Z88),"0")+IFERROR(IF(Z89="",0,Z89),"0")</f>
        <v>1.2579199999999999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645</v>
      </c>
      <c r="Y91" s="43">
        <f>IFERROR(SUM(Y85:Y89),"0")</f>
        <v>646.20000000000005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300</v>
      </c>
      <c r="Y93" s="55">
        <f t="shared" ref="Y93:Y99" si="5">IFERROR(IF(X93="",0,CEILING((X93/$H93),1)*$H93),"")</f>
        <v>307.8</v>
      </c>
      <c r="Z93" s="41">
        <f>IFERROR(IF(Y93=0,"",ROUNDUP(Y93/H93,0)*0.01898),"")</f>
        <v>0.72123999999999999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318.2962962962963</v>
      </c>
      <c r="BN93" s="78">
        <f t="shared" ref="BN93:BN99" si="7">IFERROR(Y93*I93/H93,"0")</f>
        <v>326.572</v>
      </c>
      <c r="BO93" s="78">
        <f t="shared" ref="BO93:BO99" si="8">IFERROR(1/J93*(X93/H93),"0")</f>
        <v>0.57870370370370372</v>
      </c>
      <c r="BP93" s="78">
        <f t="shared" ref="BP93:BP99" si="9">IFERROR(1/J93*(Y93/H93),"0")</f>
        <v>0.59375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765</v>
      </c>
      <c r="Y97" s="55">
        <f t="shared" si="5"/>
        <v>766.80000000000007</v>
      </c>
      <c r="Z97" s="41">
        <f>IFERROR(IF(Y97=0,"",ROUNDUP(Y97/H97,0)*0.00651),"")</f>
        <v>1.84884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836.39999999999986</v>
      </c>
      <c r="BN97" s="78">
        <f t="shared" si="7"/>
        <v>838.36800000000005</v>
      </c>
      <c r="BO97" s="78">
        <f t="shared" si="8"/>
        <v>1.5567765567765568</v>
      </c>
      <c r="BP97" s="78">
        <f t="shared" si="9"/>
        <v>1.5604395604395607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320.37037037037032</v>
      </c>
      <c r="Y100" s="43">
        <f>IFERROR(Y93/H93,"0")+IFERROR(Y94/H94,"0")+IFERROR(Y95/H95,"0")+IFERROR(Y96/H96,"0")+IFERROR(Y97/H97,"0")+IFERROR(Y98/H98,"0")+IFERROR(Y99/H99,"0")</f>
        <v>322</v>
      </c>
      <c r="Z100" s="43">
        <f>IFERROR(IF(Z93="",0,Z93),"0")+IFERROR(IF(Z94="",0,Z94),"0")+IFERROR(IF(Z95="",0,Z95),"0")+IFERROR(IF(Z96="",0,Z96),"0")+IFERROR(IF(Z97="",0,Z97),"0")+IFERROR(IF(Z98="",0,Z98),"0")+IFERROR(IF(Z99="",0,Z99),"0")</f>
        <v>2.5700799999999999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1065</v>
      </c>
      <c r="Y101" s="43">
        <f>IFERROR(SUM(Y93:Y99),"0")</f>
        <v>1074.6000000000001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50</v>
      </c>
      <c r="Y104" s="55">
        <f t="shared" ref="Y104:Y111" si="10">IFERROR(IF(X104="",0,CEILING((X104/$H104),1)*$H104),"")</f>
        <v>54</v>
      </c>
      <c r="Z104" s="41">
        <f>IFERROR(IF(Y104=0,"",ROUNDUP(Y104/H104,0)*0.01898),"")</f>
        <v>9.4899999999999998E-2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51.898148148148145</v>
      </c>
      <c r="BN104" s="78">
        <f t="shared" ref="BN104:BN111" si="12">IFERROR(Y104*I104/H104,"0")</f>
        <v>56.05</v>
      </c>
      <c r="BO104" s="78">
        <f t="shared" ref="BO104:BO111" si="13">IFERROR(1/J104*(X104/H104),"0")</f>
        <v>7.2337962962962965E-2</v>
      </c>
      <c r="BP104" s="78">
        <f t="shared" ref="BP104:BP111" si="14">IFERROR(1/J104*(Y104/H104),"0")</f>
        <v>7.8125E-2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540</v>
      </c>
      <c r="Y109" s="55">
        <f t="shared" si="10"/>
        <v>540</v>
      </c>
      <c r="Z109" s="41">
        <f>IFERROR(IF(Y109=0,"",ROUNDUP(Y109/H109,0)*0.00902),"")</f>
        <v>1.0824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562.80000000000007</v>
      </c>
      <c r="BN109" s="78">
        <f t="shared" si="12"/>
        <v>562.80000000000007</v>
      </c>
      <c r="BO109" s="78">
        <f t="shared" si="13"/>
        <v>0.90909090909090917</v>
      </c>
      <c r="BP109" s="78">
        <f t="shared" si="14"/>
        <v>0.90909090909090917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124.62962962962963</v>
      </c>
      <c r="Y112" s="43">
        <f>IFERROR(Y104/H104,"0")+IFERROR(Y105/H105,"0")+IFERROR(Y106/H106,"0")+IFERROR(Y107/H107,"0")+IFERROR(Y108/H108,"0")+IFERROR(Y109/H109,"0")+IFERROR(Y110/H110,"0")+IFERROR(Y111/H111,"0")</f>
        <v>125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1.1773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590</v>
      </c>
      <c r="Y113" s="43">
        <f>IFERROR(SUM(Y104:Y111),"0")</f>
        <v>594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700</v>
      </c>
      <c r="Y123" s="55">
        <f t="shared" ref="Y123:Y130" si="15">IFERROR(IF(X123="",0,CEILING((X123/$H123),1)*$H123),"")</f>
        <v>704.69999999999993</v>
      </c>
      <c r="Z123" s="41">
        <f>IFERROR(IF(Y123=0,"",ROUNDUP(Y123/H123,0)*0.01898),"")</f>
        <v>1.65126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742.17283950617275</v>
      </c>
      <c r="BN123" s="78">
        <f t="shared" ref="BN123:BN130" si="17">IFERROR(Y123*I123/H123,"0")</f>
        <v>747.15599999999995</v>
      </c>
      <c r="BO123" s="78">
        <f t="shared" ref="BO123:BO130" si="18">IFERROR(1/J123*(X123/H123),"0")</f>
        <v>1.3503086419753088</v>
      </c>
      <c r="BP123" s="78">
        <f t="shared" ref="BP123:BP130" si="19">IFERROR(1/J123*(Y123/H123),"0")</f>
        <v>1.359375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855</v>
      </c>
      <c r="Y127" s="55">
        <f t="shared" si="15"/>
        <v>855.90000000000009</v>
      </c>
      <c r="Z127" s="41">
        <f t="shared" si="20"/>
        <v>2.0636700000000001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934.8</v>
      </c>
      <c r="BN127" s="78">
        <f t="shared" si="17"/>
        <v>935.78399999999999</v>
      </c>
      <c r="BO127" s="78">
        <f t="shared" si="18"/>
        <v>1.73992673992674</v>
      </c>
      <c r="BP127" s="78">
        <f t="shared" si="19"/>
        <v>1.7417582417582418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403.08641975308637</v>
      </c>
      <c r="Y131" s="43">
        <f>IFERROR(Y123/H123,"0")+IFERROR(Y124/H124,"0")+IFERROR(Y125/H125,"0")+IFERROR(Y126/H126,"0")+IFERROR(Y127/H127,"0")+IFERROR(Y128/H128,"0")+IFERROR(Y129/H129,"0")+IFERROR(Y130/H130,"0")</f>
        <v>404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3.7149299999999998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1555</v>
      </c>
      <c r="Y132" s="43">
        <f>IFERROR(SUM(Y123:Y130),"0")</f>
        <v>1560.6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33</v>
      </c>
      <c r="Y134" s="55">
        <f>IFERROR(IF(X134="",0,CEILING((X134/$H134),1)*$H134),"")</f>
        <v>33.659999999999997</v>
      </c>
      <c r="Z134" s="41">
        <f>IFERROR(IF(Y134=0,"",ROUNDUP(Y134/H134,0)*0.00651),"")</f>
        <v>0.11067</v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37.299999999999997</v>
      </c>
      <c r="BN134" s="78">
        <f>IFERROR(Y134*I134/H134,"0")</f>
        <v>38.045999999999992</v>
      </c>
      <c r="BO134" s="78">
        <f>IFERROR(1/J134*(X134/H134),"0")</f>
        <v>9.1575091575091583E-2</v>
      </c>
      <c r="BP134" s="78">
        <f>IFERROR(1/J134*(Y134/H134),"0")</f>
        <v>9.3406593406593408E-2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16.666666666666668</v>
      </c>
      <c r="Y136" s="43">
        <f>IFERROR(Y134/H134,"0")+IFERROR(Y135/H135,"0")</f>
        <v>17</v>
      </c>
      <c r="Z136" s="43">
        <f>IFERROR(IF(Z134="",0,Z134),"0")+IFERROR(IF(Z135="",0,Z135),"0")</f>
        <v>0.11067</v>
      </c>
      <c r="AA136" s="67"/>
      <c r="AB136" s="67"/>
      <c r="AC136" s="67"/>
    </row>
    <row r="137" spans="1:68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33</v>
      </c>
      <c r="Y137" s="43">
        <f>IFERROR(SUM(Y134:Y135),"0")</f>
        <v>33.659999999999997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48</v>
      </c>
      <c r="Y141" s="55">
        <f>IFERROR(IF(X141="",0,CEILING((X141/$H141),1)*$H141),"")</f>
        <v>48</v>
      </c>
      <c r="Z141" s="41">
        <f>IFERROR(IF(Y141=0,"",ROUNDUP(Y141/H141,0)*0.00651),"")</f>
        <v>9.7650000000000001E-2</v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50.7</v>
      </c>
      <c r="BN141" s="78">
        <f>IFERROR(Y141*I141/H141,"0")</f>
        <v>50.7</v>
      </c>
      <c r="BO141" s="78">
        <f>IFERROR(1/J141*(X141/H141),"0")</f>
        <v>8.241758241758243E-2</v>
      </c>
      <c r="BP141" s="78">
        <f>IFERROR(1/J141*(Y141/H141),"0")</f>
        <v>8.241758241758243E-2</v>
      </c>
    </row>
    <row r="142" spans="1:68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15</v>
      </c>
      <c r="Y142" s="43">
        <f>IFERROR(Y140/H140,"0")+IFERROR(Y141/H141,"0")</f>
        <v>15</v>
      </c>
      <c r="Z142" s="43">
        <f>IFERROR(IF(Z140="",0,Z140),"0")+IFERROR(IF(Z141="",0,Z141),"0")</f>
        <v>9.7650000000000001E-2</v>
      </c>
      <c r="AA142" s="67"/>
      <c r="AB142" s="67"/>
      <c r="AC142" s="67"/>
    </row>
    <row r="143" spans="1:68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48</v>
      </c>
      <c r="Y143" s="43">
        <f>IFERROR(SUM(Y140:Y141),"0")</f>
        <v>48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59.499999999999993</v>
      </c>
      <c r="Y145" s="55">
        <f>IFERROR(IF(X145="",0,CEILING((X145/$H145),1)*$H145),"")</f>
        <v>61.599999999999994</v>
      </c>
      <c r="Z145" s="41">
        <f>IFERROR(IF(Y145=0,"",ROUNDUP(Y145/H145,0)*0.00651),"")</f>
        <v>0.14322000000000001</v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65.195000000000007</v>
      </c>
      <c r="BN145" s="78">
        <f>IFERROR(Y145*I145/H145,"0")</f>
        <v>67.496000000000009</v>
      </c>
      <c r="BO145" s="78">
        <f>IFERROR(1/J145*(X145/H145),"0")</f>
        <v>0.11675824175824177</v>
      </c>
      <c r="BP145" s="78">
        <f>IFERROR(1/J145*(Y145/H145),"0")</f>
        <v>0.12087912087912089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21.25</v>
      </c>
      <c r="Y147" s="43">
        <f>IFERROR(Y145/H145,"0")+IFERROR(Y146/H146,"0")</f>
        <v>22</v>
      </c>
      <c r="Z147" s="43">
        <f>IFERROR(IF(Z145="",0,Z145),"0")+IFERROR(IF(Z146="",0,Z146),"0")</f>
        <v>0.14322000000000001</v>
      </c>
      <c r="AA147" s="67"/>
      <c r="AB147" s="67"/>
      <c r="AC147" s="67"/>
    </row>
    <row r="148" spans="1:68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59.499999999999993</v>
      </c>
      <c r="Y148" s="43">
        <f>IFERROR(SUM(Y145:Y146),"0")</f>
        <v>61.599999999999994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66</v>
      </c>
      <c r="Y150" s="55">
        <f>IFERROR(IF(X150="",0,CEILING((X150/$H150),1)*$H150),"")</f>
        <v>66</v>
      </c>
      <c r="Z150" s="41">
        <f>IFERROR(IF(Y150=0,"",ROUNDUP(Y150/H150,0)*0.00651),"")</f>
        <v>0.16275000000000001</v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72.699999999999989</v>
      </c>
      <c r="BN150" s="78">
        <f>IFERROR(Y150*I150/H150,"0")</f>
        <v>72.699999999999989</v>
      </c>
      <c r="BO150" s="78">
        <f>IFERROR(1/J150*(X150/H150),"0")</f>
        <v>0.13736263736263737</v>
      </c>
      <c r="BP150" s="78">
        <f>IFERROR(1/J150*(Y150/H150),"0")</f>
        <v>0.13736263736263737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25</v>
      </c>
      <c r="Y152" s="43">
        <f>IFERROR(Y150/H150,"0")+IFERROR(Y151/H151,"0")</f>
        <v>25</v>
      </c>
      <c r="Z152" s="43">
        <f>IFERROR(IF(Z150="",0,Z150),"0")+IFERROR(IF(Z151="",0,Z151),"0")</f>
        <v>0.16275000000000001</v>
      </c>
      <c r="AA152" s="67"/>
      <c r="AB152" s="67"/>
      <c r="AC152" s="67"/>
    </row>
    <row r="153" spans="1:68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66</v>
      </c>
      <c r="Y153" s="43">
        <f>IFERROR(SUM(Y150:Y151),"0")</f>
        <v>66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8.4</v>
      </c>
      <c r="Y177" s="55">
        <f>IFERROR(IF(X177="",0,CEILING((X177/$H177),1)*$H177),"")</f>
        <v>8.64</v>
      </c>
      <c r="Z177" s="41">
        <f>IFERROR(IF(Y177=0,"",ROUNDUP(Y177/H177,0)*0.00556),"")</f>
        <v>6.6720000000000002E-2</v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9.9166666666666661</v>
      </c>
      <c r="BN177" s="78">
        <f>IFERROR(Y177*I177/H177,"0")</f>
        <v>10.200000000000001</v>
      </c>
      <c r="BO177" s="78">
        <f>IFERROR(1/J177*(X177/H177),"0")</f>
        <v>4.6296296296296301E-2</v>
      </c>
      <c r="BP177" s="78">
        <f>IFERROR(1/J177*(Y177/H177),"0")</f>
        <v>4.7619047619047623E-2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11.666666666666668</v>
      </c>
      <c r="Y179" s="43">
        <f>IFERROR(Y177/H177,"0")+IFERROR(Y178/H178,"0")</f>
        <v>12.000000000000002</v>
      </c>
      <c r="Z179" s="43">
        <f>IFERROR(IF(Z177="",0,Z177),"0")+IFERROR(IF(Z178="",0,Z178),"0")</f>
        <v>6.6720000000000002E-2</v>
      </c>
      <c r="AA179" s="67"/>
      <c r="AB179" s="67"/>
      <c r="AC179" s="67"/>
    </row>
    <row r="180" spans="1:68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8.4</v>
      </c>
      <c r="Y180" s="43">
        <f>IFERROR(SUM(Y177:Y178),"0")</f>
        <v>8.64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300</v>
      </c>
      <c r="Y182" s="55">
        <f t="shared" ref="Y182:Y195" si="27">IFERROR(IF(X182="",0,CEILING((X182/$H182),1)*$H182),"")</f>
        <v>301</v>
      </c>
      <c r="Z182" s="41">
        <f t="shared" ref="Z182:Z187" si="28">IFERROR(IF(Y182=0,"",ROUNDUP(Y182/H182,0)*0.00902),"")</f>
        <v>0.77571999999999997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316.28571428571428</v>
      </c>
      <c r="BN182" s="78">
        <f t="shared" ref="BN182:BN195" si="30">IFERROR(Y182*I182/H182,"0")</f>
        <v>317.34000000000003</v>
      </c>
      <c r="BO182" s="78">
        <f t="shared" ref="BO182:BO195" si="31">IFERROR(1/J182*(X182/H182),"0")</f>
        <v>0.64935064935064934</v>
      </c>
      <c r="BP182" s="78">
        <f t="shared" ref="BP182:BP195" si="32">IFERROR(1/J182*(Y182/H182),"0")</f>
        <v>0.65151515151515149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600</v>
      </c>
      <c r="Y184" s="55">
        <f t="shared" si="27"/>
        <v>602</v>
      </c>
      <c r="Z184" s="41">
        <f t="shared" si="28"/>
        <v>1.5514399999999999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632.57142857142856</v>
      </c>
      <c r="BN184" s="78">
        <f t="shared" si="30"/>
        <v>634.68000000000006</v>
      </c>
      <c r="BO184" s="78">
        <f t="shared" si="31"/>
        <v>1.2987012987012987</v>
      </c>
      <c r="BP184" s="78">
        <f t="shared" si="32"/>
        <v>1.303030303030303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600</v>
      </c>
      <c r="Y186" s="55">
        <f t="shared" si="27"/>
        <v>602</v>
      </c>
      <c r="Z186" s="41">
        <f t="shared" si="28"/>
        <v>1.5514399999999999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632.57142857142856</v>
      </c>
      <c r="BN186" s="78">
        <f t="shared" si="30"/>
        <v>634.68000000000006</v>
      </c>
      <c r="BO186" s="78">
        <f t="shared" si="31"/>
        <v>1.2987012987012987</v>
      </c>
      <c r="BP186" s="78">
        <f t="shared" si="32"/>
        <v>1.303030303030303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2.6999999999999997</v>
      </c>
      <c r="Y188" s="55">
        <f t="shared" si="27"/>
        <v>2.7</v>
      </c>
      <c r="Z188" s="41">
        <f>IFERROR(IF(Y188=0,"",ROUNDUP(Y188/H188,0)*0.00417),"")</f>
        <v>1.251E-2</v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3.3299999999999996</v>
      </c>
      <c r="BN188" s="78">
        <f t="shared" si="30"/>
        <v>3.33</v>
      </c>
      <c r="BO188" s="78">
        <f t="shared" si="31"/>
        <v>8.9285714285714263E-3</v>
      </c>
      <c r="BP188" s="78">
        <f t="shared" si="32"/>
        <v>8.9285714285714281E-3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168.00000000000003</v>
      </c>
      <c r="Y190" s="55">
        <f t="shared" si="27"/>
        <v>168</v>
      </c>
      <c r="Z190" s="41">
        <f>IFERROR(IF(Y190=0,"",ROUNDUP(Y190/H190,0)*0.00502),"")</f>
        <v>0.502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178.00000000000006</v>
      </c>
      <c r="BN190" s="78">
        <f t="shared" si="30"/>
        <v>178.00000000000003</v>
      </c>
      <c r="BO190" s="78">
        <f t="shared" si="31"/>
        <v>0.42735042735042744</v>
      </c>
      <c r="BP190" s="78">
        <f t="shared" si="32"/>
        <v>0.42735042735042739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168.00000000000003</v>
      </c>
      <c r="Y192" s="55">
        <f t="shared" si="27"/>
        <v>168</v>
      </c>
      <c r="Z192" s="41">
        <f>IFERROR(IF(Y192=0,"",ROUNDUP(Y192/H192,0)*0.00502),"")</f>
        <v>0.502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178.00000000000006</v>
      </c>
      <c r="BN192" s="78">
        <f t="shared" si="30"/>
        <v>178.00000000000003</v>
      </c>
      <c r="BO192" s="78">
        <f t="shared" si="31"/>
        <v>0.42735042735042744</v>
      </c>
      <c r="BP192" s="78">
        <f t="shared" si="32"/>
        <v>0.42735042735042739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168.00000000000003</v>
      </c>
      <c r="Y195" s="55">
        <f t="shared" si="27"/>
        <v>168</v>
      </c>
      <c r="Z195" s="41">
        <f>IFERROR(IF(Y195=0,"",ROUNDUP(Y195/H195,0)*0.00502),"")</f>
        <v>0.502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178.00000000000006</v>
      </c>
      <c r="BN195" s="78">
        <f t="shared" si="30"/>
        <v>178.00000000000003</v>
      </c>
      <c r="BO195" s="78">
        <f t="shared" si="31"/>
        <v>0.42735042735042744</v>
      </c>
      <c r="BP195" s="78">
        <f t="shared" si="32"/>
        <v>0.42735042735042739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731.57142857142856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733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5.3971099999999996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2006.7</v>
      </c>
      <c r="Y197" s="43">
        <f>IFERROR(SUM(Y182:Y195),"0")</f>
        <v>2011.7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100</v>
      </c>
      <c r="Y220" s="55">
        <f t="shared" si="33"/>
        <v>108</v>
      </c>
      <c r="Z220" s="41">
        <f t="shared" si="34"/>
        <v>0.1898</v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103.79629629629629</v>
      </c>
      <c r="BN220" s="78">
        <f t="shared" si="36"/>
        <v>112.1</v>
      </c>
      <c r="BO220" s="78">
        <f t="shared" si="37"/>
        <v>0.14467592592592593</v>
      </c>
      <c r="BP220" s="78">
        <f t="shared" si="38"/>
        <v>0.15625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9.2592592592592595</v>
      </c>
      <c r="Y222" s="43">
        <f>IFERROR(Y215/H215,"0")+IFERROR(Y216/H216,"0")+IFERROR(Y217/H217,"0")+IFERROR(Y218/H218,"0")+IFERROR(Y219/H219,"0")+IFERROR(Y220/H220,"0")+IFERROR(Y221/H221,"0")</f>
        <v>10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0.1898</v>
      </c>
      <c r="AA222" s="67"/>
      <c r="AB222" s="67"/>
      <c r="AC222" s="67"/>
    </row>
    <row r="223" spans="1:68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100</v>
      </c>
      <c r="Y223" s="43">
        <f>IFERROR(SUM(Y215:Y221),"0")</f>
        <v>108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80</v>
      </c>
      <c r="Y230" s="55">
        <f t="shared" ref="Y230:Y243" si="39">IFERROR(IF(X230="",0,CEILING((X230/$H230),1)*$H230),"")</f>
        <v>84</v>
      </c>
      <c r="Z230" s="41">
        <f>IFERROR(IF(Y230=0,"",ROUNDUP(Y230/H230,0)*0.00902),"")</f>
        <v>0.1804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84.761904761904759</v>
      </c>
      <c r="BN230" s="78">
        <f t="shared" ref="BN230:BN243" si="41">IFERROR(Y230*I230/H230,"0")</f>
        <v>89</v>
      </c>
      <c r="BO230" s="78">
        <f t="shared" ref="BO230:BO243" si="42">IFERROR(1/J230*(X230/H230),"0")</f>
        <v>0.14430014430014429</v>
      </c>
      <c r="BP230" s="78">
        <f t="shared" ref="BP230:BP243" si="43">IFERROR(1/J230*(Y230/H230),"0")</f>
        <v>0.15151515151515152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30</v>
      </c>
      <c r="Y231" s="55">
        <f t="shared" si="39"/>
        <v>33.6</v>
      </c>
      <c r="Z231" s="41">
        <f>IFERROR(IF(Y231=0,"",ROUNDUP(Y231/H231,0)*0.00902),"")</f>
        <v>7.2160000000000002E-2</v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31.785714285714285</v>
      </c>
      <c r="BN231" s="78">
        <f t="shared" si="41"/>
        <v>35.6</v>
      </c>
      <c r="BO231" s="78">
        <f t="shared" si="42"/>
        <v>5.4112554112554112E-2</v>
      </c>
      <c r="BP231" s="78">
        <f t="shared" si="43"/>
        <v>6.0606060606060608E-2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150</v>
      </c>
      <c r="Y232" s="55">
        <f t="shared" si="39"/>
        <v>151.20000000000002</v>
      </c>
      <c r="Z232" s="41">
        <f>IFERROR(IF(Y232=0,"",ROUNDUP(Y232/H232,0)*0.00902),"")</f>
        <v>0.32472000000000001</v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156.78571428571428</v>
      </c>
      <c r="BN232" s="78">
        <f t="shared" si="41"/>
        <v>158.04</v>
      </c>
      <c r="BO232" s="78">
        <f t="shared" si="42"/>
        <v>0.27056277056277056</v>
      </c>
      <c r="BP232" s="78">
        <f t="shared" si="43"/>
        <v>0.27272727272727271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12</v>
      </c>
      <c r="Y233" s="55">
        <f t="shared" si="39"/>
        <v>12</v>
      </c>
      <c r="Z233" s="41">
        <f>IFERROR(IF(Y233=0,"",ROUNDUP(Y233/H233,0)*0.00556),"")</f>
        <v>8.3400000000000002E-2</v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13.95</v>
      </c>
      <c r="BN233" s="78">
        <f t="shared" si="41"/>
        <v>13.95</v>
      </c>
      <c r="BO233" s="78">
        <f t="shared" si="42"/>
        <v>5.9523809523809521E-2</v>
      </c>
      <c r="BP233" s="78">
        <f t="shared" si="43"/>
        <v>5.9523809523809521E-2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70</v>
      </c>
      <c r="Y234" s="55">
        <f t="shared" si="39"/>
        <v>71.400000000000006</v>
      </c>
      <c r="Z234" s="41">
        <f t="shared" ref="Z234:Z239" si="44">IFERROR(IF(Y234=0,"",ROUNDUP(Y234/H234,0)*0.00502),"")</f>
        <v>0.17068</v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74.333333333333329</v>
      </c>
      <c r="BN234" s="78">
        <f t="shared" si="41"/>
        <v>75.820000000000007</v>
      </c>
      <c r="BO234" s="78">
        <f t="shared" si="42"/>
        <v>0.14245014245014245</v>
      </c>
      <c r="BP234" s="78">
        <f t="shared" si="43"/>
        <v>0.14529914529914531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210</v>
      </c>
      <c r="Y236" s="55">
        <f t="shared" si="39"/>
        <v>210</v>
      </c>
      <c r="Z236" s="41">
        <f t="shared" si="44"/>
        <v>0.502</v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223</v>
      </c>
      <c r="BN236" s="78">
        <f t="shared" si="41"/>
        <v>223</v>
      </c>
      <c r="BO236" s="78">
        <f t="shared" si="42"/>
        <v>0.42735042735042739</v>
      </c>
      <c r="BP236" s="78">
        <f t="shared" si="43"/>
        <v>0.42735042735042739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12</v>
      </c>
      <c r="Y240" s="55">
        <f t="shared" si="39"/>
        <v>12</v>
      </c>
      <c r="Z240" s="41">
        <f>IFERROR(IF(Y240=0,"",ROUNDUP(Y240/H240,0)*0.00417),"")</f>
        <v>6.2549999999999994E-2</v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15.15</v>
      </c>
      <c r="BN240" s="78">
        <f t="shared" si="41"/>
        <v>15.15</v>
      </c>
      <c r="BO240" s="78">
        <f t="shared" si="42"/>
        <v>4.4642857142857137E-2</v>
      </c>
      <c r="BP240" s="78">
        <f t="shared" si="43"/>
        <v>4.4642857142857137E-2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420</v>
      </c>
      <c r="Y241" s="55">
        <f t="shared" si="39"/>
        <v>420</v>
      </c>
      <c r="Z241" s="41">
        <f>IFERROR(IF(Y241=0,"",ROUNDUP(Y241/H241,0)*0.00502),"")</f>
        <v>1.004</v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440.00000000000006</v>
      </c>
      <c r="BN241" s="78">
        <f t="shared" si="41"/>
        <v>440.00000000000006</v>
      </c>
      <c r="BO241" s="78">
        <f t="shared" si="42"/>
        <v>0.85470085470085477</v>
      </c>
      <c r="BP241" s="78">
        <f t="shared" si="43"/>
        <v>0.85470085470085477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425.23809523809524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428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2.3999100000000002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984</v>
      </c>
      <c r="Y245" s="43">
        <f>IFERROR(SUM(Y230:Y243),"0")</f>
        <v>994.2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7.0000000000000009</v>
      </c>
      <c r="Y255" s="55">
        <f>IFERROR(IF(X255="",0,CEILING((X255/$H255),1)*$H255),"")</f>
        <v>7.5600000000000005</v>
      </c>
      <c r="Z255" s="41">
        <f>IFERROR(IF(Y255=0,"",ROUNDUP(Y255/H255,0)*0.0059),"")</f>
        <v>3.5400000000000001E-2</v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8.0555555555555554</v>
      </c>
      <c r="BN255" s="78">
        <f>IFERROR(Y255*I255/H255,"0")</f>
        <v>8.6999999999999993</v>
      </c>
      <c r="BO255" s="78">
        <f>IFERROR(1/J255*(X255/H255),"0")</f>
        <v>2.5720164609053499E-2</v>
      </c>
      <c r="BP255" s="78">
        <f>IFERROR(1/J255*(Y255/H255),"0")</f>
        <v>2.7777777777777776E-2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28.000000000000004</v>
      </c>
      <c r="Y256" s="55">
        <f>IFERROR(IF(X256="",0,CEILING((X256/$H256),1)*$H256),"")</f>
        <v>28.98</v>
      </c>
      <c r="Z256" s="41">
        <f>IFERROR(IF(Y256=0,"",ROUNDUP(Y256/H256,0)*0.0059),"")</f>
        <v>0.13569999999999999</v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32.222222222222221</v>
      </c>
      <c r="BN256" s="78">
        <f>IFERROR(Y256*I256/H256,"0")</f>
        <v>33.35</v>
      </c>
      <c r="BO256" s="78">
        <f>IFERROR(1/J256*(X256/H256),"0")</f>
        <v>0.102880658436214</v>
      </c>
      <c r="BP256" s="78">
        <f>IFERROR(1/J256*(Y256/H256),"0")</f>
        <v>0.10648148148148148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21.000000000000004</v>
      </c>
      <c r="Y257" s="55">
        <f>IFERROR(IF(X257="",0,CEILING((X257/$H257),1)*$H257),"")</f>
        <v>21.42</v>
      </c>
      <c r="Z257" s="41">
        <f>IFERROR(IF(Y257=0,"",ROUNDUP(Y257/H257,0)*0.0059),"")</f>
        <v>0.1003</v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24.166666666666668</v>
      </c>
      <c r="BN257" s="78">
        <f>IFERROR(Y257*I257/H257,"0")</f>
        <v>24.650000000000002</v>
      </c>
      <c r="BO257" s="78">
        <f>IFERROR(1/J257*(X257/H257),"0")</f>
        <v>7.716049382716049E-2</v>
      </c>
      <c r="BP257" s="78">
        <f>IFERROR(1/J257*(Y257/H257),"0")</f>
        <v>7.8703703703703692E-2</v>
      </c>
    </row>
    <row r="258" spans="1:68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44.44444444444445</v>
      </c>
      <c r="Y258" s="43">
        <f>IFERROR(Y255/H255,"0")+IFERROR(Y256/H256,"0")+IFERROR(Y257/H257,"0")</f>
        <v>46</v>
      </c>
      <c r="Z258" s="43">
        <f>IFERROR(IF(Z255="",0,Z255),"0")+IFERROR(IF(Z256="",0,Z256),"0")+IFERROR(IF(Z257="",0,Z257),"0")</f>
        <v>0.27139999999999997</v>
      </c>
      <c r="AA258" s="67"/>
      <c r="AB258" s="67"/>
      <c r="AC258" s="67"/>
    </row>
    <row r="259" spans="1:68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56.000000000000014</v>
      </c>
      <c r="Y259" s="43">
        <f>IFERROR(SUM(Y255:Y257),"0")</f>
        <v>57.96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10.500000000000002</v>
      </c>
      <c r="Y261" s="55">
        <f>IFERROR(IF(X261="",0,CEILING((X261/$H261),1)*$H261),"")</f>
        <v>11.34</v>
      </c>
      <c r="Z261" s="41">
        <f>IFERROR(IF(Y261=0,"",ROUNDUP(Y261/H261,0)*0.0059),"")</f>
        <v>5.3100000000000001E-2</v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12.083333333333334</v>
      </c>
      <c r="BN261" s="78">
        <f>IFERROR(Y261*I261/H261,"0")</f>
        <v>13.049999999999999</v>
      </c>
      <c r="BO261" s="78">
        <f>IFERROR(1/J261*(X261/H261),"0")</f>
        <v>3.8580246913580245E-2</v>
      </c>
      <c r="BP261" s="78">
        <f>IFERROR(1/J261*(Y261/H261),"0")</f>
        <v>4.1666666666666664E-2</v>
      </c>
    </row>
    <row r="262" spans="1:68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8.3333333333333339</v>
      </c>
      <c r="Y262" s="43">
        <f>IFERROR(Y261/H261,"0")</f>
        <v>9</v>
      </c>
      <c r="Z262" s="43">
        <f>IFERROR(IF(Z261="",0,Z261),"0")</f>
        <v>5.3100000000000001E-2</v>
      </c>
      <c r="AA262" s="67"/>
      <c r="AB262" s="67"/>
      <c r="AC262" s="67"/>
    </row>
    <row r="263" spans="1:68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10.500000000000002</v>
      </c>
      <c r="Y263" s="43">
        <f>IFERROR(SUM(Y261:Y261),"0")</f>
        <v>11.34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300</v>
      </c>
      <c r="Y276" s="55">
        <f t="shared" ref="Y276:Y283" si="45">IFERROR(IF(X276="",0,CEILING((X276/$H276),1)*$H276),"")</f>
        <v>302.40000000000003</v>
      </c>
      <c r="Z276" s="41">
        <f>IFERROR(IF(Y276=0,"",ROUNDUP(Y276/H276,0)*0.00902),"")</f>
        <v>0.50512000000000001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310.55555555555554</v>
      </c>
      <c r="BN276" s="78">
        <f t="shared" ref="BN276:BN283" si="47">IFERROR(Y276*I276/H276,"0")</f>
        <v>313.04000000000002</v>
      </c>
      <c r="BO276" s="78">
        <f t="shared" ref="BO276:BO283" si="48">IFERROR(1/J276*(X276/H276),"0")</f>
        <v>0.42087542087542085</v>
      </c>
      <c r="BP276" s="78">
        <f t="shared" ref="BP276:BP283" si="49">IFERROR(1/J276*(Y276/H276),"0")</f>
        <v>0.42424242424242425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100</v>
      </c>
      <c r="Y277" s="55">
        <f t="shared" si="45"/>
        <v>102.60000000000001</v>
      </c>
      <c r="Z277" s="41">
        <f>IFERROR(IF(Y277=0,"",ROUNDUP(Y277/H277,0)*0.00902),"")</f>
        <v>0.17138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103.5185185185185</v>
      </c>
      <c r="BN277" s="78">
        <f t="shared" si="47"/>
        <v>106.21</v>
      </c>
      <c r="BO277" s="78">
        <f t="shared" si="48"/>
        <v>0.14029180695847362</v>
      </c>
      <c r="BP277" s="78">
        <f t="shared" si="49"/>
        <v>0.14393939393939395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250</v>
      </c>
      <c r="Y278" s="55">
        <f t="shared" si="45"/>
        <v>253.8</v>
      </c>
      <c r="Z278" s="41">
        <f>IFERROR(IF(Y278=0,"",ROUNDUP(Y278/H278,0)*0.00902),"")</f>
        <v>0.42393999999999998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258.7962962962963</v>
      </c>
      <c r="BN278" s="78">
        <f t="shared" si="47"/>
        <v>262.72999999999996</v>
      </c>
      <c r="BO278" s="78">
        <f t="shared" si="48"/>
        <v>0.35072951739618402</v>
      </c>
      <c r="BP278" s="78">
        <f t="shared" si="49"/>
        <v>0.35606060606060608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100</v>
      </c>
      <c r="Y279" s="55">
        <f t="shared" si="45"/>
        <v>102.60000000000001</v>
      </c>
      <c r="Z279" s="41">
        <f>IFERROR(IF(Y279=0,"",ROUNDUP(Y279/H279,0)*0.00902),"")</f>
        <v>0.17138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103.5185185185185</v>
      </c>
      <c r="BN279" s="78">
        <f t="shared" si="47"/>
        <v>106.21</v>
      </c>
      <c r="BO279" s="78">
        <f t="shared" si="48"/>
        <v>0.14029180695847362</v>
      </c>
      <c r="BP279" s="78">
        <f t="shared" si="49"/>
        <v>0.14393939393939395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150</v>
      </c>
      <c r="Y280" s="55">
        <f t="shared" si="45"/>
        <v>151.20000000000002</v>
      </c>
      <c r="Z280" s="41">
        <f>IFERROR(IF(Y280=0,"",ROUNDUP(Y280/H280,0)*0.00502),"")</f>
        <v>0.42168</v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160.83333333333334</v>
      </c>
      <c r="BN280" s="78">
        <f t="shared" si="47"/>
        <v>162.12</v>
      </c>
      <c r="BO280" s="78">
        <f t="shared" si="48"/>
        <v>0.35612535612535612</v>
      </c>
      <c r="BP280" s="78">
        <f t="shared" si="49"/>
        <v>0.35897435897435909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150</v>
      </c>
      <c r="Y281" s="55">
        <f t="shared" si="45"/>
        <v>151.20000000000002</v>
      </c>
      <c r="Z281" s="41">
        <f>IFERROR(IF(Y281=0,"",ROUNDUP(Y281/H281,0)*0.00502),"")</f>
        <v>0.42168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158.33333333333334</v>
      </c>
      <c r="BN281" s="78">
        <f t="shared" si="47"/>
        <v>159.60000000000002</v>
      </c>
      <c r="BO281" s="78">
        <f t="shared" si="48"/>
        <v>0.35612535612535612</v>
      </c>
      <c r="BP281" s="78">
        <f t="shared" si="49"/>
        <v>0.35897435897435909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150</v>
      </c>
      <c r="Y282" s="55">
        <f t="shared" si="45"/>
        <v>151.20000000000002</v>
      </c>
      <c r="Z282" s="41">
        <f>IFERROR(IF(Y282=0,"",ROUNDUP(Y282/H282,0)*0.00502),"")</f>
        <v>0.42168</v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158.33333333333334</v>
      </c>
      <c r="BN282" s="78">
        <f t="shared" si="47"/>
        <v>159.60000000000002</v>
      </c>
      <c r="BO282" s="78">
        <f t="shared" si="48"/>
        <v>0.35612535612535612</v>
      </c>
      <c r="BP282" s="78">
        <f t="shared" si="49"/>
        <v>0.35897435897435909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150</v>
      </c>
      <c r="Y283" s="55">
        <f t="shared" si="45"/>
        <v>151.20000000000002</v>
      </c>
      <c r="Z283" s="41">
        <f>IFERROR(IF(Y283=0,"",ROUNDUP(Y283/H283,0)*0.00502),"")</f>
        <v>0.42168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158.33333333333334</v>
      </c>
      <c r="BN283" s="78">
        <f t="shared" si="47"/>
        <v>159.60000000000002</v>
      </c>
      <c r="BO283" s="78">
        <f t="shared" si="48"/>
        <v>0.35612535612535612</v>
      </c>
      <c r="BP283" s="78">
        <f t="shared" si="49"/>
        <v>0.35897435897435909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472.22222222222217</v>
      </c>
      <c r="Y284" s="43">
        <f>IFERROR(Y276/H276,"0")+IFERROR(Y277/H277,"0")+IFERROR(Y278/H278,"0")+IFERROR(Y279/H279,"0")+IFERROR(Y280/H280,"0")+IFERROR(Y281/H281,"0")+IFERROR(Y282/H282,"0")+IFERROR(Y283/H283,"0")</f>
        <v>477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2.9585399999999997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1350</v>
      </c>
      <c r="Y285" s="43">
        <f>IFERROR(SUM(Y276:Y283),"0")</f>
        <v>1366.2000000000003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400</v>
      </c>
      <c r="Y287" s="55">
        <f t="shared" ref="Y287:Y298" si="50">IFERROR(IF(X287="",0,CEILING((X287/$H287),1)*$H287),"")</f>
        <v>405</v>
      </c>
      <c r="Z287" s="41">
        <f>IFERROR(IF(Y287=0,"",ROUNDUP(Y287/H287,0)*0.01898),"")</f>
        <v>0.94900000000000007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424.39506172839509</v>
      </c>
      <c r="BN287" s="78">
        <f t="shared" ref="BN287:BN298" si="52">IFERROR(Y287*I287/H287,"0")</f>
        <v>429.7</v>
      </c>
      <c r="BO287" s="78">
        <f t="shared" ref="BO287:BO298" si="53">IFERROR(1/J287*(X287/H287),"0")</f>
        <v>0.77160493827160492</v>
      </c>
      <c r="BP287" s="78">
        <f t="shared" ref="BP287:BP298" si="54">IFERROR(1/J287*(Y287/H287),"0")</f>
        <v>0.78125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300</v>
      </c>
      <c r="Y288" s="55">
        <f t="shared" si="50"/>
        <v>307.8</v>
      </c>
      <c r="Z288" s="41">
        <f>IFERROR(IF(Y288=0,"",ROUNDUP(Y288/H288,0)*0.01898),"")</f>
        <v>0.72123999999999999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317.62962962962968</v>
      </c>
      <c r="BN288" s="78">
        <f t="shared" si="52"/>
        <v>325.88800000000003</v>
      </c>
      <c r="BO288" s="78">
        <f t="shared" si="53"/>
        <v>0.57870370370370372</v>
      </c>
      <c r="BP288" s="78">
        <f t="shared" si="54"/>
        <v>0.59375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200</v>
      </c>
      <c r="Y289" s="55">
        <f t="shared" si="50"/>
        <v>200.1</v>
      </c>
      <c r="Z289" s="41">
        <f>IFERROR(IF(Y289=0,"",ROUNDUP(Y289/H289,0)*0.01898),"")</f>
        <v>0.43653999999999998</v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211.35632183908049</v>
      </c>
      <c r="BN289" s="78">
        <f t="shared" si="52"/>
        <v>211.46200000000005</v>
      </c>
      <c r="BO289" s="78">
        <f t="shared" si="53"/>
        <v>0.35919540229885061</v>
      </c>
      <c r="BP289" s="78">
        <f t="shared" si="54"/>
        <v>0.359375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600</v>
      </c>
      <c r="Y290" s="55">
        <f t="shared" si="50"/>
        <v>600</v>
      </c>
      <c r="Z290" s="41">
        <f>IFERROR(IF(Y290=0,"",ROUNDUP(Y290/H290,0)*0.00651),"")</f>
        <v>1.6274999999999999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667.5</v>
      </c>
      <c r="BN290" s="78">
        <f t="shared" si="52"/>
        <v>667.5</v>
      </c>
      <c r="BO290" s="78">
        <f t="shared" si="53"/>
        <v>1.3736263736263736</v>
      </c>
      <c r="BP290" s="78">
        <f t="shared" si="54"/>
        <v>1.3736263736263736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600</v>
      </c>
      <c r="Y293" s="55">
        <f t="shared" si="50"/>
        <v>600</v>
      </c>
      <c r="Z293" s="41">
        <f>IFERROR(IF(Y293=0,"",ROUNDUP(Y293/H293,0)*0.00651),"")</f>
        <v>1.6274999999999999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663</v>
      </c>
      <c r="BN293" s="78">
        <f t="shared" si="52"/>
        <v>663</v>
      </c>
      <c r="BO293" s="78">
        <f t="shared" si="53"/>
        <v>1.3736263736263736</v>
      </c>
      <c r="BP293" s="78">
        <f t="shared" si="54"/>
        <v>1.3736263736263736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160</v>
      </c>
      <c r="Y296" s="55">
        <f t="shared" si="50"/>
        <v>160.79999999999998</v>
      </c>
      <c r="Z296" s="41">
        <f>IFERROR(IF(Y296=0,"",ROUNDUP(Y296/H296,0)*0.00651),"")</f>
        <v>0.43617</v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176.80000000000004</v>
      </c>
      <c r="BN296" s="78">
        <f t="shared" si="52"/>
        <v>177.684</v>
      </c>
      <c r="BO296" s="78">
        <f t="shared" si="53"/>
        <v>0.36630036630036633</v>
      </c>
      <c r="BP296" s="78">
        <f t="shared" si="54"/>
        <v>0.36813186813186816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400</v>
      </c>
      <c r="Y297" s="55">
        <f t="shared" si="50"/>
        <v>400.8</v>
      </c>
      <c r="Z297" s="41">
        <f>IFERROR(IF(Y297=0,"",ROUNDUP(Y297/H297,0)*0.00651),"")</f>
        <v>1.08717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443.00000000000006</v>
      </c>
      <c r="BN297" s="78">
        <f t="shared" si="52"/>
        <v>443.88599999999997</v>
      </c>
      <c r="BO297" s="78">
        <f t="shared" si="53"/>
        <v>0.91575091575091594</v>
      </c>
      <c r="BP297" s="78">
        <f t="shared" si="54"/>
        <v>0.91758241758241765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842.7415921668794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845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6.8851199999999988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2660</v>
      </c>
      <c r="Y300" s="43">
        <f>IFERROR(SUM(Y287:Y298),"0")</f>
        <v>2674.5000000000005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80</v>
      </c>
      <c r="Y302" s="55">
        <f>IFERROR(IF(X302="",0,CEILING((X302/$H302),1)*$H302),"")</f>
        <v>81.599999999999994</v>
      </c>
      <c r="Z302" s="41">
        <f>IFERROR(IF(Y302=0,"",ROUNDUP(Y302/H302,0)*0.00651),"")</f>
        <v>0.22134000000000001</v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88.40000000000002</v>
      </c>
      <c r="BN302" s="78">
        <f>IFERROR(Y302*I302/H302,"0")</f>
        <v>90.168000000000006</v>
      </c>
      <c r="BO302" s="78">
        <f>IFERROR(1/J302*(X302/H302),"0")</f>
        <v>0.18315018315018317</v>
      </c>
      <c r="BP302" s="78">
        <f>IFERROR(1/J302*(Y302/H302),"0")</f>
        <v>0.18681318681318682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160</v>
      </c>
      <c r="Y303" s="55">
        <f>IFERROR(IF(X303="",0,CEILING((X303/$H303),1)*$H303),"")</f>
        <v>160.79999999999998</v>
      </c>
      <c r="Z303" s="41">
        <f>IFERROR(IF(Y303=0,"",ROUNDUP(Y303/H303,0)*0.00651),"")</f>
        <v>0.43617</v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176.80000000000004</v>
      </c>
      <c r="BN303" s="78">
        <f>IFERROR(Y303*I303/H303,"0")</f>
        <v>177.684</v>
      </c>
      <c r="BO303" s="78">
        <f>IFERROR(1/J303*(X303/H303),"0")</f>
        <v>0.36630036630036633</v>
      </c>
      <c r="BP303" s="78">
        <f>IFERROR(1/J303*(Y303/H303),"0")</f>
        <v>0.36813186813186816</v>
      </c>
    </row>
    <row r="304" spans="1:68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100</v>
      </c>
      <c r="Y304" s="43">
        <f>IFERROR(Y302/H302,"0")+IFERROR(Y303/H303,"0")</f>
        <v>101</v>
      </c>
      <c r="Z304" s="43">
        <f>IFERROR(IF(Z302="",0,Z302),"0")+IFERROR(IF(Z303="",0,Z303),"0")</f>
        <v>0.65751000000000004</v>
      </c>
      <c r="AA304" s="67"/>
      <c r="AB304" s="67"/>
      <c r="AC304" s="67"/>
    </row>
    <row r="305" spans="1:68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240</v>
      </c>
      <c r="Y305" s="43">
        <f>IFERROR(SUM(Y302:Y303),"0")</f>
        <v>242.39999999999998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20</v>
      </c>
      <c r="Y311" s="55">
        <f t="shared" si="55"/>
        <v>20</v>
      </c>
      <c r="Z311" s="41">
        <f>IFERROR(IF(Y311=0,"",ROUNDUP(Y311/H311,0)*0.00902),"")</f>
        <v>4.5100000000000001E-2</v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20.950000000000003</v>
      </c>
      <c r="BN311" s="78">
        <f t="shared" si="57"/>
        <v>20.950000000000003</v>
      </c>
      <c r="BO311" s="78">
        <f t="shared" si="58"/>
        <v>3.787878787878788E-2</v>
      </c>
      <c r="BP311" s="78">
        <f t="shared" si="59"/>
        <v>3.787878787878788E-2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5</v>
      </c>
      <c r="Y315" s="43">
        <f>IFERROR(Y308/H308,"0")+IFERROR(Y309/H309,"0")+IFERROR(Y310/H310,"0")+IFERROR(Y311/H311,"0")+IFERROR(Y312/H312,"0")+IFERROR(Y313/H313,"0")+IFERROR(Y314/H314,"0")</f>
        <v>5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4.5100000000000001E-2</v>
      </c>
      <c r="AA315" s="67"/>
      <c r="AB315" s="67"/>
      <c r="AC315" s="67"/>
    </row>
    <row r="316" spans="1:68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20</v>
      </c>
      <c r="Y316" s="43">
        <f>IFERROR(SUM(Y308:Y314),"0")</f>
        <v>20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26.400000000000002</v>
      </c>
      <c r="Y318" s="55">
        <f>IFERROR(IF(X318="",0,CEILING((X318/$H318),1)*$H318),"")</f>
        <v>27.72</v>
      </c>
      <c r="Z318" s="41">
        <f>IFERROR(IF(Y318=0,"",ROUNDUP(Y318/H318,0)*0.00502),"")</f>
        <v>7.0280000000000009E-2</v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27.733333333333338</v>
      </c>
      <c r="BN318" s="78">
        <f>IFERROR(Y318*I318/H318,"0")</f>
        <v>29.12</v>
      </c>
      <c r="BO318" s="78">
        <f>IFERROR(1/J318*(X318/H318),"0")</f>
        <v>5.6980056980056988E-2</v>
      </c>
      <c r="BP318" s="78">
        <f>IFERROR(1/J318*(Y318/H318),"0")</f>
        <v>5.9829059829059839E-2</v>
      </c>
    </row>
    <row r="319" spans="1:68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13.333333333333334</v>
      </c>
      <c r="Y319" s="43">
        <f>IFERROR(Y318/H318,"0")</f>
        <v>14</v>
      </c>
      <c r="Z319" s="43">
        <f>IFERROR(IF(Z318="",0,Z318),"0")</f>
        <v>7.0280000000000009E-2</v>
      </c>
      <c r="AA319" s="67"/>
      <c r="AB319" s="67"/>
      <c r="AC319" s="67"/>
    </row>
    <row r="320" spans="1:68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26.400000000000002</v>
      </c>
      <c r="Y320" s="43">
        <f>IFERROR(SUM(Y318:Y318),"0")</f>
        <v>27.72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18</v>
      </c>
      <c r="Y322" s="55">
        <f>IFERROR(IF(X322="",0,CEILING((X322/$H322),1)*$H322),"")</f>
        <v>18</v>
      </c>
      <c r="Z322" s="41">
        <f>IFERROR(IF(Y322=0,"",ROUNDUP(Y322/H322,0)*0.0059),"")</f>
        <v>5.8999999999999997E-2</v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19.750000000000004</v>
      </c>
      <c r="BN322" s="78">
        <f>IFERROR(Y322*I322/H322,"0")</f>
        <v>19.750000000000004</v>
      </c>
      <c r="BO322" s="78">
        <f>IFERROR(1/J322*(X322/H322),"0")</f>
        <v>4.6296296296296294E-2</v>
      </c>
      <c r="BP322" s="78">
        <f>IFERROR(1/J322*(Y322/H322),"0")</f>
        <v>4.6296296296296294E-2</v>
      </c>
    </row>
    <row r="323" spans="1:68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10</v>
      </c>
      <c r="Y323" s="43">
        <f>IFERROR(Y322/H322,"0")</f>
        <v>10</v>
      </c>
      <c r="Z323" s="43">
        <f>IFERROR(IF(Z322="",0,Z322),"0")</f>
        <v>5.8999999999999997E-2</v>
      </c>
      <c r="AA323" s="67"/>
      <c r="AB323" s="67"/>
      <c r="AC323" s="67"/>
    </row>
    <row r="324" spans="1:68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18</v>
      </c>
      <c r="Y324" s="43">
        <f>IFERROR(SUM(Y322:Y322),"0")</f>
        <v>18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24</v>
      </c>
      <c r="Y327" s="55">
        <f>IFERROR(IF(X327="",0,CEILING((X327/$H327),1)*$H327),"")</f>
        <v>25.2</v>
      </c>
      <c r="Z327" s="41">
        <f>IFERROR(IF(Y327=0,"",ROUNDUP(Y327/H327,0)*0.0059),"")</f>
        <v>8.2599999999999993E-2</v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26.333333333333336</v>
      </c>
      <c r="BN327" s="78">
        <f>IFERROR(Y327*I327/H327,"0")</f>
        <v>27.650000000000002</v>
      </c>
      <c r="BO327" s="78">
        <f>IFERROR(1/J327*(X327/H327),"0")</f>
        <v>6.1728395061728385E-2</v>
      </c>
      <c r="BP327" s="78">
        <f>IFERROR(1/J327*(Y327/H327),"0")</f>
        <v>6.4814814814814811E-2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5</v>
      </c>
      <c r="Y328" s="55">
        <f>IFERROR(IF(X328="",0,CEILING((X328/$H328),1)*$H328),"")</f>
        <v>5.4</v>
      </c>
      <c r="Z328" s="41">
        <f>IFERROR(IF(Y328=0,"",ROUNDUP(Y328/H328,0)*0.0059),"")</f>
        <v>3.5400000000000001E-2</v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6.0555555555555554</v>
      </c>
      <c r="BN328" s="78">
        <f>IFERROR(Y328*I328/H328,"0")</f>
        <v>6.5400000000000009</v>
      </c>
      <c r="BO328" s="78">
        <f>IFERROR(1/J328*(X328/H328),"0")</f>
        <v>2.5720164609053495E-2</v>
      </c>
      <c r="BP328" s="78">
        <f>IFERROR(1/J328*(Y328/H328),"0")</f>
        <v>2.7777777777777776E-2</v>
      </c>
    </row>
    <row r="329" spans="1:68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18.888888888888886</v>
      </c>
      <c r="Y329" s="43">
        <f>IFERROR(Y326/H326,"0")+IFERROR(Y327/H327,"0")+IFERROR(Y328/H328,"0")</f>
        <v>20</v>
      </c>
      <c r="Z329" s="43">
        <f>IFERROR(IF(Z326="",0,Z326),"0")+IFERROR(IF(Z327="",0,Z327),"0")+IFERROR(IF(Z328="",0,Z328),"0")</f>
        <v>0.11799999999999999</v>
      </c>
      <c r="AA329" s="67"/>
      <c r="AB329" s="67"/>
      <c r="AC329" s="67"/>
    </row>
    <row r="330" spans="1:68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29</v>
      </c>
      <c r="Y330" s="43">
        <f>IFERROR(SUM(Y326:Y328),"0")</f>
        <v>30.6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80</v>
      </c>
      <c r="Y343" s="55">
        <f>IFERROR(IF(X343="",0,CEILING((X343/$H343),1)*$H343),"")</f>
        <v>81.599999999999994</v>
      </c>
      <c r="Z343" s="41">
        <f>IFERROR(IF(Y343=0,"",ROUNDUP(Y343/H343,0)*0.00651),"")</f>
        <v>0.22134000000000001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88.40000000000002</v>
      </c>
      <c r="BN343" s="78">
        <f>IFERROR(Y343*I343/H343,"0")</f>
        <v>90.168000000000006</v>
      </c>
      <c r="BO343" s="78">
        <f>IFERROR(1/J343*(X343/H343),"0")</f>
        <v>0.18315018315018317</v>
      </c>
      <c r="BP343" s="78">
        <f>IFERROR(1/J343*(Y343/H343),"0")</f>
        <v>0.18681318681318682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640</v>
      </c>
      <c r="Y344" s="55">
        <f>IFERROR(IF(X344="",0,CEILING((X344/$H344),1)*$H344),"")</f>
        <v>640.79999999999995</v>
      </c>
      <c r="Z344" s="41">
        <f>IFERROR(IF(Y344=0,"",ROUNDUP(Y344/H344,0)*0.00651),"")</f>
        <v>1.73817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688</v>
      </c>
      <c r="BN344" s="78">
        <f>IFERROR(Y344*I344/H344,"0")</f>
        <v>688.86</v>
      </c>
      <c r="BO344" s="78">
        <f>IFERROR(1/J344*(X344/H344),"0")</f>
        <v>1.4652014652014653</v>
      </c>
      <c r="BP344" s="78">
        <f>IFERROR(1/J344*(Y344/H344),"0")</f>
        <v>1.4670329670329672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300</v>
      </c>
      <c r="Y345" s="43">
        <f>IFERROR(Y342/H342,"0")+IFERROR(Y343/H343,"0")+IFERROR(Y344/H344,"0")</f>
        <v>301</v>
      </c>
      <c r="Z345" s="43">
        <f>IFERROR(IF(Z342="",0,Z342),"0")+IFERROR(IF(Z343="",0,Z343),"0")+IFERROR(IF(Z344="",0,Z344),"0")</f>
        <v>1.9595100000000001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720</v>
      </c>
      <c r="Y346" s="43">
        <f>IFERROR(SUM(Y342:Y344),"0")</f>
        <v>722.4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300</v>
      </c>
      <c r="Y363" s="55">
        <f>IFERROR(IF(X363="",0,CEILING((X363/$H363),1)*$H363),"")</f>
        <v>304.2</v>
      </c>
      <c r="Z363" s="41">
        <f>IFERROR(IF(Y363=0,"",ROUNDUP(Y363/H363,0)*0.01898),"")</f>
        <v>0.74021999999999999</v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315.76923076923083</v>
      </c>
      <c r="BN363" s="78">
        <f>IFERROR(Y363*I363/H363,"0")</f>
        <v>320.19</v>
      </c>
      <c r="BO363" s="78">
        <f>IFERROR(1/J363*(X363/H363),"0")</f>
        <v>0.60096153846153844</v>
      </c>
      <c r="BP363" s="78">
        <f>IFERROR(1/J363*(Y363/H363),"0")</f>
        <v>0.609375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300</v>
      </c>
      <c r="Y364" s="55">
        <f>IFERROR(IF(X364="",0,CEILING((X364/$H364),1)*$H364),"")</f>
        <v>304.2</v>
      </c>
      <c r="Z364" s="41">
        <f>IFERROR(IF(Y364=0,"",ROUNDUP(Y364/H364,0)*0.01898),"")</f>
        <v>0.74021999999999999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315.76923076923083</v>
      </c>
      <c r="BN364" s="78">
        <f>IFERROR(Y364*I364/H364,"0")</f>
        <v>320.19</v>
      </c>
      <c r="BO364" s="78">
        <f>IFERROR(1/J364*(X364/H364),"0")</f>
        <v>0.60096153846153844</v>
      </c>
      <c r="BP364" s="78">
        <f>IFERROR(1/J364*(Y364/H364),"0")</f>
        <v>0.609375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150</v>
      </c>
      <c r="Y365" s="55">
        <f>IFERROR(IF(X365="",0,CEILING((X365/$H365),1)*$H365),"")</f>
        <v>156</v>
      </c>
      <c r="Z365" s="41">
        <f>IFERROR(IF(Y365=0,"",ROUNDUP(Y365/H365,0)*0.01898),"")</f>
        <v>0.37959999999999999</v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157.88461538461542</v>
      </c>
      <c r="BN365" s="78">
        <f>IFERROR(Y365*I365/H365,"0")</f>
        <v>164.20000000000005</v>
      </c>
      <c r="BO365" s="78">
        <f>IFERROR(1/J365*(X365/H365),"0")</f>
        <v>0.30048076923076922</v>
      </c>
      <c r="BP365" s="78">
        <f>IFERROR(1/J365*(Y365/H365),"0")</f>
        <v>0.3125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96.153846153846146</v>
      </c>
      <c r="Y366" s="43">
        <f>IFERROR(Y363/H363,"0")+IFERROR(Y364/H364,"0")+IFERROR(Y365/H365,"0")</f>
        <v>98</v>
      </c>
      <c r="Z366" s="43">
        <f>IFERROR(IF(Z363="",0,Z363),"0")+IFERROR(IF(Z364="",0,Z364),"0")+IFERROR(IF(Z365="",0,Z365),"0")</f>
        <v>1.8600399999999999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750</v>
      </c>
      <c r="Y367" s="43">
        <f>IFERROR(SUM(Y363:Y365),"0")</f>
        <v>764.4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175</v>
      </c>
      <c r="Y383" s="55">
        <f t="shared" si="65"/>
        <v>176.4</v>
      </c>
      <c r="Z383" s="41">
        <f>IFERROR(IF(Y383=0,"",ROUNDUP(Y383/H383,0)*0.00502),"")</f>
        <v>0.42168</v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183.33333333333334</v>
      </c>
      <c r="BN383" s="78">
        <f t="shared" si="67"/>
        <v>184.8</v>
      </c>
      <c r="BO383" s="78">
        <f t="shared" si="68"/>
        <v>0.35612535612535612</v>
      </c>
      <c r="BP383" s="78">
        <f t="shared" si="69"/>
        <v>0.35897435897435903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30</v>
      </c>
      <c r="Y385" s="55">
        <f t="shared" si="65"/>
        <v>30.6</v>
      </c>
      <c r="Z385" s="41">
        <f>IFERROR(IF(Y385=0,"",ROUNDUP(Y385/H385,0)*0.00651),"")</f>
        <v>0.11067</v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33.800000000000004</v>
      </c>
      <c r="BN385" s="78">
        <f t="shared" si="67"/>
        <v>34.475999999999999</v>
      </c>
      <c r="BO385" s="78">
        <f t="shared" si="68"/>
        <v>9.1575091575091583E-2</v>
      </c>
      <c r="BP385" s="78">
        <f t="shared" si="69"/>
        <v>9.3406593406593408E-2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100</v>
      </c>
      <c r="Y386" s="43">
        <f>IFERROR(Y379/H379,"0")+IFERROR(Y380/H380,"0")+IFERROR(Y381/H381,"0")+IFERROR(Y382/H382,"0")+IFERROR(Y383/H383,"0")+IFERROR(Y384/H384,"0")+IFERROR(Y385/H385,"0")</f>
        <v>101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0.53234999999999999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205</v>
      </c>
      <c r="Y387" s="43">
        <f>IFERROR(SUM(Y379:Y385),"0")</f>
        <v>207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500</v>
      </c>
      <c r="Y396" s="55">
        <f>IFERROR(IF(X396="",0,CEILING((X396/$H396),1)*$H396),"")</f>
        <v>504</v>
      </c>
      <c r="Z396" s="41">
        <f>IFERROR(IF(Y396=0,"",ROUNDUP(Y396/H396,0)*0.01898),"")</f>
        <v>1.1388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529.40476190476193</v>
      </c>
      <c r="BN396" s="78">
        <f>IFERROR(Y396*I396/H396,"0")</f>
        <v>533.64</v>
      </c>
      <c r="BO396" s="78">
        <f>IFERROR(1/J396*(X396/H396),"0")</f>
        <v>0.93005952380952372</v>
      </c>
      <c r="BP396" s="78">
        <f>IFERROR(1/J396*(Y396/H396),"0")</f>
        <v>0.9375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600</v>
      </c>
      <c r="Y397" s="55">
        <f>IFERROR(IF(X397="",0,CEILING((X397/$H397),1)*$H397),"")</f>
        <v>600.6</v>
      </c>
      <c r="Z397" s="41">
        <f>IFERROR(IF(Y397=0,"",ROUNDUP(Y397/H397,0)*0.01898),"")</f>
        <v>1.46146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638.00000000000011</v>
      </c>
      <c r="BN397" s="78">
        <f>IFERROR(Y397*I397/H397,"0")</f>
        <v>638.63800000000003</v>
      </c>
      <c r="BO397" s="78">
        <f>IFERROR(1/J397*(X397/H397),"0")</f>
        <v>1.2019230769230769</v>
      </c>
      <c r="BP397" s="78">
        <f>IFERROR(1/J397*(Y397/H397),"0")</f>
        <v>1.203125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100</v>
      </c>
      <c r="Y398" s="55">
        <f>IFERROR(IF(X398="",0,CEILING((X398/$H398),1)*$H398),"")</f>
        <v>100.80000000000001</v>
      </c>
      <c r="Z398" s="41">
        <f>IFERROR(IF(Y398=0,"",ROUNDUP(Y398/H398,0)*0.01898),"")</f>
        <v>0.22776000000000002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105.88095238095238</v>
      </c>
      <c r="BN398" s="78">
        <f>IFERROR(Y398*I398/H398,"0")</f>
        <v>106.72800000000001</v>
      </c>
      <c r="BO398" s="78">
        <f>IFERROR(1/J398*(X398/H398),"0")</f>
        <v>0.18601190476190477</v>
      </c>
      <c r="BP398" s="78">
        <f>IFERROR(1/J398*(Y398/H398),"0")</f>
        <v>0.1875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148.35164835164832</v>
      </c>
      <c r="Y399" s="43">
        <f>IFERROR(Y396/H396,"0")+IFERROR(Y397/H397,"0")+IFERROR(Y398/H398,"0")</f>
        <v>149</v>
      </c>
      <c r="Z399" s="43">
        <f>IFERROR(IF(Z396="",0,Z396),"0")+IFERROR(IF(Z397="",0,Z397),"0")+IFERROR(IF(Z398="",0,Z398),"0")</f>
        <v>2.82802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1200</v>
      </c>
      <c r="Y400" s="43">
        <f>IFERROR(SUM(Y396:Y398),"0")</f>
        <v>1205.3999999999999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30</v>
      </c>
      <c r="Y402" s="55">
        <f>IFERROR(IF(X402="",0,CEILING((X402/$H402),1)*$H402),"")</f>
        <v>30.4</v>
      </c>
      <c r="Z402" s="41">
        <f>IFERROR(IF(Y402=0,"",ROUNDUP(Y402/H402,0)*0.00902),"")</f>
        <v>9.0200000000000002E-2</v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32.664473684210527</v>
      </c>
      <c r="BN402" s="78">
        <f>IFERROR(Y402*I402/H402,"0")</f>
        <v>33.1</v>
      </c>
      <c r="BO402" s="78">
        <f>IFERROR(1/J402*(X402/H402),"0")</f>
        <v>7.4760765550239236E-2</v>
      </c>
      <c r="BP402" s="78">
        <f>IFERROR(1/J402*(Y402/H402),"0")</f>
        <v>7.575757575757576E-2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9.8684210526315788</v>
      </c>
      <c r="Y406" s="43">
        <f>IFERROR(Y402/H402,"0")+IFERROR(Y403/H403,"0")+IFERROR(Y404/H404,"0")+IFERROR(Y405/H405,"0")</f>
        <v>10</v>
      </c>
      <c r="Z406" s="43">
        <f>IFERROR(IF(Z402="",0,Z402),"0")+IFERROR(IF(Z403="",0,Z403),"0")+IFERROR(IF(Z404="",0,Z404),"0")+IFERROR(IF(Z405="",0,Z405),"0")</f>
        <v>9.0200000000000002E-2</v>
      </c>
      <c r="AA406" s="67"/>
      <c r="AB406" s="67"/>
      <c r="AC406" s="67"/>
    </row>
    <row r="407" spans="1:68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30</v>
      </c>
      <c r="Y407" s="43">
        <f>IFERROR(SUM(Y402:Y405),"0")</f>
        <v>30.4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700</v>
      </c>
      <c r="Y430" s="55">
        <f>IFERROR(IF(X430="",0,CEILING((X430/$H430),1)*$H430),"")</f>
        <v>701.4</v>
      </c>
      <c r="Z430" s="41">
        <f>IFERROR(IF(Y430=0,"",ROUNDUP(Y430/H430,0)*0.00651),"")</f>
        <v>2.1743399999999999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780</v>
      </c>
      <c r="BN430" s="78">
        <f>IFERROR(Y430*I430/H430,"0")</f>
        <v>781.56</v>
      </c>
      <c r="BO430" s="78">
        <f>IFERROR(1/J430*(X430/H430),"0")</f>
        <v>1.8315018315018314</v>
      </c>
      <c r="BP430" s="78">
        <f>IFERROR(1/J430*(Y430/H430),"0")</f>
        <v>1.8351648351648353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333.33333333333331</v>
      </c>
      <c r="Y431" s="43">
        <f>IFERROR(Y428/H428,"0")+IFERROR(Y429/H429,"0")+IFERROR(Y430/H430,"0")</f>
        <v>334</v>
      </c>
      <c r="Z431" s="43">
        <f>IFERROR(IF(Z428="",0,Z428),"0")+IFERROR(IF(Z429="",0,Z429),"0")+IFERROR(IF(Z430="",0,Z430),"0")</f>
        <v>2.1743399999999999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700</v>
      </c>
      <c r="Y432" s="43">
        <f>IFERROR(SUM(Y428:Y430),"0")</f>
        <v>701.4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200</v>
      </c>
      <c r="Y436" s="55">
        <f t="shared" ref="Y436:Y443" si="70">IFERROR(IF(X436="",0,CEILING((X436/$H436),1)*$H436),"")</f>
        <v>210</v>
      </c>
      <c r="Z436" s="41">
        <f>IFERROR(IF(Y436=0,"",ROUNDUP(Y436/H436,0)*0.02175),"")</f>
        <v>0.30449999999999999</v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206.26666666666668</v>
      </c>
      <c r="BN436" s="78">
        <f t="shared" ref="BN436:BN443" si="72">IFERROR(Y436*I436/H436,"0")</f>
        <v>216.58</v>
      </c>
      <c r="BO436" s="78">
        <f t="shared" ref="BO436:BO443" si="73">IFERROR(1/J436*(X436/H436),"0")</f>
        <v>0.27777777777777779</v>
      </c>
      <c r="BP436" s="78">
        <f t="shared" ref="BP436:BP443" si="74">IFERROR(1/J436*(Y436/H436),"0")</f>
        <v>0.29166666666666663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500</v>
      </c>
      <c r="Y440" s="55">
        <f t="shared" si="70"/>
        <v>510</v>
      </c>
      <c r="Z440" s="41">
        <f>IFERROR(IF(Y440=0,"",ROUNDUP(Y440/H440,0)*0.02175),"")</f>
        <v>0.73949999999999994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515.66666666666663</v>
      </c>
      <c r="BN440" s="78">
        <f t="shared" si="72"/>
        <v>525.98</v>
      </c>
      <c r="BO440" s="78">
        <f t="shared" si="73"/>
        <v>0.69444444444444442</v>
      </c>
      <c r="BP440" s="78">
        <f t="shared" si="74"/>
        <v>0.70833333333333326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46.666666666666671</v>
      </c>
      <c r="Y444" s="43">
        <f>IFERROR(Y436/H436,"0")+IFERROR(Y437/H437,"0")+IFERROR(Y438/H438,"0")+IFERROR(Y439/H439,"0")+IFERROR(Y440/H440,"0")+IFERROR(Y441/H441,"0")+IFERROR(Y442/H442,"0")+IFERROR(Y443/H443,"0")</f>
        <v>48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1.044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700</v>
      </c>
      <c r="Y445" s="43">
        <f>IFERROR(SUM(Y436:Y443),"0")</f>
        <v>720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50</v>
      </c>
      <c r="Y448" s="55">
        <f>IFERROR(IF(X448="",0,CEILING((X448/$H448),1)*$H448),"")</f>
        <v>60</v>
      </c>
      <c r="Z448" s="41">
        <f>IFERROR(IF(Y448=0,"",ROUNDUP(Y448/H448,0)*0.02175),"")</f>
        <v>8.6999999999999994E-2</v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51.56666666666667</v>
      </c>
      <c r="BN448" s="78">
        <f>IFERROR(Y448*I448/H448,"0")</f>
        <v>61.88</v>
      </c>
      <c r="BO448" s="78">
        <f>IFERROR(1/J448*(X448/H448),"0")</f>
        <v>6.9444444444444448E-2</v>
      </c>
      <c r="BP448" s="78">
        <f>IFERROR(1/J448*(Y448/H448),"0")</f>
        <v>8.3333333333333329E-2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3.3333333333333335</v>
      </c>
      <c r="Y450" s="43">
        <f>IFERROR(Y447/H447,"0")+IFERROR(Y448/H448,"0")+IFERROR(Y449/H449,"0")</f>
        <v>4</v>
      </c>
      <c r="Z450" s="43">
        <f>IFERROR(IF(Z447="",0,Z447),"0")+IFERROR(IF(Z448="",0,Z448),"0")+IFERROR(IF(Z449="",0,Z449),"0")</f>
        <v>8.6999999999999994E-2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50</v>
      </c>
      <c r="Y451" s="43">
        <f>IFERROR(SUM(Y447:Y449),"0")</f>
        <v>60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50</v>
      </c>
      <c r="Y454" s="55">
        <f>IFERROR(IF(X454="",0,CEILING((X454/$H454),1)*$H454),"")</f>
        <v>54</v>
      </c>
      <c r="Z454" s="41">
        <f>IFERROR(IF(Y454=0,"",ROUNDUP(Y454/H454,0)*0.01898),"")</f>
        <v>0.11388000000000001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52.74444444444444</v>
      </c>
      <c r="BN454" s="78">
        <f>IFERROR(Y454*I454/H454,"0")</f>
        <v>56.963999999999992</v>
      </c>
      <c r="BO454" s="78">
        <f>IFERROR(1/J454*(X454/H454),"0")</f>
        <v>8.6805555555555552E-2</v>
      </c>
      <c r="BP454" s="78">
        <f>IFERROR(1/J454*(Y454/H454),"0")</f>
        <v>9.375E-2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5.5555555555555554</v>
      </c>
      <c r="Y456" s="43">
        <f>IFERROR(Y453/H453,"0")+IFERROR(Y454/H454,"0")+IFERROR(Y455/H455,"0")</f>
        <v>6</v>
      </c>
      <c r="Z456" s="43">
        <f>IFERROR(IF(Z453="",0,Z453),"0")+IFERROR(IF(Z454="",0,Z454),"0")+IFERROR(IF(Z455="",0,Z455),"0")</f>
        <v>0.11388000000000001</v>
      </c>
      <c r="AA456" s="67"/>
      <c r="AB456" s="67"/>
      <c r="AC456" s="67"/>
    </row>
    <row r="457" spans="1:68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50</v>
      </c>
      <c r="Y457" s="43">
        <f>IFERROR(SUM(Y453:Y455),"0")</f>
        <v>54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50</v>
      </c>
      <c r="Y460" s="55">
        <f>IFERROR(IF(X460="",0,CEILING((X460/$H460),1)*$H460),"")</f>
        <v>54</v>
      </c>
      <c r="Z460" s="41">
        <f>IFERROR(IF(Y460=0,"",ROUNDUP(Y460/H460,0)*0.01898),"")</f>
        <v>0.11388000000000001</v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52.74444444444444</v>
      </c>
      <c r="BN460" s="78">
        <f>IFERROR(Y460*I460/H460,"0")</f>
        <v>56.963999999999992</v>
      </c>
      <c r="BO460" s="78">
        <f>IFERROR(1/J460*(X460/H460),"0")</f>
        <v>8.6805555555555552E-2</v>
      </c>
      <c r="BP460" s="78">
        <f>IFERROR(1/J460*(Y460/H460),"0")</f>
        <v>9.375E-2</v>
      </c>
    </row>
    <row r="461" spans="1:68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5.5555555555555554</v>
      </c>
      <c r="Y461" s="43">
        <f>IFERROR(Y459/H459,"0")+IFERROR(Y460/H460,"0")</f>
        <v>6</v>
      </c>
      <c r="Z461" s="43">
        <f>IFERROR(IF(Z459="",0,Z459),"0")+IFERROR(IF(Z460="",0,Z460),"0")</f>
        <v>0.11388000000000001</v>
      </c>
      <c r="AA461" s="67"/>
      <c r="AB461" s="67"/>
      <c r="AC461" s="67"/>
    </row>
    <row r="462" spans="1:68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50</v>
      </c>
      <c r="Y462" s="43">
        <f>IFERROR(SUM(Y459:Y460),"0")</f>
        <v>54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30</v>
      </c>
      <c r="Y465" s="55">
        <f>IFERROR(IF(X465="",0,CEILING((X465/$H465),1)*$H465),"")</f>
        <v>36</v>
      </c>
      <c r="Z465" s="41">
        <f>IFERROR(IF(Y465=0,"",ROUNDUP(Y465/H465,0)*0.01898),"")</f>
        <v>5.6940000000000004E-2</v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31.025000000000002</v>
      </c>
      <c r="BN465" s="78">
        <f>IFERROR(Y465*I465/H465,"0")</f>
        <v>37.229999999999997</v>
      </c>
      <c r="BO465" s="78">
        <f>IFERROR(1/J465*(X465/H465),"0")</f>
        <v>3.90625E-2</v>
      </c>
      <c r="BP465" s="78">
        <f>IFERROR(1/J465*(Y465/H465),"0")</f>
        <v>4.6875E-2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2.5</v>
      </c>
      <c r="Y467" s="43">
        <f>IFERROR(Y465/H465,"0")+IFERROR(Y466/H466,"0")</f>
        <v>3</v>
      </c>
      <c r="Z467" s="43">
        <f>IFERROR(IF(Z465="",0,Z465),"0")+IFERROR(IF(Z466="",0,Z466),"0")</f>
        <v>5.6940000000000004E-2</v>
      </c>
      <c r="AA467" s="67"/>
      <c r="AB467" s="67"/>
      <c r="AC467" s="67"/>
    </row>
    <row r="468" spans="1:68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30</v>
      </c>
      <c r="Y468" s="43">
        <f>IFERROR(SUM(Y465:Y466),"0")</f>
        <v>36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50</v>
      </c>
      <c r="Y474" s="55">
        <f>IFERROR(IF(X474="",0,CEILING((X474/$H474),1)*$H474),"")</f>
        <v>54</v>
      </c>
      <c r="Z474" s="41">
        <f>IFERROR(IF(Y474=0,"",ROUNDUP(Y474/H474,0)*0.01898),"")</f>
        <v>0.11388000000000001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52.74444444444444</v>
      </c>
      <c r="BN474" s="78">
        <f>IFERROR(Y474*I474/H474,"0")</f>
        <v>56.963999999999992</v>
      </c>
      <c r="BO474" s="78">
        <f>IFERROR(1/J474*(X474/H474),"0")</f>
        <v>8.6805555555555552E-2</v>
      </c>
      <c r="BP474" s="78">
        <f>IFERROR(1/J474*(Y474/H474),"0")</f>
        <v>9.375E-2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5.5555555555555554</v>
      </c>
      <c r="Y477" s="43">
        <f>IFERROR(Y474/H474,"0")+IFERROR(Y475/H475,"0")+IFERROR(Y476/H476,"0")</f>
        <v>6</v>
      </c>
      <c r="Z477" s="43">
        <f>IFERROR(IF(Z474="",0,Z474),"0")+IFERROR(IF(Z475="",0,Z475),"0")+IFERROR(IF(Z476="",0,Z476),"0")</f>
        <v>0.11388000000000001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50</v>
      </c>
      <c r="Y478" s="43">
        <f>IFERROR(SUM(Y474:Y476),"0")</f>
        <v>54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100</v>
      </c>
      <c r="Y509" s="55">
        <f t="shared" ref="Y509:Y517" si="80">IFERROR(IF(X509="",0,CEILING((X509/$H509),1)*$H509),"")</f>
        <v>100.32000000000001</v>
      </c>
      <c r="Z509" s="41">
        <f t="shared" ref="Z509:Z514" si="81">IFERROR(IF(Y509=0,"",ROUNDUP(Y509/H509,0)*0.01196),"")</f>
        <v>0.22724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106.62878787878788</v>
      </c>
      <c r="BN509" s="78">
        <f t="shared" ref="BN509:BN517" si="83">IFERROR(Y509*I509/H509,"0")</f>
        <v>106.97</v>
      </c>
      <c r="BO509" s="78">
        <f t="shared" ref="BO509:BO517" si="84">IFERROR(1/J509*(X509/H509),"0")</f>
        <v>0.18210955710955709</v>
      </c>
      <c r="BP509" s="78">
        <f t="shared" ref="BP509:BP517" si="85">IFERROR(1/J509*(Y509/H509),"0")</f>
        <v>0.18269230769230771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100</v>
      </c>
      <c r="Y512" s="55">
        <f t="shared" si="80"/>
        <v>100.32000000000001</v>
      </c>
      <c r="Z512" s="41">
        <f t="shared" si="81"/>
        <v>0.22724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106.62878787878788</v>
      </c>
      <c r="BN512" s="78">
        <f t="shared" si="83"/>
        <v>106.97</v>
      </c>
      <c r="BO512" s="78">
        <f t="shared" si="84"/>
        <v>0.18210955710955709</v>
      </c>
      <c r="BP512" s="78">
        <f t="shared" si="85"/>
        <v>0.18269230769230771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450</v>
      </c>
      <c r="Y514" s="55">
        <f t="shared" si="80"/>
        <v>454.08000000000004</v>
      </c>
      <c r="Z514" s="41">
        <f t="shared" si="81"/>
        <v>1.0285599999999999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479.82954545454544</v>
      </c>
      <c r="BN514" s="78">
        <f t="shared" si="83"/>
        <v>484.18</v>
      </c>
      <c r="BO514" s="78">
        <f t="shared" si="84"/>
        <v>0.81949300699300698</v>
      </c>
      <c r="BP514" s="78">
        <f t="shared" si="85"/>
        <v>0.82692307692307698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72</v>
      </c>
      <c r="Y516" s="55">
        <f t="shared" si="80"/>
        <v>72</v>
      </c>
      <c r="Z516" s="41">
        <f>IFERROR(IF(Y516=0,"",ROUNDUP(Y516/H516,0)*0.00902),"")</f>
        <v>0.1353</v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103.65</v>
      </c>
      <c r="BN516" s="78">
        <f t="shared" si="83"/>
        <v>103.65</v>
      </c>
      <c r="BO516" s="78">
        <f t="shared" si="84"/>
        <v>0.11363636363636365</v>
      </c>
      <c r="BP516" s="78">
        <f t="shared" si="85"/>
        <v>0.11363636363636365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330</v>
      </c>
      <c r="Y517" s="55">
        <f t="shared" si="80"/>
        <v>331.2</v>
      </c>
      <c r="Z517" s="41">
        <f>IFERROR(IF(Y517=0,"",ROUNDUP(Y517/H517,0)*0.00902),"")</f>
        <v>0.62238000000000004</v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475.06250000000006</v>
      </c>
      <c r="BN517" s="78">
        <f t="shared" si="83"/>
        <v>476.79</v>
      </c>
      <c r="BO517" s="78">
        <f t="shared" si="84"/>
        <v>0.52083333333333337</v>
      </c>
      <c r="BP517" s="78">
        <f t="shared" si="85"/>
        <v>0.52272727272727271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206.85606060606059</v>
      </c>
      <c r="Y518" s="43">
        <f>IFERROR(Y509/H509,"0")+IFERROR(Y510/H510,"0")+IFERROR(Y511/H511,"0")+IFERROR(Y512/H512,"0")+IFERROR(Y513/H513,"0")+IFERROR(Y514/H514,"0")+IFERROR(Y515/H515,"0")+IFERROR(Y516/H516,"0")+IFERROR(Y517/H517,"0")</f>
        <v>208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2.24072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1052</v>
      </c>
      <c r="Y519" s="43">
        <f>IFERROR(SUM(Y509:Y517),"0")</f>
        <v>1057.92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500</v>
      </c>
      <c r="Y521" s="55">
        <f>IFERROR(IF(X521="",0,CEILING((X521/$H521),1)*$H521),"")</f>
        <v>501.6</v>
      </c>
      <c r="Z521" s="41">
        <f>IFERROR(IF(Y521=0,"",ROUNDUP(Y521/H521,0)*0.01196),"")</f>
        <v>1.1362000000000001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533.14393939393938</v>
      </c>
      <c r="BN521" s="78">
        <f>IFERROR(Y521*I521/H521,"0")</f>
        <v>534.85</v>
      </c>
      <c r="BO521" s="78">
        <f>IFERROR(1/J521*(X521/H521),"0")</f>
        <v>0.91054778554778548</v>
      </c>
      <c r="BP521" s="78">
        <f>IFERROR(1/J521*(Y521/H521),"0")</f>
        <v>0.91346153846153855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150</v>
      </c>
      <c r="Y523" s="55">
        <f>IFERROR(IF(X523="",0,CEILING((X523/$H523),1)*$H523),"")</f>
        <v>153.6</v>
      </c>
      <c r="Z523" s="41">
        <f>IFERROR(IF(Y523=0,"",ROUNDUP(Y523/H523,0)*0.00902),"")</f>
        <v>0.28864000000000001</v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215.9375</v>
      </c>
      <c r="BN523" s="78">
        <f>IFERROR(Y523*I523/H523,"0")</f>
        <v>221.12</v>
      </c>
      <c r="BO523" s="78">
        <f>IFERROR(1/J523*(X523/H523),"0")</f>
        <v>0.23674242424242425</v>
      </c>
      <c r="BP523" s="78">
        <f>IFERROR(1/J523*(Y523/H523),"0")</f>
        <v>0.24242424242424243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125.94696969696969</v>
      </c>
      <c r="Y524" s="43">
        <f>IFERROR(Y521/H521,"0")+IFERROR(Y522/H522,"0")+IFERROR(Y523/H523,"0")</f>
        <v>127</v>
      </c>
      <c r="Z524" s="43">
        <f>IFERROR(IF(Z521="",0,Z521),"0")+IFERROR(IF(Z522="",0,Z522),"0")+IFERROR(IF(Z523="",0,Z523),"0")</f>
        <v>1.4248400000000001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650</v>
      </c>
      <c r="Y525" s="43">
        <f>IFERROR(SUM(Y521:Y523),"0")</f>
        <v>655.20000000000005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70</v>
      </c>
      <c r="Y527" s="55">
        <f t="shared" ref="Y527:Y533" si="86">IFERROR(IF(X527="",0,CEILING((X527/$H527),1)*$H527),"")</f>
        <v>73.92</v>
      </c>
      <c r="Z527" s="41">
        <f>IFERROR(IF(Y527=0,"",ROUNDUP(Y527/H527,0)*0.01196),"")</f>
        <v>0.16744000000000001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74.640151515151501</v>
      </c>
      <c r="BN527" s="78">
        <f t="shared" ref="BN527:BN533" si="88">IFERROR(Y527*I527/H527,"0")</f>
        <v>78.819999999999993</v>
      </c>
      <c r="BO527" s="78">
        <f t="shared" ref="BO527:BO533" si="89">IFERROR(1/J527*(X527/H527),"0")</f>
        <v>0.12747668997668998</v>
      </c>
      <c r="BP527" s="78">
        <f t="shared" ref="BP527:BP533" si="90">IFERROR(1/J527*(Y527/H527),"0")</f>
        <v>0.13461538461538464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40</v>
      </c>
      <c r="Y528" s="55">
        <f t="shared" si="86"/>
        <v>42.24</v>
      </c>
      <c r="Z528" s="41">
        <f>IFERROR(IF(Y528=0,"",ROUNDUP(Y528/H528,0)*0.01196),"")</f>
        <v>9.5680000000000001E-2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42.651515151515149</v>
      </c>
      <c r="BN528" s="78">
        <f t="shared" si="88"/>
        <v>45.04</v>
      </c>
      <c r="BO528" s="78">
        <f t="shared" si="89"/>
        <v>7.2843822843822847E-2</v>
      </c>
      <c r="BP528" s="78">
        <f t="shared" si="90"/>
        <v>7.6923076923076927E-2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300</v>
      </c>
      <c r="Y529" s="55">
        <f t="shared" si="86"/>
        <v>300.96000000000004</v>
      </c>
      <c r="Z529" s="41">
        <f>IFERROR(IF(Y529=0,"",ROUNDUP(Y529/H529,0)*0.01196),"")</f>
        <v>0.68171999999999999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319.88636363636363</v>
      </c>
      <c r="BN529" s="78">
        <f t="shared" si="88"/>
        <v>320.91000000000003</v>
      </c>
      <c r="BO529" s="78">
        <f t="shared" si="89"/>
        <v>0.54632867132867136</v>
      </c>
      <c r="BP529" s="78">
        <f t="shared" si="90"/>
        <v>0.54807692307692313</v>
      </c>
    </row>
    <row r="530" spans="1:68" ht="27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120</v>
      </c>
      <c r="Y530" s="55">
        <f t="shared" si="86"/>
        <v>120</v>
      </c>
      <c r="Z530" s="41">
        <f>IFERROR(IF(Y530=0,"",ROUNDUP(Y530/H530,0)*0.00902),"")</f>
        <v>0.22550000000000001</v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172.75000000000003</v>
      </c>
      <c r="BN530" s="78">
        <f t="shared" si="88"/>
        <v>172.75000000000003</v>
      </c>
      <c r="BO530" s="78">
        <f t="shared" si="89"/>
        <v>0.18939393939393939</v>
      </c>
      <c r="BP530" s="78">
        <f t="shared" si="90"/>
        <v>0.18939393939393939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18</v>
      </c>
      <c r="Y532" s="55">
        <f t="shared" si="86"/>
        <v>19.2</v>
      </c>
      <c r="Z532" s="41">
        <f>IFERROR(IF(Y532=0,"",ROUNDUP(Y532/H532,0)*0.00902),"")</f>
        <v>3.6080000000000001E-2</v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25.012500000000003</v>
      </c>
      <c r="BN532" s="78">
        <f t="shared" si="88"/>
        <v>26.68</v>
      </c>
      <c r="BO532" s="78">
        <f t="shared" si="89"/>
        <v>2.8409090909090912E-2</v>
      </c>
      <c r="BP532" s="78">
        <f t="shared" si="90"/>
        <v>3.0303030303030304E-2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60</v>
      </c>
      <c r="Y533" s="55">
        <f t="shared" si="86"/>
        <v>62.4</v>
      </c>
      <c r="Z533" s="41">
        <f>IFERROR(IF(Y533=0,"",ROUNDUP(Y533/H533,0)*0.00902),"")</f>
        <v>0.11726</v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83.375</v>
      </c>
      <c r="BN533" s="78">
        <f t="shared" si="88"/>
        <v>86.71</v>
      </c>
      <c r="BO533" s="78">
        <f t="shared" si="89"/>
        <v>9.4696969696969696E-2</v>
      </c>
      <c r="BP533" s="78">
        <f t="shared" si="90"/>
        <v>9.8484848484848481E-2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118.90151515151514</v>
      </c>
      <c r="Y534" s="43">
        <f>IFERROR(Y527/H527,"0")+IFERROR(Y528/H528,"0")+IFERROR(Y529/H529,"0")+IFERROR(Y530/H530,"0")+IFERROR(Y531/H531,"0")+IFERROR(Y532/H532,"0")+IFERROR(Y533/H533,"0")</f>
        <v>121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1.32368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608</v>
      </c>
      <c r="Y535" s="43">
        <f>IFERROR(SUM(Y527:Y533),"0")</f>
        <v>618.72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200</v>
      </c>
      <c r="Y539" s="55">
        <f>IFERROR(IF(X539="",0,CEILING((X539/$H539),1)*$H539),"")</f>
        <v>204</v>
      </c>
      <c r="Z539" s="41">
        <f>IFERROR(IF(Y539=0,"",ROUNDUP(Y539/H539,0)*0.01898),"")</f>
        <v>0.32266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206.83333333333334</v>
      </c>
      <c r="BN539" s="78">
        <f>IFERROR(Y539*I539/H539,"0")</f>
        <v>210.97</v>
      </c>
      <c r="BO539" s="78">
        <f>IFERROR(1/J539*(X539/H539),"0")</f>
        <v>0.26041666666666669</v>
      </c>
      <c r="BP539" s="78">
        <f>IFERROR(1/J539*(Y539/H539),"0")</f>
        <v>0.265625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16.666666666666668</v>
      </c>
      <c r="Y540" s="43">
        <f>IFERROR(Y539/H539,"0")</f>
        <v>17</v>
      </c>
      <c r="Z540" s="43">
        <f>IFERROR(IF(Z539="",0,Z539),"0")</f>
        <v>0.32266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200</v>
      </c>
      <c r="Y541" s="43">
        <f>IFERROR(SUM(Y539:Y539),"0")</f>
        <v>204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400</v>
      </c>
      <c r="Y551" s="55">
        <f>IFERROR(IF(X551="",0,CEILING((X551/$H551),1)*$H551),"")</f>
        <v>405</v>
      </c>
      <c r="Z551" s="41">
        <f>IFERROR(IF(Y551=0,"",ROUNDUP(Y551/H551,0)*0.01898),"")</f>
        <v>0.85409999999999997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421.95555555555552</v>
      </c>
      <c r="BN551" s="78">
        <f>IFERROR(Y551*I551/H551,"0")</f>
        <v>427.22999999999996</v>
      </c>
      <c r="BO551" s="78">
        <f>IFERROR(1/J551*(X551/H551),"0")</f>
        <v>0.69444444444444442</v>
      </c>
      <c r="BP551" s="78">
        <f>IFERROR(1/J551*(Y551/H551),"0")</f>
        <v>0.703125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44.444444444444443</v>
      </c>
      <c r="Y552" s="43">
        <f>IFERROR(Y551/H551,"0")</f>
        <v>45</v>
      </c>
      <c r="Z552" s="43">
        <f>IFERROR(IF(Z551="",0,Z551),"0")</f>
        <v>0.85409999999999997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400</v>
      </c>
      <c r="Y553" s="43">
        <f>IFERROR(SUM(Y551:Y551),"0")</f>
        <v>405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20817.5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21025.500000000004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22458.406410988078</v>
      </c>
      <c r="Y565" s="43">
        <f>IFERROR(SUM(BN22:BN561),"0")</f>
        <v>22680.74600000001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41</v>
      </c>
      <c r="Y566" s="44">
        <f>ROUNDUP(SUM(BP22:BP561),0)</f>
        <v>42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23483.406410988078</v>
      </c>
      <c r="Y567" s="43">
        <f>GrossWeightTotalR+PalletQtyTotalR*25</f>
        <v>23730.74600000001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5682.9503272264928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5721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49.28741000000003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32.64</v>
      </c>
      <c r="D574" s="52">
        <f>IFERROR(Y47*1,"0")+IFERROR(Y48*1,"0")+IFERROR(Y49*1,"0")+IFERROR(Y50*1,"0")</f>
        <v>565.20000000000005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1221.9000000000001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1720.8000000000002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2188.2599999999998</v>
      </c>
      <c r="H574" s="52">
        <f>IFERROR(Y140*1,"0")+IFERROR(Y141*1,"0")+IFERROR(Y145*1,"0")+IFERROR(Y146*1,"0")+IFERROR(Y150*1,"0")+IFERROR(Y151*1,"0")</f>
        <v>175.6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2020.34</v>
      </c>
      <c r="K574" s="52">
        <f>IFERROR(Y215*1,"0")+IFERROR(Y216*1,"0")+IFERROR(Y217*1,"0")+IFERROR(Y218*1,"0")+IFERROR(Y219*1,"0")+IFERROR(Y220*1,"0")+IFERROR(Y221*1,"0")</f>
        <v>108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1063.5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4283.1000000000013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96.320000000000007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722.4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764.4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1442.8</v>
      </c>
      <c r="U574" s="52">
        <f>IFERROR(Y422*1,"0")+IFERROR(Y423*1,"0")</f>
        <v>0</v>
      </c>
      <c r="V574" s="52">
        <f>IFERROR(Y428*1,"0")+IFERROR(Y429*1,"0")+IFERROR(Y430*1,"0")</f>
        <v>701.4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888</v>
      </c>
      <c r="X574" s="52">
        <f>IFERROR(Y465*1,"0")+IFERROR(Y466*1,"0")+IFERROR(Y470*1,"0")+IFERROR(Y474*1,"0")+IFERROR(Y475*1,"0")+IFERROR(Y476*1,"0")</f>
        <v>90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2331.8399999999997</v>
      </c>
      <c r="AB574" s="52">
        <f>IFERROR(Y539*1,"0")+IFERROR(Y543*1,"0")+IFERROR(Y547*1,"0")+IFERROR(Y551*1,"0")+IFERROR(Y555*1,"0")+IFERROR(Y556*1,"0")</f>
        <v>609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2,00"/>
        <filter val="1 065,00"/>
        <filter val="1 200,00"/>
        <filter val="1 350,00"/>
        <filter val="1 555,00"/>
        <filter val="10,00"/>
        <filter val="10,50"/>
        <filter val="100,00"/>
        <filter val="108,52"/>
        <filter val="11,67"/>
        <filter val="118,90"/>
        <filter val="12,00"/>
        <filter val="120,00"/>
        <filter val="123,89"/>
        <filter val="124,63"/>
        <filter val="125,95"/>
        <filter val="13,33"/>
        <filter val="148,35"/>
        <filter val="15,00"/>
        <filter val="150,00"/>
        <filter val="158,52"/>
        <filter val="16,67"/>
        <filter val="160,00"/>
        <filter val="168,00"/>
        <filter val="175,00"/>
        <filter val="18,00"/>
        <filter val="18,89"/>
        <filter val="180,00"/>
        <filter val="2 006,70"/>
        <filter val="2 660,00"/>
        <filter val="2,50"/>
        <filter val="2,70"/>
        <filter val="20 817,50"/>
        <filter val="20,00"/>
        <filter val="200,00"/>
        <filter val="205,00"/>
        <filter val="206,86"/>
        <filter val="21,00"/>
        <filter val="21,25"/>
        <filter val="210,00"/>
        <filter val="22 458,41"/>
        <filter val="23 483,41"/>
        <filter val="24,00"/>
        <filter val="240,00"/>
        <filter val="25,00"/>
        <filter val="250,00"/>
        <filter val="26,40"/>
        <filter val="28,00"/>
        <filter val="29,00"/>
        <filter val="3,33"/>
        <filter val="30,00"/>
        <filter val="300,00"/>
        <filter val="32,00"/>
        <filter val="320,37"/>
        <filter val="33,00"/>
        <filter val="330,00"/>
        <filter val="333,33"/>
        <filter val="360,00"/>
        <filter val="40,00"/>
        <filter val="400,00"/>
        <filter val="403,09"/>
        <filter val="41"/>
        <filter val="420,00"/>
        <filter val="425,24"/>
        <filter val="44,44"/>
        <filter val="450,00"/>
        <filter val="46,67"/>
        <filter val="472,22"/>
        <filter val="48,00"/>
        <filter val="495,00"/>
        <filter val="5 682,95"/>
        <filter val="5,00"/>
        <filter val="5,56"/>
        <filter val="50,00"/>
        <filter val="500,00"/>
        <filter val="540,00"/>
        <filter val="56,00"/>
        <filter val="560,00"/>
        <filter val="59,50"/>
        <filter val="590,00"/>
        <filter val="6,41"/>
        <filter val="60,00"/>
        <filter val="600,00"/>
        <filter val="608,00"/>
        <filter val="630,00"/>
        <filter val="640,00"/>
        <filter val="645,00"/>
        <filter val="650,00"/>
        <filter val="66,00"/>
        <filter val="7,00"/>
        <filter val="70,00"/>
        <filter val="700,00"/>
        <filter val="72,00"/>
        <filter val="720,00"/>
        <filter val="731,57"/>
        <filter val="750,00"/>
        <filter val="765,00"/>
        <filter val="8,33"/>
        <filter val="8,40"/>
        <filter val="80,00"/>
        <filter val="80,56"/>
        <filter val="830,00"/>
        <filter val="842,74"/>
        <filter val="855,00"/>
        <filter val="9,26"/>
        <filter val="9,87"/>
        <filter val="96,15"/>
        <filter val="984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2026-09-09T13:17:10Z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