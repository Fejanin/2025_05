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C1A3B9-AB24-497E-811F-935C70E826E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1" l="1"/>
  <c r="Y561" i="1"/>
  <c r="X561" i="1"/>
  <c r="BO560" i="1"/>
  <c r="BM560" i="1"/>
  <c r="Y560" i="1"/>
  <c r="AC573" i="1" s="1"/>
  <c r="P560" i="1"/>
  <c r="X557" i="1"/>
  <c r="X556" i="1"/>
  <c r="BO555" i="1"/>
  <c r="BM555" i="1"/>
  <c r="Y555" i="1"/>
  <c r="P555" i="1"/>
  <c r="BO554" i="1"/>
  <c r="BM554" i="1"/>
  <c r="Y554" i="1"/>
  <c r="Y556" i="1" s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AB573" i="1" s="1"/>
  <c r="P538" i="1"/>
  <c r="X534" i="1"/>
  <c r="X533" i="1"/>
  <c r="BO532" i="1"/>
  <c r="BM532" i="1"/>
  <c r="Y532" i="1"/>
  <c r="P532" i="1"/>
  <c r="BO531" i="1"/>
  <c r="BM531" i="1"/>
  <c r="Z531" i="1"/>
  <c r="Y531" i="1"/>
  <c r="BN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O509" i="1"/>
  <c r="BM509" i="1"/>
  <c r="Y509" i="1"/>
  <c r="BP509" i="1" s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O490" i="1"/>
  <c r="BM490" i="1"/>
  <c r="Y490" i="1"/>
  <c r="BP490" i="1" s="1"/>
  <c r="P490" i="1"/>
  <c r="X488" i="1"/>
  <c r="X487" i="1"/>
  <c r="BO486" i="1"/>
  <c r="BM486" i="1"/>
  <c r="Y486" i="1"/>
  <c r="BP486" i="1" s="1"/>
  <c r="P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X431" i="1"/>
  <c r="X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4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BP415" i="1" s="1"/>
  <c r="P415" i="1"/>
  <c r="BO414" i="1"/>
  <c r="BM414" i="1"/>
  <c r="Y414" i="1"/>
  <c r="P414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BO401" i="1"/>
  <c r="BM401" i="1"/>
  <c r="Y401" i="1"/>
  <c r="BN401" i="1" s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X393" i="1"/>
  <c r="X392" i="1"/>
  <c r="BO391" i="1"/>
  <c r="BM391" i="1"/>
  <c r="Y391" i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P370" i="1"/>
  <c r="X367" i="1"/>
  <c r="X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BP349" i="1" s="1"/>
  <c r="P349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BN333" i="1" s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BP326" i="1" s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O318" i="1"/>
  <c r="BM318" i="1"/>
  <c r="Y318" i="1"/>
  <c r="Y320" i="1" s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X305" i="1"/>
  <c r="X304" i="1"/>
  <c r="BO303" i="1"/>
  <c r="BM303" i="1"/>
  <c r="Y303" i="1"/>
  <c r="BP303" i="1" s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P295" i="1" s="1"/>
  <c r="P295" i="1"/>
  <c r="BO294" i="1"/>
  <c r="BM294" i="1"/>
  <c r="Y294" i="1"/>
  <c r="P294" i="1"/>
  <c r="BO293" i="1"/>
  <c r="BM293" i="1"/>
  <c r="Z293" i="1"/>
  <c r="Y293" i="1"/>
  <c r="BN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N287" i="1" s="1"/>
  <c r="P287" i="1"/>
  <c r="X285" i="1"/>
  <c r="X284" i="1"/>
  <c r="BO283" i="1"/>
  <c r="BM283" i="1"/>
  <c r="Y283" i="1"/>
  <c r="BP283" i="1" s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Z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BP272" i="1" s="1"/>
  <c r="P272" i="1"/>
  <c r="BO271" i="1"/>
  <c r="BM271" i="1"/>
  <c r="Z271" i="1"/>
  <c r="Y271" i="1"/>
  <c r="Y273" i="1" s="1"/>
  <c r="P271" i="1"/>
  <c r="X269" i="1"/>
  <c r="X268" i="1"/>
  <c r="BO267" i="1"/>
  <c r="BM267" i="1"/>
  <c r="Y267" i="1"/>
  <c r="P267" i="1"/>
  <c r="BO266" i="1"/>
  <c r="BM266" i="1"/>
  <c r="Y266" i="1"/>
  <c r="P266" i="1"/>
  <c r="X263" i="1"/>
  <c r="X262" i="1"/>
  <c r="BO261" i="1"/>
  <c r="BM261" i="1"/>
  <c r="Y261" i="1"/>
  <c r="Y262" i="1" s="1"/>
  <c r="P261" i="1"/>
  <c r="X259" i="1"/>
  <c r="X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Y258" i="1" s="1"/>
  <c r="P255" i="1"/>
  <c r="X253" i="1"/>
  <c r="X252" i="1"/>
  <c r="BO251" i="1"/>
  <c r="BM251" i="1"/>
  <c r="Y251" i="1"/>
  <c r="BP251" i="1" s="1"/>
  <c r="P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O248" i="1"/>
  <c r="BM248" i="1"/>
  <c r="Z248" i="1"/>
  <c r="Y248" i="1"/>
  <c r="BN248" i="1" s="1"/>
  <c r="P248" i="1"/>
  <c r="BO247" i="1"/>
  <c r="BM247" i="1"/>
  <c r="Y247" i="1"/>
  <c r="P247" i="1"/>
  <c r="X245" i="1"/>
  <c r="X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P241" i="1" s="1"/>
  <c r="P241" i="1"/>
  <c r="BP240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P205" i="1"/>
  <c r="X203" i="1"/>
  <c r="X202" i="1"/>
  <c r="BP201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BO193" i="1"/>
  <c r="BM193" i="1"/>
  <c r="Y193" i="1"/>
  <c r="BO192" i="1"/>
  <c r="BM192" i="1"/>
  <c r="Y192" i="1"/>
  <c r="P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O187" i="1"/>
  <c r="BM187" i="1"/>
  <c r="Y187" i="1"/>
  <c r="BP187" i="1" s="1"/>
  <c r="BO186" i="1"/>
  <c r="BM186" i="1"/>
  <c r="Z186" i="1"/>
  <c r="Y186" i="1"/>
  <c r="BN186" i="1" s="1"/>
  <c r="P186" i="1"/>
  <c r="BO185" i="1"/>
  <c r="BM185" i="1"/>
  <c r="Y185" i="1"/>
  <c r="BP185" i="1" s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Z177" i="1" s="1"/>
  <c r="P177" i="1"/>
  <c r="X175" i="1"/>
  <c r="X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BN171" i="1" s="1"/>
  <c r="P171" i="1"/>
  <c r="X168" i="1"/>
  <c r="X167" i="1"/>
  <c r="BO166" i="1"/>
  <c r="BM166" i="1"/>
  <c r="Y166" i="1"/>
  <c r="P166" i="1"/>
  <c r="X164" i="1"/>
  <c r="X163" i="1"/>
  <c r="BO162" i="1"/>
  <c r="BM162" i="1"/>
  <c r="Y162" i="1"/>
  <c r="BN162" i="1" s="1"/>
  <c r="P162" i="1"/>
  <c r="BO161" i="1"/>
  <c r="BM161" i="1"/>
  <c r="Y161" i="1"/>
  <c r="BP161" i="1" s="1"/>
  <c r="P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O158" i="1"/>
  <c r="BM158" i="1"/>
  <c r="Z158" i="1"/>
  <c r="Y158" i="1"/>
  <c r="BN158" i="1" s="1"/>
  <c r="P158" i="1"/>
  <c r="BO157" i="1"/>
  <c r="BM157" i="1"/>
  <c r="Y157" i="1"/>
  <c r="BP157" i="1" s="1"/>
  <c r="P157" i="1"/>
  <c r="BO156" i="1"/>
  <c r="BM156" i="1"/>
  <c r="Y156" i="1"/>
  <c r="BN156" i="1" s="1"/>
  <c r="P156" i="1"/>
  <c r="X153" i="1"/>
  <c r="X152" i="1"/>
  <c r="BO151" i="1"/>
  <c r="BM151" i="1"/>
  <c r="Z151" i="1"/>
  <c r="Y151" i="1"/>
  <c r="BN151" i="1" s="1"/>
  <c r="P151" i="1"/>
  <c r="BO150" i="1"/>
  <c r="BM150" i="1"/>
  <c r="Y150" i="1"/>
  <c r="Y153" i="1" s="1"/>
  <c r="P150" i="1"/>
  <c r="X148" i="1"/>
  <c r="X147" i="1"/>
  <c r="BO146" i="1"/>
  <c r="BM146" i="1"/>
  <c r="Y146" i="1"/>
  <c r="BP146" i="1" s="1"/>
  <c r="P146" i="1"/>
  <c r="BO145" i="1"/>
  <c r="BM145" i="1"/>
  <c r="Y145" i="1"/>
  <c r="P145" i="1"/>
  <c r="X143" i="1"/>
  <c r="X142" i="1"/>
  <c r="BO141" i="1"/>
  <c r="BM141" i="1"/>
  <c r="Y141" i="1"/>
  <c r="BN141" i="1" s="1"/>
  <c r="P141" i="1"/>
  <c r="BO140" i="1"/>
  <c r="BM140" i="1"/>
  <c r="Y140" i="1"/>
  <c r="P140" i="1"/>
  <c r="X137" i="1"/>
  <c r="X136" i="1"/>
  <c r="BO135" i="1"/>
  <c r="BM135" i="1"/>
  <c r="Y135" i="1"/>
  <c r="BP135" i="1" s="1"/>
  <c r="BO134" i="1"/>
  <c r="BM134" i="1"/>
  <c r="Y134" i="1"/>
  <c r="Y136" i="1" s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O128" i="1"/>
  <c r="BM128" i="1"/>
  <c r="Y128" i="1"/>
  <c r="BN128" i="1" s="1"/>
  <c r="BO127" i="1"/>
  <c r="BM127" i="1"/>
  <c r="Y127" i="1"/>
  <c r="BP127" i="1" s="1"/>
  <c r="P127" i="1"/>
  <c r="BO126" i="1"/>
  <c r="BM126" i="1"/>
  <c r="Y126" i="1"/>
  <c r="BP126" i="1" s="1"/>
  <c r="BO125" i="1"/>
  <c r="BM125" i="1"/>
  <c r="Y125" i="1"/>
  <c r="BP125" i="1" s="1"/>
  <c r="P125" i="1"/>
  <c r="BO124" i="1"/>
  <c r="BM124" i="1"/>
  <c r="Y124" i="1"/>
  <c r="BN124" i="1" s="1"/>
  <c r="BO123" i="1"/>
  <c r="BM123" i="1"/>
  <c r="Y123" i="1"/>
  <c r="BN123" i="1" s="1"/>
  <c r="P123" i="1"/>
  <c r="X121" i="1"/>
  <c r="X120" i="1"/>
  <c r="BO119" i="1"/>
  <c r="BM119" i="1"/>
  <c r="Y119" i="1"/>
  <c r="BN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Z115" i="1"/>
  <c r="Y115" i="1"/>
  <c r="BN115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BP109" i="1" s="1"/>
  <c r="P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X101" i="1"/>
  <c r="X100" i="1"/>
  <c r="BO99" i="1"/>
  <c r="BM99" i="1"/>
  <c r="Y99" i="1"/>
  <c r="BN99" i="1" s="1"/>
  <c r="P99" i="1"/>
  <c r="BO98" i="1"/>
  <c r="BM98" i="1"/>
  <c r="Y98" i="1"/>
  <c r="BP98" i="1" s="1"/>
  <c r="BO97" i="1"/>
  <c r="BM97" i="1"/>
  <c r="Y97" i="1"/>
  <c r="BP97" i="1" s="1"/>
  <c r="P97" i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Z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X567" i="1" s="1"/>
  <c r="BO23" i="1"/>
  <c r="BM23" i="1"/>
  <c r="Z23" i="1"/>
  <c r="Y23" i="1"/>
  <c r="BN23" i="1" s="1"/>
  <c r="P23" i="1"/>
  <c r="BO22" i="1"/>
  <c r="BM22" i="1"/>
  <c r="Y22" i="1"/>
  <c r="B573" i="1" s="1"/>
  <c r="P22" i="1"/>
  <c r="H10" i="1"/>
  <c r="A9" i="1"/>
  <c r="F10" i="1" s="1"/>
  <c r="D7" i="1"/>
  <c r="Q6" i="1"/>
  <c r="P2" i="1"/>
  <c r="BP37" i="1" l="1"/>
  <c r="BN64" i="1"/>
  <c r="BN111" i="1"/>
  <c r="BP145" i="1"/>
  <c r="BN145" i="1"/>
  <c r="Y168" i="1"/>
  <c r="Y167" i="1"/>
  <c r="BP166" i="1"/>
  <c r="BN166" i="1"/>
  <c r="Z166" i="1"/>
  <c r="Z167" i="1" s="1"/>
  <c r="BN173" i="1"/>
  <c r="Z173" i="1"/>
  <c r="BN187" i="1"/>
  <c r="BN190" i="1"/>
  <c r="Z190" i="1"/>
  <c r="BN195" i="1"/>
  <c r="Z195" i="1"/>
  <c r="Y211" i="1"/>
  <c r="Y210" i="1"/>
  <c r="BP209" i="1"/>
  <c r="BN209" i="1"/>
  <c r="Z209" i="1"/>
  <c r="Z210" i="1" s="1"/>
  <c r="BN217" i="1"/>
  <c r="Z217" i="1"/>
  <c r="BN232" i="1"/>
  <c r="Z232" i="1"/>
  <c r="BP242" i="1"/>
  <c r="BN242" i="1"/>
  <c r="Z242" i="1"/>
  <c r="BN256" i="1"/>
  <c r="Z256" i="1"/>
  <c r="BN283" i="1"/>
  <c r="BP308" i="1"/>
  <c r="BN308" i="1"/>
  <c r="Z308" i="1"/>
  <c r="BN312" i="1"/>
  <c r="BP344" i="1"/>
  <c r="BN344" i="1"/>
  <c r="Z344" i="1"/>
  <c r="BP353" i="1"/>
  <c r="BN353" i="1"/>
  <c r="Z353" i="1"/>
  <c r="BN371" i="1"/>
  <c r="BN389" i="1"/>
  <c r="BN415" i="1"/>
  <c r="BP429" i="1"/>
  <c r="BN429" i="1"/>
  <c r="Z429" i="1"/>
  <c r="BP439" i="1"/>
  <c r="BN439" i="1"/>
  <c r="Z439" i="1"/>
  <c r="BP447" i="1"/>
  <c r="BN447" i="1"/>
  <c r="Z447" i="1"/>
  <c r="BN474" i="1"/>
  <c r="BN484" i="1"/>
  <c r="BN509" i="1"/>
  <c r="BN527" i="1"/>
  <c r="X565" i="1"/>
  <c r="BP23" i="1"/>
  <c r="BP29" i="1"/>
  <c r="Z37" i="1"/>
  <c r="Z39" i="1"/>
  <c r="BN39" i="1"/>
  <c r="BN41" i="1"/>
  <c r="Z47" i="1"/>
  <c r="BN47" i="1"/>
  <c r="BN49" i="1"/>
  <c r="Z56" i="1"/>
  <c r="BN56" i="1"/>
  <c r="BN58" i="1"/>
  <c r="BN72" i="1"/>
  <c r="Z78" i="1"/>
  <c r="BN78" i="1"/>
  <c r="BN80" i="1"/>
  <c r="Z85" i="1"/>
  <c r="BN85" i="1"/>
  <c r="Z96" i="1"/>
  <c r="BN96" i="1"/>
  <c r="Z104" i="1"/>
  <c r="BN104" i="1"/>
  <c r="Z108" i="1"/>
  <c r="BP115" i="1"/>
  <c r="Z124" i="1"/>
  <c r="Z127" i="1"/>
  <c r="BN127" i="1"/>
  <c r="H573" i="1"/>
  <c r="Z145" i="1"/>
  <c r="BP173" i="1"/>
  <c r="BP190" i="1"/>
  <c r="BP192" i="1"/>
  <c r="BN192" i="1"/>
  <c r="Z192" i="1"/>
  <c r="BP195" i="1"/>
  <c r="BN201" i="1"/>
  <c r="Z201" i="1"/>
  <c r="BP217" i="1"/>
  <c r="BP219" i="1"/>
  <c r="BN219" i="1"/>
  <c r="Z219" i="1"/>
  <c r="BP226" i="1"/>
  <c r="Y227" i="1"/>
  <c r="BN226" i="1"/>
  <c r="BP232" i="1"/>
  <c r="BP234" i="1"/>
  <c r="BN234" i="1"/>
  <c r="Z234" i="1"/>
  <c r="BN240" i="1"/>
  <c r="Z240" i="1"/>
  <c r="BP256" i="1"/>
  <c r="BP267" i="1"/>
  <c r="BN267" i="1"/>
  <c r="Z267" i="1"/>
  <c r="BN289" i="1"/>
  <c r="BN297" i="1"/>
  <c r="BN379" i="1"/>
  <c r="BN490" i="1"/>
  <c r="BN515" i="1"/>
  <c r="Z515" i="1"/>
  <c r="BP151" i="1"/>
  <c r="BP158" i="1"/>
  <c r="BN183" i="1"/>
  <c r="BP186" i="1"/>
  <c r="BN221" i="1"/>
  <c r="BN236" i="1"/>
  <c r="BP248" i="1"/>
  <c r="BP271" i="1"/>
  <c r="Y285" i="1"/>
  <c r="BP279" i="1"/>
  <c r="BP293" i="1"/>
  <c r="BN295" i="1"/>
  <c r="BN303" i="1"/>
  <c r="BN310" i="1"/>
  <c r="BN318" i="1"/>
  <c r="BN326" i="1"/>
  <c r="BN349" i="1"/>
  <c r="BN364" i="1"/>
  <c r="BN373" i="1"/>
  <c r="BN381" i="1"/>
  <c r="BN395" i="1"/>
  <c r="BN409" i="1"/>
  <c r="BN435" i="1"/>
  <c r="BN441" i="1"/>
  <c r="BN459" i="1"/>
  <c r="BN486" i="1"/>
  <c r="BN501" i="1"/>
  <c r="BN511" i="1"/>
  <c r="BP531" i="1"/>
  <c r="BN560" i="1"/>
  <c r="X563" i="1"/>
  <c r="Z41" i="1"/>
  <c r="Z49" i="1"/>
  <c r="E573" i="1"/>
  <c r="Z58" i="1"/>
  <c r="Z64" i="1"/>
  <c r="Z72" i="1"/>
  <c r="Y82" i="1"/>
  <c r="Z80" i="1"/>
  <c r="BP106" i="1"/>
  <c r="Z106" i="1"/>
  <c r="Z128" i="1"/>
  <c r="Z156" i="1"/>
  <c r="Z171" i="1"/>
  <c r="BN238" i="1"/>
  <c r="BP238" i="1"/>
  <c r="Z238" i="1"/>
  <c r="BN351" i="1"/>
  <c r="BP351" i="1"/>
  <c r="Z351" i="1"/>
  <c r="BN383" i="1"/>
  <c r="BP383" i="1"/>
  <c r="Z383" i="1"/>
  <c r="BN437" i="1"/>
  <c r="BP437" i="1"/>
  <c r="Z437" i="1"/>
  <c r="BN513" i="1"/>
  <c r="BP513" i="1"/>
  <c r="Z513" i="1"/>
  <c r="BN521" i="1"/>
  <c r="BP521" i="1"/>
  <c r="Z521" i="1"/>
  <c r="BN27" i="1"/>
  <c r="BN60" i="1"/>
  <c r="BN66" i="1"/>
  <c r="BN88" i="1"/>
  <c r="BN95" i="1"/>
  <c r="BP108" i="1"/>
  <c r="BP124" i="1"/>
  <c r="Y179" i="1"/>
  <c r="BN177" i="1"/>
  <c r="BP177" i="1"/>
  <c r="Y197" i="1"/>
  <c r="BN277" i="1"/>
  <c r="BP277" i="1"/>
  <c r="Z277" i="1"/>
  <c r="BN314" i="1"/>
  <c r="BP314" i="1"/>
  <c r="Z314" i="1"/>
  <c r="BN335" i="1"/>
  <c r="BP335" i="1"/>
  <c r="Z335" i="1"/>
  <c r="BN357" i="1"/>
  <c r="BP357" i="1"/>
  <c r="Z357" i="1"/>
  <c r="BN403" i="1"/>
  <c r="BP403" i="1"/>
  <c r="Z403" i="1"/>
  <c r="X564" i="1"/>
  <c r="X566" i="1" s="1"/>
  <c r="BP99" i="1"/>
  <c r="Z99" i="1"/>
  <c r="BP119" i="1"/>
  <c r="Z119" i="1"/>
  <c r="BP162" i="1"/>
  <c r="Z162" i="1"/>
  <c r="BN193" i="1"/>
  <c r="BP193" i="1"/>
  <c r="Z193" i="1"/>
  <c r="Y203" i="1"/>
  <c r="BN199" i="1"/>
  <c r="BP199" i="1"/>
  <c r="Z199" i="1"/>
  <c r="Y207" i="1"/>
  <c r="Y206" i="1"/>
  <c r="BN205" i="1"/>
  <c r="BP205" i="1"/>
  <c r="Z205" i="1"/>
  <c r="Z206" i="1" s="1"/>
  <c r="BN215" i="1"/>
  <c r="BP215" i="1"/>
  <c r="Z215" i="1"/>
  <c r="Y244" i="1"/>
  <c r="BN230" i="1"/>
  <c r="BP230" i="1"/>
  <c r="Z230" i="1"/>
  <c r="BN328" i="1"/>
  <c r="BP328" i="1"/>
  <c r="Z328" i="1"/>
  <c r="BN342" i="1"/>
  <c r="Y345" i="1"/>
  <c r="BP342" i="1"/>
  <c r="Z342" i="1"/>
  <c r="BN397" i="1"/>
  <c r="BP397" i="1"/>
  <c r="Z397" i="1"/>
  <c r="BN427" i="1"/>
  <c r="Y430" i="1"/>
  <c r="BP427" i="1"/>
  <c r="Z427" i="1"/>
  <c r="Z27" i="1"/>
  <c r="BP27" i="1"/>
  <c r="Z60" i="1"/>
  <c r="Y68" i="1"/>
  <c r="Z66" i="1"/>
  <c r="Y74" i="1"/>
  <c r="Z88" i="1"/>
  <c r="Y101" i="1"/>
  <c r="Z95" i="1"/>
  <c r="BP128" i="1"/>
  <c r="BP141" i="1"/>
  <c r="Z141" i="1"/>
  <c r="BP156" i="1"/>
  <c r="BP171" i="1"/>
  <c r="BN291" i="1"/>
  <c r="BP291" i="1"/>
  <c r="Z291" i="1"/>
  <c r="BN391" i="1"/>
  <c r="BP391" i="1"/>
  <c r="Z391" i="1"/>
  <c r="BN453" i="1"/>
  <c r="BP453" i="1"/>
  <c r="Z453" i="1"/>
  <c r="BN529" i="1"/>
  <c r="BP529" i="1"/>
  <c r="Z529" i="1"/>
  <c r="BN555" i="1"/>
  <c r="BP555" i="1"/>
  <c r="Z555" i="1"/>
  <c r="Y339" i="1"/>
  <c r="Y405" i="1"/>
  <c r="Y113" i="1"/>
  <c r="Y131" i="1"/>
  <c r="Y147" i="1"/>
  <c r="Z183" i="1"/>
  <c r="Z187" i="1"/>
  <c r="Z221" i="1"/>
  <c r="Z236" i="1"/>
  <c r="M573" i="1"/>
  <c r="BN271" i="1"/>
  <c r="Z283" i="1"/>
  <c r="Y299" i="1"/>
  <c r="Z289" i="1"/>
  <c r="Z297" i="1"/>
  <c r="Z312" i="1"/>
  <c r="Z318" i="1"/>
  <c r="Z319" i="1" s="1"/>
  <c r="BP318" i="1"/>
  <c r="Z326" i="1"/>
  <c r="Z333" i="1"/>
  <c r="BP333" i="1"/>
  <c r="Z349" i="1"/>
  <c r="Z364" i="1"/>
  <c r="Z373" i="1"/>
  <c r="Z381" i="1"/>
  <c r="Z389" i="1"/>
  <c r="Z395" i="1"/>
  <c r="Z401" i="1"/>
  <c r="BP401" i="1"/>
  <c r="Z409" i="1"/>
  <c r="Z435" i="1"/>
  <c r="Z459" i="1"/>
  <c r="Z486" i="1"/>
  <c r="Z501" i="1"/>
  <c r="Z511" i="1"/>
  <c r="Z527" i="1"/>
  <c r="Z111" i="1"/>
  <c r="Y121" i="1"/>
  <c r="Z123" i="1"/>
  <c r="BP123" i="1"/>
  <c r="Z226" i="1"/>
  <c r="Z227" i="1" s="1"/>
  <c r="Y252" i="1"/>
  <c r="Z287" i="1"/>
  <c r="BP287" i="1"/>
  <c r="Z295" i="1"/>
  <c r="Z303" i="1"/>
  <c r="Z310" i="1"/>
  <c r="Z371" i="1"/>
  <c r="Z379" i="1"/>
  <c r="Z415" i="1"/>
  <c r="Z441" i="1"/>
  <c r="Z474" i="1"/>
  <c r="Z484" i="1"/>
  <c r="Z490" i="1"/>
  <c r="Z509" i="1"/>
  <c r="Z560" i="1"/>
  <c r="Z561" i="1" s="1"/>
  <c r="BP560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7" i="1"/>
  <c r="Y142" i="1"/>
  <c r="Y148" i="1"/>
  <c r="Y152" i="1"/>
  <c r="Y163" i="1"/>
  <c r="Y174" i="1"/>
  <c r="Y180" i="1"/>
  <c r="Y196" i="1"/>
  <c r="Y202" i="1"/>
  <c r="Y222" i="1"/>
  <c r="Y245" i="1"/>
  <c r="Y253" i="1"/>
  <c r="Y259" i="1"/>
  <c r="Y263" i="1"/>
  <c r="Y268" i="1"/>
  <c r="Y274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BP311" i="1"/>
  <c r="BN311" i="1"/>
  <c r="Z311" i="1"/>
  <c r="Y315" i="1"/>
  <c r="BP327" i="1"/>
  <c r="BN327" i="1"/>
  <c r="Z327" i="1"/>
  <c r="Z329" i="1" s="1"/>
  <c r="BP336" i="1"/>
  <c r="BN336" i="1"/>
  <c r="Z336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86" i="1"/>
  <c r="Y393" i="1"/>
  <c r="BP388" i="1"/>
  <c r="BN388" i="1"/>
  <c r="Z388" i="1"/>
  <c r="Y392" i="1"/>
  <c r="BP396" i="1"/>
  <c r="BN396" i="1"/>
  <c r="Z396" i="1"/>
  <c r="Z398" i="1" s="1"/>
  <c r="BP404" i="1"/>
  <c r="BN404" i="1"/>
  <c r="Z404" i="1"/>
  <c r="Y406" i="1"/>
  <c r="Y411" i="1"/>
  <c r="BP408" i="1"/>
  <c r="BN408" i="1"/>
  <c r="Z408" i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G573" i="1"/>
  <c r="X573" i="1"/>
  <c r="F9" i="1"/>
  <c r="J9" i="1"/>
  <c r="Z22" i="1"/>
  <c r="Z24" i="1" s="1"/>
  <c r="BN22" i="1"/>
  <c r="BP22" i="1"/>
  <c r="Y25" i="1"/>
  <c r="Z28" i="1"/>
  <c r="BN28" i="1"/>
  <c r="Z30" i="1"/>
  <c r="BN30" i="1"/>
  <c r="C573" i="1"/>
  <c r="Z38" i="1"/>
  <c r="BN38" i="1"/>
  <c r="Z40" i="1"/>
  <c r="BN40" i="1"/>
  <c r="Y43" i="1"/>
  <c r="D573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73" i="1"/>
  <c r="Z86" i="1"/>
  <c r="BN86" i="1"/>
  <c r="Z87" i="1"/>
  <c r="BN87" i="1"/>
  <c r="Z89" i="1"/>
  <c r="BN89" i="1"/>
  <c r="Y90" i="1"/>
  <c r="Z93" i="1"/>
  <c r="BN93" i="1"/>
  <c r="BP93" i="1"/>
  <c r="Z94" i="1"/>
  <c r="BN94" i="1"/>
  <c r="Z97" i="1"/>
  <c r="BN97" i="1"/>
  <c r="Z98" i="1"/>
  <c r="BN98" i="1"/>
  <c r="Z105" i="1"/>
  <c r="BN105" i="1"/>
  <c r="Z107" i="1"/>
  <c r="BN107" i="1"/>
  <c r="Z109" i="1"/>
  <c r="BN109" i="1"/>
  <c r="Z110" i="1"/>
  <c r="BN110" i="1"/>
  <c r="Z116" i="1"/>
  <c r="BN116" i="1"/>
  <c r="Z118" i="1"/>
  <c r="BN118" i="1"/>
  <c r="Z125" i="1"/>
  <c r="BN125" i="1"/>
  <c r="Z126" i="1"/>
  <c r="BN126" i="1"/>
  <c r="Z129" i="1"/>
  <c r="BN129" i="1"/>
  <c r="Z130" i="1"/>
  <c r="BN130" i="1"/>
  <c r="Z134" i="1"/>
  <c r="BN134" i="1"/>
  <c r="BP134" i="1"/>
  <c r="Z135" i="1"/>
  <c r="BN135" i="1"/>
  <c r="Z140" i="1"/>
  <c r="Z142" i="1" s="1"/>
  <c r="BN140" i="1"/>
  <c r="BP140" i="1"/>
  <c r="Y143" i="1"/>
  <c r="Z146" i="1"/>
  <c r="Z147" i="1" s="1"/>
  <c r="BN146" i="1"/>
  <c r="Z150" i="1"/>
  <c r="Z152" i="1" s="1"/>
  <c r="BN150" i="1"/>
  <c r="BP150" i="1"/>
  <c r="I573" i="1"/>
  <c r="Z157" i="1"/>
  <c r="BN157" i="1"/>
  <c r="Z159" i="1"/>
  <c r="BN159" i="1"/>
  <c r="Z161" i="1"/>
  <c r="BN161" i="1"/>
  <c r="Y164" i="1"/>
  <c r="J573" i="1"/>
  <c r="Z172" i="1"/>
  <c r="Z174" i="1" s="1"/>
  <c r="BN172" i="1"/>
  <c r="Y175" i="1"/>
  <c r="Z178" i="1"/>
  <c r="Z179" i="1" s="1"/>
  <c r="BN178" i="1"/>
  <c r="Z182" i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Z200" i="1"/>
  <c r="Z202" i="1" s="1"/>
  <c r="BN200" i="1"/>
  <c r="K573" i="1"/>
  <c r="Z216" i="1"/>
  <c r="BN216" i="1"/>
  <c r="Z218" i="1"/>
  <c r="BN218" i="1"/>
  <c r="Z220" i="1"/>
  <c r="BN220" i="1"/>
  <c r="Y223" i="1"/>
  <c r="L573" i="1"/>
  <c r="Y228" i="1"/>
  <c r="Z231" i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Z247" i="1"/>
  <c r="BN247" i="1"/>
  <c r="BP247" i="1"/>
  <c r="Z249" i="1"/>
  <c r="BN249" i="1"/>
  <c r="Z251" i="1"/>
  <c r="BN251" i="1"/>
  <c r="Z255" i="1"/>
  <c r="BN255" i="1"/>
  <c r="BP255" i="1"/>
  <c r="Z257" i="1"/>
  <c r="BN257" i="1"/>
  <c r="Z261" i="1"/>
  <c r="Z262" i="1" s="1"/>
  <c r="BN261" i="1"/>
  <c r="BP261" i="1"/>
  <c r="Z266" i="1"/>
  <c r="Z268" i="1" s="1"/>
  <c r="BN266" i="1"/>
  <c r="BP266" i="1"/>
  <c r="Y269" i="1"/>
  <c r="Z272" i="1"/>
  <c r="Z273" i="1" s="1"/>
  <c r="BN272" i="1"/>
  <c r="Z276" i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Y304" i="1"/>
  <c r="BP309" i="1"/>
  <c r="BN309" i="1"/>
  <c r="Z309" i="1"/>
  <c r="BP313" i="1"/>
  <c r="BN313" i="1"/>
  <c r="Z313" i="1"/>
  <c r="Y330" i="1"/>
  <c r="Y329" i="1"/>
  <c r="Z338" i="1"/>
  <c r="BP334" i="1"/>
  <c r="BN334" i="1"/>
  <c r="Z334" i="1"/>
  <c r="Y338" i="1"/>
  <c r="BP343" i="1"/>
  <c r="BN343" i="1"/>
  <c r="Z343" i="1"/>
  <c r="BP352" i="1"/>
  <c r="BN352" i="1"/>
  <c r="Z352" i="1"/>
  <c r="Z354" i="1" s="1"/>
  <c r="Y359" i="1"/>
  <c r="BP365" i="1"/>
  <c r="BN365" i="1"/>
  <c r="Z365" i="1"/>
  <c r="Y367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Y398" i="1"/>
  <c r="BP402" i="1"/>
  <c r="BN402" i="1"/>
  <c r="Z402" i="1"/>
  <c r="BP410" i="1"/>
  <c r="BN410" i="1"/>
  <c r="Z410" i="1"/>
  <c r="Y412" i="1"/>
  <c r="Y417" i="1"/>
  <c r="BP414" i="1"/>
  <c r="BN414" i="1"/>
  <c r="Z414" i="1"/>
  <c r="Y423" i="1"/>
  <c r="BP428" i="1"/>
  <c r="BN428" i="1"/>
  <c r="Z428" i="1"/>
  <c r="BP438" i="1"/>
  <c r="BN438" i="1"/>
  <c r="Z438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68" i="1" l="1"/>
  <c r="Z32" i="1"/>
  <c r="Z449" i="1"/>
  <c r="Z430" i="1"/>
  <c r="Z417" i="1"/>
  <c r="Z405" i="1"/>
  <c r="Z345" i="1"/>
  <c r="Z42" i="1"/>
  <c r="Z492" i="1"/>
  <c r="Z304" i="1"/>
  <c r="Z284" i="1"/>
  <c r="Z222" i="1"/>
  <c r="Z81" i="1"/>
  <c r="Z443" i="1"/>
  <c r="Z258" i="1"/>
  <c r="Z196" i="1"/>
  <c r="Z136" i="1"/>
  <c r="Z131" i="1"/>
  <c r="Z120" i="1"/>
  <c r="Z112" i="1"/>
  <c r="Z90" i="1"/>
  <c r="Z51" i="1"/>
  <c r="Z315" i="1"/>
  <c r="Z244" i="1"/>
  <c r="Z163" i="1"/>
  <c r="Z517" i="1"/>
  <c r="Z487" i="1"/>
  <c r="Z385" i="1"/>
  <c r="Z375" i="1"/>
  <c r="Z299" i="1"/>
  <c r="Z252" i="1"/>
  <c r="Z100" i="1"/>
  <c r="Z74" i="1"/>
  <c r="Z61" i="1"/>
  <c r="Y565" i="1"/>
  <c r="Z503" i="1"/>
  <c r="Z392" i="1"/>
  <c r="Z366" i="1"/>
  <c r="Y567" i="1"/>
  <c r="Y563" i="1"/>
  <c r="Y564" i="1"/>
  <c r="Y566" i="1" s="1"/>
  <c r="Z533" i="1"/>
  <c r="Z476" i="1"/>
  <c r="Z455" i="1"/>
  <c r="Z411" i="1"/>
  <c r="Z568" i="1" l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<sst xmlns="http://schemas.openxmlformats.org/spreadsheetml/2006/main" count="2590" uniqueCount="927">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</sst>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46277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902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Суббота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6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0.5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63</v>
      </c>
      <c r="Y29" s="652">
        <f>IFERROR(IF(X29="",0,CEILING((X29/$H29),1)*$H29),"")</f>
        <v>63</v>
      </c>
      <c r="Z29" s="36">
        <f>IFERROR(IF(Y29=0,"",ROUNDUP(Y29/H29,0)*0.00651),"")</f>
        <v>0.22785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111.3</v>
      </c>
      <c r="BN29" s="64">
        <f>IFERROR(Y29*I29/H29,"0")</f>
        <v>111.3</v>
      </c>
      <c r="BO29" s="64">
        <f>IFERROR(1/J29*(X29/H29),"0")</f>
        <v>0.19230769230769232</v>
      </c>
      <c r="BP29" s="64">
        <f>IFERROR(1/J29*(Y29/H29),"0")</f>
        <v>0.19230769230769232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58</v>
      </c>
      <c r="Y30" s="652">
        <f>IFERROR(IF(X30="",0,CEILING((X30/$H30),1)*$H30),"")</f>
        <v>59.4</v>
      </c>
      <c r="Z30" s="36">
        <f>IFERROR(IF(Y30=0,"",ROUNDUP(Y30/H30,0)*0.00651),"")</f>
        <v>0.21482999999999999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102.46666666666667</v>
      </c>
      <c r="BN30" s="64">
        <f>IFERROR(Y30*I30/H30,"0")</f>
        <v>104.94</v>
      </c>
      <c r="BO30" s="64">
        <f>IFERROR(1/J30*(X30/H30),"0")</f>
        <v>0.17704517704517705</v>
      </c>
      <c r="BP30" s="64">
        <f>IFERROR(1/J30*(Y30/H30),"0")</f>
        <v>0.18131868131868134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67.222222222222229</v>
      </c>
      <c r="Y32" s="653">
        <f>IFERROR(Y27/H27,"0")+IFERROR(Y28/H28,"0")+IFERROR(Y29/H29,"0")+IFERROR(Y30/H30,"0")+IFERROR(Y31/H31,"0")</f>
        <v>68</v>
      </c>
      <c r="Z32" s="653">
        <f>IFERROR(IF(Z27="",0,Z27),"0")+IFERROR(IF(Z28="",0,Z28),"0")+IFERROR(IF(Z29="",0,Z29),"0")+IFERROR(IF(Z30="",0,Z30),"0")+IFERROR(IF(Z31="",0,Z31),"0")</f>
        <v>0.44267999999999996</v>
      </c>
      <c r="AA32" s="654"/>
      <c r="AB32" s="654"/>
      <c r="AC32" s="654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121</v>
      </c>
      <c r="Y33" s="653">
        <f>IFERROR(SUM(Y27:Y31),"0")</f>
        <v>122.4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1093</v>
      </c>
      <c r="Y47" s="652">
        <f>IFERROR(IF(X47="",0,CEILING((X47/$H47),1)*$H47),"")</f>
        <v>1101.6000000000001</v>
      </c>
      <c r="Z47" s="36">
        <f>IFERROR(IF(Y47=0,"",ROUNDUP(Y47/H47,0)*0.01898),"")</f>
        <v>1.9359600000000001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1134.4935185185186</v>
      </c>
      <c r="BN47" s="64">
        <f>IFERROR(Y47*I47/H47,"0")</f>
        <v>1143.4200000000003</v>
      </c>
      <c r="BO47" s="64">
        <f>IFERROR(1/J47*(X47/H47),"0")</f>
        <v>1.5813078703703702</v>
      </c>
      <c r="BP47" s="64">
        <f>IFERROR(1/J47*(Y47/H47),"0")</f>
        <v>1.59375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101.2037037037037</v>
      </c>
      <c r="Y51" s="653">
        <f>IFERROR(Y47/H47,"0")+IFERROR(Y48/H48,"0")+IFERROR(Y49/H49,"0")+IFERROR(Y50/H50,"0")</f>
        <v>102</v>
      </c>
      <c r="Z51" s="653">
        <f>IFERROR(IF(Z47="",0,Z47),"0")+IFERROR(IF(Z48="",0,Z48),"0")+IFERROR(IF(Z49="",0,Z49),"0")+IFERROR(IF(Z50="",0,Z50),"0")</f>
        <v>1.9359600000000001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1093</v>
      </c>
      <c r="Y52" s="653">
        <f>IFERROR(SUM(Y47:Y50),"0")</f>
        <v>1101.6000000000001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117</v>
      </c>
      <c r="Y55" s="652">
        <f t="shared" ref="Y55:Y60" si="0">IFERROR(IF(X55="",0,CEILING((X55/$H55),1)*$H55),"")</f>
        <v>123.19999999999999</v>
      </c>
      <c r="Z55" s="36">
        <f>IFERROR(IF(Y55=0,"",ROUNDUP(Y55/H55,0)*0.01898),"")</f>
        <v>0.20877999999999999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121.28303571428572</v>
      </c>
      <c r="BN55" s="64">
        <f t="shared" ref="BN55:BN60" si="2">IFERROR(Y55*I55/H55,"0")</f>
        <v>127.71</v>
      </c>
      <c r="BO55" s="64">
        <f t="shared" ref="BO55:BO60" si="3">IFERROR(1/J55*(X55/H55),"0")</f>
        <v>0.16322544642857145</v>
      </c>
      <c r="BP55" s="64">
        <f t="shared" ref="BP55:BP60" si="4">IFERROR(1/J55*(Y55/H55),"0")</f>
        <v>0.171875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398</v>
      </c>
      <c r="Y56" s="652">
        <f t="shared" si="0"/>
        <v>399.6</v>
      </c>
      <c r="Z56" s="36">
        <f>IFERROR(IF(Y56=0,"",ROUNDUP(Y56/H56,0)*0.01898),"")</f>
        <v>0.70226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413.1092592592592</v>
      </c>
      <c r="BN56" s="64">
        <f t="shared" si="2"/>
        <v>414.77000000000004</v>
      </c>
      <c r="BO56" s="64">
        <f t="shared" si="3"/>
        <v>0.57581018518518512</v>
      </c>
      <c r="BP56" s="64">
        <f t="shared" si="4"/>
        <v>0.578125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20</v>
      </c>
      <c r="Y60" s="652">
        <f t="shared" si="0"/>
        <v>22.5</v>
      </c>
      <c r="Z60" s="36">
        <f>IFERROR(IF(Y60=0,"",ROUNDUP(Y60/H60,0)*0.00902),"")</f>
        <v>4.5100000000000001E-2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20.844444444444449</v>
      </c>
      <c r="BN60" s="64">
        <f t="shared" si="2"/>
        <v>23.450000000000003</v>
      </c>
      <c r="BO60" s="64">
        <f t="shared" si="3"/>
        <v>3.3670033670033669E-2</v>
      </c>
      <c r="BP60" s="64">
        <f t="shared" si="4"/>
        <v>3.787878787878788E-2</v>
      </c>
    </row>
    <row r="61" spans="1:68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51.74272486772486</v>
      </c>
      <c r="Y61" s="653">
        <f>IFERROR(Y55/H55,"0")+IFERROR(Y56/H56,"0")+IFERROR(Y57/H57,"0")+IFERROR(Y58/H58,"0")+IFERROR(Y59/H59,"0")+IFERROR(Y60/H60,"0")</f>
        <v>53</v>
      </c>
      <c r="Z61" s="653">
        <f>IFERROR(IF(Z55="",0,Z55),"0")+IFERROR(IF(Z56="",0,Z56),"0")+IFERROR(IF(Z57="",0,Z57),"0")+IFERROR(IF(Z58="",0,Z58),"0")+IFERROR(IF(Z59="",0,Z59),"0")+IFERROR(IF(Z60="",0,Z60),"0")</f>
        <v>0.95613999999999999</v>
      </c>
      <c r="AA61" s="654"/>
      <c r="AB61" s="654"/>
      <c r="AC61" s="654"/>
    </row>
    <row r="62" spans="1:68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535</v>
      </c>
      <c r="Y62" s="653">
        <f>IFERROR(SUM(Y55:Y60),"0")</f>
        <v>545.29999999999995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293</v>
      </c>
      <c r="Y64" s="652">
        <f>IFERROR(IF(X64="",0,CEILING((X64/$H64),1)*$H64),"")</f>
        <v>302.40000000000003</v>
      </c>
      <c r="Z64" s="36">
        <f>IFERROR(IF(Y64=0,"",ROUNDUP(Y64/H64,0)*0.01898),"")</f>
        <v>0.53144000000000002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304.12314814814818</v>
      </c>
      <c r="BN64" s="64">
        <f>IFERROR(Y64*I64/H64,"0")</f>
        <v>313.88</v>
      </c>
      <c r="BO64" s="64">
        <f>IFERROR(1/J64*(X64/H64),"0")</f>
        <v>0.42390046296296291</v>
      </c>
      <c r="BP64" s="64">
        <f>IFERROR(1/J64*(Y64/H64),"0")</f>
        <v>0.4375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27.129629629629626</v>
      </c>
      <c r="Y68" s="653">
        <f>IFERROR(Y64/H64,"0")+IFERROR(Y65/H65,"0")+IFERROR(Y66/H66,"0")+IFERROR(Y67/H67,"0")</f>
        <v>28</v>
      </c>
      <c r="Z68" s="653">
        <f>IFERROR(IF(Z64="",0,Z64),"0")+IFERROR(IF(Z65="",0,Z65),"0")+IFERROR(IF(Z66="",0,Z66),"0")+IFERROR(IF(Z67="",0,Z67),"0")</f>
        <v>0.53144000000000002</v>
      </c>
      <c r="AA68" s="654"/>
      <c r="AB68" s="654"/>
      <c r="AC68" s="654"/>
    </row>
    <row r="69" spans="1:68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293</v>
      </c>
      <c r="Y69" s="653">
        <f>IFERROR(SUM(Y64:Y67),"0")</f>
        <v>302.40000000000003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27</v>
      </c>
      <c r="Y77" s="652">
        <f>IFERROR(IF(X77="",0,CEILING((X77/$H77),1)*$H77),"")</f>
        <v>31.2</v>
      </c>
      <c r="Z77" s="36">
        <f>IFERROR(IF(Y77=0,"",ROUNDUP(Y77/H77,0)*0.01898),"")</f>
        <v>7.5920000000000001E-2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28.419230769230772</v>
      </c>
      <c r="BN77" s="64">
        <f>IFERROR(Y77*I77/H77,"0")</f>
        <v>32.840000000000003</v>
      </c>
      <c r="BO77" s="64">
        <f>IFERROR(1/J77*(X77/H77),"0")</f>
        <v>5.4086538461538464E-2</v>
      </c>
      <c r="BP77" s="64">
        <f>IFERROR(1/J77*(Y77/H77),"0")</f>
        <v>6.25E-2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3.4615384615384617</v>
      </c>
      <c r="Y81" s="653">
        <f>IFERROR(Y77/H77,"0")+IFERROR(Y78/H78,"0")+IFERROR(Y79/H79,"0")+IFERROR(Y80/H80,"0")</f>
        <v>4</v>
      </c>
      <c r="Z81" s="653">
        <f>IFERROR(IF(Z77="",0,Z77),"0")+IFERROR(IF(Z78="",0,Z78),"0")+IFERROR(IF(Z79="",0,Z79),"0")+IFERROR(IF(Z80="",0,Z80),"0")</f>
        <v>7.5920000000000001E-2</v>
      </c>
      <c r="AA81" s="654"/>
      <c r="AB81" s="654"/>
      <c r="AC81" s="654"/>
    </row>
    <row r="82" spans="1:68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27</v>
      </c>
      <c r="Y82" s="653">
        <f>IFERROR(SUM(Y77:Y80),"0")</f>
        <v>31.2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388</v>
      </c>
      <c r="Y85" s="652">
        <f>IFERROR(IF(X85="",0,CEILING((X85/$H85),1)*$H85),"")</f>
        <v>388.8</v>
      </c>
      <c r="Z85" s="36">
        <f>IFERROR(IF(Y85=0,"",ROUNDUP(Y85/H85,0)*0.01898),"")</f>
        <v>0.68328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402.72962962962964</v>
      </c>
      <c r="BN85" s="64">
        <f>IFERROR(Y85*I85/H85,"0")</f>
        <v>403.56</v>
      </c>
      <c r="BO85" s="64">
        <f>IFERROR(1/J85*(X85/H85),"0")</f>
        <v>0.56134259259259256</v>
      </c>
      <c r="BP85" s="64">
        <f>IFERROR(1/J85*(Y85/H85),"0")</f>
        <v>0.5625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2</v>
      </c>
      <c r="Y86" s="652">
        <f>IFERROR(IF(X86="",0,CEILING((X86/$H86),1)*$H86),"")</f>
        <v>3.4</v>
      </c>
      <c r="Z86" s="36">
        <f>IFERROR(IF(Y86=0,"",ROUNDUP(Y86/H86,0)*0.00726),"")</f>
        <v>1.452E-2</v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2.1176470588235294</v>
      </c>
      <c r="BN86" s="64">
        <f>IFERROR(Y86*I86/H86,"0")</f>
        <v>3.6</v>
      </c>
      <c r="BO86" s="64">
        <f>IFERROR(1/J86*(X86/H86),"0")</f>
        <v>6.1274509803921568E-3</v>
      </c>
      <c r="BP86" s="64">
        <f>IFERROR(1/J86*(Y86/H86),"0")</f>
        <v>1.0416666666666666E-2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92</v>
      </c>
      <c r="Y89" s="652">
        <f>IFERROR(IF(X89="",0,CEILING((X89/$H89),1)*$H89),"")</f>
        <v>94.5</v>
      </c>
      <c r="Z89" s="36">
        <f>IFERROR(IF(Y89=0,"",ROUNDUP(Y89/H89,0)*0.00902),"")</f>
        <v>0.18942000000000001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95.884444444444455</v>
      </c>
      <c r="BN89" s="64">
        <f>IFERROR(Y89*I89/H89,"0")</f>
        <v>98.490000000000009</v>
      </c>
      <c r="BO89" s="64">
        <f>IFERROR(1/J89*(X89/H89),"0")</f>
        <v>0.15488215488215487</v>
      </c>
      <c r="BP89" s="64">
        <f>IFERROR(1/J89*(Y89/H89),"0")</f>
        <v>0.15909090909090909</v>
      </c>
    </row>
    <row r="90" spans="1:68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57.546840958605664</v>
      </c>
      <c r="Y90" s="653">
        <f>IFERROR(Y85/H85,"0")+IFERROR(Y86/H86,"0")+IFERROR(Y87/H87,"0")+IFERROR(Y88/H88,"0")+IFERROR(Y89/H89,"0")</f>
        <v>59</v>
      </c>
      <c r="Z90" s="653">
        <f>IFERROR(IF(Z85="",0,Z85),"0")+IFERROR(IF(Z86="",0,Z86),"0")+IFERROR(IF(Z87="",0,Z87),"0")+IFERROR(IF(Z88="",0,Z88),"0")+IFERROR(IF(Z89="",0,Z89),"0")</f>
        <v>0.88722000000000001</v>
      </c>
      <c r="AA90" s="654"/>
      <c r="AB90" s="654"/>
      <c r="AC90" s="654"/>
    </row>
    <row r="91" spans="1:68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482</v>
      </c>
      <c r="Y91" s="653">
        <f>IFERROR(SUM(Y85:Y89),"0")</f>
        <v>486.7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625</v>
      </c>
      <c r="Y93" s="652">
        <f t="shared" ref="Y93:Y99" si="5">IFERROR(IF(X93="",0,CEILING((X93/$H93),1)*$H93),"")</f>
        <v>631.79999999999995</v>
      </c>
      <c r="Z93" s="36">
        <f>IFERROR(IF(Y93=0,"",ROUNDUP(Y93/H93,0)*0.01898),"")</f>
        <v>1.48044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663.11728395061732</v>
      </c>
      <c r="BN93" s="64">
        <f t="shared" ref="BN93:BN99" si="7">IFERROR(Y93*I93/H93,"0")</f>
        <v>670.33199999999988</v>
      </c>
      <c r="BO93" s="64">
        <f t="shared" ref="BO93:BO99" si="8">IFERROR(1/J93*(X93/H93),"0")</f>
        <v>1.2056327160493827</v>
      </c>
      <c r="BP93" s="64">
        <f t="shared" ref="BP93:BP99" si="9">IFERROR(1/J93*(Y93/H93),"0")</f>
        <v>1.21875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108</v>
      </c>
      <c r="Y97" s="652">
        <f t="shared" si="5"/>
        <v>108</v>
      </c>
      <c r="Z97" s="36">
        <f>IFERROR(IF(Y97=0,"",ROUNDUP(Y97/H97,0)*0.00651),"")</f>
        <v>0.26040000000000002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118.07999999999998</v>
      </c>
      <c r="BN97" s="64">
        <f t="shared" si="7"/>
        <v>118.07999999999998</v>
      </c>
      <c r="BO97" s="64">
        <f t="shared" si="8"/>
        <v>0.2197802197802198</v>
      </c>
      <c r="BP97" s="64">
        <f t="shared" si="9"/>
        <v>0.2197802197802198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117.16049382716049</v>
      </c>
      <c r="Y100" s="653">
        <f>IFERROR(Y93/H93,"0")+IFERROR(Y94/H94,"0")+IFERROR(Y95/H95,"0")+IFERROR(Y96/H96,"0")+IFERROR(Y97/H97,"0")+IFERROR(Y98/H98,"0")+IFERROR(Y99/H99,"0")</f>
        <v>118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1.7408399999999999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733</v>
      </c>
      <c r="Y101" s="653">
        <f>IFERROR(SUM(Y93:Y99),"0")</f>
        <v>739.8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586</v>
      </c>
      <c r="Y104" s="652">
        <f t="shared" ref="Y104:Y111" si="10">IFERROR(IF(X104="",0,CEILING((X104/$H104),1)*$H104),"")</f>
        <v>594</v>
      </c>
      <c r="Z104" s="36">
        <f>IFERROR(IF(Y104=0,"",ROUNDUP(Y104/H104,0)*0.01898),"")</f>
        <v>1.0439000000000001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608.24629629629635</v>
      </c>
      <c r="BN104" s="64">
        <f t="shared" ref="BN104:BN111" si="12">IFERROR(Y104*I104/H104,"0")</f>
        <v>616.55000000000007</v>
      </c>
      <c r="BO104" s="64">
        <f t="shared" ref="BO104:BO111" si="13">IFERROR(1/J104*(X104/H104),"0")</f>
        <v>0.84780092592592582</v>
      </c>
      <c r="BP104" s="64">
        <f t="shared" ref="BP104:BP111" si="14">IFERROR(1/J104*(Y104/H104),"0")</f>
        <v>0.85937499999999989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115</v>
      </c>
      <c r="Y109" s="652">
        <f t="shared" si="10"/>
        <v>117</v>
      </c>
      <c r="Z109" s="36">
        <f>IFERROR(IF(Y109=0,"",ROUNDUP(Y109/H109,0)*0.00902),"")</f>
        <v>0.23452000000000001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119.85555555555555</v>
      </c>
      <c r="BN109" s="64">
        <f t="shared" si="12"/>
        <v>121.94</v>
      </c>
      <c r="BO109" s="64">
        <f t="shared" si="13"/>
        <v>0.19360269360269361</v>
      </c>
      <c r="BP109" s="64">
        <f t="shared" si="14"/>
        <v>0.19696969696969696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79.81481481481481</v>
      </c>
      <c r="Y112" s="653">
        <f>IFERROR(Y104/H104,"0")+IFERROR(Y105/H105,"0")+IFERROR(Y106/H106,"0")+IFERROR(Y107/H107,"0")+IFERROR(Y108/H108,"0")+IFERROR(Y109/H109,"0")+IFERROR(Y110/H110,"0")+IFERROR(Y111/H111,"0")</f>
        <v>81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1.2784200000000001</v>
      </c>
      <c r="AA112" s="654"/>
      <c r="AB112" s="654"/>
      <c r="AC112" s="654"/>
    </row>
    <row r="113" spans="1:68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701</v>
      </c>
      <c r="Y113" s="653">
        <f>IFERROR(SUM(Y104:Y111),"0")</f>
        <v>711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2</v>
      </c>
      <c r="Y116" s="652">
        <f>IFERROR(IF(X116="",0,CEILING((X116/$H116),1)*$H116),"")</f>
        <v>2</v>
      </c>
      <c r="Z116" s="36">
        <f>IFERROR(IF(Y116=0,"",ROUNDUP(Y116/H116,0)*0.00358),"")</f>
        <v>7.1599999999999997E-3</v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2.42</v>
      </c>
      <c r="BN116" s="64">
        <f>IFERROR(Y116*I116/H116,"0")</f>
        <v>2.42</v>
      </c>
      <c r="BO116" s="64">
        <f>IFERROR(1/J116*(X116/H116),"0")</f>
        <v>5.1020408163265302E-3</v>
      </c>
      <c r="BP116" s="64">
        <f>IFERROR(1/J116*(Y116/H116),"0")</f>
        <v>5.1020408163265302E-3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24</v>
      </c>
      <c r="Y119" s="652">
        <f>IFERROR(IF(X119="",0,CEILING((X119/$H119),1)*$H119),"")</f>
        <v>24</v>
      </c>
      <c r="Z119" s="36">
        <f>IFERROR(IF(Y119=0,"",ROUNDUP(Y119/H119,0)*0.00651),"")</f>
        <v>6.5100000000000005E-2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25.8</v>
      </c>
      <c r="BN119" s="64">
        <f>IFERROR(Y119*I119/H119,"0")</f>
        <v>25.8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12</v>
      </c>
      <c r="Y120" s="653">
        <f>IFERROR(Y115/H115,"0")+IFERROR(Y116/H116,"0")+IFERROR(Y117/H117,"0")+IFERROR(Y118/H118,"0")+IFERROR(Y119/H119,"0")</f>
        <v>12</v>
      </c>
      <c r="Z120" s="653">
        <f>IFERROR(IF(Z115="",0,Z115),"0")+IFERROR(IF(Z116="",0,Z116),"0")+IFERROR(IF(Z117="",0,Z117),"0")+IFERROR(IF(Z118="",0,Z118),"0")+IFERROR(IF(Z119="",0,Z119),"0")</f>
        <v>7.2260000000000005E-2</v>
      </c>
      <c r="AA120" s="654"/>
      <c r="AB120" s="654"/>
      <c r="AC120" s="654"/>
    </row>
    <row r="121" spans="1:68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26</v>
      </c>
      <c r="Y121" s="653">
        <f>IFERROR(SUM(Y115:Y119),"0")</f>
        <v>26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636</v>
      </c>
      <c r="Y123" s="652">
        <f t="shared" ref="Y123:Y130" si="15">IFERROR(IF(X123="",0,CEILING((X123/$H123),1)*$H123),"")</f>
        <v>639.9</v>
      </c>
      <c r="Z123" s="36">
        <f>IFERROR(IF(Y123=0,"",ROUNDUP(Y123/H123,0)*0.01898),"")</f>
        <v>1.49942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674.31703703703704</v>
      </c>
      <c r="BN123" s="64">
        <f t="shared" ref="BN123:BN130" si="17">IFERROR(Y123*I123/H123,"0")</f>
        <v>678.452</v>
      </c>
      <c r="BO123" s="64">
        <f t="shared" ref="BO123:BO130" si="18">IFERROR(1/J123*(X123/H123),"0")</f>
        <v>1.2268518518518519</v>
      </c>
      <c r="BP123" s="64">
        <f t="shared" ref="BP123:BP130" si="19">IFERROR(1/J123*(Y123/H123),"0")</f>
        <v>1.234375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166</v>
      </c>
      <c r="Y127" s="652">
        <f t="shared" si="15"/>
        <v>167.4</v>
      </c>
      <c r="Z127" s="36">
        <f t="shared" si="20"/>
        <v>0.40362000000000003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181.49333333333331</v>
      </c>
      <c r="BN127" s="64">
        <f t="shared" si="17"/>
        <v>183.024</v>
      </c>
      <c r="BO127" s="64">
        <f t="shared" si="18"/>
        <v>0.33781033781033781</v>
      </c>
      <c r="BP127" s="64">
        <f t="shared" si="19"/>
        <v>0.34065934065934067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140</v>
      </c>
      <c r="Y131" s="653">
        <f>IFERROR(Y123/H123,"0")+IFERROR(Y124/H124,"0")+IFERROR(Y125/H125,"0")+IFERROR(Y126/H126,"0")+IFERROR(Y127/H127,"0")+IFERROR(Y128/H128,"0")+IFERROR(Y129/H129,"0")+IFERROR(Y130/H130,"0")</f>
        <v>141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1.9030400000000001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802</v>
      </c>
      <c r="Y132" s="653">
        <f>IFERROR(SUM(Y123:Y130),"0")</f>
        <v>807.3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7</v>
      </c>
      <c r="Y134" s="652">
        <f>IFERROR(IF(X134="",0,CEILING((X134/$H134),1)*$H134),"")</f>
        <v>7.92</v>
      </c>
      <c r="Z134" s="36">
        <f>IFERROR(IF(Y134=0,"",ROUNDUP(Y134/H134,0)*0.00651),"")</f>
        <v>2.6040000000000001E-2</v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7.9121212121212121</v>
      </c>
      <c r="BN134" s="64">
        <f>IFERROR(Y134*I134/H134,"0")</f>
        <v>8.952</v>
      </c>
      <c r="BO134" s="64">
        <f>IFERROR(1/J134*(X134/H134),"0")</f>
        <v>1.9425019425019428E-2</v>
      </c>
      <c r="BP134" s="64">
        <f>IFERROR(1/J134*(Y134/H134),"0")</f>
        <v>2.197802197802198E-2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3.5353535353535355</v>
      </c>
      <c r="Y136" s="653">
        <f>IFERROR(Y134/H134,"0")+IFERROR(Y135/H135,"0")</f>
        <v>4</v>
      </c>
      <c r="Z136" s="653">
        <f>IFERROR(IF(Z134="",0,Z134),"0")+IFERROR(IF(Z135="",0,Z135),"0")</f>
        <v>2.6040000000000001E-2</v>
      </c>
      <c r="AA136" s="654"/>
      <c r="AB136" s="654"/>
      <c r="AC136" s="654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7</v>
      </c>
      <c r="Y137" s="653">
        <f>IFERROR(SUM(Y134:Y135),"0")</f>
        <v>7.92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46</v>
      </c>
      <c r="Y140" s="652">
        <f>IFERROR(IF(X140="",0,CEILING((X140/$H140),1)*$H140),"")</f>
        <v>48</v>
      </c>
      <c r="Z140" s="36">
        <f>IFERROR(IF(Y140=0,"",ROUNDUP(Y140/H140,0)*0.00651),"")</f>
        <v>9.7650000000000001E-2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48.587499999999991</v>
      </c>
      <c r="BN140" s="64">
        <f>IFERROR(Y140*I140/H140,"0")</f>
        <v>50.7</v>
      </c>
      <c r="BO140" s="64">
        <f>IFERROR(1/J140*(X140/H140),"0")</f>
        <v>7.8983516483516494E-2</v>
      </c>
      <c r="BP140" s="64">
        <f>IFERROR(1/J140*(Y140/H140),"0")</f>
        <v>8.241758241758243E-2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14.375</v>
      </c>
      <c r="Y142" s="653">
        <f>IFERROR(Y140/H140,"0")+IFERROR(Y141/H141,"0")</f>
        <v>15</v>
      </c>
      <c r="Z142" s="653">
        <f>IFERROR(IF(Z140="",0,Z140),"0")+IFERROR(IF(Z141="",0,Z141),"0")</f>
        <v>9.7650000000000001E-2</v>
      </c>
      <c r="AA142" s="654"/>
      <c r="AB142" s="654"/>
      <c r="AC142" s="654"/>
    </row>
    <row r="143" spans="1:68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46</v>
      </c>
      <c r="Y143" s="653">
        <f>IFERROR(SUM(Y140:Y141),"0")</f>
        <v>48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23</v>
      </c>
      <c r="Y145" s="652">
        <f>IFERROR(IF(X145="",0,CEILING((X145/$H145),1)*$H145),"")</f>
        <v>25.2</v>
      </c>
      <c r="Z145" s="36">
        <f>IFERROR(IF(Y145=0,"",ROUNDUP(Y145/H145,0)*0.00651),"")</f>
        <v>5.8590000000000003E-2</v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25.201428571428576</v>
      </c>
      <c r="BN145" s="64">
        <f>IFERROR(Y145*I145/H145,"0")</f>
        <v>27.611999999999998</v>
      </c>
      <c r="BO145" s="64">
        <f>IFERROR(1/J145*(X145/H145),"0")</f>
        <v>4.5133437990580859E-2</v>
      </c>
      <c r="BP145" s="64">
        <f>IFERROR(1/J145*(Y145/H145),"0")</f>
        <v>4.9450549450549455E-2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8.2142857142857153</v>
      </c>
      <c r="Y147" s="653">
        <f>IFERROR(Y145/H145,"0")+IFERROR(Y146/H146,"0")</f>
        <v>9</v>
      </c>
      <c r="Z147" s="653">
        <f>IFERROR(IF(Z145="",0,Z145),"0")+IFERROR(IF(Z146="",0,Z146),"0")</f>
        <v>5.8590000000000003E-2</v>
      </c>
      <c r="AA147" s="654"/>
      <c r="AB147" s="654"/>
      <c r="AC147" s="654"/>
    </row>
    <row r="148" spans="1:68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23</v>
      </c>
      <c r="Y148" s="653">
        <f>IFERROR(SUM(Y145:Y146),"0")</f>
        <v>25.2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hidden="1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hidden="1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12</v>
      </c>
      <c r="Y171" s="652">
        <f>IFERROR(IF(X171="",0,CEILING((X171/$H171),1)*$H171),"")</f>
        <v>12</v>
      </c>
      <c r="Z171" s="36">
        <f>IFERROR(IF(Y171=0,"",ROUNDUP(Y171/H171,0)*0.01196),"")</f>
        <v>2.392E-2</v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12.699999999999998</v>
      </c>
      <c r="BN171" s="64">
        <f>IFERROR(Y171*I171/H171,"0")</f>
        <v>12.699999999999998</v>
      </c>
      <c r="BO171" s="64">
        <f>IFERROR(1/J171*(X171/H171),"0")</f>
        <v>1.9230769230769232E-2</v>
      </c>
      <c r="BP171" s="64">
        <f>IFERROR(1/J171*(Y171/H171),"0")</f>
        <v>1.9230769230769232E-2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2</v>
      </c>
      <c r="Y174" s="653">
        <f>IFERROR(Y171/H171,"0")+IFERROR(Y172/H172,"0")+IFERROR(Y173/H173,"0")</f>
        <v>2</v>
      </c>
      <c r="Z174" s="653">
        <f>IFERROR(IF(Z171="",0,Z171),"0")+IFERROR(IF(Z172="",0,Z172),"0")+IFERROR(IF(Z173="",0,Z173),"0")</f>
        <v>2.392E-2</v>
      </c>
      <c r="AA174" s="654"/>
      <c r="AB174" s="654"/>
      <c r="AC174" s="654"/>
    </row>
    <row r="175" spans="1:68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12</v>
      </c>
      <c r="Y175" s="653">
        <f>IFERROR(SUM(Y171:Y173),"0")</f>
        <v>12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150</v>
      </c>
      <c r="Y182" s="652">
        <f t="shared" ref="Y182:Y195" si="27">IFERROR(IF(X182="",0,CEILING((X182/$H182),1)*$H182),"")</f>
        <v>150.5</v>
      </c>
      <c r="Z182" s="36">
        <f t="shared" ref="Z182:Z187" si="28">IFERROR(IF(Y182=0,"",ROUNDUP(Y182/H182,0)*0.00902),"")</f>
        <v>0.38785999999999998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158.14285714285714</v>
      </c>
      <c r="BN182" s="64">
        <f t="shared" ref="BN182:BN195" si="30">IFERROR(Y182*I182/H182,"0")</f>
        <v>158.67000000000002</v>
      </c>
      <c r="BO182" s="64">
        <f t="shared" ref="BO182:BO195" si="31">IFERROR(1/J182*(X182/H182),"0")</f>
        <v>0.32467532467532467</v>
      </c>
      <c r="BP182" s="64">
        <f t="shared" ref="BP182:BP195" si="32">IFERROR(1/J182*(Y182/H182),"0")</f>
        <v>0.32575757575757575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200</v>
      </c>
      <c r="Y184" s="652">
        <f t="shared" si="27"/>
        <v>203</v>
      </c>
      <c r="Z184" s="36">
        <f t="shared" si="28"/>
        <v>0.52316000000000007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210.85714285714286</v>
      </c>
      <c r="BN184" s="64">
        <f t="shared" si="30"/>
        <v>214.01999999999998</v>
      </c>
      <c r="BO184" s="64">
        <f t="shared" si="31"/>
        <v>0.43290043290043295</v>
      </c>
      <c r="BP184" s="64">
        <f t="shared" si="32"/>
        <v>0.43939393939393939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100</v>
      </c>
      <c r="Y186" s="652">
        <f t="shared" si="27"/>
        <v>101.5</v>
      </c>
      <c r="Z186" s="36">
        <f t="shared" si="28"/>
        <v>0.26158000000000003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105.42857142857143</v>
      </c>
      <c r="BN186" s="64">
        <f t="shared" si="30"/>
        <v>107.00999999999999</v>
      </c>
      <c r="BO186" s="64">
        <f t="shared" si="31"/>
        <v>0.21645021645021648</v>
      </c>
      <c r="BP186" s="64">
        <f t="shared" si="32"/>
        <v>0.2196969696969697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hidden="1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28</v>
      </c>
      <c r="Y190" s="652">
        <f t="shared" si="27"/>
        <v>28.56</v>
      </c>
      <c r="Z190" s="36">
        <f>IFERROR(IF(Y190=0,"",ROUNDUP(Y190/H190,0)*0.00502),"")</f>
        <v>8.5339999999999999E-2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29.666666666666671</v>
      </c>
      <c r="BN190" s="64">
        <f t="shared" si="30"/>
        <v>30.259999999999998</v>
      </c>
      <c r="BO190" s="64">
        <f t="shared" si="31"/>
        <v>7.122507122507124E-2</v>
      </c>
      <c r="BP190" s="64">
        <f t="shared" si="32"/>
        <v>7.2649572649572655E-2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9</v>
      </c>
      <c r="Y191" s="652">
        <f t="shared" si="27"/>
        <v>9</v>
      </c>
      <c r="Z191" s="36">
        <f>IFERROR(IF(Y191=0,"",ROUNDUP(Y191/H191,0)*0.00417),"")</f>
        <v>4.1700000000000001E-2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11.1</v>
      </c>
      <c r="BN191" s="64">
        <f t="shared" si="30"/>
        <v>11.1</v>
      </c>
      <c r="BO191" s="64">
        <f t="shared" si="31"/>
        <v>2.976190476190476E-2</v>
      </c>
      <c r="BP191" s="64">
        <f t="shared" si="32"/>
        <v>2.976190476190476E-2</v>
      </c>
    </row>
    <row r="192" spans="1:68" ht="27" hidden="1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0</v>
      </c>
      <c r="Y192" s="652">
        <f t="shared" si="27"/>
        <v>0</v>
      </c>
      <c r="Z192" s="36" t="str">
        <f>IFERROR(IF(Y192=0,"",ROUNDUP(Y192/H192,0)*0.00502),"")</f>
        <v/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0</v>
      </c>
      <c r="BN192" s="64">
        <f t="shared" si="30"/>
        <v>0</v>
      </c>
      <c r="BO192" s="64">
        <f t="shared" si="31"/>
        <v>0</v>
      </c>
      <c r="BP192" s="64">
        <f t="shared" si="32"/>
        <v>0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hidden="1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56</v>
      </c>
      <c r="Y195" s="652">
        <f t="shared" si="27"/>
        <v>57.12</v>
      </c>
      <c r="Z195" s="36">
        <f>IFERROR(IF(Y195=0,"",ROUNDUP(Y195/H195,0)*0.00502),"")</f>
        <v>0.17068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59.333333333333343</v>
      </c>
      <c r="BN195" s="64">
        <f t="shared" si="30"/>
        <v>60.519999999999996</v>
      </c>
      <c r="BO195" s="64">
        <f t="shared" si="31"/>
        <v>0.14245014245014248</v>
      </c>
      <c r="BP195" s="64">
        <f t="shared" si="32"/>
        <v>0.14529914529914531</v>
      </c>
    </row>
    <row r="196" spans="1:68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188.57142857142858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191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1.4703200000000001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543</v>
      </c>
      <c r="Y197" s="653">
        <f>IFERROR(SUM(Y182:Y195),"0")</f>
        <v>549.67999999999995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hidden="1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100</v>
      </c>
      <c r="Y230" s="652">
        <f t="shared" ref="Y230:Y243" si="39">IFERROR(IF(X230="",0,CEILING((X230/$H230),1)*$H230),"")</f>
        <v>100.80000000000001</v>
      </c>
      <c r="Z230" s="36">
        <f>IFERROR(IF(Y230=0,"",ROUNDUP(Y230/H230,0)*0.00902),"")</f>
        <v>0.21648000000000001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105.95238095238095</v>
      </c>
      <c r="BN230" s="64">
        <f t="shared" ref="BN230:BN243" si="41">IFERROR(Y230*I230/H230,"0")</f>
        <v>106.80000000000001</v>
      </c>
      <c r="BO230" s="64">
        <f t="shared" ref="BO230:BO243" si="42">IFERROR(1/J230*(X230/H230),"0")</f>
        <v>0.18037518037518038</v>
      </c>
      <c r="BP230" s="64">
        <f t="shared" ref="BP230:BP243" si="43">IFERROR(1/J230*(Y230/H230),"0")</f>
        <v>0.18181818181818182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180</v>
      </c>
      <c r="Y232" s="652">
        <f t="shared" si="39"/>
        <v>180.6</v>
      </c>
      <c r="Z232" s="36">
        <f>IFERROR(IF(Y232=0,"",ROUNDUP(Y232/H232,0)*0.00902),"")</f>
        <v>0.38785999999999998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188.14285714285711</v>
      </c>
      <c r="BN232" s="64">
        <f t="shared" si="41"/>
        <v>188.76999999999998</v>
      </c>
      <c r="BO232" s="64">
        <f t="shared" si="42"/>
        <v>0.32467532467532467</v>
      </c>
      <c r="BP232" s="64">
        <f t="shared" si="43"/>
        <v>0.32575757575757575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8</v>
      </c>
      <c r="Y233" s="652">
        <f t="shared" si="39"/>
        <v>8</v>
      </c>
      <c r="Z233" s="36">
        <f>IFERROR(IF(Y233=0,"",ROUNDUP(Y233/H233,0)*0.00556),"")</f>
        <v>5.5599999999999997E-2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9.3000000000000007</v>
      </c>
      <c r="BN233" s="64">
        <f t="shared" si="41"/>
        <v>9.3000000000000007</v>
      </c>
      <c r="BO233" s="64">
        <f t="shared" si="42"/>
        <v>3.968253968253968E-2</v>
      </c>
      <c r="BP233" s="64">
        <f t="shared" si="43"/>
        <v>3.968253968253968E-2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42</v>
      </c>
      <c r="Y234" s="652">
        <f t="shared" si="39"/>
        <v>42</v>
      </c>
      <c r="Z234" s="36">
        <f t="shared" ref="Z234:Z239" si="44">IFERROR(IF(Y234=0,"",ROUNDUP(Y234/H234,0)*0.00502),"")</f>
        <v>0.1004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44.599999999999994</v>
      </c>
      <c r="BN234" s="64">
        <f t="shared" si="41"/>
        <v>44.599999999999994</v>
      </c>
      <c r="BO234" s="64">
        <f t="shared" si="42"/>
        <v>8.5470085470085472E-2</v>
      </c>
      <c r="BP234" s="64">
        <f t="shared" si="43"/>
        <v>8.5470085470085472E-2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30</v>
      </c>
      <c r="Y239" s="652">
        <f t="shared" si="39"/>
        <v>30.6</v>
      </c>
      <c r="Z239" s="36">
        <f t="shared" si="44"/>
        <v>8.5339999999999999E-2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32.166666666666664</v>
      </c>
      <c r="BN239" s="64">
        <f t="shared" si="41"/>
        <v>32.81</v>
      </c>
      <c r="BO239" s="64">
        <f t="shared" si="42"/>
        <v>7.122507122507124E-2</v>
      </c>
      <c r="BP239" s="64">
        <f t="shared" si="43"/>
        <v>7.2649572649572655E-2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6</v>
      </c>
      <c r="Y240" s="652">
        <f t="shared" si="39"/>
        <v>6.4</v>
      </c>
      <c r="Z240" s="36">
        <f>IFERROR(IF(Y240=0,"",ROUNDUP(Y240/H240,0)*0.00417),"")</f>
        <v>3.3360000000000001E-2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7.5750000000000002</v>
      </c>
      <c r="BN240" s="64">
        <f t="shared" si="41"/>
        <v>8.08</v>
      </c>
      <c r="BO240" s="64">
        <f t="shared" si="42"/>
        <v>2.2321428571428568E-2</v>
      </c>
      <c r="BP240" s="64">
        <f t="shared" si="43"/>
        <v>2.3809523809523808E-2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350</v>
      </c>
      <c r="Y241" s="652">
        <f t="shared" si="39"/>
        <v>350.7</v>
      </c>
      <c r="Z241" s="36">
        <f>IFERROR(IF(Y241=0,"",ROUNDUP(Y241/H241,0)*0.00502),"")</f>
        <v>0.83833999999999997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366.66666666666669</v>
      </c>
      <c r="BN241" s="64">
        <f t="shared" si="41"/>
        <v>367.40000000000003</v>
      </c>
      <c r="BO241" s="64">
        <f t="shared" si="42"/>
        <v>0.71225071225071224</v>
      </c>
      <c r="BP241" s="64">
        <f t="shared" si="43"/>
        <v>0.71367521367521369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287.5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289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1.7173799999999999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716</v>
      </c>
      <c r="Y245" s="653">
        <f>IFERROR(SUM(Y230:Y243),"0")</f>
        <v>719.09999999999991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11</v>
      </c>
      <c r="Y257" s="652">
        <f>IFERROR(IF(X257="",0,CEILING((X257/$H257),1)*$H257),"")</f>
        <v>11.34</v>
      </c>
      <c r="Z257" s="36">
        <f>IFERROR(IF(Y257=0,"",ROUNDUP(Y257/H257,0)*0.0059),"")</f>
        <v>5.3100000000000001E-2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12.658730158730158</v>
      </c>
      <c r="BN257" s="64">
        <f>IFERROR(Y257*I257/H257,"0")</f>
        <v>13.049999999999999</v>
      </c>
      <c r="BO257" s="64">
        <f>IFERROR(1/J257*(X257/H257),"0")</f>
        <v>4.0417401528512635E-2</v>
      </c>
      <c r="BP257" s="64">
        <f>IFERROR(1/J257*(Y257/H257),"0")</f>
        <v>4.1666666666666664E-2</v>
      </c>
    </row>
    <row r="258" spans="1:68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8.7301587301587293</v>
      </c>
      <c r="Y258" s="653">
        <f>IFERROR(Y255/H255,"0")+IFERROR(Y256/H256,"0")+IFERROR(Y257/H257,"0")</f>
        <v>9</v>
      </c>
      <c r="Z258" s="653">
        <f>IFERROR(IF(Z255="",0,Z255),"0")+IFERROR(IF(Z256="",0,Z256),"0")+IFERROR(IF(Z257="",0,Z257),"0")</f>
        <v>5.3100000000000001E-2</v>
      </c>
      <c r="AA258" s="654"/>
      <c r="AB258" s="654"/>
      <c r="AC258" s="654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11</v>
      </c>
      <c r="Y259" s="653">
        <f>IFERROR(SUM(Y255:Y257),"0")</f>
        <v>11.34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6</v>
      </c>
      <c r="Y261" s="652">
        <f>IFERROR(IF(X261="",0,CEILING((X261/$H261),1)*$H261),"")</f>
        <v>6.3</v>
      </c>
      <c r="Z261" s="36">
        <f>IFERROR(IF(Y261=0,"",ROUNDUP(Y261/H261,0)*0.0059),"")</f>
        <v>2.9499999999999998E-2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6.9047619047619042</v>
      </c>
      <c r="BN261" s="64">
        <f>IFERROR(Y261*I261/H261,"0")</f>
        <v>7.25</v>
      </c>
      <c r="BO261" s="64">
        <f>IFERROR(1/J261*(X261/H261),"0")</f>
        <v>2.2045855379188711E-2</v>
      </c>
      <c r="BP261" s="64">
        <f>IFERROR(1/J261*(Y261/H261),"0")</f>
        <v>2.3148148148148147E-2</v>
      </c>
    </row>
    <row r="262" spans="1:68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4.7619047619047619</v>
      </c>
      <c r="Y262" s="653">
        <f>IFERROR(Y261/H261,"0")</f>
        <v>5</v>
      </c>
      <c r="Z262" s="653">
        <f>IFERROR(IF(Z261="",0,Z261),"0")</f>
        <v>2.9499999999999998E-2</v>
      </c>
      <c r="AA262" s="654"/>
      <c r="AB262" s="654"/>
      <c r="AC262" s="654"/>
    </row>
    <row r="263" spans="1:68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6</v>
      </c>
      <c r="Y263" s="653">
        <f>IFERROR(SUM(Y261:Y261),"0")</f>
        <v>6.3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100</v>
      </c>
      <c r="Y276" s="652">
        <f t="shared" ref="Y276:Y283" si="45">IFERROR(IF(X276="",0,CEILING((X276/$H276),1)*$H276),"")</f>
        <v>102.60000000000001</v>
      </c>
      <c r="Z276" s="36">
        <f>IFERROR(IF(Y276=0,"",ROUNDUP(Y276/H276,0)*0.00902),"")</f>
        <v>0.17138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103.5185185185185</v>
      </c>
      <c r="BN276" s="64">
        <f t="shared" ref="BN276:BN283" si="47">IFERROR(Y276*I276/H276,"0")</f>
        <v>106.21</v>
      </c>
      <c r="BO276" s="64">
        <f t="shared" ref="BO276:BO283" si="48">IFERROR(1/J276*(X276/H276),"0")</f>
        <v>0.14029180695847362</v>
      </c>
      <c r="BP276" s="64">
        <f t="shared" ref="BP276:BP283" si="49">IFERROR(1/J276*(Y276/H276),"0")</f>
        <v>0.14393939393939395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100</v>
      </c>
      <c r="Y277" s="652">
        <f t="shared" si="45"/>
        <v>102.60000000000001</v>
      </c>
      <c r="Z277" s="36">
        <f>IFERROR(IF(Y277=0,"",ROUNDUP(Y277/H277,0)*0.00902),"")</f>
        <v>0.17138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103.5185185185185</v>
      </c>
      <c r="BN277" s="64">
        <f t="shared" si="47"/>
        <v>106.21</v>
      </c>
      <c r="BO277" s="64">
        <f t="shared" si="48"/>
        <v>0.14029180695847362</v>
      </c>
      <c r="BP277" s="64">
        <f t="shared" si="49"/>
        <v>0.14393939393939395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200</v>
      </c>
      <c r="Y278" s="652">
        <f t="shared" si="45"/>
        <v>205.20000000000002</v>
      </c>
      <c r="Z278" s="36">
        <f>IFERROR(IF(Y278=0,"",ROUNDUP(Y278/H278,0)*0.00902),"")</f>
        <v>0.34276000000000001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207.03703703703701</v>
      </c>
      <c r="BN278" s="64">
        <f t="shared" si="47"/>
        <v>212.42</v>
      </c>
      <c r="BO278" s="64">
        <f t="shared" si="48"/>
        <v>0.28058361391694725</v>
      </c>
      <c r="BP278" s="64">
        <f t="shared" si="49"/>
        <v>0.2878787878787879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150</v>
      </c>
      <c r="Y279" s="652">
        <f t="shared" si="45"/>
        <v>151.20000000000002</v>
      </c>
      <c r="Z279" s="36">
        <f>IFERROR(IF(Y279=0,"",ROUNDUP(Y279/H279,0)*0.00902),"")</f>
        <v>0.25256000000000001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155.27777777777777</v>
      </c>
      <c r="BN279" s="64">
        <f t="shared" si="47"/>
        <v>156.52000000000001</v>
      </c>
      <c r="BO279" s="64">
        <f t="shared" si="48"/>
        <v>0.21043771043771042</v>
      </c>
      <c r="BP279" s="64">
        <f t="shared" si="49"/>
        <v>0.21212121212121213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30</v>
      </c>
      <c r="Y280" s="652">
        <f t="shared" si="45"/>
        <v>30.6</v>
      </c>
      <c r="Z280" s="36">
        <f>IFERROR(IF(Y280=0,"",ROUNDUP(Y280/H280,0)*0.00502),"")</f>
        <v>8.5339999999999999E-2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32.166666666666664</v>
      </c>
      <c r="BN280" s="64">
        <f t="shared" si="47"/>
        <v>32.81</v>
      </c>
      <c r="BO280" s="64">
        <f t="shared" si="48"/>
        <v>7.122507122507124E-2</v>
      </c>
      <c r="BP280" s="64">
        <f t="shared" si="49"/>
        <v>7.2649572649572655E-2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15</v>
      </c>
      <c r="Y281" s="652">
        <f t="shared" si="45"/>
        <v>16.2</v>
      </c>
      <c r="Z281" s="36">
        <f>IFERROR(IF(Y281=0,"",ROUNDUP(Y281/H281,0)*0.00502),"")</f>
        <v>4.5179999999999998E-2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15.833333333333332</v>
      </c>
      <c r="BN281" s="64">
        <f t="shared" si="47"/>
        <v>17.099999999999998</v>
      </c>
      <c r="BO281" s="64">
        <f t="shared" si="48"/>
        <v>3.561253561253562E-2</v>
      </c>
      <c r="BP281" s="64">
        <f t="shared" si="49"/>
        <v>3.8461538461538464E-2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21</v>
      </c>
      <c r="Y283" s="652">
        <f t="shared" si="45"/>
        <v>21.6</v>
      </c>
      <c r="Z283" s="36">
        <f>IFERROR(IF(Y283=0,"",ROUNDUP(Y283/H283,0)*0.00502),"")</f>
        <v>6.0240000000000002E-2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22.166666666666664</v>
      </c>
      <c r="BN283" s="64">
        <f t="shared" si="47"/>
        <v>22.8</v>
      </c>
      <c r="BO283" s="64">
        <f t="shared" si="48"/>
        <v>4.9857549857549859E-2</v>
      </c>
      <c r="BP283" s="64">
        <f t="shared" si="49"/>
        <v>5.1282051282051287E-2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138.5185185185185</v>
      </c>
      <c r="Y284" s="653">
        <f>IFERROR(Y276/H276,"0")+IFERROR(Y277/H277,"0")+IFERROR(Y278/H278,"0")+IFERROR(Y279/H279,"0")+IFERROR(Y280/H280,"0")+IFERROR(Y281/H281,"0")+IFERROR(Y282/H282,"0")+IFERROR(Y283/H283,"0")</f>
        <v>142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1.1288400000000001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616</v>
      </c>
      <c r="Y285" s="653">
        <f>IFERROR(SUM(Y276:Y283),"0")</f>
        <v>630.00000000000011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500</v>
      </c>
      <c r="Y287" s="652">
        <f t="shared" ref="Y287:Y298" si="50">IFERROR(IF(X287="",0,CEILING((X287/$H287),1)*$H287),"")</f>
        <v>502.2</v>
      </c>
      <c r="Z287" s="36">
        <f>IFERROR(IF(Y287=0,"",ROUNDUP(Y287/H287,0)*0.01898),"")</f>
        <v>1.17676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530.49382716049388</v>
      </c>
      <c r="BN287" s="64">
        <f t="shared" ref="BN287:BN298" si="52">IFERROR(Y287*I287/H287,"0")</f>
        <v>532.82799999999997</v>
      </c>
      <c r="BO287" s="64">
        <f t="shared" ref="BO287:BO298" si="53">IFERROR(1/J287*(X287/H287),"0")</f>
        <v>0.96450617283950624</v>
      </c>
      <c r="BP287" s="64">
        <f t="shared" ref="BP287:BP298" si="54">IFERROR(1/J287*(Y287/H287),"0")</f>
        <v>0.96875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197</v>
      </c>
      <c r="Y288" s="652">
        <f t="shared" si="50"/>
        <v>202.5</v>
      </c>
      <c r="Z288" s="36">
        <f>IFERROR(IF(Y288=0,"",ROUNDUP(Y288/H288,0)*0.01898),"")</f>
        <v>0.47450000000000003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208.57679012345682</v>
      </c>
      <c r="BN288" s="64">
        <f t="shared" si="52"/>
        <v>214.40000000000003</v>
      </c>
      <c r="BO288" s="64">
        <f t="shared" si="53"/>
        <v>0.38001543209876543</v>
      </c>
      <c r="BP288" s="64">
        <f t="shared" si="54"/>
        <v>0.390625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39</v>
      </c>
      <c r="Y289" s="652">
        <f t="shared" si="50"/>
        <v>43.5</v>
      </c>
      <c r="Z289" s="36">
        <f>IFERROR(IF(Y289=0,"",ROUNDUP(Y289/H289,0)*0.01898),"")</f>
        <v>9.4899999999999998E-2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41.214482758620697</v>
      </c>
      <c r="BN289" s="64">
        <f t="shared" si="52"/>
        <v>45.970000000000006</v>
      </c>
      <c r="BO289" s="64">
        <f t="shared" si="53"/>
        <v>7.004310344827587E-2</v>
      </c>
      <c r="BP289" s="64">
        <f t="shared" si="54"/>
        <v>7.8125E-2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145</v>
      </c>
      <c r="Y290" s="652">
        <f t="shared" si="50"/>
        <v>146.4</v>
      </c>
      <c r="Z290" s="36">
        <f>IFERROR(IF(Y290=0,"",ROUNDUP(Y290/H290,0)*0.00651),"")</f>
        <v>0.39711000000000002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161.3125</v>
      </c>
      <c r="BN290" s="64">
        <f t="shared" si="52"/>
        <v>162.87</v>
      </c>
      <c r="BO290" s="64">
        <f t="shared" si="53"/>
        <v>0.331959706959707</v>
      </c>
      <c r="BP290" s="64">
        <f t="shared" si="54"/>
        <v>0.33516483516483525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720</v>
      </c>
      <c r="Y293" s="652">
        <f t="shared" si="50"/>
        <v>720</v>
      </c>
      <c r="Z293" s="36">
        <f>IFERROR(IF(Y293=0,"",ROUNDUP(Y293/H293,0)*0.00651),"")</f>
        <v>1.9530000000000001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795.6</v>
      </c>
      <c r="BN293" s="64">
        <f t="shared" si="52"/>
        <v>795.6</v>
      </c>
      <c r="BO293" s="64">
        <f t="shared" si="53"/>
        <v>1.6483516483516485</v>
      </c>
      <c r="BP293" s="64">
        <f t="shared" si="54"/>
        <v>1.6483516483516485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192</v>
      </c>
      <c r="Y295" s="652">
        <f t="shared" si="50"/>
        <v>192</v>
      </c>
      <c r="Z295" s="36">
        <f>IFERROR(IF(Y295=0,"",ROUNDUP(Y295/H295,0)*0.00651),"")</f>
        <v>0.52080000000000004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212.16000000000003</v>
      </c>
      <c r="BN295" s="64">
        <f t="shared" si="52"/>
        <v>212.16000000000003</v>
      </c>
      <c r="BO295" s="64">
        <f t="shared" si="53"/>
        <v>0.43956043956043961</v>
      </c>
      <c r="BP295" s="64">
        <f t="shared" si="54"/>
        <v>0.43956043956043961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240</v>
      </c>
      <c r="Y296" s="652">
        <f t="shared" si="50"/>
        <v>240</v>
      </c>
      <c r="Z296" s="36">
        <f>IFERROR(IF(Y296=0,"",ROUNDUP(Y296/H296,0)*0.00651),"")</f>
        <v>0.65100000000000002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265.20000000000005</v>
      </c>
      <c r="BN296" s="64">
        <f t="shared" si="52"/>
        <v>265.20000000000005</v>
      </c>
      <c r="BO296" s="64">
        <f t="shared" si="53"/>
        <v>0.5494505494505495</v>
      </c>
      <c r="BP296" s="64">
        <f t="shared" si="54"/>
        <v>0.5494505494505495</v>
      </c>
    </row>
    <row r="297" spans="1:68" ht="27" hidden="1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0</v>
      </c>
      <c r="Y297" s="652">
        <f t="shared" si="50"/>
        <v>0</v>
      </c>
      <c r="Z297" s="36" t="str">
        <f>IFERROR(IF(Y297=0,"",ROUNDUP(Y297/H297,0)*0.00651),"")</f>
        <v/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0</v>
      </c>
      <c r="BN297" s="64">
        <f t="shared" si="52"/>
        <v>0</v>
      </c>
      <c r="BO297" s="64">
        <f t="shared" si="53"/>
        <v>0</v>
      </c>
      <c r="BP297" s="64">
        <f t="shared" si="54"/>
        <v>0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630.9488080034057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633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5.2680700000000007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2033</v>
      </c>
      <c r="Y300" s="653">
        <f>IFERROR(SUM(Y287:Y298),"0")</f>
        <v>2046.6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40</v>
      </c>
      <c r="Y302" s="652">
        <f>IFERROR(IF(X302="",0,CEILING((X302/$H302),1)*$H302),"")</f>
        <v>40.799999999999997</v>
      </c>
      <c r="Z302" s="36">
        <f>IFERROR(IF(Y302=0,"",ROUNDUP(Y302/H302,0)*0.00651),"")</f>
        <v>0.11067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44.20000000000001</v>
      </c>
      <c r="BN302" s="64">
        <f>IFERROR(Y302*I302/H302,"0")</f>
        <v>45.084000000000003</v>
      </c>
      <c r="BO302" s="64">
        <f>IFERROR(1/J302*(X302/H302),"0")</f>
        <v>9.1575091575091583E-2</v>
      </c>
      <c r="BP302" s="64">
        <f>IFERROR(1/J302*(Y302/H302),"0")</f>
        <v>9.3406593406593408E-2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16</v>
      </c>
      <c r="Y303" s="652">
        <f>IFERROR(IF(X303="",0,CEILING((X303/$H303),1)*$H303),"")</f>
        <v>16.8</v>
      </c>
      <c r="Z303" s="36">
        <f>IFERROR(IF(Y303=0,"",ROUNDUP(Y303/H303,0)*0.00651),"")</f>
        <v>4.5569999999999999E-2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17.680000000000003</v>
      </c>
      <c r="BN303" s="64">
        <f>IFERROR(Y303*I303/H303,"0")</f>
        <v>18.564000000000004</v>
      </c>
      <c r="BO303" s="64">
        <f>IFERROR(1/J303*(X303/H303),"0")</f>
        <v>3.6630036630036632E-2</v>
      </c>
      <c r="BP303" s="64">
        <f>IFERROR(1/J303*(Y303/H303),"0")</f>
        <v>3.8461538461538471E-2</v>
      </c>
    </row>
    <row r="304" spans="1:68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23.333333333333336</v>
      </c>
      <c r="Y304" s="653">
        <f>IFERROR(Y302/H302,"0")+IFERROR(Y303/H303,"0")</f>
        <v>24</v>
      </c>
      <c r="Z304" s="653">
        <f>IFERROR(IF(Z302="",0,Z302),"0")+IFERROR(IF(Z303="",0,Z303),"0")</f>
        <v>0.15623999999999999</v>
      </c>
      <c r="AA304" s="654"/>
      <c r="AB304" s="654"/>
      <c r="AC304" s="654"/>
    </row>
    <row r="305" spans="1:68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56</v>
      </c>
      <c r="Y305" s="653">
        <f>IFERROR(SUM(Y302:Y303),"0")</f>
        <v>57.599999999999994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41</v>
      </c>
      <c r="Y314" s="652">
        <f t="shared" si="55"/>
        <v>44</v>
      </c>
      <c r="Z314" s="36">
        <f>IFERROR(IF(Y314=0,"",ROUNDUP(Y314/H314,0)*0.00902),"")</f>
        <v>9.9220000000000003E-2</v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42.947500000000005</v>
      </c>
      <c r="BN314" s="64">
        <f t="shared" si="57"/>
        <v>46.09</v>
      </c>
      <c r="BO314" s="64">
        <f t="shared" si="58"/>
        <v>7.7651515151515152E-2</v>
      </c>
      <c r="BP314" s="64">
        <f t="shared" si="59"/>
        <v>8.3333333333333343E-2</v>
      </c>
    </row>
    <row r="315" spans="1:68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10.25</v>
      </c>
      <c r="Y315" s="653">
        <f>IFERROR(Y308/H308,"0")+IFERROR(Y309/H309,"0")+IFERROR(Y310/H310,"0")+IFERROR(Y311/H311,"0")+IFERROR(Y312/H312,"0")+IFERROR(Y313/H313,"0")+IFERROR(Y314/H314,"0")</f>
        <v>11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9.9220000000000003E-2</v>
      </c>
      <c r="AA315" s="654"/>
      <c r="AB315" s="654"/>
      <c r="AC315" s="654"/>
    </row>
    <row r="316" spans="1:68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41</v>
      </c>
      <c r="Y316" s="653">
        <f>IFERROR(SUM(Y308:Y314),"0")</f>
        <v>44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6</v>
      </c>
      <c r="Y322" s="652">
        <f>IFERROR(IF(X322="",0,CEILING((X322/$H322),1)*$H322),"")</f>
        <v>7.2</v>
      </c>
      <c r="Z322" s="36">
        <f>IFERROR(IF(Y322=0,"",ROUNDUP(Y322/H322,0)*0.0059),"")</f>
        <v>2.3599999999999999E-2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6.5833333333333339</v>
      </c>
      <c r="BN322" s="64">
        <f>IFERROR(Y322*I322/H322,"0")</f>
        <v>7.9</v>
      </c>
      <c r="BO322" s="64">
        <f>IFERROR(1/J322*(X322/H322),"0")</f>
        <v>1.5432098765432096E-2</v>
      </c>
      <c r="BP322" s="64">
        <f>IFERROR(1/J322*(Y322/H322),"0")</f>
        <v>1.8518518518518517E-2</v>
      </c>
    </row>
    <row r="323" spans="1:68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3.333333333333333</v>
      </c>
      <c r="Y323" s="653">
        <f>IFERROR(Y322/H322,"0")</f>
        <v>4</v>
      </c>
      <c r="Z323" s="653">
        <f>IFERROR(IF(Z322="",0,Z322),"0")</f>
        <v>2.3599999999999999E-2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6</v>
      </c>
      <c r="Y324" s="653">
        <f>IFERROR(SUM(Y322:Y322),"0")</f>
        <v>7.2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80</v>
      </c>
      <c r="Y343" s="652">
        <f>IFERROR(IF(X343="",0,CEILING((X343/$H343),1)*$H343),"")</f>
        <v>81.599999999999994</v>
      </c>
      <c r="Z343" s="36">
        <f>IFERROR(IF(Y343=0,"",ROUNDUP(Y343/H343,0)*0.00651),"")</f>
        <v>0.22134000000000001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88.40000000000002</v>
      </c>
      <c r="BN343" s="64">
        <f>IFERROR(Y343*I343/H343,"0")</f>
        <v>90.168000000000006</v>
      </c>
      <c r="BO343" s="64">
        <f>IFERROR(1/J343*(X343/H343),"0")</f>
        <v>0.18315018315018317</v>
      </c>
      <c r="BP343" s="64">
        <f>IFERROR(1/J343*(Y343/H343),"0")</f>
        <v>0.18681318681318682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123</v>
      </c>
      <c r="Y344" s="652">
        <f>IFERROR(IF(X344="",0,CEILING((X344/$H344),1)*$H344),"")</f>
        <v>124.8</v>
      </c>
      <c r="Z344" s="36">
        <f>IFERROR(IF(Y344=0,"",ROUNDUP(Y344/H344,0)*0.00651),"")</f>
        <v>0.33851999999999999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132.22500000000002</v>
      </c>
      <c r="BN344" s="64">
        <f>IFERROR(Y344*I344/H344,"0")</f>
        <v>134.16</v>
      </c>
      <c r="BO344" s="64">
        <f>IFERROR(1/J344*(X344/H344),"0")</f>
        <v>0.28159340659340659</v>
      </c>
      <c r="BP344" s="64">
        <f>IFERROR(1/J344*(Y344/H344),"0")</f>
        <v>0.28571428571428575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84.583333333333343</v>
      </c>
      <c r="Y345" s="653">
        <f>IFERROR(Y342/H342,"0")+IFERROR(Y343/H343,"0")+IFERROR(Y344/H344,"0")</f>
        <v>86</v>
      </c>
      <c r="Z345" s="653">
        <f>IFERROR(IF(Z342="",0,Z342),"0")+IFERROR(IF(Z343="",0,Z343),"0")+IFERROR(IF(Z344="",0,Z344),"0")</f>
        <v>0.55986000000000002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203</v>
      </c>
      <c r="Y346" s="653">
        <f>IFERROR(SUM(Y342:Y344),"0")</f>
        <v>206.39999999999998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299</v>
      </c>
      <c r="Y363" s="652">
        <f>IFERROR(IF(X363="",0,CEILING((X363/$H363),1)*$H363),"")</f>
        <v>304.2</v>
      </c>
      <c r="Z363" s="36">
        <f>IFERROR(IF(Y363=0,"",ROUNDUP(Y363/H363,0)*0.01898),"")</f>
        <v>0.74021999999999999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314.71666666666675</v>
      </c>
      <c r="BN363" s="64">
        <f>IFERROR(Y363*I363/H363,"0")</f>
        <v>320.19</v>
      </c>
      <c r="BO363" s="64">
        <f>IFERROR(1/J363*(X363/H363),"0")</f>
        <v>0.59895833333333337</v>
      </c>
      <c r="BP363" s="64">
        <f>IFERROR(1/J363*(Y363/H363),"0")</f>
        <v>0.609375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305</v>
      </c>
      <c r="Y364" s="652">
        <f>IFERROR(IF(X364="",0,CEILING((X364/$H364),1)*$H364),"")</f>
        <v>312</v>
      </c>
      <c r="Z364" s="36">
        <f>IFERROR(IF(Y364=0,"",ROUNDUP(Y364/H364,0)*0.01898),"")</f>
        <v>0.75919999999999999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321.03205128205133</v>
      </c>
      <c r="BN364" s="64">
        <f>IFERROR(Y364*I364/H364,"0")</f>
        <v>328.40000000000009</v>
      </c>
      <c r="BO364" s="64">
        <f>IFERROR(1/J364*(X364/H364),"0")</f>
        <v>0.6109775641025641</v>
      </c>
      <c r="BP364" s="64">
        <f>IFERROR(1/J364*(Y364/H364),"0")</f>
        <v>0.625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199</v>
      </c>
      <c r="Y365" s="652">
        <f>IFERROR(IF(X365="",0,CEILING((X365/$H365),1)*$H365),"")</f>
        <v>202.79999999999998</v>
      </c>
      <c r="Z365" s="36">
        <f>IFERROR(IF(Y365=0,"",ROUNDUP(Y365/H365,0)*0.01898),"")</f>
        <v>0.49348000000000003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209.46025641025645</v>
      </c>
      <c r="BN365" s="64">
        <f>IFERROR(Y365*I365/H365,"0")</f>
        <v>213.46</v>
      </c>
      <c r="BO365" s="64">
        <f>IFERROR(1/J365*(X365/H365),"0")</f>
        <v>0.39863782051282054</v>
      </c>
      <c r="BP365" s="64">
        <f>IFERROR(1/J365*(Y365/H365),"0")</f>
        <v>0.40625</v>
      </c>
    </row>
    <row r="366" spans="1:68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102.94871794871794</v>
      </c>
      <c r="Y366" s="653">
        <f>IFERROR(Y363/H363,"0")+IFERROR(Y364/H364,"0")+IFERROR(Y365/H365,"0")</f>
        <v>105</v>
      </c>
      <c r="Z366" s="653">
        <f>IFERROR(IF(Z363="",0,Z363),"0")+IFERROR(IF(Z364="",0,Z364),"0")+IFERROR(IF(Z365="",0,Z365),"0")</f>
        <v>1.9929000000000001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803</v>
      </c>
      <c r="Y367" s="653">
        <f>IFERROR(SUM(Y363:Y365),"0")</f>
        <v>819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37</v>
      </c>
      <c r="Y372" s="652">
        <f>IFERROR(IF(X372="",0,CEILING((X372/$H372),1)*$H372),"")</f>
        <v>43.2</v>
      </c>
      <c r="Z372" s="36">
        <f>IFERROR(IF(Y372=0,"",ROUNDUP(Y372/H372,0)*0.01898),"")</f>
        <v>7.5920000000000001E-2</v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38.404629629629632</v>
      </c>
      <c r="BN372" s="64">
        <f>IFERROR(Y372*I372/H372,"0")</f>
        <v>44.84</v>
      </c>
      <c r="BO372" s="64">
        <f>IFERROR(1/J372*(X372/H372),"0")</f>
        <v>5.3530092592592587E-2</v>
      </c>
      <c r="BP372" s="64">
        <f>IFERROR(1/J372*(Y372/H372),"0")</f>
        <v>6.25E-2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3.4259259259259256</v>
      </c>
      <c r="Y375" s="653">
        <f>IFERROR(Y370/H370,"0")+IFERROR(Y371/H371,"0")+IFERROR(Y372/H372,"0")+IFERROR(Y373/H373,"0")+IFERROR(Y374/H374,"0")</f>
        <v>4</v>
      </c>
      <c r="Z375" s="653">
        <f>IFERROR(IF(Z370="",0,Z370),"0")+IFERROR(IF(Z371="",0,Z371),"0")+IFERROR(IF(Z372="",0,Z372),"0")+IFERROR(IF(Z373="",0,Z373),"0")+IFERROR(IF(Z374="",0,Z374),"0")</f>
        <v>7.5920000000000001E-2</v>
      </c>
      <c r="AA375" s="654"/>
      <c r="AB375" s="654"/>
      <c r="AC375" s="654"/>
    </row>
    <row r="376" spans="1:68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37</v>
      </c>
      <c r="Y376" s="653">
        <f>IFERROR(SUM(Y370:Y374),"0")</f>
        <v>43.2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20</v>
      </c>
      <c r="Y379" s="652">
        <f t="shared" si="60"/>
        <v>21</v>
      </c>
      <c r="Z379" s="36">
        <f>IFERROR(IF(Y379=0,"",ROUNDUP(Y379/H379,0)*0.00902),"")</f>
        <v>4.5100000000000001E-2</v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21.19047619047619</v>
      </c>
      <c r="BN379" s="64">
        <f t="shared" si="62"/>
        <v>22.25</v>
      </c>
      <c r="BO379" s="64">
        <f t="shared" si="63"/>
        <v>3.6075036075036072E-2</v>
      </c>
      <c r="BP379" s="64">
        <f t="shared" si="64"/>
        <v>3.787878787878788E-2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30</v>
      </c>
      <c r="Y384" s="652">
        <f t="shared" si="60"/>
        <v>30.6</v>
      </c>
      <c r="Z384" s="36">
        <f>IFERROR(IF(Y384=0,"",ROUNDUP(Y384/H384,0)*0.00651),"")</f>
        <v>0.11067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33.800000000000004</v>
      </c>
      <c r="BN384" s="64">
        <f t="shared" si="62"/>
        <v>34.475999999999999</v>
      </c>
      <c r="BO384" s="64">
        <f t="shared" si="63"/>
        <v>9.1575091575091583E-2</v>
      </c>
      <c r="BP384" s="64">
        <f t="shared" si="64"/>
        <v>9.3406593406593408E-2</v>
      </c>
    </row>
    <row r="385" spans="1:68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21.428571428571431</v>
      </c>
      <c r="Y385" s="653">
        <f>IFERROR(Y378/H378,"0")+IFERROR(Y379/H379,"0")+IFERROR(Y380/H380,"0")+IFERROR(Y381/H381,"0")+IFERROR(Y382/H382,"0")+IFERROR(Y383/H383,"0")+IFERROR(Y384/H384,"0")</f>
        <v>22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0.15577000000000002</v>
      </c>
      <c r="AA385" s="654"/>
      <c r="AB385" s="654"/>
      <c r="AC385" s="654"/>
    </row>
    <row r="386" spans="1:68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50</v>
      </c>
      <c r="Y386" s="653">
        <f>IFERROR(SUM(Y378:Y384),"0")</f>
        <v>51.6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29</v>
      </c>
      <c r="Y395" s="652">
        <f>IFERROR(IF(X395="",0,CEILING((X395/$H395),1)*$H395),"")</f>
        <v>33.6</v>
      </c>
      <c r="Z395" s="36">
        <f>IFERROR(IF(Y395=0,"",ROUNDUP(Y395/H395,0)*0.01898),"")</f>
        <v>7.5920000000000001E-2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30.705476190476187</v>
      </c>
      <c r="BN395" s="64">
        <f>IFERROR(Y395*I395/H395,"0")</f>
        <v>35.576000000000001</v>
      </c>
      <c r="BO395" s="64">
        <f>IFERROR(1/J395*(X395/H395),"0")</f>
        <v>5.3943452380952377E-2</v>
      </c>
      <c r="BP395" s="64">
        <f>IFERROR(1/J395*(Y395/H395),"0")</f>
        <v>6.25E-2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622</v>
      </c>
      <c r="Y396" s="652">
        <f>IFERROR(IF(X396="",0,CEILING((X396/$H396),1)*$H396),"")</f>
        <v>624</v>
      </c>
      <c r="Z396" s="36">
        <f>IFERROR(IF(Y396=0,"",ROUNDUP(Y396/H396,0)*0.01898),"")</f>
        <v>1.5184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661.39333333333343</v>
      </c>
      <c r="BN396" s="64">
        <f>IFERROR(Y396*I396/H396,"0")</f>
        <v>663.52</v>
      </c>
      <c r="BO396" s="64">
        <f>IFERROR(1/J396*(X396/H396),"0")</f>
        <v>1.2459935897435899</v>
      </c>
      <c r="BP396" s="64">
        <f>IFERROR(1/J396*(Y396/H396),"0")</f>
        <v>1.25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154</v>
      </c>
      <c r="Y397" s="652">
        <f>IFERROR(IF(X397="",0,CEILING((X397/$H397),1)*$H397),"")</f>
        <v>159.6</v>
      </c>
      <c r="Z397" s="36">
        <f>IFERROR(IF(Y397=0,"",ROUNDUP(Y397/H397,0)*0.01898),"")</f>
        <v>0.36062</v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163.05666666666664</v>
      </c>
      <c r="BN397" s="64">
        <f>IFERROR(Y397*I397/H397,"0")</f>
        <v>168.98599999999999</v>
      </c>
      <c r="BO397" s="64">
        <f>IFERROR(1/J397*(X397/H397),"0")</f>
        <v>0.28645833333333331</v>
      </c>
      <c r="BP397" s="64">
        <f>IFERROR(1/J397*(Y397/H397),"0")</f>
        <v>0.296875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101.52930402930403</v>
      </c>
      <c r="Y398" s="653">
        <f>IFERROR(Y395/H395,"0")+IFERROR(Y396/H396,"0")+IFERROR(Y397/H397,"0")</f>
        <v>103</v>
      </c>
      <c r="Z398" s="653">
        <f>IFERROR(IF(Z395="",0,Z395),"0")+IFERROR(IF(Z396="",0,Z396),"0")+IFERROR(IF(Z397="",0,Z397),"0")</f>
        <v>1.9549399999999999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805</v>
      </c>
      <c r="Y399" s="653">
        <f>IFERROR(SUM(Y395:Y397),"0")</f>
        <v>817.2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20</v>
      </c>
      <c r="Y403" s="652">
        <f>IFERROR(IF(X403="",0,CEILING((X403/$H403),1)*$H403),"")</f>
        <v>20.399999999999999</v>
      </c>
      <c r="Z403" s="36">
        <f>IFERROR(IF(Y403=0,"",ROUNDUP(Y403/H403,0)*0.00651),"")</f>
        <v>5.2080000000000001E-2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23.176470588235297</v>
      </c>
      <c r="BN403" s="64">
        <f>IFERROR(Y403*I403/H403,"0")</f>
        <v>23.64</v>
      </c>
      <c r="BO403" s="64">
        <f>IFERROR(1/J403*(X403/H403),"0")</f>
        <v>4.3094160741219571E-2</v>
      </c>
      <c r="BP403" s="64">
        <f>IFERROR(1/J403*(Y403/H403),"0")</f>
        <v>4.3956043956043959E-2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10</v>
      </c>
      <c r="Y404" s="652">
        <f>IFERROR(IF(X404="",0,CEILING((X404/$H404),1)*$H404),"")</f>
        <v>10.199999999999999</v>
      </c>
      <c r="Z404" s="36">
        <f>IFERROR(IF(Y404=0,"",ROUNDUP(Y404/H404,0)*0.00651),"")</f>
        <v>2.6040000000000001E-2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11.294117647058822</v>
      </c>
      <c r="BN404" s="64">
        <f>IFERROR(Y404*I404/H404,"0")</f>
        <v>11.52</v>
      </c>
      <c r="BO404" s="64">
        <f>IFERROR(1/J404*(X404/H404),"0")</f>
        <v>2.1547080370609786E-2</v>
      </c>
      <c r="BP404" s="64">
        <f>IFERROR(1/J404*(Y404/H404),"0")</f>
        <v>2.197802197802198E-2</v>
      </c>
    </row>
    <row r="405" spans="1:68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11.764705882352942</v>
      </c>
      <c r="Y405" s="653">
        <f>IFERROR(Y401/H401,"0")+IFERROR(Y402/H402,"0")+IFERROR(Y403/H403,"0")+IFERROR(Y404/H404,"0")</f>
        <v>12</v>
      </c>
      <c r="Z405" s="653">
        <f>IFERROR(IF(Z401="",0,Z401),"0")+IFERROR(IF(Z402="",0,Z402),"0")+IFERROR(IF(Z403="",0,Z403),"0")+IFERROR(IF(Z404="",0,Z404),"0")</f>
        <v>7.8119999999999995E-2</v>
      </c>
      <c r="AA405" s="654"/>
      <c r="AB405" s="654"/>
      <c r="AC405" s="654"/>
    </row>
    <row r="406" spans="1:68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30</v>
      </c>
      <c r="Y406" s="653">
        <f>IFERROR(SUM(Y401:Y404),"0")</f>
        <v>30.599999999999998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9</v>
      </c>
      <c r="Y408" s="652">
        <f>IFERROR(IF(X408="",0,CEILING((X408/$H408),1)*$H408),"")</f>
        <v>10</v>
      </c>
      <c r="Z408" s="36">
        <f>IFERROR(IF(Y408=0,"",ROUNDUP(Y408/H408,0)*0.00474),"")</f>
        <v>2.3700000000000002E-2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10.080000000000002</v>
      </c>
      <c r="BN408" s="64">
        <f>IFERROR(Y408*I408/H408,"0")</f>
        <v>11.200000000000001</v>
      </c>
      <c r="BO408" s="64">
        <f>IFERROR(1/J408*(X408/H408),"0")</f>
        <v>1.8907563025210083E-2</v>
      </c>
      <c r="BP408" s="64">
        <f>IFERROR(1/J408*(Y408/H408),"0")</f>
        <v>2.1008403361344536E-2</v>
      </c>
    </row>
    <row r="409" spans="1:68" ht="27" hidden="1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0</v>
      </c>
      <c r="Y409" s="652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0</v>
      </c>
      <c r="Y410" s="652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4.5</v>
      </c>
      <c r="Y411" s="653">
        <f>IFERROR(Y408/H408,"0")+IFERROR(Y409/H409,"0")+IFERROR(Y410/H410,"0")</f>
        <v>5</v>
      </c>
      <c r="Z411" s="653">
        <f>IFERROR(IF(Z408="",0,Z408),"0")+IFERROR(IF(Z409="",0,Z409),"0")+IFERROR(IF(Z410="",0,Z410),"0")</f>
        <v>2.3700000000000002E-2</v>
      </c>
      <c r="AA411" s="654"/>
      <c r="AB411" s="654"/>
      <c r="AC411" s="654"/>
    </row>
    <row r="412" spans="1:68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9</v>
      </c>
      <c r="Y412" s="653">
        <f>IFERROR(SUM(Y408:Y410),"0")</f>
        <v>10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hidden="1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0</v>
      </c>
      <c r="Y417" s="653">
        <f>IFERROR(Y414/H414,"0")+IFERROR(Y415/H415,"0")+IFERROR(Y416/H416,"0")</f>
        <v>0</v>
      </c>
      <c r="Z417" s="653">
        <f>IFERROR(IF(Z414="",0,Z414),"0")+IFERROR(IF(Z415="",0,Z415),"0")+IFERROR(IF(Z416="",0,Z416),"0")</f>
        <v>0</v>
      </c>
      <c r="AA417" s="654"/>
      <c r="AB417" s="654"/>
      <c r="AC417" s="654"/>
    </row>
    <row r="418" spans="1:68" hidden="1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0</v>
      </c>
      <c r="Y418" s="653">
        <f>IFERROR(SUM(Y414:Y416),"0")</f>
        <v>0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53</v>
      </c>
      <c r="Y428" s="652">
        <f>IFERROR(IF(X428="",0,CEILING((X428/$H428),1)*$H428),"")</f>
        <v>54.6</v>
      </c>
      <c r="Z428" s="36">
        <f>IFERROR(IF(Y428=0,"",ROUNDUP(Y428/H428,0)*0.00651),"")</f>
        <v>0.16925999999999999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59.359999999999992</v>
      </c>
      <c r="BN428" s="64">
        <f>IFERROR(Y428*I428/H428,"0")</f>
        <v>61.151999999999994</v>
      </c>
      <c r="BO428" s="64">
        <f>IFERROR(1/J428*(X428/H428),"0")</f>
        <v>0.13867085295656725</v>
      </c>
      <c r="BP428" s="64">
        <f>IFERROR(1/J428*(Y428/H428),"0")</f>
        <v>0.14285714285714288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18</v>
      </c>
      <c r="Y429" s="652">
        <f>IFERROR(IF(X429="",0,CEILING((X429/$H429),1)*$H429),"")</f>
        <v>18.900000000000002</v>
      </c>
      <c r="Z429" s="36">
        <f>IFERROR(IF(Y429=0,"",ROUNDUP(Y429/H429,0)*0.00651),"")</f>
        <v>5.8590000000000003E-2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20.057142857142853</v>
      </c>
      <c r="BN429" s="64">
        <f>IFERROR(Y429*I429/H429,"0")</f>
        <v>21.06</v>
      </c>
      <c r="BO429" s="64">
        <f>IFERROR(1/J429*(X429/H429),"0")</f>
        <v>4.709576138147567E-2</v>
      </c>
      <c r="BP429" s="64">
        <f>IFERROR(1/J429*(Y429/H429),"0")</f>
        <v>4.9450549450549455E-2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33.80952380952381</v>
      </c>
      <c r="Y430" s="653">
        <f>IFERROR(Y427/H427,"0")+IFERROR(Y428/H428,"0")+IFERROR(Y429/H429,"0")</f>
        <v>35</v>
      </c>
      <c r="Z430" s="653">
        <f>IFERROR(IF(Z427="",0,Z427),"0")+IFERROR(IF(Z428="",0,Z428),"0")+IFERROR(IF(Z429="",0,Z429),"0")</f>
        <v>0.22785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71</v>
      </c>
      <c r="Y431" s="653">
        <f>IFERROR(SUM(Y427:Y429),"0")</f>
        <v>73.5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429</v>
      </c>
      <c r="Y436" s="652">
        <f t="shared" si="65"/>
        <v>435</v>
      </c>
      <c r="Z436" s="36">
        <f>IFERROR(IF(Y436=0,"",ROUNDUP(Y436/H436,0)*0.02175),"")</f>
        <v>0.63074999999999992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442.44200000000001</v>
      </c>
      <c r="BN436" s="64">
        <f t="shared" si="67"/>
        <v>448.63000000000005</v>
      </c>
      <c r="BO436" s="64">
        <f t="shared" si="68"/>
        <v>0.59583333333333333</v>
      </c>
      <c r="BP436" s="64">
        <f t="shared" si="69"/>
        <v>0.60416666666666663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420</v>
      </c>
      <c r="Y437" s="652">
        <f t="shared" si="65"/>
        <v>420</v>
      </c>
      <c r="Z437" s="36">
        <f>IFERROR(IF(Y437=0,"",ROUNDUP(Y437/H437,0)*0.02175),"")</f>
        <v>0.60899999999999999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433.16</v>
      </c>
      <c r="BN437" s="64">
        <f t="shared" si="67"/>
        <v>433.16</v>
      </c>
      <c r="BO437" s="64">
        <f t="shared" si="68"/>
        <v>0.58333333333333326</v>
      </c>
      <c r="BP437" s="64">
        <f t="shared" si="69"/>
        <v>0.58333333333333326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695</v>
      </c>
      <c r="Y438" s="652">
        <f t="shared" si="65"/>
        <v>705</v>
      </c>
      <c r="Z438" s="36">
        <f>IFERROR(IF(Y438=0,"",ROUNDUP(Y438/H438,0)*0.02175),"")</f>
        <v>1.0222499999999999</v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716.77666666666664</v>
      </c>
      <c r="BN438" s="64">
        <f t="shared" si="67"/>
        <v>727.09</v>
      </c>
      <c r="BO438" s="64">
        <f t="shared" si="68"/>
        <v>0.96527777777777779</v>
      </c>
      <c r="BP438" s="64">
        <f t="shared" si="69"/>
        <v>0.97916666666666663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242</v>
      </c>
      <c r="Y439" s="652">
        <f t="shared" si="65"/>
        <v>255</v>
      </c>
      <c r="Z439" s="36">
        <f>IFERROR(IF(Y439=0,"",ROUNDUP(Y439/H439,0)*0.02175),"")</f>
        <v>0.36974999999999997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249.58266666666668</v>
      </c>
      <c r="BN439" s="64">
        <f t="shared" si="67"/>
        <v>262.99</v>
      </c>
      <c r="BO439" s="64">
        <f t="shared" si="68"/>
        <v>0.33611111111111108</v>
      </c>
      <c r="BP439" s="64">
        <f t="shared" si="69"/>
        <v>0.35416666666666663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119.06666666666666</v>
      </c>
      <c r="Y443" s="653">
        <f>IFERROR(Y435/H435,"0")+IFERROR(Y436/H436,"0")+IFERROR(Y437/H437,"0")+IFERROR(Y438/H438,"0")+IFERROR(Y439/H439,"0")+IFERROR(Y440/H440,"0")+IFERROR(Y441/H441,"0")+IFERROR(Y442/H442,"0")</f>
        <v>121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2.6317499999999994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1786</v>
      </c>
      <c r="Y444" s="653">
        <f>IFERROR(SUM(Y435:Y442),"0")</f>
        <v>1815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896</v>
      </c>
      <c r="Y446" s="652">
        <f>IFERROR(IF(X446="",0,CEILING((X446/$H446),1)*$H446),"")</f>
        <v>900</v>
      </c>
      <c r="Z446" s="36">
        <f>IFERROR(IF(Y446=0,"",ROUNDUP(Y446/H446,0)*0.02175),"")</f>
        <v>1.3049999999999999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924.07466666666676</v>
      </c>
      <c r="BN446" s="64">
        <f>IFERROR(Y446*I446/H446,"0")</f>
        <v>928.2</v>
      </c>
      <c r="BO446" s="64">
        <f>IFERROR(1/J446*(X446/H446),"0")</f>
        <v>1.2444444444444445</v>
      </c>
      <c r="BP446" s="64">
        <f>IFERROR(1/J446*(Y446/H446),"0")</f>
        <v>1.25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59.733333333333334</v>
      </c>
      <c r="Y449" s="653">
        <f>IFERROR(Y446/H446,"0")+IFERROR(Y447/H447,"0")+IFERROR(Y448/H448,"0")</f>
        <v>60</v>
      </c>
      <c r="Z449" s="653">
        <f>IFERROR(IF(Z446="",0,Z446),"0")+IFERROR(IF(Z447="",0,Z447),"0")+IFERROR(IF(Z448="",0,Z448),"0")</f>
        <v>1.3049999999999999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896</v>
      </c>
      <c r="Y450" s="653">
        <f>IFERROR(SUM(Y446:Y448),"0")</f>
        <v>900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hidden="1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100</v>
      </c>
      <c r="Y459" s="652">
        <f>IFERROR(IF(X459="",0,CEILING((X459/$H459),1)*$H459),"")</f>
        <v>108</v>
      </c>
      <c r="Z459" s="36">
        <f>IFERROR(IF(Y459=0,"",ROUNDUP(Y459/H459,0)*0.01898),"")</f>
        <v>0.22776000000000002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105.48888888888888</v>
      </c>
      <c r="BN459" s="64">
        <f>IFERROR(Y459*I459/H459,"0")</f>
        <v>113.92799999999998</v>
      </c>
      <c r="BO459" s="64">
        <f>IFERROR(1/J459*(X459/H459),"0")</f>
        <v>0.1736111111111111</v>
      </c>
      <c r="BP459" s="64">
        <f>IFERROR(1/J459*(Y459/H459),"0")</f>
        <v>0.1875</v>
      </c>
    </row>
    <row r="460" spans="1:68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11.111111111111111</v>
      </c>
      <c r="Y460" s="653">
        <f>IFERROR(Y458/H458,"0")+IFERROR(Y459/H459,"0")</f>
        <v>12</v>
      </c>
      <c r="Z460" s="653">
        <f>IFERROR(IF(Z458="",0,Z458),"0")+IFERROR(IF(Z459="",0,Z459),"0")</f>
        <v>0.22776000000000002</v>
      </c>
      <c r="AA460" s="654"/>
      <c r="AB460" s="654"/>
      <c r="AC460" s="654"/>
    </row>
    <row r="461" spans="1:68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100</v>
      </c>
      <c r="Y461" s="653">
        <f>IFERROR(SUM(Y458:Y459),"0")</f>
        <v>108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1200</v>
      </c>
      <c r="Y473" s="652">
        <f>IFERROR(IF(X473="",0,CEILING((X473/$H473),1)*$H473),"")</f>
        <v>1206</v>
      </c>
      <c r="Z473" s="36">
        <f>IFERROR(IF(Y473=0,"",ROUNDUP(Y473/H473,0)*0.01898),"")</f>
        <v>2.54332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1265.8666666666666</v>
      </c>
      <c r="BN473" s="64">
        <f>IFERROR(Y473*I473/H473,"0")</f>
        <v>1272.1959999999999</v>
      </c>
      <c r="BO473" s="64">
        <f>IFERROR(1/J473*(X473/H473),"0")</f>
        <v>2.0833333333333335</v>
      </c>
      <c r="BP473" s="64">
        <f>IFERROR(1/J473*(Y473/H473),"0")</f>
        <v>2.09375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8</v>
      </c>
      <c r="Y474" s="652">
        <f>IFERROR(IF(X474="",0,CEILING((X474/$H474),1)*$H474),"")</f>
        <v>9.6</v>
      </c>
      <c r="Z474" s="36">
        <f>IFERROR(IF(Y474=0,"",ROUNDUP(Y474/H474,0)*0.00651),"")</f>
        <v>2.6040000000000001E-2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8.8800000000000008</v>
      </c>
      <c r="BN474" s="64">
        <f>IFERROR(Y474*I474/H474,"0")</f>
        <v>10.656000000000001</v>
      </c>
      <c r="BO474" s="64">
        <f>IFERROR(1/J474*(X474/H474),"0")</f>
        <v>1.8315018315018316E-2</v>
      </c>
      <c r="BP474" s="64">
        <f>IFERROR(1/J474*(Y474/H474),"0")</f>
        <v>2.197802197802198E-2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136.66666666666669</v>
      </c>
      <c r="Y476" s="653">
        <f>IFERROR(Y473/H473,"0")+IFERROR(Y474/H474,"0")+IFERROR(Y475/H475,"0")</f>
        <v>138</v>
      </c>
      <c r="Z476" s="653">
        <f>IFERROR(IF(Z473="",0,Z473),"0")+IFERROR(IF(Z474="",0,Z474),"0")+IFERROR(IF(Z475="",0,Z475),"0")</f>
        <v>2.5693600000000001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1208</v>
      </c>
      <c r="Y477" s="653">
        <f>IFERROR(SUM(Y473:Y475),"0")</f>
        <v>1215.5999999999999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hidden="1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idden="1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hidden="1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111</v>
      </c>
      <c r="Y508" s="652">
        <f t="shared" ref="Y508:Y516" si="75">IFERROR(IF(X508="",0,CEILING((X508/$H508),1)*$H508),"")</f>
        <v>116.16000000000001</v>
      </c>
      <c r="Z508" s="36">
        <f t="shared" ref="Z508:Z513" si="76">IFERROR(IF(Y508=0,"",ROUNDUP(Y508/H508,0)*0.01196),"")</f>
        <v>0.26312000000000002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118.35795454545453</v>
      </c>
      <c r="BN508" s="64">
        <f t="shared" ref="BN508:BN516" si="78">IFERROR(Y508*I508/H508,"0")</f>
        <v>123.86</v>
      </c>
      <c r="BO508" s="64">
        <f t="shared" ref="BO508:BO516" si="79">IFERROR(1/J508*(X508/H508),"0")</f>
        <v>0.20214160839160841</v>
      </c>
      <c r="BP508" s="64">
        <f t="shared" ref="BP508:BP516" si="80">IFERROR(1/J508*(Y508/H508),"0")</f>
        <v>0.21153846153846156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83</v>
      </c>
      <c r="Y510" s="652">
        <f t="shared" si="75"/>
        <v>84.48</v>
      </c>
      <c r="Z510" s="36">
        <f t="shared" si="76"/>
        <v>0.19136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88.501893939393923</v>
      </c>
      <c r="BN510" s="64">
        <f t="shared" si="78"/>
        <v>90.08</v>
      </c>
      <c r="BO510" s="64">
        <f t="shared" si="79"/>
        <v>0.15115093240093241</v>
      </c>
      <c r="BP510" s="64">
        <f t="shared" si="80"/>
        <v>0.15384615384615385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283</v>
      </c>
      <c r="Y511" s="652">
        <f t="shared" si="75"/>
        <v>285.12</v>
      </c>
      <c r="Z511" s="36">
        <f t="shared" si="76"/>
        <v>0.64583999999999997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301.75946969696969</v>
      </c>
      <c r="BN511" s="64">
        <f t="shared" si="78"/>
        <v>304.02</v>
      </c>
      <c r="BO511" s="64">
        <f t="shared" si="79"/>
        <v>0.5153700466200466</v>
      </c>
      <c r="BP511" s="64">
        <f t="shared" si="80"/>
        <v>0.51923076923076927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537</v>
      </c>
      <c r="Y513" s="652">
        <f t="shared" si="75"/>
        <v>538.56000000000006</v>
      </c>
      <c r="Z513" s="36">
        <f t="shared" si="76"/>
        <v>1.2199200000000001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572.59659090909088</v>
      </c>
      <c r="BN513" s="64">
        <f t="shared" si="78"/>
        <v>574.26</v>
      </c>
      <c r="BO513" s="64">
        <f t="shared" si="79"/>
        <v>0.97792832167832167</v>
      </c>
      <c r="BP513" s="64">
        <f t="shared" si="80"/>
        <v>0.98076923076923084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52</v>
      </c>
      <c r="Y515" s="652">
        <f t="shared" si="75"/>
        <v>52.8</v>
      </c>
      <c r="Z515" s="36">
        <f>IFERROR(IF(Y515=0,"",ROUNDUP(Y515/H515,0)*0.00902),"")</f>
        <v>9.9220000000000003E-2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74.858333333333334</v>
      </c>
      <c r="BN515" s="64">
        <f t="shared" si="78"/>
        <v>76.010000000000005</v>
      </c>
      <c r="BO515" s="64">
        <f t="shared" si="79"/>
        <v>8.2070707070707072E-2</v>
      </c>
      <c r="BP515" s="64">
        <f t="shared" si="80"/>
        <v>8.3333333333333343E-2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11</v>
      </c>
      <c r="Y516" s="652">
        <f t="shared" si="75"/>
        <v>14.399999999999999</v>
      </c>
      <c r="Z516" s="36">
        <f>IFERROR(IF(Y516=0,"",ROUNDUP(Y516/H516,0)*0.00902),"")</f>
        <v>2.7060000000000001E-2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15.835416666666669</v>
      </c>
      <c r="BN516" s="64">
        <f t="shared" si="78"/>
        <v>20.73</v>
      </c>
      <c r="BO516" s="64">
        <f t="shared" si="79"/>
        <v>1.7361111111111115E-2</v>
      </c>
      <c r="BP516" s="64">
        <f t="shared" si="80"/>
        <v>2.2727272727272728E-2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205.17045454545456</v>
      </c>
      <c r="Y517" s="653">
        <f>IFERROR(Y508/H508,"0")+IFERROR(Y509/H509,"0")+IFERROR(Y510/H510,"0")+IFERROR(Y511/H511,"0")+IFERROR(Y512/H512,"0")+IFERROR(Y513/H513,"0")+IFERROR(Y514/H514,"0")+IFERROR(Y515/H515,"0")+IFERROR(Y516/H516,"0")</f>
        <v>208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2.44652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1077</v>
      </c>
      <c r="Y518" s="653">
        <f>IFERROR(SUM(Y508:Y516),"0")</f>
        <v>1091.5200000000002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475</v>
      </c>
      <c r="Y520" s="652">
        <f>IFERROR(IF(X520="",0,CEILING((X520/$H520),1)*$H520),"")</f>
        <v>475.20000000000005</v>
      </c>
      <c r="Z520" s="36">
        <f>IFERROR(IF(Y520=0,"",ROUNDUP(Y520/H520,0)*0.01196),"")</f>
        <v>1.0764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506.48674242424238</v>
      </c>
      <c r="BN520" s="64">
        <f>IFERROR(Y520*I520/H520,"0")</f>
        <v>506.7</v>
      </c>
      <c r="BO520" s="64">
        <f>IFERROR(1/J520*(X520/H520),"0")</f>
        <v>0.86502039627039629</v>
      </c>
      <c r="BP520" s="64">
        <f>IFERROR(1/J520*(Y520/H520),"0")</f>
        <v>0.86538461538461542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59</v>
      </c>
      <c r="Y522" s="652">
        <f>IFERROR(IF(X522="",0,CEILING((X522/$H522),1)*$H522),"")</f>
        <v>62.4</v>
      </c>
      <c r="Z522" s="36">
        <f>IFERROR(IF(Y522=0,"",ROUNDUP(Y522/H522,0)*0.00902),"")</f>
        <v>0.11726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84.935416666666669</v>
      </c>
      <c r="BN522" s="64">
        <f>IFERROR(Y522*I522/H522,"0")</f>
        <v>89.830000000000013</v>
      </c>
      <c r="BO522" s="64">
        <f>IFERROR(1/J522*(X522/H522),"0")</f>
        <v>9.3118686868686878E-2</v>
      </c>
      <c r="BP522" s="64">
        <f>IFERROR(1/J522*(Y522/H522),"0")</f>
        <v>9.8484848484848481E-2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102.25378787878788</v>
      </c>
      <c r="Y523" s="653">
        <f>IFERROR(Y520/H520,"0")+IFERROR(Y521/H521,"0")+IFERROR(Y522/H522,"0")</f>
        <v>103</v>
      </c>
      <c r="Z523" s="653">
        <f>IFERROR(IF(Z520="",0,Z520),"0")+IFERROR(IF(Z521="",0,Z521),"0")+IFERROR(IF(Z522="",0,Z522),"0")</f>
        <v>1.1936599999999999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534</v>
      </c>
      <c r="Y524" s="653">
        <f>IFERROR(SUM(Y520:Y522),"0")</f>
        <v>537.6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200</v>
      </c>
      <c r="Y526" s="652">
        <f t="shared" ref="Y526:Y532" si="81">IFERROR(IF(X526="",0,CEILING((X526/$H526),1)*$H526),"")</f>
        <v>200.64000000000001</v>
      </c>
      <c r="Z526" s="36">
        <f>IFERROR(IF(Y526=0,"",ROUNDUP(Y526/H526,0)*0.01196),"")</f>
        <v>0.45448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213.25757575757575</v>
      </c>
      <c r="BN526" s="64">
        <f t="shared" ref="BN526:BN532" si="83">IFERROR(Y526*I526/H526,"0")</f>
        <v>213.94</v>
      </c>
      <c r="BO526" s="64">
        <f t="shared" ref="BO526:BO532" si="84">IFERROR(1/J526*(X526/H526),"0")</f>
        <v>0.36421911421911418</v>
      </c>
      <c r="BP526" s="64">
        <f t="shared" ref="BP526:BP532" si="85">IFERROR(1/J526*(Y526/H526),"0")</f>
        <v>0.36538461538461542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538</v>
      </c>
      <c r="Y527" s="652">
        <f t="shared" si="81"/>
        <v>538.56000000000006</v>
      </c>
      <c r="Z527" s="36">
        <f>IFERROR(IF(Y527=0,"",ROUNDUP(Y527/H527,0)*0.01196),"")</f>
        <v>1.2199200000000001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573.66287878787875</v>
      </c>
      <c r="BN527" s="64">
        <f t="shared" si="83"/>
        <v>574.26</v>
      </c>
      <c r="BO527" s="64">
        <f t="shared" si="84"/>
        <v>0.97974941724941722</v>
      </c>
      <c r="BP527" s="64">
        <f t="shared" si="85"/>
        <v>0.98076923076923084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319</v>
      </c>
      <c r="Y528" s="652">
        <f t="shared" si="81"/>
        <v>322.08000000000004</v>
      </c>
      <c r="Z528" s="36">
        <f>IFERROR(IF(Y528=0,"",ROUNDUP(Y528/H528,0)*0.01196),"")</f>
        <v>0.72955999999999999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340.14583333333331</v>
      </c>
      <c r="BN528" s="64">
        <f t="shared" si="83"/>
        <v>343.43000000000006</v>
      </c>
      <c r="BO528" s="64">
        <f t="shared" si="84"/>
        <v>0.58092948717948723</v>
      </c>
      <c r="BP528" s="64">
        <f t="shared" si="85"/>
        <v>0.58653846153846168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200.18939393939391</v>
      </c>
      <c r="Y533" s="653">
        <f>IFERROR(Y526/H526,"0")+IFERROR(Y527/H527,"0")+IFERROR(Y528/H528,"0")+IFERROR(Y529/H529,"0")+IFERROR(Y530/H530,"0")+IFERROR(Y531/H531,"0")+IFERROR(Y532/H532,"0")</f>
        <v>201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2.4039600000000001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1057</v>
      </c>
      <c r="Y534" s="653">
        <f>IFERROR(SUM(Y526:Y532),"0")</f>
        <v>1061.2800000000002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20</v>
      </c>
      <c r="Y550" s="652">
        <f>IFERROR(IF(X550="",0,CEILING((X550/$H550),1)*$H550),"")</f>
        <v>27</v>
      </c>
      <c r="Z550" s="36">
        <f>IFERROR(IF(Y550=0,"",ROUNDUP(Y550/H550,0)*0.01898),"")</f>
        <v>5.6940000000000004E-2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21.097777777777779</v>
      </c>
      <c r="BN550" s="64">
        <f>IFERROR(Y550*I550/H550,"0")</f>
        <v>28.481999999999996</v>
      </c>
      <c r="BO550" s="64">
        <f>IFERROR(1/J550*(X550/H550),"0")</f>
        <v>3.4722222222222224E-2</v>
      </c>
      <c r="BP550" s="64">
        <f>IFERROR(1/J550*(Y550/H550),"0")</f>
        <v>4.6875E-2</v>
      </c>
    </row>
    <row r="551" spans="1:68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2.2222222222222223</v>
      </c>
      <c r="Y551" s="653">
        <f>IFERROR(Y550/H550,"0")</f>
        <v>3</v>
      </c>
      <c r="Z551" s="653">
        <f>IFERROR(IF(Z550="",0,Z550),"0")</f>
        <v>5.6940000000000004E-2</v>
      </c>
      <c r="AA551" s="654"/>
      <c r="AB551" s="654"/>
      <c r="AC551" s="654"/>
    </row>
    <row r="552" spans="1:68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20</v>
      </c>
      <c r="Y552" s="653">
        <f>IFERROR(SUM(Y550:Y550),"0")</f>
        <v>27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17615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17846.140000000003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18734.603894280834</v>
      </c>
      <c r="Y564" s="653">
        <f>IFERROR(SUM(BN22:BN560),"0")</f>
        <v>18981.948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32</v>
      </c>
      <c r="Y565" s="38">
        <f>ROUNDUP(SUM(BP22:BP560),0)</f>
        <v>32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19534.603894280834</v>
      </c>
      <c r="Y566" s="653">
        <f>GrossWeightTotalR+PalletQtyTotalR*25</f>
        <v>19781.948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3181.7578117084881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3222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37.880400000000002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122.4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1101.6000000000001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878.90000000000009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1226.5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1552.2200000000003</v>
      </c>
      <c r="H573" s="46">
        <f>IFERROR(Y140*1,"0")+IFERROR(Y141*1,"0")+IFERROR(Y145*1,"0")+IFERROR(Y146*1,"0")+IFERROR(Y150*1,"0")+IFERROR(Y151*1,"0")</f>
        <v>73.2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561.67999999999995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736.7399999999999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2734.2000000000007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51.2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206.39999999999998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819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952.6</v>
      </c>
      <c r="U573" s="46">
        <f>IFERROR(Y421*1,"0")+IFERROR(Y422*1,"0")</f>
        <v>0</v>
      </c>
      <c r="V573" s="46">
        <f>IFERROR(Y427*1,"0")+IFERROR(Y428*1,"0")+IFERROR(Y429*1,"0")</f>
        <v>73.5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2823</v>
      </c>
      <c r="X573" s="46">
        <f>IFERROR(Y464*1,"0")+IFERROR(Y465*1,"0")+IFERROR(Y469*1,"0")+IFERROR(Y473*1,"0")+IFERROR(Y474*1,"0")+IFERROR(Y475*1,"0")</f>
        <v>1215.5999999999999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2690.4000000000005</v>
      </c>
      <c r="AB573" s="46">
        <f>IFERROR(Y538*1,"0")+IFERROR(Y542*1,"0")+IFERROR(Y546*1,"0")+IFERROR(Y550*1,"0")+IFERROR(Y554*1,"0")+IFERROR(Y555*1,"0")</f>
        <v>27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7,00"/>
        <filter val="1 077,00"/>
        <filter val="1 093,00"/>
        <filter val="1 200,00"/>
        <filter val="1 208,00"/>
        <filter val="1 786,00"/>
        <filter val="10,00"/>
        <filter val="10,25"/>
        <filter val="100,00"/>
        <filter val="101,20"/>
        <filter val="101,53"/>
        <filter val="102,25"/>
        <filter val="102,95"/>
        <filter val="108,00"/>
        <filter val="11,00"/>
        <filter val="11,11"/>
        <filter val="11,76"/>
        <filter val="111,00"/>
        <filter val="115,00"/>
        <filter val="117,00"/>
        <filter val="117,16"/>
        <filter val="119,07"/>
        <filter val="12,00"/>
        <filter val="121,00"/>
        <filter val="123,00"/>
        <filter val="136,67"/>
        <filter val="138,52"/>
        <filter val="14,38"/>
        <filter val="140,00"/>
        <filter val="145,00"/>
        <filter val="15,00"/>
        <filter val="150,00"/>
        <filter val="154,00"/>
        <filter val="16,00"/>
        <filter val="166,00"/>
        <filter val="17 615,00"/>
        <filter val="18 734,60"/>
        <filter val="18,00"/>
        <filter val="180,00"/>
        <filter val="188,57"/>
        <filter val="19 534,60"/>
        <filter val="192,00"/>
        <filter val="197,00"/>
        <filter val="199,00"/>
        <filter val="2 033,00"/>
        <filter val="2,00"/>
        <filter val="2,22"/>
        <filter val="20,00"/>
        <filter val="200,00"/>
        <filter val="200,19"/>
        <filter val="203,00"/>
        <filter val="205,17"/>
        <filter val="21,00"/>
        <filter val="21,43"/>
        <filter val="23,00"/>
        <filter val="23,33"/>
        <filter val="24,00"/>
        <filter val="240,00"/>
        <filter val="242,00"/>
        <filter val="26,00"/>
        <filter val="27,00"/>
        <filter val="27,13"/>
        <filter val="28,00"/>
        <filter val="283,00"/>
        <filter val="287,50"/>
        <filter val="29,00"/>
        <filter val="293,00"/>
        <filter val="299,00"/>
        <filter val="3 181,76"/>
        <filter val="3,33"/>
        <filter val="3,43"/>
        <filter val="3,46"/>
        <filter val="3,54"/>
        <filter val="30,00"/>
        <filter val="305,00"/>
        <filter val="319,00"/>
        <filter val="32"/>
        <filter val="33,81"/>
        <filter val="350,00"/>
        <filter val="37,00"/>
        <filter val="388,00"/>
        <filter val="39,00"/>
        <filter val="398,00"/>
        <filter val="4,50"/>
        <filter val="4,76"/>
        <filter val="40,00"/>
        <filter val="41,00"/>
        <filter val="42,00"/>
        <filter val="420,00"/>
        <filter val="429,00"/>
        <filter val="46,00"/>
        <filter val="475,00"/>
        <filter val="482,00"/>
        <filter val="50,00"/>
        <filter val="500,00"/>
        <filter val="51,74"/>
        <filter val="52,00"/>
        <filter val="53,00"/>
        <filter val="534,00"/>
        <filter val="535,00"/>
        <filter val="537,00"/>
        <filter val="538,00"/>
        <filter val="543,00"/>
        <filter val="56,00"/>
        <filter val="57,55"/>
        <filter val="58,00"/>
        <filter val="586,00"/>
        <filter val="59,00"/>
        <filter val="59,73"/>
        <filter val="6,00"/>
        <filter val="616,00"/>
        <filter val="622,00"/>
        <filter val="625,00"/>
        <filter val="63,00"/>
        <filter val="630,95"/>
        <filter val="636,00"/>
        <filter val="67,22"/>
        <filter val="695,00"/>
        <filter val="7,00"/>
        <filter val="701,00"/>
        <filter val="71,00"/>
        <filter val="716,00"/>
        <filter val="720,00"/>
        <filter val="733,00"/>
        <filter val="79,81"/>
        <filter val="8,00"/>
        <filter val="8,21"/>
        <filter val="8,73"/>
        <filter val="80,00"/>
        <filter val="802,00"/>
        <filter val="803,00"/>
        <filter val="805,00"/>
        <filter val="83,00"/>
        <filter val="84,58"/>
        <filter val="896,00"/>
        <filter val="9,00"/>
        <filter val="92,00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