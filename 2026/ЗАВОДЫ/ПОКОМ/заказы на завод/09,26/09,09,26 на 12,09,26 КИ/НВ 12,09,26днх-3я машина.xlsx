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E10F25-11C3-4B3B-B1A4-982BF49488F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Y561" i="1"/>
  <c r="X561" i="1"/>
  <c r="BO560" i="1"/>
  <c r="BM560" i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AB573" i="1" s="1"/>
  <c r="P538" i="1"/>
  <c r="X534" i="1"/>
  <c r="X533" i="1"/>
  <c r="BO532" i="1"/>
  <c r="BM532" i="1"/>
  <c r="Y532" i="1"/>
  <c r="P532" i="1"/>
  <c r="BO531" i="1"/>
  <c r="BM531" i="1"/>
  <c r="Z531" i="1"/>
  <c r="Y531" i="1"/>
  <c r="BN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O464" i="1"/>
  <c r="BM464" i="1"/>
  <c r="Z464" i="1"/>
  <c r="Y464" i="1"/>
  <c r="BN464" i="1" s="1"/>
  <c r="P464" i="1"/>
  <c r="X461" i="1"/>
  <c r="Y460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Z447" i="1"/>
  <c r="Y447" i="1"/>
  <c r="BN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X431" i="1"/>
  <c r="X430" i="1"/>
  <c r="BO429" i="1"/>
  <c r="BM429" i="1"/>
  <c r="Z429" i="1"/>
  <c r="Y429" i="1"/>
  <c r="BN429" i="1" s="1"/>
  <c r="P429" i="1"/>
  <c r="BO428" i="1"/>
  <c r="BM428" i="1"/>
  <c r="Y428" i="1"/>
  <c r="P428" i="1"/>
  <c r="BO427" i="1"/>
  <c r="BM427" i="1"/>
  <c r="Y427" i="1"/>
  <c r="P427" i="1"/>
  <c r="X424" i="1"/>
  <c r="X423" i="1"/>
  <c r="BO422" i="1"/>
  <c r="BM422" i="1"/>
  <c r="Z422" i="1"/>
  <c r="Y422" i="1"/>
  <c r="BN422" i="1" s="1"/>
  <c r="P422" i="1"/>
  <c r="BO421" i="1"/>
  <c r="BM421" i="1"/>
  <c r="Y421" i="1"/>
  <c r="Y423" i="1" s="1"/>
  <c r="P421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BO401" i="1"/>
  <c r="BM401" i="1"/>
  <c r="Y401" i="1"/>
  <c r="BN401" i="1" s="1"/>
  <c r="P401" i="1"/>
  <c r="X399" i="1"/>
  <c r="X398" i="1"/>
  <c r="BO397" i="1"/>
  <c r="BM397" i="1"/>
  <c r="Y397" i="1"/>
  <c r="P397" i="1"/>
  <c r="BO396" i="1"/>
  <c r="BM396" i="1"/>
  <c r="Y396" i="1"/>
  <c r="Y398" i="1" s="1"/>
  <c r="P396" i="1"/>
  <c r="BO395" i="1"/>
  <c r="BM395" i="1"/>
  <c r="Y395" i="1"/>
  <c r="BP395" i="1" s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Z353" i="1"/>
  <c r="Y353" i="1"/>
  <c r="BN353" i="1" s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BP349" i="1" s="1"/>
  <c r="P349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P337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BN333" i="1" s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BP326" i="1" s="1"/>
  <c r="P326" i="1"/>
  <c r="X324" i="1"/>
  <c r="X323" i="1"/>
  <c r="BP322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M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Y304" i="1" s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Z293" i="1"/>
  <c r="Y293" i="1"/>
  <c r="BN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X285" i="1"/>
  <c r="X284" i="1"/>
  <c r="BO283" i="1"/>
  <c r="BM283" i="1"/>
  <c r="Y283" i="1"/>
  <c r="BP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Z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P272" i="1"/>
  <c r="BO271" i="1"/>
  <c r="BM271" i="1"/>
  <c r="Z271" i="1"/>
  <c r="Y271" i="1"/>
  <c r="Y273" i="1" s="1"/>
  <c r="P271" i="1"/>
  <c r="X269" i="1"/>
  <c r="X268" i="1"/>
  <c r="BO267" i="1"/>
  <c r="BM267" i="1"/>
  <c r="Y267" i="1"/>
  <c r="P267" i="1"/>
  <c r="BO266" i="1"/>
  <c r="BM266" i="1"/>
  <c r="Y266" i="1"/>
  <c r="P266" i="1"/>
  <c r="X263" i="1"/>
  <c r="X262" i="1"/>
  <c r="BO261" i="1"/>
  <c r="BM261" i="1"/>
  <c r="Y261" i="1"/>
  <c r="Y263" i="1" s="1"/>
  <c r="P261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Z248" i="1"/>
  <c r="Y248" i="1"/>
  <c r="BN248" i="1" s="1"/>
  <c r="P248" i="1"/>
  <c r="BO247" i="1"/>
  <c r="BM247" i="1"/>
  <c r="Y247" i="1"/>
  <c r="P247" i="1"/>
  <c r="X245" i="1"/>
  <c r="X244" i="1"/>
  <c r="BO243" i="1"/>
  <c r="BM243" i="1"/>
  <c r="Y243" i="1"/>
  <c r="P243" i="1"/>
  <c r="BO242" i="1"/>
  <c r="BM242" i="1"/>
  <c r="Y242" i="1"/>
  <c r="P242" i="1"/>
  <c r="BO241" i="1"/>
  <c r="BM241" i="1"/>
  <c r="Y241" i="1"/>
  <c r="P241" i="1"/>
  <c r="BP240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X223" i="1"/>
  <c r="X222" i="1"/>
  <c r="BO221" i="1"/>
  <c r="BM221" i="1"/>
  <c r="Y221" i="1"/>
  <c r="BP221" i="1" s="1"/>
  <c r="P221" i="1"/>
  <c r="BO220" i="1"/>
  <c r="BM220" i="1"/>
  <c r="Y220" i="1"/>
  <c r="P220" i="1"/>
  <c r="BO219" i="1"/>
  <c r="BM219" i="1"/>
  <c r="Z219" i="1"/>
  <c r="Y219" i="1"/>
  <c r="BN219" i="1" s="1"/>
  <c r="P219" i="1"/>
  <c r="BO218" i="1"/>
  <c r="BM218" i="1"/>
  <c r="Y218" i="1"/>
  <c r="P218" i="1"/>
  <c r="BO217" i="1"/>
  <c r="BM217" i="1"/>
  <c r="Z217" i="1"/>
  <c r="Y217" i="1"/>
  <c r="BN217" i="1" s="1"/>
  <c r="P217" i="1"/>
  <c r="BO216" i="1"/>
  <c r="BM216" i="1"/>
  <c r="Y216" i="1"/>
  <c r="P216" i="1"/>
  <c r="BO215" i="1"/>
  <c r="BM215" i="1"/>
  <c r="Y215" i="1"/>
  <c r="P215" i="1"/>
  <c r="X211" i="1"/>
  <c r="X210" i="1"/>
  <c r="BO209" i="1"/>
  <c r="BM209" i="1"/>
  <c r="Y209" i="1"/>
  <c r="Y211" i="1" s="1"/>
  <c r="P209" i="1"/>
  <c r="X207" i="1"/>
  <c r="X206" i="1"/>
  <c r="BO205" i="1"/>
  <c r="BM205" i="1"/>
  <c r="Y205" i="1"/>
  <c r="P205" i="1"/>
  <c r="X203" i="1"/>
  <c r="X202" i="1"/>
  <c r="BO201" i="1"/>
  <c r="BM201" i="1"/>
  <c r="Z201" i="1"/>
  <c r="Y201" i="1"/>
  <c r="BN201" i="1" s="1"/>
  <c r="P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Z195" i="1"/>
  <c r="Y195" i="1"/>
  <c r="BN195" i="1" s="1"/>
  <c r="P195" i="1"/>
  <c r="BO194" i="1"/>
  <c r="BM194" i="1"/>
  <c r="Y194" i="1"/>
  <c r="P194" i="1"/>
  <c r="BO193" i="1"/>
  <c r="BM193" i="1"/>
  <c r="Y193" i="1"/>
  <c r="BO192" i="1"/>
  <c r="BM192" i="1"/>
  <c r="Y192" i="1"/>
  <c r="BP192" i="1" s="1"/>
  <c r="P192" i="1"/>
  <c r="BO191" i="1"/>
  <c r="BM191" i="1"/>
  <c r="Y191" i="1"/>
  <c r="P191" i="1"/>
  <c r="BO190" i="1"/>
  <c r="BM190" i="1"/>
  <c r="Y190" i="1"/>
  <c r="P190" i="1"/>
  <c r="BO189" i="1"/>
  <c r="BM189" i="1"/>
  <c r="Y189" i="1"/>
  <c r="BO188" i="1"/>
  <c r="BM188" i="1"/>
  <c r="Y188" i="1"/>
  <c r="P188" i="1"/>
  <c r="BO187" i="1"/>
  <c r="BM187" i="1"/>
  <c r="Y187" i="1"/>
  <c r="BP187" i="1" s="1"/>
  <c r="BO186" i="1"/>
  <c r="BM186" i="1"/>
  <c r="Z186" i="1"/>
  <c r="Y186" i="1"/>
  <c r="BN186" i="1" s="1"/>
  <c r="P186" i="1"/>
  <c r="BO185" i="1"/>
  <c r="BM185" i="1"/>
  <c r="Y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X168" i="1"/>
  <c r="X167" i="1"/>
  <c r="BO166" i="1"/>
  <c r="BM166" i="1"/>
  <c r="Y166" i="1"/>
  <c r="Y168" i="1" s="1"/>
  <c r="P166" i="1"/>
  <c r="X164" i="1"/>
  <c r="X163" i="1"/>
  <c r="BO162" i="1"/>
  <c r="BM162" i="1"/>
  <c r="Y162" i="1"/>
  <c r="P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O156" i="1"/>
  <c r="BM156" i="1"/>
  <c r="Y156" i="1"/>
  <c r="P156" i="1"/>
  <c r="X153" i="1"/>
  <c r="X152" i="1"/>
  <c r="BO151" i="1"/>
  <c r="BM151" i="1"/>
  <c r="Y151" i="1"/>
  <c r="P151" i="1"/>
  <c r="BO150" i="1"/>
  <c r="BM150" i="1"/>
  <c r="Y150" i="1"/>
  <c r="Y152" i="1" s="1"/>
  <c r="P150" i="1"/>
  <c r="X148" i="1"/>
  <c r="X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BO134" i="1"/>
  <c r="BM134" i="1"/>
  <c r="Y134" i="1"/>
  <c r="Y137" i="1" s="1"/>
  <c r="P134" i="1"/>
  <c r="X132" i="1"/>
  <c r="X131" i="1"/>
  <c r="BO130" i="1"/>
  <c r="BM130" i="1"/>
  <c r="Y130" i="1"/>
  <c r="BO129" i="1"/>
  <c r="BM129" i="1"/>
  <c r="Y129" i="1"/>
  <c r="BP129" i="1" s="1"/>
  <c r="P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Y96" i="1"/>
  <c r="BP96" i="1" s="1"/>
  <c r="BO95" i="1"/>
  <c r="BM95" i="1"/>
  <c r="Y95" i="1"/>
  <c r="P95" i="1"/>
  <c r="BO94" i="1"/>
  <c r="BM94" i="1"/>
  <c r="Y94" i="1"/>
  <c r="BP94" i="1" s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P79" i="1"/>
  <c r="BO78" i="1"/>
  <c r="BM78" i="1"/>
  <c r="Y78" i="1"/>
  <c r="P78" i="1"/>
  <c r="BO77" i="1"/>
  <c r="BM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Y74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D573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X567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N22" i="1" l="1"/>
  <c r="BN30" i="1"/>
  <c r="BP162" i="1"/>
  <c r="BN162" i="1"/>
  <c r="Z162" i="1"/>
  <c r="BN187" i="1"/>
  <c r="BN190" i="1"/>
  <c r="Z190" i="1"/>
  <c r="BN232" i="1"/>
  <c r="Z232" i="1"/>
  <c r="BP242" i="1"/>
  <c r="BN242" i="1"/>
  <c r="Z242" i="1"/>
  <c r="BN256" i="1"/>
  <c r="Z256" i="1"/>
  <c r="BN283" i="1"/>
  <c r="BN289" i="1"/>
  <c r="BP310" i="1"/>
  <c r="BN310" i="1"/>
  <c r="Z310" i="1"/>
  <c r="Y320" i="1"/>
  <c r="Y319" i="1"/>
  <c r="BN318" i="1"/>
  <c r="BN326" i="1"/>
  <c r="BN344" i="1"/>
  <c r="Z344" i="1"/>
  <c r="BP441" i="1"/>
  <c r="BN441" i="1"/>
  <c r="Z441" i="1"/>
  <c r="BN482" i="1"/>
  <c r="Z482" i="1"/>
  <c r="BN527" i="1"/>
  <c r="Y25" i="1"/>
  <c r="BN28" i="1"/>
  <c r="Z50" i="1"/>
  <c r="BN50" i="1"/>
  <c r="Z65" i="1"/>
  <c r="BN65" i="1"/>
  <c r="Z77" i="1"/>
  <c r="BN77" i="1"/>
  <c r="Y82" i="1"/>
  <c r="Z93" i="1"/>
  <c r="BN93" i="1"/>
  <c r="Z94" i="1"/>
  <c r="BN94" i="1"/>
  <c r="Y101" i="1"/>
  <c r="Z97" i="1"/>
  <c r="BN97" i="1"/>
  <c r="Z98" i="1"/>
  <c r="BN98" i="1"/>
  <c r="Z134" i="1"/>
  <c r="BN134" i="1"/>
  <c r="BP134" i="1"/>
  <c r="Z135" i="1"/>
  <c r="Z136" i="1" s="1"/>
  <c r="BN135" i="1"/>
  <c r="Y136" i="1"/>
  <c r="Z140" i="1"/>
  <c r="BN140" i="1"/>
  <c r="BP151" i="1"/>
  <c r="BN151" i="1"/>
  <c r="Z151" i="1"/>
  <c r="BP183" i="1"/>
  <c r="BN183" i="1"/>
  <c r="Z183" i="1"/>
  <c r="BP190" i="1"/>
  <c r="BP232" i="1"/>
  <c r="BP234" i="1"/>
  <c r="BN234" i="1"/>
  <c r="Z234" i="1"/>
  <c r="BN240" i="1"/>
  <c r="Z240" i="1"/>
  <c r="BP256" i="1"/>
  <c r="BP267" i="1"/>
  <c r="BN267" i="1"/>
  <c r="Z267" i="1"/>
  <c r="BN297" i="1"/>
  <c r="BN308" i="1"/>
  <c r="Z308" i="1"/>
  <c r="Y324" i="1"/>
  <c r="Z322" i="1"/>
  <c r="Z323" i="1" s="1"/>
  <c r="BN337" i="1"/>
  <c r="Z337" i="1"/>
  <c r="BP344" i="1"/>
  <c r="BN349" i="1"/>
  <c r="BP371" i="1"/>
  <c r="BN371" i="1"/>
  <c r="Z371" i="1"/>
  <c r="BP379" i="1"/>
  <c r="BN379" i="1"/>
  <c r="Z379" i="1"/>
  <c r="BN389" i="1"/>
  <c r="BP415" i="1"/>
  <c r="BN415" i="1"/>
  <c r="Z415" i="1"/>
  <c r="BN439" i="1"/>
  <c r="Z439" i="1"/>
  <c r="BP482" i="1"/>
  <c r="BP484" i="1"/>
  <c r="BN484" i="1"/>
  <c r="Z484" i="1"/>
  <c r="BP490" i="1"/>
  <c r="BN490" i="1"/>
  <c r="Z490" i="1"/>
  <c r="BP509" i="1"/>
  <c r="BN509" i="1"/>
  <c r="Z509" i="1"/>
  <c r="BN515" i="1"/>
  <c r="Z515" i="1"/>
  <c r="BP186" i="1"/>
  <c r="BP195" i="1"/>
  <c r="BP201" i="1"/>
  <c r="BP217" i="1"/>
  <c r="BP219" i="1"/>
  <c r="BN221" i="1"/>
  <c r="BN236" i="1"/>
  <c r="BP248" i="1"/>
  <c r="BP271" i="1"/>
  <c r="Y285" i="1"/>
  <c r="BP279" i="1"/>
  <c r="BP293" i="1"/>
  <c r="BN312" i="1"/>
  <c r="Y329" i="1"/>
  <c r="BP353" i="1"/>
  <c r="BN364" i="1"/>
  <c r="BN373" i="1"/>
  <c r="BN381" i="1"/>
  <c r="BN395" i="1"/>
  <c r="BN409" i="1"/>
  <c r="BP422" i="1"/>
  <c r="BP429" i="1"/>
  <c r="BN435" i="1"/>
  <c r="BP447" i="1"/>
  <c r="BN459" i="1"/>
  <c r="BP464" i="1"/>
  <c r="BN486" i="1"/>
  <c r="BN501" i="1"/>
  <c r="BN511" i="1"/>
  <c r="BP531" i="1"/>
  <c r="BN560" i="1"/>
  <c r="Z28" i="1"/>
  <c r="Z38" i="1"/>
  <c r="BP38" i="1"/>
  <c r="Z48" i="1"/>
  <c r="BP48" i="1"/>
  <c r="Z55" i="1"/>
  <c r="BP55" i="1"/>
  <c r="BN59" i="1"/>
  <c r="BN67" i="1"/>
  <c r="BN73" i="1"/>
  <c r="Y179" i="1"/>
  <c r="BN177" i="1"/>
  <c r="BP177" i="1"/>
  <c r="Z177" i="1"/>
  <c r="BN238" i="1"/>
  <c r="BP238" i="1"/>
  <c r="Z238" i="1"/>
  <c r="BN314" i="1"/>
  <c r="BP314" i="1"/>
  <c r="Z314" i="1"/>
  <c r="BN397" i="1"/>
  <c r="BP397" i="1"/>
  <c r="Z397" i="1"/>
  <c r="BN513" i="1"/>
  <c r="BP513" i="1"/>
  <c r="Z513" i="1"/>
  <c r="BN521" i="1"/>
  <c r="BP521" i="1"/>
  <c r="Z521" i="1"/>
  <c r="BP79" i="1"/>
  <c r="Z79" i="1"/>
  <c r="BN109" i="1"/>
  <c r="BP109" i="1"/>
  <c r="Z109" i="1"/>
  <c r="BN126" i="1"/>
  <c r="BP126" i="1"/>
  <c r="Z126" i="1"/>
  <c r="BN156" i="1"/>
  <c r="BP156" i="1"/>
  <c r="Z156" i="1"/>
  <c r="BN193" i="1"/>
  <c r="BP193" i="1"/>
  <c r="Z193" i="1"/>
  <c r="BN199" i="1"/>
  <c r="BP199" i="1"/>
  <c r="Z199" i="1"/>
  <c r="Y207" i="1"/>
  <c r="Y206" i="1"/>
  <c r="BN205" i="1"/>
  <c r="BP205" i="1"/>
  <c r="Z205" i="1"/>
  <c r="Z206" i="1" s="1"/>
  <c r="BN215" i="1"/>
  <c r="BP215" i="1"/>
  <c r="Z215" i="1"/>
  <c r="BN277" i="1"/>
  <c r="BP277" i="1"/>
  <c r="Z277" i="1"/>
  <c r="BN291" i="1"/>
  <c r="BP291" i="1"/>
  <c r="Z291" i="1"/>
  <c r="BN391" i="1"/>
  <c r="BP391" i="1"/>
  <c r="Z391" i="1"/>
  <c r="BN427" i="1"/>
  <c r="Y430" i="1"/>
  <c r="BP427" i="1"/>
  <c r="Z427" i="1"/>
  <c r="BN453" i="1"/>
  <c r="BP453" i="1"/>
  <c r="Z453" i="1"/>
  <c r="Y62" i="1"/>
  <c r="Z59" i="1"/>
  <c r="Y68" i="1"/>
  <c r="Z67" i="1"/>
  <c r="Y75" i="1"/>
  <c r="Z73" i="1"/>
  <c r="Y81" i="1"/>
  <c r="BN230" i="1"/>
  <c r="BP230" i="1"/>
  <c r="Z230" i="1"/>
  <c r="BN335" i="1"/>
  <c r="BP335" i="1"/>
  <c r="Z335" i="1"/>
  <c r="BN342" i="1"/>
  <c r="Y345" i="1"/>
  <c r="BP342" i="1"/>
  <c r="Z342" i="1"/>
  <c r="BN383" i="1"/>
  <c r="BP383" i="1"/>
  <c r="Z383" i="1"/>
  <c r="BN437" i="1"/>
  <c r="BP437" i="1"/>
  <c r="Z437" i="1"/>
  <c r="Z22" i="1"/>
  <c r="Y33" i="1"/>
  <c r="Z30" i="1"/>
  <c r="C573" i="1"/>
  <c r="BN79" i="1"/>
  <c r="BN130" i="1"/>
  <c r="BP130" i="1"/>
  <c r="Z130" i="1"/>
  <c r="BN171" i="1"/>
  <c r="BP171" i="1"/>
  <c r="Z171" i="1"/>
  <c r="BN328" i="1"/>
  <c r="BP328" i="1"/>
  <c r="Z328" i="1"/>
  <c r="BN351" i="1"/>
  <c r="BP351" i="1"/>
  <c r="Z351" i="1"/>
  <c r="BN357" i="1"/>
  <c r="BP357" i="1"/>
  <c r="Z357" i="1"/>
  <c r="BN403" i="1"/>
  <c r="BP403" i="1"/>
  <c r="Z403" i="1"/>
  <c r="BN529" i="1"/>
  <c r="BP529" i="1"/>
  <c r="Z529" i="1"/>
  <c r="BN555" i="1"/>
  <c r="BP555" i="1"/>
  <c r="Z555" i="1"/>
  <c r="F573" i="1"/>
  <c r="BN89" i="1"/>
  <c r="BN105" i="1"/>
  <c r="BN110" i="1"/>
  <c r="BN118" i="1"/>
  <c r="BN125" i="1"/>
  <c r="BN129" i="1"/>
  <c r="BN145" i="1"/>
  <c r="BN160" i="1"/>
  <c r="BN166" i="1"/>
  <c r="Y167" i="1"/>
  <c r="BN192" i="1"/>
  <c r="BN209" i="1"/>
  <c r="Y210" i="1"/>
  <c r="BN226" i="1"/>
  <c r="Y227" i="1"/>
  <c r="Y339" i="1"/>
  <c r="Y367" i="1"/>
  <c r="Y405" i="1"/>
  <c r="Y412" i="1"/>
  <c r="G573" i="1"/>
  <c r="Z187" i="1"/>
  <c r="Z221" i="1"/>
  <c r="Z236" i="1"/>
  <c r="M573" i="1"/>
  <c r="BN271" i="1"/>
  <c r="Y274" i="1"/>
  <c r="Z283" i="1"/>
  <c r="Y299" i="1"/>
  <c r="Z289" i="1"/>
  <c r="Z297" i="1"/>
  <c r="Z312" i="1"/>
  <c r="Z318" i="1"/>
  <c r="Z319" i="1" s="1"/>
  <c r="BP318" i="1"/>
  <c r="BN322" i="1"/>
  <c r="Y323" i="1"/>
  <c r="Z326" i="1"/>
  <c r="Z333" i="1"/>
  <c r="BP333" i="1"/>
  <c r="Z349" i="1"/>
  <c r="Z364" i="1"/>
  <c r="Z373" i="1"/>
  <c r="Z381" i="1"/>
  <c r="Z389" i="1"/>
  <c r="Z395" i="1"/>
  <c r="Z401" i="1"/>
  <c r="BP401" i="1"/>
  <c r="Z409" i="1"/>
  <c r="Z435" i="1"/>
  <c r="Z459" i="1"/>
  <c r="Z486" i="1"/>
  <c r="Z501" i="1"/>
  <c r="Z511" i="1"/>
  <c r="Z527" i="1"/>
  <c r="Z89" i="1"/>
  <c r="Y100" i="1"/>
  <c r="Z105" i="1"/>
  <c r="Z110" i="1"/>
  <c r="Y121" i="1"/>
  <c r="Z118" i="1"/>
  <c r="Y131" i="1"/>
  <c r="Z125" i="1"/>
  <c r="Z129" i="1"/>
  <c r="Z145" i="1"/>
  <c r="Z160" i="1"/>
  <c r="Z166" i="1"/>
  <c r="Z167" i="1" s="1"/>
  <c r="BP166" i="1"/>
  <c r="Y174" i="1"/>
  <c r="Z192" i="1"/>
  <c r="Y202" i="1"/>
  <c r="Z209" i="1"/>
  <c r="Z210" i="1" s="1"/>
  <c r="BP209" i="1"/>
  <c r="Z226" i="1"/>
  <c r="Z227" i="1" s="1"/>
  <c r="Z560" i="1"/>
  <c r="Z561" i="1" s="1"/>
  <c r="BP560" i="1"/>
  <c r="H9" i="1"/>
  <c r="A10" i="1"/>
  <c r="B573" i="1"/>
  <c r="X564" i="1"/>
  <c r="X565" i="1"/>
  <c r="Z23" i="1"/>
  <c r="Z24" i="1" s="1"/>
  <c r="BN23" i="1"/>
  <c r="BP23" i="1"/>
  <c r="Y24" i="1"/>
  <c r="X563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3" i="1"/>
  <c r="Z56" i="1"/>
  <c r="BN56" i="1"/>
  <c r="BP56" i="1"/>
  <c r="Z58" i="1"/>
  <c r="BN58" i="1"/>
  <c r="Z60" i="1"/>
  <c r="BN60" i="1"/>
  <c r="Y61" i="1"/>
  <c r="Z64" i="1"/>
  <c r="BN64" i="1"/>
  <c r="BP64" i="1"/>
  <c r="Z66" i="1"/>
  <c r="BN66" i="1"/>
  <c r="Y69" i="1"/>
  <c r="Z72" i="1"/>
  <c r="Z74" i="1" s="1"/>
  <c r="BN72" i="1"/>
  <c r="BP72" i="1"/>
  <c r="Z78" i="1"/>
  <c r="BN78" i="1"/>
  <c r="BP78" i="1"/>
  <c r="Z80" i="1"/>
  <c r="BN80" i="1"/>
  <c r="Z85" i="1"/>
  <c r="BN85" i="1"/>
  <c r="BP85" i="1"/>
  <c r="Z88" i="1"/>
  <c r="BN88" i="1"/>
  <c r="Y91" i="1"/>
  <c r="Z95" i="1"/>
  <c r="BN95" i="1"/>
  <c r="BP95" i="1"/>
  <c r="Z96" i="1"/>
  <c r="BN96" i="1"/>
  <c r="Z99" i="1"/>
  <c r="BN99" i="1"/>
  <c r="Z104" i="1"/>
  <c r="BN104" i="1"/>
  <c r="BP104" i="1"/>
  <c r="Z106" i="1"/>
  <c r="BN106" i="1"/>
  <c r="Z108" i="1"/>
  <c r="BN108" i="1"/>
  <c r="Z111" i="1"/>
  <c r="BN111" i="1"/>
  <c r="Y112" i="1"/>
  <c r="Z115" i="1"/>
  <c r="BN115" i="1"/>
  <c r="BP115" i="1"/>
  <c r="Z117" i="1"/>
  <c r="BN117" i="1"/>
  <c r="Z119" i="1"/>
  <c r="BN119" i="1"/>
  <c r="Y120" i="1"/>
  <c r="Z123" i="1"/>
  <c r="BN123" i="1"/>
  <c r="BP123" i="1"/>
  <c r="Z124" i="1"/>
  <c r="BN124" i="1"/>
  <c r="Z127" i="1"/>
  <c r="BN127" i="1"/>
  <c r="Z128" i="1"/>
  <c r="BN128" i="1"/>
  <c r="Y132" i="1"/>
  <c r="H573" i="1"/>
  <c r="Y143" i="1"/>
  <c r="Z141" i="1"/>
  <c r="Z142" i="1" s="1"/>
  <c r="BN141" i="1"/>
  <c r="Y142" i="1"/>
  <c r="Y147" i="1"/>
  <c r="BP157" i="1"/>
  <c r="BN157" i="1"/>
  <c r="Z157" i="1"/>
  <c r="BP161" i="1"/>
  <c r="BN161" i="1"/>
  <c r="Z161" i="1"/>
  <c r="BP178" i="1"/>
  <c r="BN178" i="1"/>
  <c r="Z178" i="1"/>
  <c r="Z179" i="1" s="1"/>
  <c r="Y180" i="1"/>
  <c r="Y197" i="1"/>
  <c r="BP182" i="1"/>
  <c r="BN182" i="1"/>
  <c r="Z182" i="1"/>
  <c r="BP185" i="1"/>
  <c r="BN185" i="1"/>
  <c r="Z185" i="1"/>
  <c r="BP189" i="1"/>
  <c r="BN189" i="1"/>
  <c r="Z189" i="1"/>
  <c r="BP194" i="1"/>
  <c r="BN194" i="1"/>
  <c r="Z194" i="1"/>
  <c r="Y203" i="1"/>
  <c r="BP216" i="1"/>
  <c r="BN216" i="1"/>
  <c r="Z216" i="1"/>
  <c r="BP220" i="1"/>
  <c r="BN220" i="1"/>
  <c r="Z220" i="1"/>
  <c r="Y244" i="1"/>
  <c r="BP233" i="1"/>
  <c r="BN233" i="1"/>
  <c r="Z233" i="1"/>
  <c r="BP237" i="1"/>
  <c r="BN237" i="1"/>
  <c r="Z237" i="1"/>
  <c r="BP241" i="1"/>
  <c r="BN241" i="1"/>
  <c r="Z241" i="1"/>
  <c r="BP249" i="1"/>
  <c r="BN249" i="1"/>
  <c r="Z249" i="1"/>
  <c r="BP257" i="1"/>
  <c r="BN257" i="1"/>
  <c r="Z257" i="1"/>
  <c r="F9" i="1"/>
  <c r="J9" i="1"/>
  <c r="Y43" i="1"/>
  <c r="Y51" i="1"/>
  <c r="Y90" i="1"/>
  <c r="Y113" i="1"/>
  <c r="BP146" i="1"/>
  <c r="BN146" i="1"/>
  <c r="Z146" i="1"/>
  <c r="Z147" i="1" s="1"/>
  <c r="Y148" i="1"/>
  <c r="Y153" i="1"/>
  <c r="BP150" i="1"/>
  <c r="BN150" i="1"/>
  <c r="Z150" i="1"/>
  <c r="Z152" i="1" s="1"/>
  <c r="BP159" i="1"/>
  <c r="BN159" i="1"/>
  <c r="Z159" i="1"/>
  <c r="Y163" i="1"/>
  <c r="BP172" i="1"/>
  <c r="BN172" i="1"/>
  <c r="Z172" i="1"/>
  <c r="Z174" i="1" s="1"/>
  <c r="BP184" i="1"/>
  <c r="BN184" i="1"/>
  <c r="Z184" i="1"/>
  <c r="BP188" i="1"/>
  <c r="BN188" i="1"/>
  <c r="Z188" i="1"/>
  <c r="BP191" i="1"/>
  <c r="BN191" i="1"/>
  <c r="Z191" i="1"/>
  <c r="Y196" i="1"/>
  <c r="BP200" i="1"/>
  <c r="BN200" i="1"/>
  <c r="Z200" i="1"/>
  <c r="Z202" i="1" s="1"/>
  <c r="BP218" i="1"/>
  <c r="BN218" i="1"/>
  <c r="Z218" i="1"/>
  <c r="Z222" i="1" s="1"/>
  <c r="Y222" i="1"/>
  <c r="BP231" i="1"/>
  <c r="BN231" i="1"/>
  <c r="Z231" i="1"/>
  <c r="BP235" i="1"/>
  <c r="BN235" i="1"/>
  <c r="Z235" i="1"/>
  <c r="BP239" i="1"/>
  <c r="BN239" i="1"/>
  <c r="Z239" i="1"/>
  <c r="BP243" i="1"/>
  <c r="BN243" i="1"/>
  <c r="Z243" i="1"/>
  <c r="Y245" i="1"/>
  <c r="Y252" i="1"/>
  <c r="BP247" i="1"/>
  <c r="BN247" i="1"/>
  <c r="Z247" i="1"/>
  <c r="BP251" i="1"/>
  <c r="BN251" i="1"/>
  <c r="Z251" i="1"/>
  <c r="Y253" i="1"/>
  <c r="Y259" i="1"/>
  <c r="Y258" i="1"/>
  <c r="BP255" i="1"/>
  <c r="BN255" i="1"/>
  <c r="Z255" i="1"/>
  <c r="Z258" i="1" s="1"/>
  <c r="I573" i="1"/>
  <c r="Y164" i="1"/>
  <c r="J573" i="1"/>
  <c r="Y175" i="1"/>
  <c r="K573" i="1"/>
  <c r="Y223" i="1"/>
  <c r="L573" i="1"/>
  <c r="Y228" i="1"/>
  <c r="Z261" i="1"/>
  <c r="Z262" i="1" s="1"/>
  <c r="BN261" i="1"/>
  <c r="BP261" i="1"/>
  <c r="Y262" i="1"/>
  <c r="Z266" i="1"/>
  <c r="Z268" i="1" s="1"/>
  <c r="BN266" i="1"/>
  <c r="BP266" i="1"/>
  <c r="Y269" i="1"/>
  <c r="Z272" i="1"/>
  <c r="Z273" i="1" s="1"/>
  <c r="BN272" i="1"/>
  <c r="BP272" i="1"/>
  <c r="Z276" i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Y330" i="1"/>
  <c r="BP334" i="1"/>
  <c r="BN334" i="1"/>
  <c r="Z334" i="1"/>
  <c r="Y338" i="1"/>
  <c r="BP343" i="1"/>
  <c r="BN343" i="1"/>
  <c r="Z343" i="1"/>
  <c r="Z345" i="1" s="1"/>
  <c r="BP352" i="1"/>
  <c r="BN352" i="1"/>
  <c r="Z352" i="1"/>
  <c r="Y359" i="1"/>
  <c r="BP365" i="1"/>
  <c r="BN365" i="1"/>
  <c r="Z365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BP402" i="1"/>
  <c r="BN402" i="1"/>
  <c r="Z402" i="1"/>
  <c r="BP410" i="1"/>
  <c r="BN410" i="1"/>
  <c r="Z410" i="1"/>
  <c r="Y417" i="1"/>
  <c r="BP414" i="1"/>
  <c r="BN414" i="1"/>
  <c r="Z414" i="1"/>
  <c r="Z430" i="1"/>
  <c r="BP428" i="1"/>
  <c r="BN428" i="1"/>
  <c r="Z428" i="1"/>
  <c r="BP438" i="1"/>
  <c r="BN438" i="1"/>
  <c r="Z438" i="1"/>
  <c r="Y268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Y315" i="1"/>
  <c r="BP327" i="1"/>
  <c r="BN327" i="1"/>
  <c r="Z327" i="1"/>
  <c r="BP336" i="1"/>
  <c r="BN336" i="1"/>
  <c r="Z336" i="1"/>
  <c r="Z338" i="1" s="1"/>
  <c r="BP350" i="1"/>
  <c r="BN350" i="1"/>
  <c r="Z350" i="1"/>
  <c r="Y354" i="1"/>
  <c r="BP358" i="1"/>
  <c r="BN358" i="1"/>
  <c r="Z358" i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86" i="1"/>
  <c r="Y393" i="1"/>
  <c r="BP388" i="1"/>
  <c r="BN388" i="1"/>
  <c r="Z388" i="1"/>
  <c r="Y392" i="1"/>
  <c r="BP396" i="1"/>
  <c r="BN396" i="1"/>
  <c r="Z396" i="1"/>
  <c r="BP404" i="1"/>
  <c r="BN404" i="1"/>
  <c r="Z404" i="1"/>
  <c r="Y406" i="1"/>
  <c r="Y411" i="1"/>
  <c r="BP408" i="1"/>
  <c r="BN408" i="1"/>
  <c r="Z408" i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X573" i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244" i="1" l="1"/>
  <c r="Z523" i="1"/>
  <c r="Z460" i="1"/>
  <c r="Z411" i="1"/>
  <c r="Z398" i="1"/>
  <c r="Z392" i="1"/>
  <c r="Z359" i="1"/>
  <c r="Z354" i="1"/>
  <c r="Z329" i="1"/>
  <c r="Z315" i="1"/>
  <c r="Z90" i="1"/>
  <c r="Z100" i="1"/>
  <c r="Z68" i="1"/>
  <c r="Z61" i="1"/>
  <c r="Z163" i="1"/>
  <c r="Z487" i="1"/>
  <c r="Z443" i="1"/>
  <c r="Z284" i="1"/>
  <c r="Y565" i="1"/>
  <c r="Y564" i="1"/>
  <c r="Z366" i="1"/>
  <c r="Y563" i="1"/>
  <c r="Z81" i="1"/>
  <c r="Z517" i="1"/>
  <c r="Z503" i="1"/>
  <c r="Z455" i="1"/>
  <c r="Z405" i="1"/>
  <c r="Z385" i="1"/>
  <c r="Z375" i="1"/>
  <c r="X566" i="1"/>
  <c r="Z533" i="1"/>
  <c r="Z476" i="1"/>
  <c r="Z417" i="1"/>
  <c r="Z299" i="1"/>
  <c r="Z252" i="1"/>
  <c r="Z196" i="1"/>
  <c r="Z131" i="1"/>
  <c r="Z120" i="1"/>
  <c r="Z112" i="1"/>
  <c r="Z51" i="1"/>
  <c r="Z42" i="1"/>
  <c r="Z32" i="1"/>
  <c r="Z568" i="1" s="1"/>
  <c r="Y567" i="1"/>
  <c r="Y566" i="1" l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<sst xmlns="http://schemas.openxmlformats.org/spreadsheetml/2006/main" count="2590" uniqueCount="927">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</sst>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46277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899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Суббота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5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0.45833333333333331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149</v>
      </c>
      <c r="Y47" s="652">
        <f>IFERROR(IF(X47="",0,CEILING((X47/$H47),1)*$H47),"")</f>
        <v>151.20000000000002</v>
      </c>
      <c r="Z47" s="36">
        <f>IFERROR(IF(Y47=0,"",ROUNDUP(Y47/H47,0)*0.01898),"")</f>
        <v>0.26572000000000001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154.65648148148148</v>
      </c>
      <c r="BN47" s="64">
        <f>IFERROR(Y47*I47/H47,"0")</f>
        <v>156.94</v>
      </c>
      <c r="BO47" s="64">
        <f>IFERROR(1/J47*(X47/H47),"0")</f>
        <v>0.21556712962962962</v>
      </c>
      <c r="BP47" s="64">
        <f>IFERROR(1/J47*(Y47/H47),"0")</f>
        <v>0.21875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13.796296296296296</v>
      </c>
      <c r="Y51" s="653">
        <f>IFERROR(Y47/H47,"0")+IFERROR(Y48/H48,"0")+IFERROR(Y49/H49,"0")+IFERROR(Y50/H50,"0")</f>
        <v>14</v>
      </c>
      <c r="Z51" s="653">
        <f>IFERROR(IF(Z47="",0,Z47),"0")+IFERROR(IF(Z48="",0,Z48),"0")+IFERROR(IF(Z49="",0,Z49),"0")+IFERROR(IF(Z50="",0,Z50),"0")</f>
        <v>0.26572000000000001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149</v>
      </c>
      <c r="Y52" s="653">
        <f>IFERROR(SUM(Y47:Y50),"0")</f>
        <v>151.20000000000002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38</v>
      </c>
      <c r="Y55" s="652">
        <f t="shared" ref="Y55:Y60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39.391071428571429</v>
      </c>
      <c r="BN55" s="64">
        <f t="shared" ref="BN55:BN60" si="2">IFERROR(Y55*I55/H55,"0")</f>
        <v>46.44</v>
      </c>
      <c r="BO55" s="64">
        <f t="shared" ref="BO55:BO60" si="3">IFERROR(1/J55*(X55/H55),"0")</f>
        <v>5.3013392857142863E-2</v>
      </c>
      <c r="BP55" s="64">
        <f t="shared" ref="BP55:BP60" si="4">IFERROR(1/J55*(Y55/H55),"0")</f>
        <v>6.25E-2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283</v>
      </c>
      <c r="Y56" s="652">
        <f t="shared" si="0"/>
        <v>291.60000000000002</v>
      </c>
      <c r="Z56" s="36">
        <f>IFERROR(IF(Y56=0,"",ROUNDUP(Y56/H56,0)*0.01898),"")</f>
        <v>0.51246000000000003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293.7435185185185</v>
      </c>
      <c r="BN56" s="64">
        <f t="shared" si="2"/>
        <v>302.67000000000007</v>
      </c>
      <c r="BO56" s="64">
        <f t="shared" si="3"/>
        <v>0.40943287037037035</v>
      </c>
      <c r="BP56" s="64">
        <f t="shared" si="4"/>
        <v>0.421875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29.596560846560845</v>
      </c>
      <c r="Y61" s="653">
        <f>IFERROR(Y55/H55,"0")+IFERROR(Y56/H56,"0")+IFERROR(Y57/H57,"0")+IFERROR(Y58/H58,"0")+IFERROR(Y59/H59,"0")+IFERROR(Y60/H60,"0")</f>
        <v>31</v>
      </c>
      <c r="Z61" s="653">
        <f>IFERROR(IF(Z55="",0,Z55),"0")+IFERROR(IF(Z56="",0,Z56),"0")+IFERROR(IF(Z57="",0,Z57),"0")+IFERROR(IF(Z58="",0,Z58),"0")+IFERROR(IF(Z59="",0,Z59),"0")+IFERROR(IF(Z60="",0,Z60),"0")</f>
        <v>0.58838000000000001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321</v>
      </c>
      <c r="Y62" s="653">
        <f>IFERROR(SUM(Y55:Y60),"0")</f>
        <v>336.40000000000003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hidden="1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353</v>
      </c>
      <c r="Y85" s="652">
        <f>IFERROR(IF(X85="",0,CEILING((X85/$H85),1)*$H85),"")</f>
        <v>356.40000000000003</v>
      </c>
      <c r="Z85" s="36">
        <f>IFERROR(IF(Y85=0,"",ROUNDUP(Y85/H85,0)*0.01898),"")</f>
        <v>0.62634000000000001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366.40092592592589</v>
      </c>
      <c r="BN85" s="64">
        <f>IFERROR(Y85*I85/H85,"0")</f>
        <v>369.93</v>
      </c>
      <c r="BO85" s="64">
        <f>IFERROR(1/J85*(X85/H85),"0")</f>
        <v>0.51070601851851849</v>
      </c>
      <c r="BP85" s="64">
        <f>IFERROR(1/J85*(Y85/H85),"0")</f>
        <v>0.515625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13</v>
      </c>
      <c r="Y86" s="652">
        <f>IFERROR(IF(X86="",0,CEILING((X86/$H86),1)*$H86),"")</f>
        <v>13.6</v>
      </c>
      <c r="Z86" s="36">
        <f>IFERROR(IF(Y86=0,"",ROUNDUP(Y86/H86,0)*0.00726),"")</f>
        <v>5.808E-2</v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13.764705882352942</v>
      </c>
      <c r="BN86" s="64">
        <f>IFERROR(Y86*I86/H86,"0")</f>
        <v>14.4</v>
      </c>
      <c r="BO86" s="64">
        <f>IFERROR(1/J86*(X86/H86),"0")</f>
        <v>3.9828431372549017E-2</v>
      </c>
      <c r="BP86" s="64">
        <f>IFERROR(1/J86*(Y86/H86),"0")</f>
        <v>4.1666666666666664E-2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48</v>
      </c>
      <c r="Y89" s="652">
        <f>IFERROR(IF(X89="",0,CEILING((X89/$H89),1)*$H89),"")</f>
        <v>49.5</v>
      </c>
      <c r="Z89" s="36">
        <f>IFERROR(IF(Y89=0,"",ROUNDUP(Y89/H89,0)*0.00902),"")</f>
        <v>9.9220000000000003E-2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50.026666666666671</v>
      </c>
      <c r="BN89" s="64">
        <f>IFERROR(Y89*I89/H89,"0")</f>
        <v>51.59</v>
      </c>
      <c r="BO89" s="64">
        <f>IFERROR(1/J89*(X89/H89),"0")</f>
        <v>8.0808080808080801E-2</v>
      </c>
      <c r="BP89" s="64">
        <f>IFERROR(1/J89*(Y89/H89),"0")</f>
        <v>8.3333333333333343E-2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50.998910675381261</v>
      </c>
      <c r="Y90" s="653">
        <f>IFERROR(Y85/H85,"0")+IFERROR(Y86/H86,"0")+IFERROR(Y87/H87,"0")+IFERROR(Y88/H88,"0")+IFERROR(Y89/H89,"0")</f>
        <v>52</v>
      </c>
      <c r="Z90" s="653">
        <f>IFERROR(IF(Z85="",0,Z85),"0")+IFERROR(IF(Z86="",0,Z86),"0")+IFERROR(IF(Z87="",0,Z87),"0")+IFERROR(IF(Z88="",0,Z88),"0")+IFERROR(IF(Z89="",0,Z89),"0")</f>
        <v>0.78364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414</v>
      </c>
      <c r="Y91" s="653">
        <f>IFERROR(SUM(Y85:Y89),"0")</f>
        <v>419.50000000000006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353</v>
      </c>
      <c r="Y93" s="652">
        <f t="shared" ref="Y93:Y99" si="5">IFERROR(IF(X93="",0,CEILING((X93/$H93),1)*$H93),"")</f>
        <v>356.4</v>
      </c>
      <c r="Z93" s="36">
        <f>IFERROR(IF(Y93=0,"",ROUNDUP(Y93/H93,0)*0.01898),"")</f>
        <v>0.83511999999999997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374.52864197530863</v>
      </c>
      <c r="BN93" s="64">
        <f t="shared" ref="BN93:BN99" si="7">IFERROR(Y93*I93/H93,"0")</f>
        <v>378.13599999999997</v>
      </c>
      <c r="BO93" s="64">
        <f t="shared" ref="BO93:BO99" si="8">IFERROR(1/J93*(X93/H93),"0")</f>
        <v>0.68094135802469136</v>
      </c>
      <c r="BP93" s="64">
        <f t="shared" ref="BP93:BP99" si="9">IFERROR(1/J93*(Y93/H93),"0")</f>
        <v>0.6875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hidden="1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43.580246913580247</v>
      </c>
      <c r="Y100" s="653">
        <f>IFERROR(Y93/H93,"0")+IFERROR(Y94/H94,"0")+IFERROR(Y95/H95,"0")+IFERROR(Y96/H96,"0")+IFERROR(Y97/H97,"0")+IFERROR(Y98/H98,"0")+IFERROR(Y99/H99,"0")</f>
        <v>44</v>
      </c>
      <c r="Z100" s="653">
        <f>IFERROR(IF(Z93="",0,Z93),"0")+IFERROR(IF(Z94="",0,Z94),"0")+IFERROR(IF(Z95="",0,Z95),"0")+IFERROR(IF(Z96="",0,Z96),"0")+IFERROR(IF(Z97="",0,Z97),"0")+IFERROR(IF(Z98="",0,Z98),"0")+IFERROR(IF(Z99="",0,Z99),"0")</f>
        <v>0.83511999999999997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353</v>
      </c>
      <c r="Y101" s="653">
        <f>IFERROR(SUM(Y93:Y99),"0")</f>
        <v>356.4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hidden="1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19</v>
      </c>
      <c r="Y105" s="652">
        <f t="shared" si="10"/>
        <v>19.8</v>
      </c>
      <c r="Z105" s="36">
        <f>IFERROR(IF(Y105=0,"",ROUNDUP(Y105/H105,0)*0.00726),"")</f>
        <v>0.13067999999999999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22.627272727272725</v>
      </c>
      <c r="BN105" s="64">
        <f t="shared" si="12"/>
        <v>23.580000000000002</v>
      </c>
      <c r="BO105" s="64">
        <f t="shared" si="13"/>
        <v>8.9962121212121188E-2</v>
      </c>
      <c r="BP105" s="64">
        <f t="shared" si="14"/>
        <v>9.375E-2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104</v>
      </c>
      <c r="Y109" s="652">
        <f t="shared" si="10"/>
        <v>108</v>
      </c>
      <c r="Z109" s="36">
        <f>IFERROR(IF(Y109=0,"",ROUNDUP(Y109/H109,0)*0.00902),"")</f>
        <v>0.21648000000000001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108.39111111111112</v>
      </c>
      <c r="BN109" s="64">
        <f t="shared" si="12"/>
        <v>112.56</v>
      </c>
      <c r="BO109" s="64">
        <f t="shared" si="13"/>
        <v>0.17508417508417509</v>
      </c>
      <c r="BP109" s="64">
        <f t="shared" si="14"/>
        <v>0.18181818181818182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40.383838383838381</v>
      </c>
      <c r="Y112" s="653">
        <f>IFERROR(Y104/H104,"0")+IFERROR(Y105/H105,"0")+IFERROR(Y106/H106,"0")+IFERROR(Y107/H107,"0")+IFERROR(Y108/H108,"0")+IFERROR(Y109/H109,"0")+IFERROR(Y110/H110,"0")+IFERROR(Y111/H111,"0")</f>
        <v>42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0.34716000000000002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123</v>
      </c>
      <c r="Y113" s="653">
        <f>IFERROR(SUM(Y104:Y111),"0")</f>
        <v>127.8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24</v>
      </c>
      <c r="Y119" s="652">
        <f>IFERROR(IF(X119="",0,CEILING((X119/$H119),1)*$H119),"")</f>
        <v>24</v>
      </c>
      <c r="Z119" s="36">
        <f>IFERROR(IF(Y119=0,"",ROUNDUP(Y119/H119,0)*0.00651),"")</f>
        <v>6.5100000000000005E-2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25.8</v>
      </c>
      <c r="BN119" s="64">
        <f>IFERROR(Y119*I119/H119,"0")</f>
        <v>25.8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10</v>
      </c>
      <c r="Y120" s="653">
        <f>IFERROR(Y115/H115,"0")+IFERROR(Y116/H116,"0")+IFERROR(Y117/H117,"0")+IFERROR(Y118/H118,"0")+IFERROR(Y119/H119,"0")</f>
        <v>10</v>
      </c>
      <c r="Z120" s="653">
        <f>IFERROR(IF(Z115="",0,Z115),"0")+IFERROR(IF(Z116="",0,Z116),"0")+IFERROR(IF(Z117="",0,Z117),"0")+IFERROR(IF(Z118="",0,Z118),"0")+IFERROR(IF(Z119="",0,Z119),"0")</f>
        <v>6.5100000000000005E-2</v>
      </c>
      <c r="AA120" s="654"/>
      <c r="AB120" s="654"/>
      <c r="AC120" s="654"/>
    </row>
    <row r="121" spans="1:68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24</v>
      </c>
      <c r="Y121" s="653">
        <f>IFERROR(SUM(Y115:Y119),"0")</f>
        <v>24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1130</v>
      </c>
      <c r="Y123" s="652">
        <f t="shared" ref="Y123:Y130" si="15">IFERROR(IF(X123="",0,CEILING((X123/$H123),1)*$H123),"")</f>
        <v>1134</v>
      </c>
      <c r="Z123" s="36">
        <f>IFERROR(IF(Y123=0,"",ROUNDUP(Y123/H123,0)*0.01898),"")</f>
        <v>2.6572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1198.0790123456788</v>
      </c>
      <c r="BN123" s="64">
        <f t="shared" ref="BN123:BN130" si="17">IFERROR(Y123*I123/H123,"0")</f>
        <v>1202.32</v>
      </c>
      <c r="BO123" s="64">
        <f t="shared" ref="BO123:BO130" si="18">IFERROR(1/J123*(X123/H123),"0")</f>
        <v>2.179783950617284</v>
      </c>
      <c r="BP123" s="64">
        <f t="shared" ref="BP123:BP130" si="19">IFERROR(1/J123*(Y123/H123),"0")</f>
        <v>2.1875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318</v>
      </c>
      <c r="Y127" s="652">
        <f t="shared" si="15"/>
        <v>318.60000000000002</v>
      </c>
      <c r="Z127" s="36">
        <f t="shared" si="20"/>
        <v>0.76817999999999997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347.67999999999995</v>
      </c>
      <c r="BN127" s="64">
        <f t="shared" si="17"/>
        <v>348.33599999999996</v>
      </c>
      <c r="BO127" s="64">
        <f t="shared" si="18"/>
        <v>0.64713064713064716</v>
      </c>
      <c r="BP127" s="64">
        <f t="shared" si="19"/>
        <v>0.64835164835164838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257.28395061728395</v>
      </c>
      <c r="Y131" s="653">
        <f>IFERROR(Y123/H123,"0")+IFERROR(Y124/H124,"0")+IFERROR(Y125/H125,"0")+IFERROR(Y126/H126,"0")+IFERROR(Y127/H127,"0")+IFERROR(Y128/H128,"0")+IFERROR(Y129/H129,"0")+IFERROR(Y130/H130,"0")</f>
        <v>258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3.4253800000000001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1448</v>
      </c>
      <c r="Y132" s="653">
        <f>IFERROR(SUM(Y123:Y130),"0")</f>
        <v>1452.6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12</v>
      </c>
      <c r="Y140" s="652">
        <f>IFERROR(IF(X140="",0,CEILING((X140/$H140),1)*$H140),"")</f>
        <v>12.8</v>
      </c>
      <c r="Z140" s="36">
        <f>IFERROR(IF(Y140=0,"",ROUNDUP(Y140/H140,0)*0.00651),"")</f>
        <v>2.6040000000000001E-2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12.675000000000001</v>
      </c>
      <c r="BN140" s="64">
        <f>IFERROR(Y140*I140/H140,"0")</f>
        <v>13.52</v>
      </c>
      <c r="BO140" s="64">
        <f>IFERROR(1/J140*(X140/H140),"0")</f>
        <v>2.0604395604395608E-2</v>
      </c>
      <c r="BP140" s="64">
        <f>IFERROR(1/J140*(Y140/H140),"0")</f>
        <v>2.197802197802198E-2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3.75</v>
      </c>
      <c r="Y142" s="653">
        <f>IFERROR(Y140/H140,"0")+IFERROR(Y141/H141,"0")</f>
        <v>4</v>
      </c>
      <c r="Z142" s="653">
        <f>IFERROR(IF(Z140="",0,Z140),"0")+IFERROR(IF(Z141="",0,Z141),"0")</f>
        <v>2.6040000000000001E-2</v>
      </c>
      <c r="AA142" s="654"/>
      <c r="AB142" s="654"/>
      <c r="AC142" s="654"/>
    </row>
    <row r="143" spans="1:68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12</v>
      </c>
      <c r="Y143" s="653">
        <f>IFERROR(SUM(Y140:Y141),"0")</f>
        <v>12.8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hidden="1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hidden="1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hidden="1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hidden="1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10</v>
      </c>
      <c r="Y171" s="652">
        <f>IFERROR(IF(X171="",0,CEILING((X171/$H171),1)*$H171),"")</f>
        <v>12</v>
      </c>
      <c r="Z171" s="36">
        <f>IFERROR(IF(Y171=0,"",ROUNDUP(Y171/H171,0)*0.01196),"")</f>
        <v>2.392E-2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10.583333333333334</v>
      </c>
      <c r="BN171" s="64">
        <f>IFERROR(Y171*I171/H171,"0")</f>
        <v>12.699999999999998</v>
      </c>
      <c r="BO171" s="64">
        <f>IFERROR(1/J171*(X171/H171),"0")</f>
        <v>1.6025641025641028E-2</v>
      </c>
      <c r="BP171" s="64">
        <f>IFERROR(1/J171*(Y171/H171),"0")</f>
        <v>1.9230769230769232E-2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1.6666666666666667</v>
      </c>
      <c r="Y174" s="653">
        <f>IFERROR(Y171/H171,"0")+IFERROR(Y172/H172,"0")+IFERROR(Y173/H173,"0")</f>
        <v>2</v>
      </c>
      <c r="Z174" s="653">
        <f>IFERROR(IF(Z171="",0,Z171),"0")+IFERROR(IF(Z172="",0,Z172),"0")+IFERROR(IF(Z173="",0,Z173),"0")</f>
        <v>2.392E-2</v>
      </c>
      <c r="AA174" s="654"/>
      <c r="AB174" s="654"/>
      <c r="AC174" s="654"/>
    </row>
    <row r="175" spans="1:68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10</v>
      </c>
      <c r="Y175" s="653">
        <f>IFERROR(SUM(Y171:Y173),"0")</f>
        <v>12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50</v>
      </c>
      <c r="Y182" s="652">
        <f t="shared" ref="Y182:Y195" si="27">IFERROR(IF(X182="",0,CEILING((X182/$H182),1)*$H182),"")</f>
        <v>52.5</v>
      </c>
      <c r="Z182" s="36">
        <f t="shared" ref="Z182:Z187" si="28">IFERROR(IF(Y182=0,"",ROUNDUP(Y182/H182,0)*0.00902),"")</f>
        <v>0.1353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52.714285714285715</v>
      </c>
      <c r="BN182" s="64">
        <f t="shared" ref="BN182:BN195" si="30">IFERROR(Y182*I182/H182,"0")</f>
        <v>55.35</v>
      </c>
      <c r="BO182" s="64">
        <f t="shared" ref="BO182:BO195" si="31">IFERROR(1/J182*(X182/H182),"0")</f>
        <v>0.10822510822510824</v>
      </c>
      <c r="BP182" s="64">
        <f t="shared" ref="BP182:BP195" si="32">IFERROR(1/J182*(Y182/H182),"0")</f>
        <v>0.11363636363636365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115</v>
      </c>
      <c r="Y184" s="652">
        <f t="shared" si="27"/>
        <v>115.5</v>
      </c>
      <c r="Z184" s="36">
        <f t="shared" si="28"/>
        <v>0.29766000000000004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121.24285714285713</v>
      </c>
      <c r="BN184" s="64">
        <f t="shared" si="30"/>
        <v>121.77</v>
      </c>
      <c r="BO184" s="64">
        <f t="shared" si="31"/>
        <v>0.2489177489177489</v>
      </c>
      <c r="BP184" s="64">
        <f t="shared" si="32"/>
        <v>0.25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500</v>
      </c>
      <c r="Y186" s="652">
        <f t="shared" si="27"/>
        <v>500.5</v>
      </c>
      <c r="Z186" s="36">
        <f t="shared" si="28"/>
        <v>1.28986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527.14285714285711</v>
      </c>
      <c r="BN186" s="64">
        <f t="shared" si="30"/>
        <v>527.66999999999996</v>
      </c>
      <c r="BO186" s="64">
        <f t="shared" si="31"/>
        <v>1.0822510822510822</v>
      </c>
      <c r="BP186" s="64">
        <f t="shared" si="32"/>
        <v>1.0833333333333333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13</v>
      </c>
      <c r="Y188" s="652">
        <f t="shared" si="27"/>
        <v>13.5</v>
      </c>
      <c r="Z188" s="36">
        <f>IFERROR(IF(Y188=0,"",ROUNDUP(Y188/H188,0)*0.00417),"")</f>
        <v>6.2549999999999994E-2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16.033333333333335</v>
      </c>
      <c r="BN188" s="64">
        <f t="shared" si="30"/>
        <v>16.650000000000002</v>
      </c>
      <c r="BO188" s="64">
        <f t="shared" si="31"/>
        <v>4.2989417989417987E-2</v>
      </c>
      <c r="BP188" s="64">
        <f t="shared" si="32"/>
        <v>4.4642857142857137E-2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196</v>
      </c>
      <c r="Y190" s="652">
        <f t="shared" si="27"/>
        <v>196.56</v>
      </c>
      <c r="Z190" s="36">
        <f>IFERROR(IF(Y190=0,"",ROUNDUP(Y190/H190,0)*0.00502),"")</f>
        <v>0.58733999999999997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207.66666666666669</v>
      </c>
      <c r="BN190" s="64">
        <f t="shared" si="30"/>
        <v>208.26000000000002</v>
      </c>
      <c r="BO190" s="64">
        <f t="shared" si="31"/>
        <v>0.49857549857549865</v>
      </c>
      <c r="BP190" s="64">
        <f t="shared" si="32"/>
        <v>0.5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10</v>
      </c>
      <c r="Y191" s="652">
        <f t="shared" si="27"/>
        <v>10.8</v>
      </c>
      <c r="Z191" s="36">
        <f>IFERROR(IF(Y191=0,"",ROUNDUP(Y191/H191,0)*0.00417),"")</f>
        <v>5.0040000000000001E-2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12.333333333333334</v>
      </c>
      <c r="BN191" s="64">
        <f t="shared" si="30"/>
        <v>13.32</v>
      </c>
      <c r="BO191" s="64">
        <f t="shared" si="31"/>
        <v>3.3068783068783067E-2</v>
      </c>
      <c r="BP191" s="64">
        <f t="shared" si="32"/>
        <v>3.5714285714285712E-2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12</v>
      </c>
      <c r="Y194" s="652">
        <f t="shared" si="27"/>
        <v>12.6</v>
      </c>
      <c r="Z194" s="36">
        <f>IFERROR(IF(Y194=0,"",ROUNDUP(Y194/H194,0)*0.00417),"")</f>
        <v>5.8380000000000001E-2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13.333333333333332</v>
      </c>
      <c r="BN194" s="64">
        <f t="shared" si="30"/>
        <v>14</v>
      </c>
      <c r="BO194" s="64">
        <f t="shared" si="31"/>
        <v>3.9682539682539673E-2</v>
      </c>
      <c r="BP194" s="64">
        <f t="shared" si="32"/>
        <v>4.1666666666666664E-2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196</v>
      </c>
      <c r="Y195" s="652">
        <f t="shared" si="27"/>
        <v>196.56</v>
      </c>
      <c r="Z195" s="36">
        <f>IFERROR(IF(Y195=0,"",ROUNDUP(Y195/H195,0)*0.00502),"")</f>
        <v>0.58733999999999997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207.66666666666669</v>
      </c>
      <c r="BN195" s="64">
        <f t="shared" si="30"/>
        <v>208.26000000000002</v>
      </c>
      <c r="BO195" s="64">
        <f t="shared" si="31"/>
        <v>0.49857549857549865</v>
      </c>
      <c r="BP195" s="64">
        <f t="shared" si="32"/>
        <v>0.5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495.55555555555554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500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3.2391499999999995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1148</v>
      </c>
      <c r="Y197" s="653">
        <f>IFERROR(SUM(Y182:Y195),"0")</f>
        <v>1155.6399999999999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16</v>
      </c>
      <c r="Y201" s="652">
        <f>IFERROR(IF(X201="",0,CEILING((X201/$H201),1)*$H201),"")</f>
        <v>16.2</v>
      </c>
      <c r="Z201" s="36">
        <f>IFERROR(IF(Y201=0,"",ROUNDUP(Y201/H201,0)*0.00651),"")</f>
        <v>5.8590000000000003E-2</v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18.293333333333333</v>
      </c>
      <c r="BN201" s="64">
        <f>IFERROR(Y201*I201/H201,"0")</f>
        <v>18.521999999999998</v>
      </c>
      <c r="BO201" s="64">
        <f>IFERROR(1/J201*(X201/H201),"0")</f>
        <v>4.8840048840048847E-2</v>
      </c>
      <c r="BP201" s="64">
        <f>IFERROR(1/J201*(Y201/H201),"0")</f>
        <v>4.9450549450549455E-2</v>
      </c>
    </row>
    <row r="202" spans="1:68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8.8888888888888893</v>
      </c>
      <c r="Y202" s="653">
        <f>IFERROR(Y199/H199,"0")+IFERROR(Y200/H200,"0")+IFERROR(Y201/H201,"0")</f>
        <v>9</v>
      </c>
      <c r="Z202" s="653">
        <f>IFERROR(IF(Z199="",0,Z199),"0")+IFERROR(IF(Z200="",0,Z200),"0")+IFERROR(IF(Z201="",0,Z201),"0")</f>
        <v>5.8590000000000003E-2</v>
      </c>
      <c r="AA202" s="654"/>
      <c r="AB202" s="654"/>
      <c r="AC202" s="654"/>
    </row>
    <row r="203" spans="1:68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16</v>
      </c>
      <c r="Y203" s="653">
        <f>IFERROR(SUM(Y199:Y201),"0")</f>
        <v>16.2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hidden="1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80</v>
      </c>
      <c r="Y232" s="652">
        <f t="shared" si="39"/>
        <v>84</v>
      </c>
      <c r="Z232" s="36">
        <f>IFERROR(IF(Y232=0,"",ROUNDUP(Y232/H232,0)*0.00902),"")</f>
        <v>0.1804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83.619047619047606</v>
      </c>
      <c r="BN232" s="64">
        <f t="shared" si="41"/>
        <v>87.8</v>
      </c>
      <c r="BO232" s="64">
        <f t="shared" si="42"/>
        <v>0.14430014430014429</v>
      </c>
      <c r="BP232" s="64">
        <f t="shared" si="43"/>
        <v>0.15151515151515152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14</v>
      </c>
      <c r="Y233" s="652">
        <f t="shared" si="39"/>
        <v>14.4</v>
      </c>
      <c r="Z233" s="36">
        <f>IFERROR(IF(Y233=0,"",ROUNDUP(Y233/H233,0)*0.00556),"")</f>
        <v>0.10008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16.275000000000002</v>
      </c>
      <c r="BN233" s="64">
        <f t="shared" si="41"/>
        <v>16.740000000000002</v>
      </c>
      <c r="BO233" s="64">
        <f t="shared" si="42"/>
        <v>6.9444444444444448E-2</v>
      </c>
      <c r="BP233" s="64">
        <f t="shared" si="43"/>
        <v>7.1428571428571425E-2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9</v>
      </c>
      <c r="Y239" s="652">
        <f t="shared" si="39"/>
        <v>9</v>
      </c>
      <c r="Z239" s="36">
        <f t="shared" si="44"/>
        <v>2.5100000000000001E-2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9.65</v>
      </c>
      <c r="BN239" s="64">
        <f t="shared" si="41"/>
        <v>9.65</v>
      </c>
      <c r="BO239" s="64">
        <f t="shared" si="42"/>
        <v>2.1367521367521368E-2</v>
      </c>
      <c r="BP239" s="64">
        <f t="shared" si="43"/>
        <v>2.1367521367521368E-2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7</v>
      </c>
      <c r="Y240" s="652">
        <f t="shared" si="39"/>
        <v>7.2</v>
      </c>
      <c r="Z240" s="36">
        <f>IFERROR(IF(Y240=0,"",ROUNDUP(Y240/H240,0)*0.00417),"")</f>
        <v>3.7530000000000001E-2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8.8375000000000004</v>
      </c>
      <c r="BN240" s="64">
        <f t="shared" si="41"/>
        <v>9.09</v>
      </c>
      <c r="BO240" s="64">
        <f t="shared" si="42"/>
        <v>2.6041666666666664E-2</v>
      </c>
      <c r="BP240" s="64">
        <f t="shared" si="43"/>
        <v>2.6785714285714284E-2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105</v>
      </c>
      <c r="Y241" s="652">
        <f t="shared" si="39"/>
        <v>105</v>
      </c>
      <c r="Z241" s="36">
        <f>IFERROR(IF(Y241=0,"",ROUNDUP(Y241/H241,0)*0.00502),"")</f>
        <v>0.251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110.00000000000001</v>
      </c>
      <c r="BN241" s="64">
        <f t="shared" si="41"/>
        <v>110.00000000000001</v>
      </c>
      <c r="BO241" s="64">
        <f t="shared" si="42"/>
        <v>0.21367521367521369</v>
      </c>
      <c r="BP241" s="64">
        <f t="shared" si="43"/>
        <v>0.21367521367521369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100.29761904761905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102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0.59411000000000003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215</v>
      </c>
      <c r="Y245" s="653">
        <f>IFERROR(SUM(Y230:Y243),"0")</f>
        <v>219.60000000000002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4</v>
      </c>
      <c r="Y256" s="652">
        <f>IFERROR(IF(X256="",0,CEILING((X256/$H256),1)*$H256),"")</f>
        <v>5.04</v>
      </c>
      <c r="Z256" s="36">
        <f>IFERROR(IF(Y256=0,"",ROUNDUP(Y256/H256,0)*0.0059),"")</f>
        <v>2.3599999999999999E-2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4.6031746031746028</v>
      </c>
      <c r="BN256" s="64">
        <f>IFERROR(Y256*I256/H256,"0")</f>
        <v>5.8</v>
      </c>
      <c r="BO256" s="64">
        <f>IFERROR(1/J256*(X256/H256),"0")</f>
        <v>1.469723691945914E-2</v>
      </c>
      <c r="BP256" s="64">
        <f>IFERROR(1/J256*(Y256/H256),"0")</f>
        <v>1.8518518518518517E-2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11</v>
      </c>
      <c r="Y257" s="652">
        <f>IFERROR(IF(X257="",0,CEILING((X257/$H257),1)*$H257),"")</f>
        <v>11.34</v>
      </c>
      <c r="Z257" s="36">
        <f>IFERROR(IF(Y257=0,"",ROUNDUP(Y257/H257,0)*0.0059),"")</f>
        <v>5.3100000000000001E-2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12.658730158730158</v>
      </c>
      <c r="BN257" s="64">
        <f>IFERROR(Y257*I257/H257,"0")</f>
        <v>13.049999999999999</v>
      </c>
      <c r="BO257" s="64">
        <f>IFERROR(1/J257*(X257/H257),"0")</f>
        <v>4.0417401528512635E-2</v>
      </c>
      <c r="BP257" s="64">
        <f>IFERROR(1/J257*(Y257/H257),"0")</f>
        <v>4.1666666666666664E-2</v>
      </c>
    </row>
    <row r="258" spans="1:68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11.904761904761903</v>
      </c>
      <c r="Y258" s="653">
        <f>IFERROR(Y255/H255,"0")+IFERROR(Y256/H256,"0")+IFERROR(Y257/H257,"0")</f>
        <v>13</v>
      </c>
      <c r="Z258" s="653">
        <f>IFERROR(IF(Z255="",0,Z255),"0")+IFERROR(IF(Z256="",0,Z256),"0")+IFERROR(IF(Z257="",0,Z257),"0")</f>
        <v>7.6700000000000004E-2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15</v>
      </c>
      <c r="Y259" s="653">
        <f>IFERROR(SUM(Y255:Y257),"0")</f>
        <v>16.38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4</v>
      </c>
      <c r="Y261" s="652">
        <f>IFERROR(IF(X261="",0,CEILING((X261/$H261),1)*$H261),"")</f>
        <v>5.04</v>
      </c>
      <c r="Z261" s="36">
        <f>IFERROR(IF(Y261=0,"",ROUNDUP(Y261/H261,0)*0.0059),"")</f>
        <v>2.3599999999999999E-2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4.6031746031746028</v>
      </c>
      <c r="BN261" s="64">
        <f>IFERROR(Y261*I261/H261,"0")</f>
        <v>5.8</v>
      </c>
      <c r="BO261" s="64">
        <f>IFERROR(1/J261*(X261/H261),"0")</f>
        <v>1.469723691945914E-2</v>
      </c>
      <c r="BP261" s="64">
        <f>IFERROR(1/J261*(Y261/H261),"0")</f>
        <v>1.8518518518518517E-2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3.1746031746031744</v>
      </c>
      <c r="Y262" s="653">
        <f>IFERROR(Y261/H261,"0")</f>
        <v>4</v>
      </c>
      <c r="Z262" s="653">
        <f>IFERROR(IF(Z261="",0,Z261),"0")</f>
        <v>2.3599999999999999E-2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4</v>
      </c>
      <c r="Y263" s="653">
        <f>IFERROR(SUM(Y261:Y261),"0")</f>
        <v>5.04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hidden="1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0</v>
      </c>
      <c r="Y276" s="652">
        <f t="shared" ref="Y276:Y283" si="45">IFERROR(IF(X276="",0,CEILING((X276/$H276),1)*$H276),"")</f>
        <v>0</v>
      </c>
      <c r="Z276" s="36" t="str">
        <f>IFERROR(IF(Y276=0,"",ROUNDUP(Y276/H276,0)*0.00902),"")</f>
        <v/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0</v>
      </c>
      <c r="BN276" s="64">
        <f t="shared" ref="BN276:BN283" si="47">IFERROR(Y276*I276/H276,"0")</f>
        <v>0</v>
      </c>
      <c r="BO276" s="64">
        <f t="shared" ref="BO276:BO283" si="48">IFERROR(1/J276*(X276/H276),"0")</f>
        <v>0</v>
      </c>
      <c r="BP276" s="64">
        <f t="shared" ref="BP276:BP283" si="49">IFERROR(1/J276*(Y276/H276),"0")</f>
        <v>0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110</v>
      </c>
      <c r="Y277" s="652">
        <f t="shared" si="45"/>
        <v>113.4</v>
      </c>
      <c r="Z277" s="36">
        <f>IFERROR(IF(Y277=0,"",ROUNDUP(Y277/H277,0)*0.00902),"")</f>
        <v>0.18942000000000001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113.87037037037035</v>
      </c>
      <c r="BN277" s="64">
        <f t="shared" si="47"/>
        <v>117.39</v>
      </c>
      <c r="BO277" s="64">
        <f t="shared" si="48"/>
        <v>0.15432098765432098</v>
      </c>
      <c r="BP277" s="64">
        <f t="shared" si="49"/>
        <v>0.15909090909090909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750</v>
      </c>
      <c r="Y278" s="652">
        <f t="shared" si="45"/>
        <v>750.6</v>
      </c>
      <c r="Z278" s="36">
        <f>IFERROR(IF(Y278=0,"",ROUNDUP(Y278/H278,0)*0.00902),"")</f>
        <v>1.2537800000000001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776.3888888888888</v>
      </c>
      <c r="BN278" s="64">
        <f t="shared" si="47"/>
        <v>777.01</v>
      </c>
      <c r="BO278" s="64">
        <f t="shared" si="48"/>
        <v>1.0521885521885521</v>
      </c>
      <c r="BP278" s="64">
        <f t="shared" si="49"/>
        <v>1.053030303030303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40</v>
      </c>
      <c r="Y279" s="652">
        <f t="shared" si="45"/>
        <v>43.2</v>
      </c>
      <c r="Z279" s="36">
        <f>IFERROR(IF(Y279=0,"",ROUNDUP(Y279/H279,0)*0.00902),"")</f>
        <v>7.2160000000000002E-2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41.407407407407405</v>
      </c>
      <c r="BN279" s="64">
        <f t="shared" si="47"/>
        <v>44.72</v>
      </c>
      <c r="BO279" s="64">
        <f t="shared" si="48"/>
        <v>5.6116722783389444E-2</v>
      </c>
      <c r="BP279" s="64">
        <f t="shared" si="49"/>
        <v>6.0606060606060608E-2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27</v>
      </c>
      <c r="Y280" s="652">
        <f t="shared" si="45"/>
        <v>27</v>
      </c>
      <c r="Z280" s="36">
        <f>IFERROR(IF(Y280=0,"",ROUNDUP(Y280/H280,0)*0.00502),"")</f>
        <v>7.5300000000000006E-2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28.95</v>
      </c>
      <c r="BN280" s="64">
        <f t="shared" si="47"/>
        <v>28.95</v>
      </c>
      <c r="BO280" s="64">
        <f t="shared" si="48"/>
        <v>6.4102564102564111E-2</v>
      </c>
      <c r="BP280" s="64">
        <f t="shared" si="49"/>
        <v>6.4102564102564111E-2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6</v>
      </c>
      <c r="Y281" s="652">
        <f t="shared" si="45"/>
        <v>7.2</v>
      </c>
      <c r="Z281" s="36">
        <f>IFERROR(IF(Y281=0,"",ROUNDUP(Y281/H281,0)*0.00502),"")</f>
        <v>2.0080000000000001E-2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6.3333333333333321</v>
      </c>
      <c r="BN281" s="64">
        <f t="shared" si="47"/>
        <v>7.6</v>
      </c>
      <c r="BO281" s="64">
        <f t="shared" si="48"/>
        <v>1.4245014245014245E-2</v>
      </c>
      <c r="BP281" s="64">
        <f t="shared" si="49"/>
        <v>1.7094017094017096E-2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12</v>
      </c>
      <c r="Y283" s="652">
        <f t="shared" si="45"/>
        <v>12.6</v>
      </c>
      <c r="Z283" s="36">
        <f>IFERROR(IF(Y283=0,"",ROUNDUP(Y283/H283,0)*0.00502),"")</f>
        <v>3.5140000000000005E-2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12.666666666666664</v>
      </c>
      <c r="BN283" s="64">
        <f t="shared" si="47"/>
        <v>13.299999999999999</v>
      </c>
      <c r="BO283" s="64">
        <f t="shared" si="48"/>
        <v>2.8490028490028491E-2</v>
      </c>
      <c r="BP283" s="64">
        <f t="shared" si="49"/>
        <v>2.9914529914529919E-2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191.66666666666669</v>
      </c>
      <c r="Y284" s="653">
        <f>IFERROR(Y276/H276,"0")+IFERROR(Y277/H277,"0")+IFERROR(Y278/H278,"0")+IFERROR(Y279/H279,"0")+IFERROR(Y280/H280,"0")+IFERROR(Y281/H281,"0")+IFERROR(Y282/H282,"0")+IFERROR(Y283/H283,"0")</f>
        <v>194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1.64588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945</v>
      </c>
      <c r="Y285" s="653">
        <f>IFERROR(SUM(Y276:Y283),"0")</f>
        <v>954.00000000000011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300</v>
      </c>
      <c r="Y287" s="652">
        <f t="shared" ref="Y287:Y298" si="50">IFERROR(IF(X287="",0,CEILING((X287/$H287),1)*$H287),"")</f>
        <v>307.8</v>
      </c>
      <c r="Z287" s="36">
        <f>IFERROR(IF(Y287=0,"",ROUNDUP(Y287/H287,0)*0.01898),"")</f>
        <v>0.72123999999999999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318.2962962962963</v>
      </c>
      <c r="BN287" s="64">
        <f t="shared" ref="BN287:BN298" si="52">IFERROR(Y287*I287/H287,"0")</f>
        <v>326.572</v>
      </c>
      <c r="BO287" s="64">
        <f t="shared" ref="BO287:BO298" si="53">IFERROR(1/J287*(X287/H287),"0")</f>
        <v>0.57870370370370372</v>
      </c>
      <c r="BP287" s="64">
        <f t="shared" ref="BP287:BP298" si="54">IFERROR(1/J287*(Y287/H287),"0")</f>
        <v>0.59375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300</v>
      </c>
      <c r="Y288" s="652">
        <f t="shared" si="50"/>
        <v>307.8</v>
      </c>
      <c r="Z288" s="36">
        <f>IFERROR(IF(Y288=0,"",ROUNDUP(Y288/H288,0)*0.01898),"")</f>
        <v>0.72123999999999999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317.62962962962968</v>
      </c>
      <c r="BN288" s="64">
        <f t="shared" si="52"/>
        <v>325.88800000000003</v>
      </c>
      <c r="BO288" s="64">
        <f t="shared" si="53"/>
        <v>0.57870370370370372</v>
      </c>
      <c r="BP288" s="64">
        <f t="shared" si="54"/>
        <v>0.59375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63</v>
      </c>
      <c r="Y289" s="652">
        <f t="shared" si="50"/>
        <v>69.599999999999994</v>
      </c>
      <c r="Z289" s="36">
        <f>IFERROR(IF(Y289=0,"",ROUNDUP(Y289/H289,0)*0.01898),"")</f>
        <v>0.15184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66.577241379310365</v>
      </c>
      <c r="BN289" s="64">
        <f t="shared" si="52"/>
        <v>73.552000000000007</v>
      </c>
      <c r="BO289" s="64">
        <f t="shared" si="53"/>
        <v>0.11314655172413794</v>
      </c>
      <c r="BP289" s="64">
        <f t="shared" si="54"/>
        <v>0.125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400</v>
      </c>
      <c r="Y290" s="652">
        <f t="shared" si="50"/>
        <v>400.8</v>
      </c>
      <c r="Z290" s="36">
        <f>IFERROR(IF(Y290=0,"",ROUNDUP(Y290/H290,0)*0.00651),"")</f>
        <v>1.08717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445</v>
      </c>
      <c r="BN290" s="64">
        <f t="shared" si="52"/>
        <v>445.89</v>
      </c>
      <c r="BO290" s="64">
        <f t="shared" si="53"/>
        <v>0.91575091575091594</v>
      </c>
      <c r="BP290" s="64">
        <f t="shared" si="54"/>
        <v>0.91758241758241765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1200</v>
      </c>
      <c r="Y293" s="652">
        <f t="shared" si="50"/>
        <v>1200</v>
      </c>
      <c r="Z293" s="36">
        <f>IFERROR(IF(Y293=0,"",ROUNDUP(Y293/H293,0)*0.00651),"")</f>
        <v>3.2549999999999999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1326</v>
      </c>
      <c r="BN293" s="64">
        <f t="shared" si="52"/>
        <v>1326</v>
      </c>
      <c r="BO293" s="64">
        <f t="shared" si="53"/>
        <v>2.7472527472527473</v>
      </c>
      <c r="BP293" s="64">
        <f t="shared" si="54"/>
        <v>2.7472527472527473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240</v>
      </c>
      <c r="Y295" s="652">
        <f t="shared" si="50"/>
        <v>240</v>
      </c>
      <c r="Z295" s="36">
        <f>IFERROR(IF(Y295=0,"",ROUNDUP(Y295/H295,0)*0.00651),"")</f>
        <v>0.65100000000000002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265.20000000000005</v>
      </c>
      <c r="BN295" s="64">
        <f t="shared" si="52"/>
        <v>265.20000000000005</v>
      </c>
      <c r="BO295" s="64">
        <f t="shared" si="53"/>
        <v>0.5494505494505495</v>
      </c>
      <c r="BP295" s="64">
        <f t="shared" si="54"/>
        <v>0.5494505494505495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200</v>
      </c>
      <c r="Y296" s="652">
        <f t="shared" si="50"/>
        <v>201.6</v>
      </c>
      <c r="Z296" s="36">
        <f>IFERROR(IF(Y296=0,"",ROUNDUP(Y296/H296,0)*0.00651),"")</f>
        <v>0.54683999999999999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221</v>
      </c>
      <c r="BN296" s="64">
        <f t="shared" si="52"/>
        <v>222.768</v>
      </c>
      <c r="BO296" s="64">
        <f t="shared" si="53"/>
        <v>0.45787545787545797</v>
      </c>
      <c r="BP296" s="64">
        <f t="shared" si="54"/>
        <v>0.46153846153846156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175</v>
      </c>
      <c r="Y297" s="652">
        <f t="shared" si="50"/>
        <v>175.2</v>
      </c>
      <c r="Z297" s="36">
        <f>IFERROR(IF(Y297=0,"",ROUNDUP(Y297/H297,0)*0.00651),"")</f>
        <v>0.47522999999999999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193.8125</v>
      </c>
      <c r="BN297" s="64">
        <f t="shared" si="52"/>
        <v>194.03399999999999</v>
      </c>
      <c r="BO297" s="64">
        <f t="shared" si="53"/>
        <v>0.40064102564102572</v>
      </c>
      <c r="BP297" s="64">
        <f t="shared" si="54"/>
        <v>0.40109890109890112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1004.2321200510855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1008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7.6095600000000001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2878</v>
      </c>
      <c r="Y300" s="653">
        <f>IFERROR(SUM(Y287:Y298),"0")</f>
        <v>2902.7999999999997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hidden="1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0</v>
      </c>
      <c r="Y302" s="652">
        <f>IFERROR(IF(X302="",0,CEILING((X302/$H302),1)*$H302),"")</f>
        <v>0</v>
      </c>
      <c r="Z302" s="36" t="str">
        <f>IFERROR(IF(Y302=0,"",ROUNDUP(Y302/H302,0)*0.00651),"")</f>
        <v/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hidden="1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hidden="1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0</v>
      </c>
      <c r="Y304" s="653">
        <f>IFERROR(Y302/H302,"0")+IFERROR(Y303/H303,"0")</f>
        <v>0</v>
      </c>
      <c r="Z304" s="653">
        <f>IFERROR(IF(Z302="",0,Z302),"0")+IFERROR(IF(Z303="",0,Z303),"0")</f>
        <v>0</v>
      </c>
      <c r="AA304" s="654"/>
      <c r="AB304" s="654"/>
      <c r="AC304" s="654"/>
    </row>
    <row r="305" spans="1:68" hidden="1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0</v>
      </c>
      <c r="Y305" s="653">
        <f>IFERROR(SUM(Y302:Y303),"0")</f>
        <v>0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10</v>
      </c>
      <c r="Y322" s="652">
        <f>IFERROR(IF(X322="",0,CEILING((X322/$H322),1)*$H322),"")</f>
        <v>10.8</v>
      </c>
      <c r="Z322" s="36">
        <f>IFERROR(IF(Y322=0,"",ROUNDUP(Y322/H322,0)*0.0059),"")</f>
        <v>3.5400000000000001E-2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10.972222222222221</v>
      </c>
      <c r="BN322" s="64">
        <f>IFERROR(Y322*I322/H322,"0")</f>
        <v>11.850000000000001</v>
      </c>
      <c r="BO322" s="64">
        <f>IFERROR(1/J322*(X322/H322),"0")</f>
        <v>2.5720164609053495E-2</v>
      </c>
      <c r="BP322" s="64">
        <f>IFERROR(1/J322*(Y322/H322),"0")</f>
        <v>2.7777777777777776E-2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5.5555555555555554</v>
      </c>
      <c r="Y323" s="653">
        <f>IFERROR(Y322/H322,"0")</f>
        <v>6</v>
      </c>
      <c r="Z323" s="653">
        <f>IFERROR(IF(Z322="",0,Z322),"0")</f>
        <v>3.5400000000000001E-2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10</v>
      </c>
      <c r="Y324" s="653">
        <f>IFERROR(SUM(Y322:Y322),"0")</f>
        <v>10.8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60</v>
      </c>
      <c r="Y343" s="652">
        <f>IFERROR(IF(X343="",0,CEILING((X343/$H343),1)*$H343),"")</f>
        <v>60</v>
      </c>
      <c r="Z343" s="36">
        <f>IFERROR(IF(Y343=0,"",ROUNDUP(Y343/H343,0)*0.00651),"")</f>
        <v>0.16275000000000001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66.300000000000011</v>
      </c>
      <c r="BN343" s="64">
        <f>IFERROR(Y343*I343/H343,"0")</f>
        <v>66.300000000000011</v>
      </c>
      <c r="BO343" s="64">
        <f>IFERROR(1/J343*(X343/H343),"0")</f>
        <v>0.13736263736263737</v>
      </c>
      <c r="BP343" s="64">
        <f>IFERROR(1/J343*(Y343/H343),"0")</f>
        <v>0.13736263736263737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119</v>
      </c>
      <c r="Y344" s="652">
        <f>IFERROR(IF(X344="",0,CEILING((X344/$H344),1)*$H344),"")</f>
        <v>120</v>
      </c>
      <c r="Z344" s="36">
        <f>IFERROR(IF(Y344=0,"",ROUNDUP(Y344/H344,0)*0.00651),"")</f>
        <v>0.32550000000000001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127.925</v>
      </c>
      <c r="BN344" s="64">
        <f>IFERROR(Y344*I344/H344,"0")</f>
        <v>129.00000000000003</v>
      </c>
      <c r="BO344" s="64">
        <f>IFERROR(1/J344*(X344/H344),"0")</f>
        <v>0.27243589743589747</v>
      </c>
      <c r="BP344" s="64">
        <f>IFERROR(1/J344*(Y344/H344),"0")</f>
        <v>0.27472527472527475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74.583333333333343</v>
      </c>
      <c r="Y345" s="653">
        <f>IFERROR(Y342/H342,"0")+IFERROR(Y343/H343,"0")+IFERROR(Y344/H344,"0")</f>
        <v>75</v>
      </c>
      <c r="Z345" s="653">
        <f>IFERROR(IF(Z342="",0,Z342),"0")+IFERROR(IF(Z343="",0,Z343),"0")+IFERROR(IF(Z344="",0,Z344),"0")</f>
        <v>0.48825000000000002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179</v>
      </c>
      <c r="Y346" s="653">
        <f>IFERROR(SUM(Y342:Y344),"0")</f>
        <v>180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200</v>
      </c>
      <c r="Y363" s="652">
        <f>IFERROR(IF(X363="",0,CEILING((X363/$H363),1)*$H363),"")</f>
        <v>202.79999999999998</v>
      </c>
      <c r="Z363" s="36">
        <f>IFERROR(IF(Y363=0,"",ROUNDUP(Y363/H363,0)*0.01898),"")</f>
        <v>0.49348000000000003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210.51282051282055</v>
      </c>
      <c r="BN363" s="64">
        <f>IFERROR(Y363*I363/H363,"0")</f>
        <v>213.46</v>
      </c>
      <c r="BO363" s="64">
        <f>IFERROR(1/J363*(X363/H363),"0")</f>
        <v>0.40064102564102566</v>
      </c>
      <c r="BP363" s="64">
        <f>IFERROR(1/J363*(Y363/H363),"0")</f>
        <v>0.40625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318</v>
      </c>
      <c r="Y364" s="652">
        <f>IFERROR(IF(X364="",0,CEILING((X364/$H364),1)*$H364),"")</f>
        <v>319.8</v>
      </c>
      <c r="Z364" s="36">
        <f>IFERROR(IF(Y364=0,"",ROUNDUP(Y364/H364,0)*0.01898),"")</f>
        <v>0.77817999999999998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334.71538461538466</v>
      </c>
      <c r="BN364" s="64">
        <f>IFERROR(Y364*I364/H364,"0")</f>
        <v>336.61000000000007</v>
      </c>
      <c r="BO364" s="64">
        <f>IFERROR(1/J364*(X364/H364),"0")</f>
        <v>0.63701923076923084</v>
      </c>
      <c r="BP364" s="64">
        <f>IFERROR(1/J364*(Y364/H364),"0")</f>
        <v>0.640625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15</v>
      </c>
      <c r="Y365" s="652">
        <f>IFERROR(IF(X365="",0,CEILING((X365/$H365),1)*$H365),"")</f>
        <v>15.6</v>
      </c>
      <c r="Z365" s="36">
        <f>IFERROR(IF(Y365=0,"",ROUNDUP(Y365/H365,0)*0.01898),"")</f>
        <v>3.7960000000000001E-2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15.78846153846154</v>
      </c>
      <c r="BN365" s="64">
        <f>IFERROR(Y365*I365/H365,"0")</f>
        <v>16.420000000000002</v>
      </c>
      <c r="BO365" s="64">
        <f>IFERROR(1/J365*(X365/H365),"0")</f>
        <v>3.0048076923076924E-2</v>
      </c>
      <c r="BP365" s="64">
        <f>IFERROR(1/J365*(Y365/H365),"0")</f>
        <v>3.125E-2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68.333333333333329</v>
      </c>
      <c r="Y366" s="653">
        <f>IFERROR(Y363/H363,"0")+IFERROR(Y364/H364,"0")+IFERROR(Y365/H365,"0")</f>
        <v>69</v>
      </c>
      <c r="Z366" s="653">
        <f>IFERROR(IF(Z363="",0,Z363),"0")+IFERROR(IF(Z364="",0,Z364),"0")+IFERROR(IF(Z365="",0,Z365),"0")</f>
        <v>1.30962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533</v>
      </c>
      <c r="Y367" s="653">
        <f>IFERROR(SUM(Y363:Y365),"0")</f>
        <v>538.20000000000005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0</v>
      </c>
      <c r="Y384" s="652">
        <f t="shared" si="60"/>
        <v>0</v>
      </c>
      <c r="Z384" s="36" t="str">
        <f>IFERROR(IF(Y384=0,"",ROUNDUP(Y384/H384,0)*0.00651),"")</f>
        <v/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0</v>
      </c>
      <c r="BN384" s="64">
        <f t="shared" si="62"/>
        <v>0</v>
      </c>
      <c r="BO384" s="64">
        <f t="shared" si="63"/>
        <v>0</v>
      </c>
      <c r="BP384" s="64">
        <f t="shared" si="64"/>
        <v>0</v>
      </c>
    </row>
    <row r="385" spans="1:68" hidden="1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0</v>
      </c>
      <c r="Y385" s="653">
        <f>IFERROR(Y378/H378,"0")+IFERROR(Y379/H379,"0")+IFERROR(Y380/H380,"0")+IFERROR(Y381/H381,"0")+IFERROR(Y382/H382,"0")+IFERROR(Y383/H383,"0")+IFERROR(Y384/H384,"0")</f>
        <v>0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54"/>
      <c r="AB385" s="654"/>
      <c r="AC385" s="654"/>
    </row>
    <row r="386" spans="1:68" hidden="1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0</v>
      </c>
      <c r="Y386" s="653">
        <f>IFERROR(SUM(Y378:Y384),"0")</f>
        <v>0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hidden="1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500</v>
      </c>
      <c r="Y396" s="652">
        <f>IFERROR(IF(X396="",0,CEILING((X396/$H396),1)*$H396),"")</f>
        <v>507</v>
      </c>
      <c r="Z396" s="36">
        <f>IFERROR(IF(Y396=0,"",ROUNDUP(Y396/H396,0)*0.01898),"")</f>
        <v>1.2337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531.66666666666663</v>
      </c>
      <c r="BN396" s="64">
        <f>IFERROR(Y396*I396/H396,"0")</f>
        <v>539.11</v>
      </c>
      <c r="BO396" s="64">
        <f>IFERROR(1/J396*(X396/H396),"0")</f>
        <v>1.0016025641025641</v>
      </c>
      <c r="BP396" s="64">
        <f>IFERROR(1/J396*(Y396/H396),"0")</f>
        <v>1.015625</v>
      </c>
    </row>
    <row r="397" spans="1:68" ht="27" hidden="1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64.102564102564102</v>
      </c>
      <c r="Y398" s="653">
        <f>IFERROR(Y395/H395,"0")+IFERROR(Y396/H396,"0")+IFERROR(Y397/H397,"0")</f>
        <v>65</v>
      </c>
      <c r="Z398" s="653">
        <f>IFERROR(IF(Z395="",0,Z395),"0")+IFERROR(IF(Z396="",0,Z396),"0")+IFERROR(IF(Z397="",0,Z397),"0")</f>
        <v>1.2337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500</v>
      </c>
      <c r="Y399" s="653">
        <f>IFERROR(SUM(Y395:Y397),"0")</f>
        <v>507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18</v>
      </c>
      <c r="Y403" s="652">
        <f>IFERROR(IF(X403="",0,CEILING((X403/$H403),1)*$H403),"")</f>
        <v>20.399999999999999</v>
      </c>
      <c r="Z403" s="36">
        <f>IFERROR(IF(Y403=0,"",ROUNDUP(Y403/H403,0)*0.00651),"")</f>
        <v>5.2080000000000001E-2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20.858823529411765</v>
      </c>
      <c r="BN403" s="64">
        <f>IFERROR(Y403*I403/H403,"0")</f>
        <v>23.64</v>
      </c>
      <c r="BO403" s="64">
        <f>IFERROR(1/J403*(X403/H403),"0")</f>
        <v>3.8784744667097616E-2</v>
      </c>
      <c r="BP403" s="64">
        <f>IFERROR(1/J403*(Y403/H403),"0")</f>
        <v>4.3956043956043959E-2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6</v>
      </c>
      <c r="Y404" s="652">
        <f>IFERROR(IF(X404="",0,CEILING((X404/$H404),1)*$H404),"")</f>
        <v>7.6499999999999995</v>
      </c>
      <c r="Z404" s="36">
        <f>IFERROR(IF(Y404=0,"",ROUNDUP(Y404/H404,0)*0.00651),"")</f>
        <v>1.9529999999999999E-2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6.7764705882352949</v>
      </c>
      <c r="BN404" s="64">
        <f>IFERROR(Y404*I404/H404,"0")</f>
        <v>8.6399999999999988</v>
      </c>
      <c r="BO404" s="64">
        <f>IFERROR(1/J404*(X404/H404),"0")</f>
        <v>1.292824822236587E-2</v>
      </c>
      <c r="BP404" s="64">
        <f>IFERROR(1/J404*(Y404/H404),"0")</f>
        <v>1.6483516483516484E-2</v>
      </c>
    </row>
    <row r="405" spans="1:68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9.4117647058823533</v>
      </c>
      <c r="Y405" s="653">
        <f>IFERROR(Y401/H401,"0")+IFERROR(Y402/H402,"0")+IFERROR(Y403/H403,"0")+IFERROR(Y404/H404,"0")</f>
        <v>11</v>
      </c>
      <c r="Z405" s="653">
        <f>IFERROR(IF(Z401="",0,Z401),"0")+IFERROR(IF(Z402="",0,Z402),"0")+IFERROR(IF(Z403="",0,Z403),"0")+IFERROR(IF(Z404="",0,Z404),"0")</f>
        <v>7.1610000000000007E-2</v>
      </c>
      <c r="AA405" s="654"/>
      <c r="AB405" s="654"/>
      <c r="AC405" s="654"/>
    </row>
    <row r="406" spans="1:68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24</v>
      </c>
      <c r="Y406" s="653">
        <f>IFERROR(SUM(Y401:Y404),"0")</f>
        <v>28.049999999999997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35</v>
      </c>
      <c r="Y408" s="652">
        <f>IFERROR(IF(X408="",0,CEILING((X408/$H408),1)*$H408),"")</f>
        <v>36</v>
      </c>
      <c r="Z408" s="36">
        <f>IFERROR(IF(Y408=0,"",ROUNDUP(Y408/H408,0)*0.00474),"")</f>
        <v>8.5320000000000007E-2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39.200000000000003</v>
      </c>
      <c r="BN408" s="64">
        <f>IFERROR(Y408*I408/H408,"0")</f>
        <v>40.320000000000007</v>
      </c>
      <c r="BO408" s="64">
        <f>IFERROR(1/J408*(X408/H408),"0")</f>
        <v>7.3529411764705885E-2</v>
      </c>
      <c r="BP408" s="64">
        <f>IFERROR(1/J408*(Y408/H408),"0")</f>
        <v>7.5630252100840331E-2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21</v>
      </c>
      <c r="Y409" s="652">
        <f>IFERROR(IF(X409="",0,CEILING((X409/$H409),1)*$H409),"")</f>
        <v>22</v>
      </c>
      <c r="Z409" s="36">
        <f>IFERROR(IF(Y409=0,"",ROUNDUP(Y409/H409,0)*0.00474),"")</f>
        <v>5.2140000000000006E-2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23.520000000000003</v>
      </c>
      <c r="BN409" s="64">
        <f>IFERROR(Y409*I409/H409,"0")</f>
        <v>24.64</v>
      </c>
      <c r="BO409" s="64">
        <f>IFERROR(1/J409*(X409/H409),"0")</f>
        <v>4.4117647058823525E-2</v>
      </c>
      <c r="BP409" s="64">
        <f>IFERROR(1/J409*(Y409/H409),"0")</f>
        <v>4.6218487394957979E-2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21</v>
      </c>
      <c r="Y410" s="652">
        <f>IFERROR(IF(X410="",0,CEILING((X410/$H410),1)*$H410),"")</f>
        <v>22</v>
      </c>
      <c r="Z410" s="36">
        <f>IFERROR(IF(Y410=0,"",ROUNDUP(Y410/H410,0)*0.00474),"")</f>
        <v>5.2140000000000006E-2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23.520000000000003</v>
      </c>
      <c r="BN410" s="64">
        <f>IFERROR(Y410*I410/H410,"0")</f>
        <v>24.64</v>
      </c>
      <c r="BO410" s="64">
        <f>IFERROR(1/J410*(X410/H410),"0")</f>
        <v>4.4117647058823525E-2</v>
      </c>
      <c r="BP410" s="64">
        <f>IFERROR(1/J410*(Y410/H410),"0")</f>
        <v>4.6218487394957979E-2</v>
      </c>
    </row>
    <row r="411" spans="1:68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38.5</v>
      </c>
      <c r="Y411" s="653">
        <f>IFERROR(Y408/H408,"0")+IFERROR(Y409/H409,"0")+IFERROR(Y410/H410,"0")</f>
        <v>40</v>
      </c>
      <c r="Z411" s="653">
        <f>IFERROR(IF(Z408="",0,Z408),"0")+IFERROR(IF(Z409="",0,Z409),"0")+IFERROR(IF(Z410="",0,Z410),"0")</f>
        <v>0.18960000000000005</v>
      </c>
      <c r="AA411" s="654"/>
      <c r="AB411" s="654"/>
      <c r="AC411" s="654"/>
    </row>
    <row r="412" spans="1:68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77</v>
      </c>
      <c r="Y412" s="653">
        <f>IFERROR(SUM(Y408:Y410),"0")</f>
        <v>80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38</v>
      </c>
      <c r="Y414" s="652">
        <f>IFERROR(IF(X414="",0,CEILING((X414/$H414),1)*$H414),"")</f>
        <v>39</v>
      </c>
      <c r="Z414" s="36">
        <f>IFERROR(IF(Y414=0,"",ROUNDUP(Y414/H414,0)*0.0045),"")</f>
        <v>5.8499999999999996E-2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40.786666666666669</v>
      </c>
      <c r="BN414" s="64">
        <f>IFERROR(Y414*I414/H414,"0")</f>
        <v>41.860000000000007</v>
      </c>
      <c r="BO414" s="64">
        <f>IFERROR(1/J414*(X414/H414),"0")</f>
        <v>5.6547619047619041E-2</v>
      </c>
      <c r="BP414" s="64">
        <f>IFERROR(1/J414*(Y414/H414),"0")</f>
        <v>5.8035714285714281E-2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33</v>
      </c>
      <c r="Y415" s="652">
        <f>IFERROR(IF(X415="",0,CEILING((X415/$H415),1)*$H415),"")</f>
        <v>35.1</v>
      </c>
      <c r="Z415" s="36">
        <f>IFERROR(IF(Y415=0,"",ROUNDUP(Y415/H415,0)*0.006),"")</f>
        <v>5.3999999999999999E-2</v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35.284615384615378</v>
      </c>
      <c r="BN415" s="64">
        <f>IFERROR(Y415*I415/H415,"0")</f>
        <v>37.53</v>
      </c>
      <c r="BO415" s="64">
        <f>IFERROR(1/J415*(X415/H415),"0")</f>
        <v>5.876068376068376E-2</v>
      </c>
      <c r="BP415" s="64">
        <f>IFERROR(1/J415*(Y415/H415),"0")</f>
        <v>6.25E-2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38</v>
      </c>
      <c r="Y416" s="652">
        <f>IFERROR(IF(X416="",0,CEILING((X416/$H416),1)*$H416),"")</f>
        <v>39</v>
      </c>
      <c r="Z416" s="36">
        <f>IFERROR(IF(Y416=0,"",ROUNDUP(Y416/H416,0)*0.0045),"")</f>
        <v>5.8499999999999996E-2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40.786666666666669</v>
      </c>
      <c r="BN416" s="64">
        <f>IFERROR(Y416*I416/H416,"0")</f>
        <v>41.860000000000007</v>
      </c>
      <c r="BO416" s="64">
        <f>IFERROR(1/J416*(X416/H416),"0")</f>
        <v>5.6547619047619041E-2</v>
      </c>
      <c r="BP416" s="64">
        <f>IFERROR(1/J416*(Y416/H416),"0")</f>
        <v>5.8035714285714281E-2</v>
      </c>
    </row>
    <row r="417" spans="1:68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33.794871794871796</v>
      </c>
      <c r="Y417" s="653">
        <f>IFERROR(Y414/H414,"0")+IFERROR(Y415/H415,"0")+IFERROR(Y416/H416,"0")</f>
        <v>35</v>
      </c>
      <c r="Z417" s="653">
        <f>IFERROR(IF(Z414="",0,Z414),"0")+IFERROR(IF(Z415="",0,Z415),"0")+IFERROR(IF(Z416="",0,Z416),"0")</f>
        <v>0.17099999999999999</v>
      </c>
      <c r="AA417" s="654"/>
      <c r="AB417" s="654"/>
      <c r="AC417" s="654"/>
    </row>
    <row r="418" spans="1:68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109</v>
      </c>
      <c r="Y418" s="653">
        <f>IFERROR(SUM(Y414:Y416),"0")</f>
        <v>113.1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70</v>
      </c>
      <c r="Y428" s="652">
        <f>IFERROR(IF(X428="",0,CEILING((X428/$H428),1)*$H428),"")</f>
        <v>71.400000000000006</v>
      </c>
      <c r="Z428" s="36">
        <f>IFERROR(IF(Y428=0,"",ROUNDUP(Y428/H428,0)*0.00651),"")</f>
        <v>0.22134000000000001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78.399999999999991</v>
      </c>
      <c r="BN428" s="64">
        <f>IFERROR(Y428*I428/H428,"0")</f>
        <v>79.968000000000004</v>
      </c>
      <c r="BO428" s="64">
        <f>IFERROR(1/J428*(X428/H428),"0")</f>
        <v>0.18315018315018314</v>
      </c>
      <c r="BP428" s="64">
        <f>IFERROR(1/J428*(Y428/H428),"0")</f>
        <v>0.18681318681318682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28</v>
      </c>
      <c r="Y429" s="652">
        <f>IFERROR(IF(X429="",0,CEILING((X429/$H429),1)*$H429),"")</f>
        <v>29.400000000000002</v>
      </c>
      <c r="Z429" s="36">
        <f>IFERROR(IF(Y429=0,"",ROUNDUP(Y429/H429,0)*0.00651),"")</f>
        <v>9.1139999999999999E-2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31.199999999999996</v>
      </c>
      <c r="BN429" s="64">
        <f>IFERROR(Y429*I429/H429,"0")</f>
        <v>32.760000000000005</v>
      </c>
      <c r="BO429" s="64">
        <f>IFERROR(1/J429*(X429/H429),"0")</f>
        <v>7.3260073260073263E-2</v>
      </c>
      <c r="BP429" s="64">
        <f>IFERROR(1/J429*(Y429/H429),"0")</f>
        <v>7.6923076923076927E-2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46.666666666666657</v>
      </c>
      <c r="Y430" s="653">
        <f>IFERROR(Y427/H427,"0")+IFERROR(Y428/H428,"0")+IFERROR(Y429/H429,"0")</f>
        <v>48</v>
      </c>
      <c r="Z430" s="653">
        <f>IFERROR(IF(Z427="",0,Z427),"0")+IFERROR(IF(Z428="",0,Z428),"0")+IFERROR(IF(Z429="",0,Z429),"0")</f>
        <v>0.31247999999999998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98</v>
      </c>
      <c r="Y431" s="653">
        <f>IFERROR(SUM(Y427:Y429),"0")</f>
        <v>100.80000000000001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hidden="1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hidden="1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0</v>
      </c>
      <c r="Y437" s="652">
        <f t="shared" si="65"/>
        <v>0</v>
      </c>
      <c r="Z437" s="36" t="str">
        <f>IFERROR(IF(Y437=0,"",ROUNDUP(Y437/H437,0)*0.02175),"")</f>
        <v/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0</v>
      </c>
      <c r="BN437" s="64">
        <f t="shared" si="67"/>
        <v>0</v>
      </c>
      <c r="BO437" s="64">
        <f t="shared" si="68"/>
        <v>0</v>
      </c>
      <c r="BP437" s="64">
        <f t="shared" si="69"/>
        <v>0</v>
      </c>
    </row>
    <row r="438" spans="1:68" ht="27" hidden="1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100</v>
      </c>
      <c r="Y439" s="652">
        <f t="shared" si="65"/>
        <v>105</v>
      </c>
      <c r="Z439" s="36">
        <f>IFERROR(IF(Y439=0,"",ROUNDUP(Y439/H439,0)*0.02175),"")</f>
        <v>0.15225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103.13333333333334</v>
      </c>
      <c r="BN439" s="64">
        <f t="shared" si="67"/>
        <v>108.29</v>
      </c>
      <c r="BO439" s="64">
        <f t="shared" si="68"/>
        <v>0.1388888888888889</v>
      </c>
      <c r="BP439" s="64">
        <f t="shared" si="69"/>
        <v>0.14583333333333331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6.666666666666667</v>
      </c>
      <c r="Y443" s="653">
        <f>IFERROR(Y435/H435,"0")+IFERROR(Y436/H436,"0")+IFERROR(Y437/H437,"0")+IFERROR(Y438/H438,"0")+IFERROR(Y439/H439,"0")+IFERROR(Y440/H440,"0")+IFERROR(Y441/H441,"0")+IFERROR(Y442/H442,"0")</f>
        <v>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0.15225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100</v>
      </c>
      <c r="Y444" s="653">
        <f>IFERROR(SUM(Y435:Y442),"0")</f>
        <v>105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190</v>
      </c>
      <c r="Y446" s="652">
        <f>IFERROR(IF(X446="",0,CEILING((X446/$H446),1)*$H446),"")</f>
        <v>195</v>
      </c>
      <c r="Z446" s="36">
        <f>IFERROR(IF(Y446=0,"",ROUNDUP(Y446/H446,0)*0.02175),"")</f>
        <v>0.28275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195.95333333333335</v>
      </c>
      <c r="BN446" s="64">
        <f>IFERROR(Y446*I446/H446,"0")</f>
        <v>201.11</v>
      </c>
      <c r="BO446" s="64">
        <f>IFERROR(1/J446*(X446/H446),"0")</f>
        <v>0.26388888888888884</v>
      </c>
      <c r="BP446" s="64">
        <f>IFERROR(1/J446*(Y446/H446),"0")</f>
        <v>0.27083333333333331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12.666666666666666</v>
      </c>
      <c r="Y449" s="653">
        <f>IFERROR(Y446/H446,"0")+IFERROR(Y447/H447,"0")+IFERROR(Y448/H448,"0")</f>
        <v>13</v>
      </c>
      <c r="Z449" s="653">
        <f>IFERROR(IF(Z446="",0,Z446),"0")+IFERROR(IF(Z447="",0,Z447),"0")+IFERROR(IF(Z448="",0,Z448),"0")</f>
        <v>0.28275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190</v>
      </c>
      <c r="Y450" s="653">
        <f>IFERROR(SUM(Y446:Y448),"0")</f>
        <v>195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hidden="1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hidden="1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1500</v>
      </c>
      <c r="Y473" s="652">
        <f>IFERROR(IF(X473="",0,CEILING((X473/$H473),1)*$H473),"")</f>
        <v>1503</v>
      </c>
      <c r="Z473" s="36">
        <f>IFERROR(IF(Y473=0,"",ROUNDUP(Y473/H473,0)*0.01898),"")</f>
        <v>3.1696599999999999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1582.3333333333333</v>
      </c>
      <c r="BN473" s="64">
        <f>IFERROR(Y473*I473/H473,"0")</f>
        <v>1585.498</v>
      </c>
      <c r="BO473" s="64">
        <f>IFERROR(1/J473*(X473/H473),"0")</f>
        <v>2.6041666666666665</v>
      </c>
      <c r="BP473" s="64">
        <f>IFERROR(1/J473*(Y473/H473),"0")</f>
        <v>2.609375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80</v>
      </c>
      <c r="Y474" s="652">
        <f>IFERROR(IF(X474="",0,CEILING((X474/$H474),1)*$H474),"")</f>
        <v>81.599999999999994</v>
      </c>
      <c r="Z474" s="36">
        <f>IFERROR(IF(Y474=0,"",ROUNDUP(Y474/H474,0)*0.00651),"")</f>
        <v>0.22134000000000001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88.800000000000011</v>
      </c>
      <c r="BN474" s="64">
        <f>IFERROR(Y474*I474/H474,"0")</f>
        <v>90.575999999999993</v>
      </c>
      <c r="BO474" s="64">
        <f>IFERROR(1/J474*(X474/H474),"0")</f>
        <v>0.18315018315018317</v>
      </c>
      <c r="BP474" s="64">
        <f>IFERROR(1/J474*(Y474/H474),"0")</f>
        <v>0.18681318681318682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200</v>
      </c>
      <c r="Y476" s="653">
        <f>IFERROR(Y473/H473,"0")+IFERROR(Y474/H474,"0")+IFERROR(Y475/H475,"0")</f>
        <v>201</v>
      </c>
      <c r="Z476" s="653">
        <f>IFERROR(IF(Z473="",0,Z473),"0")+IFERROR(IF(Z474="",0,Z474),"0")+IFERROR(IF(Z475="",0,Z475),"0")</f>
        <v>3.391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1580</v>
      </c>
      <c r="Y477" s="653">
        <f>IFERROR(SUM(Y473:Y475),"0")</f>
        <v>1584.6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hidden="1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idden="1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hidden="1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hidden="1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883</v>
      </c>
      <c r="Y511" s="652">
        <f t="shared" si="75"/>
        <v>887.04000000000008</v>
      </c>
      <c r="Z511" s="36">
        <f t="shared" si="76"/>
        <v>2.00928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941.53219696969688</v>
      </c>
      <c r="BN511" s="64">
        <f t="shared" si="78"/>
        <v>945.84</v>
      </c>
      <c r="BO511" s="64">
        <f t="shared" si="79"/>
        <v>1.6080273892773893</v>
      </c>
      <c r="BP511" s="64">
        <f t="shared" si="80"/>
        <v>1.6153846153846154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450</v>
      </c>
      <c r="Y513" s="652">
        <f t="shared" si="75"/>
        <v>454.08000000000004</v>
      </c>
      <c r="Z513" s="36">
        <f t="shared" si="76"/>
        <v>1.0285599999999999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479.82954545454544</v>
      </c>
      <c r="BN513" s="64">
        <f t="shared" si="78"/>
        <v>484.18</v>
      </c>
      <c r="BO513" s="64">
        <f t="shared" si="79"/>
        <v>0.81949300699300698</v>
      </c>
      <c r="BP513" s="64">
        <f t="shared" si="80"/>
        <v>0.82692307692307698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480</v>
      </c>
      <c r="Y515" s="652">
        <f t="shared" si="75"/>
        <v>480</v>
      </c>
      <c r="Z515" s="36">
        <f>IFERROR(IF(Y515=0,"",ROUNDUP(Y515/H515,0)*0.00902),"")</f>
        <v>0.90200000000000002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691.00000000000011</v>
      </c>
      <c r="BN515" s="64">
        <f t="shared" si="78"/>
        <v>691.00000000000011</v>
      </c>
      <c r="BO515" s="64">
        <f t="shared" si="79"/>
        <v>0.75757575757575757</v>
      </c>
      <c r="BP515" s="64">
        <f t="shared" si="80"/>
        <v>0.75757575757575757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12</v>
      </c>
      <c r="Y516" s="652">
        <f t="shared" si="75"/>
        <v>14.399999999999999</v>
      </c>
      <c r="Z516" s="36">
        <f>IFERROR(IF(Y516=0,"",ROUNDUP(Y516/H516,0)*0.00902),"")</f>
        <v>2.7060000000000001E-2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17.275000000000002</v>
      </c>
      <c r="BN516" s="64">
        <f t="shared" si="78"/>
        <v>20.73</v>
      </c>
      <c r="BO516" s="64">
        <f t="shared" si="79"/>
        <v>1.893939393939394E-2</v>
      </c>
      <c r="BP516" s="64">
        <f t="shared" si="80"/>
        <v>2.2727272727272728E-2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354.96212121212119</v>
      </c>
      <c r="Y517" s="653">
        <f>IFERROR(Y508/H508,"0")+IFERROR(Y509/H509,"0")+IFERROR(Y510/H510,"0")+IFERROR(Y511/H511,"0")+IFERROR(Y512/H512,"0")+IFERROR(Y513/H513,"0")+IFERROR(Y514/H514,"0")+IFERROR(Y515/H515,"0")+IFERROR(Y516/H516,"0")</f>
        <v>357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3.9669000000000003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1825</v>
      </c>
      <c r="Y518" s="653">
        <f>IFERROR(SUM(Y508:Y516),"0")</f>
        <v>1835.5200000000002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2000</v>
      </c>
      <c r="Y520" s="652">
        <f>IFERROR(IF(X520="",0,CEILING((X520/$H520),1)*$H520),"")</f>
        <v>2001.1200000000001</v>
      </c>
      <c r="Z520" s="36">
        <f>IFERROR(IF(Y520=0,"",ROUNDUP(Y520/H520,0)*0.01196),"")</f>
        <v>4.5328400000000002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2132.5757575757575</v>
      </c>
      <c r="BN520" s="64">
        <f>IFERROR(Y520*I520/H520,"0")</f>
        <v>2133.77</v>
      </c>
      <c r="BO520" s="64">
        <f>IFERROR(1/J520*(X520/H520),"0")</f>
        <v>3.6421911421911419</v>
      </c>
      <c r="BP520" s="64">
        <f>IFERROR(1/J520*(Y520/H520),"0")</f>
        <v>3.6442307692307696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79</v>
      </c>
      <c r="Y522" s="652">
        <f>IFERROR(IF(X522="",0,CEILING((X522/$H522),1)*$H522),"")</f>
        <v>81.599999999999994</v>
      </c>
      <c r="Z522" s="36">
        <f>IFERROR(IF(Y522=0,"",ROUNDUP(Y522/H522,0)*0.00902),"")</f>
        <v>0.15334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113.72708333333334</v>
      </c>
      <c r="BN522" s="64">
        <f>IFERROR(Y522*I522/H522,"0")</f>
        <v>117.47</v>
      </c>
      <c r="BO522" s="64">
        <f>IFERROR(1/J522*(X522/H522),"0")</f>
        <v>0.12468434343434345</v>
      </c>
      <c r="BP522" s="64">
        <f>IFERROR(1/J522*(Y522/H522),"0")</f>
        <v>0.12878787878787878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395.24621212121207</v>
      </c>
      <c r="Y523" s="653">
        <f>IFERROR(Y520/H520,"0")+IFERROR(Y521/H521,"0")+IFERROR(Y522/H522,"0")</f>
        <v>396</v>
      </c>
      <c r="Z523" s="653">
        <f>IFERROR(IF(Z520="",0,Z520),"0")+IFERROR(IF(Z521="",0,Z521),"0")+IFERROR(IF(Z522="",0,Z522),"0")</f>
        <v>4.6861800000000002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2079</v>
      </c>
      <c r="Y524" s="653">
        <f>IFERROR(SUM(Y520:Y522),"0")</f>
        <v>2082.7200000000003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99</v>
      </c>
      <c r="Y526" s="652">
        <f t="shared" ref="Y526:Y532" si="81">IFERROR(IF(X526="",0,CEILING((X526/$H526),1)*$H526),"")</f>
        <v>100.32000000000001</v>
      </c>
      <c r="Z526" s="36">
        <f>IFERROR(IF(Y526=0,"",ROUNDUP(Y526/H526,0)*0.01196),"")</f>
        <v>0.22724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105.5625</v>
      </c>
      <c r="BN526" s="64">
        <f t="shared" ref="BN526:BN532" si="83">IFERROR(Y526*I526/H526,"0")</f>
        <v>106.97</v>
      </c>
      <c r="BO526" s="64">
        <f t="shared" ref="BO526:BO532" si="84">IFERROR(1/J526*(X526/H526),"0")</f>
        <v>0.18028846153846154</v>
      </c>
      <c r="BP526" s="64">
        <f t="shared" ref="BP526:BP532" si="85">IFERROR(1/J526*(Y526/H526),"0")</f>
        <v>0.18269230769230771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661</v>
      </c>
      <c r="Y527" s="652">
        <f t="shared" si="81"/>
        <v>665.28000000000009</v>
      </c>
      <c r="Z527" s="36">
        <f>IFERROR(IF(Y527=0,"",ROUNDUP(Y527/H527,0)*0.01196),"")</f>
        <v>1.5069600000000001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704.81628787878776</v>
      </c>
      <c r="BN527" s="64">
        <f t="shared" si="83"/>
        <v>709.38</v>
      </c>
      <c r="BO527" s="64">
        <f t="shared" si="84"/>
        <v>1.2037441724941726</v>
      </c>
      <c r="BP527" s="64">
        <f t="shared" si="85"/>
        <v>1.2115384615384617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1250</v>
      </c>
      <c r="Y528" s="652">
        <f t="shared" si="81"/>
        <v>1251.3600000000001</v>
      </c>
      <c r="Z528" s="36">
        <f>IFERROR(IF(Y528=0,"",ROUNDUP(Y528/H528,0)*0.01196),"")</f>
        <v>2.8345199999999999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1332.8598484848485</v>
      </c>
      <c r="BN528" s="64">
        <f t="shared" si="83"/>
        <v>1334.3100000000002</v>
      </c>
      <c r="BO528" s="64">
        <f t="shared" si="84"/>
        <v>2.2763694638694636</v>
      </c>
      <c r="BP528" s="64">
        <f t="shared" si="85"/>
        <v>2.2788461538461542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380.68181818181813</v>
      </c>
      <c r="Y533" s="653">
        <f>IFERROR(Y526/H526,"0")+IFERROR(Y527/H527,"0")+IFERROR(Y528/H528,"0")+IFERROR(Y529/H529,"0")+IFERROR(Y530/H530,"0")+IFERROR(Y531/H531,"0")+IFERROR(Y532/H532,"0")</f>
        <v>382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4.5687199999999999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2010</v>
      </c>
      <c r="Y534" s="653">
        <f>IFERROR(SUM(Y526:Y532),"0")</f>
        <v>2016.9600000000003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hidden="1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hidden="1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17389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17540.11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18765.098720440372</v>
      </c>
      <c r="Y564" s="653">
        <f>IFERROR(SUM(BN22:BN560),"0")</f>
        <v>18927.780000000006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34</v>
      </c>
      <c r="Y565" s="38">
        <f>ROUNDUP(SUM(BP22:BP560),0)</f>
        <v>34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19615.098720440372</v>
      </c>
      <c r="Y566" s="653">
        <f>GrossWeightTotalR+PalletQtyTotalR*25</f>
        <v>19777.780000000006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3957.9482600294796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3992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40.46750999999999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151.20000000000002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336.40000000000003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775.90000000000009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1604.4</v>
      </c>
      <c r="H573" s="46">
        <f>IFERROR(Y140*1,"0")+IFERROR(Y141*1,"0")+IFERROR(Y145*1,"0")+IFERROR(Y146*1,"0")+IFERROR(Y150*1,"0")+IFERROR(Y151*1,"0")</f>
        <v>12.8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1183.8399999999999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241.02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3856.7999999999997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10.8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180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538.20000000000005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728.15</v>
      </c>
      <c r="U573" s="46">
        <f>IFERROR(Y421*1,"0")+IFERROR(Y422*1,"0")</f>
        <v>0</v>
      </c>
      <c r="V573" s="46">
        <f>IFERROR(Y427*1,"0")+IFERROR(Y428*1,"0")+IFERROR(Y429*1,"0")</f>
        <v>100.80000000000001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300</v>
      </c>
      <c r="X573" s="46">
        <f>IFERROR(Y464*1,"0")+IFERROR(Y465*1,"0")+IFERROR(Y469*1,"0")+IFERROR(Y473*1,"0")+IFERROR(Y474*1,"0")+IFERROR(Y475*1,"0")</f>
        <v>1584.6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5935.2000000000007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4,23"/>
        <filter val="1 130,00"/>
        <filter val="1 148,00"/>
        <filter val="1 200,00"/>
        <filter val="1 250,00"/>
        <filter val="1 448,00"/>
        <filter val="1 500,00"/>
        <filter val="1 580,00"/>
        <filter val="1 825,00"/>
        <filter val="1,67"/>
        <filter val="10,00"/>
        <filter val="100,00"/>
        <filter val="100,30"/>
        <filter val="104,00"/>
        <filter val="105,00"/>
        <filter val="109,00"/>
        <filter val="11,00"/>
        <filter val="11,90"/>
        <filter val="110,00"/>
        <filter val="115,00"/>
        <filter val="119,00"/>
        <filter val="12,00"/>
        <filter val="12,67"/>
        <filter val="123,00"/>
        <filter val="13,00"/>
        <filter val="13,80"/>
        <filter val="14,00"/>
        <filter val="149,00"/>
        <filter val="15,00"/>
        <filter val="16,00"/>
        <filter val="17 389,00"/>
        <filter val="175,00"/>
        <filter val="179,00"/>
        <filter val="18 765,10"/>
        <filter val="18,00"/>
        <filter val="19 615,10"/>
        <filter val="19,00"/>
        <filter val="190,00"/>
        <filter val="191,67"/>
        <filter val="196,00"/>
        <filter val="2 000,00"/>
        <filter val="2 010,00"/>
        <filter val="2 079,00"/>
        <filter val="2 878,00"/>
        <filter val="200,00"/>
        <filter val="21,00"/>
        <filter val="215,00"/>
        <filter val="24,00"/>
        <filter val="240,00"/>
        <filter val="257,28"/>
        <filter val="27,00"/>
        <filter val="28,00"/>
        <filter val="283,00"/>
        <filter val="29,60"/>
        <filter val="3 957,95"/>
        <filter val="3,17"/>
        <filter val="3,75"/>
        <filter val="300,00"/>
        <filter val="318,00"/>
        <filter val="321,00"/>
        <filter val="33,00"/>
        <filter val="33,79"/>
        <filter val="34"/>
        <filter val="35,00"/>
        <filter val="353,00"/>
        <filter val="354,96"/>
        <filter val="38,00"/>
        <filter val="38,50"/>
        <filter val="380,68"/>
        <filter val="395,25"/>
        <filter val="4,00"/>
        <filter val="40,00"/>
        <filter val="40,38"/>
        <filter val="400,00"/>
        <filter val="414,00"/>
        <filter val="43,58"/>
        <filter val="450,00"/>
        <filter val="46,67"/>
        <filter val="48,00"/>
        <filter val="480,00"/>
        <filter val="495,56"/>
        <filter val="5,56"/>
        <filter val="50,00"/>
        <filter val="500,00"/>
        <filter val="51,00"/>
        <filter val="533,00"/>
        <filter val="56,00"/>
        <filter val="6,00"/>
        <filter val="6,67"/>
        <filter val="60,00"/>
        <filter val="63,00"/>
        <filter val="64,10"/>
        <filter val="661,00"/>
        <filter val="68,33"/>
        <filter val="7,00"/>
        <filter val="70,00"/>
        <filter val="74,58"/>
        <filter val="750,00"/>
        <filter val="77,00"/>
        <filter val="79,00"/>
        <filter val="8,89"/>
        <filter val="80,00"/>
        <filter val="883,00"/>
        <filter val="9,00"/>
        <filter val="9,41"/>
        <filter val="945,00"/>
        <filter val="98,00"/>
        <filter val="99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