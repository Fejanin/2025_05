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4DAC94-1F7F-4634-AE1B-145E8968E9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BP514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P286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223" i="2" l="1"/>
  <c r="BN521" i="2"/>
  <c r="Z478" i="2"/>
  <c r="BN478" i="2"/>
  <c r="BN508" i="2"/>
  <c r="BP504" i="2"/>
  <c r="BN453" i="2"/>
  <c r="BN442" i="2"/>
  <c r="BN434" i="2"/>
  <c r="Y392" i="2"/>
  <c r="BN319" i="2"/>
  <c r="BN240" i="2"/>
  <c r="BN209" i="2"/>
  <c r="BN204" i="2"/>
  <c r="BN161" i="2"/>
  <c r="BN131" i="2"/>
  <c r="BN113" i="2"/>
  <c r="Z95" i="2"/>
  <c r="BP95" i="2"/>
  <c r="Z78" i="2"/>
  <c r="BN67" i="2"/>
  <c r="BN57" i="2"/>
  <c r="BN30" i="2"/>
  <c r="BP183" i="2"/>
  <c r="Z183" i="2"/>
  <c r="BN228" i="2"/>
  <c r="BN250" i="2"/>
  <c r="BN273" i="2"/>
  <c r="BN307" i="2"/>
  <c r="Y518" i="2"/>
  <c r="BN391" i="2"/>
  <c r="BN447" i="2"/>
  <c r="Z522" i="2"/>
  <c r="Y52" i="2"/>
  <c r="BN49" i="2"/>
  <c r="BN554" i="2"/>
  <c r="Y542" i="2"/>
  <c r="BP524" i="2"/>
  <c r="Y517" i="2"/>
  <c r="BN509" i="2"/>
  <c r="BN503" i="2"/>
  <c r="BN495" i="2"/>
  <c r="Y491" i="2"/>
  <c r="BN490" i="2"/>
  <c r="BN484" i="2"/>
  <c r="BN476" i="2"/>
  <c r="Y471" i="2"/>
  <c r="BN459" i="2"/>
  <c r="Z447" i="2"/>
  <c r="Z434" i="2"/>
  <c r="Z422" i="2"/>
  <c r="BP422" i="2"/>
  <c r="Y417" i="2"/>
  <c r="BN416" i="2"/>
  <c r="Y418" i="2"/>
  <c r="Z403" i="2"/>
  <c r="BP403" i="2"/>
  <c r="BN396" i="2"/>
  <c r="BN385" i="2"/>
  <c r="Z385" i="2"/>
  <c r="BN373" i="2"/>
  <c r="BP366" i="2"/>
  <c r="BN365" i="2"/>
  <c r="Z365" i="2"/>
  <c r="BN364" i="2"/>
  <c r="Z306" i="2"/>
  <c r="BN306" i="2"/>
  <c r="BN302" i="2"/>
  <c r="BN291" i="2"/>
  <c r="Z291" i="2"/>
  <c r="Z284" i="2"/>
  <c r="Z282" i="2"/>
  <c r="BN243" i="2"/>
  <c r="Z238" i="2"/>
  <c r="BP238" i="2"/>
  <c r="Z228" i="2"/>
  <c r="Z226" i="2"/>
  <c r="Z223" i="2"/>
  <c r="BN219" i="2"/>
  <c r="Z208" i="2"/>
  <c r="Z204" i="2"/>
  <c r="Y198" i="2"/>
  <c r="BN197" i="2"/>
  <c r="Z193" i="2"/>
  <c r="Z194" i="2" s="1"/>
  <c r="BP180" i="2"/>
  <c r="Z180" i="2"/>
  <c r="BN178" i="2"/>
  <c r="Z176" i="2"/>
  <c r="BN168" i="2"/>
  <c r="BN163" i="2"/>
  <c r="BN156" i="2"/>
  <c r="BN152" i="2"/>
  <c r="Z152" i="2"/>
  <c r="BN151" i="2"/>
  <c r="Y153" i="2"/>
  <c r="Z148" i="2"/>
  <c r="BP147" i="2"/>
  <c r="BN142" i="2"/>
  <c r="Z119" i="2"/>
  <c r="BP111" i="2"/>
  <c r="BN104" i="2"/>
  <c r="Y109" i="2"/>
  <c r="BN87" i="2"/>
  <c r="BN59" i="2"/>
  <c r="Z40" i="2"/>
  <c r="X560" i="2"/>
  <c r="Z30" i="2"/>
  <c r="BN22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49" i="2" s="1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297" i="2" l="1"/>
  <c r="Z359" i="2"/>
  <c r="Z454" i="2"/>
  <c r="Z245" i="2"/>
  <c r="Z123" i="2"/>
  <c r="Z108" i="2"/>
  <c r="Z42" i="2"/>
  <c r="Z556" i="2"/>
  <c r="Z511" i="2"/>
  <c r="Z443" i="2"/>
  <c r="Z437" i="2"/>
  <c r="Z417" i="2"/>
  <c r="Z411" i="2"/>
  <c r="Z399" i="2"/>
  <c r="Z322" i="2"/>
  <c r="Z251" i="2"/>
  <c r="Z164" i="2"/>
  <c r="Z143" i="2"/>
  <c r="Z133" i="2"/>
  <c r="Z62" i="2"/>
  <c r="X561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<sst xmlns="http://schemas.openxmlformats.org/spreadsheetml/2006/main" count="4275" uniqueCount="895">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</sst>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894</v>
      </c>
      <c r="I5" s="995"/>
      <c r="J5" s="995"/>
      <c r="K5" s="995"/>
      <c r="L5" s="995"/>
      <c r="M5" s="995"/>
      <c r="N5" s="72"/>
      <c r="P5" s="27" t="s">
        <v>4</v>
      </c>
      <c r="Q5" s="997">
        <v>46283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876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Пятница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4.1666666666666664E-2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48</v>
      </c>
      <c r="Y40" s="55">
        <f>IFERROR(IF(X40="",0,CEILING((X40/$H40),1)*$H40),"")</f>
        <v>48</v>
      </c>
      <c r="Z40" s="41">
        <f>IFERROR(IF(Y40=0,"",ROUNDUP(Y40/H40,0)*0.00651),"")</f>
        <v>0.16275000000000001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52.500000000000007</v>
      </c>
      <c r="BN40" s="78">
        <f>IFERROR(Y40*I40/H40,"0")</f>
        <v>52.500000000000007</v>
      </c>
      <c r="BO40" s="78">
        <f>IFERROR(1/J40*(X40/H40),"0")</f>
        <v>0.13736263736263737</v>
      </c>
      <c r="BP40" s="78">
        <f>IFERROR(1/J40*(Y40/H40),"0")</f>
        <v>0.13736263736263737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48</v>
      </c>
      <c r="Y41" s="55">
        <f>IFERROR(IF(X41="",0,CEILING((X41/$H41),1)*$H41),"")</f>
        <v>48</v>
      </c>
      <c r="Z41" s="41">
        <f>IFERROR(IF(Y41=0,"",ROUNDUP(Y41/H41,0)*0.00651),"")</f>
        <v>0.16275000000000001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52.500000000000007</v>
      </c>
      <c r="BN41" s="78">
        <f>IFERROR(Y41*I41/H41,"0")</f>
        <v>52.500000000000007</v>
      </c>
      <c r="BO41" s="78">
        <f>IFERROR(1/J41*(X41/H41),"0")</f>
        <v>0.13736263736263737</v>
      </c>
      <c r="BP41" s="78">
        <f>IFERROR(1/J41*(Y41/H41),"0")</f>
        <v>0.13736263736263737</v>
      </c>
    </row>
    <row r="42" spans="1:68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50</v>
      </c>
      <c r="Y42" s="43">
        <f>IFERROR(Y37/H37,"0")+IFERROR(Y38/H38,"0")+IFERROR(Y39/H39,"0")+IFERROR(Y40/H40,"0")+IFERROR(Y41/H41,"0")</f>
        <v>50</v>
      </c>
      <c r="Z42" s="43">
        <f>IFERROR(IF(Z37="",0,Z37),"0")+IFERROR(IF(Z38="",0,Z38),"0")+IFERROR(IF(Z39="",0,Z39),"0")+IFERROR(IF(Z40="",0,Z40),"0")+IFERROR(IF(Z41="",0,Z41),"0")</f>
        <v>0.32550000000000001</v>
      </c>
      <c r="AA42" s="67"/>
      <c r="AB42" s="67"/>
      <c r="AC42" s="67"/>
    </row>
    <row r="43" spans="1:68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96</v>
      </c>
      <c r="Y43" s="43">
        <f>IFERROR(SUM(Y37:Y41),"0")</f>
        <v>96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400</v>
      </c>
      <c r="Y49" s="55">
        <f>IFERROR(IF(X49="",0,CEILING((X49/$H49),1)*$H49),"")</f>
        <v>400</v>
      </c>
      <c r="Z49" s="41">
        <f>IFERROR(IF(Y49=0,"",ROUNDUP(Y49/H49,0)*0.00902),"")</f>
        <v>0.90200000000000002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419.00000000000006</v>
      </c>
      <c r="BN49" s="78">
        <f>IFERROR(Y49*I49/H49,"0")</f>
        <v>419.00000000000006</v>
      </c>
      <c r="BO49" s="78">
        <f>IFERROR(1/J49*(X49/H49),"0")</f>
        <v>0.75757575757575757</v>
      </c>
      <c r="BP49" s="78">
        <f>IFERROR(1/J49*(Y49/H49),"0")</f>
        <v>0.75757575757575757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109.25925925925927</v>
      </c>
      <c r="Y51" s="43">
        <f>IFERROR(Y47/H47,"0")+IFERROR(Y48/H48,"0")+IFERROR(Y49/H49,"0")+IFERROR(Y50/H50,"0")</f>
        <v>110</v>
      </c>
      <c r="Z51" s="43">
        <f>IFERROR(IF(Z47="",0,Z47),"0")+IFERROR(IF(Z48="",0,Z48),"0")+IFERROR(IF(Z49="",0,Z49),"0")+IFERROR(IF(Z50="",0,Z50),"0")</f>
        <v>1.0918000000000001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500</v>
      </c>
      <c r="Y52" s="43">
        <f>IFERROR(SUM(Y47:Y50),"0")</f>
        <v>508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180</v>
      </c>
      <c r="Y61" s="55">
        <f t="shared" si="0"/>
        <v>180</v>
      </c>
      <c r="Z61" s="41">
        <f>IFERROR(IF(Y61=0,"",ROUNDUP(Y61/H61,0)*0.00902),"")</f>
        <v>0.36080000000000001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187.60000000000002</v>
      </c>
      <c r="BN61" s="78">
        <f t="shared" si="2"/>
        <v>187.60000000000002</v>
      </c>
      <c r="BO61" s="78">
        <f t="shared" si="3"/>
        <v>0.30303030303030304</v>
      </c>
      <c r="BP61" s="78">
        <f t="shared" si="4"/>
        <v>0.30303030303030304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53.888888888888886</v>
      </c>
      <c r="Y62" s="43">
        <f>IFERROR(Y55/H55,"0")+IFERROR(Y56/H56,"0")+IFERROR(Y57/H57,"0")+IFERROR(Y58/H58,"0")+IFERROR(Y59/H59,"0")+IFERROR(Y60/H60,"0")+IFERROR(Y61/H61,"0")</f>
        <v>54</v>
      </c>
      <c r="Z62" s="43">
        <f>IFERROR(IF(Z55="",0,Z55),"0")+IFERROR(IF(Z56="",0,Z56),"0")+IFERROR(IF(Z57="",0,Z57),"0")+IFERROR(IF(Z58="",0,Z58),"0")+IFERROR(IF(Z59="",0,Z59),"0")+IFERROR(IF(Z60="",0,Z60),"0")+IFERROR(IF(Z61="",0,Z61),"0")</f>
        <v>0.62651999999999997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330</v>
      </c>
      <c r="Y63" s="43">
        <f>IFERROR(SUM(Y55:Y61),"0")</f>
        <v>331.20000000000005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158</v>
      </c>
      <c r="Y68" s="55">
        <f>IFERROR(IF(X68="",0,CEILING((X68/$H68),1)*$H68),"")</f>
        <v>159.30000000000001</v>
      </c>
      <c r="Z68" s="41">
        <f>IFERROR(IF(Y68=0,"",ROUNDUP(Y68/H68,0)*0.00651),"")</f>
        <v>0.38408999999999999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168.5333333333333</v>
      </c>
      <c r="BN68" s="78">
        <f>IFERROR(Y68*I68/H68,"0")</f>
        <v>169.92</v>
      </c>
      <c r="BO68" s="78">
        <f>IFERROR(1/J68*(X68/H68),"0")</f>
        <v>0.32153032153032152</v>
      </c>
      <c r="BP68" s="78">
        <f>IFERROR(1/J68*(Y68/H68),"0")</f>
        <v>0.32417582417582419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63.148148148148138</v>
      </c>
      <c r="Y69" s="43">
        <f>IFERROR(Y65/H65,"0")+IFERROR(Y66/H66,"0")+IFERROR(Y67/H67,"0")+IFERROR(Y68/H68,"0")</f>
        <v>64</v>
      </c>
      <c r="Z69" s="43">
        <f>IFERROR(IF(Z65="",0,Z65),"0")+IFERROR(IF(Z66="",0,Z66),"0")+IFERROR(IF(Z67="",0,Z67),"0")+IFERROR(IF(Z68="",0,Z68),"0")</f>
        <v>0.47898999999999997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208</v>
      </c>
      <c r="Y70" s="43">
        <f>IFERROR(SUM(Y65:Y68),"0")</f>
        <v>213.3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3.8461538461538463</v>
      </c>
      <c r="Y81" s="43">
        <f>IFERROR(Y78/H78,"0")+IFERROR(Y79/H79,"0")+IFERROR(Y80/H80,"0")</f>
        <v>4</v>
      </c>
      <c r="Z81" s="43">
        <f>IFERROR(IF(Z78="",0,Z78),"0")+IFERROR(IF(Z79="",0,Z79),"0")+IFERROR(IF(Z80="",0,Z80),"0")</f>
        <v>7.5920000000000001E-2</v>
      </c>
      <c r="AA81" s="67"/>
      <c r="AB81" s="67"/>
      <c r="AC81" s="67"/>
    </row>
    <row r="82" spans="1:68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30</v>
      </c>
      <c r="Y82" s="43">
        <f>IFERROR(SUM(Y78:Y80),"0")</f>
        <v>31.2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170</v>
      </c>
      <c r="Y85" s="55">
        <f t="shared" ref="Y85:Y90" si="5">IFERROR(IF(X85="",0,CEILING((X85/$H85),1)*$H85),"")</f>
        <v>172.8</v>
      </c>
      <c r="Z85" s="41">
        <f>IFERROR(IF(Y85=0,"",ROUNDUP(Y85/H85,0)*0.01898),"")</f>
        <v>0.30368000000000001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176.4537037037037</v>
      </c>
      <c r="BN85" s="78">
        <f t="shared" ref="BN85:BN90" si="7">IFERROR(Y85*I85/H85,"0")</f>
        <v>179.36</v>
      </c>
      <c r="BO85" s="78">
        <f t="shared" ref="BO85:BO90" si="8">IFERROR(1/J85*(X85/H85),"0")</f>
        <v>0.24594907407407407</v>
      </c>
      <c r="BP85" s="78">
        <f t="shared" ref="BP85:BP90" si="9">IFERROR(1/J85*(Y85/H85),"0")</f>
        <v>0.25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405</v>
      </c>
      <c r="Y89" s="55">
        <f t="shared" si="5"/>
        <v>405</v>
      </c>
      <c r="Z89" s="41">
        <f>IFERROR(IF(Y89=0,"",ROUNDUP(Y89/H89,0)*0.00902),"")</f>
        <v>0.81180000000000008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422.1</v>
      </c>
      <c r="BN89" s="78">
        <f t="shared" si="7"/>
        <v>422.1</v>
      </c>
      <c r="BO89" s="78">
        <f t="shared" si="8"/>
        <v>0.68181818181818188</v>
      </c>
      <c r="BP89" s="78">
        <f t="shared" si="9"/>
        <v>0.68181818181818188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105.74074074074073</v>
      </c>
      <c r="Y91" s="43">
        <f>IFERROR(Y85/H85,"0")+IFERROR(Y86/H86,"0")+IFERROR(Y87/H87,"0")+IFERROR(Y88/H88,"0")+IFERROR(Y89/H89,"0")+IFERROR(Y90/H90,"0")</f>
        <v>106</v>
      </c>
      <c r="Z91" s="43">
        <f>IFERROR(IF(Z85="",0,Z85),"0")+IFERROR(IF(Z86="",0,Z86),"0")+IFERROR(IF(Z87="",0,Z87),"0")+IFERROR(IF(Z88="",0,Z88),"0")+IFERROR(IF(Z89="",0,Z89),"0")+IFERROR(IF(Z90="",0,Z90),"0")</f>
        <v>1.11548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575</v>
      </c>
      <c r="Y92" s="43">
        <f>IFERROR(SUM(Y85:Y90),"0")</f>
        <v>577.79999999999995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1200</v>
      </c>
      <c r="Y94" s="55">
        <f>IFERROR(IF(X94="",0,CEILING((X94/$H94),1)*$H94),"")</f>
        <v>1206.8999999999999</v>
      </c>
      <c r="Z94" s="41">
        <f>IFERROR(IF(Y94=0,"",ROUNDUP(Y94/H94,0)*0.01898),"")</f>
        <v>2.82802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1273.1851851851852</v>
      </c>
      <c r="BN94" s="78">
        <f>IFERROR(Y94*I94/H94,"0")</f>
        <v>1280.5059999999999</v>
      </c>
      <c r="BO94" s="78">
        <f>IFERROR(1/J94*(X94/H94),"0")</f>
        <v>2.3148148148148149</v>
      </c>
      <c r="BP94" s="78">
        <f>IFERROR(1/J94*(Y94/H94),"0")</f>
        <v>2.328125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148.14814814814815</v>
      </c>
      <c r="Y98" s="43">
        <f>IFERROR(Y94/H94,"0")+IFERROR(Y95/H95,"0")+IFERROR(Y96/H96,"0")+IFERROR(Y97/H97,"0")</f>
        <v>149</v>
      </c>
      <c r="Z98" s="43">
        <f>IFERROR(IF(Z94="",0,Z94),"0")+IFERROR(IF(Z95="",0,Z95),"0")+IFERROR(IF(Z96="",0,Z96),"0")+IFERROR(IF(Z97="",0,Z97),"0")</f>
        <v>2.82802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1200</v>
      </c>
      <c r="Y99" s="43">
        <f>IFERROR(SUM(Y94:Y97),"0")</f>
        <v>1206.8999999999999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1200</v>
      </c>
      <c r="Y119" s="55">
        <f>IFERROR(IF(X119="",0,CEILING((X119/$H119),1)*$H119),"")</f>
        <v>1206.8999999999999</v>
      </c>
      <c r="Z119" s="41">
        <f>IFERROR(IF(Y119=0,"",ROUNDUP(Y119/H119,0)*0.01898),"")</f>
        <v>2.82802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1272.2962962962961</v>
      </c>
      <c r="BN119" s="78">
        <f>IFERROR(Y119*I119/H119,"0")</f>
        <v>1279.6119999999999</v>
      </c>
      <c r="BO119" s="78">
        <f>IFERROR(1/J119*(X119/H119),"0")</f>
        <v>2.3148148148148149</v>
      </c>
      <c r="BP119" s="78">
        <f>IFERROR(1/J119*(Y119/H119),"0")</f>
        <v>2.328125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30</v>
      </c>
      <c r="Y122" s="55">
        <f>IFERROR(IF(X122="",0,CEILING((X122/$H122),1)*$H122),"")</f>
        <v>30.6</v>
      </c>
      <c r="Z122" s="41">
        <f>IFERROR(IF(Y122=0,"",ROUNDUP(Y122/H122,0)*0.00651),"")</f>
        <v>0.11067</v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33</v>
      </c>
      <c r="BN122" s="78">
        <f>IFERROR(Y122*I122/H122,"0")</f>
        <v>33.659999999999997</v>
      </c>
      <c r="BO122" s="78">
        <f>IFERROR(1/J122*(X122/H122),"0")</f>
        <v>9.1575091575091583E-2</v>
      </c>
      <c r="BP122" s="78">
        <f>IFERROR(1/J122*(Y122/H122),"0")</f>
        <v>9.3406593406593408E-2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164.81481481481481</v>
      </c>
      <c r="Y123" s="43">
        <f>IFERROR(Y119/H119,"0")+IFERROR(Y120/H120,"0")+IFERROR(Y121/H121,"0")+IFERROR(Y122/H122,"0")</f>
        <v>166</v>
      </c>
      <c r="Z123" s="43">
        <f>IFERROR(IF(Z119="",0,Z119),"0")+IFERROR(IF(Z120="",0,Z120),"0")+IFERROR(IF(Z121="",0,Z121),"0")+IFERROR(IF(Z122="",0,Z122),"0")</f>
        <v>2.9386899999999998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1230</v>
      </c>
      <c r="Y124" s="43">
        <f>IFERROR(SUM(Y119:Y122),"0")</f>
        <v>1237.4999999999998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43</v>
      </c>
      <c r="Y126" s="55">
        <f>IFERROR(IF(X126="",0,CEILING((X126/$H126),1)*$H126),"")</f>
        <v>43.56</v>
      </c>
      <c r="Z126" s="41">
        <f>IFERROR(IF(Y126=0,"",ROUNDUP(Y126/H126,0)*0.00651),"")</f>
        <v>0.14322000000000001</v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48.603030303030302</v>
      </c>
      <c r="BN126" s="78">
        <f>IFERROR(Y126*I126/H126,"0")</f>
        <v>49.235999999999997</v>
      </c>
      <c r="BO126" s="78">
        <f>IFERROR(1/J126*(X126/H126),"0")</f>
        <v>0.11932511932511933</v>
      </c>
      <c r="BP126" s="78">
        <f>IFERROR(1/J126*(Y126/H126),"0")</f>
        <v>0.12087912087912089</v>
      </c>
    </row>
    <row r="127" spans="1:68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21.717171717171716</v>
      </c>
      <c r="Y127" s="43">
        <f>IFERROR(Y126/H126,"0")</f>
        <v>22</v>
      </c>
      <c r="Z127" s="43">
        <f>IFERROR(IF(Z126="",0,Z126),"0")</f>
        <v>0.14322000000000001</v>
      </c>
      <c r="AA127" s="67"/>
      <c r="AB127" s="67"/>
      <c r="AC127" s="67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43</v>
      </c>
      <c r="Y128" s="43">
        <f>IFERROR(SUM(Y126:Y126),"0")</f>
        <v>43.56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100</v>
      </c>
      <c r="Y132" s="55">
        <f>IFERROR(IF(X132="",0,CEILING((X132/$H132),1)*$H132),"")</f>
        <v>102.4</v>
      </c>
      <c r="Z132" s="41">
        <f>IFERROR(IF(Y132=0,"",ROUNDUP(Y132/H132,0)*0.00651),"")</f>
        <v>0.20832000000000001</v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105.625</v>
      </c>
      <c r="BN132" s="78">
        <f>IFERROR(Y132*I132/H132,"0")</f>
        <v>108.16</v>
      </c>
      <c r="BO132" s="78">
        <f>IFERROR(1/J132*(X132/H132),"0")</f>
        <v>0.1717032967032967</v>
      </c>
      <c r="BP132" s="78">
        <f>IFERROR(1/J132*(Y132/H132),"0")</f>
        <v>0.17582417582417584</v>
      </c>
    </row>
    <row r="133" spans="1:68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31.25</v>
      </c>
      <c r="Y133" s="43">
        <f>IFERROR(Y131/H131,"0")+IFERROR(Y132/H132,"0")</f>
        <v>32</v>
      </c>
      <c r="Z133" s="43">
        <f>IFERROR(IF(Z131="",0,Z131),"0")+IFERROR(IF(Z132="",0,Z132),"0")</f>
        <v>0.20832000000000001</v>
      </c>
      <c r="AA133" s="67"/>
      <c r="AB133" s="67"/>
      <c r="AC133" s="67"/>
    </row>
    <row r="134" spans="1:68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100</v>
      </c>
      <c r="Y134" s="43">
        <f>IFERROR(SUM(Y131:Y132),"0")</f>
        <v>102.4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77</v>
      </c>
      <c r="Y136" s="55">
        <f>IFERROR(IF(X136="",0,CEILING((X136/$H136),1)*$H136),"")</f>
        <v>78.399999999999991</v>
      </c>
      <c r="Z136" s="41">
        <f>IFERROR(IF(Y136=0,"",ROUNDUP(Y136/H136,0)*0.00651),"")</f>
        <v>0.18228</v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84.370000000000019</v>
      </c>
      <c r="BN136" s="78">
        <f>IFERROR(Y136*I136/H136,"0")</f>
        <v>85.903999999999996</v>
      </c>
      <c r="BO136" s="78">
        <f>IFERROR(1/J136*(X136/H136),"0")</f>
        <v>0.15109890109890112</v>
      </c>
      <c r="BP136" s="78">
        <f>IFERROR(1/J136*(Y136/H136),"0")</f>
        <v>0.15384615384615385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27.5</v>
      </c>
      <c r="Y138" s="43">
        <f>IFERROR(Y136/H136,"0")+IFERROR(Y137/H137,"0")</f>
        <v>28</v>
      </c>
      <c r="Z138" s="43">
        <f>IFERROR(IF(Z136="",0,Z136),"0")+IFERROR(IF(Z137="",0,Z137),"0")</f>
        <v>0.18228</v>
      </c>
      <c r="AA138" s="67"/>
      <c r="AB138" s="67"/>
      <c r="AC138" s="67"/>
    </row>
    <row r="139" spans="1:68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77</v>
      </c>
      <c r="Y139" s="43">
        <f>IFERROR(SUM(Y136:Y137),"0")</f>
        <v>78.399999999999991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18</v>
      </c>
      <c r="Y167" s="55">
        <f>IFERROR(IF(X167="",0,CEILING((X167/$H167),1)*$H167),"")</f>
        <v>18</v>
      </c>
      <c r="Z167" s="41">
        <f>IFERROR(IF(Y167=0,"",ROUNDUP(Y167/H167,0)*0.00556),"")</f>
        <v>0.13899999999999998</v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21.25</v>
      </c>
      <c r="BN167" s="78">
        <f>IFERROR(Y167*I167/H167,"0")</f>
        <v>21.25</v>
      </c>
      <c r="BO167" s="78">
        <f>IFERROR(1/J167*(X167/H167),"0")</f>
        <v>9.9206349206349201E-2</v>
      </c>
      <c r="BP167" s="78">
        <f>IFERROR(1/J167*(Y167/H167),"0")</f>
        <v>9.9206349206349201E-2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25</v>
      </c>
      <c r="Y169" s="43">
        <f>IFERROR(Y167/H167,"0")+IFERROR(Y168/H168,"0")</f>
        <v>25</v>
      </c>
      <c r="Z169" s="43">
        <f>IFERROR(IF(Z167="",0,Z167),"0")+IFERROR(IF(Z168="",0,Z168),"0")</f>
        <v>0.13899999999999998</v>
      </c>
      <c r="AA169" s="67"/>
      <c r="AB169" s="67"/>
      <c r="AC169" s="67"/>
    </row>
    <row r="170" spans="1:68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18</v>
      </c>
      <c r="Y170" s="43">
        <f>IFERROR(SUM(Y167:Y168),"0")</f>
        <v>18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400</v>
      </c>
      <c r="Y172" s="55">
        <f t="shared" ref="Y172:Y183" si="21">IFERROR(IF(X172="",0,CEILING((X172/$H172),1)*$H172),"")</f>
        <v>402.5</v>
      </c>
      <c r="Z172" s="41">
        <f>IFERROR(IF(Y172=0,"",ROUNDUP(Y172/H172,0)*0.00902),"")</f>
        <v>1.0373000000000001</v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421.71428571428572</v>
      </c>
      <c r="BN172" s="78">
        <f t="shared" ref="BN172:BN183" si="23">IFERROR(Y172*I172/H172,"0")</f>
        <v>424.34999999999997</v>
      </c>
      <c r="BO172" s="78">
        <f t="shared" ref="BO172:BO183" si="24">IFERROR(1/J172*(X172/H172),"0")</f>
        <v>0.8658008658008659</v>
      </c>
      <c r="BP172" s="78">
        <f t="shared" ref="BP172:BP183" si="25">IFERROR(1/J172*(Y172/H172),"0")</f>
        <v>0.87121212121212122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550</v>
      </c>
      <c r="Y174" s="55">
        <f t="shared" si="21"/>
        <v>553</v>
      </c>
      <c r="Z174" s="41">
        <f>IFERROR(IF(Y174=0,"",ROUNDUP(Y174/H174,0)*0.00902),"")</f>
        <v>1.42516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579.85714285714289</v>
      </c>
      <c r="BN174" s="78">
        <f t="shared" si="23"/>
        <v>583.02</v>
      </c>
      <c r="BO174" s="78">
        <f t="shared" si="24"/>
        <v>1.1904761904761905</v>
      </c>
      <c r="BP174" s="78">
        <f t="shared" si="25"/>
        <v>1.196969696969697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9</v>
      </c>
      <c r="Y177" s="55">
        <f t="shared" si="21"/>
        <v>9</v>
      </c>
      <c r="Z177" s="41">
        <f>IFERROR(IF(Y177=0,"",ROUNDUP(Y177/H177,0)*0.00417),"")</f>
        <v>4.1700000000000001E-2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11.1</v>
      </c>
      <c r="BN177" s="78">
        <f t="shared" si="23"/>
        <v>11.1</v>
      </c>
      <c r="BO177" s="78">
        <f t="shared" si="24"/>
        <v>2.976190476190476E-2</v>
      </c>
      <c r="BP177" s="78">
        <f t="shared" si="25"/>
        <v>2.976190476190476E-2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224</v>
      </c>
      <c r="Y179" s="55">
        <f t="shared" si="21"/>
        <v>225.12</v>
      </c>
      <c r="Z179" s="41">
        <f>IFERROR(IF(Y179=0,"",ROUNDUP(Y179/H179,0)*0.00502),"")</f>
        <v>0.67268000000000006</v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237.33333333333337</v>
      </c>
      <c r="BN179" s="78">
        <f t="shared" si="23"/>
        <v>238.52000000000004</v>
      </c>
      <c r="BO179" s="78">
        <f t="shared" si="24"/>
        <v>0.56980056980056992</v>
      </c>
      <c r="BP179" s="78">
        <f t="shared" si="25"/>
        <v>0.57264957264957272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224</v>
      </c>
      <c r="Y181" s="55">
        <f t="shared" si="21"/>
        <v>225.12</v>
      </c>
      <c r="Z181" s="41">
        <f>IFERROR(IF(Y181=0,"",ROUNDUP(Y181/H181,0)*0.00502),"")</f>
        <v>0.67268000000000006</v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237.33333333333337</v>
      </c>
      <c r="BN181" s="78">
        <f t="shared" si="23"/>
        <v>238.52000000000004</v>
      </c>
      <c r="BO181" s="78">
        <f t="shared" si="24"/>
        <v>0.56980056980056992</v>
      </c>
      <c r="BP181" s="78">
        <f t="shared" si="25"/>
        <v>0.57264957264957272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196</v>
      </c>
      <c r="Y183" s="55">
        <f t="shared" si="21"/>
        <v>196.56</v>
      </c>
      <c r="Z183" s="41">
        <f>IFERROR(IF(Y183=0,"",ROUNDUP(Y183/H183,0)*0.00502),"")</f>
        <v>0.58733999999999997</v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207.66666666666669</v>
      </c>
      <c r="BN183" s="78">
        <f t="shared" si="23"/>
        <v>208.26000000000002</v>
      </c>
      <c r="BO183" s="78">
        <f t="shared" si="24"/>
        <v>0.49857549857549865</v>
      </c>
      <c r="BP183" s="78">
        <f t="shared" si="25"/>
        <v>0.5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664.76190476190482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668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4.4368600000000002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1603</v>
      </c>
      <c r="Y185" s="43">
        <f>IFERROR(SUM(Y172:Y183),"0")</f>
        <v>1611.2999999999997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100</v>
      </c>
      <c r="Y208" s="55">
        <f t="shared" si="26"/>
        <v>108</v>
      </c>
      <c r="Z208" s="41">
        <f t="shared" si="27"/>
        <v>0.1898</v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103.79629629629629</v>
      </c>
      <c r="BN208" s="78">
        <f t="shared" si="29"/>
        <v>112.1</v>
      </c>
      <c r="BO208" s="78">
        <f t="shared" si="30"/>
        <v>0.14467592592592593</v>
      </c>
      <c r="BP208" s="78">
        <f t="shared" si="31"/>
        <v>0.15625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9.2592592592592595</v>
      </c>
      <c r="Y210" s="43">
        <f>IFERROR(Y203/H203,"0")+IFERROR(Y204/H204,"0")+IFERROR(Y205/H205,"0")+IFERROR(Y206/H206,"0")+IFERROR(Y207/H207,"0")+IFERROR(Y208/H208,"0")+IFERROR(Y209/H209,"0")</f>
        <v>10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0.1898</v>
      </c>
      <c r="AA210" s="67"/>
      <c r="AB210" s="67"/>
      <c r="AC210" s="67"/>
    </row>
    <row r="211" spans="1:68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100</v>
      </c>
      <c r="Y211" s="43">
        <f>IFERROR(SUM(Y203:Y209),"0")</f>
        <v>108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2" si="32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52.976190476190474</v>
      </c>
      <c r="BN218" s="78">
        <f t="shared" ref="BN218:BN232" si="34">IFERROR(Y218*I218/H218,"0")</f>
        <v>53.400000000000006</v>
      </c>
      <c r="BO218" s="78">
        <f t="shared" ref="BO218:BO232" si="35">IFERROR(1/J218*(X218/H218),"0")</f>
        <v>9.0187590187590191E-2</v>
      </c>
      <c r="BP218" s="78">
        <f t="shared" ref="BP218:BP232" si="36">IFERROR(1/J218*(Y218/H218),"0")</f>
        <v>9.0909090909090912E-2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40</v>
      </c>
      <c r="Y219" s="55">
        <f t="shared" si="32"/>
        <v>42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42.38095238095238</v>
      </c>
      <c r="BN219" s="78">
        <f t="shared" si="34"/>
        <v>44.5</v>
      </c>
      <c r="BO219" s="78">
        <f t="shared" si="35"/>
        <v>7.2150072150072145E-2</v>
      </c>
      <c r="BP219" s="78">
        <f t="shared" si="36"/>
        <v>7.575757575757576E-2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2"/>
        <v>100.80000000000001</v>
      </c>
      <c r="Z220" s="41">
        <f>IFERROR(IF(Y220=0,"",ROUNDUP(Y220/H220,0)*0.00902),"")</f>
        <v>0.21648000000000001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104.5238095238095</v>
      </c>
      <c r="BN220" s="78">
        <f t="shared" si="34"/>
        <v>105.36</v>
      </c>
      <c r="BO220" s="78">
        <f t="shared" si="35"/>
        <v>0.18037518037518038</v>
      </c>
      <c r="BP220" s="78">
        <f t="shared" si="36"/>
        <v>0.18181818181818182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12</v>
      </c>
      <c r="Y221" s="55">
        <f t="shared" si="32"/>
        <v>12</v>
      </c>
      <c r="Z221" s="41">
        <f>IFERROR(IF(Y221=0,"",ROUNDUP(Y221/H221,0)*0.00556),"")</f>
        <v>8.3400000000000002E-2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13.95</v>
      </c>
      <c r="BN221" s="78">
        <f t="shared" si="34"/>
        <v>13.95</v>
      </c>
      <c r="BO221" s="78">
        <f t="shared" si="35"/>
        <v>5.9523809523809521E-2</v>
      </c>
      <c r="BP221" s="78">
        <f t="shared" si="36"/>
        <v>5.9523809523809521E-2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70</v>
      </c>
      <c r="Y222" s="55">
        <f t="shared" si="32"/>
        <v>71.400000000000006</v>
      </c>
      <c r="Z222" s="41">
        <f t="shared" ref="Z222:Z227" si="37">IFERROR(IF(Y222=0,"",ROUNDUP(Y222/H222,0)*0.00502),"")</f>
        <v>0.17068</v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74.333333333333329</v>
      </c>
      <c r="BN222" s="78">
        <f t="shared" si="34"/>
        <v>75.820000000000007</v>
      </c>
      <c r="BO222" s="78">
        <f t="shared" si="35"/>
        <v>0.14245014245014245</v>
      </c>
      <c r="BP222" s="78">
        <f t="shared" si="36"/>
        <v>0.14529914529914531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280</v>
      </c>
      <c r="Y224" s="55">
        <f t="shared" si="32"/>
        <v>281.40000000000003</v>
      </c>
      <c r="Z224" s="41">
        <f t="shared" si="37"/>
        <v>0.67268000000000006</v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297.33333333333331</v>
      </c>
      <c r="BN224" s="78">
        <f t="shared" si="34"/>
        <v>298.82</v>
      </c>
      <c r="BO224" s="78">
        <f t="shared" si="35"/>
        <v>0.56980056980056981</v>
      </c>
      <c r="BP224" s="78">
        <f t="shared" si="36"/>
        <v>0.57264957264957272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12</v>
      </c>
      <c r="Y228" s="55">
        <f t="shared" si="32"/>
        <v>12</v>
      </c>
      <c r="Z228" s="41">
        <f>IFERROR(IF(Y228=0,"",ROUNDUP(Y228/H228,0)*0.00417),"")</f>
        <v>6.2549999999999994E-2</v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15.15</v>
      </c>
      <c r="BN228" s="78">
        <f t="shared" si="34"/>
        <v>15.15</v>
      </c>
      <c r="BO228" s="78">
        <f t="shared" si="35"/>
        <v>4.4642857142857137E-2</v>
      </c>
      <c r="BP228" s="78">
        <f t="shared" si="36"/>
        <v>4.4642857142857137E-2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350</v>
      </c>
      <c r="Y229" s="55">
        <f t="shared" si="32"/>
        <v>350.7</v>
      </c>
      <c r="Z229" s="41">
        <f>IFERROR(IF(Y229=0,"",ROUNDUP(Y229/H229,0)*0.00502),"")</f>
        <v>0.83833999999999997</v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366.66666666666669</v>
      </c>
      <c r="BN229" s="78">
        <f t="shared" si="34"/>
        <v>367.40000000000003</v>
      </c>
      <c r="BO229" s="78">
        <f t="shared" si="35"/>
        <v>0.71225071225071224</v>
      </c>
      <c r="BP229" s="78">
        <f t="shared" si="36"/>
        <v>0.71367521367521369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408.57142857142856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411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2.2425700000000002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914</v>
      </c>
      <c r="Y234" s="43">
        <f>IFERROR(SUM(Y218:Y232),"0")</f>
        <v>920.7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14</v>
      </c>
      <c r="Y248" s="55">
        <f>IFERROR(IF(X248="",0,CEILING((X248/$H248),1)*$H248),"")</f>
        <v>15.120000000000001</v>
      </c>
      <c r="Z248" s="41">
        <f>IFERROR(IF(Y248=0,"",ROUNDUP(Y248/H248,0)*0.0059),"")</f>
        <v>7.0800000000000002E-2</v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16.111111111111111</v>
      </c>
      <c r="BN248" s="78">
        <f>IFERROR(Y248*I248/H248,"0")</f>
        <v>17.399999999999999</v>
      </c>
      <c r="BO248" s="78">
        <f>IFERROR(1/J248*(X248/H248),"0")</f>
        <v>5.1440329218106991E-2</v>
      </c>
      <c r="BP248" s="78">
        <f>IFERROR(1/J248*(Y248/H248),"0")</f>
        <v>5.5555555555555552E-2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7</v>
      </c>
      <c r="Y249" s="55">
        <f>IFERROR(IF(X249="",0,CEILING((X249/$H249),1)*$H249),"")</f>
        <v>7.5600000000000005</v>
      </c>
      <c r="Z249" s="41">
        <f>IFERROR(IF(Y249=0,"",ROUNDUP(Y249/H249,0)*0.0059),"")</f>
        <v>3.5400000000000001E-2</v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8.0555555555555554</v>
      </c>
      <c r="BN249" s="78">
        <f>IFERROR(Y249*I249/H249,"0")</f>
        <v>8.6999999999999993</v>
      </c>
      <c r="BO249" s="78">
        <f>IFERROR(1/J249*(X249/H249),"0")</f>
        <v>2.5720164609053495E-2</v>
      </c>
      <c r="BP249" s="78">
        <f>IFERROR(1/J249*(Y249/H249),"0")</f>
        <v>2.7777777777777776E-2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28</v>
      </c>
      <c r="Y250" s="55">
        <f>IFERROR(IF(X250="",0,CEILING((X250/$H250),1)*$H250),"")</f>
        <v>28.98</v>
      </c>
      <c r="Z250" s="41">
        <f>IFERROR(IF(Y250=0,"",ROUNDUP(Y250/H250,0)*0.0059),"")</f>
        <v>0.13569999999999999</v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32.222222222222221</v>
      </c>
      <c r="BN250" s="78">
        <f>IFERROR(Y250*I250/H250,"0")</f>
        <v>33.35</v>
      </c>
      <c r="BO250" s="78">
        <f>IFERROR(1/J250*(X250/H250),"0")</f>
        <v>0.10288065843621398</v>
      </c>
      <c r="BP250" s="78">
        <f>IFERROR(1/J250*(Y250/H250),"0")</f>
        <v>0.10648148148148148</v>
      </c>
    </row>
    <row r="251" spans="1:68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38.888888888888886</v>
      </c>
      <c r="Y251" s="43">
        <f>IFERROR(Y248/H248,"0")+IFERROR(Y249/H249,"0")+IFERROR(Y250/H250,"0")</f>
        <v>41</v>
      </c>
      <c r="Z251" s="43">
        <f>IFERROR(IF(Z248="",0,Z248),"0")+IFERROR(IF(Z249="",0,Z249),"0")+IFERROR(IF(Z250="",0,Z250),"0")</f>
        <v>0.2419</v>
      </c>
      <c r="AA251" s="67"/>
      <c r="AB251" s="67"/>
      <c r="AC251" s="67"/>
    </row>
    <row r="252" spans="1:68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49</v>
      </c>
      <c r="Y252" s="43">
        <f>IFERROR(SUM(Y248:Y250),"0")</f>
        <v>51.66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14</v>
      </c>
      <c r="Y254" s="55">
        <f>IFERROR(IF(X254="",0,CEILING((X254/$H254),1)*$H254),"")</f>
        <v>15.120000000000001</v>
      </c>
      <c r="Z254" s="41">
        <f>IFERROR(IF(Y254=0,"",ROUNDUP(Y254/H254,0)*0.0059),"")</f>
        <v>7.0800000000000002E-2</v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16.111111111111111</v>
      </c>
      <c r="BN254" s="78">
        <f>IFERROR(Y254*I254/H254,"0")</f>
        <v>17.399999999999999</v>
      </c>
      <c r="BO254" s="78">
        <f>IFERROR(1/J254*(X254/H254),"0")</f>
        <v>5.1440329218106991E-2</v>
      </c>
      <c r="BP254" s="78">
        <f>IFERROR(1/J254*(Y254/H254),"0")</f>
        <v>5.5555555555555552E-2</v>
      </c>
    </row>
    <row r="255" spans="1:68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11.111111111111111</v>
      </c>
      <c r="Y255" s="43">
        <f>IFERROR(Y254/H254,"0")</f>
        <v>12</v>
      </c>
      <c r="Z255" s="43">
        <f>IFERROR(IF(Z254="",0,Z254),"0")</f>
        <v>7.0800000000000002E-2</v>
      </c>
      <c r="AA255" s="67"/>
      <c r="AB255" s="67"/>
      <c r="AC255" s="67"/>
    </row>
    <row r="256" spans="1:68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14</v>
      </c>
      <c r="Y256" s="43">
        <f>IFERROR(SUM(Y254:Y254),"0")</f>
        <v>15.120000000000001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500</v>
      </c>
      <c r="Y269" s="55">
        <f t="shared" ref="Y269:Y276" si="43">IFERROR(IF(X269="",0,CEILING((X269/$H269),1)*$H269),"")</f>
        <v>502.20000000000005</v>
      </c>
      <c r="Z269" s="41">
        <f>IFERROR(IF(Y269=0,"",ROUNDUP(Y269/H269,0)*0.00902),"")</f>
        <v>0.83886000000000005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517.59259259259261</v>
      </c>
      <c r="BN269" s="78">
        <f t="shared" ref="BN269:BN276" si="45">IFERROR(Y269*I269/H269,"0")</f>
        <v>519.87</v>
      </c>
      <c r="BO269" s="78">
        <f t="shared" ref="BO269:BO276" si="46">IFERROR(1/J269*(X269/H269),"0")</f>
        <v>0.70145903479236804</v>
      </c>
      <c r="BP269" s="78">
        <f t="shared" ref="BP269:BP276" si="47">IFERROR(1/J269*(Y269/H269),"0")</f>
        <v>0.70454545454545459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43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51.759259259259252</v>
      </c>
      <c r="BN270" s="78">
        <f t="shared" si="45"/>
        <v>55.9</v>
      </c>
      <c r="BO270" s="78">
        <f t="shared" si="46"/>
        <v>7.0145903479236812E-2</v>
      </c>
      <c r="BP270" s="78">
        <f t="shared" si="47"/>
        <v>7.575757575757576E-2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43"/>
        <v>302.40000000000003</v>
      </c>
      <c r="Z271" s="41">
        <f>IFERROR(IF(Y271=0,"",ROUNDUP(Y271/H271,0)*0.00902),"")</f>
        <v>0.50512000000000001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310.55555555555554</v>
      </c>
      <c r="BN271" s="78">
        <f t="shared" si="45"/>
        <v>313.04000000000002</v>
      </c>
      <c r="BO271" s="78">
        <f t="shared" si="46"/>
        <v>0.42087542087542085</v>
      </c>
      <c r="BP271" s="78">
        <f t="shared" si="47"/>
        <v>0.42424242424242425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110</v>
      </c>
      <c r="Y272" s="55">
        <f t="shared" si="43"/>
        <v>113.4</v>
      </c>
      <c r="Z272" s="41">
        <f>IFERROR(IF(Y272=0,"",ROUNDUP(Y272/H272,0)*0.00902),"")</f>
        <v>0.18942000000000001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113.87037037037035</v>
      </c>
      <c r="BN272" s="78">
        <f t="shared" si="45"/>
        <v>117.39</v>
      </c>
      <c r="BO272" s="78">
        <f t="shared" si="46"/>
        <v>0.15432098765432098</v>
      </c>
      <c r="BP272" s="78">
        <f t="shared" si="47"/>
        <v>0.15909090909090909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210</v>
      </c>
      <c r="Y273" s="55">
        <f t="shared" si="43"/>
        <v>210.6</v>
      </c>
      <c r="Z273" s="41">
        <f>IFERROR(IF(Y273=0,"",ROUNDUP(Y273/H273,0)*0.00502),"")</f>
        <v>0.58733999999999997</v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225.16666666666666</v>
      </c>
      <c r="BN273" s="78">
        <f t="shared" si="45"/>
        <v>225.80999999999997</v>
      </c>
      <c r="BO273" s="78">
        <f t="shared" si="46"/>
        <v>0.4985754985754986</v>
      </c>
      <c r="BP273" s="78">
        <f t="shared" si="47"/>
        <v>0.5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180</v>
      </c>
      <c r="Y274" s="55">
        <f t="shared" si="43"/>
        <v>180</v>
      </c>
      <c r="Z274" s="41">
        <f>IFERROR(IF(Y274=0,"",ROUNDUP(Y274/H274,0)*0.00502),"")</f>
        <v>0.502</v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190</v>
      </c>
      <c r="BN274" s="78">
        <f t="shared" si="45"/>
        <v>190</v>
      </c>
      <c r="BO274" s="78">
        <f t="shared" si="46"/>
        <v>0.42735042735042739</v>
      </c>
      <c r="BP274" s="78">
        <f t="shared" si="47"/>
        <v>0.42735042735042739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180</v>
      </c>
      <c r="Y275" s="55">
        <f t="shared" si="43"/>
        <v>180</v>
      </c>
      <c r="Z275" s="41">
        <f>IFERROR(IF(Y275=0,"",ROUNDUP(Y275/H275,0)*0.00502),"")</f>
        <v>0.502</v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190</v>
      </c>
      <c r="BN275" s="78">
        <f t="shared" si="45"/>
        <v>190</v>
      </c>
      <c r="BO275" s="78">
        <f t="shared" si="46"/>
        <v>0.42735042735042739</v>
      </c>
      <c r="BP275" s="78">
        <f t="shared" si="47"/>
        <v>0.42735042735042739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si="43"/>
        <v>151.20000000000002</v>
      </c>
      <c r="Z276" s="41">
        <f>IFERROR(IF(Y276=0,"",ROUNDUP(Y276/H276,0)*0.00502),"")</f>
        <v>0.42168</v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158.33333333333334</v>
      </c>
      <c r="BN276" s="78">
        <f t="shared" si="45"/>
        <v>159.60000000000002</v>
      </c>
      <c r="BO276" s="78">
        <f t="shared" si="46"/>
        <v>0.35612535612535612</v>
      </c>
      <c r="BP276" s="78">
        <f t="shared" si="47"/>
        <v>0.35897435897435909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577.77777777777783</v>
      </c>
      <c r="Y277" s="43">
        <f>IFERROR(Y269/H269,"0")+IFERROR(Y270/H270,"0")+IFERROR(Y271/H271,"0")+IFERROR(Y272/H272,"0")+IFERROR(Y273/H273,"0")+IFERROR(Y274/H274,"0")+IFERROR(Y275/H275,"0")+IFERROR(Y276/H276,"0")</f>
        <v>581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3.6366199999999993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1680</v>
      </c>
      <c r="Y278" s="43">
        <f>IFERROR(SUM(Y269:Y276),"0")</f>
        <v>1693.8000000000002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100</v>
      </c>
      <c r="Y280" s="55">
        <f t="shared" ref="Y280:Y291" si="48">IFERROR(IF(X280="",0,CEILING((X280/$H280),1)*$H280),"")</f>
        <v>105.3</v>
      </c>
      <c r="Z280" s="41">
        <f>IFERROR(IF(Y280=0,"",ROUNDUP(Y280/H280,0)*0.01898),"")</f>
        <v>0.24674000000000001</v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106.09876543209877</v>
      </c>
      <c r="BN280" s="78">
        <f t="shared" ref="BN280:BN291" si="50">IFERROR(Y280*I280/H280,"0")</f>
        <v>111.72199999999999</v>
      </c>
      <c r="BO280" s="78">
        <f t="shared" ref="BO280:BO291" si="51">IFERROR(1/J280*(X280/H280),"0")</f>
        <v>0.19290123456790123</v>
      </c>
      <c r="BP280" s="78">
        <f t="shared" ref="BP280:BP291" si="52">IFERROR(1/J280*(Y280/H280),"0")</f>
        <v>0.203125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720</v>
      </c>
      <c r="Y283" s="55">
        <f t="shared" si="48"/>
        <v>720</v>
      </c>
      <c r="Z283" s="41">
        <f>IFERROR(IF(Y283=0,"",ROUNDUP(Y283/H283,0)*0.00651),"")</f>
        <v>1.9530000000000001</v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801</v>
      </c>
      <c r="BN283" s="78">
        <f t="shared" si="50"/>
        <v>801</v>
      </c>
      <c r="BO283" s="78">
        <f t="shared" si="51"/>
        <v>1.6483516483516485</v>
      </c>
      <c r="BP283" s="78">
        <f t="shared" si="52"/>
        <v>1.6483516483516485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160</v>
      </c>
      <c r="Y290" s="55">
        <f t="shared" si="48"/>
        <v>160.79999999999998</v>
      </c>
      <c r="Z290" s="41">
        <f>IFERROR(IF(Y290=0,"",ROUNDUP(Y290/H290,0)*0.00651),"")</f>
        <v>0.43617</v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177.2</v>
      </c>
      <c r="BN290" s="78">
        <f t="shared" si="50"/>
        <v>178.08599999999998</v>
      </c>
      <c r="BO290" s="78">
        <f t="shared" si="51"/>
        <v>0.36630036630036633</v>
      </c>
      <c r="BP290" s="78">
        <f t="shared" si="52"/>
        <v>0.36813186813186816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379.01234567901236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380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2.6359100000000004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980</v>
      </c>
      <c r="Y293" s="43">
        <f>IFERROR(SUM(Y280:Y291),"0")</f>
        <v>986.09999999999991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80</v>
      </c>
      <c r="Y295" s="55">
        <f>IFERROR(IF(X295="",0,CEILING((X295/$H295),1)*$H295),"")</f>
        <v>81.599999999999994</v>
      </c>
      <c r="Z295" s="41">
        <f>IFERROR(IF(Y295=0,"",ROUNDUP(Y295/H295,0)*0.00651),"")</f>
        <v>0.22134000000000001</v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88.40000000000002</v>
      </c>
      <c r="BN295" s="78">
        <f>IFERROR(Y295*I295/H295,"0")</f>
        <v>90.168000000000006</v>
      </c>
      <c r="BO295" s="78">
        <f>IFERROR(1/J295*(X295/H295),"0")</f>
        <v>0.18315018315018317</v>
      </c>
      <c r="BP295" s="78">
        <f>IFERROR(1/J295*(Y295/H295),"0")</f>
        <v>0.18681318681318682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160</v>
      </c>
      <c r="Y296" s="55">
        <f>IFERROR(IF(X296="",0,CEILING((X296/$H296),1)*$H296),"")</f>
        <v>160.79999999999998</v>
      </c>
      <c r="Z296" s="41">
        <f>IFERROR(IF(Y296=0,"",ROUNDUP(Y296/H296,0)*0.00651),"")</f>
        <v>0.43617</v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176.80000000000004</v>
      </c>
      <c r="BN296" s="78">
        <f>IFERROR(Y296*I296/H296,"0")</f>
        <v>177.684</v>
      </c>
      <c r="BO296" s="78">
        <f>IFERROR(1/J296*(X296/H296),"0")</f>
        <v>0.36630036630036633</v>
      </c>
      <c r="BP296" s="78">
        <f>IFERROR(1/J296*(Y296/H296),"0")</f>
        <v>0.36813186813186816</v>
      </c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100</v>
      </c>
      <c r="Y297" s="43">
        <f>IFERROR(Y295/H295,"0")+IFERROR(Y296/H296,"0")</f>
        <v>101</v>
      </c>
      <c r="Z297" s="43">
        <f>IFERROR(IF(Z295="",0,Z295),"0")+IFERROR(IF(Z296="",0,Z296),"0")</f>
        <v>0.65751000000000004</v>
      </c>
      <c r="AA297" s="67"/>
      <c r="AB297" s="67"/>
      <c r="AC297" s="67"/>
    </row>
    <row r="298" spans="1:68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240</v>
      </c>
      <c r="Y298" s="43">
        <f>IFERROR(SUM(Y295:Y296),"0")</f>
        <v>242.39999999999998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120</v>
      </c>
      <c r="Y303" s="55">
        <f t="shared" si="53"/>
        <v>127.6</v>
      </c>
      <c r="Z303" s="41">
        <f>IFERROR(IF(Y303=0,"",ROUNDUP(Y303/H303,0)*0.01898),"")</f>
        <v>0.20877999999999999</v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124.24137931034484</v>
      </c>
      <c r="BN303" s="78">
        <f t="shared" si="55"/>
        <v>132.10999999999999</v>
      </c>
      <c r="BO303" s="78">
        <f t="shared" si="56"/>
        <v>0.16163793103448276</v>
      </c>
      <c r="BP303" s="78">
        <f t="shared" si="57"/>
        <v>0.171875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40</v>
      </c>
      <c r="Y307" s="55">
        <f t="shared" si="53"/>
        <v>40</v>
      </c>
      <c r="Z307" s="41">
        <f>IFERROR(IF(Y307=0,"",ROUNDUP(Y307/H307,0)*0.00902),"")</f>
        <v>9.0200000000000002E-2</v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41.900000000000006</v>
      </c>
      <c r="BN307" s="78">
        <f t="shared" si="55"/>
        <v>41.900000000000006</v>
      </c>
      <c r="BO307" s="78">
        <f t="shared" si="56"/>
        <v>7.575757575757576E-2</v>
      </c>
      <c r="BP307" s="78">
        <f t="shared" si="57"/>
        <v>7.575757575757576E-2</v>
      </c>
    </row>
    <row r="308" spans="1:68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20.344827586206897</v>
      </c>
      <c r="Y308" s="43">
        <f>IFERROR(Y301/H301,"0")+IFERROR(Y302/H302,"0")+IFERROR(Y303/H303,"0")+IFERROR(Y304/H304,"0")+IFERROR(Y305/H305,"0")+IFERROR(Y306/H306,"0")+IFERROR(Y307/H307,"0")</f>
        <v>21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0.29898000000000002</v>
      </c>
      <c r="AA308" s="67"/>
      <c r="AB308" s="67"/>
      <c r="AC308" s="67"/>
    </row>
    <row r="309" spans="1:68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160</v>
      </c>
      <c r="Y309" s="43">
        <f>IFERROR(SUM(Y301:Y307),"0")</f>
        <v>167.6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16</v>
      </c>
      <c r="Y311" s="55">
        <f>IFERROR(IF(X311="",0,CEILING((X311/$H311),1)*$H311),"")</f>
        <v>17.82</v>
      </c>
      <c r="Z311" s="41">
        <f>IFERROR(IF(Y311=0,"",ROUNDUP(Y311/H311,0)*0.00502),"")</f>
        <v>4.5179999999999998E-2</v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16.80808080808081</v>
      </c>
      <c r="BN311" s="78">
        <f>IFERROR(Y311*I311/H311,"0")</f>
        <v>18.720000000000002</v>
      </c>
      <c r="BO311" s="78">
        <f>IFERROR(1/J311*(X311/H311),"0")</f>
        <v>3.4533367866701206E-2</v>
      </c>
      <c r="BP311" s="78">
        <f>IFERROR(1/J311*(Y311/H311),"0")</f>
        <v>3.8461538461538464E-2</v>
      </c>
    </row>
    <row r="312" spans="1:68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8.0808080808080813</v>
      </c>
      <c r="Y312" s="43">
        <f>IFERROR(Y311/H311,"0")</f>
        <v>9</v>
      </c>
      <c r="Z312" s="43">
        <f>IFERROR(IF(Z311="",0,Z311),"0")</f>
        <v>4.5179999999999998E-2</v>
      </c>
      <c r="AA312" s="67"/>
      <c r="AB312" s="67"/>
      <c r="AC312" s="67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16</v>
      </c>
      <c r="Y313" s="43">
        <f>IFERROR(SUM(Y311:Y311),"0")</f>
        <v>17.82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12</v>
      </c>
      <c r="Y315" s="55">
        <f>IFERROR(IF(X315="",0,CEILING((X315/$H315),1)*$H315),"")</f>
        <v>12.6</v>
      </c>
      <c r="Z315" s="41">
        <f>IFERROR(IF(Y315=0,"",ROUNDUP(Y315/H315,0)*0.0059),"")</f>
        <v>4.1299999999999996E-2</v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13.166666666666668</v>
      </c>
      <c r="BN315" s="78">
        <f>IFERROR(Y315*I315/H315,"0")</f>
        <v>13.825000000000001</v>
      </c>
      <c r="BO315" s="78">
        <f>IFERROR(1/J315*(X315/H315),"0")</f>
        <v>3.0864197530864192E-2</v>
      </c>
      <c r="BP315" s="78">
        <f>IFERROR(1/J315*(Y315/H315),"0")</f>
        <v>3.2407407407407406E-2</v>
      </c>
    </row>
    <row r="316" spans="1:68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6.6666666666666661</v>
      </c>
      <c r="Y316" s="43">
        <f>IFERROR(Y315/H315,"0")</f>
        <v>7</v>
      </c>
      <c r="Z316" s="43">
        <f>IFERROR(IF(Z315="",0,Z315),"0")</f>
        <v>4.1299999999999996E-2</v>
      </c>
      <c r="AA316" s="67"/>
      <c r="AB316" s="67"/>
      <c r="AC316" s="67"/>
    </row>
    <row r="317" spans="1:68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12</v>
      </c>
      <c r="Y317" s="43">
        <f>IFERROR(SUM(Y315:Y315),"0")</f>
        <v>12.6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26</v>
      </c>
      <c r="Y320" s="55">
        <f>IFERROR(IF(X320="",0,CEILING((X320/$H320),1)*$H320),"")</f>
        <v>27</v>
      </c>
      <c r="Z320" s="41">
        <f>IFERROR(IF(Y320=0,"",ROUNDUP(Y320/H320,0)*0.0059),"")</f>
        <v>8.8499999999999995E-2</v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28.527777777777779</v>
      </c>
      <c r="BN320" s="78">
        <f>IFERROR(Y320*I320/H320,"0")</f>
        <v>29.625</v>
      </c>
      <c r="BO320" s="78">
        <f>IFERROR(1/J320*(X320/H320),"0")</f>
        <v>6.6872427983539096E-2</v>
      </c>
      <c r="BP320" s="78">
        <f>IFERROR(1/J320*(Y320/H320),"0")</f>
        <v>6.9444444444444448E-2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10</v>
      </c>
      <c r="Y321" s="55">
        <f>IFERROR(IF(X321="",0,CEILING((X321/$H321),1)*$H321),"")</f>
        <v>10.8</v>
      </c>
      <c r="Z321" s="41">
        <f>IFERROR(IF(Y321=0,"",ROUNDUP(Y321/H321,0)*0.0059),"")</f>
        <v>7.0800000000000002E-2</v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12.111111111111111</v>
      </c>
      <c r="BN321" s="78">
        <f>IFERROR(Y321*I321/H321,"0")</f>
        <v>13.080000000000002</v>
      </c>
      <c r="BO321" s="78">
        <f>IFERROR(1/J321*(X321/H321),"0")</f>
        <v>5.1440329218106991E-2</v>
      </c>
      <c r="BP321" s="78">
        <f>IFERROR(1/J321*(Y321/H321),"0")</f>
        <v>5.5555555555555552E-2</v>
      </c>
    </row>
    <row r="322" spans="1:68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25.555555555555557</v>
      </c>
      <c r="Y322" s="43">
        <f>IFERROR(Y319/H319,"0")+IFERROR(Y320/H320,"0")+IFERROR(Y321/H321,"0")</f>
        <v>27</v>
      </c>
      <c r="Z322" s="43">
        <f>IFERROR(IF(Z319="",0,Z319),"0")+IFERROR(IF(Z320="",0,Z320),"0")+IFERROR(IF(Z321="",0,Z321),"0")</f>
        <v>0.1593</v>
      </c>
      <c r="AA322" s="67"/>
      <c r="AB322" s="67"/>
      <c r="AC322" s="67"/>
    </row>
    <row r="323" spans="1:68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36</v>
      </c>
      <c r="Y323" s="43">
        <f>IFERROR(SUM(Y319:Y321),"0")</f>
        <v>37.799999999999997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160</v>
      </c>
      <c r="Y336" s="55">
        <f>IFERROR(IF(X336="",0,CEILING((X336/$H336),1)*$H336),"")</f>
        <v>160.79999999999998</v>
      </c>
      <c r="Z336" s="41">
        <f>IFERROR(IF(Y336=0,"",ROUNDUP(Y336/H336,0)*0.00651),"")</f>
        <v>0.43617</v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176.80000000000004</v>
      </c>
      <c r="BN336" s="78">
        <f>IFERROR(Y336*I336/H336,"0")</f>
        <v>177.684</v>
      </c>
      <c r="BO336" s="78">
        <f>IFERROR(1/J336*(X336/H336),"0")</f>
        <v>0.36630036630036633</v>
      </c>
      <c r="BP336" s="78">
        <f>IFERROR(1/J336*(Y336/H336),"0")</f>
        <v>0.36813186813186816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66.666666666666671</v>
      </c>
      <c r="Y338" s="43">
        <f>IFERROR(Y335/H335,"0")+IFERROR(Y336/H336,"0")+IFERROR(Y337/H337,"0")</f>
        <v>67</v>
      </c>
      <c r="Z338" s="43">
        <f>IFERROR(IF(Z335="",0,Z335),"0")+IFERROR(IF(Z336="",0,Z336),"0")+IFERROR(IF(Z337="",0,Z337),"0")</f>
        <v>0.43617</v>
      </c>
      <c r="AA338" s="67"/>
      <c r="AB338" s="67"/>
      <c r="AC338" s="67"/>
    </row>
    <row r="339" spans="1:68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160</v>
      </c>
      <c r="Y339" s="43">
        <f>IFERROR(SUM(Y335:Y337),"0")</f>
        <v>160.79999999999998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100</v>
      </c>
      <c r="Y357" s="55">
        <f>IFERROR(IF(X357="",0,CEILING((X357/$H357),1)*$H357),"")</f>
        <v>101.39999999999999</v>
      </c>
      <c r="Z357" s="41">
        <f>IFERROR(IF(Y357=0,"",ROUNDUP(Y357/H357,0)*0.01898),"")</f>
        <v>0.24674000000000001</v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105.25641025641028</v>
      </c>
      <c r="BN357" s="78">
        <f>IFERROR(Y357*I357/H357,"0")</f>
        <v>106.73</v>
      </c>
      <c r="BO357" s="78">
        <f>IFERROR(1/J357*(X357/H357),"0")</f>
        <v>0.20032051282051283</v>
      </c>
      <c r="BP357" s="78">
        <f>IFERROR(1/J357*(Y357/H357),"0")</f>
        <v>0.203125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50</v>
      </c>
      <c r="Y358" s="55">
        <f>IFERROR(IF(X358="",0,CEILING((X358/$H358),1)*$H358),"")</f>
        <v>54.6</v>
      </c>
      <c r="Z358" s="41">
        <f>IFERROR(IF(Y358=0,"",ROUNDUP(Y358/H358,0)*0.01898),"")</f>
        <v>0.13286000000000001</v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52.628205128205138</v>
      </c>
      <c r="BN358" s="78">
        <f>IFERROR(Y358*I358/H358,"0")</f>
        <v>57.470000000000013</v>
      </c>
      <c r="BO358" s="78">
        <f>IFERROR(1/J358*(X358/H358),"0")</f>
        <v>0.10016025641025642</v>
      </c>
      <c r="BP358" s="78">
        <f>IFERROR(1/J358*(Y358/H358),"0")</f>
        <v>0.109375</v>
      </c>
    </row>
    <row r="359" spans="1:68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32.051282051282051</v>
      </c>
      <c r="Y359" s="43">
        <f>IFERROR(Y356/H356,"0")+IFERROR(Y357/H357,"0")+IFERROR(Y358/H358,"0")</f>
        <v>33</v>
      </c>
      <c r="Z359" s="43">
        <f>IFERROR(IF(Z356="",0,Z356),"0")+IFERROR(IF(Z357="",0,Z357),"0")+IFERROR(IF(Z358="",0,Z358),"0")</f>
        <v>0.62634000000000001</v>
      </c>
      <c r="AA359" s="67"/>
      <c r="AB359" s="67"/>
      <c r="AC359" s="67"/>
    </row>
    <row r="360" spans="1:68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250</v>
      </c>
      <c r="Y360" s="43">
        <f>IFERROR(SUM(Y356:Y358),"0")</f>
        <v>257.39999999999998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48</v>
      </c>
      <c r="Y378" s="55">
        <f t="shared" si="63"/>
        <v>48.6</v>
      </c>
      <c r="Z378" s="41">
        <f>IFERROR(IF(Y378=0,"",ROUNDUP(Y378/H378,0)*0.00651),"")</f>
        <v>0.17577000000000001</v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54.08</v>
      </c>
      <c r="BN378" s="78">
        <f t="shared" si="65"/>
        <v>54.756</v>
      </c>
      <c r="BO378" s="78">
        <f t="shared" si="66"/>
        <v>0.14652014652014653</v>
      </c>
      <c r="BP378" s="78">
        <f t="shared" si="67"/>
        <v>0.14835164835164835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26.666666666666664</v>
      </c>
      <c r="Y379" s="43">
        <f>IFERROR(Y372/H372,"0")+IFERROR(Y373/H373,"0")+IFERROR(Y374/H374,"0")+IFERROR(Y375/H375,"0")+IFERROR(Y376/H376,"0")+IFERROR(Y377/H377,"0")+IFERROR(Y378/H378,"0")</f>
        <v>27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0.17577000000000001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48</v>
      </c>
      <c r="Y380" s="43">
        <f>IFERROR(SUM(Y372:Y378),"0")</f>
        <v>48.6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850</v>
      </c>
      <c r="Y389" s="55">
        <f>IFERROR(IF(X389="",0,CEILING((X389/$H389),1)*$H389),"")</f>
        <v>856.80000000000007</v>
      </c>
      <c r="Z389" s="41">
        <f>IFERROR(IF(Y389=0,"",ROUNDUP(Y389/H389,0)*0.01898),"")</f>
        <v>1.9359600000000001</v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899.9880952380953</v>
      </c>
      <c r="BN389" s="78">
        <f>IFERROR(Y389*I389/H389,"0")</f>
        <v>907.18799999999999</v>
      </c>
      <c r="BO389" s="78">
        <f>IFERROR(1/J389*(X389/H389),"0")</f>
        <v>1.5811011904761905</v>
      </c>
      <c r="BP389" s="78">
        <f>IFERROR(1/J389*(Y389/H389),"0")</f>
        <v>1.59375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100.80000000000001</v>
      </c>
      <c r="Z391" s="41">
        <f>IFERROR(IF(Y391=0,"",ROUNDUP(Y391/H391,0)*0.01898),"")</f>
        <v>0.22776000000000002</v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105.88095238095238</v>
      </c>
      <c r="BN391" s="78">
        <f>IFERROR(Y391*I391/H391,"0")</f>
        <v>106.72800000000001</v>
      </c>
      <c r="BO391" s="78">
        <f>IFERROR(1/J391*(X391/H391),"0")</f>
        <v>0.18601190476190477</v>
      </c>
      <c r="BP391" s="78">
        <f>IFERROR(1/J391*(Y391/H391),"0")</f>
        <v>0.1875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113.0952380952381</v>
      </c>
      <c r="Y392" s="43">
        <f>IFERROR(Y389/H389,"0")+IFERROR(Y390/H390,"0")+IFERROR(Y391/H391,"0")</f>
        <v>114</v>
      </c>
      <c r="Z392" s="43">
        <f>IFERROR(IF(Z389="",0,Z389),"0")+IFERROR(IF(Z390="",0,Z390),"0")+IFERROR(IF(Z391="",0,Z391),"0")</f>
        <v>2.1637200000000001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950</v>
      </c>
      <c r="Y393" s="43">
        <f>IFERROR(SUM(Y389:Y391),"0")</f>
        <v>957.60000000000014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60</v>
      </c>
      <c r="Y395" s="55">
        <f>IFERROR(IF(X395="",0,CEILING((X395/$H395),1)*$H395),"")</f>
        <v>60.8</v>
      </c>
      <c r="Z395" s="41">
        <f>IFERROR(IF(Y395=0,"",ROUNDUP(Y395/H395,0)*0.00902),"")</f>
        <v>0.1804</v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65.328947368421055</v>
      </c>
      <c r="BN395" s="78">
        <f>IFERROR(Y395*I395/H395,"0")</f>
        <v>66.2</v>
      </c>
      <c r="BO395" s="78">
        <f>IFERROR(1/J395*(X395/H395),"0")</f>
        <v>0.14952153110047847</v>
      </c>
      <c r="BP395" s="78">
        <f>IFERROR(1/J395*(Y395/H395),"0")</f>
        <v>0.15151515151515152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19.736842105263158</v>
      </c>
      <c r="Y399" s="43">
        <f>IFERROR(Y395/H395,"0")+IFERROR(Y396/H396,"0")+IFERROR(Y397/H397,"0")+IFERROR(Y398/H398,"0")</f>
        <v>20</v>
      </c>
      <c r="Z399" s="43">
        <f>IFERROR(IF(Z395="",0,Z395),"0")+IFERROR(IF(Z396="",0,Z396),"0")+IFERROR(IF(Z397="",0,Z397),"0")+IFERROR(IF(Z398="",0,Z398),"0")</f>
        <v>0.1804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60</v>
      </c>
      <c r="Y400" s="43">
        <f>IFERROR(SUM(Y395:Y398),"0")</f>
        <v>60.8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100</v>
      </c>
      <c r="Y429" s="55">
        <f t="shared" ref="Y429:Y436" si="68">IFERROR(IF(X429="",0,CEILING((X429/$H429),1)*$H429),"")</f>
        <v>105</v>
      </c>
      <c r="Z429" s="41">
        <f>IFERROR(IF(Y429=0,"",ROUNDUP(Y429/H429,0)*0.02175),"")</f>
        <v>0.15225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103.13333333333334</v>
      </c>
      <c r="BN429" s="78">
        <f t="shared" ref="BN429:BN436" si="70">IFERROR(Y429*I429/H429,"0")</f>
        <v>108.29</v>
      </c>
      <c r="BO429" s="78">
        <f t="shared" ref="BO429:BO436" si="71">IFERROR(1/J429*(X429/H429),"0")</f>
        <v>0.1388888888888889</v>
      </c>
      <c r="BP429" s="78">
        <f t="shared" ref="BP429:BP436" si="72">IFERROR(1/J429*(Y429/H429),"0")</f>
        <v>0.14583333333333331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1400</v>
      </c>
      <c r="Y430" s="55">
        <f t="shared" si="68"/>
        <v>1410</v>
      </c>
      <c r="Z430" s="41">
        <f>IFERROR(IF(Y430=0,"",ROUNDUP(Y430/H430,0)*0.02175),"")</f>
        <v>2.0444999999999998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1443.8666666666666</v>
      </c>
      <c r="BN430" s="78">
        <f t="shared" si="70"/>
        <v>1454.18</v>
      </c>
      <c r="BO430" s="78">
        <f t="shared" si="71"/>
        <v>1.9444444444444442</v>
      </c>
      <c r="BP430" s="78">
        <f t="shared" si="72"/>
        <v>1.9583333333333333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100</v>
      </c>
      <c r="Y437" s="43">
        <f>IFERROR(Y429/H429,"0")+IFERROR(Y430/H430,"0")+IFERROR(Y431/H431,"0")+IFERROR(Y432/H432,"0")+IFERROR(Y433/H433,"0")+IFERROR(Y434/H434,"0")+IFERROR(Y435/H435,"0")+IFERROR(Y436/H436,"0")</f>
        <v>101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2.1967499999999998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1500</v>
      </c>
      <c r="Y438" s="43">
        <f>IFERROR(SUM(Y429:Y436),"0")</f>
        <v>1515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1700</v>
      </c>
      <c r="Y440" s="55">
        <f>IFERROR(IF(X440="",0,CEILING((X440/$H440),1)*$H440),"")</f>
        <v>1710</v>
      </c>
      <c r="Z440" s="41">
        <f>IFERROR(IF(Y440=0,"",ROUNDUP(Y440/H440,0)*0.02175),"")</f>
        <v>2.4794999999999998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1753.2666666666667</v>
      </c>
      <c r="BN440" s="78">
        <f>IFERROR(Y440*I440/H440,"0")</f>
        <v>1763.5800000000002</v>
      </c>
      <c r="BO440" s="78">
        <f>IFERROR(1/J440*(X440/H440),"0")</f>
        <v>2.3611111111111107</v>
      </c>
      <c r="BP440" s="78">
        <f>IFERROR(1/J440*(Y440/H440),"0")</f>
        <v>2.375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220</v>
      </c>
      <c r="Y441" s="55">
        <f>IFERROR(IF(X441="",0,CEILING((X441/$H441),1)*$H441),"")</f>
        <v>225</v>
      </c>
      <c r="Z441" s="41">
        <f>IFERROR(IF(Y441=0,"",ROUNDUP(Y441/H441,0)*0.02175),"")</f>
        <v>0.32624999999999998</v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226.89333333333335</v>
      </c>
      <c r="BN441" s="78">
        <f>IFERROR(Y441*I441/H441,"0")</f>
        <v>232.05</v>
      </c>
      <c r="BO441" s="78">
        <f>IFERROR(1/J441*(X441/H441),"0")</f>
        <v>0.30555555555555552</v>
      </c>
      <c r="BP441" s="78">
        <f>IFERROR(1/J441*(Y441/H441),"0")</f>
        <v>0.3125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128</v>
      </c>
      <c r="Y443" s="43">
        <f>IFERROR(Y440/H440,"0")+IFERROR(Y441/H441,"0")+IFERROR(Y442/H442,"0")</f>
        <v>129</v>
      </c>
      <c r="Z443" s="43">
        <f>IFERROR(IF(Z440="",0,Z440),"0")+IFERROR(IF(Z441="",0,Z441),"0")+IFERROR(IF(Z442="",0,Z442),"0")</f>
        <v>2.8057499999999997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1920</v>
      </c>
      <c r="Y444" s="43">
        <f>IFERROR(SUM(Y440:Y442),"0")</f>
        <v>1935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108</v>
      </c>
      <c r="Z447" s="41">
        <f>IFERROR(IF(Y447=0,"",ROUNDUP(Y447/H447,0)*0.01898),"")</f>
        <v>0.22776000000000002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105.48888888888888</v>
      </c>
      <c r="BN447" s="78">
        <f>IFERROR(Y447*I447/H447,"0")</f>
        <v>113.92799999999998</v>
      </c>
      <c r="BO447" s="78">
        <f>IFERROR(1/J447*(X447/H447),"0")</f>
        <v>0.1736111111111111</v>
      </c>
      <c r="BP447" s="78">
        <f>IFERROR(1/J447*(Y447/H447),"0")</f>
        <v>0.1875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11.111111111111111</v>
      </c>
      <c r="Y449" s="43">
        <f>IFERROR(Y446/H446,"0")+IFERROR(Y447/H447,"0")+IFERROR(Y448/H448,"0")</f>
        <v>12</v>
      </c>
      <c r="Z449" s="43">
        <f>IFERROR(IF(Z446="",0,Z446),"0")+IFERROR(IF(Z447="",0,Z447),"0")+IFERROR(IF(Z448="",0,Z448),"0")</f>
        <v>0.22776000000000002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100</v>
      </c>
      <c r="Y450" s="43">
        <f>IFERROR(SUM(Y446:Y448),"0")</f>
        <v>108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60</v>
      </c>
      <c r="Y458" s="55">
        <f>IFERROR(IF(X458="",0,CEILING((X458/$H458),1)*$H458),"")</f>
        <v>60</v>
      </c>
      <c r="Z458" s="41">
        <f>IFERROR(IF(Y458=0,"",ROUNDUP(Y458/H458,0)*0.01898),"")</f>
        <v>9.4899999999999998E-2</v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62.050000000000004</v>
      </c>
      <c r="BN458" s="78">
        <f>IFERROR(Y458*I458/H458,"0")</f>
        <v>62.050000000000004</v>
      </c>
      <c r="BO458" s="78">
        <f>IFERROR(1/J458*(X458/H458),"0")</f>
        <v>7.8125E-2</v>
      </c>
      <c r="BP458" s="78">
        <f>IFERROR(1/J458*(Y458/H458),"0")</f>
        <v>7.8125E-2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5</v>
      </c>
      <c r="Y460" s="43">
        <f>IFERROR(Y458/H458,"0")+IFERROR(Y459/H459,"0")</f>
        <v>5</v>
      </c>
      <c r="Z460" s="43">
        <f>IFERROR(IF(Z458="",0,Z458),"0")+IFERROR(IF(Z459="",0,Z459),"0")</f>
        <v>9.4899999999999998E-2</v>
      </c>
      <c r="AA460" s="67"/>
      <c r="AB460" s="67"/>
      <c r="AC460" s="67"/>
    </row>
    <row r="461" spans="1:68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60</v>
      </c>
      <c r="Y461" s="43">
        <f>IFERROR(SUM(Y458:Y459),"0")</f>
        <v>60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50</v>
      </c>
      <c r="Y502" s="55">
        <f t="shared" ref="Y502:Y510" si="78">IFERROR(IF(X502="",0,CEILING((X502/$H502),1)*$H502),"")</f>
        <v>52.800000000000004</v>
      </c>
      <c r="Z502" s="41">
        <f t="shared" ref="Z502:Z507" si="79">IFERROR(IF(Y502=0,"",ROUNDUP(Y502/H502,0)*0.01196),"")</f>
        <v>0.1196</v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53.314393939393938</v>
      </c>
      <c r="BN502" s="78">
        <f t="shared" ref="BN502:BN510" si="81">IFERROR(Y502*I502/H502,"0")</f>
        <v>56.3</v>
      </c>
      <c r="BO502" s="78">
        <f t="shared" ref="BO502:BO510" si="82">IFERROR(1/J502*(X502/H502),"0")</f>
        <v>9.1054778554778545E-2</v>
      </c>
      <c r="BP502" s="78">
        <f t="shared" ref="BP502:BP510" si="83">IFERROR(1/J502*(Y502/H502),"0")</f>
        <v>9.6153846153846159E-2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100</v>
      </c>
      <c r="Y505" s="55">
        <f t="shared" si="78"/>
        <v>100.32000000000001</v>
      </c>
      <c r="Z505" s="41">
        <f t="shared" si="79"/>
        <v>0.22724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106.62878787878788</v>
      </c>
      <c r="BN505" s="78">
        <f t="shared" si="81"/>
        <v>106.97</v>
      </c>
      <c r="BO505" s="78">
        <f t="shared" si="82"/>
        <v>0.18210955710955709</v>
      </c>
      <c r="BP505" s="78">
        <f t="shared" si="83"/>
        <v>0.18269230769230771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200</v>
      </c>
      <c r="Y507" s="55">
        <f t="shared" si="78"/>
        <v>200.64000000000001</v>
      </c>
      <c r="Z507" s="41">
        <f t="shared" si="79"/>
        <v>0.45448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213.25757575757575</v>
      </c>
      <c r="BN507" s="78">
        <f t="shared" si="81"/>
        <v>213.94</v>
      </c>
      <c r="BO507" s="78">
        <f t="shared" si="82"/>
        <v>0.36421911421911418</v>
      </c>
      <c r="BP507" s="78">
        <f t="shared" si="83"/>
        <v>0.36538461538461542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300</v>
      </c>
      <c r="Y509" s="55">
        <f t="shared" si="78"/>
        <v>302.39999999999998</v>
      </c>
      <c r="Z509" s="41">
        <f>IFERROR(IF(Y509=0,"",ROUNDUP(Y509/H509,0)*0.00902),"")</f>
        <v>0.56825999999999999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431.875</v>
      </c>
      <c r="BN509" s="78">
        <f t="shared" si="81"/>
        <v>435.33</v>
      </c>
      <c r="BO509" s="78">
        <f t="shared" si="82"/>
        <v>0.47348484848484851</v>
      </c>
      <c r="BP509" s="78">
        <f t="shared" si="83"/>
        <v>0.47727272727272729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540</v>
      </c>
      <c r="Y510" s="55">
        <f t="shared" si="78"/>
        <v>542.4</v>
      </c>
      <c r="Z510" s="41">
        <f>IFERROR(IF(Y510=0,"",ROUNDUP(Y510/H510,0)*0.00902),"")</f>
        <v>1.0192600000000001</v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777.375</v>
      </c>
      <c r="BN510" s="78">
        <f t="shared" si="81"/>
        <v>780.83</v>
      </c>
      <c r="BO510" s="78">
        <f t="shared" si="82"/>
        <v>0.85227272727272729</v>
      </c>
      <c r="BP510" s="78">
        <f t="shared" si="83"/>
        <v>0.85606060606060608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241.28787878787878</v>
      </c>
      <c r="Y511" s="43">
        <f>IFERROR(Y502/H502,"0")+IFERROR(Y503/H503,"0")+IFERROR(Y504/H504,"0")+IFERROR(Y505/H505,"0")+IFERROR(Y506/H506,"0")+IFERROR(Y507/H507,"0")+IFERROR(Y508/H508,"0")+IFERROR(Y509/H509,"0")+IFERROR(Y510/H510,"0")</f>
        <v>243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2.3888400000000001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1190</v>
      </c>
      <c r="Y512" s="43">
        <f>IFERROR(SUM(Y502:Y510),"0")</f>
        <v>1198.56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hidden="1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210</v>
      </c>
      <c r="Y516" s="55">
        <f>IFERROR(IF(X516="",0,CEILING((X516/$H516),1)*$H516),"")</f>
        <v>211.2</v>
      </c>
      <c r="Z516" s="41">
        <f>IFERROR(IF(Y516=0,"",ROUNDUP(Y516/H516,0)*0.00902),"")</f>
        <v>0.39688000000000001</v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302.31250000000006</v>
      </c>
      <c r="BN516" s="78">
        <f>IFERROR(Y516*I516/H516,"0")</f>
        <v>304.04000000000002</v>
      </c>
      <c r="BO516" s="78">
        <f>IFERROR(1/J516*(X516/H516),"0")</f>
        <v>0.33143939393939392</v>
      </c>
      <c r="BP516" s="78">
        <f>IFERROR(1/J516*(Y516/H516),"0")</f>
        <v>0.33333333333333337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43.75</v>
      </c>
      <c r="Y517" s="43">
        <f>IFERROR(Y514/H514,"0")+IFERROR(Y515/H515,"0")+IFERROR(Y516/H516,"0")</f>
        <v>44</v>
      </c>
      <c r="Z517" s="43">
        <f>IFERROR(IF(Z514="",0,Z514),"0")+IFERROR(IF(Z515="",0,Z515),"0")+IFERROR(IF(Z516="",0,Z516),"0")</f>
        <v>0.39688000000000001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210</v>
      </c>
      <c r="Y518" s="43">
        <f>IFERROR(SUM(Y514:Y516),"0")</f>
        <v>211.2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100</v>
      </c>
      <c r="Y522" s="55">
        <f t="shared" si="84"/>
        <v>100.32000000000001</v>
      </c>
      <c r="Z522" s="41">
        <f>IFERROR(IF(Y522=0,"",ROUNDUP(Y522/H522,0)*0.01196),"")</f>
        <v>0.22724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106.62878787878788</v>
      </c>
      <c r="BN522" s="78">
        <f t="shared" si="86"/>
        <v>106.97</v>
      </c>
      <c r="BO522" s="78">
        <f t="shared" si="87"/>
        <v>0.18210955710955709</v>
      </c>
      <c r="BP522" s="78">
        <f t="shared" si="88"/>
        <v>0.18269230769230771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240</v>
      </c>
      <c r="Y526" s="55">
        <f t="shared" si="84"/>
        <v>240</v>
      </c>
      <c r="Z526" s="41">
        <f>IFERROR(IF(Y526=0,"",ROUNDUP(Y526/H526,0)*0.00902),"")</f>
        <v>0.45100000000000001</v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333.5</v>
      </c>
      <c r="BN526" s="78">
        <f t="shared" si="86"/>
        <v>333.5</v>
      </c>
      <c r="BO526" s="78">
        <f t="shared" si="87"/>
        <v>0.37878787878787878</v>
      </c>
      <c r="BP526" s="78">
        <f t="shared" si="88"/>
        <v>0.37878787878787878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68.939393939393938</v>
      </c>
      <c r="Y527" s="43">
        <f>IFERROR(Y520/H520,"0")+IFERROR(Y521/H521,"0")+IFERROR(Y522/H522,"0")+IFERROR(Y523/H523,"0")+IFERROR(Y524/H524,"0")+IFERROR(Y525/H525,"0")+IFERROR(Y526/H526,"0")</f>
        <v>69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0.67823999999999995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340</v>
      </c>
      <c r="Y528" s="43">
        <f>IFERROR(SUM(Y520:Y526),"0")</f>
        <v>340.32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200</v>
      </c>
      <c r="Y532" s="55">
        <f>IFERROR(IF(X532="",0,CEILING((X532/$H532),1)*$H532),"")</f>
        <v>204</v>
      </c>
      <c r="Z532" s="41">
        <f>IFERROR(IF(Y532=0,"",ROUNDUP(Y532/H532,0)*0.01898),"")</f>
        <v>0.32266</v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206.83333333333334</v>
      </c>
      <c r="BN532" s="78">
        <f>IFERROR(Y532*I532/H532,"0")</f>
        <v>210.97</v>
      </c>
      <c r="BO532" s="78">
        <f>IFERROR(1/J532*(X532/H532),"0")</f>
        <v>0.26041666666666669</v>
      </c>
      <c r="BP532" s="78">
        <f>IFERROR(1/J532*(Y532/H532),"0")</f>
        <v>0.265625</v>
      </c>
    </row>
    <row r="533" spans="1:68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16.666666666666668</v>
      </c>
      <c r="Y533" s="43">
        <f>IFERROR(Y532/H532,"0")</f>
        <v>17</v>
      </c>
      <c r="Z533" s="43">
        <f>IFERROR(IF(Z532="",0,Z532),"0")</f>
        <v>0.32266</v>
      </c>
      <c r="AA533" s="67"/>
      <c r="AB533" s="67"/>
      <c r="AC533" s="67"/>
    </row>
    <row r="534" spans="1:68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200</v>
      </c>
      <c r="Y534" s="43">
        <f>IFERROR(SUM(Y532:Y532),"0")</f>
        <v>204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150</v>
      </c>
      <c r="Y544" s="55">
        <f>IFERROR(IF(X544="",0,CEILING((X544/$H544),1)*$H544),"")</f>
        <v>153</v>
      </c>
      <c r="Z544" s="41">
        <f>IFERROR(IF(Y544=0,"",ROUNDUP(Y544/H544,0)*0.01898),"")</f>
        <v>0.32266</v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158.23333333333332</v>
      </c>
      <c r="BN544" s="78">
        <f>IFERROR(Y544*I544/H544,"0")</f>
        <v>161.398</v>
      </c>
      <c r="BO544" s="78">
        <f>IFERROR(1/J544*(X544/H544),"0")</f>
        <v>0.26041666666666669</v>
      </c>
      <c r="BP544" s="78">
        <f>IFERROR(1/J544*(Y544/H544),"0")</f>
        <v>0.265625</v>
      </c>
    </row>
    <row r="545" spans="1:68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16.666666666666668</v>
      </c>
      <c r="Y545" s="43">
        <f>IFERROR(Y544/H544,"0")</f>
        <v>17</v>
      </c>
      <c r="Z545" s="43">
        <f>IFERROR(IF(Z544="",0,Z544),"0")</f>
        <v>0.32266</v>
      </c>
      <c r="AA545" s="67"/>
      <c r="AB545" s="67"/>
      <c r="AC545" s="67"/>
    </row>
    <row r="546" spans="1:68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150</v>
      </c>
      <c r="Y546" s="43">
        <f>IFERROR(SUM(Y544:Y544),"0")</f>
        <v>153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17349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17519.439999999999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18792.005885225153</v>
      </c>
      <c r="Y559" s="43">
        <f>IFERROR(SUM(BN22:BN555),"0")</f>
        <v>18973.7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32</v>
      </c>
      <c r="Y560" s="44">
        <f>ROUNDUP(SUM(BP22:BP555),0)</f>
        <v>33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19592.005885225153</v>
      </c>
      <c r="Y561" s="43">
        <f>GrossWeightTotalR+PalletQtyTotalR*25</f>
        <v>19798.7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3943.9823122587795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3976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37.827310000000011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96</v>
      </c>
      <c r="D568" s="52">
        <f>IFERROR(Y47*1,"0")+IFERROR(Y48*1,"0")+IFERROR(Y49*1,"0")+IFERROR(Y50*1,"0")</f>
        <v>508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575.70000000000005</v>
      </c>
      <c r="F568" s="52">
        <f>IFERROR(Y85*1,"0")+IFERROR(Y86*1,"0")+IFERROR(Y87*1,"0")+IFERROR(Y88*1,"0")+IFERROR(Y89*1,"0")+IFERROR(Y90*1,"0")+IFERROR(Y94*1,"0")+IFERROR(Y95*1,"0")+IFERROR(Y96*1,"0")+IFERROR(Y97*1,"0")</f>
        <v>1784.6999999999998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1281.0599999999997</v>
      </c>
      <c r="H568" s="52">
        <f>IFERROR(Y131*1,"0")+IFERROR(Y132*1,"0")+IFERROR(Y136*1,"0")+IFERROR(Y137*1,"0")+IFERROR(Y141*1,"0")+IFERROR(Y142*1,"0")</f>
        <v>180.8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1629.2999999999997</v>
      </c>
      <c r="K568" s="52">
        <f>IFERROR(Y203*1,"0")+IFERROR(Y204*1,"0")+IFERROR(Y205*1,"0")+IFERROR(Y206*1,"0")+IFERROR(Y207*1,"0")+IFERROR(Y208*1,"0")+IFERROR(Y209*1,"0")</f>
        <v>108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987.48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2922.3000000000006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235.82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160.79999999999998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257.39999999999998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1067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3558</v>
      </c>
      <c r="X568" s="52">
        <f>IFERROR(Y458*1,"0")+IFERROR(Y459*1,"0")+IFERROR(Y463*1,"0")+IFERROR(Y467*1,"0")+IFERROR(Y468*1,"0")+IFERROR(Y469*1,"0")</f>
        <v>60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1750.08</v>
      </c>
      <c r="AB568" s="52">
        <f>IFERROR(Y532*1,"0")+IFERROR(Y536*1,"0")+IFERROR(Y540*1,"0")+IFERROR(Y544*1,"0")+IFERROR(Y548*1,"0")+IFERROR(Y549*1,"0")</f>
        <v>357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0,00"/>
        <filter val="1 200,00"/>
        <filter val="1 230,00"/>
        <filter val="1 400,00"/>
        <filter val="1 500,00"/>
        <filter val="1 603,00"/>
        <filter val="1 680,00"/>
        <filter val="1 700,00"/>
        <filter val="1 920,00"/>
        <filter val="10,00"/>
        <filter val="100,00"/>
        <filter val="105,74"/>
        <filter val="109,26"/>
        <filter val="11,11"/>
        <filter val="110,00"/>
        <filter val="113,10"/>
        <filter val="12,00"/>
        <filter val="120,00"/>
        <filter val="128,00"/>
        <filter val="14,00"/>
        <filter val="148,15"/>
        <filter val="150,00"/>
        <filter val="158,00"/>
        <filter val="16,00"/>
        <filter val="16,67"/>
        <filter val="160,00"/>
        <filter val="164,81"/>
        <filter val="17 349,00"/>
        <filter val="170,00"/>
        <filter val="18 792,01"/>
        <filter val="18,00"/>
        <filter val="180,00"/>
        <filter val="19 592,01"/>
        <filter val="19,74"/>
        <filter val="196,00"/>
        <filter val="20,34"/>
        <filter val="200,00"/>
        <filter val="208,00"/>
        <filter val="21,72"/>
        <filter val="210,00"/>
        <filter val="220,00"/>
        <filter val="224,00"/>
        <filter val="240,00"/>
        <filter val="241,29"/>
        <filter val="25,00"/>
        <filter val="25,56"/>
        <filter val="250,00"/>
        <filter val="26,00"/>
        <filter val="26,67"/>
        <filter val="27,50"/>
        <filter val="28,00"/>
        <filter val="280,00"/>
        <filter val="3 943,98"/>
        <filter val="3,85"/>
        <filter val="30,00"/>
        <filter val="300,00"/>
        <filter val="31,25"/>
        <filter val="32"/>
        <filter val="32,05"/>
        <filter val="330,00"/>
        <filter val="340,00"/>
        <filter val="350,00"/>
        <filter val="36,00"/>
        <filter val="379,01"/>
        <filter val="38,89"/>
        <filter val="40,00"/>
        <filter val="400,00"/>
        <filter val="405,00"/>
        <filter val="408,57"/>
        <filter val="43,00"/>
        <filter val="43,75"/>
        <filter val="48,00"/>
        <filter val="49,00"/>
        <filter val="5,00"/>
        <filter val="50,00"/>
        <filter val="500,00"/>
        <filter val="53,89"/>
        <filter val="540,00"/>
        <filter val="550,00"/>
        <filter val="575,00"/>
        <filter val="577,78"/>
        <filter val="6,67"/>
        <filter val="60,00"/>
        <filter val="63,15"/>
        <filter val="66,67"/>
        <filter val="664,76"/>
        <filter val="68,94"/>
        <filter val="7,00"/>
        <filter val="70,00"/>
        <filter val="720,00"/>
        <filter val="77,00"/>
        <filter val="8,08"/>
        <filter val="80,00"/>
        <filter val="850,00"/>
        <filter val="9,00"/>
        <filter val="9,26"/>
        <filter val="914,00"/>
        <filter val="950,00"/>
        <filter val="96,00"/>
        <filter val="98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