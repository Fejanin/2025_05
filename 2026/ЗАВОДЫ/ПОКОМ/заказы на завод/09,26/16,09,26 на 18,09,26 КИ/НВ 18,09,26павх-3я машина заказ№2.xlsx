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CBC8FC2-DE74-4473-9F5F-26A776B0895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6" i="2" s="1"/>
  <c r="P484" i="2"/>
  <c r="X482" i="2"/>
  <c r="X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Y393" i="2" s="1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Z335" i="2" s="1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P311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Y139" i="2" s="1"/>
  <c r="P136" i="2"/>
  <c r="X134" i="2"/>
  <c r="X133" i="2"/>
  <c r="BO132" i="2"/>
  <c r="BM132" i="2"/>
  <c r="Y132" i="2"/>
  <c r="BN132" i="2" s="1"/>
  <c r="P132" i="2"/>
  <c r="BO131" i="2"/>
  <c r="BM131" i="2"/>
  <c r="Y131" i="2"/>
  <c r="BN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Y124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F568" i="2" s="1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C568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485" i="2" l="1"/>
  <c r="Z237" i="2"/>
  <c r="BN237" i="2"/>
  <c r="Z113" i="2"/>
  <c r="Z27" i="2"/>
  <c r="BN27" i="2"/>
  <c r="BP178" i="2"/>
  <c r="Z284" i="2"/>
  <c r="BN284" i="2"/>
  <c r="Z395" i="2"/>
  <c r="Z50" i="2"/>
  <c r="BN50" i="2"/>
  <c r="BP223" i="2"/>
  <c r="BP269" i="2"/>
  <c r="Z351" i="2"/>
  <c r="Z431" i="2"/>
  <c r="BP476" i="2"/>
  <c r="Y127" i="2"/>
  <c r="Z49" i="2"/>
  <c r="Z65" i="2"/>
  <c r="G568" i="2"/>
  <c r="Z221" i="2"/>
  <c r="Z231" i="2"/>
  <c r="BN231" i="2"/>
  <c r="Z264" i="2"/>
  <c r="BN264" i="2"/>
  <c r="Z274" i="2"/>
  <c r="BN274" i="2"/>
  <c r="Q568" i="2"/>
  <c r="Z337" i="2"/>
  <c r="Z345" i="2"/>
  <c r="Z374" i="2"/>
  <c r="BN374" i="2"/>
  <c r="Z436" i="2"/>
  <c r="Z459" i="2"/>
  <c r="Z484" i="2"/>
  <c r="Z486" i="2" s="1"/>
  <c r="BN29" i="2"/>
  <c r="BP38" i="2"/>
  <c r="BP60" i="2"/>
  <c r="BN66" i="2"/>
  <c r="BN87" i="2"/>
  <c r="BP115" i="2"/>
  <c r="BN142" i="2"/>
  <c r="BN181" i="2"/>
  <c r="Z181" i="2"/>
  <c r="BN197" i="2"/>
  <c r="BP197" i="2"/>
  <c r="BN222" i="2"/>
  <c r="Z222" i="2"/>
  <c r="BN265" i="2"/>
  <c r="BP271" i="2"/>
  <c r="BN271" i="2"/>
  <c r="Z271" i="2"/>
  <c r="BN285" i="2"/>
  <c r="BN306" i="2"/>
  <c r="BN319" i="2"/>
  <c r="BN350" i="2"/>
  <c r="Y352" i="2"/>
  <c r="BN375" i="2"/>
  <c r="X559" i="2"/>
  <c r="X558" i="2"/>
  <c r="BN31" i="2"/>
  <c r="Z38" i="2"/>
  <c r="Z39" i="2"/>
  <c r="BN39" i="2"/>
  <c r="BP49" i="2"/>
  <c r="Z55" i="2"/>
  <c r="BN56" i="2"/>
  <c r="Z60" i="2"/>
  <c r="Z61" i="2"/>
  <c r="BN61" i="2"/>
  <c r="BN72" i="2"/>
  <c r="BN89" i="2"/>
  <c r="Z94" i="2"/>
  <c r="BN94" i="2"/>
  <c r="BN95" i="2"/>
  <c r="Z104" i="2"/>
  <c r="BN104" i="2"/>
  <c r="BN105" i="2"/>
  <c r="BP111" i="2"/>
  <c r="Z115" i="2"/>
  <c r="BN126" i="2"/>
  <c r="Y134" i="2"/>
  <c r="BN136" i="2"/>
  <c r="Z136" i="2"/>
  <c r="BN177" i="2"/>
  <c r="Z177" i="2"/>
  <c r="Y199" i="2"/>
  <c r="BP207" i="2"/>
  <c r="BN207" i="2"/>
  <c r="Z207" i="2"/>
  <c r="BP228" i="2"/>
  <c r="BN228" i="2"/>
  <c r="Z228" i="2"/>
  <c r="BP239" i="2"/>
  <c r="BN239" i="2"/>
  <c r="Z239" i="2"/>
  <c r="BN240" i="2"/>
  <c r="BP240" i="2"/>
  <c r="BP248" i="2"/>
  <c r="BN248" i="2"/>
  <c r="Z248" i="2"/>
  <c r="BP281" i="2"/>
  <c r="BN281" i="2"/>
  <c r="Z281" i="2"/>
  <c r="BP288" i="2"/>
  <c r="Z288" i="2"/>
  <c r="BN296" i="2"/>
  <c r="Y298" i="2"/>
  <c r="Y312" i="2"/>
  <c r="Y313" i="2"/>
  <c r="Z311" i="2"/>
  <c r="Z312" i="2" s="1"/>
  <c r="BN330" i="2"/>
  <c r="BP343" i="2"/>
  <c r="Z343" i="2"/>
  <c r="BP368" i="2"/>
  <c r="Z368" i="2"/>
  <c r="BP384" i="2"/>
  <c r="BN384" i="2"/>
  <c r="Z384" i="2"/>
  <c r="BN149" i="2"/>
  <c r="Y154" i="2"/>
  <c r="BN156" i="2"/>
  <c r="Y158" i="2"/>
  <c r="BN182" i="2"/>
  <c r="BN243" i="2"/>
  <c r="Y266" i="2"/>
  <c r="BN286" i="2"/>
  <c r="BN291" i="2"/>
  <c r="BN302" i="2"/>
  <c r="BN307" i="2"/>
  <c r="BN315" i="2"/>
  <c r="BN329" i="2"/>
  <c r="BP335" i="2"/>
  <c r="Y339" i="2"/>
  <c r="Y369" i="2"/>
  <c r="BN367" i="2"/>
  <c r="BN376" i="2"/>
  <c r="BN385" i="2"/>
  <c r="Z390" i="2"/>
  <c r="Z398" i="2"/>
  <c r="Y406" i="2"/>
  <c r="BN403" i="2"/>
  <c r="BN410" i="2"/>
  <c r="Z422" i="2"/>
  <c r="Z434" i="2"/>
  <c r="BP436" i="2"/>
  <c r="BP459" i="2"/>
  <c r="BN467" i="2"/>
  <c r="Z469" i="2"/>
  <c r="BN469" i="2"/>
  <c r="Z477" i="2"/>
  <c r="BN477" i="2"/>
  <c r="BN478" i="2"/>
  <c r="BP484" i="2"/>
  <c r="Y497" i="2"/>
  <c r="BN510" i="2"/>
  <c r="BN515" i="2"/>
  <c r="Z516" i="2"/>
  <c r="Y517" i="2"/>
  <c r="Z520" i="2"/>
  <c r="BN522" i="2"/>
  <c r="Y541" i="2"/>
  <c r="Z544" i="2"/>
  <c r="Z545" i="2" s="1"/>
  <c r="AC568" i="2"/>
  <c r="BP390" i="2"/>
  <c r="BN391" i="2"/>
  <c r="BN408" i="2"/>
  <c r="BN430" i="2"/>
  <c r="Y470" i="2"/>
  <c r="BN479" i="2"/>
  <c r="BN494" i="2"/>
  <c r="BN504" i="2"/>
  <c r="BN514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Z347" i="2" s="1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Z338" i="2" s="1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52" i="2" l="1"/>
  <c r="Z399" i="2"/>
  <c r="Z69" i="2"/>
  <c r="Z123" i="2"/>
  <c r="Z266" i="2"/>
  <c r="Z51" i="2"/>
  <c r="Z517" i="2"/>
  <c r="Z443" i="2"/>
  <c r="Z424" i="2"/>
  <c r="Z164" i="2"/>
  <c r="Z138" i="2"/>
  <c r="X561" i="2"/>
  <c r="Z75" i="2"/>
  <c r="Z497" i="2"/>
  <c r="Z91" i="2"/>
  <c r="Z437" i="2"/>
  <c r="Y562" i="2"/>
  <c r="Z481" i="2"/>
  <c r="Z62" i="2"/>
  <c r="Z210" i="2"/>
  <c r="Z42" i="2"/>
  <c r="Z190" i="2"/>
  <c r="Z470" i="2"/>
  <c r="Z322" i="2"/>
  <c r="Z98" i="2"/>
  <c r="Z454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Y561" i="2" l="1"/>
  <c r="Z563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<sst xmlns="http://schemas.openxmlformats.org/spreadsheetml/2006/main" count="4315" uniqueCount="916">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</sst>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 t="s">
        <v>915</v>
      </c>
      <c r="I5" s="655"/>
      <c r="J5" s="655"/>
      <c r="K5" s="655"/>
      <c r="L5" s="655"/>
      <c r="M5" s="655"/>
      <c r="N5" s="72"/>
      <c r="P5" s="27" t="s">
        <v>4</v>
      </c>
      <c r="Q5" s="657">
        <v>46283</v>
      </c>
      <c r="R5" s="657"/>
      <c r="T5" s="658" t="s">
        <v>3</v>
      </c>
      <c r="U5" s="659"/>
      <c r="V5" s="660" t="s">
        <v>875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 t="s">
        <v>894</v>
      </c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Пятница</v>
      </c>
      <c r="R6" s="663"/>
      <c r="T6" s="664" t="s">
        <v>5</v>
      </c>
      <c r="U6" s="665"/>
      <c r="V6" s="666" t="s">
        <v>70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 t="str">
        <f>IFERROR(VLOOKUP(DeliveryAddress,Table,3,0),1)</f>
        <v>7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0.41666666666666669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71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72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73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74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75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hidden="1" customHeight="1" x14ac:dyDescent="0.2">
      <c r="A19" s="718" t="s">
        <v>76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hidden="1" customHeight="1" x14ac:dyDescent="0.25">
      <c r="A20" s="719" t="s">
        <v>76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hidden="1" customHeight="1" x14ac:dyDescent="0.25">
      <c r="A21" s="720" t="s">
        <v>77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0" t="s">
        <v>86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hidden="1" customHeight="1" x14ac:dyDescent="0.25">
      <c r="A35" s="719" t="s">
        <v>104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hidden="1" customHeight="1" x14ac:dyDescent="0.25">
      <c r="A36" s="720" t="s">
        <v>86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8" t="s">
        <v>120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hidden="1" customHeight="1" x14ac:dyDescent="0.25">
      <c r="A45" s="719" t="s">
        <v>121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hidden="1" customHeight="1" x14ac:dyDescent="0.25">
      <c r="A46" s="720" t="s">
        <v>122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9" t="s">
        <v>137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hidden="1" customHeight="1" x14ac:dyDescent="0.25">
      <c r="A54" s="720" t="s">
        <v>122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1">
        <v>4680115880283</v>
      </c>
      <c r="E57" s="72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1">
        <v>4680115881525</v>
      </c>
      <c r="E58" s="72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21">
        <v>4680115885899</v>
      </c>
      <c r="E60" s="72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21">
        <v>4680115881419</v>
      </c>
      <c r="E61" s="72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9"/>
      <c r="B62" s="729"/>
      <c r="C62" s="729"/>
      <c r="D62" s="729"/>
      <c r="E62" s="729"/>
      <c r="F62" s="729"/>
      <c r="G62" s="729"/>
      <c r="H62" s="729"/>
      <c r="I62" s="729"/>
      <c r="J62" s="729"/>
      <c r="K62" s="729"/>
      <c r="L62" s="729"/>
      <c r="M62" s="729"/>
      <c r="N62" s="729"/>
      <c r="O62" s="730"/>
      <c r="P62" s="726" t="s">
        <v>40</v>
      </c>
      <c r="Q62" s="727"/>
      <c r="R62" s="727"/>
      <c r="S62" s="727"/>
      <c r="T62" s="727"/>
      <c r="U62" s="727"/>
      <c r="V62" s="728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9"/>
      <c r="B63" s="729"/>
      <c r="C63" s="729"/>
      <c r="D63" s="729"/>
      <c r="E63" s="729"/>
      <c r="F63" s="729"/>
      <c r="G63" s="729"/>
      <c r="H63" s="729"/>
      <c r="I63" s="729"/>
      <c r="J63" s="729"/>
      <c r="K63" s="729"/>
      <c r="L63" s="729"/>
      <c r="M63" s="729"/>
      <c r="N63" s="729"/>
      <c r="O63" s="730"/>
      <c r="P63" s="726" t="s">
        <v>40</v>
      </c>
      <c r="Q63" s="727"/>
      <c r="R63" s="727"/>
      <c r="S63" s="727"/>
      <c r="T63" s="727"/>
      <c r="U63" s="727"/>
      <c r="V63" s="728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20" t="s">
        <v>157</v>
      </c>
      <c r="B64" s="720"/>
      <c r="C64" s="720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20"/>
      <c r="V64" s="720"/>
      <c r="W64" s="720"/>
      <c r="X64" s="720"/>
      <c r="Y64" s="720"/>
      <c r="Z64" s="720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21">
        <v>4680115881440</v>
      </c>
      <c r="E65" s="72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3"/>
      <c r="R65" s="723"/>
      <c r="S65" s="723"/>
      <c r="T65" s="72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21">
        <v>4680115885950</v>
      </c>
      <c r="E66" s="72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3"/>
      <c r="R66" s="723"/>
      <c r="S66" s="723"/>
      <c r="T66" s="72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21">
        <v>4680115887688</v>
      </c>
      <c r="E67" s="72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21">
        <v>4680115881433</v>
      </c>
      <c r="E68" s="72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9"/>
      <c r="B69" s="729"/>
      <c r="C69" s="729"/>
      <c r="D69" s="729"/>
      <c r="E69" s="729"/>
      <c r="F69" s="729"/>
      <c r="G69" s="729"/>
      <c r="H69" s="729"/>
      <c r="I69" s="729"/>
      <c r="J69" s="729"/>
      <c r="K69" s="729"/>
      <c r="L69" s="729"/>
      <c r="M69" s="729"/>
      <c r="N69" s="729"/>
      <c r="O69" s="730"/>
      <c r="P69" s="726" t="s">
        <v>40</v>
      </c>
      <c r="Q69" s="727"/>
      <c r="R69" s="727"/>
      <c r="S69" s="727"/>
      <c r="T69" s="727"/>
      <c r="U69" s="727"/>
      <c r="V69" s="72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9"/>
      <c r="B70" s="729"/>
      <c r="C70" s="729"/>
      <c r="D70" s="729"/>
      <c r="E70" s="729"/>
      <c r="F70" s="729"/>
      <c r="G70" s="729"/>
      <c r="H70" s="729"/>
      <c r="I70" s="729"/>
      <c r="J70" s="729"/>
      <c r="K70" s="729"/>
      <c r="L70" s="729"/>
      <c r="M70" s="729"/>
      <c r="N70" s="729"/>
      <c r="O70" s="730"/>
      <c r="P70" s="726" t="s">
        <v>40</v>
      </c>
      <c r="Q70" s="727"/>
      <c r="R70" s="727"/>
      <c r="S70" s="727"/>
      <c r="T70" s="727"/>
      <c r="U70" s="727"/>
      <c r="V70" s="72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20" t="s">
        <v>86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20"/>
      <c r="V71" s="720"/>
      <c r="W71" s="720"/>
      <c r="X71" s="720"/>
      <c r="Y71" s="720"/>
      <c r="Z71" s="720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21">
        <v>4680115884311</v>
      </c>
      <c r="E72" s="72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3"/>
      <c r="R72" s="723"/>
      <c r="S72" s="723"/>
      <c r="T72" s="7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21">
        <v>4680115884403</v>
      </c>
      <c r="E73" s="7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3"/>
      <c r="R73" s="723"/>
      <c r="S73" s="723"/>
      <c r="T73" s="7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21">
        <v>4680115884403</v>
      </c>
      <c r="E74" s="72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3"/>
      <c r="R74" s="723"/>
      <c r="S74" s="723"/>
      <c r="T74" s="72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9"/>
      <c r="B75" s="729"/>
      <c r="C75" s="729"/>
      <c r="D75" s="729"/>
      <c r="E75" s="729"/>
      <c r="F75" s="729"/>
      <c r="G75" s="729"/>
      <c r="H75" s="729"/>
      <c r="I75" s="729"/>
      <c r="J75" s="729"/>
      <c r="K75" s="729"/>
      <c r="L75" s="729"/>
      <c r="M75" s="729"/>
      <c r="N75" s="729"/>
      <c r="O75" s="730"/>
      <c r="P75" s="726" t="s">
        <v>40</v>
      </c>
      <c r="Q75" s="727"/>
      <c r="R75" s="727"/>
      <c r="S75" s="727"/>
      <c r="T75" s="727"/>
      <c r="U75" s="727"/>
      <c r="V75" s="728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30"/>
      <c r="P76" s="726" t="s">
        <v>40</v>
      </c>
      <c r="Q76" s="727"/>
      <c r="R76" s="727"/>
      <c r="S76" s="727"/>
      <c r="T76" s="727"/>
      <c r="U76" s="727"/>
      <c r="V76" s="728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20" t="s">
        <v>175</v>
      </c>
      <c r="B77" s="720"/>
      <c r="C77" s="720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20"/>
      <c r="V77" s="720"/>
      <c r="W77" s="720"/>
      <c r="X77" s="720"/>
      <c r="Y77" s="720"/>
      <c r="Z77" s="72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21">
        <v>4680115881532</v>
      </c>
      <c r="E78" s="72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3"/>
      <c r="R78" s="723"/>
      <c r="S78" s="723"/>
      <c r="T78" s="7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21">
        <v>4680115881532</v>
      </c>
      <c r="E79" s="7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3"/>
      <c r="R79" s="723"/>
      <c r="S79" s="723"/>
      <c r="T79" s="72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21">
        <v>4680115881464</v>
      </c>
      <c r="E80" s="7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30"/>
      <c r="P81" s="726" t="s">
        <v>40</v>
      </c>
      <c r="Q81" s="727"/>
      <c r="R81" s="727"/>
      <c r="S81" s="727"/>
      <c r="T81" s="727"/>
      <c r="U81" s="727"/>
      <c r="V81" s="728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30"/>
      <c r="P82" s="726" t="s">
        <v>40</v>
      </c>
      <c r="Q82" s="727"/>
      <c r="R82" s="727"/>
      <c r="S82" s="727"/>
      <c r="T82" s="727"/>
      <c r="U82" s="727"/>
      <c r="V82" s="728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9" t="s">
        <v>183</v>
      </c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65"/>
      <c r="AB83" s="65"/>
      <c r="AC83" s="79"/>
    </row>
    <row r="84" spans="1:68" ht="14.25" hidden="1" customHeight="1" x14ac:dyDescent="0.25">
      <c r="A84" s="720" t="s">
        <v>122</v>
      </c>
      <c r="B84" s="720"/>
      <c r="C84" s="720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20"/>
      <c r="V84" s="720"/>
      <c r="W84" s="720"/>
      <c r="X84" s="720"/>
      <c r="Y84" s="720"/>
      <c r="Z84" s="7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21">
        <v>4680115881327</v>
      </c>
      <c r="E85" s="7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3"/>
      <c r="R85" s="723"/>
      <c r="S85" s="723"/>
      <c r="T85" s="724"/>
      <c r="U85" s="39" t="s">
        <v>46</v>
      </c>
      <c r="V85" s="39" t="s">
        <v>46</v>
      </c>
      <c r="W85" s="40" t="s">
        <v>0</v>
      </c>
      <c r="X85" s="58">
        <v>300</v>
      </c>
      <c r="Y85" s="55">
        <f t="shared" ref="Y85:Y90" si="5">IFERROR(IF(X85="",0,CEILING((X85/$H85),1)*$H85),"")</f>
        <v>302.40000000000003</v>
      </c>
      <c r="Z85" s="41">
        <f>IFERROR(IF(Y85=0,"",ROUNDUP(Y85/H85,0)*0.01898),"")</f>
        <v>0.53144000000000002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311.38888888888891</v>
      </c>
      <c r="BN85" s="78">
        <f t="shared" ref="BN85:BN90" si="7">IFERROR(Y85*I85/H85,"0")</f>
        <v>313.88</v>
      </c>
      <c r="BO85" s="78">
        <f t="shared" ref="BO85:BO90" si="8">IFERROR(1/J85*(X85/H85),"0")</f>
        <v>0.43402777777777773</v>
      </c>
      <c r="BP85" s="78">
        <f t="shared" ref="BP85:BP90" si="9">IFERROR(1/J85*(Y85/H85),"0")</f>
        <v>0.4375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21">
        <v>4680115887732</v>
      </c>
      <c r="E86" s="72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3"/>
      <c r="R86" s="723"/>
      <c r="S86" s="723"/>
      <c r="T86" s="724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21">
        <v>4680115887732</v>
      </c>
      <c r="E87" s="72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1">
        <v>4680115881518</v>
      </c>
      <c r="E88" s="72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1">
        <v>4680115881303</v>
      </c>
      <c r="E89" s="72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721">
        <v>4680115881303</v>
      </c>
      <c r="E90" s="72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30"/>
      <c r="P91" s="726" t="s">
        <v>40</v>
      </c>
      <c r="Q91" s="727"/>
      <c r="R91" s="727"/>
      <c r="S91" s="727"/>
      <c r="T91" s="727"/>
      <c r="U91" s="727"/>
      <c r="V91" s="728"/>
      <c r="W91" s="42" t="s">
        <v>39</v>
      </c>
      <c r="X91" s="43">
        <f>IFERROR(X85/H85,"0")+IFERROR(X86/H86,"0")+IFERROR(X87/H87,"0")+IFERROR(X88/H88,"0")+IFERROR(X89/H89,"0")+IFERROR(X90/H90,"0")</f>
        <v>27.777777777777775</v>
      </c>
      <c r="Y91" s="43">
        <f>IFERROR(Y85/H85,"0")+IFERROR(Y86/H86,"0")+IFERROR(Y87/H87,"0")+IFERROR(Y88/H88,"0")+IFERROR(Y89/H89,"0")+IFERROR(Y90/H90,"0")</f>
        <v>28</v>
      </c>
      <c r="Z91" s="43">
        <f>IFERROR(IF(Z85="",0,Z85),"0")+IFERROR(IF(Z86="",0,Z86),"0")+IFERROR(IF(Z87="",0,Z87),"0")+IFERROR(IF(Z88="",0,Z88),"0")+IFERROR(IF(Z89="",0,Z89),"0")+IFERROR(IF(Z90="",0,Z90),"0")</f>
        <v>0.53144000000000002</v>
      </c>
      <c r="AA91" s="67"/>
      <c r="AB91" s="67"/>
      <c r="AC91" s="67"/>
    </row>
    <row r="92" spans="1:68" x14ac:dyDescent="0.2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30"/>
      <c r="P92" s="726" t="s">
        <v>40</v>
      </c>
      <c r="Q92" s="727"/>
      <c r="R92" s="727"/>
      <c r="S92" s="727"/>
      <c r="T92" s="727"/>
      <c r="U92" s="727"/>
      <c r="V92" s="728"/>
      <c r="W92" s="42" t="s">
        <v>0</v>
      </c>
      <c r="X92" s="43">
        <f>IFERROR(SUM(X85:X90),"0")</f>
        <v>300</v>
      </c>
      <c r="Y92" s="43">
        <f>IFERROR(SUM(Y85:Y90),"0")</f>
        <v>302.40000000000003</v>
      </c>
      <c r="Z92" s="42"/>
      <c r="AA92" s="67"/>
      <c r="AB92" s="67"/>
      <c r="AC92" s="67"/>
    </row>
    <row r="93" spans="1:68" ht="14.25" hidden="1" customHeight="1" x14ac:dyDescent="0.25">
      <c r="A93" s="720" t="s">
        <v>86</v>
      </c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721">
        <v>4607091386967</v>
      </c>
      <c r="E94" s="72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3"/>
      <c r="R94" s="723"/>
      <c r="S94" s="723"/>
      <c r="T94" s="72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721">
        <v>4680115884953</v>
      </c>
      <c r="E95" s="72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6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3"/>
      <c r="R95" s="723"/>
      <c r="S95" s="723"/>
      <c r="T95" s="7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721">
        <v>4607091385731</v>
      </c>
      <c r="E96" s="72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721">
        <v>4680115880894</v>
      </c>
      <c r="E97" s="72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30"/>
      <c r="P98" s="726" t="s">
        <v>40</v>
      </c>
      <c r="Q98" s="727"/>
      <c r="R98" s="727"/>
      <c r="S98" s="727"/>
      <c r="T98" s="727"/>
      <c r="U98" s="727"/>
      <c r="V98" s="728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30"/>
      <c r="P99" s="726" t="s">
        <v>40</v>
      </c>
      <c r="Q99" s="727"/>
      <c r="R99" s="727"/>
      <c r="S99" s="727"/>
      <c r="T99" s="727"/>
      <c r="U99" s="727"/>
      <c r="V99" s="728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719" t="s">
        <v>207</v>
      </c>
      <c r="B100" s="719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65"/>
      <c r="AB100" s="65"/>
      <c r="AC100" s="79"/>
    </row>
    <row r="101" spans="1:68" ht="14.25" hidden="1" customHeight="1" x14ac:dyDescent="0.25">
      <c r="A101" s="720" t="s">
        <v>122</v>
      </c>
      <c r="B101" s="720"/>
      <c r="C101" s="720"/>
      <c r="D101" s="720"/>
      <c r="E101" s="720"/>
      <c r="F101" s="720"/>
      <c r="G101" s="720"/>
      <c r="H101" s="720"/>
      <c r="I101" s="720"/>
      <c r="J101" s="720"/>
      <c r="K101" s="720"/>
      <c r="L101" s="720"/>
      <c r="M101" s="720"/>
      <c r="N101" s="720"/>
      <c r="O101" s="720"/>
      <c r="P101" s="720"/>
      <c r="Q101" s="720"/>
      <c r="R101" s="720"/>
      <c r="S101" s="720"/>
      <c r="T101" s="720"/>
      <c r="U101" s="720"/>
      <c r="V101" s="720"/>
      <c r="W101" s="720"/>
      <c r="X101" s="720"/>
      <c r="Y101" s="720"/>
      <c r="Z101" s="720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721">
        <v>4680115882133</v>
      </c>
      <c r="E102" s="72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3"/>
      <c r="R102" s="723"/>
      <c r="S102" s="723"/>
      <c r="T102" s="72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721">
        <v>4680115887718</v>
      </c>
      <c r="E103" s="721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3"/>
      <c r="R103" s="723"/>
      <c r="S103" s="723"/>
      <c r="T103" s="7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721">
        <v>4680115880269</v>
      </c>
      <c r="E104" s="721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721">
        <v>4680115880429</v>
      </c>
      <c r="E105" s="721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21">
        <v>4680115881457</v>
      </c>
      <c r="E106" s="721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21">
        <v>4680115881457</v>
      </c>
      <c r="E107" s="721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30"/>
      <c r="P108" s="726" t="s">
        <v>40</v>
      </c>
      <c r="Q108" s="727"/>
      <c r="R108" s="727"/>
      <c r="S108" s="727"/>
      <c r="T108" s="727"/>
      <c r="U108" s="727"/>
      <c r="V108" s="728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30"/>
      <c r="P109" s="726" t="s">
        <v>40</v>
      </c>
      <c r="Q109" s="727"/>
      <c r="R109" s="727"/>
      <c r="S109" s="727"/>
      <c r="T109" s="727"/>
      <c r="U109" s="727"/>
      <c r="V109" s="728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720" t="s">
        <v>157</v>
      </c>
      <c r="B110" s="720"/>
      <c r="C110" s="720"/>
      <c r="D110" s="720"/>
      <c r="E110" s="720"/>
      <c r="F110" s="720"/>
      <c r="G110" s="720"/>
      <c r="H110" s="720"/>
      <c r="I110" s="720"/>
      <c r="J110" s="720"/>
      <c r="K110" s="720"/>
      <c r="L110" s="720"/>
      <c r="M110" s="720"/>
      <c r="N110" s="720"/>
      <c r="O110" s="720"/>
      <c r="P110" s="720"/>
      <c r="Q110" s="720"/>
      <c r="R110" s="720"/>
      <c r="S110" s="720"/>
      <c r="T110" s="720"/>
      <c r="U110" s="720"/>
      <c r="V110" s="720"/>
      <c r="W110" s="720"/>
      <c r="X110" s="720"/>
      <c r="Y110" s="720"/>
      <c r="Z110" s="720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721">
        <v>4680115881488</v>
      </c>
      <c r="E111" s="721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721">
        <v>4680115887664</v>
      </c>
      <c r="E112" s="721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721">
        <v>4680115887664</v>
      </c>
      <c r="E113" s="721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3"/>
      <c r="R113" s="723"/>
      <c r="S113" s="723"/>
      <c r="T113" s="72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721">
        <v>4680115882775</v>
      </c>
      <c r="E114" s="721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3"/>
      <c r="R114" s="723"/>
      <c r="S114" s="723"/>
      <c r="T114" s="72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721">
        <v>4680115880658</v>
      </c>
      <c r="E115" s="721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3"/>
      <c r="R115" s="723"/>
      <c r="S115" s="723"/>
      <c r="T115" s="72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30"/>
      <c r="P116" s="726" t="s">
        <v>40</v>
      </c>
      <c r="Q116" s="727"/>
      <c r="R116" s="727"/>
      <c r="S116" s="727"/>
      <c r="T116" s="727"/>
      <c r="U116" s="727"/>
      <c r="V116" s="728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6" t="s">
        <v>40</v>
      </c>
      <c r="Q117" s="727"/>
      <c r="R117" s="727"/>
      <c r="S117" s="727"/>
      <c r="T117" s="727"/>
      <c r="U117" s="727"/>
      <c r="V117" s="728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720" t="s">
        <v>86</v>
      </c>
      <c r="B118" s="720"/>
      <c r="C118" s="720"/>
      <c r="D118" s="720"/>
      <c r="E118" s="720"/>
      <c r="F118" s="720"/>
      <c r="G118" s="720"/>
      <c r="H118" s="720"/>
      <c r="I118" s="720"/>
      <c r="J118" s="720"/>
      <c r="K118" s="720"/>
      <c r="L118" s="720"/>
      <c r="M118" s="720"/>
      <c r="N118" s="720"/>
      <c r="O118" s="720"/>
      <c r="P118" s="720"/>
      <c r="Q118" s="720"/>
      <c r="R118" s="720"/>
      <c r="S118" s="720"/>
      <c r="T118" s="720"/>
      <c r="U118" s="720"/>
      <c r="V118" s="720"/>
      <c r="W118" s="720"/>
      <c r="X118" s="720"/>
      <c r="Y118" s="720"/>
      <c r="Z118" s="720"/>
      <c r="AA118" s="66"/>
      <c r="AB118" s="66"/>
      <c r="AC118" s="80"/>
    </row>
    <row r="119" spans="1:68" ht="27" hidden="1" customHeight="1" x14ac:dyDescent="0.25">
      <c r="A119" s="63" t="s">
        <v>234</v>
      </c>
      <c r="B119" s="63" t="s">
        <v>235</v>
      </c>
      <c r="C119" s="36">
        <v>4301052088</v>
      </c>
      <c r="D119" s="721">
        <v>4607091385168</v>
      </c>
      <c r="E119" s="721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3"/>
      <c r="R119" s="723"/>
      <c r="S119" s="723"/>
      <c r="T119" s="72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721">
        <v>4607091383256</v>
      </c>
      <c r="E120" s="721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3"/>
      <c r="R120" s="723"/>
      <c r="S120" s="723"/>
      <c r="T120" s="72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721">
        <v>4607091385748</v>
      </c>
      <c r="E121" s="721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3"/>
      <c r="R121" s="723"/>
      <c r="S121" s="723"/>
      <c r="T121" s="72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721">
        <v>4680115884533</v>
      </c>
      <c r="E122" s="721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30"/>
      <c r="P123" s="726" t="s">
        <v>40</v>
      </c>
      <c r="Q123" s="727"/>
      <c r="R123" s="727"/>
      <c r="S123" s="727"/>
      <c r="T123" s="727"/>
      <c r="U123" s="727"/>
      <c r="V123" s="728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hidden="1" x14ac:dyDescent="0.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30"/>
      <c r="P124" s="726" t="s">
        <v>40</v>
      </c>
      <c r="Q124" s="727"/>
      <c r="R124" s="727"/>
      <c r="S124" s="727"/>
      <c r="T124" s="727"/>
      <c r="U124" s="727"/>
      <c r="V124" s="728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hidden="1" customHeight="1" x14ac:dyDescent="0.25">
      <c r="A125" s="720" t="s">
        <v>175</v>
      </c>
      <c r="B125" s="720"/>
      <c r="C125" s="720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721">
        <v>4680115880238</v>
      </c>
      <c r="E126" s="721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3"/>
      <c r="R126" s="723"/>
      <c r="S126" s="723"/>
      <c r="T126" s="7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30"/>
      <c r="P128" s="726" t="s">
        <v>40</v>
      </c>
      <c r="Q128" s="727"/>
      <c r="R128" s="727"/>
      <c r="S128" s="727"/>
      <c r="T128" s="727"/>
      <c r="U128" s="727"/>
      <c r="V128" s="728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719" t="s">
        <v>247</v>
      </c>
      <c r="B129" s="719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65"/>
      <c r="AB129" s="65"/>
      <c r="AC129" s="79"/>
    </row>
    <row r="130" spans="1:68" ht="14.25" hidden="1" customHeight="1" x14ac:dyDescent="0.25">
      <c r="A130" s="720" t="s">
        <v>122</v>
      </c>
      <c r="B130" s="720"/>
      <c r="C130" s="720"/>
      <c r="D130" s="720"/>
      <c r="E130" s="720"/>
      <c r="F130" s="720"/>
      <c r="G130" s="720"/>
      <c r="H130" s="720"/>
      <c r="I130" s="720"/>
      <c r="J130" s="720"/>
      <c r="K130" s="720"/>
      <c r="L130" s="720"/>
      <c r="M130" s="720"/>
      <c r="N130" s="720"/>
      <c r="O130" s="720"/>
      <c r="P130" s="720"/>
      <c r="Q130" s="720"/>
      <c r="R130" s="720"/>
      <c r="S130" s="720"/>
      <c r="T130" s="720"/>
      <c r="U130" s="720"/>
      <c r="V130" s="720"/>
      <c r="W130" s="720"/>
      <c r="X130" s="720"/>
      <c r="Y130" s="720"/>
      <c r="Z130" s="720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721">
        <v>4680115882577</v>
      </c>
      <c r="E131" s="721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3"/>
      <c r="R131" s="723"/>
      <c r="S131" s="723"/>
      <c r="T131" s="72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721">
        <v>4680115882577</v>
      </c>
      <c r="E132" s="72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3"/>
      <c r="R132" s="723"/>
      <c r="S132" s="723"/>
      <c r="T132" s="72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30"/>
      <c r="P133" s="726" t="s">
        <v>40</v>
      </c>
      <c r="Q133" s="727"/>
      <c r="R133" s="727"/>
      <c r="S133" s="727"/>
      <c r="T133" s="727"/>
      <c r="U133" s="727"/>
      <c r="V133" s="728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6" t="s">
        <v>40</v>
      </c>
      <c r="Q134" s="727"/>
      <c r="R134" s="727"/>
      <c r="S134" s="727"/>
      <c r="T134" s="727"/>
      <c r="U134" s="727"/>
      <c r="V134" s="728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720" t="s">
        <v>77</v>
      </c>
      <c r="B135" s="720"/>
      <c r="C135" s="720"/>
      <c r="D135" s="720"/>
      <c r="E135" s="720"/>
      <c r="F135" s="720"/>
      <c r="G135" s="720"/>
      <c r="H135" s="720"/>
      <c r="I135" s="720"/>
      <c r="J135" s="720"/>
      <c r="K135" s="720"/>
      <c r="L135" s="720"/>
      <c r="M135" s="720"/>
      <c r="N135" s="720"/>
      <c r="O135" s="720"/>
      <c r="P135" s="720"/>
      <c r="Q135" s="720"/>
      <c r="R135" s="720"/>
      <c r="S135" s="720"/>
      <c r="T135" s="720"/>
      <c r="U135" s="720"/>
      <c r="V135" s="720"/>
      <c r="W135" s="720"/>
      <c r="X135" s="720"/>
      <c r="Y135" s="720"/>
      <c r="Z135" s="720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721">
        <v>4680115883444</v>
      </c>
      <c r="E136" s="72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3"/>
      <c r="R136" s="723"/>
      <c r="S136" s="723"/>
      <c r="T136" s="7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721">
        <v>4680115883444</v>
      </c>
      <c r="E137" s="72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3"/>
      <c r="R137" s="723"/>
      <c r="S137" s="723"/>
      <c r="T137" s="72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30"/>
      <c r="P138" s="726" t="s">
        <v>40</v>
      </c>
      <c r="Q138" s="727"/>
      <c r="R138" s="727"/>
      <c r="S138" s="727"/>
      <c r="T138" s="727"/>
      <c r="U138" s="727"/>
      <c r="V138" s="728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30"/>
      <c r="P139" s="726" t="s">
        <v>40</v>
      </c>
      <c r="Q139" s="727"/>
      <c r="R139" s="727"/>
      <c r="S139" s="727"/>
      <c r="T139" s="727"/>
      <c r="U139" s="727"/>
      <c r="V139" s="728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20" t="s">
        <v>86</v>
      </c>
      <c r="B140" s="720"/>
      <c r="C140" s="720"/>
      <c r="D140" s="720"/>
      <c r="E140" s="720"/>
      <c r="F140" s="720"/>
      <c r="G140" s="720"/>
      <c r="H140" s="720"/>
      <c r="I140" s="720"/>
      <c r="J140" s="720"/>
      <c r="K140" s="720"/>
      <c r="L140" s="720"/>
      <c r="M140" s="720"/>
      <c r="N140" s="720"/>
      <c r="O140" s="720"/>
      <c r="P140" s="720"/>
      <c r="Q140" s="720"/>
      <c r="R140" s="720"/>
      <c r="S140" s="720"/>
      <c r="T140" s="720"/>
      <c r="U140" s="720"/>
      <c r="V140" s="720"/>
      <c r="W140" s="720"/>
      <c r="X140" s="720"/>
      <c r="Y140" s="720"/>
      <c r="Z140" s="720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721">
        <v>4680115882584</v>
      </c>
      <c r="E141" s="721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3"/>
      <c r="R141" s="723"/>
      <c r="S141" s="723"/>
      <c r="T141" s="7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721">
        <v>4680115882584</v>
      </c>
      <c r="E142" s="72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3"/>
      <c r="R142" s="723"/>
      <c r="S142" s="723"/>
      <c r="T142" s="72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30"/>
      <c r="P143" s="726" t="s">
        <v>40</v>
      </c>
      <c r="Q143" s="727"/>
      <c r="R143" s="727"/>
      <c r="S143" s="727"/>
      <c r="T143" s="727"/>
      <c r="U143" s="727"/>
      <c r="V143" s="7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30"/>
      <c r="P144" s="726" t="s">
        <v>40</v>
      </c>
      <c r="Q144" s="727"/>
      <c r="R144" s="727"/>
      <c r="S144" s="727"/>
      <c r="T144" s="727"/>
      <c r="U144" s="727"/>
      <c r="V144" s="7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719" t="s">
        <v>260</v>
      </c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65"/>
      <c r="AB145" s="65"/>
      <c r="AC145" s="79"/>
    </row>
    <row r="146" spans="1:68" ht="14.25" hidden="1" customHeight="1" x14ac:dyDescent="0.25">
      <c r="A146" s="720" t="s">
        <v>86</v>
      </c>
      <c r="B146" s="720"/>
      <c r="C146" s="720"/>
      <c r="D146" s="720"/>
      <c r="E146" s="720"/>
      <c r="F146" s="720"/>
      <c r="G146" s="720"/>
      <c r="H146" s="720"/>
      <c r="I146" s="720"/>
      <c r="J146" s="720"/>
      <c r="K146" s="720"/>
      <c r="L146" s="720"/>
      <c r="M146" s="720"/>
      <c r="N146" s="720"/>
      <c r="O146" s="720"/>
      <c r="P146" s="720"/>
      <c r="Q146" s="720"/>
      <c r="R146" s="720"/>
      <c r="S146" s="720"/>
      <c r="T146" s="720"/>
      <c r="U146" s="720"/>
      <c r="V146" s="720"/>
      <c r="W146" s="720"/>
      <c r="X146" s="720"/>
      <c r="Y146" s="720"/>
      <c r="Z146" s="720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721">
        <v>4680115888203</v>
      </c>
      <c r="E147" s="721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3"/>
      <c r="R147" s="723"/>
      <c r="S147" s="723"/>
      <c r="T147" s="72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721">
        <v>4680115888180</v>
      </c>
      <c r="E148" s="72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3"/>
      <c r="R148" s="723"/>
      <c r="S148" s="723"/>
      <c r="T148" s="72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721">
        <v>4680115888180</v>
      </c>
      <c r="E149" s="721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3"/>
      <c r="R149" s="723"/>
      <c r="S149" s="723"/>
      <c r="T149" s="72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721">
        <v>4680115888197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721">
        <v>4680115888210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721">
        <v>4680115888210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30"/>
      <c r="P153" s="726" t="s">
        <v>40</v>
      </c>
      <c r="Q153" s="727"/>
      <c r="R153" s="727"/>
      <c r="S153" s="727"/>
      <c r="T153" s="727"/>
      <c r="U153" s="727"/>
      <c r="V153" s="72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30"/>
      <c r="P154" s="726" t="s">
        <v>40</v>
      </c>
      <c r="Q154" s="727"/>
      <c r="R154" s="727"/>
      <c r="S154" s="727"/>
      <c r="T154" s="727"/>
      <c r="U154" s="727"/>
      <c r="V154" s="72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720" t="s">
        <v>275</v>
      </c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0"/>
      <c r="P155" s="720"/>
      <c r="Q155" s="720"/>
      <c r="R155" s="720"/>
      <c r="S155" s="720"/>
      <c r="T155" s="720"/>
      <c r="U155" s="720"/>
      <c r="V155" s="720"/>
      <c r="W155" s="720"/>
      <c r="X155" s="720"/>
      <c r="Y155" s="720"/>
      <c r="Z155" s="720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721">
        <v>4680115889132</v>
      </c>
      <c r="E156" s="721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3"/>
      <c r="R156" s="723"/>
      <c r="S156" s="723"/>
      <c r="T156" s="72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30"/>
      <c r="P158" s="726" t="s">
        <v>40</v>
      </c>
      <c r="Q158" s="727"/>
      <c r="R158" s="727"/>
      <c r="S158" s="727"/>
      <c r="T158" s="727"/>
      <c r="U158" s="727"/>
      <c r="V158" s="72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719" t="s">
        <v>120</v>
      </c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65"/>
      <c r="AB159" s="65"/>
      <c r="AC159" s="79"/>
    </row>
    <row r="160" spans="1:68" ht="14.25" hidden="1" customHeight="1" x14ac:dyDescent="0.25">
      <c r="A160" s="720" t="s">
        <v>122</v>
      </c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0"/>
      <c r="P160" s="720"/>
      <c r="Q160" s="720"/>
      <c r="R160" s="720"/>
      <c r="S160" s="720"/>
      <c r="T160" s="720"/>
      <c r="U160" s="720"/>
      <c r="V160" s="720"/>
      <c r="W160" s="720"/>
      <c r="X160" s="720"/>
      <c r="Y160" s="720"/>
      <c r="Z160" s="720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721">
        <v>4680115887374</v>
      </c>
      <c r="E161" s="721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3"/>
      <c r="R161" s="723"/>
      <c r="S161" s="723"/>
      <c r="T161" s="72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721">
        <v>4607091384604</v>
      </c>
      <c r="E162" s="72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3"/>
      <c r="R162" s="723"/>
      <c r="S162" s="723"/>
      <c r="T162" s="72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721">
        <v>4680115888876</v>
      </c>
      <c r="E163" s="721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3"/>
      <c r="R163" s="723"/>
      <c r="S163" s="723"/>
      <c r="T163" s="7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30"/>
      <c r="P164" s="726" t="s">
        <v>40</v>
      </c>
      <c r="Q164" s="727"/>
      <c r="R164" s="727"/>
      <c r="S164" s="727"/>
      <c r="T164" s="727"/>
      <c r="U164" s="727"/>
      <c r="V164" s="728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30"/>
      <c r="P165" s="726" t="s">
        <v>40</v>
      </c>
      <c r="Q165" s="727"/>
      <c r="R165" s="727"/>
      <c r="S165" s="727"/>
      <c r="T165" s="727"/>
      <c r="U165" s="727"/>
      <c r="V165" s="728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720" t="s">
        <v>157</v>
      </c>
      <c r="B166" s="720"/>
      <c r="C166" s="720"/>
      <c r="D166" s="720"/>
      <c r="E166" s="720"/>
      <c r="F166" s="720"/>
      <c r="G166" s="720"/>
      <c r="H166" s="720"/>
      <c r="I166" s="720"/>
      <c r="J166" s="720"/>
      <c r="K166" s="720"/>
      <c r="L166" s="720"/>
      <c r="M166" s="720"/>
      <c r="N166" s="720"/>
      <c r="O166" s="720"/>
      <c r="P166" s="720"/>
      <c r="Q166" s="720"/>
      <c r="R166" s="720"/>
      <c r="S166" s="720"/>
      <c r="T166" s="720"/>
      <c r="U166" s="720"/>
      <c r="V166" s="720"/>
      <c r="W166" s="720"/>
      <c r="X166" s="720"/>
      <c r="Y166" s="720"/>
      <c r="Z166" s="720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721">
        <v>4680115887695</v>
      </c>
      <c r="E167" s="721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721">
        <v>4680115889491</v>
      </c>
      <c r="E168" s="721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3"/>
      <c r="R168" s="723"/>
      <c r="S168" s="723"/>
      <c r="T168" s="72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30"/>
      <c r="P170" s="726" t="s">
        <v>40</v>
      </c>
      <c r="Q170" s="727"/>
      <c r="R170" s="727"/>
      <c r="S170" s="727"/>
      <c r="T170" s="727"/>
      <c r="U170" s="727"/>
      <c r="V170" s="728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0" t="s">
        <v>77</v>
      </c>
      <c r="B171" s="720"/>
      <c r="C171" s="720"/>
      <c r="D171" s="720"/>
      <c r="E171" s="720"/>
      <c r="F171" s="720"/>
      <c r="G171" s="720"/>
      <c r="H171" s="720"/>
      <c r="I171" s="720"/>
      <c r="J171" s="720"/>
      <c r="K171" s="720"/>
      <c r="L171" s="720"/>
      <c r="M171" s="720"/>
      <c r="N171" s="720"/>
      <c r="O171" s="720"/>
      <c r="P171" s="720"/>
      <c r="Q171" s="720"/>
      <c r="R171" s="720"/>
      <c r="S171" s="720"/>
      <c r="T171" s="720"/>
      <c r="U171" s="720"/>
      <c r="V171" s="720"/>
      <c r="W171" s="720"/>
      <c r="X171" s="720"/>
      <c r="Y171" s="720"/>
      <c r="Z171" s="720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721">
        <v>4680115887428</v>
      </c>
      <c r="E172" s="72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721">
        <v>4680115889170</v>
      </c>
      <c r="E173" s="721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3"/>
      <c r="R173" s="723"/>
      <c r="S173" s="723"/>
      <c r="T173" s="7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721">
        <v>4680115887398</v>
      </c>
      <c r="E174" s="72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3"/>
      <c r="R174" s="723"/>
      <c r="S174" s="723"/>
      <c r="T174" s="7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721">
        <v>4680115887398</v>
      </c>
      <c r="E175" s="721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3"/>
      <c r="R175" s="723"/>
      <c r="S175" s="723"/>
      <c r="T175" s="7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721">
        <v>4680115887336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721">
        <v>4680115887787</v>
      </c>
      <c r="E177" s="721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721">
        <v>4680115887787</v>
      </c>
      <c r="E178" s="72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721">
        <v>4680115887503</v>
      </c>
      <c r="E179" s="72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721">
        <v>4680115887763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721">
        <v>4680115887480</v>
      </c>
      <c r="E181" s="721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721">
        <v>4680115888067</v>
      </c>
      <c r="E182" s="721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721">
        <v>4680115887435</v>
      </c>
      <c r="E183" s="721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idden="1" x14ac:dyDescent="0.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30"/>
      <c r="P184" s="726" t="s">
        <v>40</v>
      </c>
      <c r="Q184" s="727"/>
      <c r="R184" s="727"/>
      <c r="S184" s="727"/>
      <c r="T184" s="727"/>
      <c r="U184" s="727"/>
      <c r="V184" s="728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30"/>
      <c r="P185" s="726" t="s">
        <v>40</v>
      </c>
      <c r="Q185" s="727"/>
      <c r="R185" s="727"/>
      <c r="S185" s="727"/>
      <c r="T185" s="727"/>
      <c r="U185" s="727"/>
      <c r="V185" s="728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720" t="s">
        <v>86</v>
      </c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721">
        <v>4680115888395</v>
      </c>
      <c r="E187" s="721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3"/>
      <c r="R187" s="723"/>
      <c r="S187" s="723"/>
      <c r="T187" s="7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721">
        <v>4680115888371</v>
      </c>
      <c r="E188" s="72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3"/>
      <c r="R188" s="723"/>
      <c r="S188" s="723"/>
      <c r="T188" s="7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721">
        <v>4680115887459</v>
      </c>
      <c r="E189" s="721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3"/>
      <c r="R189" s="723"/>
      <c r="S189" s="723"/>
      <c r="T189" s="7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30"/>
      <c r="P190" s="726" t="s">
        <v>40</v>
      </c>
      <c r="Q190" s="727"/>
      <c r="R190" s="727"/>
      <c r="S190" s="727"/>
      <c r="T190" s="727"/>
      <c r="U190" s="727"/>
      <c r="V190" s="728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30"/>
      <c r="P191" s="726" t="s">
        <v>40</v>
      </c>
      <c r="Q191" s="727"/>
      <c r="R191" s="727"/>
      <c r="S191" s="727"/>
      <c r="T191" s="727"/>
      <c r="U191" s="727"/>
      <c r="V191" s="728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20" t="s">
        <v>275</v>
      </c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721">
        <v>4680115889026</v>
      </c>
      <c r="E193" s="721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3"/>
      <c r="R193" s="723"/>
      <c r="S193" s="723"/>
      <c r="T193" s="7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30"/>
      <c r="P195" s="726" t="s">
        <v>40</v>
      </c>
      <c r="Q195" s="727"/>
      <c r="R195" s="727"/>
      <c r="S195" s="727"/>
      <c r="T195" s="727"/>
      <c r="U195" s="727"/>
      <c r="V195" s="72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0" t="s">
        <v>340</v>
      </c>
      <c r="B196" s="720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0"/>
      <c r="T196" s="720"/>
      <c r="U196" s="720"/>
      <c r="V196" s="720"/>
      <c r="W196" s="720"/>
      <c r="X196" s="720"/>
      <c r="Y196" s="720"/>
      <c r="Z196" s="720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721">
        <v>4680115889033</v>
      </c>
      <c r="E197" s="721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3"/>
      <c r="R197" s="723"/>
      <c r="S197" s="723"/>
      <c r="T197" s="72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30"/>
      <c r="P199" s="726" t="s">
        <v>40</v>
      </c>
      <c r="Q199" s="727"/>
      <c r="R199" s="727"/>
      <c r="S199" s="727"/>
      <c r="T199" s="727"/>
      <c r="U199" s="727"/>
      <c r="V199" s="72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8" t="s">
        <v>344</v>
      </c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54"/>
      <c r="AB200" s="54"/>
      <c r="AC200" s="54"/>
    </row>
    <row r="201" spans="1:68" ht="16.5" hidden="1" customHeight="1" x14ac:dyDescent="0.25">
      <c r="A201" s="719" t="s">
        <v>345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65"/>
      <c r="AB201" s="65"/>
      <c r="AC201" s="79"/>
    </row>
    <row r="202" spans="1:68" ht="14.25" hidden="1" customHeight="1" x14ac:dyDescent="0.25">
      <c r="A202" s="720" t="s">
        <v>122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721">
        <v>4607091383423</v>
      </c>
      <c r="E203" s="721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3"/>
      <c r="R203" s="723"/>
      <c r="S203" s="723"/>
      <c r="T203" s="7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721">
        <v>4680115888760</v>
      </c>
      <c r="E204" s="721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3"/>
      <c r="R204" s="723"/>
      <c r="S204" s="723"/>
      <c r="T204" s="7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721">
        <v>4680115888807</v>
      </c>
      <c r="E205" s="72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3"/>
      <c r="R205" s="723"/>
      <c r="S205" s="723"/>
      <c r="T205" s="7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721">
        <v>4680115888852</v>
      </c>
      <c r="E206" s="721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721">
        <v>4680115886957</v>
      </c>
      <c r="E207" s="721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721">
        <v>4680115885660</v>
      </c>
      <c r="E208" s="721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721">
        <v>4680115886773</v>
      </c>
      <c r="E209" s="721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30"/>
      <c r="P210" s="726" t="s">
        <v>40</v>
      </c>
      <c r="Q210" s="727"/>
      <c r="R210" s="727"/>
      <c r="S210" s="727"/>
      <c r="T210" s="727"/>
      <c r="U210" s="727"/>
      <c r="V210" s="72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6" t="s">
        <v>40</v>
      </c>
      <c r="Q211" s="727"/>
      <c r="R211" s="727"/>
      <c r="S211" s="727"/>
      <c r="T211" s="727"/>
      <c r="U211" s="727"/>
      <c r="V211" s="72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9" t="s">
        <v>366</v>
      </c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65"/>
      <c r="AB212" s="65"/>
      <c r="AC212" s="79"/>
    </row>
    <row r="213" spans="1:68" ht="14.25" hidden="1" customHeight="1" x14ac:dyDescent="0.25">
      <c r="A213" s="720" t="s">
        <v>157</v>
      </c>
      <c r="B213" s="720"/>
      <c r="C213" s="720"/>
      <c r="D213" s="720"/>
      <c r="E213" s="720"/>
      <c r="F213" s="720"/>
      <c r="G213" s="720"/>
      <c r="H213" s="720"/>
      <c r="I213" s="720"/>
      <c r="J213" s="720"/>
      <c r="K213" s="720"/>
      <c r="L213" s="720"/>
      <c r="M213" s="720"/>
      <c r="N213" s="720"/>
      <c r="O213" s="720"/>
      <c r="P213" s="720"/>
      <c r="Q213" s="720"/>
      <c r="R213" s="720"/>
      <c r="S213" s="720"/>
      <c r="T213" s="720"/>
      <c r="U213" s="720"/>
      <c r="V213" s="720"/>
      <c r="W213" s="720"/>
      <c r="X213" s="720"/>
      <c r="Y213" s="720"/>
      <c r="Z213" s="720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721">
        <v>4680115886223</v>
      </c>
      <c r="E214" s="721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3"/>
      <c r="R214" s="723"/>
      <c r="S214" s="723"/>
      <c r="T214" s="724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30"/>
      <c r="P215" s="726" t="s">
        <v>40</v>
      </c>
      <c r="Q215" s="727"/>
      <c r="R215" s="727"/>
      <c r="S215" s="727"/>
      <c r="T215" s="727"/>
      <c r="U215" s="727"/>
      <c r="V215" s="72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30"/>
      <c r="P216" s="726" t="s">
        <v>40</v>
      </c>
      <c r="Q216" s="727"/>
      <c r="R216" s="727"/>
      <c r="S216" s="727"/>
      <c r="T216" s="727"/>
      <c r="U216" s="727"/>
      <c r="V216" s="72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20" t="s">
        <v>77</v>
      </c>
      <c r="B217" s="720"/>
      <c r="C217" s="720"/>
      <c r="D217" s="720"/>
      <c r="E217" s="720"/>
      <c r="F217" s="720"/>
      <c r="G217" s="720"/>
      <c r="H217" s="720"/>
      <c r="I217" s="720"/>
      <c r="J217" s="720"/>
      <c r="K217" s="720"/>
      <c r="L217" s="720"/>
      <c r="M217" s="720"/>
      <c r="N217" s="720"/>
      <c r="O217" s="720"/>
      <c r="P217" s="720"/>
      <c r="Q217" s="720"/>
      <c r="R217" s="720"/>
      <c r="S217" s="720"/>
      <c r="T217" s="720"/>
      <c r="U217" s="720"/>
      <c r="V217" s="720"/>
      <c r="W217" s="720"/>
      <c r="X217" s="720"/>
      <c r="Y217" s="720"/>
      <c r="Z217" s="720"/>
      <c r="AA217" s="66"/>
      <c r="AB217" s="66"/>
      <c r="AC217" s="80"/>
    </row>
    <row r="218" spans="1:68" ht="27" hidden="1" customHeight="1" x14ac:dyDescent="0.25">
      <c r="A218" s="63" t="s">
        <v>370</v>
      </c>
      <c r="B218" s="63" t="s">
        <v>371</v>
      </c>
      <c r="C218" s="36">
        <v>4301031191</v>
      </c>
      <c r="D218" s="721">
        <v>4680115880993</v>
      </c>
      <c r="E218" s="721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3"/>
      <c r="R218" s="723"/>
      <c r="S218" s="723"/>
      <c r="T218" s="7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721">
        <v>4680115881761</v>
      </c>
      <c r="E219" s="72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3"/>
      <c r="R219" s="723"/>
      <c r="S219" s="723"/>
      <c r="T219" s="7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721">
        <v>4680115881563</v>
      </c>
      <c r="E220" s="721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3"/>
      <c r="R220" s="723"/>
      <c r="S220" s="723"/>
      <c r="T220" s="7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721">
        <v>4680115887565</v>
      </c>
      <c r="E221" s="721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721">
        <v>4680115880986</v>
      </c>
      <c r="E222" s="721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721">
        <v>4680115887213</v>
      </c>
      <c r="E223" s="721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721">
        <v>4680115881785</v>
      </c>
      <c r="E224" s="721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721">
        <v>4680115888432</v>
      </c>
      <c r="E225" s="721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721">
        <v>4680115888104</v>
      </c>
      <c r="E226" s="721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721">
        <v>4680115886537</v>
      </c>
      <c r="E227" s="721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721">
        <v>4680115887596</v>
      </c>
      <c r="E228" s="721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721">
        <v>4680115881679</v>
      </c>
      <c r="E229" s="721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721">
        <v>4680115880191</v>
      </c>
      <c r="E230" s="721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721">
        <v>4680115880191</v>
      </c>
      <c r="E231" s="7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21">
        <v>4680115883963</v>
      </c>
      <c r="E232" s="72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idden="1" x14ac:dyDescent="0.2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30"/>
      <c r="P233" s="726" t="s">
        <v>40</v>
      </c>
      <c r="Q233" s="727"/>
      <c r="R233" s="727"/>
      <c r="S233" s="727"/>
      <c r="T233" s="727"/>
      <c r="U233" s="727"/>
      <c r="V233" s="728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30"/>
      <c r="P234" s="726" t="s">
        <v>40</v>
      </c>
      <c r="Q234" s="727"/>
      <c r="R234" s="727"/>
      <c r="S234" s="727"/>
      <c r="T234" s="727"/>
      <c r="U234" s="727"/>
      <c r="V234" s="728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20" t="s">
        <v>86</v>
      </c>
      <c r="B235" s="720"/>
      <c r="C235" s="720"/>
      <c r="D235" s="720"/>
      <c r="E235" s="720"/>
      <c r="F235" s="720"/>
      <c r="G235" s="720"/>
      <c r="H235" s="720"/>
      <c r="I235" s="720"/>
      <c r="J235" s="720"/>
      <c r="K235" s="720"/>
      <c r="L235" s="720"/>
      <c r="M235" s="720"/>
      <c r="N235" s="720"/>
      <c r="O235" s="720"/>
      <c r="P235" s="720"/>
      <c r="Q235" s="720"/>
      <c r="R235" s="720"/>
      <c r="S235" s="720"/>
      <c r="T235" s="720"/>
      <c r="U235" s="720"/>
      <c r="V235" s="720"/>
      <c r="W235" s="720"/>
      <c r="X235" s="720"/>
      <c r="Y235" s="720"/>
      <c r="Z235" s="720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721">
        <v>4680115888692</v>
      </c>
      <c r="E236" s="72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3"/>
      <c r="R236" s="723"/>
      <c r="S236" s="723"/>
      <c r="T236" s="72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721">
        <v>4680115888692</v>
      </c>
      <c r="E237" s="72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3"/>
      <c r="R237" s="723"/>
      <c r="S237" s="723"/>
      <c r="T237" s="72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721">
        <v>4680115888722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721">
        <v>4680115888722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721">
        <v>4680115888951</v>
      </c>
      <c r="E240" s="72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721">
        <v>4680115888951</v>
      </c>
      <c r="E241" s="721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721">
        <v>4680115888975</v>
      </c>
      <c r="E242" s="721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721">
        <v>4680115888982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721">
        <v>4680115888982</v>
      </c>
      <c r="E244" s="72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30"/>
      <c r="P245" s="726" t="s">
        <v>40</v>
      </c>
      <c r="Q245" s="727"/>
      <c r="R245" s="727"/>
      <c r="S245" s="727"/>
      <c r="T245" s="727"/>
      <c r="U245" s="727"/>
      <c r="V245" s="728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30"/>
      <c r="P246" s="726" t="s">
        <v>40</v>
      </c>
      <c r="Q246" s="727"/>
      <c r="R246" s="727"/>
      <c r="S246" s="727"/>
      <c r="T246" s="727"/>
      <c r="U246" s="727"/>
      <c r="V246" s="728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20" t="s">
        <v>275</v>
      </c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0"/>
      <c r="P247" s="720"/>
      <c r="Q247" s="720"/>
      <c r="R247" s="720"/>
      <c r="S247" s="720"/>
      <c r="T247" s="720"/>
      <c r="U247" s="720"/>
      <c r="V247" s="720"/>
      <c r="W247" s="720"/>
      <c r="X247" s="720"/>
      <c r="Y247" s="720"/>
      <c r="Z247" s="720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721">
        <v>4680115886780</v>
      </c>
      <c r="E248" s="72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3"/>
      <c r="R248" s="723"/>
      <c r="S248" s="723"/>
      <c r="T248" s="72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721">
        <v>4680115886742</v>
      </c>
      <c r="E249" s="72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3"/>
      <c r="R249" s="723"/>
      <c r="S249" s="723"/>
      <c r="T249" s="7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721">
        <v>4680115886766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30"/>
      <c r="P251" s="726" t="s">
        <v>40</v>
      </c>
      <c r="Q251" s="727"/>
      <c r="R251" s="727"/>
      <c r="S251" s="727"/>
      <c r="T251" s="727"/>
      <c r="U251" s="727"/>
      <c r="V251" s="728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30"/>
      <c r="P252" s="726" t="s">
        <v>40</v>
      </c>
      <c r="Q252" s="727"/>
      <c r="R252" s="727"/>
      <c r="S252" s="727"/>
      <c r="T252" s="727"/>
      <c r="U252" s="727"/>
      <c r="V252" s="728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20" t="s">
        <v>437</v>
      </c>
      <c r="B253" s="720"/>
      <c r="C253" s="720"/>
      <c r="D253" s="720"/>
      <c r="E253" s="720"/>
      <c r="F253" s="720"/>
      <c r="G253" s="720"/>
      <c r="H253" s="720"/>
      <c r="I253" s="720"/>
      <c r="J253" s="720"/>
      <c r="K253" s="720"/>
      <c r="L253" s="720"/>
      <c r="M253" s="720"/>
      <c r="N253" s="720"/>
      <c r="O253" s="720"/>
      <c r="P253" s="720"/>
      <c r="Q253" s="720"/>
      <c r="R253" s="720"/>
      <c r="S253" s="720"/>
      <c r="T253" s="720"/>
      <c r="U253" s="720"/>
      <c r="V253" s="720"/>
      <c r="W253" s="720"/>
      <c r="X253" s="720"/>
      <c r="Y253" s="720"/>
      <c r="Z253" s="720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721">
        <v>4680115886797</v>
      </c>
      <c r="E254" s="72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3"/>
      <c r="R254" s="723"/>
      <c r="S254" s="723"/>
      <c r="T254" s="7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30"/>
      <c r="P255" s="726" t="s">
        <v>40</v>
      </c>
      <c r="Q255" s="727"/>
      <c r="R255" s="727"/>
      <c r="S255" s="727"/>
      <c r="T255" s="727"/>
      <c r="U255" s="727"/>
      <c r="V255" s="728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30"/>
      <c r="P256" s="726" t="s">
        <v>40</v>
      </c>
      <c r="Q256" s="727"/>
      <c r="R256" s="727"/>
      <c r="S256" s="727"/>
      <c r="T256" s="727"/>
      <c r="U256" s="727"/>
      <c r="V256" s="728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19" t="s">
        <v>440</v>
      </c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65"/>
      <c r="AB257" s="65"/>
      <c r="AC257" s="79"/>
    </row>
    <row r="258" spans="1:68" ht="14.25" hidden="1" customHeight="1" x14ac:dyDescent="0.25">
      <c r="A258" s="720" t="s">
        <v>122</v>
      </c>
      <c r="B258" s="720"/>
      <c r="C258" s="720"/>
      <c r="D258" s="720"/>
      <c r="E258" s="720"/>
      <c r="F258" s="720"/>
      <c r="G258" s="720"/>
      <c r="H258" s="720"/>
      <c r="I258" s="720"/>
      <c r="J258" s="720"/>
      <c r="K258" s="720"/>
      <c r="L258" s="720"/>
      <c r="M258" s="720"/>
      <c r="N258" s="720"/>
      <c r="O258" s="720"/>
      <c r="P258" s="720"/>
      <c r="Q258" s="720"/>
      <c r="R258" s="720"/>
      <c r="S258" s="720"/>
      <c r="T258" s="720"/>
      <c r="U258" s="720"/>
      <c r="V258" s="720"/>
      <c r="W258" s="720"/>
      <c r="X258" s="720"/>
      <c r="Y258" s="720"/>
      <c r="Z258" s="720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721">
        <v>4680115881402</v>
      </c>
      <c r="E259" s="72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3"/>
      <c r="R259" s="723"/>
      <c r="S259" s="723"/>
      <c r="T259" s="72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721">
        <v>4680115881396</v>
      </c>
      <c r="E260" s="72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3"/>
      <c r="R260" s="723"/>
      <c r="S260" s="723"/>
      <c r="T260" s="72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30"/>
      <c r="P261" s="726" t="s">
        <v>40</v>
      </c>
      <c r="Q261" s="727"/>
      <c r="R261" s="727"/>
      <c r="S261" s="727"/>
      <c r="T261" s="727"/>
      <c r="U261" s="727"/>
      <c r="V261" s="72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30"/>
      <c r="P262" s="726" t="s">
        <v>40</v>
      </c>
      <c r="Q262" s="727"/>
      <c r="R262" s="727"/>
      <c r="S262" s="727"/>
      <c r="T262" s="727"/>
      <c r="U262" s="727"/>
      <c r="V262" s="72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20" t="s">
        <v>157</v>
      </c>
      <c r="B263" s="720"/>
      <c r="C263" s="720"/>
      <c r="D263" s="720"/>
      <c r="E263" s="720"/>
      <c r="F263" s="720"/>
      <c r="G263" s="720"/>
      <c r="H263" s="720"/>
      <c r="I263" s="720"/>
      <c r="J263" s="720"/>
      <c r="K263" s="720"/>
      <c r="L263" s="720"/>
      <c r="M263" s="720"/>
      <c r="N263" s="720"/>
      <c r="O263" s="720"/>
      <c r="P263" s="720"/>
      <c r="Q263" s="720"/>
      <c r="R263" s="720"/>
      <c r="S263" s="720"/>
      <c r="T263" s="720"/>
      <c r="U263" s="720"/>
      <c r="V263" s="720"/>
      <c r="W263" s="720"/>
      <c r="X263" s="720"/>
      <c r="Y263" s="720"/>
      <c r="Z263" s="720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721">
        <v>4680115882935</v>
      </c>
      <c r="E264" s="7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3"/>
      <c r="R264" s="723"/>
      <c r="S264" s="723"/>
      <c r="T264" s="72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721">
        <v>4680115880764</v>
      </c>
      <c r="E265" s="72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3"/>
      <c r="R265" s="723"/>
      <c r="S265" s="723"/>
      <c r="T265" s="72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30"/>
      <c r="P266" s="726" t="s">
        <v>40</v>
      </c>
      <c r="Q266" s="727"/>
      <c r="R266" s="727"/>
      <c r="S266" s="727"/>
      <c r="T266" s="727"/>
      <c r="U266" s="727"/>
      <c r="V266" s="728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30"/>
      <c r="P267" s="726" t="s">
        <v>40</v>
      </c>
      <c r="Q267" s="727"/>
      <c r="R267" s="727"/>
      <c r="S267" s="727"/>
      <c r="T267" s="727"/>
      <c r="U267" s="727"/>
      <c r="V267" s="728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20" t="s">
        <v>77</v>
      </c>
      <c r="B268" s="720"/>
      <c r="C268" s="720"/>
      <c r="D268" s="720"/>
      <c r="E268" s="720"/>
      <c r="F268" s="720"/>
      <c r="G268" s="720"/>
      <c r="H268" s="720"/>
      <c r="I268" s="720"/>
      <c r="J268" s="720"/>
      <c r="K268" s="720"/>
      <c r="L268" s="720"/>
      <c r="M268" s="720"/>
      <c r="N268" s="720"/>
      <c r="O268" s="720"/>
      <c r="P268" s="720"/>
      <c r="Q268" s="720"/>
      <c r="R268" s="720"/>
      <c r="S268" s="720"/>
      <c r="T268" s="720"/>
      <c r="U268" s="720"/>
      <c r="V268" s="720"/>
      <c r="W268" s="720"/>
      <c r="X268" s="720"/>
      <c r="Y268" s="720"/>
      <c r="Z268" s="720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721">
        <v>4680115882683</v>
      </c>
      <c r="E269" s="72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3"/>
      <c r="R269" s="723"/>
      <c r="S269" s="723"/>
      <c r="T269" s="72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721">
        <v>4680115882690</v>
      </c>
      <c r="E270" s="72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3"/>
      <c r="R270" s="723"/>
      <c r="S270" s="723"/>
      <c r="T270" s="7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721">
        <v>4680115882669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721">
        <v>4680115882676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721">
        <v>4680115884014</v>
      </c>
      <c r="E273" s="72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721">
        <v>4680115884007</v>
      </c>
      <c r="E274" s="72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721">
        <v>4680115884038</v>
      </c>
      <c r="E275" s="72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721">
        <v>4680115884021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idden="1" x14ac:dyDescent="0.2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30"/>
      <c r="P277" s="726" t="s">
        <v>40</v>
      </c>
      <c r="Q277" s="727"/>
      <c r="R277" s="727"/>
      <c r="S277" s="727"/>
      <c r="T277" s="727"/>
      <c r="U277" s="727"/>
      <c r="V277" s="728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30"/>
      <c r="P278" s="726" t="s">
        <v>40</v>
      </c>
      <c r="Q278" s="727"/>
      <c r="R278" s="727"/>
      <c r="S278" s="727"/>
      <c r="T278" s="727"/>
      <c r="U278" s="727"/>
      <c r="V278" s="728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20" t="s">
        <v>86</v>
      </c>
      <c r="B279" s="720"/>
      <c r="C279" s="720"/>
      <c r="D279" s="720"/>
      <c r="E279" s="720"/>
      <c r="F279" s="720"/>
      <c r="G279" s="720"/>
      <c r="H279" s="720"/>
      <c r="I279" s="720"/>
      <c r="J279" s="720"/>
      <c r="K279" s="720"/>
      <c r="L279" s="720"/>
      <c r="M279" s="720"/>
      <c r="N279" s="720"/>
      <c r="O279" s="720"/>
      <c r="P279" s="720"/>
      <c r="Q279" s="720"/>
      <c r="R279" s="720"/>
      <c r="S279" s="720"/>
      <c r="T279" s="720"/>
      <c r="U279" s="720"/>
      <c r="V279" s="720"/>
      <c r="W279" s="720"/>
      <c r="X279" s="720"/>
      <c r="Y279" s="720"/>
      <c r="Z279" s="720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721">
        <v>4680115881594</v>
      </c>
      <c r="E280" s="72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3"/>
      <c r="R280" s="723"/>
      <c r="S280" s="723"/>
      <c r="T280" s="7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721">
        <v>4680115881617</v>
      </c>
      <c r="E281" s="72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3"/>
      <c r="R281" s="723"/>
      <c r="S281" s="723"/>
      <c r="T281" s="7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721">
        <v>4680115880573</v>
      </c>
      <c r="E282" s="72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721">
        <v>4680115882195</v>
      </c>
      <c r="E283" s="72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721">
        <v>4680115882607</v>
      </c>
      <c r="E284" s="72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721">
        <v>4680115882607</v>
      </c>
      <c r="E285" s="72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721">
        <v>4680115880092</v>
      </c>
      <c r="E286" s="7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721">
        <v>4680115889064</v>
      </c>
      <c r="E287" s="72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721">
        <v>4680115880221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721">
        <v>4680115880504</v>
      </c>
      <c r="E289" s="72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721">
        <v>4680115882164</v>
      </c>
      <c r="E290" s="72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721">
        <v>4680115888340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idden="1" x14ac:dyDescent="0.2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30"/>
      <c r="P292" s="726" t="s">
        <v>40</v>
      </c>
      <c r="Q292" s="727"/>
      <c r="R292" s="727"/>
      <c r="S292" s="727"/>
      <c r="T292" s="727"/>
      <c r="U292" s="727"/>
      <c r="V292" s="728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30"/>
      <c r="P293" s="726" t="s">
        <v>40</v>
      </c>
      <c r="Q293" s="727"/>
      <c r="R293" s="727"/>
      <c r="S293" s="727"/>
      <c r="T293" s="727"/>
      <c r="U293" s="727"/>
      <c r="V293" s="728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20" t="s">
        <v>175</v>
      </c>
      <c r="B294" s="720"/>
      <c r="C294" s="720"/>
      <c r="D294" s="720"/>
      <c r="E294" s="720"/>
      <c r="F294" s="720"/>
      <c r="G294" s="720"/>
      <c r="H294" s="720"/>
      <c r="I294" s="720"/>
      <c r="J294" s="720"/>
      <c r="K294" s="720"/>
      <c r="L294" s="720"/>
      <c r="M294" s="720"/>
      <c r="N294" s="720"/>
      <c r="O294" s="720"/>
      <c r="P294" s="720"/>
      <c r="Q294" s="720"/>
      <c r="R294" s="720"/>
      <c r="S294" s="720"/>
      <c r="T294" s="720"/>
      <c r="U294" s="720"/>
      <c r="V294" s="720"/>
      <c r="W294" s="720"/>
      <c r="X294" s="720"/>
      <c r="Y294" s="720"/>
      <c r="Z294" s="720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721">
        <v>4680115880818</v>
      </c>
      <c r="E295" s="72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3"/>
      <c r="R295" s="723"/>
      <c r="S295" s="723"/>
      <c r="T295" s="72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721">
        <v>4680115880801</v>
      </c>
      <c r="E296" s="72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3"/>
      <c r="R296" s="723"/>
      <c r="S296" s="723"/>
      <c r="T296" s="72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30"/>
      <c r="P297" s="726" t="s">
        <v>40</v>
      </c>
      <c r="Q297" s="727"/>
      <c r="R297" s="727"/>
      <c r="S297" s="727"/>
      <c r="T297" s="727"/>
      <c r="U297" s="727"/>
      <c r="V297" s="728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30"/>
      <c r="P298" s="726" t="s">
        <v>40</v>
      </c>
      <c r="Q298" s="727"/>
      <c r="R298" s="727"/>
      <c r="S298" s="727"/>
      <c r="T298" s="727"/>
      <c r="U298" s="727"/>
      <c r="V298" s="728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19" t="s">
        <v>508</v>
      </c>
      <c r="B299" s="719"/>
      <c r="C299" s="719"/>
      <c r="D299" s="719"/>
      <c r="E299" s="719"/>
      <c r="F299" s="719"/>
      <c r="G299" s="719"/>
      <c r="H299" s="719"/>
      <c r="I299" s="719"/>
      <c r="J299" s="719"/>
      <c r="K299" s="719"/>
      <c r="L299" s="719"/>
      <c r="M299" s="719"/>
      <c r="N299" s="719"/>
      <c r="O299" s="719"/>
      <c r="P299" s="719"/>
      <c r="Q299" s="719"/>
      <c r="R299" s="719"/>
      <c r="S299" s="719"/>
      <c r="T299" s="719"/>
      <c r="U299" s="719"/>
      <c r="V299" s="719"/>
      <c r="W299" s="719"/>
      <c r="X299" s="719"/>
      <c r="Y299" s="719"/>
      <c r="Z299" s="719"/>
      <c r="AA299" s="65"/>
      <c r="AB299" s="65"/>
      <c r="AC299" s="79"/>
    </row>
    <row r="300" spans="1:68" ht="14.25" hidden="1" customHeight="1" x14ac:dyDescent="0.25">
      <c r="A300" s="720" t="s">
        <v>122</v>
      </c>
      <c r="B300" s="720"/>
      <c r="C300" s="720"/>
      <c r="D300" s="720"/>
      <c r="E300" s="720"/>
      <c r="F300" s="720"/>
      <c r="G300" s="720"/>
      <c r="H300" s="720"/>
      <c r="I300" s="720"/>
      <c r="J300" s="720"/>
      <c r="K300" s="720"/>
      <c r="L300" s="720"/>
      <c r="M300" s="720"/>
      <c r="N300" s="720"/>
      <c r="O300" s="720"/>
      <c r="P300" s="720"/>
      <c r="Q300" s="720"/>
      <c r="R300" s="720"/>
      <c r="S300" s="720"/>
      <c r="T300" s="720"/>
      <c r="U300" s="720"/>
      <c r="V300" s="720"/>
      <c r="W300" s="720"/>
      <c r="X300" s="720"/>
      <c r="Y300" s="720"/>
      <c r="Z300" s="720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721">
        <v>4680115884137</v>
      </c>
      <c r="E301" s="72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3"/>
      <c r="R301" s="723"/>
      <c r="S301" s="723"/>
      <c r="T301" s="72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721">
        <v>4680115884236</v>
      </c>
      <c r="E302" s="72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3"/>
      <c r="R302" s="723"/>
      <c r="S302" s="723"/>
      <c r="T302" s="72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721">
        <v>4680115884175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721">
        <v>4680115884144</v>
      </c>
      <c r="E304" s="72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721">
        <v>4680115886551</v>
      </c>
      <c r="E305" s="72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721">
        <v>4680115887282</v>
      </c>
      <c r="E306" s="72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721">
        <v>4680115884205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30"/>
      <c r="P308" s="726" t="s">
        <v>40</v>
      </c>
      <c r="Q308" s="727"/>
      <c r="R308" s="727"/>
      <c r="S308" s="727"/>
      <c r="T308" s="727"/>
      <c r="U308" s="727"/>
      <c r="V308" s="728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30"/>
      <c r="P309" s="726" t="s">
        <v>40</v>
      </c>
      <c r="Q309" s="727"/>
      <c r="R309" s="727"/>
      <c r="S309" s="727"/>
      <c r="T309" s="727"/>
      <c r="U309" s="727"/>
      <c r="V309" s="728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20" t="s">
        <v>157</v>
      </c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0"/>
      <c r="P310" s="720"/>
      <c r="Q310" s="720"/>
      <c r="R310" s="720"/>
      <c r="S310" s="720"/>
      <c r="T310" s="720"/>
      <c r="U310" s="720"/>
      <c r="V310" s="720"/>
      <c r="W310" s="720"/>
      <c r="X310" s="720"/>
      <c r="Y310" s="720"/>
      <c r="Z310" s="720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721">
        <v>4680115885981</v>
      </c>
      <c r="E311" s="72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3"/>
      <c r="R311" s="723"/>
      <c r="S311" s="723"/>
      <c r="T311" s="7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6" t="s">
        <v>40</v>
      </c>
      <c r="Q312" s="727"/>
      <c r="R312" s="727"/>
      <c r="S312" s="727"/>
      <c r="T312" s="727"/>
      <c r="U312" s="727"/>
      <c r="V312" s="72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30"/>
      <c r="P313" s="726" t="s">
        <v>40</v>
      </c>
      <c r="Q313" s="727"/>
      <c r="R313" s="727"/>
      <c r="S313" s="727"/>
      <c r="T313" s="727"/>
      <c r="U313" s="727"/>
      <c r="V313" s="72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0" t="s">
        <v>530</v>
      </c>
      <c r="B314" s="720"/>
      <c r="C314" s="720"/>
      <c r="D314" s="720"/>
      <c r="E314" s="720"/>
      <c r="F314" s="720"/>
      <c r="G314" s="720"/>
      <c r="H314" s="720"/>
      <c r="I314" s="720"/>
      <c r="J314" s="720"/>
      <c r="K314" s="720"/>
      <c r="L314" s="720"/>
      <c r="M314" s="720"/>
      <c r="N314" s="720"/>
      <c r="O314" s="720"/>
      <c r="P314" s="720"/>
      <c r="Q314" s="720"/>
      <c r="R314" s="720"/>
      <c r="S314" s="720"/>
      <c r="T314" s="720"/>
      <c r="U314" s="720"/>
      <c r="V314" s="720"/>
      <c r="W314" s="720"/>
      <c r="X314" s="720"/>
      <c r="Y314" s="720"/>
      <c r="Z314" s="720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721">
        <v>4680115886803</v>
      </c>
      <c r="E315" s="72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3"/>
      <c r="R315" s="723"/>
      <c r="S315" s="723"/>
      <c r="T315" s="72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6" t="s">
        <v>40</v>
      </c>
      <c r="Q316" s="727"/>
      <c r="R316" s="727"/>
      <c r="S316" s="727"/>
      <c r="T316" s="727"/>
      <c r="U316" s="727"/>
      <c r="V316" s="728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6" t="s">
        <v>40</v>
      </c>
      <c r="Q317" s="727"/>
      <c r="R317" s="727"/>
      <c r="S317" s="727"/>
      <c r="T317" s="727"/>
      <c r="U317" s="727"/>
      <c r="V317" s="728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0" t="s">
        <v>340</v>
      </c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0"/>
      <c r="P318" s="720"/>
      <c r="Q318" s="720"/>
      <c r="R318" s="720"/>
      <c r="S318" s="720"/>
      <c r="T318" s="720"/>
      <c r="U318" s="720"/>
      <c r="V318" s="720"/>
      <c r="W318" s="720"/>
      <c r="X318" s="720"/>
      <c r="Y318" s="720"/>
      <c r="Z318" s="720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721">
        <v>4680115886704</v>
      </c>
      <c r="E319" s="72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3"/>
      <c r="R319" s="723"/>
      <c r="S319" s="723"/>
      <c r="T319" s="7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721">
        <v>4680115886681</v>
      </c>
      <c r="E320" s="72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3"/>
      <c r="R320" s="723"/>
      <c r="S320" s="723"/>
      <c r="T320" s="7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721">
        <v>4680115886735</v>
      </c>
      <c r="E321" s="72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19" t="s">
        <v>541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hidden="1" customHeight="1" x14ac:dyDescent="0.25">
      <c r="A325" s="720" t="s">
        <v>122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721">
        <v>4680115887237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721">
        <v>4680115885806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721">
        <v>4680115885844</v>
      </c>
      <c r="E329" s="72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721">
        <v>4680115885820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30"/>
      <c r="P331" s="726" t="s">
        <v>40</v>
      </c>
      <c r="Q331" s="727"/>
      <c r="R331" s="727"/>
      <c r="S331" s="727"/>
      <c r="T331" s="727"/>
      <c r="U331" s="727"/>
      <c r="V331" s="728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19" t="s">
        <v>557</v>
      </c>
      <c r="B333" s="719"/>
      <c r="C333" s="719"/>
      <c r="D333" s="719"/>
      <c r="E333" s="719"/>
      <c r="F333" s="719"/>
      <c r="G333" s="719"/>
      <c r="H333" s="719"/>
      <c r="I333" s="719"/>
      <c r="J333" s="719"/>
      <c r="K333" s="719"/>
      <c r="L333" s="719"/>
      <c r="M333" s="719"/>
      <c r="N333" s="719"/>
      <c r="O333" s="719"/>
      <c r="P333" s="719"/>
      <c r="Q333" s="719"/>
      <c r="R333" s="719"/>
      <c r="S333" s="719"/>
      <c r="T333" s="719"/>
      <c r="U333" s="719"/>
      <c r="V333" s="719"/>
      <c r="W333" s="719"/>
      <c r="X333" s="719"/>
      <c r="Y333" s="719"/>
      <c r="Z333" s="719"/>
      <c r="AA333" s="65"/>
      <c r="AB333" s="65"/>
      <c r="AC333" s="79"/>
    </row>
    <row r="334" spans="1:68" ht="14.25" hidden="1" customHeight="1" x14ac:dyDescent="0.25">
      <c r="A334" s="720" t="s">
        <v>86</v>
      </c>
      <c r="B334" s="720"/>
      <c r="C334" s="720"/>
      <c r="D334" s="720"/>
      <c r="E334" s="720"/>
      <c r="F334" s="720"/>
      <c r="G334" s="720"/>
      <c r="H334" s="720"/>
      <c r="I334" s="720"/>
      <c r="J334" s="720"/>
      <c r="K334" s="720"/>
      <c r="L334" s="720"/>
      <c r="M334" s="720"/>
      <c r="N334" s="720"/>
      <c r="O334" s="720"/>
      <c r="P334" s="720"/>
      <c r="Q334" s="720"/>
      <c r="R334" s="720"/>
      <c r="S334" s="720"/>
      <c r="T334" s="720"/>
      <c r="U334" s="720"/>
      <c r="V334" s="720"/>
      <c r="W334" s="720"/>
      <c r="X334" s="720"/>
      <c r="Y334" s="720"/>
      <c r="Z334" s="720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721">
        <v>4680115886186</v>
      </c>
      <c r="E335" s="72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3"/>
      <c r="R335" s="723"/>
      <c r="S335" s="723"/>
      <c r="T335" s="7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721">
        <v>4680115881228</v>
      </c>
      <c r="E336" s="72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721">
        <v>4680115881211</v>
      </c>
      <c r="E337" s="72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30"/>
      <c r="P338" s="726" t="s">
        <v>40</v>
      </c>
      <c r="Q338" s="727"/>
      <c r="R338" s="727"/>
      <c r="S338" s="727"/>
      <c r="T338" s="727"/>
      <c r="U338" s="727"/>
      <c r="V338" s="7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19" t="s">
        <v>566</v>
      </c>
      <c r="B340" s="719"/>
      <c r="C340" s="719"/>
      <c r="D340" s="719"/>
      <c r="E340" s="719"/>
      <c r="F340" s="719"/>
      <c r="G340" s="719"/>
      <c r="H340" s="719"/>
      <c r="I340" s="719"/>
      <c r="J340" s="719"/>
      <c r="K340" s="719"/>
      <c r="L340" s="719"/>
      <c r="M340" s="719"/>
      <c r="N340" s="719"/>
      <c r="O340" s="719"/>
      <c r="P340" s="719"/>
      <c r="Q340" s="719"/>
      <c r="R340" s="719"/>
      <c r="S340" s="719"/>
      <c r="T340" s="719"/>
      <c r="U340" s="719"/>
      <c r="V340" s="719"/>
      <c r="W340" s="719"/>
      <c r="X340" s="719"/>
      <c r="Y340" s="719"/>
      <c r="Z340" s="719"/>
      <c r="AA340" s="65"/>
      <c r="AB340" s="65"/>
      <c r="AC340" s="79"/>
    </row>
    <row r="341" spans="1:68" ht="14.25" hidden="1" customHeight="1" x14ac:dyDescent="0.25">
      <c r="A341" s="720" t="s">
        <v>77</v>
      </c>
      <c r="B341" s="720"/>
      <c r="C341" s="720"/>
      <c r="D341" s="720"/>
      <c r="E341" s="720"/>
      <c r="F341" s="720"/>
      <c r="G341" s="720"/>
      <c r="H341" s="720"/>
      <c r="I341" s="720"/>
      <c r="J341" s="720"/>
      <c r="K341" s="720"/>
      <c r="L341" s="720"/>
      <c r="M341" s="720"/>
      <c r="N341" s="720"/>
      <c r="O341" s="720"/>
      <c r="P341" s="720"/>
      <c r="Q341" s="720"/>
      <c r="R341" s="720"/>
      <c r="S341" s="720"/>
      <c r="T341" s="720"/>
      <c r="U341" s="720"/>
      <c r="V341" s="720"/>
      <c r="W341" s="720"/>
      <c r="X341" s="720"/>
      <c r="Y341" s="720"/>
      <c r="Z341" s="720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721">
        <v>4680115888319</v>
      </c>
      <c r="E342" s="72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3"/>
      <c r="R342" s="723"/>
      <c r="S342" s="723"/>
      <c r="T342" s="72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721">
        <v>4680115884700</v>
      </c>
      <c r="E343" s="72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721">
        <v>4680115880344</v>
      </c>
      <c r="E344" s="72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721">
        <v>4680115886919</v>
      </c>
      <c r="E345" s="72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721">
        <v>4680115883970</v>
      </c>
      <c r="E346" s="72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20" t="s">
        <v>86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19" t="s">
        <v>587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hidden="1" customHeight="1" x14ac:dyDescent="0.25">
      <c r="A355" s="720" t="s">
        <v>122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19" t="s">
        <v>596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hidden="1" customHeight="1" x14ac:dyDescent="0.25">
      <c r="A362" s="720" t="s">
        <v>122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721">
        <v>4680115887138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721">
        <v>4680115885554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721">
        <v>4680115887220</v>
      </c>
      <c r="E367" s="72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721">
        <v>4680115885608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30"/>
      <c r="P369" s="726" t="s">
        <v>40</v>
      </c>
      <c r="Q369" s="727"/>
      <c r="R369" s="727"/>
      <c r="S369" s="727"/>
      <c r="T369" s="727"/>
      <c r="U369" s="727"/>
      <c r="V369" s="728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20" t="s">
        <v>77</v>
      </c>
      <c r="B371" s="720"/>
      <c r="C371" s="720"/>
      <c r="D371" s="720"/>
      <c r="E371" s="720"/>
      <c r="F371" s="720"/>
      <c r="G371" s="720"/>
      <c r="H371" s="720"/>
      <c r="I371" s="720"/>
      <c r="J371" s="720"/>
      <c r="K371" s="720"/>
      <c r="L371" s="720"/>
      <c r="M371" s="720"/>
      <c r="N371" s="720"/>
      <c r="O371" s="720"/>
      <c r="P371" s="720"/>
      <c r="Q371" s="720"/>
      <c r="R371" s="720"/>
      <c r="S371" s="720"/>
      <c r="T371" s="720"/>
      <c r="U371" s="720"/>
      <c r="V371" s="720"/>
      <c r="W371" s="720"/>
      <c r="X371" s="720"/>
      <c r="Y371" s="720"/>
      <c r="Z371" s="720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721">
        <v>4607091387193</v>
      </c>
      <c r="E372" s="72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3"/>
      <c r="R372" s="723"/>
      <c r="S372" s="723"/>
      <c r="T372" s="72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721">
        <v>4607091387230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721">
        <v>4607091387292</v>
      </c>
      <c r="E374" s="72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721">
        <v>4607091387285</v>
      </c>
      <c r="E375" s="72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721">
        <v>4607091389845</v>
      </c>
      <c r="E376" s="72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721">
        <v>4680115887442</v>
      </c>
      <c r="E377" s="72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721">
        <v>4607091383836</v>
      </c>
      <c r="E378" s="72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30"/>
      <c r="P379" s="726" t="s">
        <v>40</v>
      </c>
      <c r="Q379" s="727"/>
      <c r="R379" s="727"/>
      <c r="S379" s="727"/>
      <c r="T379" s="727"/>
      <c r="U379" s="727"/>
      <c r="V379" s="728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20" t="s">
        <v>86</v>
      </c>
      <c r="B381" s="720"/>
      <c r="C381" s="720"/>
      <c r="D381" s="720"/>
      <c r="E381" s="720"/>
      <c r="F381" s="720"/>
      <c r="G381" s="720"/>
      <c r="H381" s="720"/>
      <c r="I381" s="720"/>
      <c r="J381" s="720"/>
      <c r="K381" s="720"/>
      <c r="L381" s="720"/>
      <c r="M381" s="720"/>
      <c r="N381" s="720"/>
      <c r="O381" s="720"/>
      <c r="P381" s="720"/>
      <c r="Q381" s="720"/>
      <c r="R381" s="720"/>
      <c r="S381" s="720"/>
      <c r="T381" s="720"/>
      <c r="U381" s="720"/>
      <c r="V381" s="720"/>
      <c r="W381" s="720"/>
      <c r="X381" s="720"/>
      <c r="Y381" s="720"/>
      <c r="Z381" s="720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721">
        <v>4607091387766</v>
      </c>
      <c r="E382" s="72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3"/>
      <c r="R382" s="723"/>
      <c r="S382" s="723"/>
      <c r="T382" s="72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721">
        <v>4607091387957</v>
      </c>
      <c r="E383" s="72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721">
        <v>4607091387964</v>
      </c>
      <c r="E384" s="72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721">
        <v>4680115884588</v>
      </c>
      <c r="E385" s="72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30"/>
      <c r="P386" s="726" t="s">
        <v>40</v>
      </c>
      <c r="Q386" s="727"/>
      <c r="R386" s="727"/>
      <c r="S386" s="727"/>
      <c r="T386" s="727"/>
      <c r="U386" s="727"/>
      <c r="V386" s="728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20" t="s">
        <v>175</v>
      </c>
      <c r="B388" s="720"/>
      <c r="C388" s="720"/>
      <c r="D388" s="720"/>
      <c r="E388" s="720"/>
      <c r="F388" s="720"/>
      <c r="G388" s="720"/>
      <c r="H388" s="720"/>
      <c r="I388" s="720"/>
      <c r="J388" s="720"/>
      <c r="K388" s="720"/>
      <c r="L388" s="720"/>
      <c r="M388" s="720"/>
      <c r="N388" s="720"/>
      <c r="O388" s="720"/>
      <c r="P388" s="720"/>
      <c r="Q388" s="720"/>
      <c r="R388" s="720"/>
      <c r="S388" s="720"/>
      <c r="T388" s="720"/>
      <c r="U388" s="720"/>
      <c r="V388" s="720"/>
      <c r="W388" s="720"/>
      <c r="X388" s="720"/>
      <c r="Y388" s="720"/>
      <c r="Z388" s="720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721">
        <v>4607091380880</v>
      </c>
      <c r="E389" s="72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3"/>
      <c r="R389" s="723"/>
      <c r="S389" s="723"/>
      <c r="T389" s="72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721">
        <v>4607091384482</v>
      </c>
      <c r="E390" s="72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721">
        <v>4607091380897</v>
      </c>
      <c r="E391" s="72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30"/>
      <c r="P392" s="726" t="s">
        <v>40</v>
      </c>
      <c r="Q392" s="727"/>
      <c r="R392" s="727"/>
      <c r="S392" s="727"/>
      <c r="T392" s="727"/>
      <c r="U392" s="727"/>
      <c r="V392" s="728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20" t="s">
        <v>275</v>
      </c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0"/>
      <c r="P394" s="720"/>
      <c r="Q394" s="720"/>
      <c r="R394" s="720"/>
      <c r="S394" s="720"/>
      <c r="T394" s="720"/>
      <c r="U394" s="720"/>
      <c r="V394" s="720"/>
      <c r="W394" s="720"/>
      <c r="X394" s="720"/>
      <c r="Y394" s="720"/>
      <c r="Z394" s="720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721">
        <v>4607091388381</v>
      </c>
      <c r="E395" s="72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3"/>
      <c r="R395" s="723"/>
      <c r="S395" s="723"/>
      <c r="T395" s="72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721">
        <v>4607091388374</v>
      </c>
      <c r="E396" s="72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721">
        <v>4607091383102</v>
      </c>
      <c r="E397" s="72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721">
        <v>4607091388404</v>
      </c>
      <c r="E398" s="72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30"/>
      <c r="P399" s="726" t="s">
        <v>40</v>
      </c>
      <c r="Q399" s="727"/>
      <c r="R399" s="727"/>
      <c r="S399" s="727"/>
      <c r="T399" s="727"/>
      <c r="U399" s="727"/>
      <c r="V399" s="728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20" t="s">
        <v>662</v>
      </c>
      <c r="B401" s="720"/>
      <c r="C401" s="720"/>
      <c r="D401" s="720"/>
      <c r="E401" s="720"/>
      <c r="F401" s="720"/>
      <c r="G401" s="720"/>
      <c r="H401" s="720"/>
      <c r="I401" s="720"/>
      <c r="J401" s="720"/>
      <c r="K401" s="720"/>
      <c r="L401" s="720"/>
      <c r="M401" s="720"/>
      <c r="N401" s="720"/>
      <c r="O401" s="720"/>
      <c r="P401" s="720"/>
      <c r="Q401" s="720"/>
      <c r="R401" s="720"/>
      <c r="S401" s="720"/>
      <c r="T401" s="720"/>
      <c r="U401" s="720"/>
      <c r="V401" s="720"/>
      <c r="W401" s="720"/>
      <c r="X401" s="720"/>
      <c r="Y401" s="720"/>
      <c r="Z401" s="720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721">
        <v>4680115881808</v>
      </c>
      <c r="E402" s="72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3"/>
      <c r="R402" s="723"/>
      <c r="S402" s="723"/>
      <c r="T402" s="72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721">
        <v>4680115881822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721">
        <v>4680115880016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30"/>
      <c r="P405" s="726" t="s">
        <v>40</v>
      </c>
      <c r="Q405" s="727"/>
      <c r="R405" s="727"/>
      <c r="S405" s="727"/>
      <c r="T405" s="727"/>
      <c r="U405" s="727"/>
      <c r="V405" s="728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20" t="s">
        <v>671</v>
      </c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0"/>
      <c r="P407" s="720"/>
      <c r="Q407" s="720"/>
      <c r="R407" s="720"/>
      <c r="S407" s="720"/>
      <c r="T407" s="720"/>
      <c r="U407" s="720"/>
      <c r="V407" s="720"/>
      <c r="W407" s="720"/>
      <c r="X407" s="720"/>
      <c r="Y407" s="720"/>
      <c r="Z407" s="720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721">
        <v>4680115888678</v>
      </c>
      <c r="E408" s="72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3"/>
      <c r="R408" s="723"/>
      <c r="S408" s="723"/>
      <c r="T408" s="72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721">
        <v>4680115888654</v>
      </c>
      <c r="E409" s="72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721">
        <v>4680115888753</v>
      </c>
      <c r="E410" s="72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30"/>
      <c r="P411" s="726" t="s">
        <v>40</v>
      </c>
      <c r="Q411" s="727"/>
      <c r="R411" s="727"/>
      <c r="S411" s="727"/>
      <c r="T411" s="727"/>
      <c r="U411" s="727"/>
      <c r="V411" s="728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19" t="s">
        <v>680</v>
      </c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19"/>
      <c r="P413" s="719"/>
      <c r="Q413" s="719"/>
      <c r="R413" s="719"/>
      <c r="S413" s="719"/>
      <c r="T413" s="719"/>
      <c r="U413" s="719"/>
      <c r="V413" s="719"/>
      <c r="W413" s="719"/>
      <c r="X413" s="719"/>
      <c r="Y413" s="719"/>
      <c r="Z413" s="719"/>
      <c r="AA413" s="65"/>
      <c r="AB413" s="65"/>
      <c r="AC413" s="79"/>
    </row>
    <row r="414" spans="1:68" ht="14.25" hidden="1" customHeight="1" x14ac:dyDescent="0.25">
      <c r="A414" s="720" t="s">
        <v>86</v>
      </c>
      <c r="B414" s="720"/>
      <c r="C414" s="720"/>
      <c r="D414" s="720"/>
      <c r="E414" s="720"/>
      <c r="F414" s="720"/>
      <c r="G414" s="720"/>
      <c r="H414" s="720"/>
      <c r="I414" s="720"/>
      <c r="J414" s="720"/>
      <c r="K414" s="720"/>
      <c r="L414" s="720"/>
      <c r="M414" s="720"/>
      <c r="N414" s="720"/>
      <c r="O414" s="720"/>
      <c r="P414" s="720"/>
      <c r="Q414" s="720"/>
      <c r="R414" s="720"/>
      <c r="S414" s="720"/>
      <c r="T414" s="720"/>
      <c r="U414" s="720"/>
      <c r="V414" s="720"/>
      <c r="W414" s="720"/>
      <c r="X414" s="720"/>
      <c r="Y414" s="720"/>
      <c r="Z414" s="720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721">
        <v>4680115889415</v>
      </c>
      <c r="E415" s="721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3"/>
      <c r="R415" s="723"/>
      <c r="S415" s="723"/>
      <c r="T415" s="72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721">
        <v>4680115889422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30"/>
      <c r="P417" s="726" t="s">
        <v>40</v>
      </c>
      <c r="Q417" s="727"/>
      <c r="R417" s="727"/>
      <c r="S417" s="727"/>
      <c r="T417" s="727"/>
      <c r="U417" s="727"/>
      <c r="V417" s="728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719" t="s">
        <v>687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19"/>
      <c r="N419" s="719"/>
      <c r="O419" s="719"/>
      <c r="P419" s="719"/>
      <c r="Q419" s="719"/>
      <c r="R419" s="719"/>
      <c r="S419" s="719"/>
      <c r="T419" s="719"/>
      <c r="U419" s="719"/>
      <c r="V419" s="719"/>
      <c r="W419" s="719"/>
      <c r="X419" s="719"/>
      <c r="Y419" s="719"/>
      <c r="Z419" s="719"/>
      <c r="AA419" s="65"/>
      <c r="AB419" s="65"/>
      <c r="AC419" s="79"/>
    </row>
    <row r="420" spans="1:68" ht="14.25" hidden="1" customHeight="1" x14ac:dyDescent="0.25">
      <c r="A420" s="720" t="s">
        <v>86</v>
      </c>
      <c r="B420" s="720"/>
      <c r="C420" s="720"/>
      <c r="D420" s="720"/>
      <c r="E420" s="720"/>
      <c r="F420" s="720"/>
      <c r="G420" s="720"/>
      <c r="H420" s="720"/>
      <c r="I420" s="720"/>
      <c r="J420" s="720"/>
      <c r="K420" s="720"/>
      <c r="L420" s="720"/>
      <c r="M420" s="720"/>
      <c r="N420" s="720"/>
      <c r="O420" s="720"/>
      <c r="P420" s="720"/>
      <c r="Q420" s="720"/>
      <c r="R420" s="720"/>
      <c r="S420" s="720"/>
      <c r="T420" s="720"/>
      <c r="U420" s="720"/>
      <c r="V420" s="720"/>
      <c r="W420" s="720"/>
      <c r="X420" s="720"/>
      <c r="Y420" s="720"/>
      <c r="Z420" s="720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721">
        <v>4607091387919</v>
      </c>
      <c r="E421" s="721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3"/>
      <c r="R421" s="723"/>
      <c r="S421" s="723"/>
      <c r="T421" s="72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721">
        <v>4680115883604</v>
      </c>
      <c r="E422" s="721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721">
        <v>4680115883567</v>
      </c>
      <c r="E423" s="721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30"/>
      <c r="P424" s="726" t="s">
        <v>40</v>
      </c>
      <c r="Q424" s="727"/>
      <c r="R424" s="727"/>
      <c r="S424" s="727"/>
      <c r="T424" s="727"/>
      <c r="U424" s="727"/>
      <c r="V424" s="728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718" t="s">
        <v>697</v>
      </c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54"/>
      <c r="AB426" s="54"/>
      <c r="AC426" s="54"/>
    </row>
    <row r="427" spans="1:68" ht="16.5" hidden="1" customHeight="1" x14ac:dyDescent="0.25">
      <c r="A427" s="719" t="s">
        <v>698</v>
      </c>
      <c r="B427" s="719"/>
      <c r="C427" s="719"/>
      <c r="D427" s="719"/>
      <c r="E427" s="719"/>
      <c r="F427" s="719"/>
      <c r="G427" s="719"/>
      <c r="H427" s="719"/>
      <c r="I427" s="719"/>
      <c r="J427" s="719"/>
      <c r="K427" s="719"/>
      <c r="L427" s="719"/>
      <c r="M427" s="719"/>
      <c r="N427" s="719"/>
      <c r="O427" s="719"/>
      <c r="P427" s="719"/>
      <c r="Q427" s="719"/>
      <c r="R427" s="719"/>
      <c r="S427" s="719"/>
      <c r="T427" s="719"/>
      <c r="U427" s="719"/>
      <c r="V427" s="719"/>
      <c r="W427" s="719"/>
      <c r="X427" s="719"/>
      <c r="Y427" s="719"/>
      <c r="Z427" s="719"/>
      <c r="AA427" s="65"/>
      <c r="AB427" s="65"/>
      <c r="AC427" s="79"/>
    </row>
    <row r="428" spans="1:68" ht="14.25" hidden="1" customHeight="1" x14ac:dyDescent="0.25">
      <c r="A428" s="720" t="s">
        <v>122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721">
        <v>4680115888401</v>
      </c>
      <c r="E429" s="72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3"/>
      <c r="R429" s="723"/>
      <c r="S429" s="723"/>
      <c r="T429" s="72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hidden="1" customHeight="1" x14ac:dyDescent="0.25">
      <c r="A430" s="63" t="s">
        <v>702</v>
      </c>
      <c r="B430" s="63" t="s">
        <v>703</v>
      </c>
      <c r="C430" s="36">
        <v>4301011869</v>
      </c>
      <c r="D430" s="721">
        <v>4680115884847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721">
        <v>4680115884854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1500</v>
      </c>
      <c r="Y431" s="55">
        <f t="shared" si="68"/>
        <v>1500</v>
      </c>
      <c r="Z431" s="41">
        <f>IFERROR(IF(Y431=0,"",ROUNDUP(Y431/H431,0)*0.02175),"")</f>
        <v>2.1749999999999998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1547</v>
      </c>
      <c r="BN431" s="78">
        <f t="shared" si="70"/>
        <v>1547</v>
      </c>
      <c r="BO431" s="78">
        <f t="shared" si="71"/>
        <v>2.083333333333333</v>
      </c>
      <c r="BP431" s="78">
        <f t="shared" si="72"/>
        <v>2.083333333333333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721">
        <v>4680115884830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2000</v>
      </c>
      <c r="Y432" s="55">
        <f t="shared" si="68"/>
        <v>2010</v>
      </c>
      <c r="Z432" s="41">
        <f>IFERROR(IF(Y432=0,"",ROUNDUP(Y432/H432,0)*0.02175),"")</f>
        <v>2.9144999999999999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2062.6666666666665</v>
      </c>
      <c r="BN432" s="78">
        <f t="shared" si="70"/>
        <v>2072.98</v>
      </c>
      <c r="BO432" s="78">
        <f t="shared" si="71"/>
        <v>2.7777777777777777</v>
      </c>
      <c r="BP432" s="78">
        <f t="shared" si="72"/>
        <v>2.7916666666666665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721">
        <v>4680115889231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721">
        <v>4680115882638</v>
      </c>
      <c r="E434" s="721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721">
        <v>4680115884922</v>
      </c>
      <c r="E435" s="721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721">
        <v>4680115884861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30"/>
      <c r="P437" s="726" t="s">
        <v>40</v>
      </c>
      <c r="Q437" s="727"/>
      <c r="R437" s="727"/>
      <c r="S437" s="727"/>
      <c r="T437" s="727"/>
      <c r="U437" s="727"/>
      <c r="V437" s="728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233.33333333333334</v>
      </c>
      <c r="Y437" s="43">
        <f>IFERROR(Y429/H429,"0")+IFERROR(Y430/H430,"0")+IFERROR(Y431/H431,"0")+IFERROR(Y432/H432,"0")+IFERROR(Y433/H433,"0")+IFERROR(Y434/H434,"0")+IFERROR(Y435/H435,"0")+IFERROR(Y436/H436,"0")</f>
        <v>234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5.0894999999999992</v>
      </c>
      <c r="AA437" s="67"/>
      <c r="AB437" s="67"/>
      <c r="AC437" s="67"/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0</v>
      </c>
      <c r="X438" s="43">
        <f>IFERROR(SUM(X429:X436),"0")</f>
        <v>3500</v>
      </c>
      <c r="Y438" s="43">
        <f>IFERROR(SUM(Y429:Y436),"0")</f>
        <v>3510</v>
      </c>
      <c r="Z438" s="42"/>
      <c r="AA438" s="67"/>
      <c r="AB438" s="67"/>
      <c r="AC438" s="67"/>
    </row>
    <row r="439" spans="1:68" ht="14.25" hidden="1" customHeight="1" x14ac:dyDescent="0.25">
      <c r="A439" s="720" t="s">
        <v>157</v>
      </c>
      <c r="B439" s="720"/>
      <c r="C439" s="720"/>
      <c r="D439" s="720"/>
      <c r="E439" s="720"/>
      <c r="F439" s="720"/>
      <c r="G439" s="720"/>
      <c r="H439" s="720"/>
      <c r="I439" s="720"/>
      <c r="J439" s="720"/>
      <c r="K439" s="720"/>
      <c r="L439" s="720"/>
      <c r="M439" s="720"/>
      <c r="N439" s="720"/>
      <c r="O439" s="720"/>
      <c r="P439" s="720"/>
      <c r="Q439" s="720"/>
      <c r="R439" s="720"/>
      <c r="S439" s="720"/>
      <c r="T439" s="720"/>
      <c r="U439" s="720"/>
      <c r="V439" s="720"/>
      <c r="W439" s="720"/>
      <c r="X439" s="720"/>
      <c r="Y439" s="720"/>
      <c r="Z439" s="720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721">
        <v>4607091383980</v>
      </c>
      <c r="E440" s="721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3"/>
      <c r="R440" s="723"/>
      <c r="S440" s="723"/>
      <c r="T440" s="724"/>
      <c r="U440" s="39" t="s">
        <v>46</v>
      </c>
      <c r="V440" s="39" t="s">
        <v>46</v>
      </c>
      <c r="W440" s="40" t="s">
        <v>0</v>
      </c>
      <c r="X440" s="58">
        <v>1600</v>
      </c>
      <c r="Y440" s="55">
        <f>IFERROR(IF(X440="",0,CEILING((X440/$H440),1)*$H440),"")</f>
        <v>1605</v>
      </c>
      <c r="Z440" s="41">
        <f>IFERROR(IF(Y440=0,"",ROUNDUP(Y440/H440,0)*0.02175),"")</f>
        <v>2.3272499999999998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1650.1333333333334</v>
      </c>
      <c r="BN440" s="78">
        <f>IFERROR(Y440*I440/H440,"0")</f>
        <v>1655.2900000000002</v>
      </c>
      <c r="BO440" s="78">
        <f>IFERROR(1/J440*(X440/H440),"0")</f>
        <v>2.2222222222222223</v>
      </c>
      <c r="BP440" s="78">
        <f>IFERROR(1/J440*(Y440/H440),"0")</f>
        <v>2.2291666666666665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721">
        <v>4680115888425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721">
        <v>4607091384178</v>
      </c>
      <c r="E442" s="721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30"/>
      <c r="P443" s="726" t="s">
        <v>40</v>
      </c>
      <c r="Q443" s="727"/>
      <c r="R443" s="727"/>
      <c r="S443" s="727"/>
      <c r="T443" s="727"/>
      <c r="U443" s="727"/>
      <c r="V443" s="728"/>
      <c r="W443" s="42" t="s">
        <v>39</v>
      </c>
      <c r="X443" s="43">
        <f>IFERROR(X440/H440,"0")+IFERROR(X441/H441,"0")+IFERROR(X442/H442,"0")</f>
        <v>106.66666666666667</v>
      </c>
      <c r="Y443" s="43">
        <f>IFERROR(Y440/H440,"0")+IFERROR(Y441/H441,"0")+IFERROR(Y442/H442,"0")</f>
        <v>107</v>
      </c>
      <c r="Z443" s="43">
        <f>IFERROR(IF(Z440="",0,Z440),"0")+IFERROR(IF(Z441="",0,Z441),"0")+IFERROR(IF(Z442="",0,Z442),"0")</f>
        <v>2.3272499999999998</v>
      </c>
      <c r="AA443" s="67"/>
      <c r="AB443" s="67"/>
      <c r="AC443" s="67"/>
    </row>
    <row r="444" spans="1:68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0</v>
      </c>
      <c r="X444" s="43">
        <f>IFERROR(SUM(X440:X442),"0")</f>
        <v>1600</v>
      </c>
      <c r="Y444" s="43">
        <f>IFERROR(SUM(Y440:Y442),"0")</f>
        <v>1605</v>
      </c>
      <c r="Z444" s="42"/>
      <c r="AA444" s="67"/>
      <c r="AB444" s="67"/>
      <c r="AC444" s="67"/>
    </row>
    <row r="445" spans="1:68" ht="14.25" hidden="1" customHeight="1" x14ac:dyDescent="0.25">
      <c r="A445" s="720" t="s">
        <v>86</v>
      </c>
      <c r="B445" s="720"/>
      <c r="C445" s="720"/>
      <c r="D445" s="720"/>
      <c r="E445" s="720"/>
      <c r="F445" s="720"/>
      <c r="G445" s="720"/>
      <c r="H445" s="720"/>
      <c r="I445" s="720"/>
      <c r="J445" s="720"/>
      <c r="K445" s="720"/>
      <c r="L445" s="720"/>
      <c r="M445" s="720"/>
      <c r="N445" s="720"/>
      <c r="O445" s="720"/>
      <c r="P445" s="720"/>
      <c r="Q445" s="720"/>
      <c r="R445" s="720"/>
      <c r="S445" s="720"/>
      <c r="T445" s="720"/>
      <c r="U445" s="720"/>
      <c r="V445" s="720"/>
      <c r="W445" s="720"/>
      <c r="X445" s="720"/>
      <c r="Y445" s="720"/>
      <c r="Z445" s="720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721">
        <v>4607091383928</v>
      </c>
      <c r="E446" s="721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3"/>
      <c r="R446" s="723"/>
      <c r="S446" s="723"/>
      <c r="T446" s="72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721">
        <v>4607091384260</v>
      </c>
      <c r="E447" s="72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721">
        <v>4680115889538</v>
      </c>
      <c r="E448" s="721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30"/>
      <c r="P449" s="726" t="s">
        <v>40</v>
      </c>
      <c r="Q449" s="727"/>
      <c r="R449" s="727"/>
      <c r="S449" s="727"/>
      <c r="T449" s="727"/>
      <c r="U449" s="727"/>
      <c r="V449" s="728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720" t="s">
        <v>175</v>
      </c>
      <c r="B451" s="720"/>
      <c r="C451" s="720"/>
      <c r="D451" s="720"/>
      <c r="E451" s="720"/>
      <c r="F451" s="720"/>
      <c r="G451" s="720"/>
      <c r="H451" s="720"/>
      <c r="I451" s="720"/>
      <c r="J451" s="720"/>
      <c r="K451" s="720"/>
      <c r="L451" s="720"/>
      <c r="M451" s="720"/>
      <c r="N451" s="720"/>
      <c r="O451" s="720"/>
      <c r="P451" s="720"/>
      <c r="Q451" s="720"/>
      <c r="R451" s="720"/>
      <c r="S451" s="720"/>
      <c r="T451" s="720"/>
      <c r="U451" s="720"/>
      <c r="V451" s="720"/>
      <c r="W451" s="720"/>
      <c r="X451" s="720"/>
      <c r="Y451" s="720"/>
      <c r="Z451" s="720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721">
        <v>4680115889545</v>
      </c>
      <c r="E452" s="721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3"/>
      <c r="R452" s="723"/>
      <c r="S452" s="723"/>
      <c r="T452" s="72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721">
        <v>4607091384673</v>
      </c>
      <c r="E453" s="72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30"/>
      <c r="P454" s="726" t="s">
        <v>40</v>
      </c>
      <c r="Q454" s="727"/>
      <c r="R454" s="727"/>
      <c r="S454" s="727"/>
      <c r="T454" s="727"/>
      <c r="U454" s="727"/>
      <c r="V454" s="72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719" t="s">
        <v>747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719"/>
      <c r="W456" s="719"/>
      <c r="X456" s="719"/>
      <c r="Y456" s="719"/>
      <c r="Z456" s="719"/>
      <c r="AA456" s="65"/>
      <c r="AB456" s="65"/>
      <c r="AC456" s="79"/>
    </row>
    <row r="457" spans="1:68" ht="14.25" hidden="1" customHeight="1" x14ac:dyDescent="0.25">
      <c r="A457" s="720" t="s">
        <v>122</v>
      </c>
      <c r="B457" s="720"/>
      <c r="C457" s="720"/>
      <c r="D457" s="720"/>
      <c r="E457" s="720"/>
      <c r="F457" s="720"/>
      <c r="G457" s="720"/>
      <c r="H457" s="720"/>
      <c r="I457" s="720"/>
      <c r="J457" s="720"/>
      <c r="K457" s="720"/>
      <c r="L457" s="720"/>
      <c r="M457" s="720"/>
      <c r="N457" s="720"/>
      <c r="O457" s="720"/>
      <c r="P457" s="720"/>
      <c r="Q457" s="720"/>
      <c r="R457" s="720"/>
      <c r="S457" s="720"/>
      <c r="T457" s="720"/>
      <c r="U457" s="720"/>
      <c r="V457" s="720"/>
      <c r="W457" s="720"/>
      <c r="X457" s="720"/>
      <c r="Y457" s="720"/>
      <c r="Z457" s="720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721">
        <v>4680115884885</v>
      </c>
      <c r="E458" s="721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3"/>
      <c r="R458" s="723"/>
      <c r="S458" s="723"/>
      <c r="T458" s="72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721">
        <v>4680115884908</v>
      </c>
      <c r="E459" s="721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30"/>
      <c r="P460" s="726" t="s">
        <v>40</v>
      </c>
      <c r="Q460" s="727"/>
      <c r="R460" s="727"/>
      <c r="S460" s="727"/>
      <c r="T460" s="727"/>
      <c r="U460" s="727"/>
      <c r="V460" s="728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20" t="s">
        <v>77</v>
      </c>
      <c r="B462" s="720"/>
      <c r="C462" s="720"/>
      <c r="D462" s="720"/>
      <c r="E462" s="720"/>
      <c r="F462" s="720"/>
      <c r="G462" s="720"/>
      <c r="H462" s="720"/>
      <c r="I462" s="720"/>
      <c r="J462" s="720"/>
      <c r="K462" s="720"/>
      <c r="L462" s="720"/>
      <c r="M462" s="720"/>
      <c r="N462" s="720"/>
      <c r="O462" s="720"/>
      <c r="P462" s="720"/>
      <c r="Q462" s="720"/>
      <c r="R462" s="720"/>
      <c r="S462" s="720"/>
      <c r="T462" s="720"/>
      <c r="U462" s="720"/>
      <c r="V462" s="720"/>
      <c r="W462" s="720"/>
      <c r="X462" s="720"/>
      <c r="Y462" s="720"/>
      <c r="Z462" s="720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721">
        <v>4607091384802</v>
      </c>
      <c r="E463" s="721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3"/>
      <c r="R463" s="723"/>
      <c r="S463" s="723"/>
      <c r="T463" s="72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30"/>
      <c r="P464" s="726" t="s">
        <v>40</v>
      </c>
      <c r="Q464" s="727"/>
      <c r="R464" s="727"/>
      <c r="S464" s="727"/>
      <c r="T464" s="727"/>
      <c r="U464" s="727"/>
      <c r="V464" s="728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0" t="s">
        <v>86</v>
      </c>
      <c r="B466" s="720"/>
      <c r="C466" s="720"/>
      <c r="D466" s="720"/>
      <c r="E466" s="720"/>
      <c r="F466" s="720"/>
      <c r="G466" s="720"/>
      <c r="H466" s="720"/>
      <c r="I466" s="720"/>
      <c r="J466" s="720"/>
      <c r="K466" s="720"/>
      <c r="L466" s="720"/>
      <c r="M466" s="720"/>
      <c r="N466" s="720"/>
      <c r="O466" s="720"/>
      <c r="P466" s="720"/>
      <c r="Q466" s="720"/>
      <c r="R466" s="720"/>
      <c r="S466" s="720"/>
      <c r="T466" s="720"/>
      <c r="U466" s="720"/>
      <c r="V466" s="720"/>
      <c r="W466" s="720"/>
      <c r="X466" s="720"/>
      <c r="Y466" s="720"/>
      <c r="Z466" s="720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721">
        <v>4607091384246</v>
      </c>
      <c r="E467" s="721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3"/>
      <c r="R467" s="723"/>
      <c r="S467" s="723"/>
      <c r="T467" s="724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721">
        <v>4607091384253</v>
      </c>
      <c r="E468" s="721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30"/>
      <c r="P470" s="726" t="s">
        <v>40</v>
      </c>
      <c r="Q470" s="727"/>
      <c r="R470" s="727"/>
      <c r="S470" s="727"/>
      <c r="T470" s="727"/>
      <c r="U470" s="727"/>
      <c r="V470" s="728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718" t="s">
        <v>763</v>
      </c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54"/>
      <c r="AB472" s="54"/>
      <c r="AC472" s="54"/>
    </row>
    <row r="473" spans="1:68" ht="16.5" hidden="1" customHeight="1" x14ac:dyDescent="0.25">
      <c r="A473" s="719" t="s">
        <v>764</v>
      </c>
      <c r="B473" s="719"/>
      <c r="C473" s="719"/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719"/>
      <c r="W473" s="719"/>
      <c r="X473" s="719"/>
      <c r="Y473" s="719"/>
      <c r="Z473" s="719"/>
      <c r="AA473" s="65"/>
      <c r="AB473" s="65"/>
      <c r="AC473" s="79"/>
    </row>
    <row r="474" spans="1:68" ht="14.25" hidden="1" customHeight="1" x14ac:dyDescent="0.25">
      <c r="A474" s="720" t="s">
        <v>77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721">
        <v>4680115886100</v>
      </c>
      <c r="E475" s="721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3"/>
      <c r="R475" s="723"/>
      <c r="S475" s="723"/>
      <c r="T475" s="72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721">
        <v>4680115886124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721">
        <v>4607091384338</v>
      </c>
      <c r="E477" s="721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721">
        <v>4680115883161</v>
      </c>
      <c r="E478" s="721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721">
        <v>4607091389531</v>
      </c>
      <c r="E479" s="721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721">
        <v>4607091384345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30"/>
      <c r="P481" s="726" t="s">
        <v>40</v>
      </c>
      <c r="Q481" s="727"/>
      <c r="R481" s="727"/>
      <c r="S481" s="727"/>
      <c r="T481" s="727"/>
      <c r="U481" s="727"/>
      <c r="V481" s="728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720" t="s">
        <v>86</v>
      </c>
      <c r="B483" s="720"/>
      <c r="C483" s="720"/>
      <c r="D483" s="720"/>
      <c r="E483" s="720"/>
      <c r="F483" s="720"/>
      <c r="G483" s="720"/>
      <c r="H483" s="720"/>
      <c r="I483" s="720"/>
      <c r="J483" s="720"/>
      <c r="K483" s="720"/>
      <c r="L483" s="720"/>
      <c r="M483" s="720"/>
      <c r="N483" s="720"/>
      <c r="O483" s="720"/>
      <c r="P483" s="720"/>
      <c r="Q483" s="720"/>
      <c r="R483" s="720"/>
      <c r="S483" s="720"/>
      <c r="T483" s="720"/>
      <c r="U483" s="720"/>
      <c r="V483" s="720"/>
      <c r="W483" s="720"/>
      <c r="X483" s="720"/>
      <c r="Y483" s="720"/>
      <c r="Z483" s="720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721">
        <v>4607091384352</v>
      </c>
      <c r="E484" s="721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3"/>
      <c r="R484" s="723"/>
      <c r="S484" s="723"/>
      <c r="T484" s="72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721">
        <v>4607091389654</v>
      </c>
      <c r="E485" s="721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30"/>
      <c r="P486" s="726" t="s">
        <v>40</v>
      </c>
      <c r="Q486" s="727"/>
      <c r="R486" s="727"/>
      <c r="S486" s="727"/>
      <c r="T486" s="727"/>
      <c r="U486" s="727"/>
      <c r="V486" s="728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719" t="s">
        <v>787</v>
      </c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719"/>
      <c r="W488" s="719"/>
      <c r="X488" s="719"/>
      <c r="Y488" s="719"/>
      <c r="Z488" s="719"/>
      <c r="AA488" s="65"/>
      <c r="AB488" s="65"/>
      <c r="AC488" s="79"/>
    </row>
    <row r="489" spans="1:68" ht="14.25" hidden="1" customHeight="1" x14ac:dyDescent="0.25">
      <c r="A489" s="720" t="s">
        <v>157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721">
        <v>4680115885240</v>
      </c>
      <c r="E490" s="721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3"/>
      <c r="R490" s="723"/>
      <c r="S490" s="723"/>
      <c r="T490" s="7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30"/>
      <c r="P491" s="726" t="s">
        <v>40</v>
      </c>
      <c r="Q491" s="727"/>
      <c r="R491" s="727"/>
      <c r="S491" s="727"/>
      <c r="T491" s="727"/>
      <c r="U491" s="727"/>
      <c r="V491" s="728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20" t="s">
        <v>77</v>
      </c>
      <c r="B493" s="720"/>
      <c r="C493" s="720"/>
      <c r="D493" s="720"/>
      <c r="E493" s="720"/>
      <c r="F493" s="720"/>
      <c r="G493" s="720"/>
      <c r="H493" s="720"/>
      <c r="I493" s="720"/>
      <c r="J493" s="720"/>
      <c r="K493" s="720"/>
      <c r="L493" s="720"/>
      <c r="M493" s="720"/>
      <c r="N493" s="720"/>
      <c r="O493" s="720"/>
      <c r="P493" s="720"/>
      <c r="Q493" s="720"/>
      <c r="R493" s="720"/>
      <c r="S493" s="720"/>
      <c r="T493" s="720"/>
      <c r="U493" s="720"/>
      <c r="V493" s="720"/>
      <c r="W493" s="720"/>
      <c r="X493" s="720"/>
      <c r="Y493" s="720"/>
      <c r="Z493" s="720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721">
        <v>4680115886094</v>
      </c>
      <c r="E494" s="721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3"/>
      <c r="R494" s="723"/>
      <c r="S494" s="723"/>
      <c r="T494" s="724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721">
        <v>4680115880771</v>
      </c>
      <c r="E495" s="721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721">
        <v>4607091389500</v>
      </c>
      <c r="E496" s="721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30"/>
      <c r="P497" s="726" t="s">
        <v>40</v>
      </c>
      <c r="Q497" s="727"/>
      <c r="R497" s="727"/>
      <c r="S497" s="727"/>
      <c r="T497" s="727"/>
      <c r="U497" s="727"/>
      <c r="V497" s="728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718" t="s">
        <v>799</v>
      </c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54"/>
      <c r="AB499" s="54"/>
      <c r="AC499" s="54"/>
    </row>
    <row r="500" spans="1:68" ht="16.5" hidden="1" customHeight="1" x14ac:dyDescent="0.25">
      <c r="A500" s="719" t="s">
        <v>799</v>
      </c>
      <c r="B500" s="719"/>
      <c r="C500" s="719"/>
      <c r="D500" s="719"/>
      <c r="E500" s="719"/>
      <c r="F500" s="719"/>
      <c r="G500" s="719"/>
      <c r="H500" s="719"/>
      <c r="I500" s="719"/>
      <c r="J500" s="719"/>
      <c r="K500" s="719"/>
      <c r="L500" s="719"/>
      <c r="M500" s="719"/>
      <c r="N500" s="719"/>
      <c r="O500" s="719"/>
      <c r="P500" s="719"/>
      <c r="Q500" s="719"/>
      <c r="R500" s="719"/>
      <c r="S500" s="719"/>
      <c r="T500" s="719"/>
      <c r="U500" s="719"/>
      <c r="V500" s="719"/>
      <c r="W500" s="719"/>
      <c r="X500" s="719"/>
      <c r="Y500" s="719"/>
      <c r="Z500" s="719"/>
      <c r="AA500" s="65"/>
      <c r="AB500" s="65"/>
      <c r="AC500" s="79"/>
    </row>
    <row r="501" spans="1:68" ht="14.25" hidden="1" customHeight="1" x14ac:dyDescent="0.25">
      <c r="A501" s="720" t="s">
        <v>122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721">
        <v>4607091389067</v>
      </c>
      <c r="E502" s="72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3"/>
      <c r="R502" s="723"/>
      <c r="S502" s="723"/>
      <c r="T502" s="7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721">
        <v>4680115889576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721">
        <v>4680115885271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721">
        <v>4680115885226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721">
        <v>4680115884502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21">
        <v>4607091389104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450</v>
      </c>
      <c r="Y507" s="55">
        <f t="shared" si="78"/>
        <v>454.08000000000004</v>
      </c>
      <c r="Z507" s="41">
        <f t="shared" si="79"/>
        <v>1.0285599999999999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479.82954545454544</v>
      </c>
      <c r="BN507" s="78">
        <f t="shared" si="81"/>
        <v>484.18</v>
      </c>
      <c r="BO507" s="78">
        <f t="shared" si="82"/>
        <v>0.81949300699300698</v>
      </c>
      <c r="BP507" s="78">
        <f t="shared" si="83"/>
        <v>0.82692307692307698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721">
        <v>4680115886391</v>
      </c>
      <c r="E508" s="721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721">
        <v>4680115880603</v>
      </c>
      <c r="E509" s="721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721">
        <v>4607091389982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30"/>
      <c r="P511" s="726" t="s">
        <v>40</v>
      </c>
      <c r="Q511" s="727"/>
      <c r="R511" s="727"/>
      <c r="S511" s="727"/>
      <c r="T511" s="727"/>
      <c r="U511" s="727"/>
      <c r="V511" s="728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85.22727272727272</v>
      </c>
      <c r="Y511" s="43">
        <f>IFERROR(Y502/H502,"0")+IFERROR(Y503/H503,"0")+IFERROR(Y504/H504,"0")+IFERROR(Y505/H505,"0")+IFERROR(Y506/H506,"0")+IFERROR(Y507/H507,"0")+IFERROR(Y508/H508,"0")+IFERROR(Y509/H509,"0")+IFERROR(Y510/H510,"0")</f>
        <v>86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1.0285599999999999</v>
      </c>
      <c r="AA511" s="67"/>
      <c r="AB511" s="67"/>
      <c r="AC511" s="67"/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0</v>
      </c>
      <c r="X512" s="43">
        <f>IFERROR(SUM(X502:X510),"0")</f>
        <v>450</v>
      </c>
      <c r="Y512" s="43">
        <f>IFERROR(SUM(Y502:Y510),"0")</f>
        <v>454.08000000000004</v>
      </c>
      <c r="Z512" s="42"/>
      <c r="AA512" s="67"/>
      <c r="AB512" s="67"/>
      <c r="AC512" s="67"/>
    </row>
    <row r="513" spans="1:68" ht="14.25" hidden="1" customHeight="1" x14ac:dyDescent="0.25">
      <c r="A513" s="720" t="s">
        <v>157</v>
      </c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721">
        <v>4607091388930</v>
      </c>
      <c r="E514" s="72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3"/>
      <c r="R514" s="723"/>
      <c r="S514" s="723"/>
      <c r="T514" s="724"/>
      <c r="U514" s="39" t="s">
        <v>46</v>
      </c>
      <c r="V514" s="39" t="s">
        <v>46</v>
      </c>
      <c r="W514" s="40" t="s">
        <v>0</v>
      </c>
      <c r="X514" s="58">
        <v>300</v>
      </c>
      <c r="Y514" s="55">
        <f>IFERROR(IF(X514="",0,CEILING((X514/$H514),1)*$H514),"")</f>
        <v>300.96000000000004</v>
      </c>
      <c r="Z514" s="41">
        <f>IFERROR(IF(Y514=0,"",ROUNDUP(Y514/H514,0)*0.01196),"")</f>
        <v>0.68171999999999999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319.88636363636363</v>
      </c>
      <c r="BN514" s="78">
        <f>IFERROR(Y514*I514/H514,"0")</f>
        <v>320.91000000000003</v>
      </c>
      <c r="BO514" s="78">
        <f>IFERROR(1/J514*(X514/H514),"0")</f>
        <v>0.54632867132867136</v>
      </c>
      <c r="BP514" s="78">
        <f>IFERROR(1/J514*(Y514/H514),"0")</f>
        <v>0.54807692307692313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721">
        <v>4680115886407</v>
      </c>
      <c r="E515" s="721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721">
        <v>4680115880054</v>
      </c>
      <c r="E516" s="72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30"/>
      <c r="P517" s="726" t="s">
        <v>40</v>
      </c>
      <c r="Q517" s="727"/>
      <c r="R517" s="727"/>
      <c r="S517" s="727"/>
      <c r="T517" s="727"/>
      <c r="U517" s="727"/>
      <c r="V517" s="728"/>
      <c r="W517" s="42" t="s">
        <v>39</v>
      </c>
      <c r="X517" s="43">
        <f>IFERROR(X514/H514,"0")+IFERROR(X515/H515,"0")+IFERROR(X516/H516,"0")</f>
        <v>56.818181818181813</v>
      </c>
      <c r="Y517" s="43">
        <f>IFERROR(Y514/H514,"0")+IFERROR(Y515/H515,"0")+IFERROR(Y516/H516,"0")</f>
        <v>57.000000000000007</v>
      </c>
      <c r="Z517" s="43">
        <f>IFERROR(IF(Z514="",0,Z514),"0")+IFERROR(IF(Z515="",0,Z515),"0")+IFERROR(IF(Z516="",0,Z516),"0")</f>
        <v>0.68171999999999999</v>
      </c>
      <c r="AA517" s="67"/>
      <c r="AB517" s="67"/>
      <c r="AC517" s="67"/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0</v>
      </c>
      <c r="X518" s="43">
        <f>IFERROR(SUM(X514:X516),"0")</f>
        <v>300</v>
      </c>
      <c r="Y518" s="43">
        <f>IFERROR(SUM(Y514:Y516),"0")</f>
        <v>300.96000000000004</v>
      </c>
      <c r="Z518" s="42"/>
      <c r="AA518" s="67"/>
      <c r="AB518" s="67"/>
      <c r="AC518" s="67"/>
    </row>
    <row r="519" spans="1:68" ht="14.25" hidden="1" customHeight="1" x14ac:dyDescent="0.25">
      <c r="A519" s="720" t="s">
        <v>77</v>
      </c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0"/>
      <c r="P519" s="720"/>
      <c r="Q519" s="720"/>
      <c r="R519" s="720"/>
      <c r="S519" s="720"/>
      <c r="T519" s="720"/>
      <c r="U519" s="720"/>
      <c r="V519" s="720"/>
      <c r="W519" s="720"/>
      <c r="X519" s="720"/>
      <c r="Y519" s="720"/>
      <c r="Z519" s="720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721">
        <v>4680115883116</v>
      </c>
      <c r="E520" s="72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3"/>
      <c r="R520" s="723"/>
      <c r="S520" s="723"/>
      <c r="T520" s="72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hidden="1" customHeight="1" x14ac:dyDescent="0.25">
      <c r="A521" s="63" t="s">
        <v>833</v>
      </c>
      <c r="B521" s="63" t="s">
        <v>834</v>
      </c>
      <c r="C521" s="36">
        <v>4301031350</v>
      </c>
      <c r="D521" s="721">
        <v>4680115883093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836</v>
      </c>
      <c r="B522" s="63" t="s">
        <v>837</v>
      </c>
      <c r="C522" s="36">
        <v>4301031353</v>
      </c>
      <c r="D522" s="721">
        <v>4680115883109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721">
        <v>4680115882072</v>
      </c>
      <c r="E523" s="721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721">
        <v>4680115882102</v>
      </c>
      <c r="E524" s="721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721">
        <v>4680115882102</v>
      </c>
      <c r="E525" s="721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721">
        <v>4680115882096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idden="1" x14ac:dyDescent="0.2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30"/>
      <c r="P527" s="726" t="s">
        <v>40</v>
      </c>
      <c r="Q527" s="727"/>
      <c r="R527" s="727"/>
      <c r="S527" s="727"/>
      <c r="T527" s="727"/>
      <c r="U527" s="727"/>
      <c r="V527" s="728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hidden="1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hidden="1" customHeight="1" x14ac:dyDescent="0.2">
      <c r="A529" s="718" t="s">
        <v>846</v>
      </c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54"/>
      <c r="AB529" s="54"/>
      <c r="AC529" s="54"/>
    </row>
    <row r="530" spans="1:68" ht="16.5" hidden="1" customHeight="1" x14ac:dyDescent="0.25">
      <c r="A530" s="719" t="s">
        <v>846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19"/>
      <c r="P530" s="719"/>
      <c r="Q530" s="719"/>
      <c r="R530" s="719"/>
      <c r="S530" s="719"/>
      <c r="T530" s="719"/>
      <c r="U530" s="719"/>
      <c r="V530" s="719"/>
      <c r="W530" s="719"/>
      <c r="X530" s="719"/>
      <c r="Y530" s="719"/>
      <c r="Z530" s="719"/>
      <c r="AA530" s="65"/>
      <c r="AB530" s="65"/>
      <c r="AC530" s="79"/>
    </row>
    <row r="531" spans="1:68" ht="14.25" hidden="1" customHeight="1" x14ac:dyDescent="0.25">
      <c r="A531" s="720" t="s">
        <v>122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721">
        <v>4640242180564</v>
      </c>
      <c r="E532" s="72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3"/>
      <c r="R532" s="723"/>
      <c r="S532" s="723"/>
      <c r="T532" s="72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30"/>
      <c r="P533" s="726" t="s">
        <v>40</v>
      </c>
      <c r="Q533" s="727"/>
      <c r="R533" s="727"/>
      <c r="S533" s="727"/>
      <c r="T533" s="727"/>
      <c r="U533" s="727"/>
      <c r="V533" s="72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20" t="s">
        <v>157</v>
      </c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0"/>
      <c r="P535" s="720"/>
      <c r="Q535" s="720"/>
      <c r="R535" s="720"/>
      <c r="S535" s="720"/>
      <c r="T535" s="720"/>
      <c r="U535" s="720"/>
      <c r="V535" s="720"/>
      <c r="W535" s="720"/>
      <c r="X535" s="720"/>
      <c r="Y535" s="720"/>
      <c r="Z535" s="720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721">
        <v>4640242180519</v>
      </c>
      <c r="E536" s="721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3"/>
      <c r="R536" s="723"/>
      <c r="S536" s="723"/>
      <c r="T536" s="72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30"/>
      <c r="P537" s="726" t="s">
        <v>40</v>
      </c>
      <c r="Q537" s="727"/>
      <c r="R537" s="727"/>
      <c r="S537" s="727"/>
      <c r="T537" s="727"/>
      <c r="U537" s="727"/>
      <c r="V537" s="72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0" t="s">
        <v>77</v>
      </c>
      <c r="B539" s="720"/>
      <c r="C539" s="720"/>
      <c r="D539" s="720"/>
      <c r="E539" s="720"/>
      <c r="F539" s="720"/>
      <c r="G539" s="720"/>
      <c r="H539" s="720"/>
      <c r="I539" s="720"/>
      <c r="J539" s="720"/>
      <c r="K539" s="720"/>
      <c r="L539" s="720"/>
      <c r="M539" s="720"/>
      <c r="N539" s="720"/>
      <c r="O539" s="720"/>
      <c r="P539" s="720"/>
      <c r="Q539" s="720"/>
      <c r="R539" s="720"/>
      <c r="S539" s="720"/>
      <c r="T539" s="720"/>
      <c r="U539" s="720"/>
      <c r="V539" s="720"/>
      <c r="W539" s="720"/>
      <c r="X539" s="720"/>
      <c r="Y539" s="720"/>
      <c r="Z539" s="720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721">
        <v>4640242180595</v>
      </c>
      <c r="E540" s="721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3"/>
      <c r="R540" s="723"/>
      <c r="S540" s="723"/>
      <c r="T540" s="72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30"/>
      <c r="P541" s="726" t="s">
        <v>40</v>
      </c>
      <c r="Q541" s="727"/>
      <c r="R541" s="727"/>
      <c r="S541" s="727"/>
      <c r="T541" s="727"/>
      <c r="U541" s="727"/>
      <c r="V541" s="72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0" t="s">
        <v>86</v>
      </c>
      <c r="B543" s="720"/>
      <c r="C543" s="720"/>
      <c r="D543" s="720"/>
      <c r="E543" s="720"/>
      <c r="F543" s="720"/>
      <c r="G543" s="720"/>
      <c r="H543" s="720"/>
      <c r="I543" s="720"/>
      <c r="J543" s="720"/>
      <c r="K543" s="720"/>
      <c r="L543" s="720"/>
      <c r="M543" s="720"/>
      <c r="N543" s="720"/>
      <c r="O543" s="720"/>
      <c r="P543" s="720"/>
      <c r="Q543" s="720"/>
      <c r="R543" s="720"/>
      <c r="S543" s="720"/>
      <c r="T543" s="720"/>
      <c r="U543" s="720"/>
      <c r="V543" s="720"/>
      <c r="W543" s="720"/>
      <c r="X543" s="720"/>
      <c r="Y543" s="720"/>
      <c r="Z543" s="720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721">
        <v>4640242180533</v>
      </c>
      <c r="E544" s="721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3"/>
      <c r="R544" s="723"/>
      <c r="S544" s="723"/>
      <c r="T544" s="72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30"/>
      <c r="P545" s="726" t="s">
        <v>40</v>
      </c>
      <c r="Q545" s="727"/>
      <c r="R545" s="727"/>
      <c r="S545" s="727"/>
      <c r="T545" s="727"/>
      <c r="U545" s="727"/>
      <c r="V545" s="728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0" t="s">
        <v>175</v>
      </c>
      <c r="B547" s="720"/>
      <c r="C547" s="720"/>
      <c r="D547" s="720"/>
      <c r="E547" s="720"/>
      <c r="F547" s="720"/>
      <c r="G547" s="720"/>
      <c r="H547" s="720"/>
      <c r="I547" s="720"/>
      <c r="J547" s="720"/>
      <c r="K547" s="720"/>
      <c r="L547" s="720"/>
      <c r="M547" s="720"/>
      <c r="N547" s="720"/>
      <c r="O547" s="720"/>
      <c r="P547" s="720"/>
      <c r="Q547" s="720"/>
      <c r="R547" s="720"/>
      <c r="S547" s="720"/>
      <c r="T547" s="720"/>
      <c r="U547" s="720"/>
      <c r="V547" s="720"/>
      <c r="W547" s="720"/>
      <c r="X547" s="720"/>
      <c r="Y547" s="720"/>
      <c r="Z547" s="720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721">
        <v>4640242180120</v>
      </c>
      <c r="E548" s="721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3"/>
      <c r="R548" s="723"/>
      <c r="S548" s="723"/>
      <c r="T548" s="72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721">
        <v>4640242180137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30"/>
      <c r="P550" s="726" t="s">
        <v>40</v>
      </c>
      <c r="Q550" s="727"/>
      <c r="R550" s="727"/>
      <c r="S550" s="727"/>
      <c r="T550" s="727"/>
      <c r="U550" s="727"/>
      <c r="V550" s="728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719" t="s">
        <v>865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19"/>
      <c r="P552" s="719"/>
      <c r="Q552" s="719"/>
      <c r="R552" s="719"/>
      <c r="S552" s="719"/>
      <c r="T552" s="719"/>
      <c r="U552" s="719"/>
      <c r="V552" s="719"/>
      <c r="W552" s="719"/>
      <c r="X552" s="719"/>
      <c r="Y552" s="719"/>
      <c r="Z552" s="719"/>
      <c r="AA552" s="65"/>
      <c r="AB552" s="65"/>
      <c r="AC552" s="79"/>
    </row>
    <row r="553" spans="1:68" ht="14.25" hidden="1" customHeight="1" x14ac:dyDescent="0.25">
      <c r="A553" s="720" t="s">
        <v>157</v>
      </c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0"/>
      <c r="P553" s="720"/>
      <c r="Q553" s="720"/>
      <c r="R553" s="720"/>
      <c r="S553" s="720"/>
      <c r="T553" s="720"/>
      <c r="U553" s="720"/>
      <c r="V553" s="720"/>
      <c r="W553" s="720"/>
      <c r="X553" s="720"/>
      <c r="Y553" s="720"/>
      <c r="Z553" s="720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721">
        <v>4640242180090</v>
      </c>
      <c r="E554" s="721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3"/>
      <c r="R554" s="723"/>
      <c r="S554" s="723"/>
      <c r="T554" s="72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10" t="s">
        <v>871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4"/>
      <c r="P558" s="1011" t="s">
        <v>33</v>
      </c>
      <c r="Q558" s="1012"/>
      <c r="R558" s="1012"/>
      <c r="S558" s="1012"/>
      <c r="T558" s="1012"/>
      <c r="U558" s="1012"/>
      <c r="V558" s="1013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6150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6172.44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4"/>
      <c r="P559" s="1011" t="s">
        <v>34</v>
      </c>
      <c r="Q559" s="1012"/>
      <c r="R559" s="1012"/>
      <c r="S559" s="1012"/>
      <c r="T559" s="1012"/>
      <c r="U559" s="1012"/>
      <c r="V559" s="1013"/>
      <c r="W559" s="42" t="s">
        <v>0</v>
      </c>
      <c r="X559" s="43">
        <f>IFERROR(SUM(BM22:BM555),"0")</f>
        <v>6370.9047979797979</v>
      </c>
      <c r="Y559" s="43">
        <f>IFERROR(SUM(BN22:BN555),"0")</f>
        <v>6394.2400000000007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4"/>
      <c r="P560" s="1011" t="s">
        <v>35</v>
      </c>
      <c r="Q560" s="1012"/>
      <c r="R560" s="1012"/>
      <c r="S560" s="1012"/>
      <c r="T560" s="1012"/>
      <c r="U560" s="1012"/>
      <c r="V560" s="1013"/>
      <c r="W560" s="42" t="s">
        <v>20</v>
      </c>
      <c r="X560" s="44">
        <f>ROUNDUP(SUM(BO22:BO555),0)</f>
        <v>9</v>
      </c>
      <c r="Y560" s="44">
        <f>ROUNDUP(SUM(BP22:BP555),0)</f>
        <v>9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4"/>
      <c r="P561" s="1011" t="s">
        <v>36</v>
      </c>
      <c r="Q561" s="1012"/>
      <c r="R561" s="1012"/>
      <c r="S561" s="1012"/>
      <c r="T561" s="1012"/>
      <c r="U561" s="1012"/>
      <c r="V561" s="1013"/>
      <c r="W561" s="42" t="s">
        <v>0</v>
      </c>
      <c r="X561" s="43">
        <f>GrossWeightTotal+PalletQtyTotal*25</f>
        <v>6595.9047979797979</v>
      </c>
      <c r="Y561" s="43">
        <f>GrossWeightTotalR+PalletQtyTotalR*25</f>
        <v>6619.2400000000007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4"/>
      <c r="P562" s="1011" t="s">
        <v>37</v>
      </c>
      <c r="Q562" s="1012"/>
      <c r="R562" s="1012"/>
      <c r="S562" s="1012"/>
      <c r="T562" s="1012"/>
      <c r="U562" s="1012"/>
      <c r="V562" s="1013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509.82323232323239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512</v>
      </c>
      <c r="Z562" s="42"/>
      <c r="AA562" s="67"/>
      <c r="AB562" s="67"/>
      <c r="AC562" s="67"/>
    </row>
    <row r="563" spans="1:32" ht="14.25" hidden="1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4"/>
      <c r="P563" s="1011" t="s">
        <v>38</v>
      </c>
      <c r="Q563" s="1012"/>
      <c r="R563" s="1012"/>
      <c r="S563" s="1012"/>
      <c r="T563" s="1012"/>
      <c r="U563" s="1012"/>
      <c r="V563" s="1013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9.6584699999999994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15" t="s">
        <v>120</v>
      </c>
      <c r="E565" s="1015" t="s">
        <v>120</v>
      </c>
      <c r="F565" s="1015" t="s">
        <v>120</v>
      </c>
      <c r="G565" s="1015" t="s">
        <v>120</v>
      </c>
      <c r="H565" s="1015" t="s">
        <v>120</v>
      </c>
      <c r="I565" s="1015" t="s">
        <v>120</v>
      </c>
      <c r="J565" s="1015" t="s">
        <v>120</v>
      </c>
      <c r="K565" s="1015" t="s">
        <v>344</v>
      </c>
      <c r="L565" s="1015" t="s">
        <v>344</v>
      </c>
      <c r="M565" s="1015" t="s">
        <v>344</v>
      </c>
      <c r="N565" s="1016"/>
      <c r="O565" s="1015" t="s">
        <v>344</v>
      </c>
      <c r="P565" s="1015" t="s">
        <v>344</v>
      </c>
      <c r="Q565" s="1015" t="s">
        <v>344</v>
      </c>
      <c r="R565" s="1015" t="s">
        <v>344</v>
      </c>
      <c r="S565" s="1015" t="s">
        <v>344</v>
      </c>
      <c r="T565" s="1015" t="s">
        <v>344</v>
      </c>
      <c r="U565" s="1015" t="s">
        <v>344</v>
      </c>
      <c r="V565" s="1015" t="s">
        <v>344</v>
      </c>
      <c r="W565" s="1015" t="s">
        <v>697</v>
      </c>
      <c r="X565" s="1015" t="s">
        <v>697</v>
      </c>
      <c r="Y565" s="1015" t="s">
        <v>763</v>
      </c>
      <c r="Z565" s="1015" t="s">
        <v>763</v>
      </c>
      <c r="AA565" s="85" t="s">
        <v>799</v>
      </c>
      <c r="AB565" s="1015" t="s">
        <v>846</v>
      </c>
      <c r="AC565" s="1015" t="s">
        <v>846</v>
      </c>
      <c r="AF565" s="1"/>
    </row>
    <row r="566" spans="1:32" ht="14.25" customHeight="1" thickTop="1" x14ac:dyDescent="0.2">
      <c r="A566" s="1017" t="s">
        <v>10</v>
      </c>
      <c r="B566" s="1015" t="s">
        <v>76</v>
      </c>
      <c r="C566" s="1015" t="s">
        <v>104</v>
      </c>
      <c r="D566" s="1015" t="s">
        <v>121</v>
      </c>
      <c r="E566" s="1015" t="s">
        <v>137</v>
      </c>
      <c r="F566" s="1015" t="s">
        <v>183</v>
      </c>
      <c r="G566" s="1015" t="s">
        <v>207</v>
      </c>
      <c r="H566" s="1015" t="s">
        <v>247</v>
      </c>
      <c r="I566" s="1015" t="s">
        <v>260</v>
      </c>
      <c r="J566" s="1015" t="s">
        <v>120</v>
      </c>
      <c r="K566" s="1015" t="s">
        <v>345</v>
      </c>
      <c r="L566" s="1015" t="s">
        <v>366</v>
      </c>
      <c r="M566" s="1015" t="s">
        <v>440</v>
      </c>
      <c r="N566" s="1"/>
      <c r="O566" s="1015" t="s">
        <v>508</v>
      </c>
      <c r="P566" s="1015" t="s">
        <v>541</v>
      </c>
      <c r="Q566" s="1015" t="s">
        <v>557</v>
      </c>
      <c r="R566" s="1015" t="s">
        <v>566</v>
      </c>
      <c r="S566" s="1015" t="s">
        <v>587</v>
      </c>
      <c r="T566" s="1015" t="s">
        <v>596</v>
      </c>
      <c r="U566" s="1015" t="s">
        <v>680</v>
      </c>
      <c r="V566" s="1015" t="s">
        <v>687</v>
      </c>
      <c r="W566" s="1015" t="s">
        <v>698</v>
      </c>
      <c r="X566" s="1015" t="s">
        <v>747</v>
      </c>
      <c r="Y566" s="1015" t="s">
        <v>764</v>
      </c>
      <c r="Z566" s="1015" t="s">
        <v>787</v>
      </c>
      <c r="AA566" s="1015" t="s">
        <v>799</v>
      </c>
      <c r="AB566" s="1015" t="s">
        <v>846</v>
      </c>
      <c r="AC566" s="1015" t="s">
        <v>865</v>
      </c>
      <c r="AF566" s="1"/>
    </row>
    <row r="567" spans="1:32" ht="13.5" thickBot="1" x14ac:dyDescent="0.25">
      <c r="A567" s="1018"/>
      <c r="B567" s="1015"/>
      <c r="C567" s="1015"/>
      <c r="D567" s="1015"/>
      <c r="E567" s="1015"/>
      <c r="F567" s="1015"/>
      <c r="G567" s="1015"/>
      <c r="H567" s="1015"/>
      <c r="I567" s="1015"/>
      <c r="J567" s="1015"/>
      <c r="K567" s="1015"/>
      <c r="L567" s="1015"/>
      <c r="M567" s="1015"/>
      <c r="N567" s="1"/>
      <c r="O567" s="1015"/>
      <c r="P567" s="1015"/>
      <c r="Q567" s="1015"/>
      <c r="R567" s="1015"/>
      <c r="S567" s="1015"/>
      <c r="T567" s="1015"/>
      <c r="U567" s="1015"/>
      <c r="V567" s="1015"/>
      <c r="W567" s="1015"/>
      <c r="X567" s="1015"/>
      <c r="Y567" s="1015"/>
      <c r="Z567" s="1015"/>
      <c r="AA567" s="1015"/>
      <c r="AB567" s="1015"/>
      <c r="AC567" s="1015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302.40000000000003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5115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755.04000000000008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600,00"/>
        <filter val="106,67"/>
        <filter val="2 000,00"/>
        <filter val="233,33"/>
        <filter val="27,78"/>
        <filter val="3 500,00"/>
        <filter val="300,00"/>
        <filter val="450,00"/>
        <filter val="509,82"/>
        <filter val="56,82"/>
        <filter val="6 150,00"/>
        <filter val="6 370,90"/>
        <filter val="6 595,90"/>
        <filter val="85,23"/>
        <filter val="9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2026-09-16T13:11:35Z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