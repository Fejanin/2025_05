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DFA91AB-C2B8-41C4-8CB0-1F7A9E9E52F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Z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Y518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P504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Y392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Y153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Z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30" i="2" l="1"/>
  <c r="BN49" i="2"/>
  <c r="BN59" i="2"/>
  <c r="BN131" i="2"/>
  <c r="BP183" i="2"/>
  <c r="BN209" i="2"/>
  <c r="BP238" i="2"/>
  <c r="BN240" i="2"/>
  <c r="BN302" i="2"/>
  <c r="BN319" i="2"/>
  <c r="BN391" i="2"/>
  <c r="BN442" i="2"/>
  <c r="BN453" i="2"/>
  <c r="BN508" i="2"/>
  <c r="BN521" i="2"/>
  <c r="BN57" i="2"/>
  <c r="BN67" i="2"/>
  <c r="Z78" i="2"/>
  <c r="BN95" i="2"/>
  <c r="BP147" i="2"/>
  <c r="BN152" i="2"/>
  <c r="Z183" i="2"/>
  <c r="BN223" i="2"/>
  <c r="Z238" i="2"/>
  <c r="BN250" i="2"/>
  <c r="BN307" i="2"/>
  <c r="BN434" i="2"/>
  <c r="BN447" i="2"/>
  <c r="BN478" i="2"/>
  <c r="BN554" i="2"/>
  <c r="Y542" i="2"/>
  <c r="BP524" i="2"/>
  <c r="BP514" i="2"/>
  <c r="BN509" i="2"/>
  <c r="BN503" i="2"/>
  <c r="BN495" i="2"/>
  <c r="Y491" i="2"/>
  <c r="BN490" i="2"/>
  <c r="BN484" i="2"/>
  <c r="Z478" i="2"/>
  <c r="BN476" i="2"/>
  <c r="Y471" i="2"/>
  <c r="BN459" i="2"/>
  <c r="Z447" i="2"/>
  <c r="Z434" i="2"/>
  <c r="Z422" i="2"/>
  <c r="BP422" i="2"/>
  <c r="BN416" i="2"/>
  <c r="Y417" i="2"/>
  <c r="Z403" i="2"/>
  <c r="BP403" i="2"/>
  <c r="BN396" i="2"/>
  <c r="BN385" i="2"/>
  <c r="Z385" i="2"/>
  <c r="BN373" i="2"/>
  <c r="BP366" i="2"/>
  <c r="BN365" i="2"/>
  <c r="Z365" i="2"/>
  <c r="BN364" i="2"/>
  <c r="Z306" i="2"/>
  <c r="BN306" i="2"/>
  <c r="BN291" i="2"/>
  <c r="Z291" i="2"/>
  <c r="Z284" i="2"/>
  <c r="Z282" i="2"/>
  <c r="BN273" i="2"/>
  <c r="BN243" i="2"/>
  <c r="Z228" i="2"/>
  <c r="BP228" i="2"/>
  <c r="Z226" i="2"/>
  <c r="Z223" i="2"/>
  <c r="BN219" i="2"/>
  <c r="Z208" i="2"/>
  <c r="BN204" i="2"/>
  <c r="Z204" i="2"/>
  <c r="Y198" i="2"/>
  <c r="BN197" i="2"/>
  <c r="Z193" i="2"/>
  <c r="Z194" i="2" s="1"/>
  <c r="Z180" i="2"/>
  <c r="BP180" i="2"/>
  <c r="BN178" i="2"/>
  <c r="Z176" i="2"/>
  <c r="BN168" i="2"/>
  <c r="BN163" i="2"/>
  <c r="BN161" i="2"/>
  <c r="BN156" i="2"/>
  <c r="Z152" i="2"/>
  <c r="BN151" i="2"/>
  <c r="Z148" i="2"/>
  <c r="BN142" i="2"/>
  <c r="Z119" i="2"/>
  <c r="BN113" i="2"/>
  <c r="BP111" i="2"/>
  <c r="Y109" i="2"/>
  <c r="BN104" i="2"/>
  <c r="Z95" i="2"/>
  <c r="BN87" i="2"/>
  <c r="X560" i="2"/>
  <c r="Y52" i="2"/>
  <c r="Z30" i="2"/>
  <c r="BN22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2" i="2" s="1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22" i="2" s="1"/>
  <c r="Z357" i="2"/>
  <c r="Z368" i="2"/>
  <c r="Z378" i="2"/>
  <c r="Z410" i="2"/>
  <c r="Z446" i="2"/>
  <c r="Z449" i="2" s="1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7" i="2" l="1"/>
  <c r="Z133" i="2"/>
  <c r="Z359" i="2"/>
  <c r="Z556" i="2"/>
  <c r="Z123" i="2"/>
  <c r="Z443" i="2"/>
  <c r="Z297" i="2"/>
  <c r="Z143" i="2"/>
  <c r="Z511" i="2"/>
  <c r="Z454" i="2"/>
  <c r="Z437" i="2"/>
  <c r="Z411" i="2"/>
  <c r="Z399" i="2"/>
  <c r="Z251" i="2"/>
  <c r="Z245" i="2"/>
  <c r="Z164" i="2"/>
  <c r="Z108" i="2"/>
  <c r="Z98" i="2"/>
  <c r="X561" i="2"/>
  <c r="Z62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<sst xmlns="http://schemas.openxmlformats.org/spreadsheetml/2006/main" count="4275" uniqueCount="895">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</sst>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98" zoomScaleNormal="100" zoomScaleSheetLayoutView="100" workbookViewId="0">
      <selection activeCell="AA564" sqref="AA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894</v>
      </c>
      <c r="I5" s="995"/>
      <c r="J5" s="995"/>
      <c r="K5" s="995"/>
      <c r="L5" s="995"/>
      <c r="M5" s="995"/>
      <c r="N5" s="72"/>
      <c r="P5" s="27" t="s">
        <v>4</v>
      </c>
      <c r="Q5" s="997">
        <v>46283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876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Пятница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8.3333333333333329E-2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idden="1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495</v>
      </c>
      <c r="Y96" s="55">
        <f>IFERROR(IF(X96="",0,CEILING((X96/$H96),1)*$H96),"")</f>
        <v>496.8</v>
      </c>
      <c r="Z96" s="41">
        <f>IFERROR(IF(Y96=0,"",ROUNDUP(Y96/H96,0)*0.00651),"")</f>
        <v>1.19784</v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541.19999999999993</v>
      </c>
      <c r="BN96" s="78">
        <f>IFERROR(Y96*I96/H96,"0")</f>
        <v>543.16800000000001</v>
      </c>
      <c r="BO96" s="78">
        <f>IFERROR(1/J96*(X96/H96),"0")</f>
        <v>1.0073260073260073</v>
      </c>
      <c r="BP96" s="78">
        <f>IFERROR(1/J96*(Y96/H96),"0")</f>
        <v>1.0109890109890112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183.33333333333331</v>
      </c>
      <c r="Y98" s="43">
        <f>IFERROR(Y94/H94,"0")+IFERROR(Y95/H95,"0")+IFERROR(Y96/H96,"0")+IFERROR(Y97/H97,"0")</f>
        <v>184</v>
      </c>
      <c r="Z98" s="43">
        <f>IFERROR(IF(Z94="",0,Z94),"0")+IFERROR(IF(Z95="",0,Z95),"0")+IFERROR(IF(Z96="",0,Z96),"0")+IFERROR(IF(Z97="",0,Z97),"0")</f>
        <v>1.19784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495</v>
      </c>
      <c r="Y99" s="43">
        <f>IFERROR(SUM(Y94:Y97),"0")</f>
        <v>496.8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900</v>
      </c>
      <c r="Y121" s="55">
        <f>IFERROR(IF(X121="",0,CEILING((X121/$H121),1)*$H121),"")</f>
        <v>901.80000000000007</v>
      </c>
      <c r="Z121" s="41">
        <f>IFERROR(IF(Y121=0,"",ROUNDUP(Y121/H121,0)*0.00651),"")</f>
        <v>2.1743399999999999</v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984</v>
      </c>
      <c r="BN121" s="78">
        <f>IFERROR(Y121*I121/H121,"0")</f>
        <v>985.96799999999996</v>
      </c>
      <c r="BO121" s="78">
        <f>IFERROR(1/J121*(X121/H121),"0")</f>
        <v>1.8315018315018314</v>
      </c>
      <c r="BP121" s="78">
        <f>IFERROR(1/J121*(Y121/H121),"0")</f>
        <v>1.8351648351648353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333.33333333333331</v>
      </c>
      <c r="Y123" s="43">
        <f>IFERROR(Y119/H119,"0")+IFERROR(Y120/H120,"0")+IFERROR(Y121/H121,"0")+IFERROR(Y122/H122,"0")</f>
        <v>334</v>
      </c>
      <c r="Z123" s="43">
        <f>IFERROR(IF(Z119="",0,Z119),"0")+IFERROR(IF(Z120="",0,Z120),"0")+IFERROR(IF(Z121="",0,Z121),"0")+IFERROR(IF(Z122="",0,Z122),"0")</f>
        <v>2.1743399999999999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900</v>
      </c>
      <c r="Y124" s="43">
        <f>IFERROR(SUM(Y119:Y122),"0")</f>
        <v>901.80000000000007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600</v>
      </c>
      <c r="Y286" s="55">
        <f t="shared" si="48"/>
        <v>600</v>
      </c>
      <c r="Z286" s="41">
        <f>IFERROR(IF(Y286=0,"",ROUNDUP(Y286/H286,0)*0.00651),"")</f>
        <v>1.6274999999999999</v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663</v>
      </c>
      <c r="BN286" s="78">
        <f t="shared" si="50"/>
        <v>663</v>
      </c>
      <c r="BO286" s="78">
        <f t="shared" si="51"/>
        <v>1.3736263736263736</v>
      </c>
      <c r="BP286" s="78">
        <f t="shared" si="52"/>
        <v>1.3736263736263736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120</v>
      </c>
      <c r="Y289" s="55">
        <f t="shared" si="48"/>
        <v>120</v>
      </c>
      <c r="Z289" s="41">
        <f>IFERROR(IF(Y289=0,"",ROUNDUP(Y289/H289,0)*0.00651),"")</f>
        <v>0.32550000000000001</v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132.60000000000002</v>
      </c>
      <c r="BN289" s="78">
        <f t="shared" si="50"/>
        <v>132.60000000000002</v>
      </c>
      <c r="BO289" s="78">
        <f t="shared" si="51"/>
        <v>0.27472527472527475</v>
      </c>
      <c r="BP289" s="78">
        <f t="shared" si="52"/>
        <v>0.27472527472527475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300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300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1.9529999999999998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720</v>
      </c>
      <c r="Y293" s="43">
        <f>IFERROR(SUM(Y280:Y291),"0")</f>
        <v>720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600</v>
      </c>
      <c r="Y337" s="55">
        <f>IFERROR(IF(X337="",0,CEILING((X337/$H337),1)*$H337),"")</f>
        <v>600</v>
      </c>
      <c r="Z337" s="41">
        <f>IFERROR(IF(Y337=0,"",ROUNDUP(Y337/H337,0)*0.00651),"")</f>
        <v>1.6274999999999999</v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645</v>
      </c>
      <c r="BN337" s="78">
        <f>IFERROR(Y337*I337/H337,"0")</f>
        <v>645</v>
      </c>
      <c r="BO337" s="78">
        <f>IFERROR(1/J337*(X337/H337),"0")</f>
        <v>1.3736263736263736</v>
      </c>
      <c r="BP337" s="78">
        <f>IFERROR(1/J337*(Y337/H337),"0")</f>
        <v>1.3736263736263736</v>
      </c>
    </row>
    <row r="338" spans="1:68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250</v>
      </c>
      <c r="Y338" s="43">
        <f>IFERROR(Y335/H335,"0")+IFERROR(Y336/H336,"0")+IFERROR(Y337/H337,"0")</f>
        <v>250</v>
      </c>
      <c r="Z338" s="43">
        <f>IFERROR(IF(Z335="",0,Z335),"0")+IFERROR(IF(Z336="",0,Z336),"0")+IFERROR(IF(Z337="",0,Z337),"0")</f>
        <v>1.6274999999999999</v>
      </c>
      <c r="AA338" s="67"/>
      <c r="AB338" s="67"/>
      <c r="AC338" s="67"/>
    </row>
    <row r="339" spans="1:68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600</v>
      </c>
      <c r="Y339" s="43">
        <f>IFERROR(SUM(Y335:Y337),"0")</f>
        <v>600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385</v>
      </c>
      <c r="Y376" s="55">
        <f t="shared" si="63"/>
        <v>386.40000000000003</v>
      </c>
      <c r="Z376" s="41">
        <f>IFERROR(IF(Y376=0,"",ROUNDUP(Y376/H376,0)*0.00502),"")</f>
        <v>0.92368000000000006</v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403.33333333333337</v>
      </c>
      <c r="BN376" s="78">
        <f t="shared" si="65"/>
        <v>404.80000000000007</v>
      </c>
      <c r="BO376" s="78">
        <f t="shared" si="66"/>
        <v>0.7834757834757835</v>
      </c>
      <c r="BP376" s="78">
        <f t="shared" si="67"/>
        <v>0.78632478632478642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183.33333333333331</v>
      </c>
      <c r="Y379" s="43">
        <f>IFERROR(Y372/H372,"0")+IFERROR(Y373/H373,"0")+IFERROR(Y374/H374,"0")+IFERROR(Y375/H375,"0")+IFERROR(Y376/H376,"0")+IFERROR(Y377/H377,"0")+IFERROR(Y378/H378,"0")</f>
        <v>184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0.92368000000000006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385</v>
      </c>
      <c r="Y380" s="43">
        <f>IFERROR(SUM(Y372:Y378),"0")</f>
        <v>386.40000000000003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7350</v>
      </c>
      <c r="Y422" s="55">
        <f>IFERROR(IF(X422="",0,CEILING((X422/$H422),1)*$H422),"")</f>
        <v>7350</v>
      </c>
      <c r="Z422" s="41">
        <f>IFERROR(IF(Y422=0,"",ROUNDUP(Y422/H422,0)*0.00651),"")</f>
        <v>22.785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8232</v>
      </c>
      <c r="BN422" s="78">
        <f>IFERROR(Y422*I422/H422,"0")</f>
        <v>8232</v>
      </c>
      <c r="BO422" s="78">
        <f>IFERROR(1/J422*(X422/H422),"0")</f>
        <v>19.230769230769234</v>
      </c>
      <c r="BP422" s="78">
        <f>IFERROR(1/J422*(Y422/H422),"0")</f>
        <v>19.230769230769234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5495</v>
      </c>
      <c r="Y423" s="55">
        <f>IFERROR(IF(X423="",0,CEILING((X423/$H423),1)*$H423),"")</f>
        <v>5495.7</v>
      </c>
      <c r="Z423" s="41">
        <f>IFERROR(IF(Y423=0,"",ROUNDUP(Y423/H423,0)*0.00651),"")</f>
        <v>17.036670000000001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6122.9999999999991</v>
      </c>
      <c r="BN423" s="78">
        <f>IFERROR(Y423*I423/H423,"0")</f>
        <v>6123.7799999999988</v>
      </c>
      <c r="BO423" s="78">
        <f>IFERROR(1/J423*(X423/H423),"0")</f>
        <v>14.377289377289378</v>
      </c>
      <c r="BP423" s="78">
        <f>IFERROR(1/J423*(Y423/H423),"0")</f>
        <v>14.37912087912088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6116.6666666666661</v>
      </c>
      <c r="Y424" s="43">
        <f>IFERROR(Y421/H421,"0")+IFERROR(Y422/H422,"0")+IFERROR(Y423/H423,"0")</f>
        <v>6117</v>
      </c>
      <c r="Z424" s="43">
        <f>IFERROR(IF(Z421="",0,Z421),"0")+IFERROR(IF(Z422="",0,Z422),"0")+IFERROR(IF(Z423="",0,Z423),"0")</f>
        <v>39.821669999999997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12845</v>
      </c>
      <c r="Y425" s="43">
        <f>IFERROR(SUM(Y421:Y423),"0")</f>
        <v>12845.7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idden="1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0</v>
      </c>
      <c r="Y437" s="43">
        <f>IFERROR(Y429/H429,"0")+IFERROR(Y430/H430,"0")+IFERROR(Y431/H431,"0")+IFERROR(Y432/H432,"0")+IFERROR(Y433/H433,"0")+IFERROR(Y434/H434,"0")+IFERROR(Y435/H435,"0")+IFERROR(Y436/H436,"0")</f>
        <v>0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0</v>
      </c>
      <c r="Y438" s="43">
        <f>IFERROR(SUM(Y429:Y436),"0")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hidden="1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idden="1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0</v>
      </c>
      <c r="Y511" s="43">
        <f>IFERROR(Y502/H502,"0")+IFERROR(Y503/H503,"0")+IFERROR(Y504/H504,"0")+IFERROR(Y505/H505,"0")+IFERROR(Y506/H506,"0")+IFERROR(Y507/H507,"0")+IFERROR(Y508/H508,"0")+IFERROR(Y509/H509,"0")+IFERROR(Y510/H510,"0")</f>
        <v>0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0</v>
      </c>
      <c r="Y512" s="43">
        <f>IFERROR(SUM(Y502:Y510),"0")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hidden="1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1060</v>
      </c>
      <c r="Y544" s="55">
        <f>IFERROR(IF(X544="",0,CEILING((X544/$H544),1)*$H544),"")</f>
        <v>1062</v>
      </c>
      <c r="Z544" s="41">
        <f>IFERROR(IF(Y544=0,"",ROUNDUP(Y544/H544,0)*0.01898),"")</f>
        <v>2.2396400000000001</v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1118.1822222222222</v>
      </c>
      <c r="BN544" s="78">
        <f>IFERROR(Y544*I544/H544,"0")</f>
        <v>1120.2920000000001</v>
      </c>
      <c r="BO544" s="78">
        <f>IFERROR(1/J544*(X544/H544),"0")</f>
        <v>1.8402777777777777</v>
      </c>
      <c r="BP544" s="78">
        <f>IFERROR(1/J544*(Y544/H544),"0")</f>
        <v>1.84375</v>
      </c>
    </row>
    <row r="545" spans="1:68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117.77777777777777</v>
      </c>
      <c r="Y545" s="43">
        <f>IFERROR(Y544/H544,"0")</f>
        <v>118</v>
      </c>
      <c r="Z545" s="43">
        <f>IFERROR(IF(Z544="",0,Z544),"0")</f>
        <v>2.2396400000000001</v>
      </c>
      <c r="AA545" s="67"/>
      <c r="AB545" s="67"/>
      <c r="AC545" s="67"/>
    </row>
    <row r="546" spans="1:68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1060</v>
      </c>
      <c r="Y546" s="43">
        <f>IFERROR(SUM(Y544:Y544),"0")</f>
        <v>1062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17005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17012.7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18842.315555555553</v>
      </c>
      <c r="Y559" s="43">
        <f>IFERROR(SUM(BN22:BN555),"0")</f>
        <v>18850.608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43</v>
      </c>
      <c r="Y560" s="44">
        <f>ROUNDUP(SUM(BP22:BP555),0)</f>
        <v>43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19917.315555555553</v>
      </c>
      <c r="Y561" s="43">
        <f>GrossWeightTotalR+PalletQtyTotalR*25</f>
        <v>19925.608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7484.4444444444434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7487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49.937669999999997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496.8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901.80000000000007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720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600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386.40000000000003</v>
      </c>
      <c r="U568" s="52">
        <f>IFERROR(Y415*1,"0")+IFERROR(Y416*1,"0")</f>
        <v>0</v>
      </c>
      <c r="V568" s="52">
        <f>IFERROR(Y421*1,"0")+IFERROR(Y422*1,"0")+IFERROR(Y423*1,"0")</f>
        <v>12845.7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0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2">
        <f>IFERROR(Y532*1,"0")+IFERROR(Y536*1,"0")+IFERROR(Y540*1,"0")+IFERROR(Y544*1,"0")+IFERROR(Y548*1,"0")+IFERROR(Y549*1,"0")</f>
        <v>1062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00"/>
        <filter val="117,78"/>
        <filter val="12 845,00"/>
        <filter val="120,00"/>
        <filter val="17 005,00"/>
        <filter val="18 842,32"/>
        <filter val="183,33"/>
        <filter val="19 917,32"/>
        <filter val="250,00"/>
        <filter val="300,00"/>
        <filter val="333,33"/>
        <filter val="385,00"/>
        <filter val="43"/>
        <filter val="495,00"/>
        <filter val="5 495,00"/>
        <filter val="6 116,67"/>
        <filter val="600,00"/>
        <filter val="7 350,00"/>
        <filter val="7 484,44"/>
        <filter val="720,00"/>
        <filter val="90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