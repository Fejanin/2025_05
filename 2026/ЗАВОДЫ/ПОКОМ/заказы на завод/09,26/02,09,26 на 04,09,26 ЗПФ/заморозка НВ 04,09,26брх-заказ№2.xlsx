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931A39-726B-46DE-BDDA-2F7F1E0A1B0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M276" i="1"/>
  <c r="Z276" i="1"/>
  <c r="Y276" i="1"/>
  <c r="BN276" i="1" s="1"/>
  <c r="P276" i="1"/>
  <c r="BO275" i="1"/>
  <c r="BM275" i="1"/>
  <c r="Z275" i="1"/>
  <c r="Y275" i="1"/>
  <c r="P275" i="1"/>
  <c r="BP274" i="1"/>
  <c r="BO274" i="1"/>
  <c r="BM274" i="1"/>
  <c r="Z274" i="1"/>
  <c r="Y274" i="1"/>
  <c r="BN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BO268" i="1"/>
  <c r="BM268" i="1"/>
  <c r="Z268" i="1"/>
  <c r="Y268" i="1"/>
  <c r="Y279" i="1" s="1"/>
  <c r="P268" i="1"/>
  <c r="X266" i="1"/>
  <c r="X265" i="1"/>
  <c r="BO264" i="1"/>
  <c r="BM264" i="1"/>
  <c r="Z264" i="1"/>
  <c r="Y264" i="1"/>
  <c r="P264" i="1"/>
  <c r="BO263" i="1"/>
  <c r="BM263" i="1"/>
  <c r="Z263" i="1"/>
  <c r="Y263" i="1"/>
  <c r="BN263" i="1" s="1"/>
  <c r="P263" i="1"/>
  <c r="BO262" i="1"/>
  <c r="BM262" i="1"/>
  <c r="Z262" i="1"/>
  <c r="Y262" i="1"/>
  <c r="P262" i="1"/>
  <c r="Y260" i="1"/>
  <c r="X260" i="1"/>
  <c r="X259" i="1"/>
  <c r="BO258" i="1"/>
  <c r="BM258" i="1"/>
  <c r="Z258" i="1"/>
  <c r="Z259" i="1" s="1"/>
  <c r="Y258" i="1"/>
  <c r="P258" i="1"/>
  <c r="X256" i="1"/>
  <c r="X255" i="1"/>
  <c r="BO254" i="1"/>
  <c r="BM254" i="1"/>
  <c r="Z254" i="1"/>
  <c r="Y254" i="1"/>
  <c r="P254" i="1"/>
  <c r="BO253" i="1"/>
  <c r="BM253" i="1"/>
  <c r="Z253" i="1"/>
  <c r="Y253" i="1"/>
  <c r="BN253" i="1" s="1"/>
  <c r="P253" i="1"/>
  <c r="X249" i="1"/>
  <c r="X248" i="1"/>
  <c r="BO247" i="1"/>
  <c r="BM247" i="1"/>
  <c r="Z247" i="1"/>
  <c r="Z248" i="1" s="1"/>
  <c r="Y247" i="1"/>
  <c r="Y249" i="1" s="1"/>
  <c r="P247" i="1"/>
  <c r="X245" i="1"/>
  <c r="X244" i="1"/>
  <c r="BO243" i="1"/>
  <c r="BM243" i="1"/>
  <c r="Z243" i="1"/>
  <c r="Z244" i="1" s="1"/>
  <c r="Y243" i="1"/>
  <c r="Y245" i="1" s="1"/>
  <c r="P243" i="1"/>
  <c r="X239" i="1"/>
  <c r="X238" i="1"/>
  <c r="BO237" i="1"/>
  <c r="BN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8" i="1"/>
  <c r="Y217" i="1"/>
  <c r="X217" i="1"/>
  <c r="BO216" i="1"/>
  <c r="BN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O204" i="1"/>
  <c r="BM204" i="1"/>
  <c r="Z204" i="1"/>
  <c r="Y204" i="1"/>
  <c r="BN204" i="1" s="1"/>
  <c r="P204" i="1"/>
  <c r="BO203" i="1"/>
  <c r="BM203" i="1"/>
  <c r="Z203" i="1"/>
  <c r="Z206" i="1" s="1"/>
  <c r="Y203" i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BO190" i="1"/>
  <c r="BM190" i="1"/>
  <c r="Z190" i="1"/>
  <c r="Y190" i="1"/>
  <c r="Y195" i="1" s="1"/>
  <c r="P190" i="1"/>
  <c r="X186" i="1"/>
  <c r="Y185" i="1"/>
  <c r="X185" i="1"/>
  <c r="BO184" i="1"/>
  <c r="BM184" i="1"/>
  <c r="Z184" i="1"/>
  <c r="Z185" i="1" s="1"/>
  <c r="Y184" i="1"/>
  <c r="Y186" i="1" s="1"/>
  <c r="P184" i="1"/>
  <c r="X181" i="1"/>
  <c r="X180" i="1"/>
  <c r="BO179" i="1"/>
  <c r="BM179" i="1"/>
  <c r="Z179" i="1"/>
  <c r="Y179" i="1"/>
  <c r="BN179" i="1" s="1"/>
  <c r="P179" i="1"/>
  <c r="BO178" i="1"/>
  <c r="BM178" i="1"/>
  <c r="Z178" i="1"/>
  <c r="Z180" i="1" s="1"/>
  <c r="Y178" i="1"/>
  <c r="P178" i="1"/>
  <c r="X174" i="1"/>
  <c r="X173" i="1"/>
  <c r="BO172" i="1"/>
  <c r="BM172" i="1"/>
  <c r="Z172" i="1"/>
  <c r="Z173" i="1" s="1"/>
  <c r="Y172" i="1"/>
  <c r="P172" i="1"/>
  <c r="Y169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Y159" i="1" s="1"/>
  <c r="P157" i="1"/>
  <c r="BO156" i="1"/>
  <c r="BM156" i="1"/>
  <c r="Z156" i="1"/>
  <c r="Y156" i="1"/>
  <c r="BN156" i="1" s="1"/>
  <c r="P156" i="1"/>
  <c r="X153" i="1"/>
  <c r="X152" i="1"/>
  <c r="BO151" i="1"/>
  <c r="BM151" i="1"/>
  <c r="Z151" i="1"/>
  <c r="Y151" i="1"/>
  <c r="BP151" i="1" s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Y144" i="1"/>
  <c r="BP144" i="1" s="1"/>
  <c r="P144" i="1"/>
  <c r="X141" i="1"/>
  <c r="X140" i="1"/>
  <c r="BO139" i="1"/>
  <c r="BN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O137" i="1"/>
  <c r="BM137" i="1"/>
  <c r="Z137" i="1"/>
  <c r="Y137" i="1"/>
  <c r="BN137" i="1" s="1"/>
  <c r="P137" i="1"/>
  <c r="X135" i="1"/>
  <c r="X134" i="1"/>
  <c r="BO133" i="1"/>
  <c r="BM133" i="1"/>
  <c r="Z133" i="1"/>
  <c r="Y133" i="1"/>
  <c r="BN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N131" i="1" s="1"/>
  <c r="P131" i="1"/>
  <c r="BO130" i="1"/>
  <c r="BM130" i="1"/>
  <c r="Z130" i="1"/>
  <c r="Y130" i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O116" i="1"/>
  <c r="BN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BN110" i="1" s="1"/>
  <c r="P110" i="1"/>
  <c r="X107" i="1"/>
  <c r="X106" i="1"/>
  <c r="BO105" i="1"/>
  <c r="BM105" i="1"/>
  <c r="Z105" i="1"/>
  <c r="Y105" i="1"/>
  <c r="BN105" i="1" s="1"/>
  <c r="P105" i="1"/>
  <c r="BO104" i="1"/>
  <c r="BM104" i="1"/>
  <c r="Z104" i="1"/>
  <c r="Y104" i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N94" i="1"/>
  <c r="BM94" i="1"/>
  <c r="Z94" i="1"/>
  <c r="Y94" i="1"/>
  <c r="P94" i="1"/>
  <c r="X91" i="1"/>
  <c r="X90" i="1"/>
  <c r="BO89" i="1"/>
  <c r="BM89" i="1"/>
  <c r="Z89" i="1"/>
  <c r="Y89" i="1"/>
  <c r="BN89" i="1" s="1"/>
  <c r="P89" i="1"/>
  <c r="BO88" i="1"/>
  <c r="BM88" i="1"/>
  <c r="Z88" i="1"/>
  <c r="Z90" i="1" s="1"/>
  <c r="Y88" i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N77" i="1"/>
  <c r="BM77" i="1"/>
  <c r="Z77" i="1"/>
  <c r="Y77" i="1"/>
  <c r="P77" i="1"/>
  <c r="X74" i="1"/>
  <c r="X73" i="1"/>
  <c r="BO72" i="1"/>
  <c r="BM72" i="1"/>
  <c r="Z72" i="1"/>
  <c r="Y72" i="1"/>
  <c r="BN72" i="1" s="1"/>
  <c r="P72" i="1"/>
  <c r="BO71" i="1"/>
  <c r="BM71" i="1"/>
  <c r="Z71" i="1"/>
  <c r="Y71" i="1"/>
  <c r="BP71" i="1" s="1"/>
  <c r="P71" i="1"/>
  <c r="BO70" i="1"/>
  <c r="BM70" i="1"/>
  <c r="Z70" i="1"/>
  <c r="Y70" i="1"/>
  <c r="Y74" i="1" s="1"/>
  <c r="P70" i="1"/>
  <c r="X68" i="1"/>
  <c r="X67" i="1"/>
  <c r="BP66" i="1"/>
  <c r="BO66" i="1"/>
  <c r="BM66" i="1"/>
  <c r="Z66" i="1"/>
  <c r="Y66" i="1"/>
  <c r="BN66" i="1" s="1"/>
  <c r="P66" i="1"/>
  <c r="BO65" i="1"/>
  <c r="BM65" i="1"/>
  <c r="Z65" i="1"/>
  <c r="Y65" i="1"/>
  <c r="Y68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N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Y47" i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P35" i="1"/>
  <c r="BO35" i="1"/>
  <c r="BM35" i="1"/>
  <c r="Z35" i="1"/>
  <c r="Y35" i="1"/>
  <c r="BN35" i="1" s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A9" i="1"/>
  <c r="A10" i="1" s="1"/>
  <c r="D7" i="1"/>
  <c r="Q6" i="1"/>
  <c r="P2" i="1"/>
  <c r="BN112" i="1" l="1"/>
  <c r="BN270" i="1"/>
  <c r="Y43" i="1"/>
  <c r="Z152" i="1"/>
  <c r="BN98" i="1"/>
  <c r="BN184" i="1"/>
  <c r="BN192" i="1"/>
  <c r="BN247" i="1"/>
  <c r="Y57" i="1"/>
  <c r="Z134" i="1"/>
  <c r="BN151" i="1"/>
  <c r="Y248" i="1"/>
  <c r="BN211" i="1"/>
  <c r="Z278" i="1"/>
  <c r="BN144" i="1"/>
  <c r="BN114" i="1"/>
  <c r="Z194" i="1"/>
  <c r="Y238" i="1"/>
  <c r="BN272" i="1"/>
  <c r="Y50" i="1"/>
  <c r="BN96" i="1"/>
  <c r="BN190" i="1"/>
  <c r="BN227" i="1"/>
  <c r="Z106" i="1"/>
  <c r="BP190" i="1"/>
  <c r="Y228" i="1"/>
  <c r="J9" i="1"/>
  <c r="Z30" i="1"/>
  <c r="BP22" i="1"/>
  <c r="BP24" i="1"/>
  <c r="BP26" i="1"/>
  <c r="BP28" i="1"/>
  <c r="Z43" i="1"/>
  <c r="BP41" i="1"/>
  <c r="Z57" i="1"/>
  <c r="BP53" i="1"/>
  <c r="BP55" i="1"/>
  <c r="Z73" i="1"/>
  <c r="BP70" i="1"/>
  <c r="BP72" i="1"/>
  <c r="Y79" i="1"/>
  <c r="BP89" i="1"/>
  <c r="Y100" i="1"/>
  <c r="BP105" i="1"/>
  <c r="Y118" i="1"/>
  <c r="BP131" i="1"/>
  <c r="BP133" i="1"/>
  <c r="Y141" i="1"/>
  <c r="BP179" i="1"/>
  <c r="BP204" i="1"/>
  <c r="BP221" i="1"/>
  <c r="BP233" i="1"/>
  <c r="BP243" i="1"/>
  <c r="Z255" i="1"/>
  <c r="BP253" i="1"/>
  <c r="Z265" i="1"/>
  <c r="BP263" i="1"/>
  <c r="Z79" i="1"/>
  <c r="BP77" i="1"/>
  <c r="Z100" i="1"/>
  <c r="BP94" i="1"/>
  <c r="Z118" i="1"/>
  <c r="BP110" i="1"/>
  <c r="Z140" i="1"/>
  <c r="BP137" i="1"/>
  <c r="Y158" i="1"/>
  <c r="BP184" i="1"/>
  <c r="Y207" i="1"/>
  <c r="F10" i="1"/>
  <c r="F9" i="1"/>
  <c r="BN22" i="1"/>
  <c r="X284" i="1"/>
  <c r="Z36" i="1"/>
  <c r="BN41" i="1"/>
  <c r="Z49" i="1"/>
  <c r="BN53" i="1"/>
  <c r="Z67" i="1"/>
  <c r="BN70" i="1"/>
  <c r="Y91" i="1"/>
  <c r="Y107" i="1"/>
  <c r="Y135" i="1"/>
  <c r="Z146" i="1"/>
  <c r="BP156" i="1"/>
  <c r="Y194" i="1"/>
  <c r="BP216" i="1"/>
  <c r="BN221" i="1"/>
  <c r="Y222" i="1"/>
  <c r="BP227" i="1"/>
  <c r="BN233" i="1"/>
  <c r="Y234" i="1"/>
  <c r="BP237" i="1"/>
  <c r="BN243" i="1"/>
  <c r="Y244" i="1"/>
  <c r="BP247" i="1"/>
  <c r="Y31" i="1"/>
  <c r="Y36" i="1"/>
  <c r="Y44" i="1"/>
  <c r="Y49" i="1"/>
  <c r="Y58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H9" i="1"/>
  <c r="X281" i="1"/>
  <c r="X282" i="1"/>
  <c r="BN23" i="1"/>
  <c r="BN25" i="1"/>
  <c r="BN27" i="1"/>
  <c r="BN29" i="1"/>
  <c r="X280" i="1"/>
  <c r="BN34" i="1"/>
  <c r="BP34" i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1" i="1" l="1"/>
  <c r="Y284" i="1"/>
  <c r="Z285" i="1"/>
  <c r="Y282" i="1"/>
  <c r="X283" i="1"/>
  <c r="Y280" i="1"/>
  <c r="Y283" i="1" l="1"/>
  <c r="A293" i="1" s="1"/>
  <c r="C293" i="1"/>
  <c r="B293" i="1"/>
</calcChain>
</file>

<file path=xl/sharedStrings.xml><?xml version="1.0" encoding="utf-8"?>
<sst xmlns="http://schemas.openxmlformats.org/spreadsheetml/2006/main" count="1295" uniqueCount="421">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</sst>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32" t="s">
        <v>0</v>
      </c>
      <c r="E1" s="302"/>
      <c r="F1" s="302"/>
      <c r="G1" s="13" t="s">
        <v>1</v>
      </c>
      <c r="H1" s="332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8" t="s">
        <v>8</v>
      </c>
      <c r="B5" s="334"/>
      <c r="C5" s="335"/>
      <c r="D5" s="339"/>
      <c r="E5" s="340"/>
      <c r="F5" s="451" t="s">
        <v>9</v>
      </c>
      <c r="G5" s="335"/>
      <c r="H5" s="339" t="s">
        <v>420</v>
      </c>
      <c r="I5" s="445"/>
      <c r="J5" s="445"/>
      <c r="K5" s="445"/>
      <c r="L5" s="445"/>
      <c r="M5" s="340"/>
      <c r="N5" s="61"/>
      <c r="P5" s="24" t="s">
        <v>10</v>
      </c>
      <c r="Q5" s="455">
        <v>46269</v>
      </c>
      <c r="R5" s="356"/>
      <c r="T5" s="386" t="s">
        <v>11</v>
      </c>
      <c r="U5" s="387"/>
      <c r="V5" s="389" t="s">
        <v>12</v>
      </c>
      <c r="W5" s="356"/>
      <c r="AB5" s="52"/>
      <c r="AC5" s="52"/>
      <c r="AD5" s="52"/>
      <c r="AE5" s="52"/>
    </row>
    <row r="6" spans="1:32" s="272" customFormat="1" ht="24" customHeight="1" x14ac:dyDescent="0.2">
      <c r="A6" s="358" t="s">
        <v>13</v>
      </c>
      <c r="B6" s="334"/>
      <c r="C6" s="335"/>
      <c r="D6" s="420" t="s">
        <v>389</v>
      </c>
      <c r="E6" s="421"/>
      <c r="F6" s="421"/>
      <c r="G6" s="421"/>
      <c r="H6" s="421"/>
      <c r="I6" s="421"/>
      <c r="J6" s="421"/>
      <c r="K6" s="421"/>
      <c r="L6" s="421"/>
      <c r="M6" s="356"/>
      <c r="N6" s="62"/>
      <c r="P6" s="24" t="s">
        <v>14</v>
      </c>
      <c r="Q6" s="460" t="str">
        <f>IF(Q5=0," ",CHOOSE(WEEKDAY(Q5,2),"Понедельник","Вторник","Среда","Четверг","Пятница","Суббота","Воскресенье"))</f>
        <v>Пятница</v>
      </c>
      <c r="R6" s="293"/>
      <c r="T6" s="390" t="s">
        <v>15</v>
      </c>
      <c r="U6" s="387"/>
      <c r="V6" s="426" t="s">
        <v>16</v>
      </c>
      <c r="W6" s="310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8" t="str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3"/>
      <c r="R7" s="43"/>
      <c r="T7" s="290"/>
      <c r="U7" s="387"/>
      <c r="V7" s="427"/>
      <c r="W7" s="428"/>
      <c r="AB7" s="52"/>
      <c r="AC7" s="52"/>
      <c r="AD7" s="52"/>
      <c r="AE7" s="52"/>
    </row>
    <row r="8" spans="1:32" s="272" customFormat="1" ht="25.5" customHeight="1" x14ac:dyDescent="0.2">
      <c r="A8" s="444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62">
        <v>0.41666666666666669</v>
      </c>
      <c r="R8" s="320"/>
      <c r="T8" s="290"/>
      <c r="U8" s="387"/>
      <c r="V8" s="427"/>
      <c r="W8" s="428"/>
      <c r="AB8" s="52"/>
      <c r="AC8" s="52"/>
      <c r="AD8" s="52"/>
      <c r="AE8" s="52"/>
    </row>
    <row r="9" spans="1:32" s="272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9"/>
      <c r="E9" s="285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7" t="s">
        <v>19</v>
      </c>
      <c r="Q9" s="353"/>
      <c r="R9" s="354"/>
      <c r="T9" s="290"/>
      <c r="U9" s="387"/>
      <c r="V9" s="429"/>
      <c r="W9" s="430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9"/>
      <c r="E10" s="285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7" t="str">
        <f>IFERROR(VLOOKUP($D$10,Proxy,2,FALSE),"")</f>
        <v/>
      </c>
      <c r="I10" s="290"/>
      <c r="J10" s="290"/>
      <c r="K10" s="290"/>
      <c r="L10" s="290"/>
      <c r="M10" s="290"/>
      <c r="N10" s="271"/>
      <c r="P10" s="27" t="s">
        <v>20</v>
      </c>
      <c r="Q10" s="391"/>
      <c r="R10" s="392"/>
      <c r="U10" s="24" t="s">
        <v>21</v>
      </c>
      <c r="V10" s="309" t="s">
        <v>22</v>
      </c>
      <c r="W10" s="310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5"/>
      <c r="R11" s="356"/>
      <c r="U11" s="24" t="s">
        <v>25</v>
      </c>
      <c r="V11" s="411" t="s">
        <v>26</v>
      </c>
      <c r="W11" s="354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82" t="s">
        <v>27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5"/>
      <c r="N12" s="65"/>
      <c r="P12" s="24" t="s">
        <v>28</v>
      </c>
      <c r="Q12" s="362"/>
      <c r="R12" s="320"/>
      <c r="S12" s="25"/>
      <c r="U12" s="24"/>
      <c r="V12" s="302"/>
      <c r="W12" s="290"/>
      <c r="AB12" s="52"/>
      <c r="AC12" s="52"/>
      <c r="AD12" s="52"/>
      <c r="AE12" s="52"/>
    </row>
    <row r="13" spans="1:32" s="272" customFormat="1" ht="23.25" customHeight="1" x14ac:dyDescent="0.2">
      <c r="A13" s="382" t="s">
        <v>29</v>
      </c>
      <c r="B13" s="334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5"/>
      <c r="N13" s="65"/>
      <c r="O13" s="27"/>
      <c r="P13" s="27" t="s">
        <v>30</v>
      </c>
      <c r="Q13" s="411"/>
      <c r="R13" s="354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82" t="s">
        <v>31</v>
      </c>
      <c r="B14" s="334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5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6" t="s">
        <v>32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5"/>
      <c r="N15" s="66"/>
      <c r="P15" s="373" t="s">
        <v>33</v>
      </c>
      <c r="Q15" s="302"/>
      <c r="R15" s="302"/>
      <c r="S15" s="302"/>
      <c r="T15" s="30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5" t="s">
        <v>34</v>
      </c>
      <c r="B17" s="305" t="s">
        <v>35</v>
      </c>
      <c r="C17" s="366" t="s">
        <v>36</v>
      </c>
      <c r="D17" s="305" t="s">
        <v>37</v>
      </c>
      <c r="E17" s="347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6"/>
      <c r="R17" s="346"/>
      <c r="S17" s="346"/>
      <c r="T17" s="347"/>
      <c r="U17" s="470" t="s">
        <v>49</v>
      </c>
      <c r="V17" s="335"/>
      <c r="W17" s="305" t="s">
        <v>50</v>
      </c>
      <c r="X17" s="305" t="s">
        <v>51</v>
      </c>
      <c r="Y17" s="468" t="s">
        <v>52</v>
      </c>
      <c r="Z17" s="433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8"/>
      <c r="E18" s="350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8"/>
      <c r="Q18" s="349"/>
      <c r="R18" s="349"/>
      <c r="S18" s="349"/>
      <c r="T18" s="350"/>
      <c r="U18" s="70" t="s">
        <v>59</v>
      </c>
      <c r="V18" s="70" t="s">
        <v>60</v>
      </c>
      <c r="W18" s="306"/>
      <c r="X18" s="306"/>
      <c r="Y18" s="469"/>
      <c r="Z18" s="434"/>
      <c r="AA18" s="406"/>
      <c r="AB18" s="406"/>
      <c r="AC18" s="406"/>
      <c r="AD18" s="448"/>
      <c r="AE18" s="449"/>
      <c r="AF18" s="450"/>
      <c r="AG18" s="69"/>
      <c r="BD18" s="68"/>
    </row>
    <row r="19" spans="1:68" ht="27.75" hidden="1" customHeight="1" x14ac:dyDescent="0.2">
      <c r="A19" s="363" t="s">
        <v>61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49"/>
      <c r="AB19" s="49"/>
      <c r="AC19" s="49"/>
    </row>
    <row r="20" spans="1:68" ht="16.5" hidden="1" customHeight="1" x14ac:dyDescent="0.25">
      <c r="A20" s="308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303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3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5"/>
      <c r="V23" s="35"/>
      <c r="W23" s="36" t="s">
        <v>68</v>
      </c>
      <c r="X23" s="278">
        <v>24</v>
      </c>
      <c r="Y23" s="279">
        <f t="shared" si="0"/>
        <v>24</v>
      </c>
      <c r="Z23" s="37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5"/>
      <c r="V27" s="35"/>
      <c r="W27" s="36" t="s">
        <v>68</v>
      </c>
      <c r="X27" s="278">
        <v>12</v>
      </c>
      <c r="Y27" s="279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5"/>
      <c r="V29" s="35"/>
      <c r="W29" s="36" t="s">
        <v>68</v>
      </c>
      <c r="X29" s="278">
        <v>12</v>
      </c>
      <c r="Y29" s="279">
        <f t="shared" si="0"/>
        <v>12</v>
      </c>
      <c r="Z29" s="37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6" t="s">
        <v>87</v>
      </c>
      <c r="Q30" s="287"/>
      <c r="R30" s="287"/>
      <c r="S30" s="287"/>
      <c r="T30" s="287"/>
      <c r="U30" s="287"/>
      <c r="V30" s="288"/>
      <c r="W30" s="38" t="s">
        <v>68</v>
      </c>
      <c r="X30" s="280">
        <f>IFERROR(SUM(X22:X29),"0")</f>
        <v>48</v>
      </c>
      <c r="Y30" s="280">
        <f>IFERROR(SUM(Y22:Y29),"0")</f>
        <v>48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6" t="s">
        <v>87</v>
      </c>
      <c r="Q31" s="287"/>
      <c r="R31" s="287"/>
      <c r="S31" s="287"/>
      <c r="T31" s="287"/>
      <c r="U31" s="287"/>
      <c r="V31" s="288"/>
      <c r="W31" s="38" t="s">
        <v>88</v>
      </c>
      <c r="X31" s="280">
        <f>IFERROR(SUMPRODUCT(X22:X29*H22:H29),"0")</f>
        <v>326.40000000000003</v>
      </c>
      <c r="Y31" s="280">
        <f>IFERROR(SUMPRODUCT(Y22:Y29*H22:H29),"0")</f>
        <v>326.40000000000003</v>
      </c>
      <c r="Z31" s="38"/>
      <c r="AA31" s="281"/>
      <c r="AB31" s="281"/>
      <c r="AC31" s="281"/>
    </row>
    <row r="32" spans="1:68" ht="16.5" hidden="1" customHeight="1" x14ac:dyDescent="0.25">
      <c r="A32" s="308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303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6" t="s">
        <v>87</v>
      </c>
      <c r="Q36" s="287"/>
      <c r="R36" s="287"/>
      <c r="S36" s="287"/>
      <c r="T36" s="287"/>
      <c r="U36" s="287"/>
      <c r="V36" s="288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6" t="s">
        <v>87</v>
      </c>
      <c r="Q37" s="287"/>
      <c r="R37" s="287"/>
      <c r="S37" s="287"/>
      <c r="T37" s="287"/>
      <c r="U37" s="287"/>
      <c r="V37" s="288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3" t="s">
        <v>95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49"/>
      <c r="AB38" s="49"/>
      <c r="AC38" s="49"/>
    </row>
    <row r="39" spans="1:68" ht="16.5" hidden="1" customHeight="1" x14ac:dyDescent="0.25">
      <c r="A39" s="308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303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5"/>
      <c r="V41" s="35"/>
      <c r="W41" s="36" t="s">
        <v>68</v>
      </c>
      <c r="X41" s="278">
        <v>98</v>
      </c>
      <c r="Y41" s="279">
        <f>IFERROR(IF(X41="","",X41),"")</f>
        <v>98</v>
      </c>
      <c r="Z41" s="37">
        <f>IFERROR(IF(X41="","",X41*0.00941),"")</f>
        <v>0.92218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188.3364</v>
      </c>
      <c r="BN41" s="67">
        <f>IFERROR(Y41*I41,"0")</f>
        <v>188.3364</v>
      </c>
      <c r="BO41" s="67">
        <f>IFERROR(X41/J41,"0")</f>
        <v>0.7</v>
      </c>
      <c r="BP41" s="67">
        <f>IFERROR(Y41/J41,"0")</f>
        <v>0.7</v>
      </c>
    </row>
    <row r="42" spans="1:68" ht="27" hidden="1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6" t="s">
        <v>87</v>
      </c>
      <c r="Q43" s="287"/>
      <c r="R43" s="287"/>
      <c r="S43" s="287"/>
      <c r="T43" s="287"/>
      <c r="U43" s="287"/>
      <c r="V43" s="288"/>
      <c r="W43" s="38" t="s">
        <v>68</v>
      </c>
      <c r="X43" s="280">
        <f>IFERROR(SUM(X41:X42),"0")</f>
        <v>98</v>
      </c>
      <c r="Y43" s="280">
        <f>IFERROR(SUM(Y41:Y42),"0")</f>
        <v>98</v>
      </c>
      <c r="Z43" s="280">
        <f>IFERROR(IF(Z41="",0,Z41),"0")+IFERROR(IF(Z42="",0,Z42),"0")</f>
        <v>0.92218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6" t="s">
        <v>87</v>
      </c>
      <c r="Q44" s="287"/>
      <c r="R44" s="287"/>
      <c r="S44" s="287"/>
      <c r="T44" s="287"/>
      <c r="U44" s="287"/>
      <c r="V44" s="288"/>
      <c r="W44" s="38" t="s">
        <v>88</v>
      </c>
      <c r="X44" s="280">
        <f>IFERROR(SUMPRODUCT(X41:X42*H41:H42),"0")</f>
        <v>147</v>
      </c>
      <c r="Y44" s="280">
        <f>IFERROR(SUMPRODUCT(Y41:Y42*H41:H42),"0")</f>
        <v>147</v>
      </c>
      <c r="Z44" s="38"/>
      <c r="AA44" s="281"/>
      <c r="AB44" s="281"/>
      <c r="AC44" s="281"/>
    </row>
    <row r="45" spans="1:68" ht="16.5" hidden="1" customHeight="1" x14ac:dyDescent="0.25">
      <c r="A45" s="308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303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5"/>
      <c r="V47" s="35"/>
      <c r="W47" s="36" t="s">
        <v>68</v>
      </c>
      <c r="X47" s="278">
        <v>12</v>
      </c>
      <c r="Y47" s="279">
        <f>IFERROR(IF(X47="","",X47),"")</f>
        <v>12</v>
      </c>
      <c r="Z47" s="37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hidden="1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5"/>
      <c r="V48" s="35"/>
      <c r="W48" s="36" t="s">
        <v>68</v>
      </c>
      <c r="X48" s="278">
        <v>0</v>
      </c>
      <c r="Y48" s="279">
        <f>IFERROR(IF(X48="","",X48),"")</f>
        <v>0</v>
      </c>
      <c r="Z48" s="37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6" t="s">
        <v>87</v>
      </c>
      <c r="Q49" s="287"/>
      <c r="R49" s="287"/>
      <c r="S49" s="287"/>
      <c r="T49" s="287"/>
      <c r="U49" s="287"/>
      <c r="V49" s="288"/>
      <c r="W49" s="38" t="s">
        <v>68</v>
      </c>
      <c r="X49" s="280">
        <f>IFERROR(SUM(X47:X48),"0")</f>
        <v>12</v>
      </c>
      <c r="Y49" s="280">
        <f>IFERROR(SUM(Y47:Y48),"0")</f>
        <v>12</v>
      </c>
      <c r="Z49" s="280">
        <f>IFERROR(IF(Z47="",0,Z47),"0")+IFERROR(IF(Z48="",0,Z48),"0")</f>
        <v>0.186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6" t="s">
        <v>87</v>
      </c>
      <c r="Q50" s="287"/>
      <c r="R50" s="287"/>
      <c r="S50" s="287"/>
      <c r="T50" s="287"/>
      <c r="U50" s="287"/>
      <c r="V50" s="288"/>
      <c r="W50" s="38" t="s">
        <v>88</v>
      </c>
      <c r="X50" s="280">
        <f>IFERROR(SUMPRODUCT(X47:X48*H47:H48),"0")</f>
        <v>67.199999999999989</v>
      </c>
      <c r="Y50" s="280">
        <f>IFERROR(SUMPRODUCT(Y47:Y48*H47:H48),"0")</f>
        <v>67.199999999999989</v>
      </c>
      <c r="Z50" s="38"/>
      <c r="AA50" s="281"/>
      <c r="AB50" s="281"/>
      <c r="AC50" s="281"/>
    </row>
    <row r="51" spans="1:68" ht="16.5" hidden="1" customHeight="1" x14ac:dyDescent="0.25">
      <c r="A51" s="308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303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5"/>
      <c r="R53" s="295"/>
      <c r="S53" s="295"/>
      <c r="T53" s="296"/>
      <c r="U53" s="35"/>
      <c r="V53" s="35"/>
      <c r="W53" s="36" t="s">
        <v>68</v>
      </c>
      <c r="X53" s="278">
        <v>48</v>
      </c>
      <c r="Y53" s="279">
        <f>IFERROR(IF(X53="","",X53),"")</f>
        <v>48</v>
      </c>
      <c r="Z53" s="37">
        <f>IFERROR(IF(X53="","",X53*0.0155),"")</f>
        <v>0.74399999999999999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350.4</v>
      </c>
      <c r="BN53" s="67">
        <f>IFERROR(Y53*I53,"0")</f>
        <v>350.4</v>
      </c>
      <c r="BO53" s="67">
        <f>IFERROR(X53/J53,"0")</f>
        <v>0.5714285714285714</v>
      </c>
      <c r="BP53" s="67">
        <f>IFERROR(Y53/J53,"0")</f>
        <v>0.5714285714285714</v>
      </c>
    </row>
    <row r="54" spans="1:68" ht="27" hidden="1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5"/>
      <c r="R54" s="295"/>
      <c r="S54" s="295"/>
      <c r="T54" s="296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5"/>
      <c r="R55" s="295"/>
      <c r="S55" s="295"/>
      <c r="T55" s="296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5"/>
      <c r="R56" s="295"/>
      <c r="S56" s="295"/>
      <c r="T56" s="296"/>
      <c r="U56" s="35"/>
      <c r="V56" s="35"/>
      <c r="W56" s="36" t="s">
        <v>68</v>
      </c>
      <c r="X56" s="278">
        <v>24</v>
      </c>
      <c r="Y56" s="279">
        <f>IFERROR(IF(X56="","",X56),"")</f>
        <v>24</v>
      </c>
      <c r="Z56" s="37">
        <f>IFERROR(IF(X56="","",X56*0.0155),"")</f>
        <v>0.372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175.2</v>
      </c>
      <c r="BN56" s="67">
        <f>IFERROR(Y56*I56,"0")</f>
        <v>175.2</v>
      </c>
      <c r="BO56" s="67">
        <f>IFERROR(X56/J56,"0")</f>
        <v>0.2857142857142857</v>
      </c>
      <c r="BP56" s="67">
        <f>IFERROR(Y56/J56,"0")</f>
        <v>0.2857142857142857</v>
      </c>
    </row>
    <row r="57" spans="1:68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6" t="s">
        <v>87</v>
      </c>
      <c r="Q57" s="287"/>
      <c r="R57" s="287"/>
      <c r="S57" s="287"/>
      <c r="T57" s="287"/>
      <c r="U57" s="287"/>
      <c r="V57" s="288"/>
      <c r="W57" s="38" t="s">
        <v>68</v>
      </c>
      <c r="X57" s="280">
        <f>IFERROR(SUM(X53:X56),"0")</f>
        <v>72</v>
      </c>
      <c r="Y57" s="280">
        <f>IFERROR(SUM(Y53:Y56),"0")</f>
        <v>72</v>
      </c>
      <c r="Z57" s="280">
        <f>IFERROR(IF(Z53="",0,Z53),"0")+IFERROR(IF(Z54="",0,Z54),"0")+IFERROR(IF(Z55="",0,Z55),"0")+IFERROR(IF(Z56="",0,Z56),"0")</f>
        <v>1.1160000000000001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6" t="s">
        <v>87</v>
      </c>
      <c r="Q58" s="287"/>
      <c r="R58" s="287"/>
      <c r="S58" s="287"/>
      <c r="T58" s="287"/>
      <c r="U58" s="287"/>
      <c r="V58" s="288"/>
      <c r="W58" s="38" t="s">
        <v>88</v>
      </c>
      <c r="X58" s="280">
        <f>IFERROR(SUMPRODUCT(X53:X56*H53:H56),"0")</f>
        <v>504</v>
      </c>
      <c r="Y58" s="280">
        <f>IFERROR(SUMPRODUCT(Y53:Y56*H53:H56),"0")</f>
        <v>504</v>
      </c>
      <c r="Z58" s="38"/>
      <c r="AA58" s="281"/>
      <c r="AB58" s="281"/>
      <c r="AC58" s="281"/>
    </row>
    <row r="59" spans="1:68" ht="16.5" hidden="1" customHeight="1" x14ac:dyDescent="0.25">
      <c r="A59" s="308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303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1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5"/>
      <c r="R61" s="295"/>
      <c r="S61" s="295"/>
      <c r="T61" s="296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6" t="s">
        <v>87</v>
      </c>
      <c r="Q62" s="287"/>
      <c r="R62" s="287"/>
      <c r="S62" s="287"/>
      <c r="T62" s="287"/>
      <c r="U62" s="287"/>
      <c r="V62" s="288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6" t="s">
        <v>87</v>
      </c>
      <c r="Q63" s="287"/>
      <c r="R63" s="287"/>
      <c r="S63" s="287"/>
      <c r="T63" s="287"/>
      <c r="U63" s="287"/>
      <c r="V63" s="288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3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5"/>
      <c r="R65" s="295"/>
      <c r="S65" s="295"/>
      <c r="T65" s="296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5"/>
      <c r="R66" s="295"/>
      <c r="S66" s="295"/>
      <c r="T66" s="296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6" t="s">
        <v>87</v>
      </c>
      <c r="Q67" s="287"/>
      <c r="R67" s="287"/>
      <c r="S67" s="287"/>
      <c r="T67" s="287"/>
      <c r="U67" s="287"/>
      <c r="V67" s="288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6" t="s">
        <v>87</v>
      </c>
      <c r="Q68" s="287"/>
      <c r="R68" s="287"/>
      <c r="S68" s="287"/>
      <c r="T68" s="287"/>
      <c r="U68" s="287"/>
      <c r="V68" s="288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3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5"/>
      <c r="R70" s="295"/>
      <c r="S70" s="295"/>
      <c r="T70" s="296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5"/>
      <c r="R71" s="295"/>
      <c r="S71" s="295"/>
      <c r="T71" s="296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5"/>
      <c r="R72" s="295"/>
      <c r="S72" s="295"/>
      <c r="T72" s="296"/>
      <c r="U72" s="35"/>
      <c r="V72" s="35"/>
      <c r="W72" s="36" t="s">
        <v>68</v>
      </c>
      <c r="X72" s="278">
        <v>28</v>
      </c>
      <c r="Y72" s="279">
        <f>IFERROR(IF(X72="","",X72),"")</f>
        <v>28</v>
      </c>
      <c r="Z72" s="37">
        <f>IFERROR(IF(X72="","",X72*0.00941),"")</f>
        <v>0.26347999999999999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43.68</v>
      </c>
      <c r="BN72" s="67">
        <f>IFERROR(Y72*I72,"0")</f>
        <v>43.68</v>
      </c>
      <c r="BO72" s="67">
        <f>IFERROR(X72/J72,"0")</f>
        <v>0.2</v>
      </c>
      <c r="BP72" s="67">
        <f>IFERROR(Y72/J72,"0")</f>
        <v>0.2</v>
      </c>
    </row>
    <row r="73" spans="1:68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6" t="s">
        <v>87</v>
      </c>
      <c r="Q73" s="287"/>
      <c r="R73" s="287"/>
      <c r="S73" s="287"/>
      <c r="T73" s="287"/>
      <c r="U73" s="287"/>
      <c r="V73" s="288"/>
      <c r="W73" s="38" t="s">
        <v>68</v>
      </c>
      <c r="X73" s="280">
        <f>IFERROR(SUM(X70:X72),"0")</f>
        <v>28</v>
      </c>
      <c r="Y73" s="280">
        <f>IFERROR(SUM(Y70:Y72),"0")</f>
        <v>28</v>
      </c>
      <c r="Z73" s="280">
        <f>IFERROR(IF(Z70="",0,Z70),"0")+IFERROR(IF(Z71="",0,Z71),"0")+IFERROR(IF(Z72="",0,Z72),"0")</f>
        <v>0.26347999999999999</v>
      </c>
      <c r="AA73" s="281"/>
      <c r="AB73" s="281"/>
      <c r="AC73" s="281"/>
    </row>
    <row r="74" spans="1:68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6" t="s">
        <v>87</v>
      </c>
      <c r="Q74" s="287"/>
      <c r="R74" s="287"/>
      <c r="S74" s="287"/>
      <c r="T74" s="287"/>
      <c r="U74" s="287"/>
      <c r="V74" s="288"/>
      <c r="W74" s="38" t="s">
        <v>88</v>
      </c>
      <c r="X74" s="280">
        <f>IFERROR(SUMPRODUCT(X70:X72*H70:H72),"0")</f>
        <v>33.6</v>
      </c>
      <c r="Y74" s="280">
        <f>IFERROR(SUMPRODUCT(Y70:Y72*H70:H72),"0")</f>
        <v>33.6</v>
      </c>
      <c r="Z74" s="38"/>
      <c r="AA74" s="281"/>
      <c r="AB74" s="281"/>
      <c r="AC74" s="281"/>
    </row>
    <row r="75" spans="1:68" ht="16.5" hidden="1" customHeight="1" x14ac:dyDescent="0.25">
      <c r="A75" s="308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3"/>
      <c r="AB75" s="273"/>
      <c r="AC75" s="273"/>
    </row>
    <row r="76" spans="1:68" ht="14.25" hidden="1" customHeight="1" x14ac:dyDescent="0.25">
      <c r="A76" s="303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5"/>
      <c r="R77" s="295"/>
      <c r="S77" s="295"/>
      <c r="T77" s="296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5"/>
      <c r="R78" s="295"/>
      <c r="S78" s="295"/>
      <c r="T78" s="296"/>
      <c r="U78" s="35"/>
      <c r="V78" s="35"/>
      <c r="W78" s="36" t="s">
        <v>68</v>
      </c>
      <c r="X78" s="278">
        <v>108</v>
      </c>
      <c r="Y78" s="279">
        <f>IFERROR(IF(X78="","",X78),"")</f>
        <v>108</v>
      </c>
      <c r="Z78" s="37">
        <f>IFERROR(IF(X78="","",X78*0.00866),"")</f>
        <v>0.93527999999999989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563.02559999999994</v>
      </c>
      <c r="BN78" s="67">
        <f>IFERROR(Y78*I78,"0")</f>
        <v>563.02559999999994</v>
      </c>
      <c r="BO78" s="67">
        <f>IFERROR(X78/J78,"0")</f>
        <v>0.75</v>
      </c>
      <c r="BP78" s="67">
        <f>IFERROR(Y78/J78,"0")</f>
        <v>0.75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6" t="s">
        <v>87</v>
      </c>
      <c r="Q79" s="287"/>
      <c r="R79" s="287"/>
      <c r="S79" s="287"/>
      <c r="T79" s="287"/>
      <c r="U79" s="287"/>
      <c r="V79" s="288"/>
      <c r="W79" s="38" t="s">
        <v>68</v>
      </c>
      <c r="X79" s="280">
        <f>IFERROR(SUM(X77:X78),"0")</f>
        <v>108</v>
      </c>
      <c r="Y79" s="280">
        <f>IFERROR(SUM(Y77:Y78),"0")</f>
        <v>108</v>
      </c>
      <c r="Z79" s="280">
        <f>IFERROR(IF(Z77="",0,Z77),"0")+IFERROR(IF(Z78="",0,Z78),"0")</f>
        <v>0.93527999999999989</v>
      </c>
      <c r="AA79" s="281"/>
      <c r="AB79" s="281"/>
      <c r="AC79" s="281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6" t="s">
        <v>87</v>
      </c>
      <c r="Q80" s="287"/>
      <c r="R80" s="287"/>
      <c r="S80" s="287"/>
      <c r="T80" s="287"/>
      <c r="U80" s="287"/>
      <c r="V80" s="288"/>
      <c r="W80" s="38" t="s">
        <v>88</v>
      </c>
      <c r="X80" s="280">
        <f>IFERROR(SUMPRODUCT(X77:X78*H77:H78),"0")</f>
        <v>540</v>
      </c>
      <c r="Y80" s="280">
        <f>IFERROR(SUMPRODUCT(Y77:Y78*H77:H78),"0")</f>
        <v>540</v>
      </c>
      <c r="Z80" s="38"/>
      <c r="AA80" s="281"/>
      <c r="AB80" s="281"/>
      <c r="AC80" s="281"/>
    </row>
    <row r="81" spans="1:68" ht="16.5" hidden="1" customHeight="1" x14ac:dyDescent="0.25">
      <c r="A81" s="308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3"/>
      <c r="AB81" s="273"/>
      <c r="AC81" s="273"/>
    </row>
    <row r="82" spans="1:68" ht="14.25" hidden="1" customHeight="1" x14ac:dyDescent="0.25">
      <c r="A82" s="303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5"/>
      <c r="R83" s="295"/>
      <c r="S83" s="295"/>
      <c r="T83" s="296"/>
      <c r="U83" s="35"/>
      <c r="V83" s="35"/>
      <c r="W83" s="36" t="s">
        <v>68</v>
      </c>
      <c r="X83" s="278">
        <v>14</v>
      </c>
      <c r="Y83" s="279">
        <f>IFERROR(IF(X83="","",X83),"")</f>
        <v>14</v>
      </c>
      <c r="Z83" s="37">
        <f>IFERROR(IF(X83="","",X83*0.01788),"")</f>
        <v>0.25031999999999999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6" t="s">
        <v>87</v>
      </c>
      <c r="Q84" s="287"/>
      <c r="R84" s="287"/>
      <c r="S84" s="287"/>
      <c r="T84" s="287"/>
      <c r="U84" s="287"/>
      <c r="V84" s="288"/>
      <c r="W84" s="38" t="s">
        <v>68</v>
      </c>
      <c r="X84" s="280">
        <f>IFERROR(SUM(X83:X83),"0")</f>
        <v>14</v>
      </c>
      <c r="Y84" s="280">
        <f>IFERROR(SUM(Y83:Y83),"0")</f>
        <v>14</v>
      </c>
      <c r="Z84" s="280">
        <f>IFERROR(IF(Z83="",0,Z83),"0")</f>
        <v>0.25031999999999999</v>
      </c>
      <c r="AA84" s="281"/>
      <c r="AB84" s="281"/>
      <c r="AC84" s="281"/>
    </row>
    <row r="85" spans="1:68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6" t="s">
        <v>87</v>
      </c>
      <c r="Q85" s="287"/>
      <c r="R85" s="287"/>
      <c r="S85" s="287"/>
      <c r="T85" s="287"/>
      <c r="U85" s="287"/>
      <c r="V85" s="288"/>
      <c r="W85" s="38" t="s">
        <v>88</v>
      </c>
      <c r="X85" s="280">
        <f>IFERROR(SUMPRODUCT(X83:X83*H83:H83),"0")</f>
        <v>50.4</v>
      </c>
      <c r="Y85" s="280">
        <f>IFERROR(SUMPRODUCT(Y83:Y83*H83:H83),"0")</f>
        <v>50.4</v>
      </c>
      <c r="Z85" s="38"/>
      <c r="AA85" s="281"/>
      <c r="AB85" s="281"/>
      <c r="AC85" s="281"/>
    </row>
    <row r="86" spans="1:68" ht="16.5" hidden="1" customHeight="1" x14ac:dyDescent="0.25">
      <c r="A86" s="308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3"/>
      <c r="AB86" s="273"/>
      <c r="AC86" s="273"/>
    </row>
    <row r="87" spans="1:68" ht="14.25" hidden="1" customHeight="1" x14ac:dyDescent="0.25">
      <c r="A87" s="303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5"/>
      <c r="R88" s="295"/>
      <c r="S88" s="295"/>
      <c r="T88" s="296"/>
      <c r="U88" s="35"/>
      <c r="V88" s="35"/>
      <c r="W88" s="36" t="s">
        <v>68</v>
      </c>
      <c r="X88" s="278">
        <v>28</v>
      </c>
      <c r="Y88" s="279">
        <f>IFERROR(IF(X88="","",X88),"")</f>
        <v>28</v>
      </c>
      <c r="Z88" s="37">
        <f>IFERROR(IF(X88="","",X88*0.01788),"")</f>
        <v>0.50063999999999997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5"/>
      <c r="R89" s="295"/>
      <c r="S89" s="295"/>
      <c r="T89" s="296"/>
      <c r="U89" s="35"/>
      <c r="V89" s="35"/>
      <c r="W89" s="36" t="s">
        <v>68</v>
      </c>
      <c r="X89" s="278">
        <v>56</v>
      </c>
      <c r="Y89" s="279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6" t="s">
        <v>87</v>
      </c>
      <c r="Q90" s="287"/>
      <c r="R90" s="287"/>
      <c r="S90" s="287"/>
      <c r="T90" s="287"/>
      <c r="U90" s="287"/>
      <c r="V90" s="288"/>
      <c r="W90" s="38" t="s">
        <v>68</v>
      </c>
      <c r="X90" s="280">
        <f>IFERROR(SUM(X88:X89),"0")</f>
        <v>84</v>
      </c>
      <c r="Y90" s="280">
        <f>IFERROR(SUM(Y88:Y89),"0")</f>
        <v>84</v>
      </c>
      <c r="Z90" s="280">
        <f>IFERROR(IF(Z88="",0,Z88),"0")+IFERROR(IF(Z89="",0,Z89),"0")</f>
        <v>1.5019199999999999</v>
      </c>
      <c r="AA90" s="281"/>
      <c r="AB90" s="281"/>
      <c r="AC90" s="281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6" t="s">
        <v>87</v>
      </c>
      <c r="Q91" s="287"/>
      <c r="R91" s="287"/>
      <c r="S91" s="287"/>
      <c r="T91" s="287"/>
      <c r="U91" s="287"/>
      <c r="V91" s="288"/>
      <c r="W91" s="38" t="s">
        <v>88</v>
      </c>
      <c r="X91" s="280">
        <f>IFERROR(SUMPRODUCT(X88:X89*H88:H89),"0")</f>
        <v>302.39999999999998</v>
      </c>
      <c r="Y91" s="280">
        <f>IFERROR(SUMPRODUCT(Y88:Y89*H88:H89),"0")</f>
        <v>302.39999999999998</v>
      </c>
      <c r="Z91" s="38"/>
      <c r="AA91" s="281"/>
      <c r="AB91" s="281"/>
      <c r="AC91" s="281"/>
    </row>
    <row r="92" spans="1:68" ht="16.5" hidden="1" customHeight="1" x14ac:dyDescent="0.25">
      <c r="A92" s="308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3"/>
      <c r="AB92" s="273"/>
      <c r="AC92" s="273"/>
    </row>
    <row r="93" spans="1:68" ht="14.25" hidden="1" customHeight="1" x14ac:dyDescent="0.25">
      <c r="A93" s="303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5"/>
      <c r="R94" s="295"/>
      <c r="S94" s="295"/>
      <c r="T94" s="296"/>
      <c r="U94" s="35"/>
      <c r="V94" s="35"/>
      <c r="W94" s="36" t="s">
        <v>68</v>
      </c>
      <c r="X94" s="278">
        <v>56</v>
      </c>
      <c r="Y94" s="279">
        <f t="shared" ref="Y94:Y99" si="6">IFERROR(IF(X94="","",X94),"")</f>
        <v>56</v>
      </c>
      <c r="Z94" s="37">
        <f t="shared" ref="Z94:Z99" si="7">IFERROR(IF(X94="","",X94*0.01788),"")</f>
        <v>1.0012799999999999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200.6816</v>
      </c>
      <c r="BN94" s="67">
        <f t="shared" ref="BN94:BN99" si="9">IFERROR(Y94*I94,"0")</f>
        <v>200.6816</v>
      </c>
      <c r="BO94" s="67">
        <f t="shared" ref="BO94:BO99" si="10">IFERROR(X94/J94,"0")</f>
        <v>0.8</v>
      </c>
      <c r="BP94" s="67">
        <f t="shared" ref="BP94:BP99" si="11">IFERROR(Y94/J94,"0")</f>
        <v>0.8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2">
        <v>4620207491621</v>
      </c>
      <c r="E95" s="293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5"/>
      <c r="R95" s="295"/>
      <c r="S95" s="295"/>
      <c r="T95" s="296"/>
      <c r="U95" s="35"/>
      <c r="V95" s="35"/>
      <c r="W95" s="36" t="s">
        <v>68</v>
      </c>
      <c r="X95" s="278">
        <v>28</v>
      </c>
      <c r="Y95" s="279">
        <f t="shared" si="6"/>
        <v>28</v>
      </c>
      <c r="Z95" s="37">
        <f t="shared" si="7"/>
        <v>0.50063999999999997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100.3408</v>
      </c>
      <c r="BN95" s="67">
        <f t="shared" si="9"/>
        <v>100.3408</v>
      </c>
      <c r="BO95" s="67">
        <f t="shared" si="10"/>
        <v>0.4</v>
      </c>
      <c r="BP95" s="67">
        <f t="shared" si="11"/>
        <v>0.4</v>
      </c>
    </row>
    <row r="96" spans="1:68" ht="27" customHeight="1" x14ac:dyDescent="0.25">
      <c r="A96" s="54" t="s">
        <v>168</v>
      </c>
      <c r="B96" s="54" t="s">
        <v>169</v>
      </c>
      <c r="C96" s="32">
        <v>4301135768</v>
      </c>
      <c r="D96" s="292">
        <v>4620207491034</v>
      </c>
      <c r="E96" s="293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5"/>
      <c r="R96" s="295"/>
      <c r="S96" s="295"/>
      <c r="T96" s="296"/>
      <c r="U96" s="35"/>
      <c r="V96" s="35"/>
      <c r="W96" s="36" t="s">
        <v>68</v>
      </c>
      <c r="X96" s="278">
        <v>42</v>
      </c>
      <c r="Y96" s="279">
        <f t="shared" si="6"/>
        <v>42</v>
      </c>
      <c r="Z96" s="37">
        <f t="shared" si="7"/>
        <v>0.75095999999999996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150.5112</v>
      </c>
      <c r="BN96" s="67">
        <f t="shared" si="9"/>
        <v>150.5112</v>
      </c>
      <c r="BO96" s="67">
        <f t="shared" si="10"/>
        <v>0.6</v>
      </c>
      <c r="BP96" s="67">
        <f t="shared" si="11"/>
        <v>0.6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2">
        <v>4620207491010</v>
      </c>
      <c r="E97" s="293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5"/>
      <c r="R97" s="295"/>
      <c r="S97" s="295"/>
      <c r="T97" s="296"/>
      <c r="U97" s="35"/>
      <c r="V97" s="35"/>
      <c r="W97" s="36" t="s">
        <v>68</v>
      </c>
      <c r="X97" s="278">
        <v>98</v>
      </c>
      <c r="Y97" s="279">
        <f t="shared" si="6"/>
        <v>98</v>
      </c>
      <c r="Z97" s="37">
        <f t="shared" si="7"/>
        <v>1.75224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351.19280000000003</v>
      </c>
      <c r="BN97" s="67">
        <f t="shared" si="9"/>
        <v>351.19280000000003</v>
      </c>
      <c r="BO97" s="67">
        <f t="shared" si="10"/>
        <v>1.4</v>
      </c>
      <c r="BP97" s="67">
        <f t="shared" si="11"/>
        <v>1.4</v>
      </c>
    </row>
    <row r="98" spans="1:68" ht="27" customHeight="1" x14ac:dyDescent="0.25">
      <c r="A98" s="54" t="s">
        <v>173</v>
      </c>
      <c r="B98" s="54" t="s">
        <v>174</v>
      </c>
      <c r="C98" s="32">
        <v>4301135571</v>
      </c>
      <c r="D98" s="292">
        <v>4607111035028</v>
      </c>
      <c r="E98" s="293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6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5"/>
      <c r="R98" s="295"/>
      <c r="S98" s="295"/>
      <c r="T98" s="296"/>
      <c r="U98" s="35"/>
      <c r="V98" s="35"/>
      <c r="W98" s="36" t="s">
        <v>68</v>
      </c>
      <c r="X98" s="278">
        <v>14</v>
      </c>
      <c r="Y98" s="279">
        <f t="shared" si="6"/>
        <v>14</v>
      </c>
      <c r="Z98" s="37">
        <f t="shared" si="7"/>
        <v>0.25031999999999999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62.283200000000008</v>
      </c>
      <c r="BN98" s="67">
        <f t="shared" si="9"/>
        <v>62.283200000000008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175</v>
      </c>
      <c r="B99" s="54" t="s">
        <v>176</v>
      </c>
      <c r="C99" s="32">
        <v>4301135285</v>
      </c>
      <c r="D99" s="292">
        <v>4607111036407</v>
      </c>
      <c r="E99" s="293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5"/>
      <c r="R99" s="295"/>
      <c r="S99" s="295"/>
      <c r="T99" s="296"/>
      <c r="U99" s="35"/>
      <c r="V99" s="35"/>
      <c r="W99" s="36" t="s">
        <v>68</v>
      </c>
      <c r="X99" s="278">
        <v>42</v>
      </c>
      <c r="Y99" s="279">
        <f t="shared" si="6"/>
        <v>42</v>
      </c>
      <c r="Z99" s="37">
        <f t="shared" si="7"/>
        <v>0.75095999999999996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190.22640000000001</v>
      </c>
      <c r="BN99" s="67">
        <f t="shared" si="9"/>
        <v>190.22640000000001</v>
      </c>
      <c r="BO99" s="67">
        <f t="shared" si="10"/>
        <v>0.6</v>
      </c>
      <c r="BP99" s="67">
        <f t="shared" si="11"/>
        <v>0.6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6" t="s">
        <v>87</v>
      </c>
      <c r="Q100" s="287"/>
      <c r="R100" s="287"/>
      <c r="S100" s="287"/>
      <c r="T100" s="287"/>
      <c r="U100" s="287"/>
      <c r="V100" s="288"/>
      <c r="W100" s="38" t="s">
        <v>68</v>
      </c>
      <c r="X100" s="280">
        <f>IFERROR(SUM(X94:X99),"0")</f>
        <v>280</v>
      </c>
      <c r="Y100" s="280">
        <f>IFERROR(SUM(Y94:Y99),"0")</f>
        <v>280</v>
      </c>
      <c r="Z100" s="280">
        <f>IFERROR(IF(Z94="",0,Z94),"0")+IFERROR(IF(Z95="",0,Z95),"0")+IFERROR(IF(Z96="",0,Z96),"0")+IFERROR(IF(Z97="",0,Z97),"0")+IFERROR(IF(Z98="",0,Z98),"0")+IFERROR(IF(Z99="",0,Z99),"0")</f>
        <v>5.0064000000000002</v>
      </c>
      <c r="AA100" s="281"/>
      <c r="AB100" s="281"/>
      <c r="AC100" s="281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6" t="s">
        <v>87</v>
      </c>
      <c r="Q101" s="287"/>
      <c r="R101" s="287"/>
      <c r="S101" s="287"/>
      <c r="T101" s="287"/>
      <c r="U101" s="287"/>
      <c r="V101" s="288"/>
      <c r="W101" s="38" t="s">
        <v>88</v>
      </c>
      <c r="X101" s="280">
        <f>IFERROR(SUMPRODUCT(X94:X99*H94:H99),"0")</f>
        <v>875.28</v>
      </c>
      <c r="Y101" s="280">
        <f>IFERROR(SUMPRODUCT(Y94:Y99*H94:H99),"0")</f>
        <v>875.28</v>
      </c>
      <c r="Z101" s="38"/>
      <c r="AA101" s="281"/>
      <c r="AB101" s="281"/>
      <c r="AC101" s="281"/>
    </row>
    <row r="102" spans="1:68" ht="16.5" hidden="1" customHeight="1" x14ac:dyDescent="0.25">
      <c r="A102" s="308" t="s">
        <v>178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3"/>
      <c r="AB102" s="273"/>
      <c r="AC102" s="273"/>
    </row>
    <row r="103" spans="1:68" ht="14.25" hidden="1" customHeight="1" x14ac:dyDescent="0.25">
      <c r="A103" s="303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4"/>
      <c r="AB103" s="274"/>
      <c r="AC103" s="274"/>
    </row>
    <row r="104" spans="1:68" ht="27" customHeight="1" x14ac:dyDescent="0.25">
      <c r="A104" s="54" t="s">
        <v>179</v>
      </c>
      <c r="B104" s="54" t="s">
        <v>180</v>
      </c>
      <c r="C104" s="32">
        <v>4301136070</v>
      </c>
      <c r="D104" s="292">
        <v>4607025784012</v>
      </c>
      <c r="E104" s="293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5"/>
      <c r="R104" s="295"/>
      <c r="S104" s="295"/>
      <c r="T104" s="296"/>
      <c r="U104" s="35"/>
      <c r="V104" s="35"/>
      <c r="W104" s="36" t="s">
        <v>68</v>
      </c>
      <c r="X104" s="278">
        <v>14</v>
      </c>
      <c r="Y104" s="279">
        <f>IFERROR(IF(X104="","",X104),"")</f>
        <v>14</v>
      </c>
      <c r="Z104" s="37">
        <f>IFERROR(IF(X104="","",X104*0.00936),"")</f>
        <v>0.13103999999999999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hidden="1" customHeight="1" x14ac:dyDescent="0.25">
      <c r="A105" s="54" t="s">
        <v>182</v>
      </c>
      <c r="B105" s="54" t="s">
        <v>183</v>
      </c>
      <c r="C105" s="32">
        <v>4301136103</v>
      </c>
      <c r="D105" s="292">
        <v>4620207491645</v>
      </c>
      <c r="E105" s="293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3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5"/>
      <c r="R105" s="295"/>
      <c r="S105" s="295"/>
      <c r="T105" s="296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6" t="s">
        <v>87</v>
      </c>
      <c r="Q106" s="287"/>
      <c r="R106" s="287"/>
      <c r="S106" s="287"/>
      <c r="T106" s="287"/>
      <c r="U106" s="287"/>
      <c r="V106" s="288"/>
      <c r="W106" s="38" t="s">
        <v>68</v>
      </c>
      <c r="X106" s="280">
        <f>IFERROR(SUM(X104:X105),"0")</f>
        <v>14</v>
      </c>
      <c r="Y106" s="280">
        <f>IFERROR(SUM(Y104:Y105),"0")</f>
        <v>14</v>
      </c>
      <c r="Z106" s="280">
        <f>IFERROR(IF(Z104="",0,Z104),"0")+IFERROR(IF(Z105="",0,Z105),"0")</f>
        <v>0.13103999999999999</v>
      </c>
      <c r="AA106" s="281"/>
      <c r="AB106" s="281"/>
      <c r="AC106" s="281"/>
    </row>
    <row r="107" spans="1:68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6" t="s">
        <v>87</v>
      </c>
      <c r="Q107" s="287"/>
      <c r="R107" s="287"/>
      <c r="S107" s="287"/>
      <c r="T107" s="287"/>
      <c r="U107" s="287"/>
      <c r="V107" s="288"/>
      <c r="W107" s="38" t="s">
        <v>88</v>
      </c>
      <c r="X107" s="280">
        <f>IFERROR(SUMPRODUCT(X104:X105*H104:H105),"0")</f>
        <v>30.240000000000002</v>
      </c>
      <c r="Y107" s="280">
        <f>IFERROR(SUMPRODUCT(Y104:Y105*H104:H105),"0")</f>
        <v>30.240000000000002</v>
      </c>
      <c r="Z107" s="38"/>
      <c r="AA107" s="281"/>
      <c r="AB107" s="281"/>
      <c r="AC107" s="281"/>
    </row>
    <row r="108" spans="1:68" ht="16.5" hidden="1" customHeight="1" x14ac:dyDescent="0.25">
      <c r="A108" s="308" t="s">
        <v>185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3"/>
      <c r="AB108" s="273"/>
      <c r="AC108" s="273"/>
    </row>
    <row r="109" spans="1:68" ht="14.25" hidden="1" customHeight="1" x14ac:dyDescent="0.25">
      <c r="A109" s="303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4"/>
      <c r="AB109" s="274"/>
      <c r="AC109" s="274"/>
    </row>
    <row r="110" spans="1:68" ht="27" hidden="1" customHeight="1" x14ac:dyDescent="0.25">
      <c r="A110" s="54" t="s">
        <v>186</v>
      </c>
      <c r="B110" s="54" t="s">
        <v>187</v>
      </c>
      <c r="C110" s="32">
        <v>4301071074</v>
      </c>
      <c r="D110" s="292">
        <v>4620207491157</v>
      </c>
      <c r="E110" s="293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5"/>
      <c r="R110" s="295"/>
      <c r="S110" s="295"/>
      <c r="T110" s="296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hidden="1" customHeight="1" x14ac:dyDescent="0.25">
      <c r="A111" s="54" t="s">
        <v>189</v>
      </c>
      <c r="B111" s="54" t="s">
        <v>190</v>
      </c>
      <c r="C111" s="32">
        <v>4301071121</v>
      </c>
      <c r="D111" s="292">
        <v>4620207491393</v>
      </c>
      <c r="E111" s="293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1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5"/>
      <c r="R111" s="295"/>
      <c r="S111" s="295"/>
      <c r="T111" s="296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192</v>
      </c>
      <c r="B112" s="54" t="s">
        <v>193</v>
      </c>
      <c r="C112" s="32">
        <v>4301071136</v>
      </c>
      <c r="D112" s="292">
        <v>4620207491829</v>
      </c>
      <c r="E112" s="293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1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5"/>
      <c r="R112" s="295"/>
      <c r="S112" s="295"/>
      <c r="T112" s="296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194</v>
      </c>
      <c r="B113" s="54" t="s">
        <v>195</v>
      </c>
      <c r="C113" s="32">
        <v>4301071051</v>
      </c>
      <c r="D113" s="292">
        <v>4607111039262</v>
      </c>
      <c r="E113" s="293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5"/>
      <c r="R113" s="295"/>
      <c r="S113" s="295"/>
      <c r="T113" s="296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2">
        <v>4607111039248</v>
      </c>
      <c r="E114" s="293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5"/>
      <c r="R114" s="295"/>
      <c r="S114" s="295"/>
      <c r="T114" s="296"/>
      <c r="U114" s="35"/>
      <c r="V114" s="35"/>
      <c r="W114" s="36" t="s">
        <v>68</v>
      </c>
      <c r="X114" s="278">
        <v>120</v>
      </c>
      <c r="Y114" s="279">
        <f t="shared" si="12"/>
        <v>120</v>
      </c>
      <c r="Z114" s="37">
        <f t="shared" si="13"/>
        <v>1.8599999999999999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876</v>
      </c>
      <c r="BN114" s="67">
        <f t="shared" si="15"/>
        <v>876</v>
      </c>
      <c r="BO114" s="67">
        <f t="shared" si="16"/>
        <v>1.4285714285714286</v>
      </c>
      <c r="BP114" s="67">
        <f t="shared" si="17"/>
        <v>1.4285714285714286</v>
      </c>
    </row>
    <row r="115" spans="1:68" ht="27" hidden="1" customHeight="1" x14ac:dyDescent="0.25">
      <c r="A115" s="54" t="s">
        <v>198</v>
      </c>
      <c r="B115" s="54" t="s">
        <v>199</v>
      </c>
      <c r="C115" s="32">
        <v>4301070979</v>
      </c>
      <c r="D115" s="292">
        <v>4607111037145</v>
      </c>
      <c r="E115" s="293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5"/>
      <c r="R115" s="295"/>
      <c r="S115" s="295"/>
      <c r="T115" s="296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201</v>
      </c>
      <c r="B116" s="54" t="s">
        <v>202</v>
      </c>
      <c r="C116" s="32">
        <v>4301071049</v>
      </c>
      <c r="D116" s="292">
        <v>4607111039293</v>
      </c>
      <c r="E116" s="293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5"/>
      <c r="R116" s="295"/>
      <c r="S116" s="295"/>
      <c r="T116" s="296"/>
      <c r="U116" s="35"/>
      <c r="V116" s="35"/>
      <c r="W116" s="36" t="s">
        <v>68</v>
      </c>
      <c r="X116" s="278">
        <v>84</v>
      </c>
      <c r="Y116" s="279">
        <f t="shared" si="12"/>
        <v>84</v>
      </c>
      <c r="Z116" s="37">
        <f t="shared" si="13"/>
        <v>1.302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564.44640000000004</v>
      </c>
      <c r="BN116" s="67">
        <f t="shared" si="15"/>
        <v>564.44640000000004</v>
      </c>
      <c r="BO116" s="67">
        <f t="shared" si="16"/>
        <v>1</v>
      </c>
      <c r="BP116" s="67">
        <f t="shared" si="17"/>
        <v>1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2">
        <v>4607111039279</v>
      </c>
      <c r="E117" s="293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5"/>
      <c r="R117" s="295"/>
      <c r="S117" s="295"/>
      <c r="T117" s="296"/>
      <c r="U117" s="35"/>
      <c r="V117" s="35"/>
      <c r="W117" s="36" t="s">
        <v>68</v>
      </c>
      <c r="X117" s="278">
        <v>132</v>
      </c>
      <c r="Y117" s="279">
        <f t="shared" si="12"/>
        <v>132</v>
      </c>
      <c r="Z117" s="37">
        <f t="shared" si="13"/>
        <v>2.0459999999999998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963.6</v>
      </c>
      <c r="BN117" s="67">
        <f t="shared" si="15"/>
        <v>963.6</v>
      </c>
      <c r="BO117" s="67">
        <f t="shared" si="16"/>
        <v>1.5714285714285714</v>
      </c>
      <c r="BP117" s="67">
        <f t="shared" si="17"/>
        <v>1.5714285714285714</v>
      </c>
    </row>
    <row r="118" spans="1:68" x14ac:dyDescent="0.2">
      <c r="A118" s="289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6" t="s">
        <v>87</v>
      </c>
      <c r="Q118" s="287"/>
      <c r="R118" s="287"/>
      <c r="S118" s="287"/>
      <c r="T118" s="287"/>
      <c r="U118" s="287"/>
      <c r="V118" s="288"/>
      <c r="W118" s="38" t="s">
        <v>68</v>
      </c>
      <c r="X118" s="280">
        <f>IFERROR(SUM(X110:X117),"0")</f>
        <v>336</v>
      </c>
      <c r="Y118" s="280">
        <f>IFERROR(SUM(Y110:Y117),"0")</f>
        <v>336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5.2080000000000002</v>
      </c>
      <c r="AA118" s="281"/>
      <c r="AB118" s="281"/>
      <c r="AC118" s="281"/>
    </row>
    <row r="119" spans="1:68" x14ac:dyDescent="0.2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1"/>
      <c r="P119" s="286" t="s">
        <v>87</v>
      </c>
      <c r="Q119" s="287"/>
      <c r="R119" s="287"/>
      <c r="S119" s="287"/>
      <c r="T119" s="287"/>
      <c r="U119" s="287"/>
      <c r="V119" s="288"/>
      <c r="W119" s="38" t="s">
        <v>88</v>
      </c>
      <c r="X119" s="280">
        <f>IFERROR(SUMPRODUCT(X110:X117*H110:H117),"0")</f>
        <v>2301.6</v>
      </c>
      <c r="Y119" s="280">
        <f>IFERROR(SUMPRODUCT(Y110:Y117*H110:H117),"0")</f>
        <v>2301.6</v>
      </c>
      <c r="Z119" s="38"/>
      <c r="AA119" s="281"/>
      <c r="AB119" s="281"/>
      <c r="AC119" s="281"/>
    </row>
    <row r="120" spans="1:68" ht="14.25" hidden="1" customHeight="1" x14ac:dyDescent="0.25">
      <c r="A120" s="303" t="s">
        <v>135</v>
      </c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290"/>
      <c r="W120" s="290"/>
      <c r="X120" s="290"/>
      <c r="Y120" s="290"/>
      <c r="Z120" s="290"/>
      <c r="AA120" s="274"/>
      <c r="AB120" s="274"/>
      <c r="AC120" s="274"/>
    </row>
    <row r="121" spans="1:68" ht="27" hidden="1" customHeight="1" x14ac:dyDescent="0.25">
      <c r="A121" s="54" t="s">
        <v>205</v>
      </c>
      <c r="B121" s="54" t="s">
        <v>206</v>
      </c>
      <c r="C121" s="32">
        <v>4301135826</v>
      </c>
      <c r="D121" s="292">
        <v>4620207490983</v>
      </c>
      <c r="E121" s="293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5"/>
      <c r="R121" s="295"/>
      <c r="S121" s="295"/>
      <c r="T121" s="296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89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6" t="s">
        <v>87</v>
      </c>
      <c r="Q122" s="287"/>
      <c r="R122" s="287"/>
      <c r="S122" s="287"/>
      <c r="T122" s="287"/>
      <c r="U122" s="287"/>
      <c r="V122" s="288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1"/>
      <c r="P123" s="286" t="s">
        <v>87</v>
      </c>
      <c r="Q123" s="287"/>
      <c r="R123" s="287"/>
      <c r="S123" s="287"/>
      <c r="T123" s="287"/>
      <c r="U123" s="287"/>
      <c r="V123" s="288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3" t="s">
        <v>208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74"/>
      <c r="AB124" s="274"/>
      <c r="AC124" s="274"/>
    </row>
    <row r="125" spans="1:68" ht="27" hidden="1" customHeight="1" x14ac:dyDescent="0.25">
      <c r="A125" s="54" t="s">
        <v>209</v>
      </c>
      <c r="B125" s="54" t="s">
        <v>210</v>
      </c>
      <c r="C125" s="32">
        <v>4301071094</v>
      </c>
      <c r="D125" s="292">
        <v>4620207491140</v>
      </c>
      <c r="E125" s="293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5"/>
      <c r="R125" s="295"/>
      <c r="S125" s="295"/>
      <c r="T125" s="296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9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6" t="s">
        <v>87</v>
      </c>
      <c r="Q126" s="287"/>
      <c r="R126" s="287"/>
      <c r="S126" s="287"/>
      <c r="T126" s="287"/>
      <c r="U126" s="287"/>
      <c r="V126" s="288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1"/>
      <c r="P127" s="286" t="s">
        <v>87</v>
      </c>
      <c r="Q127" s="287"/>
      <c r="R127" s="287"/>
      <c r="S127" s="287"/>
      <c r="T127" s="287"/>
      <c r="U127" s="287"/>
      <c r="V127" s="288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08" t="s">
        <v>212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3"/>
      <c r="AB128" s="273"/>
      <c r="AC128" s="273"/>
    </row>
    <row r="129" spans="1:68" ht="14.25" hidden="1" customHeight="1" x14ac:dyDescent="0.25">
      <c r="A129" s="303" t="s">
        <v>135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74"/>
      <c r="AB129" s="274"/>
      <c r="AC129" s="274"/>
    </row>
    <row r="130" spans="1:68" ht="27" hidden="1" customHeight="1" x14ac:dyDescent="0.25">
      <c r="A130" s="54" t="s">
        <v>213</v>
      </c>
      <c r="B130" s="54" t="s">
        <v>214</v>
      </c>
      <c r="C130" s="32">
        <v>4301135848</v>
      </c>
      <c r="D130" s="292">
        <v>4620207491799</v>
      </c>
      <c r="E130" s="293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5"/>
      <c r="R130" s="295"/>
      <c r="S130" s="295"/>
      <c r="T130" s="296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216</v>
      </c>
      <c r="B131" s="54" t="s">
        <v>217</v>
      </c>
      <c r="C131" s="32">
        <v>4301135850</v>
      </c>
      <c r="D131" s="292">
        <v>4620207491492</v>
      </c>
      <c r="E131" s="293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5"/>
      <c r="R131" s="295"/>
      <c r="S131" s="295"/>
      <c r="T131" s="296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218</v>
      </c>
      <c r="B132" s="54" t="s">
        <v>219</v>
      </c>
      <c r="C132" s="32">
        <v>4301190118</v>
      </c>
      <c r="D132" s="292">
        <v>4620207491461</v>
      </c>
      <c r="E132" s="293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5"/>
      <c r="R132" s="295"/>
      <c r="S132" s="295"/>
      <c r="T132" s="296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220</v>
      </c>
      <c r="B133" s="54" t="s">
        <v>221</v>
      </c>
      <c r="C133" s="32">
        <v>4301135865</v>
      </c>
      <c r="D133" s="292">
        <v>4620207491485</v>
      </c>
      <c r="E133" s="293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5"/>
      <c r="R133" s="295"/>
      <c r="S133" s="295"/>
      <c r="T133" s="296"/>
      <c r="U133" s="35"/>
      <c r="V133" s="35"/>
      <c r="W133" s="36" t="s">
        <v>68</v>
      </c>
      <c r="X133" s="278">
        <v>14</v>
      </c>
      <c r="Y133" s="279">
        <f>IFERROR(IF(X133="","",X133),"")</f>
        <v>14</v>
      </c>
      <c r="Z133" s="37">
        <f>IFERROR(IF(X133="","",X133*0.00941),"")</f>
        <v>0.13174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25.2</v>
      </c>
      <c r="BN133" s="67">
        <f>IFERROR(Y133*I133,"0")</f>
        <v>25.2</v>
      </c>
      <c r="BO133" s="67">
        <f>IFERROR(X133/J133,"0")</f>
        <v>0.1</v>
      </c>
      <c r="BP133" s="67">
        <f>IFERROR(Y133/J133,"0")</f>
        <v>0.1</v>
      </c>
    </row>
    <row r="134" spans="1:68" x14ac:dyDescent="0.2">
      <c r="A134" s="289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6" t="s">
        <v>87</v>
      </c>
      <c r="Q134" s="287"/>
      <c r="R134" s="287"/>
      <c r="S134" s="287"/>
      <c r="T134" s="287"/>
      <c r="U134" s="287"/>
      <c r="V134" s="288"/>
      <c r="W134" s="38" t="s">
        <v>68</v>
      </c>
      <c r="X134" s="280">
        <f>IFERROR(SUM(X130:X133),"0")</f>
        <v>14</v>
      </c>
      <c r="Y134" s="280">
        <f>IFERROR(SUM(Y130:Y133),"0")</f>
        <v>14</v>
      </c>
      <c r="Z134" s="280">
        <f>IFERROR(IF(Z130="",0,Z130),"0")+IFERROR(IF(Z131="",0,Z131),"0")+IFERROR(IF(Z132="",0,Z132),"0")+IFERROR(IF(Z133="",0,Z133),"0")</f>
        <v>0.13174</v>
      </c>
      <c r="AA134" s="281"/>
      <c r="AB134" s="281"/>
      <c r="AC134" s="281"/>
    </row>
    <row r="135" spans="1:68" x14ac:dyDescent="0.2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86" t="s">
        <v>87</v>
      </c>
      <c r="Q135" s="287"/>
      <c r="R135" s="287"/>
      <c r="S135" s="287"/>
      <c r="T135" s="287"/>
      <c r="U135" s="287"/>
      <c r="V135" s="288"/>
      <c r="W135" s="38" t="s">
        <v>88</v>
      </c>
      <c r="X135" s="280">
        <f>IFERROR(SUMPRODUCT(X130:X133*H130:H133),"0")</f>
        <v>19.32</v>
      </c>
      <c r="Y135" s="280">
        <f>IFERROR(SUMPRODUCT(Y130:Y133*H130:H133),"0")</f>
        <v>19.32</v>
      </c>
      <c r="Z135" s="38"/>
      <c r="AA135" s="281"/>
      <c r="AB135" s="281"/>
      <c r="AC135" s="281"/>
    </row>
    <row r="136" spans="1:68" ht="14.25" hidden="1" customHeight="1" x14ac:dyDescent="0.25">
      <c r="A136" s="303" t="s">
        <v>222</v>
      </c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  <c r="AA136" s="274"/>
      <c r="AB136" s="274"/>
      <c r="AC136" s="274"/>
    </row>
    <row r="137" spans="1:68" ht="27" hidden="1" customHeight="1" x14ac:dyDescent="0.25">
      <c r="A137" s="54" t="s">
        <v>223</v>
      </c>
      <c r="B137" s="54" t="s">
        <v>224</v>
      </c>
      <c r="C137" s="32">
        <v>4301190117</v>
      </c>
      <c r="D137" s="292">
        <v>4620207491386</v>
      </c>
      <c r="E137" s="293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5"/>
      <c r="R137" s="295"/>
      <c r="S137" s="295"/>
      <c r="T137" s="296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226</v>
      </c>
      <c r="B138" s="54" t="s">
        <v>227</v>
      </c>
      <c r="C138" s="32">
        <v>4301190115</v>
      </c>
      <c r="D138" s="292">
        <v>4620207491362</v>
      </c>
      <c r="E138" s="293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5"/>
      <c r="R138" s="295"/>
      <c r="S138" s="295"/>
      <c r="T138" s="296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228</v>
      </c>
      <c r="B139" s="54" t="s">
        <v>229</v>
      </c>
      <c r="C139" s="32">
        <v>4301190116</v>
      </c>
      <c r="D139" s="292">
        <v>4620207491379</v>
      </c>
      <c r="E139" s="293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5"/>
      <c r="R139" s="295"/>
      <c r="S139" s="295"/>
      <c r="T139" s="296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9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6" t="s">
        <v>87</v>
      </c>
      <c r="Q140" s="287"/>
      <c r="R140" s="287"/>
      <c r="S140" s="287"/>
      <c r="T140" s="287"/>
      <c r="U140" s="287"/>
      <c r="V140" s="288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1"/>
      <c r="P141" s="286" t="s">
        <v>87</v>
      </c>
      <c r="Q141" s="287"/>
      <c r="R141" s="287"/>
      <c r="S141" s="287"/>
      <c r="T141" s="287"/>
      <c r="U141" s="287"/>
      <c r="V141" s="288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08" t="s">
        <v>230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3"/>
      <c r="AB142" s="273"/>
      <c r="AC142" s="273"/>
    </row>
    <row r="143" spans="1:68" ht="14.25" hidden="1" customHeight="1" x14ac:dyDescent="0.25">
      <c r="A143" s="303" t="s">
        <v>135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2">
        <v>4607111034014</v>
      </c>
      <c r="E144" s="293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5"/>
      <c r="R144" s="295"/>
      <c r="S144" s="295"/>
      <c r="T144" s="296"/>
      <c r="U144" s="35"/>
      <c r="V144" s="35"/>
      <c r="W144" s="36" t="s">
        <v>68</v>
      </c>
      <c r="X144" s="278">
        <v>56</v>
      </c>
      <c r="Y144" s="279">
        <f>IFERROR(IF(X144="","",X144),"")</f>
        <v>56</v>
      </c>
      <c r="Z144" s="37">
        <f>IFERROR(IF(X144="","",X144*0.01788),"")</f>
        <v>1.0012799999999999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207.40159999999997</v>
      </c>
      <c r="BN144" s="67">
        <f>IFERROR(Y144*I144,"0")</f>
        <v>207.40159999999997</v>
      </c>
      <c r="BO144" s="67">
        <f>IFERROR(X144/J144,"0")</f>
        <v>0.8</v>
      </c>
      <c r="BP144" s="67">
        <f>IFERROR(Y144/J144,"0")</f>
        <v>0.8</v>
      </c>
    </row>
    <row r="145" spans="1:68" ht="27" customHeight="1" x14ac:dyDescent="0.25">
      <c r="A145" s="54" t="s">
        <v>234</v>
      </c>
      <c r="B145" s="54" t="s">
        <v>235</v>
      </c>
      <c r="C145" s="32">
        <v>4301135532</v>
      </c>
      <c r="D145" s="292">
        <v>4607111033994</v>
      </c>
      <c r="E145" s="293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5"/>
      <c r="R145" s="295"/>
      <c r="S145" s="295"/>
      <c r="T145" s="296"/>
      <c r="U145" s="35"/>
      <c r="V145" s="35"/>
      <c r="W145" s="36" t="s">
        <v>68</v>
      </c>
      <c r="X145" s="278">
        <v>112</v>
      </c>
      <c r="Y145" s="279">
        <f>IFERROR(IF(X145="","",X145),"")</f>
        <v>112</v>
      </c>
      <c r="Z145" s="37">
        <f>IFERROR(IF(X145="","",X145*0.01788),"")</f>
        <v>2.0025599999999999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414.80319999999995</v>
      </c>
      <c r="BN145" s="67">
        <f>IFERROR(Y145*I145,"0")</f>
        <v>414.80319999999995</v>
      </c>
      <c r="BO145" s="67">
        <f>IFERROR(X145/J145,"0")</f>
        <v>1.6</v>
      </c>
      <c r="BP145" s="67">
        <f>IFERROR(Y145/J145,"0")</f>
        <v>1.6</v>
      </c>
    </row>
    <row r="146" spans="1:68" x14ac:dyDescent="0.2">
      <c r="A146" s="289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6" t="s">
        <v>87</v>
      </c>
      <c r="Q146" s="287"/>
      <c r="R146" s="287"/>
      <c r="S146" s="287"/>
      <c r="T146" s="287"/>
      <c r="U146" s="287"/>
      <c r="V146" s="288"/>
      <c r="W146" s="38" t="s">
        <v>68</v>
      </c>
      <c r="X146" s="280">
        <f>IFERROR(SUM(X144:X145),"0")</f>
        <v>168</v>
      </c>
      <c r="Y146" s="280">
        <f>IFERROR(SUM(Y144:Y145),"0")</f>
        <v>168</v>
      </c>
      <c r="Z146" s="280">
        <f>IFERROR(IF(Z144="",0,Z144),"0")+IFERROR(IF(Z145="",0,Z145),"0")</f>
        <v>3.0038399999999998</v>
      </c>
      <c r="AA146" s="281"/>
      <c r="AB146" s="281"/>
      <c r="AC146" s="281"/>
    </row>
    <row r="147" spans="1:68" x14ac:dyDescent="0.2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1"/>
      <c r="P147" s="286" t="s">
        <v>87</v>
      </c>
      <c r="Q147" s="287"/>
      <c r="R147" s="287"/>
      <c r="S147" s="287"/>
      <c r="T147" s="287"/>
      <c r="U147" s="287"/>
      <c r="V147" s="288"/>
      <c r="W147" s="38" t="s">
        <v>88</v>
      </c>
      <c r="X147" s="280">
        <f>IFERROR(SUMPRODUCT(X144:X145*H144:H145),"0")</f>
        <v>504</v>
      </c>
      <c r="Y147" s="280">
        <f>IFERROR(SUMPRODUCT(Y144:Y145*H144:H145),"0")</f>
        <v>504</v>
      </c>
      <c r="Z147" s="38"/>
      <c r="AA147" s="281"/>
      <c r="AB147" s="281"/>
      <c r="AC147" s="281"/>
    </row>
    <row r="148" spans="1:68" ht="16.5" hidden="1" customHeight="1" x14ac:dyDescent="0.25">
      <c r="A148" s="308" t="s">
        <v>236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3"/>
      <c r="AB148" s="273"/>
      <c r="AC148" s="273"/>
    </row>
    <row r="149" spans="1:68" ht="14.25" hidden="1" customHeight="1" x14ac:dyDescent="0.25">
      <c r="A149" s="303" t="s">
        <v>135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4"/>
      <c r="AB149" s="274"/>
      <c r="AC149" s="274"/>
    </row>
    <row r="150" spans="1:68" ht="27" hidden="1" customHeight="1" x14ac:dyDescent="0.25">
      <c r="A150" s="54" t="s">
        <v>237</v>
      </c>
      <c r="B150" s="54" t="s">
        <v>238</v>
      </c>
      <c r="C150" s="32">
        <v>4301135824</v>
      </c>
      <c r="D150" s="292">
        <v>4607111039095</v>
      </c>
      <c r="E150" s="293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5"/>
      <c r="R150" s="295"/>
      <c r="S150" s="295"/>
      <c r="T150" s="296"/>
      <c r="U150" s="35"/>
      <c r="V150" s="35"/>
      <c r="W150" s="36" t="s">
        <v>68</v>
      </c>
      <c r="X150" s="278">
        <v>0</v>
      </c>
      <c r="Y150" s="279">
        <f>IFERROR(IF(X150="","",X150),"")</f>
        <v>0</v>
      </c>
      <c r="Z150" s="37">
        <f>IFERROR(IF(X150="","",X150*0.01788),"")</f>
        <v>0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2">
        <v>4620207491553</v>
      </c>
      <c r="E151" s="293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5"/>
      <c r="R151" s="295"/>
      <c r="S151" s="295"/>
      <c r="T151" s="296"/>
      <c r="U151" s="35"/>
      <c r="V151" s="35"/>
      <c r="W151" s="36" t="s">
        <v>68</v>
      </c>
      <c r="X151" s="278">
        <v>70</v>
      </c>
      <c r="Y151" s="279">
        <f>IFERROR(IF(X151="","",X151),"")</f>
        <v>70</v>
      </c>
      <c r="Z151" s="37">
        <f>IFERROR(IF(X151="","",X151*0.01788),"")</f>
        <v>1.2516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259.25200000000001</v>
      </c>
      <c r="BN151" s="67">
        <f>IFERROR(Y151*I151,"0")</f>
        <v>259.25200000000001</v>
      </c>
      <c r="BO151" s="67">
        <f>IFERROR(X151/J151,"0")</f>
        <v>1</v>
      </c>
      <c r="BP151" s="67">
        <f>IFERROR(Y151/J151,"0")</f>
        <v>1</v>
      </c>
    </row>
    <row r="152" spans="1:68" x14ac:dyDescent="0.2">
      <c r="A152" s="289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6" t="s">
        <v>87</v>
      </c>
      <c r="Q152" s="287"/>
      <c r="R152" s="287"/>
      <c r="S152" s="287"/>
      <c r="T152" s="287"/>
      <c r="U152" s="287"/>
      <c r="V152" s="288"/>
      <c r="W152" s="38" t="s">
        <v>68</v>
      </c>
      <c r="X152" s="280">
        <f>IFERROR(SUM(X150:X151),"0")</f>
        <v>70</v>
      </c>
      <c r="Y152" s="280">
        <f>IFERROR(SUM(Y150:Y151),"0")</f>
        <v>70</v>
      </c>
      <c r="Z152" s="280">
        <f>IFERROR(IF(Z150="",0,Z150),"0")+IFERROR(IF(Z151="",0,Z151),"0")</f>
        <v>1.2516</v>
      </c>
      <c r="AA152" s="281"/>
      <c r="AB152" s="281"/>
      <c r="AC152" s="281"/>
    </row>
    <row r="153" spans="1:68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6" t="s">
        <v>87</v>
      </c>
      <c r="Q153" s="287"/>
      <c r="R153" s="287"/>
      <c r="S153" s="287"/>
      <c r="T153" s="287"/>
      <c r="U153" s="287"/>
      <c r="V153" s="288"/>
      <c r="W153" s="38" t="s">
        <v>88</v>
      </c>
      <c r="X153" s="280">
        <f>IFERROR(SUMPRODUCT(X150:X151*H150:H151),"0")</f>
        <v>210</v>
      </c>
      <c r="Y153" s="280">
        <f>IFERROR(SUMPRODUCT(Y150:Y151*H150:H151),"0")</f>
        <v>210</v>
      </c>
      <c r="Z153" s="38"/>
      <c r="AA153" s="281"/>
      <c r="AB153" s="281"/>
      <c r="AC153" s="281"/>
    </row>
    <row r="154" spans="1:68" ht="16.5" hidden="1" customHeight="1" x14ac:dyDescent="0.25">
      <c r="A154" s="308" t="s">
        <v>243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3"/>
      <c r="AB154" s="273"/>
      <c r="AC154" s="273"/>
    </row>
    <row r="155" spans="1:68" ht="14.25" hidden="1" customHeight="1" x14ac:dyDescent="0.25">
      <c r="A155" s="303" t="s">
        <v>135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4"/>
      <c r="AB155" s="274"/>
      <c r="AC155" s="274"/>
    </row>
    <row r="156" spans="1:68" ht="27" customHeight="1" x14ac:dyDescent="0.25">
      <c r="A156" s="54" t="s">
        <v>244</v>
      </c>
      <c r="B156" s="54" t="s">
        <v>245</v>
      </c>
      <c r="C156" s="32">
        <v>4301135753</v>
      </c>
      <c r="D156" s="292">
        <v>4620207490914</v>
      </c>
      <c r="E156" s="293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5"/>
      <c r="R156" s="295"/>
      <c r="S156" s="295"/>
      <c r="T156" s="296"/>
      <c r="U156" s="35"/>
      <c r="V156" s="35"/>
      <c r="W156" s="36" t="s">
        <v>68</v>
      </c>
      <c r="X156" s="278">
        <v>28</v>
      </c>
      <c r="Y156" s="279">
        <f>IFERROR(IF(X156="","",X156),"")</f>
        <v>28</v>
      </c>
      <c r="Z156" s="37">
        <f>IFERROR(IF(X156="","",X156*0.01788),"")</f>
        <v>0.50063999999999997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75.040000000000006</v>
      </c>
      <c r="BN156" s="67">
        <f>IFERROR(Y156*I156,"0")</f>
        <v>75.040000000000006</v>
      </c>
      <c r="BO156" s="67">
        <f>IFERROR(X156/J156,"0")</f>
        <v>0.4</v>
      </c>
      <c r="BP156" s="67">
        <f>IFERROR(Y156/J156,"0")</f>
        <v>0.4</v>
      </c>
    </row>
    <row r="157" spans="1:68" ht="27" customHeight="1" x14ac:dyDescent="0.25">
      <c r="A157" s="54" t="s">
        <v>246</v>
      </c>
      <c r="B157" s="54" t="s">
        <v>247</v>
      </c>
      <c r="C157" s="32">
        <v>4301135778</v>
      </c>
      <c r="D157" s="292">
        <v>4620207490853</v>
      </c>
      <c r="E157" s="293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5"/>
      <c r="R157" s="295"/>
      <c r="S157" s="295"/>
      <c r="T157" s="296"/>
      <c r="U157" s="35"/>
      <c r="V157" s="35"/>
      <c r="W157" s="36" t="s">
        <v>68</v>
      </c>
      <c r="X157" s="278">
        <v>56</v>
      </c>
      <c r="Y157" s="279">
        <f>IFERROR(IF(X157="","",X157),"")</f>
        <v>56</v>
      </c>
      <c r="Z157" s="37">
        <f>IFERROR(IF(X157="","",X157*0.01788),"")</f>
        <v>1.0012799999999999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150.08000000000001</v>
      </c>
      <c r="BN157" s="67">
        <f>IFERROR(Y157*I157,"0")</f>
        <v>150.08000000000001</v>
      </c>
      <c r="BO157" s="67">
        <f>IFERROR(X157/J157,"0")</f>
        <v>0.8</v>
      </c>
      <c r="BP157" s="67">
        <f>IFERROR(Y157/J157,"0")</f>
        <v>0.8</v>
      </c>
    </row>
    <row r="158" spans="1:68" x14ac:dyDescent="0.2">
      <c r="A158" s="289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6" t="s">
        <v>87</v>
      </c>
      <c r="Q158" s="287"/>
      <c r="R158" s="287"/>
      <c r="S158" s="287"/>
      <c r="T158" s="287"/>
      <c r="U158" s="287"/>
      <c r="V158" s="288"/>
      <c r="W158" s="38" t="s">
        <v>68</v>
      </c>
      <c r="X158" s="280">
        <f>IFERROR(SUM(X156:X157),"0")</f>
        <v>84</v>
      </c>
      <c r="Y158" s="280">
        <f>IFERROR(SUM(Y156:Y157),"0")</f>
        <v>84</v>
      </c>
      <c r="Z158" s="280">
        <f>IFERROR(IF(Z156="",0,Z156),"0")+IFERROR(IF(Z157="",0,Z157),"0")</f>
        <v>1.5019199999999999</v>
      </c>
      <c r="AA158" s="281"/>
      <c r="AB158" s="281"/>
      <c r="AC158" s="281"/>
    </row>
    <row r="159" spans="1:68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1"/>
      <c r="P159" s="286" t="s">
        <v>87</v>
      </c>
      <c r="Q159" s="287"/>
      <c r="R159" s="287"/>
      <c r="S159" s="287"/>
      <c r="T159" s="287"/>
      <c r="U159" s="287"/>
      <c r="V159" s="288"/>
      <c r="W159" s="38" t="s">
        <v>88</v>
      </c>
      <c r="X159" s="280">
        <f>IFERROR(SUMPRODUCT(X156:X157*H156:H157),"0")</f>
        <v>201.60000000000002</v>
      </c>
      <c r="Y159" s="280">
        <f>IFERROR(SUMPRODUCT(Y156:Y157*H156:H157),"0")</f>
        <v>201.60000000000002</v>
      </c>
      <c r="Z159" s="38"/>
      <c r="AA159" s="281"/>
      <c r="AB159" s="281"/>
      <c r="AC159" s="281"/>
    </row>
    <row r="160" spans="1:68" ht="16.5" hidden="1" customHeight="1" x14ac:dyDescent="0.25">
      <c r="A160" s="308" t="s">
        <v>248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3"/>
      <c r="AB160" s="273"/>
      <c r="AC160" s="273"/>
    </row>
    <row r="161" spans="1:68" ht="14.25" hidden="1" customHeight="1" x14ac:dyDescent="0.25">
      <c r="A161" s="303" t="s">
        <v>135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4"/>
      <c r="AB161" s="274"/>
      <c r="AC161" s="274"/>
    </row>
    <row r="162" spans="1:68" ht="27" hidden="1" customHeight="1" x14ac:dyDescent="0.25">
      <c r="A162" s="54" t="s">
        <v>249</v>
      </c>
      <c r="B162" s="54" t="s">
        <v>250</v>
      </c>
      <c r="C162" s="32">
        <v>4301135570</v>
      </c>
      <c r="D162" s="292">
        <v>4607111035806</v>
      </c>
      <c r="E162" s="293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5"/>
      <c r="R162" s="295"/>
      <c r="S162" s="295"/>
      <c r="T162" s="296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9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6" t="s">
        <v>87</v>
      </c>
      <c r="Q163" s="287"/>
      <c r="R163" s="287"/>
      <c r="S163" s="287"/>
      <c r="T163" s="287"/>
      <c r="U163" s="287"/>
      <c r="V163" s="288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1"/>
      <c r="P164" s="286" t="s">
        <v>87</v>
      </c>
      <c r="Q164" s="287"/>
      <c r="R164" s="287"/>
      <c r="S164" s="287"/>
      <c r="T164" s="287"/>
      <c r="U164" s="287"/>
      <c r="V164" s="288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hidden="1" customHeight="1" x14ac:dyDescent="0.25">
      <c r="A165" s="308" t="s">
        <v>252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3"/>
      <c r="AB165" s="273"/>
      <c r="AC165" s="273"/>
    </row>
    <row r="166" spans="1:68" ht="14.25" hidden="1" customHeight="1" x14ac:dyDescent="0.25">
      <c r="A166" s="303" t="s">
        <v>135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4"/>
      <c r="AB166" s="274"/>
      <c r="AC166" s="274"/>
    </row>
    <row r="167" spans="1:68" ht="16.5" hidden="1" customHeight="1" x14ac:dyDescent="0.25">
      <c r="A167" s="54" t="s">
        <v>253</v>
      </c>
      <c r="B167" s="54" t="s">
        <v>254</v>
      </c>
      <c r="C167" s="32">
        <v>4301135607</v>
      </c>
      <c r="D167" s="292">
        <v>4607111039613</v>
      </c>
      <c r="E167" s="293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5"/>
      <c r="R167" s="295"/>
      <c r="S167" s="295"/>
      <c r="T167" s="296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9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6" t="s">
        <v>87</v>
      </c>
      <c r="Q168" s="287"/>
      <c r="R168" s="287"/>
      <c r="S168" s="287"/>
      <c r="T168" s="287"/>
      <c r="U168" s="287"/>
      <c r="V168" s="288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1"/>
      <c r="P169" s="286" t="s">
        <v>87</v>
      </c>
      <c r="Q169" s="287"/>
      <c r="R169" s="287"/>
      <c r="S169" s="287"/>
      <c r="T169" s="287"/>
      <c r="U169" s="287"/>
      <c r="V169" s="288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08" t="s">
        <v>255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3"/>
      <c r="AB170" s="273"/>
      <c r="AC170" s="273"/>
    </row>
    <row r="171" spans="1:68" ht="14.25" hidden="1" customHeight="1" x14ac:dyDescent="0.25">
      <c r="A171" s="303" t="s">
        <v>135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2">
        <v>4607111036568</v>
      </c>
      <c r="E172" s="293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5"/>
      <c r="R172" s="295"/>
      <c r="S172" s="295"/>
      <c r="T172" s="296"/>
      <c r="U172" s="35"/>
      <c r="V172" s="35"/>
      <c r="W172" s="36" t="s">
        <v>68</v>
      </c>
      <c r="X172" s="278">
        <v>42</v>
      </c>
      <c r="Y172" s="279">
        <f>IFERROR(IF(X172="","",X172),"")</f>
        <v>42</v>
      </c>
      <c r="Z172" s="37">
        <f>IFERROR(IF(X172="","",X172*0.00941),"")</f>
        <v>0.39522000000000002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88.275599999999997</v>
      </c>
      <c r="BN172" s="67">
        <f>IFERROR(Y172*I172,"0")</f>
        <v>88.275599999999997</v>
      </c>
      <c r="BO172" s="67">
        <f>IFERROR(X172/J172,"0")</f>
        <v>0.3</v>
      </c>
      <c r="BP172" s="67">
        <f>IFERROR(Y172/J172,"0")</f>
        <v>0.3</v>
      </c>
    </row>
    <row r="173" spans="1:68" x14ac:dyDescent="0.2">
      <c r="A173" s="289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6" t="s">
        <v>87</v>
      </c>
      <c r="Q173" s="287"/>
      <c r="R173" s="287"/>
      <c r="S173" s="287"/>
      <c r="T173" s="287"/>
      <c r="U173" s="287"/>
      <c r="V173" s="288"/>
      <c r="W173" s="38" t="s">
        <v>68</v>
      </c>
      <c r="X173" s="280">
        <f>IFERROR(SUM(X172:X172),"0")</f>
        <v>42</v>
      </c>
      <c r="Y173" s="280">
        <f>IFERROR(SUM(Y172:Y172),"0")</f>
        <v>42</v>
      </c>
      <c r="Z173" s="280">
        <f>IFERROR(IF(Z172="",0,Z172),"0")</f>
        <v>0.39522000000000002</v>
      </c>
      <c r="AA173" s="281"/>
      <c r="AB173" s="281"/>
      <c r="AC173" s="281"/>
    </row>
    <row r="174" spans="1:68" x14ac:dyDescent="0.2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1"/>
      <c r="P174" s="286" t="s">
        <v>87</v>
      </c>
      <c r="Q174" s="287"/>
      <c r="R174" s="287"/>
      <c r="S174" s="287"/>
      <c r="T174" s="287"/>
      <c r="U174" s="287"/>
      <c r="V174" s="288"/>
      <c r="W174" s="38" t="s">
        <v>88</v>
      </c>
      <c r="X174" s="280">
        <f>IFERROR(SUMPRODUCT(X172:X172*H172:H172),"0")</f>
        <v>70.56</v>
      </c>
      <c r="Y174" s="280">
        <f>IFERROR(SUMPRODUCT(Y172:Y172*H172:H172),"0")</f>
        <v>70.56</v>
      </c>
      <c r="Z174" s="38"/>
      <c r="AA174" s="281"/>
      <c r="AB174" s="281"/>
      <c r="AC174" s="281"/>
    </row>
    <row r="175" spans="1:68" ht="27.75" hidden="1" customHeight="1" x14ac:dyDescent="0.2">
      <c r="A175" s="363" t="s">
        <v>259</v>
      </c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49"/>
      <c r="AB175" s="49"/>
      <c r="AC175" s="49"/>
    </row>
    <row r="176" spans="1:68" ht="16.5" hidden="1" customHeight="1" x14ac:dyDescent="0.25">
      <c r="A176" s="308" t="s">
        <v>260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3"/>
      <c r="AB176" s="273"/>
      <c r="AC176" s="273"/>
    </row>
    <row r="177" spans="1:68" ht="14.25" hidden="1" customHeight="1" x14ac:dyDescent="0.25">
      <c r="A177" s="303" t="s">
        <v>62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4"/>
      <c r="AB177" s="274"/>
      <c r="AC177" s="274"/>
    </row>
    <row r="178" spans="1:68" ht="16.5" hidden="1" customHeight="1" x14ac:dyDescent="0.25">
      <c r="A178" s="54" t="s">
        <v>261</v>
      </c>
      <c r="B178" s="54" t="s">
        <v>262</v>
      </c>
      <c r="C178" s="32">
        <v>4301071062</v>
      </c>
      <c r="D178" s="292">
        <v>4607111036384</v>
      </c>
      <c r="E178" s="293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5"/>
      <c r="R178" s="295"/>
      <c r="S178" s="295"/>
      <c r="T178" s="296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264</v>
      </c>
      <c r="B179" s="54" t="s">
        <v>265</v>
      </c>
      <c r="C179" s="32">
        <v>4301071050</v>
      </c>
      <c r="D179" s="292">
        <v>4607111036216</v>
      </c>
      <c r="E179" s="293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5"/>
      <c r="R179" s="295"/>
      <c r="S179" s="295"/>
      <c r="T179" s="296"/>
      <c r="U179" s="35"/>
      <c r="V179" s="35"/>
      <c r="W179" s="36" t="s">
        <v>68</v>
      </c>
      <c r="X179" s="278">
        <v>120</v>
      </c>
      <c r="Y179" s="279">
        <f>IFERROR(IF(X179="","",X179),"")</f>
        <v>120</v>
      </c>
      <c r="Z179" s="37">
        <f>IFERROR(IF(X179="","",X179*0.00866),"")</f>
        <v>1.0391999999999999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625.58399999999995</v>
      </c>
      <c r="BN179" s="67">
        <f>IFERROR(Y179*I179,"0")</f>
        <v>625.58399999999995</v>
      </c>
      <c r="BO179" s="67">
        <f>IFERROR(X179/J179,"0")</f>
        <v>0.83333333333333337</v>
      </c>
      <c r="BP179" s="67">
        <f>IFERROR(Y179/J179,"0")</f>
        <v>0.83333333333333337</v>
      </c>
    </row>
    <row r="180" spans="1:68" x14ac:dyDescent="0.2">
      <c r="A180" s="289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6" t="s">
        <v>87</v>
      </c>
      <c r="Q180" s="287"/>
      <c r="R180" s="287"/>
      <c r="S180" s="287"/>
      <c r="T180" s="287"/>
      <c r="U180" s="287"/>
      <c r="V180" s="288"/>
      <c r="W180" s="38" t="s">
        <v>68</v>
      </c>
      <c r="X180" s="280">
        <f>IFERROR(SUM(X178:X179),"0")</f>
        <v>120</v>
      </c>
      <c r="Y180" s="280">
        <f>IFERROR(SUM(Y178:Y179),"0")</f>
        <v>120</v>
      </c>
      <c r="Z180" s="280">
        <f>IFERROR(IF(Z178="",0,Z178),"0")+IFERROR(IF(Z179="",0,Z179),"0")</f>
        <v>1.0391999999999999</v>
      </c>
      <c r="AA180" s="281"/>
      <c r="AB180" s="281"/>
      <c r="AC180" s="281"/>
    </row>
    <row r="181" spans="1:68" x14ac:dyDescent="0.2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1"/>
      <c r="P181" s="286" t="s">
        <v>87</v>
      </c>
      <c r="Q181" s="287"/>
      <c r="R181" s="287"/>
      <c r="S181" s="287"/>
      <c r="T181" s="287"/>
      <c r="U181" s="287"/>
      <c r="V181" s="288"/>
      <c r="W181" s="38" t="s">
        <v>88</v>
      </c>
      <c r="X181" s="280">
        <f>IFERROR(SUMPRODUCT(X178:X179*H178:H179),"0")</f>
        <v>600</v>
      </c>
      <c r="Y181" s="280">
        <f>IFERROR(SUMPRODUCT(Y178:Y179*H178:H179),"0")</f>
        <v>600</v>
      </c>
      <c r="Z181" s="38"/>
      <c r="AA181" s="281"/>
      <c r="AB181" s="281"/>
      <c r="AC181" s="281"/>
    </row>
    <row r="182" spans="1:68" ht="16.5" hidden="1" customHeight="1" x14ac:dyDescent="0.25">
      <c r="A182" s="308" t="s">
        <v>267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3"/>
      <c r="AB182" s="273"/>
      <c r="AC182" s="273"/>
    </row>
    <row r="183" spans="1:68" ht="14.25" hidden="1" customHeight="1" x14ac:dyDescent="0.25">
      <c r="A183" s="303" t="s">
        <v>62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4"/>
      <c r="AB183" s="274"/>
      <c r="AC183" s="274"/>
    </row>
    <row r="184" spans="1:68" ht="27" hidden="1" customHeight="1" x14ac:dyDescent="0.25">
      <c r="A184" s="54" t="s">
        <v>268</v>
      </c>
      <c r="B184" s="54" t="s">
        <v>269</v>
      </c>
      <c r="C184" s="32">
        <v>4301071117</v>
      </c>
      <c r="D184" s="292">
        <v>4620207491737</v>
      </c>
      <c r="E184" s="293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5"/>
      <c r="R184" s="295"/>
      <c r="S184" s="295"/>
      <c r="T184" s="296"/>
      <c r="U184" s="35"/>
      <c r="V184" s="35"/>
      <c r="W184" s="36" t="s">
        <v>68</v>
      </c>
      <c r="X184" s="278">
        <v>0</v>
      </c>
      <c r="Y184" s="279">
        <f>IFERROR(IF(X184="","",X184),"")</f>
        <v>0</v>
      </c>
      <c r="Z184" s="37">
        <f>IFERROR(IF(X184="","",X184*0.0155),"")</f>
        <v>0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9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6" t="s">
        <v>87</v>
      </c>
      <c r="Q185" s="287"/>
      <c r="R185" s="287"/>
      <c r="S185" s="287"/>
      <c r="T185" s="287"/>
      <c r="U185" s="287"/>
      <c r="V185" s="288"/>
      <c r="W185" s="38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1"/>
      <c r="P186" s="286" t="s">
        <v>87</v>
      </c>
      <c r="Q186" s="287"/>
      <c r="R186" s="287"/>
      <c r="S186" s="287"/>
      <c r="T186" s="287"/>
      <c r="U186" s="287"/>
      <c r="V186" s="288"/>
      <c r="W186" s="38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8"/>
      <c r="AA186" s="281"/>
      <c r="AB186" s="281"/>
      <c r="AC186" s="281"/>
    </row>
    <row r="187" spans="1:68" ht="27.75" hidden="1" customHeight="1" x14ac:dyDescent="0.2">
      <c r="A187" s="363" t="s">
        <v>270</v>
      </c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  <c r="AA187" s="49"/>
      <c r="AB187" s="49"/>
      <c r="AC187" s="49"/>
    </row>
    <row r="188" spans="1:68" ht="16.5" hidden="1" customHeight="1" x14ac:dyDescent="0.25">
      <c r="A188" s="308" t="s">
        <v>271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3"/>
      <c r="AB188" s="273"/>
      <c r="AC188" s="273"/>
    </row>
    <row r="189" spans="1:68" ht="14.25" hidden="1" customHeight="1" x14ac:dyDescent="0.25">
      <c r="A189" s="303" t="s">
        <v>97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2">
        <v>4607111035691</v>
      </c>
      <c r="E190" s="293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5"/>
      <c r="R190" s="295"/>
      <c r="S190" s="295"/>
      <c r="T190" s="296"/>
      <c r="U190" s="35"/>
      <c r="V190" s="35"/>
      <c r="W190" s="36" t="s">
        <v>68</v>
      </c>
      <c r="X190" s="278">
        <v>56</v>
      </c>
      <c r="Y190" s="279">
        <f>IFERROR(IF(X190="","",X190),"")</f>
        <v>56</v>
      </c>
      <c r="Z190" s="37">
        <f>IFERROR(IF(X190="","",X190*0.01788),"")</f>
        <v>1.0012799999999999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189.72800000000001</v>
      </c>
      <c r="BN190" s="67">
        <f>IFERROR(Y190*I190,"0")</f>
        <v>189.72800000000001</v>
      </c>
      <c r="BO190" s="67">
        <f>IFERROR(X190/J190,"0")</f>
        <v>0.8</v>
      </c>
      <c r="BP190" s="67">
        <f>IFERROR(Y190/J190,"0")</f>
        <v>0.8</v>
      </c>
    </row>
    <row r="191" spans="1:68" ht="27" customHeight="1" x14ac:dyDescent="0.25">
      <c r="A191" s="54" t="s">
        <v>275</v>
      </c>
      <c r="B191" s="54" t="s">
        <v>276</v>
      </c>
      <c r="C191" s="32">
        <v>4301132182</v>
      </c>
      <c r="D191" s="292">
        <v>4607111035721</v>
      </c>
      <c r="E191" s="293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5"/>
      <c r="R191" s="295"/>
      <c r="S191" s="295"/>
      <c r="T191" s="296"/>
      <c r="U191" s="35"/>
      <c r="V191" s="35"/>
      <c r="W191" s="36" t="s">
        <v>68</v>
      </c>
      <c r="X191" s="278">
        <v>28</v>
      </c>
      <c r="Y191" s="279">
        <f>IFERROR(IF(X191="","",X191),"")</f>
        <v>28</v>
      </c>
      <c r="Z191" s="37">
        <f>IFERROR(IF(X191="","",X191*0.01788),"")</f>
        <v>0.50063999999999997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94.864000000000004</v>
      </c>
      <c r="BN191" s="67">
        <f>IFERROR(Y191*I191,"0")</f>
        <v>94.864000000000004</v>
      </c>
      <c r="BO191" s="67">
        <f>IFERROR(X191/J191,"0")</f>
        <v>0.4</v>
      </c>
      <c r="BP191" s="67">
        <f>IFERROR(Y191/J191,"0")</f>
        <v>0.4</v>
      </c>
    </row>
    <row r="192" spans="1:68" ht="27" customHeight="1" x14ac:dyDescent="0.25">
      <c r="A192" s="54" t="s">
        <v>278</v>
      </c>
      <c r="B192" s="54" t="s">
        <v>279</v>
      </c>
      <c r="C192" s="32">
        <v>4301132170</v>
      </c>
      <c r="D192" s="292">
        <v>4607111038487</v>
      </c>
      <c r="E192" s="293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5"/>
      <c r="R192" s="295"/>
      <c r="S192" s="295"/>
      <c r="T192" s="296"/>
      <c r="U192" s="35"/>
      <c r="V192" s="35"/>
      <c r="W192" s="36" t="s">
        <v>68</v>
      </c>
      <c r="X192" s="278">
        <v>28</v>
      </c>
      <c r="Y192" s="279">
        <f>IFERROR(IF(X192="","",X192),"")</f>
        <v>28</v>
      </c>
      <c r="Z192" s="37">
        <f>IFERROR(IF(X192="","",X192*0.01788),"")</f>
        <v>0.50063999999999997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104.608</v>
      </c>
      <c r="BN192" s="67">
        <f>IFERROR(Y192*I192,"0")</f>
        <v>104.608</v>
      </c>
      <c r="BO192" s="67">
        <f>IFERROR(X192/J192,"0")</f>
        <v>0.4</v>
      </c>
      <c r="BP192" s="67">
        <f>IFERROR(Y192/J192,"0")</f>
        <v>0.4</v>
      </c>
    </row>
    <row r="193" spans="1:68" ht="27" hidden="1" customHeight="1" x14ac:dyDescent="0.25">
      <c r="A193" s="54" t="s">
        <v>281</v>
      </c>
      <c r="B193" s="54" t="s">
        <v>282</v>
      </c>
      <c r="C193" s="32">
        <v>4301132243</v>
      </c>
      <c r="D193" s="292">
        <v>4620207491195</v>
      </c>
      <c r="E193" s="293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5"/>
      <c r="R193" s="295"/>
      <c r="S193" s="295"/>
      <c r="T193" s="296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9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6" t="s">
        <v>87</v>
      </c>
      <c r="Q194" s="287"/>
      <c r="R194" s="287"/>
      <c r="S194" s="287"/>
      <c r="T194" s="287"/>
      <c r="U194" s="287"/>
      <c r="V194" s="288"/>
      <c r="W194" s="38" t="s">
        <v>68</v>
      </c>
      <c r="X194" s="280">
        <f>IFERROR(SUM(X190:X193),"0")</f>
        <v>112</v>
      </c>
      <c r="Y194" s="280">
        <f>IFERROR(SUM(Y190:Y193),"0")</f>
        <v>112</v>
      </c>
      <c r="Z194" s="280">
        <f>IFERROR(IF(Z190="",0,Z190),"0")+IFERROR(IF(Z191="",0,Z191),"0")+IFERROR(IF(Z192="",0,Z192),"0")+IFERROR(IF(Z193="",0,Z193),"0")</f>
        <v>2.0025599999999999</v>
      </c>
      <c r="AA194" s="281"/>
      <c r="AB194" s="281"/>
      <c r="AC194" s="281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1"/>
      <c r="P195" s="286" t="s">
        <v>87</v>
      </c>
      <c r="Q195" s="287"/>
      <c r="R195" s="287"/>
      <c r="S195" s="287"/>
      <c r="T195" s="287"/>
      <c r="U195" s="287"/>
      <c r="V195" s="288"/>
      <c r="W195" s="38" t="s">
        <v>88</v>
      </c>
      <c r="X195" s="280">
        <f>IFERROR(SUMPRODUCT(X190:X193*H190:H193),"0")</f>
        <v>336</v>
      </c>
      <c r="Y195" s="280">
        <f>IFERROR(SUMPRODUCT(Y190:Y193*H190:H193),"0")</f>
        <v>336</v>
      </c>
      <c r="Z195" s="38"/>
      <c r="AA195" s="281"/>
      <c r="AB195" s="281"/>
      <c r="AC195" s="281"/>
    </row>
    <row r="196" spans="1:68" ht="27.75" hidden="1" customHeight="1" x14ac:dyDescent="0.2">
      <c r="A196" s="363" t="s">
        <v>284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49"/>
      <c r="AB196" s="49"/>
      <c r="AC196" s="49"/>
    </row>
    <row r="197" spans="1:68" ht="16.5" hidden="1" customHeight="1" x14ac:dyDescent="0.25">
      <c r="A197" s="308" t="s">
        <v>285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3"/>
      <c r="AB197" s="273"/>
      <c r="AC197" s="273"/>
    </row>
    <row r="198" spans="1:68" ht="14.25" hidden="1" customHeight="1" x14ac:dyDescent="0.25">
      <c r="A198" s="303" t="s">
        <v>97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4"/>
      <c r="AB198" s="274"/>
      <c r="AC198" s="274"/>
    </row>
    <row r="199" spans="1:68" ht="27" hidden="1" customHeight="1" x14ac:dyDescent="0.25">
      <c r="A199" s="54" t="s">
        <v>286</v>
      </c>
      <c r="B199" s="54" t="s">
        <v>287</v>
      </c>
      <c r="C199" s="32">
        <v>4301132227</v>
      </c>
      <c r="D199" s="292">
        <v>4620207491133</v>
      </c>
      <c r="E199" s="293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5"/>
      <c r="R199" s="295"/>
      <c r="S199" s="295"/>
      <c r="T199" s="296"/>
      <c r="U199" s="35"/>
      <c r="V199" s="35"/>
      <c r="W199" s="36" t="s">
        <v>68</v>
      </c>
      <c r="X199" s="278">
        <v>0</v>
      </c>
      <c r="Y199" s="279">
        <f>IFERROR(IF(X199="","",X199),"")</f>
        <v>0</v>
      </c>
      <c r="Z199" s="37">
        <f>IFERROR(IF(X199="","",X199*0.01788),"")</f>
        <v>0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89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6" t="s">
        <v>87</v>
      </c>
      <c r="Q200" s="287"/>
      <c r="R200" s="287"/>
      <c r="S200" s="287"/>
      <c r="T200" s="287"/>
      <c r="U200" s="287"/>
      <c r="V200" s="288"/>
      <c r="W200" s="38" t="s">
        <v>68</v>
      </c>
      <c r="X200" s="280">
        <f>IFERROR(SUM(X199:X199),"0")</f>
        <v>0</v>
      </c>
      <c r="Y200" s="280">
        <f>IFERROR(SUM(Y199:Y199),"0")</f>
        <v>0</v>
      </c>
      <c r="Z200" s="280">
        <f>IFERROR(IF(Z199="",0,Z199),"0")</f>
        <v>0</v>
      </c>
      <c r="AA200" s="281"/>
      <c r="AB200" s="281"/>
      <c r="AC200" s="281"/>
    </row>
    <row r="201" spans="1:68" hidden="1" x14ac:dyDescent="0.2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1"/>
      <c r="P201" s="286" t="s">
        <v>87</v>
      </c>
      <c r="Q201" s="287"/>
      <c r="R201" s="287"/>
      <c r="S201" s="287"/>
      <c r="T201" s="287"/>
      <c r="U201" s="287"/>
      <c r="V201" s="288"/>
      <c r="W201" s="38" t="s">
        <v>88</v>
      </c>
      <c r="X201" s="280">
        <f>IFERROR(SUMPRODUCT(X199:X199*H199:H199),"0")</f>
        <v>0</v>
      </c>
      <c r="Y201" s="280">
        <f>IFERROR(SUMPRODUCT(Y199:Y199*H199:H199),"0")</f>
        <v>0</v>
      </c>
      <c r="Z201" s="38"/>
      <c r="AA201" s="281"/>
      <c r="AB201" s="281"/>
      <c r="AC201" s="281"/>
    </row>
    <row r="202" spans="1:68" ht="14.25" hidden="1" customHeight="1" x14ac:dyDescent="0.25">
      <c r="A202" s="303" t="s">
        <v>135</v>
      </c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  <c r="AA202" s="274"/>
      <c r="AB202" s="274"/>
      <c r="AC202" s="274"/>
    </row>
    <row r="203" spans="1:68" ht="27" customHeight="1" x14ac:dyDescent="0.25">
      <c r="A203" s="54" t="s">
        <v>289</v>
      </c>
      <c r="B203" s="54" t="s">
        <v>290</v>
      </c>
      <c r="C203" s="32">
        <v>4301135834</v>
      </c>
      <c r="D203" s="292">
        <v>4620207491188</v>
      </c>
      <c r="E203" s="293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5"/>
      <c r="R203" s="295"/>
      <c r="S203" s="295"/>
      <c r="T203" s="296"/>
      <c r="U203" s="35"/>
      <c r="V203" s="35"/>
      <c r="W203" s="36" t="s">
        <v>68</v>
      </c>
      <c r="X203" s="278">
        <v>14</v>
      </c>
      <c r="Y203" s="279">
        <f>IFERROR(IF(X203="","",X203),"")</f>
        <v>14</v>
      </c>
      <c r="Z203" s="37">
        <f>IFERROR(IF(X203="","",X203*0.01788),"")</f>
        <v>0.25031999999999999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43.450400000000002</v>
      </c>
      <c r="BN203" s="67">
        <f>IFERROR(Y203*I203,"0")</f>
        <v>43.450400000000002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292</v>
      </c>
      <c r="B204" s="54" t="s">
        <v>293</v>
      </c>
      <c r="C204" s="32">
        <v>4301135696</v>
      </c>
      <c r="D204" s="292">
        <v>4620207490235</v>
      </c>
      <c r="E204" s="293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5"/>
      <c r="R204" s="295"/>
      <c r="S204" s="295"/>
      <c r="T204" s="296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295</v>
      </c>
      <c r="B205" s="54" t="s">
        <v>296</v>
      </c>
      <c r="C205" s="32">
        <v>4301135697</v>
      </c>
      <c r="D205" s="292">
        <v>4620207490259</v>
      </c>
      <c r="E205" s="293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5"/>
      <c r="R205" s="295"/>
      <c r="S205" s="295"/>
      <c r="T205" s="296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9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6" t="s">
        <v>87</v>
      </c>
      <c r="Q206" s="287"/>
      <c r="R206" s="287"/>
      <c r="S206" s="287"/>
      <c r="T206" s="287"/>
      <c r="U206" s="287"/>
      <c r="V206" s="288"/>
      <c r="W206" s="38" t="s">
        <v>68</v>
      </c>
      <c r="X206" s="280">
        <f>IFERROR(SUM(X203:X205),"0")</f>
        <v>14</v>
      </c>
      <c r="Y206" s="280">
        <f>IFERROR(SUM(Y203:Y205),"0")</f>
        <v>14</v>
      </c>
      <c r="Z206" s="280">
        <f>IFERROR(IF(Z203="",0,Z203),"0")+IFERROR(IF(Z204="",0,Z204),"0")+IFERROR(IF(Z205="",0,Z205),"0")</f>
        <v>0.25031999999999999</v>
      </c>
      <c r="AA206" s="281"/>
      <c r="AB206" s="281"/>
      <c r="AC206" s="281"/>
    </row>
    <row r="207" spans="1:68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6" t="s">
        <v>87</v>
      </c>
      <c r="Q207" s="287"/>
      <c r="R207" s="287"/>
      <c r="S207" s="287"/>
      <c r="T207" s="287"/>
      <c r="U207" s="287"/>
      <c r="V207" s="288"/>
      <c r="W207" s="38" t="s">
        <v>88</v>
      </c>
      <c r="X207" s="280">
        <f>IFERROR(SUMPRODUCT(X203:X205*H203:H205),"0")</f>
        <v>33.6</v>
      </c>
      <c r="Y207" s="280">
        <f>IFERROR(SUMPRODUCT(Y203:Y205*H203:H205),"0")</f>
        <v>33.6</v>
      </c>
      <c r="Z207" s="38"/>
      <c r="AA207" s="281"/>
      <c r="AB207" s="281"/>
      <c r="AC207" s="281"/>
    </row>
    <row r="208" spans="1:68" ht="16.5" hidden="1" customHeight="1" x14ac:dyDescent="0.25">
      <c r="A208" s="308" t="s">
        <v>298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303" t="s">
        <v>135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4"/>
      <c r="AB209" s="274"/>
      <c r="AC209" s="274"/>
    </row>
    <row r="210" spans="1:68" ht="27" hidden="1" customHeight="1" x14ac:dyDescent="0.25">
      <c r="A210" s="54" t="s">
        <v>299</v>
      </c>
      <c r="B210" s="54" t="s">
        <v>300</v>
      </c>
      <c r="C210" s="32">
        <v>4301135854</v>
      </c>
      <c r="D210" s="292">
        <v>4620207491706</v>
      </c>
      <c r="E210" s="293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5"/>
      <c r="R210" s="295"/>
      <c r="S210" s="295"/>
      <c r="T210" s="296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302</v>
      </c>
      <c r="B211" s="54" t="s">
        <v>303</v>
      </c>
      <c r="C211" s="32">
        <v>4301135895</v>
      </c>
      <c r="D211" s="292">
        <v>4620207491522</v>
      </c>
      <c r="E211" s="293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5"/>
      <c r="R211" s="295"/>
      <c r="S211" s="295"/>
      <c r="T211" s="296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9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6" t="s">
        <v>87</v>
      </c>
      <c r="Q212" s="287"/>
      <c r="R212" s="287"/>
      <c r="S212" s="287"/>
      <c r="T212" s="287"/>
      <c r="U212" s="287"/>
      <c r="V212" s="288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1"/>
      <c r="P213" s="286" t="s">
        <v>87</v>
      </c>
      <c r="Q213" s="287"/>
      <c r="R213" s="287"/>
      <c r="S213" s="287"/>
      <c r="T213" s="287"/>
      <c r="U213" s="287"/>
      <c r="V213" s="288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08" t="s">
        <v>305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3"/>
      <c r="AB214" s="273"/>
      <c r="AC214" s="273"/>
    </row>
    <row r="215" spans="1:68" ht="14.25" hidden="1" customHeight="1" x14ac:dyDescent="0.25">
      <c r="A215" s="303" t="s">
        <v>62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2">
        <v>4620207491096</v>
      </c>
      <c r="E216" s="293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5"/>
      <c r="R216" s="295"/>
      <c r="S216" s="295"/>
      <c r="T216" s="296"/>
      <c r="U216" s="35"/>
      <c r="V216" s="35"/>
      <c r="W216" s="36" t="s">
        <v>68</v>
      </c>
      <c r="X216" s="278">
        <v>36</v>
      </c>
      <c r="Y216" s="279">
        <f>IFERROR(IF(X216="","",X216),"")</f>
        <v>36</v>
      </c>
      <c r="Z216" s="37">
        <f>IFERROR(IF(X216="","",X216*0.0155),"")</f>
        <v>0.55800000000000005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188.28000000000003</v>
      </c>
      <c r="BN216" s="67">
        <f>IFERROR(Y216*I216,"0")</f>
        <v>188.28000000000003</v>
      </c>
      <c r="BO216" s="67">
        <f>IFERROR(X216/J216,"0")</f>
        <v>0.42857142857142855</v>
      </c>
      <c r="BP216" s="67">
        <f>IFERROR(Y216/J216,"0")</f>
        <v>0.42857142857142855</v>
      </c>
    </row>
    <row r="217" spans="1:68" x14ac:dyDescent="0.2">
      <c r="A217" s="289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6" t="s">
        <v>87</v>
      </c>
      <c r="Q217" s="287"/>
      <c r="R217" s="287"/>
      <c r="S217" s="287"/>
      <c r="T217" s="287"/>
      <c r="U217" s="287"/>
      <c r="V217" s="288"/>
      <c r="W217" s="38" t="s">
        <v>68</v>
      </c>
      <c r="X217" s="280">
        <f>IFERROR(SUM(X216:X216),"0")</f>
        <v>36</v>
      </c>
      <c r="Y217" s="280">
        <f>IFERROR(SUM(Y216:Y216),"0")</f>
        <v>36</v>
      </c>
      <c r="Z217" s="280">
        <f>IFERROR(IF(Z216="",0,Z216),"0")</f>
        <v>0.55800000000000005</v>
      </c>
      <c r="AA217" s="281"/>
      <c r="AB217" s="281"/>
      <c r="AC217" s="281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1"/>
      <c r="P218" s="286" t="s">
        <v>87</v>
      </c>
      <c r="Q218" s="287"/>
      <c r="R218" s="287"/>
      <c r="S218" s="287"/>
      <c r="T218" s="287"/>
      <c r="U218" s="287"/>
      <c r="V218" s="288"/>
      <c r="W218" s="38" t="s">
        <v>88</v>
      </c>
      <c r="X218" s="280">
        <f>IFERROR(SUMPRODUCT(X216:X216*H216:H216),"0")</f>
        <v>180</v>
      </c>
      <c r="Y218" s="280">
        <f>IFERROR(SUMPRODUCT(Y216:Y216*H216:H216),"0")</f>
        <v>180</v>
      </c>
      <c r="Z218" s="38"/>
      <c r="AA218" s="281"/>
      <c r="AB218" s="281"/>
      <c r="AC218" s="281"/>
    </row>
    <row r="219" spans="1:68" ht="16.5" hidden="1" customHeight="1" x14ac:dyDescent="0.25">
      <c r="A219" s="308" t="s">
        <v>309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303" t="s">
        <v>135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4"/>
      <c r="AB220" s="274"/>
      <c r="AC220" s="274"/>
    </row>
    <row r="221" spans="1:68" ht="27" hidden="1" customHeight="1" x14ac:dyDescent="0.25">
      <c r="A221" s="54" t="s">
        <v>310</v>
      </c>
      <c r="B221" s="54" t="s">
        <v>311</v>
      </c>
      <c r="C221" s="32">
        <v>4301135694</v>
      </c>
      <c r="D221" s="292">
        <v>4620207490501</v>
      </c>
      <c r="E221" s="293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5"/>
      <c r="R221" s="295"/>
      <c r="S221" s="295"/>
      <c r="T221" s="296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9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6" t="s">
        <v>87</v>
      </c>
      <c r="Q222" s="287"/>
      <c r="R222" s="287"/>
      <c r="S222" s="287"/>
      <c r="T222" s="287"/>
      <c r="U222" s="287"/>
      <c r="V222" s="288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6" t="s">
        <v>87</v>
      </c>
      <c r="Q223" s="287"/>
      <c r="R223" s="287"/>
      <c r="S223" s="287"/>
      <c r="T223" s="287"/>
      <c r="U223" s="287"/>
      <c r="V223" s="288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3" t="s">
        <v>313</v>
      </c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  <c r="AA224" s="49"/>
      <c r="AB224" s="49"/>
      <c r="AC224" s="49"/>
    </row>
    <row r="225" spans="1:68" ht="16.5" hidden="1" customHeight="1" x14ac:dyDescent="0.25">
      <c r="A225" s="308" t="s">
        <v>314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303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4"/>
      <c r="AB226" s="274"/>
      <c r="AC226" s="274"/>
    </row>
    <row r="227" spans="1:68" ht="27" hidden="1" customHeight="1" x14ac:dyDescent="0.25">
      <c r="A227" s="54" t="s">
        <v>315</v>
      </c>
      <c r="B227" s="54" t="s">
        <v>316</v>
      </c>
      <c r="C227" s="32">
        <v>4301071036</v>
      </c>
      <c r="D227" s="292">
        <v>4607111036162</v>
      </c>
      <c r="E227" s="293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5"/>
      <c r="R227" s="295"/>
      <c r="S227" s="295"/>
      <c r="T227" s="296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9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6" t="s">
        <v>87</v>
      </c>
      <c r="Q228" s="287"/>
      <c r="R228" s="287"/>
      <c r="S228" s="287"/>
      <c r="T228" s="287"/>
      <c r="U228" s="287"/>
      <c r="V228" s="288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6" t="s">
        <v>87</v>
      </c>
      <c r="Q229" s="287"/>
      <c r="R229" s="287"/>
      <c r="S229" s="287"/>
      <c r="T229" s="287"/>
      <c r="U229" s="287"/>
      <c r="V229" s="288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3" t="s">
        <v>318</v>
      </c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49"/>
      <c r="AB230" s="49"/>
      <c r="AC230" s="49"/>
    </row>
    <row r="231" spans="1:68" ht="16.5" hidden="1" customHeight="1" x14ac:dyDescent="0.25">
      <c r="A231" s="308" t="s">
        <v>319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303" t="s">
        <v>320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4"/>
      <c r="AB232" s="274"/>
      <c r="AC232" s="274"/>
    </row>
    <row r="233" spans="1:68" ht="27" hidden="1" customHeight="1" x14ac:dyDescent="0.25">
      <c r="A233" s="54" t="s">
        <v>321</v>
      </c>
      <c r="B233" s="54" t="s">
        <v>322</v>
      </c>
      <c r="C233" s="32">
        <v>4301133004</v>
      </c>
      <c r="D233" s="292">
        <v>4607111039774</v>
      </c>
      <c r="E233" s="293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4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5"/>
      <c r="R233" s="295"/>
      <c r="S233" s="295"/>
      <c r="T233" s="296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9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6" t="s">
        <v>87</v>
      </c>
      <c r="Q234" s="287"/>
      <c r="R234" s="287"/>
      <c r="S234" s="287"/>
      <c r="T234" s="287"/>
      <c r="U234" s="287"/>
      <c r="V234" s="288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6" t="s">
        <v>87</v>
      </c>
      <c r="Q235" s="287"/>
      <c r="R235" s="287"/>
      <c r="S235" s="287"/>
      <c r="T235" s="287"/>
      <c r="U235" s="287"/>
      <c r="V235" s="288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3" t="s">
        <v>135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74"/>
      <c r="AB236" s="274"/>
      <c r="AC236" s="274"/>
    </row>
    <row r="237" spans="1:68" ht="37.5" hidden="1" customHeight="1" x14ac:dyDescent="0.25">
      <c r="A237" s="54" t="s">
        <v>324</v>
      </c>
      <c r="B237" s="54" t="s">
        <v>325</v>
      </c>
      <c r="C237" s="32">
        <v>4301135400</v>
      </c>
      <c r="D237" s="292">
        <v>4607111039361</v>
      </c>
      <c r="E237" s="293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5"/>
      <c r="R237" s="295"/>
      <c r="S237" s="295"/>
      <c r="T237" s="296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9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6" t="s">
        <v>87</v>
      </c>
      <c r="Q238" s="287"/>
      <c r="R238" s="287"/>
      <c r="S238" s="287"/>
      <c r="T238" s="287"/>
      <c r="U238" s="287"/>
      <c r="V238" s="288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6" t="s">
        <v>87</v>
      </c>
      <c r="Q239" s="287"/>
      <c r="R239" s="287"/>
      <c r="S239" s="287"/>
      <c r="T239" s="287"/>
      <c r="U239" s="287"/>
      <c r="V239" s="288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3" t="s">
        <v>326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49"/>
      <c r="AB240" s="49"/>
      <c r="AC240" s="49"/>
    </row>
    <row r="241" spans="1:68" ht="16.5" hidden="1" customHeight="1" x14ac:dyDescent="0.25">
      <c r="A241" s="308" t="s">
        <v>326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3"/>
      <c r="AB241" s="273"/>
      <c r="AC241" s="273"/>
    </row>
    <row r="242" spans="1:68" ht="14.25" hidden="1" customHeight="1" x14ac:dyDescent="0.25">
      <c r="A242" s="303" t="s">
        <v>97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4"/>
      <c r="AB242" s="274"/>
      <c r="AC242" s="274"/>
    </row>
    <row r="243" spans="1:68" ht="27" hidden="1" customHeight="1" x14ac:dyDescent="0.25">
      <c r="A243" s="54" t="s">
        <v>327</v>
      </c>
      <c r="B243" s="54" t="s">
        <v>328</v>
      </c>
      <c r="C243" s="32">
        <v>4301132228</v>
      </c>
      <c r="D243" s="292">
        <v>4640242181950</v>
      </c>
      <c r="E243" s="293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5"/>
      <c r="R243" s="295"/>
      <c r="S243" s="295"/>
      <c r="T243" s="296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9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6" t="s">
        <v>87</v>
      </c>
      <c r="Q244" s="287"/>
      <c r="R244" s="287"/>
      <c r="S244" s="287"/>
      <c r="T244" s="287"/>
      <c r="U244" s="287"/>
      <c r="V244" s="288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1"/>
      <c r="P245" s="286" t="s">
        <v>87</v>
      </c>
      <c r="Q245" s="287"/>
      <c r="R245" s="287"/>
      <c r="S245" s="287"/>
      <c r="T245" s="287"/>
      <c r="U245" s="287"/>
      <c r="V245" s="288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3" t="s">
        <v>129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74"/>
      <c r="AB246" s="274"/>
      <c r="AC246" s="274"/>
    </row>
    <row r="247" spans="1:68" ht="27" hidden="1" customHeight="1" x14ac:dyDescent="0.25">
      <c r="A247" s="54" t="s">
        <v>330</v>
      </c>
      <c r="B247" s="54" t="s">
        <v>331</v>
      </c>
      <c r="C247" s="32">
        <v>4301136098</v>
      </c>
      <c r="D247" s="292">
        <v>4640242181943</v>
      </c>
      <c r="E247" s="293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1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5"/>
      <c r="R247" s="295"/>
      <c r="S247" s="295"/>
      <c r="T247" s="296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9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6" t="s">
        <v>87</v>
      </c>
      <c r="Q248" s="287"/>
      <c r="R248" s="287"/>
      <c r="S248" s="287"/>
      <c r="T248" s="287"/>
      <c r="U248" s="287"/>
      <c r="V248" s="288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1"/>
      <c r="P249" s="286" t="s">
        <v>87</v>
      </c>
      <c r="Q249" s="287"/>
      <c r="R249" s="287"/>
      <c r="S249" s="287"/>
      <c r="T249" s="287"/>
      <c r="U249" s="287"/>
      <c r="V249" s="288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3" t="s">
        <v>333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49"/>
      <c r="AB250" s="49"/>
      <c r="AC250" s="49"/>
    </row>
    <row r="251" spans="1:68" ht="16.5" hidden="1" customHeight="1" x14ac:dyDescent="0.25">
      <c r="A251" s="308" t="s">
        <v>333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3"/>
      <c r="AB251" s="273"/>
      <c r="AC251" s="273"/>
    </row>
    <row r="252" spans="1:68" ht="14.25" hidden="1" customHeight="1" x14ac:dyDescent="0.25">
      <c r="A252" s="303" t="s">
        <v>62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4"/>
      <c r="AB252" s="274"/>
      <c r="AC252" s="274"/>
    </row>
    <row r="253" spans="1:68" ht="27" hidden="1" customHeight="1" x14ac:dyDescent="0.25">
      <c r="A253" s="54" t="s">
        <v>334</v>
      </c>
      <c r="B253" s="54" t="s">
        <v>335</v>
      </c>
      <c r="C253" s="32">
        <v>4301071014</v>
      </c>
      <c r="D253" s="292">
        <v>4640242181264</v>
      </c>
      <c r="E253" s="293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5"/>
      <c r="R253" s="295"/>
      <c r="S253" s="295"/>
      <c r="T253" s="296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337</v>
      </c>
      <c r="B254" s="54" t="s">
        <v>338</v>
      </c>
      <c r="C254" s="32">
        <v>4301071021</v>
      </c>
      <c r="D254" s="292">
        <v>4640242181325</v>
      </c>
      <c r="E254" s="293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5"/>
      <c r="R254" s="295"/>
      <c r="S254" s="295"/>
      <c r="T254" s="296"/>
      <c r="U254" s="35"/>
      <c r="V254" s="35"/>
      <c r="W254" s="36" t="s">
        <v>68</v>
      </c>
      <c r="X254" s="278">
        <v>12</v>
      </c>
      <c r="Y254" s="279">
        <f>IFERROR(IF(X254="","",X254),"")</f>
        <v>12</v>
      </c>
      <c r="Z254" s="37">
        <f>IFERROR(IF(X254="","",X254*0.0155),"")</f>
        <v>0.186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87.36</v>
      </c>
      <c r="BN254" s="67">
        <f>IFERROR(Y254*I254,"0")</f>
        <v>87.36</v>
      </c>
      <c r="BO254" s="67">
        <f>IFERROR(X254/J254,"0")</f>
        <v>0.14285714285714285</v>
      </c>
      <c r="BP254" s="67">
        <f>IFERROR(Y254/J254,"0")</f>
        <v>0.14285714285714285</v>
      </c>
    </row>
    <row r="255" spans="1:68" x14ac:dyDescent="0.2">
      <c r="A255" s="289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6" t="s">
        <v>87</v>
      </c>
      <c r="Q255" s="287"/>
      <c r="R255" s="287"/>
      <c r="S255" s="287"/>
      <c r="T255" s="287"/>
      <c r="U255" s="287"/>
      <c r="V255" s="288"/>
      <c r="W255" s="38" t="s">
        <v>68</v>
      </c>
      <c r="X255" s="280">
        <f>IFERROR(SUM(X253:X254),"0")</f>
        <v>12</v>
      </c>
      <c r="Y255" s="280">
        <f>IFERROR(SUM(Y253:Y254),"0")</f>
        <v>12</v>
      </c>
      <c r="Z255" s="280">
        <f>IFERROR(IF(Z253="",0,Z253),"0")+IFERROR(IF(Z254="",0,Z254),"0")</f>
        <v>0.186</v>
      </c>
      <c r="AA255" s="281"/>
      <c r="AB255" s="281"/>
      <c r="AC255" s="281"/>
    </row>
    <row r="256" spans="1:68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6" t="s">
        <v>87</v>
      </c>
      <c r="Q256" s="287"/>
      <c r="R256" s="287"/>
      <c r="S256" s="287"/>
      <c r="T256" s="287"/>
      <c r="U256" s="287"/>
      <c r="V256" s="288"/>
      <c r="W256" s="38" t="s">
        <v>88</v>
      </c>
      <c r="X256" s="280">
        <f>IFERROR(SUMPRODUCT(X253:X254*H253:H254),"0")</f>
        <v>84</v>
      </c>
      <c r="Y256" s="280">
        <f>IFERROR(SUMPRODUCT(Y253:Y254*H253:H254),"0")</f>
        <v>84</v>
      </c>
      <c r="Z256" s="38"/>
      <c r="AA256" s="281"/>
      <c r="AB256" s="281"/>
      <c r="AC256" s="281"/>
    </row>
    <row r="257" spans="1:68" ht="14.25" hidden="1" customHeight="1" x14ac:dyDescent="0.25">
      <c r="A257" s="303" t="s">
        <v>97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2">
        <v>4640242180397</v>
      </c>
      <c r="E258" s="293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5"/>
      <c r="R258" s="295"/>
      <c r="S258" s="295"/>
      <c r="T258" s="296"/>
      <c r="U258" s="35"/>
      <c r="V258" s="35"/>
      <c r="W258" s="36" t="s">
        <v>68</v>
      </c>
      <c r="X258" s="278">
        <v>48</v>
      </c>
      <c r="Y258" s="279">
        <f>IFERROR(IF(X258="","",X258),"")</f>
        <v>48</v>
      </c>
      <c r="Z258" s="37">
        <f>IFERROR(IF(X258="","",X258*0.0155),"")</f>
        <v>0.74399999999999999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300.48</v>
      </c>
      <c r="BN258" s="67">
        <f>IFERROR(Y258*I258,"0")</f>
        <v>300.48</v>
      </c>
      <c r="BO258" s="67">
        <f>IFERROR(X258/J258,"0")</f>
        <v>0.5714285714285714</v>
      </c>
      <c r="BP258" s="67">
        <f>IFERROR(Y258/J258,"0")</f>
        <v>0.5714285714285714</v>
      </c>
    </row>
    <row r="259" spans="1:68" x14ac:dyDescent="0.2">
      <c r="A259" s="289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6" t="s">
        <v>87</v>
      </c>
      <c r="Q259" s="287"/>
      <c r="R259" s="287"/>
      <c r="S259" s="287"/>
      <c r="T259" s="287"/>
      <c r="U259" s="287"/>
      <c r="V259" s="288"/>
      <c r="W259" s="38" t="s">
        <v>68</v>
      </c>
      <c r="X259" s="280">
        <f>IFERROR(SUM(X258:X258),"0")</f>
        <v>48</v>
      </c>
      <c r="Y259" s="280">
        <f>IFERROR(SUM(Y258:Y258),"0")</f>
        <v>48</v>
      </c>
      <c r="Z259" s="280">
        <f>IFERROR(IF(Z258="",0,Z258),"0")</f>
        <v>0.74399999999999999</v>
      </c>
      <c r="AA259" s="281"/>
      <c r="AB259" s="281"/>
      <c r="AC259" s="281"/>
    </row>
    <row r="260" spans="1:68" x14ac:dyDescent="0.2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1"/>
      <c r="P260" s="286" t="s">
        <v>87</v>
      </c>
      <c r="Q260" s="287"/>
      <c r="R260" s="287"/>
      <c r="S260" s="287"/>
      <c r="T260" s="287"/>
      <c r="U260" s="287"/>
      <c r="V260" s="288"/>
      <c r="W260" s="38" t="s">
        <v>88</v>
      </c>
      <c r="X260" s="280">
        <f>IFERROR(SUMPRODUCT(X258:X258*H258:H258),"0")</f>
        <v>288</v>
      </c>
      <c r="Y260" s="280">
        <f>IFERROR(SUMPRODUCT(Y258:Y258*H258:H258),"0")</f>
        <v>288</v>
      </c>
      <c r="Z260" s="38"/>
      <c r="AA260" s="281"/>
      <c r="AB260" s="281"/>
      <c r="AC260" s="281"/>
    </row>
    <row r="261" spans="1:68" ht="14.25" hidden="1" customHeight="1" x14ac:dyDescent="0.25">
      <c r="A261" s="303" t="s">
        <v>129</v>
      </c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90"/>
      <c r="Q261" s="290"/>
      <c r="R261" s="290"/>
      <c r="S261" s="290"/>
      <c r="T261" s="290"/>
      <c r="U261" s="290"/>
      <c r="V261" s="290"/>
      <c r="W261" s="290"/>
      <c r="X261" s="290"/>
      <c r="Y261" s="290"/>
      <c r="Z261" s="290"/>
      <c r="AA261" s="274"/>
      <c r="AB261" s="274"/>
      <c r="AC261" s="274"/>
    </row>
    <row r="262" spans="1:68" ht="27" customHeight="1" x14ac:dyDescent="0.25">
      <c r="A262" s="54" t="s">
        <v>342</v>
      </c>
      <c r="B262" s="54" t="s">
        <v>343</v>
      </c>
      <c r="C262" s="32">
        <v>4301136051</v>
      </c>
      <c r="D262" s="292">
        <v>4640242180304</v>
      </c>
      <c r="E262" s="293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38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5"/>
      <c r="R262" s="295"/>
      <c r="S262" s="295"/>
      <c r="T262" s="296"/>
      <c r="U262" s="35"/>
      <c r="V262" s="35"/>
      <c r="W262" s="36" t="s">
        <v>68</v>
      </c>
      <c r="X262" s="278">
        <v>28</v>
      </c>
      <c r="Y262" s="279">
        <f>IFERROR(IF(X262="","",X262),"")</f>
        <v>28</v>
      </c>
      <c r="Z262" s="37">
        <f>IFERROR(IF(X262="","",X262*0.00936),"")</f>
        <v>0.26207999999999998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80.936800000000005</v>
      </c>
      <c r="BN262" s="67">
        <f>IFERROR(Y262*I262,"0")</f>
        <v>80.936800000000005</v>
      </c>
      <c r="BO262" s="67">
        <f>IFERROR(X262/J262,"0")</f>
        <v>0.22222222222222221</v>
      </c>
      <c r="BP262" s="67">
        <f>IFERROR(Y262/J262,"0")</f>
        <v>0.22222222222222221</v>
      </c>
    </row>
    <row r="263" spans="1:68" ht="27" customHeight="1" x14ac:dyDescent="0.25">
      <c r="A263" s="54" t="s">
        <v>345</v>
      </c>
      <c r="B263" s="54" t="s">
        <v>346</v>
      </c>
      <c r="C263" s="32">
        <v>4301136053</v>
      </c>
      <c r="D263" s="292">
        <v>4640242180236</v>
      </c>
      <c r="E263" s="293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5"/>
      <c r="R263" s="295"/>
      <c r="S263" s="295"/>
      <c r="T263" s="296"/>
      <c r="U263" s="35"/>
      <c r="V263" s="35"/>
      <c r="W263" s="36" t="s">
        <v>68</v>
      </c>
      <c r="X263" s="278">
        <v>120</v>
      </c>
      <c r="Y263" s="279">
        <f>IFERROR(IF(X263="","",X263),"")</f>
        <v>120</v>
      </c>
      <c r="Z263" s="37">
        <f>IFERROR(IF(X263="","",X263*0.0155),"")</f>
        <v>1.8599999999999999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628.20000000000005</v>
      </c>
      <c r="BN263" s="67">
        <f>IFERROR(Y263*I263,"0")</f>
        <v>628.20000000000005</v>
      </c>
      <c r="BO263" s="67">
        <f>IFERROR(X263/J263,"0")</f>
        <v>1.4285714285714286</v>
      </c>
      <c r="BP263" s="67">
        <f>IFERROR(Y263/J263,"0")</f>
        <v>1.4285714285714286</v>
      </c>
    </row>
    <row r="264" spans="1:68" ht="27" hidden="1" customHeight="1" x14ac:dyDescent="0.25">
      <c r="A264" s="54" t="s">
        <v>347</v>
      </c>
      <c r="B264" s="54" t="s">
        <v>348</v>
      </c>
      <c r="C264" s="32">
        <v>4301136052</v>
      </c>
      <c r="D264" s="292">
        <v>4640242180410</v>
      </c>
      <c r="E264" s="293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6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5"/>
      <c r="R264" s="295"/>
      <c r="S264" s="295"/>
      <c r="T264" s="296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89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6" t="s">
        <v>87</v>
      </c>
      <c r="Q265" s="287"/>
      <c r="R265" s="287"/>
      <c r="S265" s="287"/>
      <c r="T265" s="287"/>
      <c r="U265" s="287"/>
      <c r="V265" s="288"/>
      <c r="W265" s="38" t="s">
        <v>68</v>
      </c>
      <c r="X265" s="280">
        <f>IFERROR(SUM(X262:X264),"0")</f>
        <v>148</v>
      </c>
      <c r="Y265" s="280">
        <f>IFERROR(SUM(Y262:Y264),"0")</f>
        <v>148</v>
      </c>
      <c r="Z265" s="280">
        <f>IFERROR(IF(Z262="",0,Z262),"0")+IFERROR(IF(Z263="",0,Z263),"0")+IFERROR(IF(Z264="",0,Z264),"0")</f>
        <v>2.12208</v>
      </c>
      <c r="AA265" s="281"/>
      <c r="AB265" s="281"/>
      <c r="AC265" s="281"/>
    </row>
    <row r="266" spans="1:68" x14ac:dyDescent="0.2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1"/>
      <c r="P266" s="286" t="s">
        <v>87</v>
      </c>
      <c r="Q266" s="287"/>
      <c r="R266" s="287"/>
      <c r="S266" s="287"/>
      <c r="T266" s="287"/>
      <c r="U266" s="287"/>
      <c r="V266" s="288"/>
      <c r="W266" s="38" t="s">
        <v>88</v>
      </c>
      <c r="X266" s="280">
        <f>IFERROR(SUMPRODUCT(X262:X264*H262:H264),"0")</f>
        <v>675.6</v>
      </c>
      <c r="Y266" s="280">
        <f>IFERROR(SUMPRODUCT(Y262:Y264*H262:H264),"0")</f>
        <v>675.6</v>
      </c>
      <c r="Z266" s="38"/>
      <c r="AA266" s="281"/>
      <c r="AB266" s="281"/>
      <c r="AC266" s="281"/>
    </row>
    <row r="267" spans="1:68" ht="14.25" hidden="1" customHeight="1" x14ac:dyDescent="0.25">
      <c r="A267" s="303" t="s">
        <v>135</v>
      </c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90"/>
      <c r="Q267" s="290"/>
      <c r="R267" s="290"/>
      <c r="S267" s="290"/>
      <c r="T267" s="290"/>
      <c r="U267" s="290"/>
      <c r="V267" s="290"/>
      <c r="W267" s="290"/>
      <c r="X267" s="290"/>
      <c r="Y267" s="290"/>
      <c r="Z267" s="290"/>
      <c r="AA267" s="274"/>
      <c r="AB267" s="274"/>
      <c r="AC267" s="274"/>
    </row>
    <row r="268" spans="1:68" ht="37.5" hidden="1" customHeight="1" x14ac:dyDescent="0.25">
      <c r="A268" s="54" t="s">
        <v>349</v>
      </c>
      <c r="B268" s="54" t="s">
        <v>350</v>
      </c>
      <c r="C268" s="32">
        <v>4301135504</v>
      </c>
      <c r="D268" s="292">
        <v>4640242181554</v>
      </c>
      <c r="E268" s="293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5"/>
      <c r="R268" s="295"/>
      <c r="S268" s="295"/>
      <c r="T268" s="296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2">
        <v>4620207492093</v>
      </c>
      <c r="E269" s="293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4" t="s">
        <v>354</v>
      </c>
      <c r="Q269" s="295"/>
      <c r="R269" s="295"/>
      <c r="S269" s="295"/>
      <c r="T269" s="296"/>
      <c r="U269" s="35"/>
      <c r="V269" s="35"/>
      <c r="W269" s="36" t="s">
        <v>68</v>
      </c>
      <c r="X269" s="278">
        <v>42</v>
      </c>
      <c r="Y269" s="279">
        <f t="shared" si="18"/>
        <v>42</v>
      </c>
      <c r="Z269" s="37">
        <f>IFERROR(IF(X269="","",X269*0.00936),"")</f>
        <v>0.39312000000000002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163.464</v>
      </c>
      <c r="BN269" s="67">
        <f t="shared" si="20"/>
        <v>163.464</v>
      </c>
      <c r="BO269" s="67">
        <f t="shared" si="21"/>
        <v>0.33333333333333331</v>
      </c>
      <c r="BP269" s="67">
        <f t="shared" si="22"/>
        <v>0.33333333333333331</v>
      </c>
    </row>
    <row r="270" spans="1:68" ht="27" hidden="1" customHeight="1" x14ac:dyDescent="0.25">
      <c r="A270" s="54" t="s">
        <v>356</v>
      </c>
      <c r="B270" s="54" t="s">
        <v>357</v>
      </c>
      <c r="C270" s="32">
        <v>4301135374</v>
      </c>
      <c r="D270" s="292">
        <v>4640242181424</v>
      </c>
      <c r="E270" s="293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5"/>
      <c r="R270" s="295"/>
      <c r="S270" s="295"/>
      <c r="T270" s="296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358</v>
      </c>
      <c r="B271" s="54" t="s">
        <v>359</v>
      </c>
      <c r="C271" s="32">
        <v>4301135405</v>
      </c>
      <c r="D271" s="292">
        <v>4640242181523</v>
      </c>
      <c r="E271" s="293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5"/>
      <c r="R271" s="295"/>
      <c r="S271" s="295"/>
      <c r="T271" s="296"/>
      <c r="U271" s="35"/>
      <c r="V271" s="35"/>
      <c r="W271" s="36" t="s">
        <v>68</v>
      </c>
      <c r="X271" s="278">
        <v>28</v>
      </c>
      <c r="Y271" s="279">
        <f t="shared" si="18"/>
        <v>28</v>
      </c>
      <c r="Z271" s="37">
        <f t="shared" ref="Z271:Z276" si="23">IFERROR(IF(X271="","",X271*0.00936),"")</f>
        <v>0.26207999999999998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89.376000000000005</v>
      </c>
      <c r="BN271" s="67">
        <f t="shared" si="20"/>
        <v>89.376000000000005</v>
      </c>
      <c r="BO271" s="67">
        <f t="shared" si="21"/>
        <v>0.22222222222222221</v>
      </c>
      <c r="BP271" s="67">
        <f t="shared" si="22"/>
        <v>0.22222222222222221</v>
      </c>
    </row>
    <row r="272" spans="1:68" ht="27" hidden="1" customHeight="1" x14ac:dyDescent="0.25">
      <c r="A272" s="54" t="s">
        <v>361</v>
      </c>
      <c r="B272" s="54" t="s">
        <v>362</v>
      </c>
      <c r="C272" s="32">
        <v>4301135375</v>
      </c>
      <c r="D272" s="292">
        <v>4640242181486</v>
      </c>
      <c r="E272" s="293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5"/>
      <c r="R272" s="295"/>
      <c r="S272" s="295"/>
      <c r="T272" s="296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2">
        <v>4301135402</v>
      </c>
      <c r="D273" s="292">
        <v>4640242181493</v>
      </c>
      <c r="E273" s="293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5"/>
      <c r="R273" s="295"/>
      <c r="S273" s="295"/>
      <c r="T273" s="296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365</v>
      </c>
      <c r="B274" s="54" t="s">
        <v>366</v>
      </c>
      <c r="C274" s="32">
        <v>4301135403</v>
      </c>
      <c r="D274" s="292">
        <v>4640242181509</v>
      </c>
      <c r="E274" s="293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5"/>
      <c r="R274" s="295"/>
      <c r="S274" s="295"/>
      <c r="T274" s="296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2">
        <v>4301135304</v>
      </c>
      <c r="D275" s="292">
        <v>4640242181240</v>
      </c>
      <c r="E275" s="293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5"/>
      <c r="R275" s="295"/>
      <c r="S275" s="295"/>
      <c r="T275" s="296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2">
        <v>4301135610</v>
      </c>
      <c r="D276" s="292">
        <v>4640242181318</v>
      </c>
      <c r="E276" s="293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5"/>
      <c r="R276" s="295"/>
      <c r="S276" s="295"/>
      <c r="T276" s="296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371</v>
      </c>
      <c r="B277" s="54" t="s">
        <v>372</v>
      </c>
      <c r="C277" s="32">
        <v>4301135306</v>
      </c>
      <c r="D277" s="292">
        <v>4640242181387</v>
      </c>
      <c r="E277" s="293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5"/>
      <c r="R277" s="295"/>
      <c r="S277" s="295"/>
      <c r="T277" s="296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89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6" t="s">
        <v>87</v>
      </c>
      <c r="Q278" s="287"/>
      <c r="R278" s="287"/>
      <c r="S278" s="287"/>
      <c r="T278" s="287"/>
      <c r="U278" s="287"/>
      <c r="V278" s="288"/>
      <c r="W278" s="38" t="s">
        <v>68</v>
      </c>
      <c r="X278" s="280">
        <f>IFERROR(SUM(X268:X277),"0")</f>
        <v>70</v>
      </c>
      <c r="Y278" s="280">
        <f>IFERROR(SUM(Y268:Y277),"0")</f>
        <v>70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0.6552</v>
      </c>
      <c r="AA278" s="281"/>
      <c r="AB278" s="281"/>
      <c r="AC278" s="281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1"/>
      <c r="P279" s="286" t="s">
        <v>87</v>
      </c>
      <c r="Q279" s="287"/>
      <c r="R279" s="287"/>
      <c r="S279" s="287"/>
      <c r="T279" s="287"/>
      <c r="U279" s="287"/>
      <c r="V279" s="288"/>
      <c r="W279" s="38" t="s">
        <v>88</v>
      </c>
      <c r="X279" s="280">
        <f>IFERROR(SUMPRODUCT(X268:X277*H268:H277),"0")</f>
        <v>239.4</v>
      </c>
      <c r="Y279" s="280">
        <f>IFERROR(SUMPRODUCT(Y268:Y277*H268:H277),"0")</f>
        <v>239.4</v>
      </c>
      <c r="Z279" s="38"/>
      <c r="AA279" s="281"/>
      <c r="AB279" s="281"/>
      <c r="AC279" s="281"/>
    </row>
    <row r="280" spans="1:68" ht="15" customHeight="1" x14ac:dyDescent="0.2">
      <c r="A280" s="464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87"/>
      <c r="P280" s="333" t="s">
        <v>373</v>
      </c>
      <c r="Q280" s="334"/>
      <c r="R280" s="334"/>
      <c r="S280" s="334"/>
      <c r="T280" s="334"/>
      <c r="U280" s="334"/>
      <c r="V280" s="335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8620.1999999999989</v>
      </c>
      <c r="Y280" s="280">
        <f>IFERROR(Y31+Y37+Y44+Y50+Y58+Y63+Y68+Y74+Y80+Y85+Y91+Y101+Y107+Y119+Y123+Y127+Y135+Y141+Y147+Y153+Y159+Y164+Y169+Y174+Y181+Y186+Y195+Y201+Y207+Y213+Y218+Y223+Y229+Y235+Y239+Y245+Y249+Y256+Y260+Y266+Y279,"0")</f>
        <v>8620.1999999999989</v>
      </c>
      <c r="Z280" s="38"/>
      <c r="AA280" s="281"/>
      <c r="AB280" s="281"/>
      <c r="AC280" s="281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87"/>
      <c r="P281" s="333" t="s">
        <v>374</v>
      </c>
      <c r="Q281" s="334"/>
      <c r="R281" s="334"/>
      <c r="S281" s="334"/>
      <c r="T281" s="334"/>
      <c r="U281" s="334"/>
      <c r="V281" s="335"/>
      <c r="W281" s="38" t="s">
        <v>88</v>
      </c>
      <c r="X281" s="280">
        <f>IFERROR(SUM(BM22:BM277),"0")</f>
        <v>9461.7775999999994</v>
      </c>
      <c r="Y281" s="280">
        <f>IFERROR(SUM(BN22:BN277),"0")</f>
        <v>9461.7775999999994</v>
      </c>
      <c r="Z281" s="38"/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87"/>
      <c r="P282" s="333" t="s">
        <v>375</v>
      </c>
      <c r="Q282" s="334"/>
      <c r="R282" s="334"/>
      <c r="S282" s="334"/>
      <c r="T282" s="334"/>
      <c r="U282" s="334"/>
      <c r="V282" s="335"/>
      <c r="W282" s="38" t="s">
        <v>376</v>
      </c>
      <c r="X282" s="39">
        <f>ROUNDUP(SUM(BO22:BO277),0)</f>
        <v>24</v>
      </c>
      <c r="Y282" s="39">
        <f>ROUNDUP(SUM(BP22:BP277),0)</f>
        <v>24</v>
      </c>
      <c r="Z282" s="38"/>
      <c r="AA282" s="281"/>
      <c r="AB282" s="281"/>
      <c r="AC282" s="281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7"/>
      <c r="P283" s="333" t="s">
        <v>377</v>
      </c>
      <c r="Q283" s="334"/>
      <c r="R283" s="334"/>
      <c r="S283" s="334"/>
      <c r="T283" s="334"/>
      <c r="U283" s="334"/>
      <c r="V283" s="335"/>
      <c r="W283" s="38" t="s">
        <v>88</v>
      </c>
      <c r="X283" s="280">
        <f>GrossWeightTotal+PalletQtyTotal*25</f>
        <v>10061.777599999999</v>
      </c>
      <c r="Y283" s="280">
        <f>GrossWeightTotalR+PalletQtyTotalR*25</f>
        <v>10061.777599999999</v>
      </c>
      <c r="Z283" s="38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7"/>
      <c r="P284" s="333" t="s">
        <v>378</v>
      </c>
      <c r="Q284" s="334"/>
      <c r="R284" s="334"/>
      <c r="S284" s="334"/>
      <c r="T284" s="334"/>
      <c r="U284" s="334"/>
      <c r="V284" s="335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2032</v>
      </c>
      <c r="Y284" s="280">
        <f>IFERROR(Y30+Y36+Y43+Y49+Y57+Y62+Y67+Y73+Y79+Y84+Y90+Y100+Y106+Y118+Y122+Y126+Y134+Y140+Y146+Y152+Y158+Y163+Y168+Y173+Y180+Y185+Y194+Y200+Y206+Y212+Y217+Y222+Y228+Y234+Y238+Y244+Y248+Y255+Y259+Y265+Y278,"0")</f>
        <v>2032</v>
      </c>
      <c r="Z284" s="38"/>
      <c r="AA284" s="281"/>
      <c r="AB284" s="281"/>
      <c r="AC284" s="281"/>
    </row>
    <row r="285" spans="1:68" ht="14.25" hidden="1" customHeight="1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7"/>
      <c r="P285" s="333" t="s">
        <v>379</v>
      </c>
      <c r="Q285" s="334"/>
      <c r="R285" s="334"/>
      <c r="S285" s="334"/>
      <c r="T285" s="334"/>
      <c r="U285" s="334"/>
      <c r="V285" s="335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30.106299999999997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2" t="s">
        <v>61</v>
      </c>
      <c r="C287" s="283"/>
      <c r="D287" s="282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283"/>
      <c r="V287" s="282" t="s">
        <v>259</v>
      </c>
      <c r="W287" s="283"/>
      <c r="X287" s="275" t="s">
        <v>270</v>
      </c>
      <c r="Y287" s="282" t="s">
        <v>284</v>
      </c>
      <c r="Z287" s="381"/>
      <c r="AA287" s="381"/>
      <c r="AB287" s="28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7" t="s">
        <v>382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114</v>
      </c>
      <c r="G288" s="282" t="s">
        <v>125</v>
      </c>
      <c r="H288" s="282" t="s">
        <v>143</v>
      </c>
      <c r="I288" s="282" t="s">
        <v>150</v>
      </c>
      <c r="J288" s="282" t="s">
        <v>154</v>
      </c>
      <c r="K288" s="282" t="s">
        <v>162</v>
      </c>
      <c r="L288" s="282" t="s">
        <v>178</v>
      </c>
      <c r="M288" s="282" t="s">
        <v>185</v>
      </c>
      <c r="N288" s="276"/>
      <c r="O288" s="282" t="s">
        <v>212</v>
      </c>
      <c r="P288" s="282" t="s">
        <v>230</v>
      </c>
      <c r="Q288" s="282" t="s">
        <v>236</v>
      </c>
      <c r="R288" s="282" t="s">
        <v>243</v>
      </c>
      <c r="S288" s="282" t="s">
        <v>248</v>
      </c>
      <c r="T288" s="282" t="s">
        <v>252</v>
      </c>
      <c r="U288" s="282" t="s">
        <v>255</v>
      </c>
      <c r="V288" s="282" t="s">
        <v>260</v>
      </c>
      <c r="W288" s="282" t="s">
        <v>267</v>
      </c>
      <c r="X288" s="282" t="s">
        <v>271</v>
      </c>
      <c r="Y288" s="282" t="s">
        <v>285</v>
      </c>
      <c r="Z288" s="282" t="s">
        <v>298</v>
      </c>
      <c r="AA288" s="282" t="s">
        <v>305</v>
      </c>
      <c r="AB288" s="282" t="s">
        <v>309</v>
      </c>
      <c r="AC288" s="282" t="s">
        <v>314</v>
      </c>
      <c r="AD288" s="282" t="s">
        <v>319</v>
      </c>
      <c r="AE288" s="282" t="s">
        <v>326</v>
      </c>
      <c r="AF288" s="282" t="s">
        <v>333</v>
      </c>
    </row>
    <row r="289" spans="1:32" ht="13.5" customHeight="1" thickBot="1" x14ac:dyDescent="0.25">
      <c r="A289" s="338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276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  <c r="AA289" s="313"/>
      <c r="AB289" s="313"/>
      <c r="AC289" s="313"/>
      <c r="AD289" s="313"/>
      <c r="AE289" s="313"/>
      <c r="AF289" s="313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326.40000000000003</v>
      </c>
      <c r="C290" s="47">
        <f>IFERROR(X34*H34,"0")+IFERROR(X35*H35,"0")</f>
        <v>0</v>
      </c>
      <c r="D290" s="47">
        <f>IFERROR(X41*H41,"0")+IFERROR(X42*H42,"0")</f>
        <v>147</v>
      </c>
      <c r="E290" s="47">
        <f>IFERROR(X47*H47,"0")+IFERROR(X48*H48,"0")</f>
        <v>67.199999999999989</v>
      </c>
      <c r="F290" s="47">
        <f>IFERROR(X53*H53,"0")+IFERROR(X54*H54,"0")+IFERROR(X55*H55,"0")+IFERROR(X56*H56,"0")</f>
        <v>504</v>
      </c>
      <c r="G290" s="47">
        <f>IFERROR(X61*H61,"0")+IFERROR(X65*H65,"0")+IFERROR(X66*H66,"0")+IFERROR(X70*H70,"0")+IFERROR(X71*H71,"0")+IFERROR(X72*H72,"0")</f>
        <v>33.6</v>
      </c>
      <c r="H290" s="47">
        <f>IFERROR(X77*H77,"0")+IFERROR(X78*H78,"0")</f>
        <v>540</v>
      </c>
      <c r="I290" s="47">
        <f>IFERROR(X83*H83,"0")</f>
        <v>50.4</v>
      </c>
      <c r="J290" s="47">
        <f>IFERROR(X88*H88,"0")+IFERROR(X89*H89,"0")</f>
        <v>302.39999999999998</v>
      </c>
      <c r="K290" s="47">
        <f>IFERROR(X94*H94,"0")+IFERROR(X95*H95,"0")+IFERROR(X96*H96,"0")+IFERROR(X97*H97,"0")+IFERROR(X98*H98,"0")+IFERROR(X99*H99,"0")</f>
        <v>875.28</v>
      </c>
      <c r="L290" s="47">
        <f>IFERROR(X104*H104,"0")+IFERROR(X105*H105,"0")</f>
        <v>30.240000000000002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2301.6</v>
      </c>
      <c r="N290" s="276"/>
      <c r="O290" s="47">
        <f>IFERROR(X130*H130,"0")+IFERROR(X131*H131,"0")+IFERROR(X132*H132,"0")+IFERROR(X133*H133,"0")+IFERROR(X137*H137,"0")+IFERROR(X138*H138,"0")+IFERROR(X139*H139,"0")</f>
        <v>19.32</v>
      </c>
      <c r="P290" s="47">
        <f>IFERROR(X144*H144,"0")+IFERROR(X145*H145,"0")</f>
        <v>504</v>
      </c>
      <c r="Q290" s="47">
        <f>IFERROR(X150*H150,"0")+IFERROR(X151*H151,"0")</f>
        <v>210</v>
      </c>
      <c r="R290" s="47">
        <f>IFERROR(X156*H156,"0")+IFERROR(X157*H157,"0")</f>
        <v>201.60000000000002</v>
      </c>
      <c r="S290" s="47">
        <f>IFERROR(X162*H162,"0")</f>
        <v>0</v>
      </c>
      <c r="T290" s="47">
        <f>IFERROR(X167*H167,"0")</f>
        <v>0</v>
      </c>
      <c r="U290" s="47">
        <f>IFERROR(X172*H172,"0")</f>
        <v>70.56</v>
      </c>
      <c r="V290" s="47">
        <f>IFERROR(X178*H178,"0")+IFERROR(X179*H179,"0")</f>
        <v>600</v>
      </c>
      <c r="W290" s="47">
        <f>IFERROR(X184*H184,"0")</f>
        <v>0</v>
      </c>
      <c r="X290" s="47">
        <f>IFERROR(X190*H190,"0")+IFERROR(X191*H191,"0")+IFERROR(X192*H192,"0")+IFERROR(X193*H193,"0")</f>
        <v>336</v>
      </c>
      <c r="Y290" s="47">
        <f>IFERROR(X199*H199,"0")+IFERROR(X203*H203,"0")+IFERROR(X204*H204,"0")+IFERROR(X205*H205,"0")</f>
        <v>33.6</v>
      </c>
      <c r="Z290" s="47">
        <f>IFERROR(X210*H210,"0")+IFERROR(X211*H211,"0")</f>
        <v>0</v>
      </c>
      <c r="AA290" s="47">
        <f>IFERROR(X216*H216,"0")</f>
        <v>180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1287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4603.2</v>
      </c>
      <c r="B293" s="60">
        <f>SUMPRODUCT(--(BB:BB="ПГП"),--(W:W="кор"),H:H,Y:Y)+SUMPRODUCT(--(BB:BB="ПГП"),--(W:W="кг"),Y:Y)</f>
        <v>4016.9999999999995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 061,78"/>
        <filter val="108,00"/>
        <filter val="112,00"/>
        <filter val="12,00"/>
        <filter val="120,00"/>
        <filter val="132,00"/>
        <filter val="14,00"/>
        <filter val="147,00"/>
        <filter val="148,00"/>
        <filter val="168,00"/>
        <filter val="180,00"/>
        <filter val="19,32"/>
        <filter val="2 032,00"/>
        <filter val="2 301,60"/>
        <filter val="201,60"/>
        <filter val="210,00"/>
        <filter val="239,40"/>
        <filter val="24"/>
        <filter val="24,00"/>
        <filter val="28,00"/>
        <filter val="280,00"/>
        <filter val="288,00"/>
        <filter val="30,24"/>
        <filter val="302,40"/>
        <filter val="326,40"/>
        <filter val="33,60"/>
        <filter val="336,00"/>
        <filter val="36,00"/>
        <filter val="42,00"/>
        <filter val="48,00"/>
        <filter val="50,40"/>
        <filter val="504,00"/>
        <filter val="540,00"/>
        <filter val="56,00"/>
        <filter val="600,00"/>
        <filter val="67,20"/>
        <filter val="675,60"/>
        <filter val="70,00"/>
        <filter val="70,56"/>
        <filter val="72,00"/>
        <filter val="8 620,20"/>
        <filter val="84,00"/>
        <filter val="875,28"/>
        <filter val="9 461,78"/>
        <filter val="98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P190:T190"/>
    <mergeCell ref="P111:T111"/>
    <mergeCell ref="P61:T61"/>
    <mergeCell ref="P48:T48"/>
    <mergeCell ref="P114:T114"/>
    <mergeCell ref="D6:M6"/>
    <mergeCell ref="P266:V266"/>
    <mergeCell ref="P162:T162"/>
    <mergeCell ref="D83:E83"/>
    <mergeCell ref="P227:T227"/>
    <mergeCell ref="V6:W9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27:E227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P41:T41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D269:E269"/>
    <mergeCell ref="A182:Z182"/>
    <mergeCell ref="A225:Z225"/>
    <mergeCell ref="P123:V123"/>
    <mergeCell ref="P130:T13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P15:T16"/>
    <mergeCell ref="D116:E116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P144:T144"/>
    <mergeCell ref="O288:O289"/>
    <mergeCell ref="Q288:Q289"/>
    <mergeCell ref="P245:V245"/>
    <mergeCell ref="P275:T275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Q11:R11"/>
    <mergeCell ref="P205:T205"/>
    <mergeCell ref="A177:Z177"/>
    <mergeCell ref="P23:T23"/>
    <mergeCell ref="D162:E162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2026-09-02T16:06:56Z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