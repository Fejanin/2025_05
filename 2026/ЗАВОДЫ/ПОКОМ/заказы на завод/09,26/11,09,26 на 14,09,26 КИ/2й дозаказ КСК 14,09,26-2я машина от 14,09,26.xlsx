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D77ACFF-76E6-42B6-B90B-33E8C9B4E13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64" i="2" l="1"/>
  <c r="BN157" i="2"/>
  <c r="BN277" i="2"/>
  <c r="BN299" i="2"/>
  <c r="BN306" i="2"/>
  <c r="BN393" i="2"/>
  <c r="Z58" i="2"/>
  <c r="BN60" i="2"/>
  <c r="BN80" i="2"/>
  <c r="BP85" i="2"/>
  <c r="BN86" i="2"/>
  <c r="BN106" i="2"/>
  <c r="Z195" i="2"/>
  <c r="BN232" i="2"/>
  <c r="Z236" i="2"/>
  <c r="BN285" i="2"/>
  <c r="Y300" i="2"/>
  <c r="BN347" i="2"/>
  <c r="Z349" i="2"/>
  <c r="BN349" i="2"/>
  <c r="BN360" i="2"/>
  <c r="BP385" i="2"/>
  <c r="BN387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457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00" i="2" l="1"/>
  <c r="Z218" i="2"/>
  <c r="Z553" i="2"/>
  <c r="Z484" i="2"/>
  <c r="Z99" i="2"/>
  <c r="Z32" i="2"/>
  <c r="Z414" i="2"/>
  <c r="Z325" i="2"/>
  <c r="Z452" i="2"/>
  <c r="Z177" i="2"/>
  <c r="Z198" i="2"/>
  <c r="Z51" i="2"/>
  <c r="Z134" i="2"/>
  <c r="Z61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<sst xmlns="http://schemas.openxmlformats.org/spreadsheetml/2006/main" count="4310" uniqueCount="900">
  <si>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</si>
  <si>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</si>
  <si>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</si>
  <si>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</si>
  <si>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</si>
  <si>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</si>
  <si>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</si>
  <si>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</si>
  <si>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</si>
  <si>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</si>
  <si>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</si>
  <si>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</si>
  <si>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</si>
  <si>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</si>
  <si>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</si>
  <si>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</si>
  <si>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</si>
  <si>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</si>
  <si>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</si>
  <si>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</si>
  <si>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</si>
  <si>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</si>
  <si>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</si>
  <si>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</si>
  <si>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</si>
  <si>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</si>
  <si>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</si>
  <si>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</si>
  <si>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</si>
  <si>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</si>
  <si>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</si>
  <si>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</si>
  <si>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</si>
  <si>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</si>
  <si>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</si>
  <si>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</si>
  <si>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</si>
  <si>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</si>
  <si>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</si>
  <si>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</si>
  <si>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</si>
  <si>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</si>
  <si>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</si>
  <si>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</si>
  <si>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</si>
  <si>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</si>
  <si>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</si>
  <si>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</si>
  <si>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</si>
  <si>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</si>
  <si>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</si>
  <si>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</si>
  <si>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</si>
  <si>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</si>
  <si>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</si>
  <si>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</si>
  <si>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</si>
  <si>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</si>
  <si>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</si>
  <si>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</si>
  <si>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</si>
  <si>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</si>
  <si>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</si>
  <si>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</si>
  <si>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</si>
  <si>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</si>
  <si>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</si>
  <si>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</si>
  <si>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</si>
  <si>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</si>
  <si>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</si>
  <si>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</si>
  <si>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</si>
  <si>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</si>
  <si>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</si>
  <si>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</si>
  <si>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</si>
  <si>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</si>
  <si>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</si>
  <si>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</si>
  <si>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</si>
  <si>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</si>
  <si>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</si>
  <si>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</si>
  <si>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</si>
  <si>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</si>
  <si>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</si>
  <si>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</si>
  <si>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</si>
  <si>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</si>
  <si>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</si>
  <si>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</si>
  <si>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</si>
  <si>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</si>
  <si>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</si>
  <si>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</si>
  <si>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</si>
  <si>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</si>
  <si>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</si>
  <si>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</si>
  <si>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</si>
  <si>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</si>
  <si>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</si>
  <si>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</si>
  <si>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</si>
  <si>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</si>
  <si>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</si>
  <si>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</si>
  <si>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</si>
  <si>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</si>
  <si>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</si>
  <si>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</si>
  <si>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</si>
  <si>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</si>
  <si>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</si>
  <si>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</si>
  <si>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</si>
  <si>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</si>
  <si>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</si>
  <si>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</si>
  <si>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</si>
  <si>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</si>
  <si>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</si>
  <si>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</si>
  <si>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</si>
  <si>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</si>
  <si>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</si>
  <si>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</si>
  <si>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</si>
  <si>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</si>
  <si>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</si>
  <si>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</si>
  <si>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</si>
  <si>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</si>
  <si>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</si>
  <si>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</si>
  <si>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</si>
  <si>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</si>
  <si>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</si>
  <si>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</si>
  <si>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</si>
  <si>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</si>
  <si>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</si>
  <si>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</si>
  <si>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</si>
  <si>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</si>
  <si>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</si>
  <si>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</si>
  <si>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</si>
  <si>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</si>
  <si>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</si>
  <si>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</si>
  <si>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</si>
  <si>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</si>
  <si>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</si>
  <si>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</si>
  <si>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</si>
  <si>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</si>
  <si>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</si>
  <si>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</si>
  <si>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</si>
  <si>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</si>
  <si>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</si>
  <si>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</si>
  <si>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</si>
  <si>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</si>
  <si>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</si>
  <si>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</si>
  <si>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</si>
  <si>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</si>
  <si>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</si>
  <si>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</si>
  <si>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</si>
  <si>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</si>
  <si>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</si>
  <si>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</si>
  <si>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</si>
  <si>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</si>
  <si>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</si>
  <si>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</si>
  <si>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</si>
  <si>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</si>
  <si>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</si>
  <si>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</si>
  <si>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</si>
  <si>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</si>
  <si>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</si>
  <si>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</si>
  <si>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</si>
  <si>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</si>
  <si>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</si>
  <si>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</si>
  <si>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</si>
  <si>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</si>
  <si>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</si>
  <si>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</si>
  <si>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</si>
  <si>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</si>
  <si>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</si>
  <si>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</si>
  <si>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</si>
  <si>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</si>
  <si>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</si>
  <si>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</si>
  <si>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</si>
  <si>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</si>
  <si>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</si>
  <si>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</si>
  <si>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</si>
  <si>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</si>
  <si>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</si>
  <si>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</si>
  <si>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</si>
  <si>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</si>
  <si>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</si>
  <si>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</si>
  <si>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</si>
  <si>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</si>
  <si>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</si>
  <si>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</si>
  <si>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</si>
  <si>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</si>
  <si>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</si>
  <si>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</si>
  <si>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</si>
  <si>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</si>
  <si>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</si>
  <si>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</si>
  <si>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</si>
  <si>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</si>
  <si>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</si>
  <si>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</si>
  <si>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</si>
  <si>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</si>
  <si>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</si>
  <si>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</si>
  <si>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</si>
  <si>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</si>
  <si>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</si>
  <si>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</si>
  <si>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</si>
  <si>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</si>
  <si>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</si>
  <si>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</si>
  <si>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</si>
  <si>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</si>
  <si>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</si>
  <si>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</si>
  <si>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</si>
  <si>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</si>
  <si>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</si>
  <si>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</si>
  <si>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</si>
  <si>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</si>
  <si>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</si>
  <si>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</si>
  <si>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</si>
  <si>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</si>
  <si>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</si>
  <si>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</si>
  <si>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</si>
  <si>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</si>
  <si>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</si>
  <si>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</si>
  <si>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</si>
  <si>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</si>
  <si>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</si>
  <si>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</si>
  <si>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</si>
  <si>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</si>
  <si>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</si>
  <si>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</si>
  <si>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</si>
  <si>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</si>
  <si>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</si>
  <si>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</si>
  <si>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</si>
  <si>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</si>
  <si>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</si>
  <si>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</si>
  <si>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</si>
  <si>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</si>
  <si>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</si>
  <si>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</si>
  <si>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</si>
  <si>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</si>
  <si>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</si>
  <si>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</si>
  <si>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</si>
  <si>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</si>
  <si>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</si>
  <si>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</si>
  <si>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</si>
  <si>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</si>
  <si>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</si>
  <si>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</si>
  <si>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</si>
  <si>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</si>
  <si>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</si>
  <si>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</si>
  <si>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</si>
  <si>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</si>
  <si>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</si>
  <si>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</si>
  <si>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</si>
  <si>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</si>
  <si>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</si>
  <si>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</si>
  <si>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</si>
  <si>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</si>
  <si>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</si>
  <si>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</si>
  <si>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</si>
  <si>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</si>
  <si>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</si>
  <si>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</si>
  <si>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</si>
  <si>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</si>
  <si>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</si>
  <si>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</si>
  <si>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</si>
  <si>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</si>
  <si>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</si>
  <si>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</si>
  <si>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</si>
  <si>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</si>
  <si>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</si>
  <si>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</si>
  <si>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</si>
  <si>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</si>
  <si>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</si>
  <si>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</si>
  <si>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</si>
  <si>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</si>
  <si>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</si>
  <si>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</si>
  <si>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</si>
  <si>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</si>
  <si>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</si>
  <si>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</si>
  <si>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</si>
  <si>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</si>
  <si>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</si>
  <si>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</si>
  <si>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</si>
  <si>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</si>
  <si>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</si>
  <si>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</si>
  <si>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</si>
  <si>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</si>
  <si>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</si>
  <si>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</si>
  <si>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</si>
  <si>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</si>
  <si>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</si>
  <si>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</si>
  <si>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</si>
  <si>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</si>
  <si>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</si>
  <si>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</si>
  <si>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</si>
  <si>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</si>
  <si>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</si>
  <si>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</si>
  <si>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</si>
  <si>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</si>
  <si>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</si>
  <si>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</si>
  <si>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</si>
  <si>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</si>
  <si>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</si>
  <si>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</si>
  <si>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</si>
  <si>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</si>
  <si>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</si>
  <si>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</si>
  <si>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</si>
  <si>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</si>
  <si>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</si>
  <si>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</si>
  <si>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</si>
  <si>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</si>
  <si>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</si>
  <si>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</si>
  <si>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</si>
  <si>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</si>
  <si>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</si>
  <si>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</si>
  <si>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</si>
  <si>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</si>
  <si>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</si>
  <si>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</si>
  <si>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</si>
  <si>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</si>
  <si>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</si>
  <si>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</si>
  <si>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</si>
  <si>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</si>
  <si>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</si>
  <si>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</si>
  <si>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</si>
  <si>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</si>
  <si>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</si>
  <si>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</si>
  <si>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</si>
  <si>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</si>
  <si>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</si>
  <si>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</si>
  <si>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</si>
  <si>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</si>
  <si>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</si>
  <si>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</si>
  <si>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</si>
  <si>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</si>
  <si>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</si>
  <si>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</si>
  <si>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</si>
  <si>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</si>
  <si>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</si>
  <si>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</si>
  <si>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</si>
  <si>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</si>
  <si>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</si>
  <si>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</si>
  <si>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</si>
  <si>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</si>
  <si>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</si>
  <si>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</si>
  <si>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</si>
  <si>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</si>
  <si>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</si>
  <si>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</si>
  <si>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</si>
  <si>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</si>
  <si>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</si>
  <si>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</si>
  <si>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</si>
  <si>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</si>
  <si>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</si>
  <si>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</si>
  <si>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</si>
  <si>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</si>
  <si>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</si>
  <si>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</si>
  <si>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</si>
  <si>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</si>
  <si>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</si>
  <si>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</si>
  <si>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</si>
  <si>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</si>
  <si>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</si>
  <si>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</si>
  <si>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</si>
  <si>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</si>
  <si>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</si>
  <si>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</si>
  <si>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</si>
  <si>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</si>
  <si>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</si>
  <si>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</si>
  <si>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</si>
  <si>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</si>
  <si>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</si>
  <si>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</si>
  <si>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</si>
  <si>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</si>
  <si>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</si>
  <si>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</si>
  <si>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</si>
  <si>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</si>
  <si>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</si>
  <si>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</si>
  <si>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</si>
  <si>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</si>
  <si>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</si>
  <si>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</si>
  <si>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</si>
  <si>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</si>
  <si>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</si>
  <si>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</si>
  <si>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</si>
  <si>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</si>
  <si>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</si>
  <si>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</si>
  <si>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</si>
  <si>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</si>
  <si>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</si>
  <si>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</si>
  <si>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</si>
  <si>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</si>
  <si>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</si>
  <si>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</si>
  <si>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</si>
  <si>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</si>
  <si>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</si>
  <si>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</si>
  <si>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</si>
  <si>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</si>
  <si>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</si>
  <si>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</si>
  <si>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</si>
  <si>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</si>
  <si>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</si>
  <si>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</si>
  <si>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</si>
  <si>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</si>
  <si>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</si>
  <si>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</si>
  <si>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</si>
  <si>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</si>
  <si>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</si>
  <si>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</si>
  <si>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</si>
  <si>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</si>
  <si>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</si>
  <si>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</si>
  <si>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</si>
  <si>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</si>
  <si>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</si>
  <si>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</si>
  <si>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</si>
  <si>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</si>
  <si>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</si>
  <si>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</si>
  <si>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</si>
  <si>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</si>
  <si>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</si>
  <si>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</si>
  <si>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</si>
  <si>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</si>
  <si>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</si>
  <si>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</si>
  <si>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</si>
  <si>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</si>
  <si>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</si>
  <si>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</si>
  <si>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</si>
  <si>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</si>
  <si>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</si>
  <si>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</si>
  <si>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</si>
  <si>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</si>
  <si>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</si>
  <si>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</si>
  <si>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</si>
  <si>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</si>
  <si>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</si>
  <si>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</si>
  <si>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</si>
  <si>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</si>
  <si>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</si>
  <si>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</si>
  <si>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</si>
  <si>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</si>
  <si>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</si>
  <si>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</si>
  <si>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</si>
  <si>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</si>
  <si>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</si>
  <si>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</si>
  <si>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</si>
  <si>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</si>
  <si>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</si>
  <si>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</si>
  <si>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</si>
  <si>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</si>
  <si>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</si>
  <si>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</si>
  <si>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</si>
  <si>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</si>
  <si>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</si>
  <si>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</si>
  <si>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</si>
  <si>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</si>
  <si>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</si>
  <si>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</si>
  <si>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</si>
  <si>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</si>
  <si>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</si>
  <si>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</si>
  <si>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</si>
  <si>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</si>
  <si>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</si>
  <si>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</si>
  <si>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</si>
  <si>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</si>
  <si>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</si>
  <si>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</si>
  <si>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</si>
  <si>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</si>
  <si>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</si>
  <si>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</si>
  <si>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</si>
  <si>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</si>
  <si>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</si>
  <si>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</si>
  <si>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</si>
  <si>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</si>
  <si>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</si>
  <si>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</si>
  <si>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</si>
  <si>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</si>
  <si>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</si>
  <si>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</si>
  <si>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</si>
  <si>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</si>
  <si>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</si>
  <si>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</si>
  <si>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</si>
  <si>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</si>
  <si>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</si>
  <si>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</si>
  <si>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</si>
  <si>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</si>
  <si>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</si>
  <si>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</si>
  <si>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</si>
  <si>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</si>
  <si>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</si>
  <si>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</si>
  <si>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</si>
  <si>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</si>
  <si>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</si>
  <si>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</si>
  <si>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</si>
  <si>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</si>
  <si>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</si>
  <si>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</si>
  <si>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</si>
  <si>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</si>
  <si>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</si>
  <si>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</si>
  <si>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</si>
  <si>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</si>
  <si>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</si>
  <si>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</si>
  <si>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</si>
  <si>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</si>
  <si>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</si>
  <si>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</si>
  <si>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</si>
  <si>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</si>
  <si>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</si>
  <si>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</si>
  <si>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</si>
  <si>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</si>
  <si>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</si>
  <si>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</si>
  <si>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</si>
  <si>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</si>
  <si>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</si>
  <si>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</si>
  <si>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</si>
  <si>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</si>
  <si>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</si>
  <si>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</si>
  <si>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</si>
  <si>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</si>
  <si>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</si>
  <si>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</si>
  <si>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</si>
  <si>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</si>
  <si>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</si>
  <si>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</si>
  <si>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</si>
  <si>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</si>
  <si>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</si>
  <si>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</si>
  <si>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</si>
  <si>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</si>
  <si>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</si>
  <si>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</si>
  <si>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</si>
  <si>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</si>
  <si>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</si>
  <si>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</si>
  <si>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</si>
  <si>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</si>
  <si>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</si>
  <si>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</si>
  <si>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</si>
  <si>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</si>
  <si>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</si>
  <si>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</si>
  <si>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</si>
  <si>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</si>
  <si>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</si>
  <si>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</si>
  <si>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</si>
  <si>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</si>
  <si>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</si>
  <si>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</si>
  <si>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</si>
  <si>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</si>
  <si>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</si>
  <si>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</si>
  <si>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</si>
  <si>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</si>
  <si>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</si>
  <si>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</si>
  <si>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</si>
  <si>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</si>
  <si>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</si>
  <si>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</si>
  <si>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</si>
  <si>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</si>
  <si>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</si>
  <si>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</si>
  <si>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</si>
  <si>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</si>
  <si>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</si>
  <si>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</si>
  <si>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</si>
  <si>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</si>
  <si>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</si>
  <si>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</si>
  <si>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</si>
  <si>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</si>
  <si>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</si>
  <si>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</si>
  <si>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</si>
  <si>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</si>
  <si>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</si>
  <si>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</si>
  <si>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</si>
  <si>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</si>
  <si>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</si>
  <si>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</si>
  <si>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</si>
  <si>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</si>
  <si>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</si>
  <si>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</si>
  <si>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</si>
  <si>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</si>
  <si>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</si>
  <si>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</si>
  <si>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</si>
  <si>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</si>
  <si>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</si>
  <si>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</si>
  <si>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</si>
  <si>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</si>
  <si>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</si>
  <si>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</si>
  <si>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</si>
  <si>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</si>
  <si>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</si>
  <si>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</si>
  <si>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</si>
  <si>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</si>
  <si>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</si>
  <si>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</si>
  <si>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</si>
  <si>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</si>
  <si>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</si>
  <si>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</si>
  <si>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</si>
  <si>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</si>
  <si>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</si>
  <si>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</si>
  <si>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</si>
  <si>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</si>
  <si>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</si>
  <si>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</si>
  <si>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</si>
  <si>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</si>
  <si>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</si>
  <si>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</si>
  <si>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</si>
  <si>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</si>
  <si>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</si>
  <si>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</si>
  <si>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</si>
  <si>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</si>
  <si>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</si>
  <si>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</si>
  <si>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</si>
  <si>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</si>
  <si>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</si>
  <si>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</si>
  <si>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</si>
  <si>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</si>
  <si>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</si>
  <si>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</si>
  <si>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</si>
  <si>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</si>
  <si>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</si>
  <si>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</si>
  <si>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</si>
  <si>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</si>
  <si>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</si>
  <si>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</si>
  <si>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</si>
  <si>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</si>
  <si>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</si>
  <si>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</si>
  <si>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</si>
  <si>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</si>
  <si>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</si>
  <si>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</si>
  <si>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</si>
  <si>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</si>
  <si>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</si>
  <si>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</si>
  <si>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</si>
  <si>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</si>
  <si>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</si>
  <si>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</si>
  <si>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</si>
  <si>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</si>
  <si>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</si>
  <si>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</si>
  <si>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</si>
  <si>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</si>
  <si>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</si>
  <si>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</si>
  <si>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</si>
  <si>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</si>
  <si>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</si>
  <si>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</si>
  <si>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</si>
  <si>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</si>
  <si>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</si>
  <si>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</si>
  <si>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</si>
  <si>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</si>
  <si>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</si>
  <si>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</si>
  <si>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</si>
  <si>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</si>
  <si>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</si>
  <si>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</si>
  <si>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</si>
  <si>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</si>
  <si>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</si>
  <si>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</si>
  <si>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</si>
  <si>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</si>
  <si>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</si>
  <si>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</si>
  <si>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</si>
  <si>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</si>
  <si>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</si>
  <si>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</si>
  <si>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</si>
  <si>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</si>
  <si>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</si>
  <si>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</si>
  <si>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</si>
  <si>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</si>
  <si>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</si>
  <si>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</si>
  <si>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</si>
  <si>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</si>
  <si>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</si>
  <si>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</si>
  <si>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</si>
  <si>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</si>
  <si>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</si>
  <si>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</si>
  <si>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</si>
  <si>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</si>
  <si>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</si>
  <si>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</si>
  <si>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</si>
  <si>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</si>
  <si>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</si>
  <si>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</si>
  <si>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</si>
  <si>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</si>
  <si>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</si>
  <si>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</si>
  <si>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</si>
  <si>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</si>
  <si>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</si>
  <si>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</si>
  <si>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</si>
  <si>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</si>
  <si>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</si>
  <si>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</si>
  <si>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</si>
  <si>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</si>
  <si>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</si>
  <si>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</si>
  <si>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</si>
  <si>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</si>
  <si>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</si>
  <si>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</si>
  <si>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</si>
  <si>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</si>
  <si>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</si>
  <si>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</si>
  <si>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</si>
  <si>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</si>
  <si>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</si>
  <si>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</si>
  <si>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</si>
  <si>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</si>
  <si>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</si>
  <si>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от 14,09 на 2-00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</si>
</sst>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899</v>
      </c>
      <c r="I5" s="1001"/>
      <c r="J5" s="1001"/>
      <c r="K5" s="1001"/>
      <c r="L5" s="1001"/>
      <c r="M5" s="1001"/>
      <c r="N5" s="72"/>
      <c r="P5" s="27" t="s">
        <v>4</v>
      </c>
      <c r="Q5" s="1003">
        <v>46280</v>
      </c>
      <c r="R5" s="1003"/>
      <c r="T5" s="1004" t="s">
        <v>3</v>
      </c>
      <c r="U5" s="1005"/>
      <c r="V5" s="1006" t="s">
        <v>879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880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Вторник</v>
      </c>
      <c r="R6" s="1009"/>
      <c r="T6" s="1010" t="s">
        <v>5</v>
      </c>
      <c r="U6" s="1011"/>
      <c r="V6" s="1012" t="s">
        <v>69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1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57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0.5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70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898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71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72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73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74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60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58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65</v>
      </c>
      <c r="L17" s="955" t="s">
        <v>63</v>
      </c>
      <c r="M17" s="955" t="s">
        <v>2</v>
      </c>
      <c r="N17" s="955" t="s">
        <v>62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55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59</v>
      </c>
      <c r="AB17" s="961" t="s">
        <v>19</v>
      </c>
      <c r="AC17" s="961" t="s">
        <v>64</v>
      </c>
      <c r="AD17" s="963" t="s">
        <v>56</v>
      </c>
      <c r="AE17" s="964"/>
      <c r="AF17" s="965"/>
      <c r="AG17" s="82"/>
      <c r="BD17" s="81" t="s">
        <v>61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75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76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85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103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85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120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121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136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121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154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85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172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181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121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24" t="s">
        <v>189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85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15" t="s">
        <v>198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18" t="s">
        <v>204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208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121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0" t="s">
        <v>222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154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85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4" t="s">
        <v>242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97" t="s">
        <v>248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99" t="s">
        <v>253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172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890" t="s">
        <v>258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259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121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76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85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272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85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288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119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121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154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76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60" t="s">
        <v>323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2" t="s">
        <v>329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85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288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355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360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121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154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76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85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288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445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448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121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154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76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85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172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516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121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154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538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355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549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121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565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85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574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76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85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595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121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604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121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76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85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172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288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670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679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688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85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695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85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705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706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121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400</v>
      </c>
      <c r="Y433" s="55">
        <f t="shared" si="68"/>
        <v>405</v>
      </c>
      <c r="Z433" s="41">
        <f>IFERROR(IF(Y433=0,"",ROUNDUP(Y433/H433,0)*0.02175),"")</f>
        <v>0.58724999999999994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412.53333333333336</v>
      </c>
      <c r="BN433" s="78">
        <f t="shared" si="70"/>
        <v>417.69</v>
      </c>
      <c r="BO433" s="78">
        <f t="shared" si="71"/>
        <v>0.55555555555555558</v>
      </c>
      <c r="BP433" s="78">
        <f t="shared" si="72"/>
        <v>0.5625</v>
      </c>
    </row>
    <row r="434" spans="1:68" ht="27" hidden="1" customHeight="1" x14ac:dyDescent="0.25">
      <c r="A434" s="63" t="s">
        <v>713</v>
      </c>
      <c r="B434" s="63" t="s">
        <v>714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350</v>
      </c>
      <c r="Y435" s="55">
        <f t="shared" si="68"/>
        <v>360</v>
      </c>
      <c r="Z435" s="41">
        <f>IFERROR(IF(Y435=0,"",ROUNDUP(Y435/H435,0)*0.02175),"")</f>
        <v>0.52200000000000002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360.96666666666664</v>
      </c>
      <c r="BN435" s="78">
        <f t="shared" si="70"/>
        <v>371.28</v>
      </c>
      <c r="BO435" s="78">
        <f t="shared" si="71"/>
        <v>0.48611111111111105</v>
      </c>
      <c r="BP435" s="78">
        <f t="shared" si="72"/>
        <v>0.5</v>
      </c>
    </row>
    <row r="436" spans="1:68" ht="27" hidden="1" customHeight="1" x14ac:dyDescent="0.25">
      <c r="A436" s="63" t="s">
        <v>719</v>
      </c>
      <c r="B436" s="63" t="s">
        <v>720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50</v>
      </c>
      <c r="Y440" s="43">
        <f>IFERROR(Y432/H432,"0")+IFERROR(Y433/H433,"0")+IFERROR(Y434/H434,"0")+IFERROR(Y435/H435,"0")+IFERROR(Y436/H436,"0")+IFERROR(Y437/H437,"0")+IFERROR(Y438/H438,"0")+IFERROR(Y439/H439,"0")</f>
        <v>51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1.1092499999999998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750</v>
      </c>
      <c r="Y441" s="43">
        <f>IFERROR(SUM(Y432:Y439),"0")</f>
        <v>765</v>
      </c>
      <c r="Z441" s="42"/>
      <c r="AA441" s="67"/>
      <c r="AB441" s="67"/>
      <c r="AC441" s="67"/>
    </row>
    <row r="442" spans="1:68" ht="14.25" hidden="1" customHeight="1" x14ac:dyDescent="0.25">
      <c r="A442" s="664" t="s">
        <v>154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hidden="1" customHeight="1" x14ac:dyDescent="0.25">
      <c r="A443" s="63" t="s">
        <v>731</v>
      </c>
      <c r="B443" s="63" t="s">
        <v>732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4" t="s">
        <v>85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172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755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121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76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85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771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772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76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85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795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154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76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807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807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121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154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76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854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854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121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76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85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172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873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154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750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765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773.5</v>
      </c>
      <c r="Y561" s="43">
        <f>IFERROR(SUM(BN22:BN557),"0")</f>
        <v>788.97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2</v>
      </c>
      <c r="Y562" s="44">
        <f>ROUNDUP(SUM(BP22:BP557),0)</f>
        <v>2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823.5</v>
      </c>
      <c r="Y563" s="43">
        <f>GrossWeightTotalR+PalletQtyTotalR*25</f>
        <v>838.97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50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51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1.1092499999999998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654" t="s">
        <v>119</v>
      </c>
      <c r="E567" s="654" t="s">
        <v>119</v>
      </c>
      <c r="F567" s="654" t="s">
        <v>119</v>
      </c>
      <c r="G567" s="654" t="s">
        <v>119</v>
      </c>
      <c r="H567" s="654" t="s">
        <v>119</v>
      </c>
      <c r="I567" s="654" t="s">
        <v>119</v>
      </c>
      <c r="J567" s="654" t="s">
        <v>119</v>
      </c>
      <c r="K567" s="654" t="s">
        <v>359</v>
      </c>
      <c r="L567" s="654" t="s">
        <v>359</v>
      </c>
      <c r="M567" s="654" t="s">
        <v>359</v>
      </c>
      <c r="N567" s="655"/>
      <c r="O567" s="654" t="s">
        <v>359</v>
      </c>
      <c r="P567" s="654" t="s">
        <v>359</v>
      </c>
      <c r="Q567" s="654" t="s">
        <v>359</v>
      </c>
      <c r="R567" s="654" t="s">
        <v>359</v>
      </c>
      <c r="S567" s="654" t="s">
        <v>359</v>
      </c>
      <c r="T567" s="654" t="s">
        <v>359</v>
      </c>
      <c r="U567" s="654" t="s">
        <v>359</v>
      </c>
      <c r="V567" s="654" t="s">
        <v>359</v>
      </c>
      <c r="W567" s="654" t="s">
        <v>705</v>
      </c>
      <c r="X567" s="654" t="s">
        <v>705</v>
      </c>
      <c r="Y567" s="654" t="s">
        <v>771</v>
      </c>
      <c r="Z567" s="654" t="s">
        <v>771</v>
      </c>
      <c r="AA567" s="85" t="s">
        <v>807</v>
      </c>
      <c r="AB567" s="654" t="s">
        <v>854</v>
      </c>
      <c r="AC567" s="654" t="s">
        <v>854</v>
      </c>
      <c r="AF567" s="1"/>
    </row>
    <row r="568" spans="1:32" ht="14.25" customHeight="1" thickTop="1" x14ac:dyDescent="0.2">
      <c r="A568" s="656" t="s">
        <v>10</v>
      </c>
      <c r="B568" s="654" t="s">
        <v>75</v>
      </c>
      <c r="C568" s="654" t="s">
        <v>103</v>
      </c>
      <c r="D568" s="654" t="s">
        <v>120</v>
      </c>
      <c r="E568" s="654" t="s">
        <v>136</v>
      </c>
      <c r="F568" s="654" t="s">
        <v>181</v>
      </c>
      <c r="G568" s="654" t="s">
        <v>208</v>
      </c>
      <c r="H568" s="654" t="s">
        <v>259</v>
      </c>
      <c r="I568" s="654" t="s">
        <v>272</v>
      </c>
      <c r="J568" s="654" t="s">
        <v>119</v>
      </c>
      <c r="K568" s="654" t="s">
        <v>360</v>
      </c>
      <c r="L568" s="654" t="s">
        <v>381</v>
      </c>
      <c r="M568" s="654" t="s">
        <v>448</v>
      </c>
      <c r="N568" s="1"/>
      <c r="O568" s="654" t="s">
        <v>516</v>
      </c>
      <c r="P568" s="654" t="s">
        <v>549</v>
      </c>
      <c r="Q568" s="654" t="s">
        <v>565</v>
      </c>
      <c r="R568" s="654" t="s">
        <v>574</v>
      </c>
      <c r="S568" s="654" t="s">
        <v>595</v>
      </c>
      <c r="T568" s="654" t="s">
        <v>604</v>
      </c>
      <c r="U568" s="654" t="s">
        <v>688</v>
      </c>
      <c r="V568" s="654" t="s">
        <v>695</v>
      </c>
      <c r="W568" s="654" t="s">
        <v>706</v>
      </c>
      <c r="X568" s="654" t="s">
        <v>755</v>
      </c>
      <c r="Y568" s="654" t="s">
        <v>772</v>
      </c>
      <c r="Z568" s="654" t="s">
        <v>795</v>
      </c>
      <c r="AA568" s="654" t="s">
        <v>807</v>
      </c>
      <c r="AB568" s="654" t="s">
        <v>854</v>
      </c>
      <c r="AC568" s="654" t="s">
        <v>873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765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350,00"/>
        <filter val="400,00"/>
        <filter val="50,00"/>
        <filter val="750,00"/>
        <filter val="773,50"/>
        <filter val="823,5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2026-09-15T08:51:05Z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