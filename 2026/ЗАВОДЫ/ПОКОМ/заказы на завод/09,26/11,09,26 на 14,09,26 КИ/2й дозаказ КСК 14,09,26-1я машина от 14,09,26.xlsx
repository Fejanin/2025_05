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EDFC3B4-AD56-4B76-9BC1-11711F59F82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218" i="2"/>
  <c r="Z553" i="2"/>
  <c r="Z484" i="2"/>
  <c r="Z99" i="2"/>
  <c r="Z32" i="2"/>
  <c r="Z414" i="2"/>
  <c r="Z325" i="2"/>
  <c r="Z452" i="2"/>
  <c r="Z177" i="2"/>
  <c r="Z198" i="2"/>
  <c r="Z51" i="2"/>
  <c r="Z134" i="2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<sst xmlns="http://schemas.openxmlformats.org/spreadsheetml/2006/main" count="4310" uniqueCount="900">
  <si>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</si>
  <si>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</si>
  <si>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</si>
  <si>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</si>
  <si>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</si>
  <si>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</si>
  <si>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</si>
  <si>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</si>
  <si>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</si>
  <si>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</si>
  <si>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</si>
  <si>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</si>
  <si>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</si>
  <si>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</si>
  <si>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</si>
  <si>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</si>
  <si>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</si>
  <si>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</si>
  <si>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</si>
  <si>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</si>
  <si>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</si>
  <si>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</si>
  <si>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</si>
  <si>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</si>
  <si>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</si>
  <si>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</si>
  <si>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</si>
  <si>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</si>
  <si>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</si>
  <si>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</si>
  <si>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</si>
  <si>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</si>
  <si>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</si>
  <si>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</si>
  <si>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</si>
  <si>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</si>
  <si>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</si>
  <si>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</si>
  <si>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</si>
  <si>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</si>
  <si>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</si>
  <si>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</si>
  <si>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</si>
  <si>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</si>
  <si>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</si>
  <si>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</si>
  <si>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</si>
  <si>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</si>
  <si>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</si>
  <si>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</si>
  <si>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</si>
  <si>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</si>
  <si>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</si>
  <si>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</si>
  <si>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</si>
  <si>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</si>
  <si>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</si>
  <si>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</si>
  <si>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</si>
  <si>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</si>
  <si>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</si>
  <si>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</si>
  <si>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</si>
  <si>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</si>
  <si>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</si>
  <si>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</si>
  <si>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</si>
  <si>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</si>
  <si>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</si>
  <si>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</si>
  <si>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</si>
  <si>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</si>
  <si>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</si>
  <si>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</si>
  <si>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</si>
  <si>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</si>
  <si>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</si>
  <si>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</si>
  <si>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</si>
  <si>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</si>
  <si>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</si>
  <si>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</si>
  <si>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</si>
  <si>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</si>
  <si>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</si>
  <si>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</si>
  <si>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</si>
  <si>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</si>
  <si>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</si>
  <si>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</si>
  <si>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</si>
  <si>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</si>
  <si>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</si>
  <si>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</si>
  <si>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</si>
  <si>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</si>
  <si>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</si>
  <si>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</si>
  <si>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</si>
  <si>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</si>
  <si>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</si>
  <si>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</si>
  <si>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</si>
  <si>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</si>
  <si>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</si>
  <si>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</si>
  <si>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</si>
  <si>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</si>
  <si>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</si>
  <si>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</si>
  <si>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</si>
  <si>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</si>
  <si>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</si>
  <si>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</si>
  <si>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</si>
  <si>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</si>
  <si>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</si>
  <si>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</si>
  <si>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</si>
  <si>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</si>
  <si>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</si>
  <si>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</si>
  <si>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</si>
  <si>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</si>
  <si>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</si>
  <si>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</si>
  <si>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</si>
  <si>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</si>
  <si>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</si>
  <si>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</si>
  <si>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</si>
  <si>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</si>
  <si>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</si>
  <si>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</si>
  <si>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</si>
  <si>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</si>
  <si>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</si>
  <si>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</si>
  <si>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</si>
  <si>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</si>
  <si>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</si>
  <si>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</si>
  <si>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</si>
  <si>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</si>
  <si>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</si>
  <si>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</si>
  <si>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</si>
  <si>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</si>
  <si>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</si>
  <si>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</si>
  <si>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</si>
  <si>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</si>
  <si>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</si>
  <si>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</si>
  <si>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</si>
  <si>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</si>
  <si>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</si>
  <si>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</si>
  <si>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</si>
  <si>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</si>
  <si>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</si>
  <si>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</si>
  <si>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</si>
  <si>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</si>
  <si>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</si>
  <si>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</si>
  <si>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</si>
  <si>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</si>
  <si>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</si>
  <si>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</si>
  <si>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</si>
  <si>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</si>
  <si>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</si>
  <si>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</si>
  <si>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</si>
  <si>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</si>
  <si>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</si>
  <si>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</si>
  <si>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</si>
  <si>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</si>
  <si>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</si>
  <si>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</si>
  <si>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</si>
  <si>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</si>
  <si>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</si>
  <si>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</si>
  <si>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</si>
  <si>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</si>
  <si>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</si>
  <si>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</si>
  <si>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</si>
  <si>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</si>
  <si>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</si>
  <si>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</si>
  <si>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</si>
  <si>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</si>
  <si>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</si>
  <si>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</si>
  <si>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</si>
  <si>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</si>
  <si>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</si>
  <si>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</si>
  <si>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</si>
  <si>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</si>
  <si>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</si>
  <si>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</si>
  <si>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</si>
  <si>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</si>
  <si>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</si>
  <si>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</si>
  <si>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</si>
  <si>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</si>
  <si>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</si>
  <si>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</si>
  <si>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</si>
  <si>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</si>
  <si>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</si>
  <si>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</si>
  <si>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</si>
  <si>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</si>
  <si>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</si>
  <si>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</si>
  <si>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</si>
  <si>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</si>
  <si>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</si>
  <si>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</si>
  <si>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</si>
  <si>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</si>
  <si>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</si>
  <si>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</si>
  <si>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</si>
  <si>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</si>
  <si>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</si>
  <si>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</si>
  <si>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</si>
  <si>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</si>
  <si>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</si>
  <si>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</si>
  <si>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</si>
  <si>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</si>
  <si>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</si>
  <si>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</si>
  <si>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</si>
  <si>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</si>
  <si>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</si>
  <si>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</si>
  <si>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</si>
  <si>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</si>
  <si>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</si>
  <si>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</si>
  <si>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</si>
  <si>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</si>
  <si>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</si>
  <si>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</si>
  <si>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</si>
  <si>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</si>
  <si>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</si>
  <si>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</si>
  <si>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</si>
  <si>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</si>
  <si>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</si>
  <si>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</si>
  <si>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</si>
  <si>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</si>
  <si>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</si>
  <si>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</si>
  <si>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</si>
  <si>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</si>
  <si>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</si>
  <si>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</si>
  <si>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</si>
  <si>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</si>
  <si>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</si>
  <si>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</si>
  <si>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</si>
  <si>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</si>
  <si>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</si>
  <si>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</si>
  <si>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</si>
  <si>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</si>
  <si>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</si>
  <si>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</si>
  <si>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</si>
  <si>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</si>
  <si>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</si>
  <si>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</si>
  <si>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</si>
  <si>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</si>
  <si>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</si>
  <si>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</si>
  <si>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</si>
  <si>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</si>
  <si>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</si>
  <si>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</si>
  <si>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</si>
  <si>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</si>
  <si>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</si>
  <si>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</si>
  <si>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</si>
  <si>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</si>
  <si>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</si>
  <si>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</si>
  <si>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</si>
  <si>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</si>
  <si>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</si>
  <si>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</si>
  <si>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</si>
  <si>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</si>
  <si>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</si>
  <si>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</si>
  <si>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</si>
  <si>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</si>
  <si>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</si>
  <si>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</si>
  <si>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</si>
  <si>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</si>
  <si>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</si>
  <si>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</si>
  <si>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</si>
  <si>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</si>
  <si>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</si>
  <si>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</si>
  <si>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</si>
  <si>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</si>
  <si>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</si>
  <si>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</si>
  <si>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</si>
  <si>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</si>
  <si>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</si>
  <si>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</si>
  <si>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</si>
  <si>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</si>
  <si>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</si>
  <si>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</si>
  <si>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</si>
  <si>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</si>
  <si>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</si>
  <si>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</si>
  <si>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</si>
  <si>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</si>
  <si>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</si>
  <si>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</si>
  <si>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</si>
  <si>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</si>
  <si>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</si>
  <si>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</si>
  <si>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</si>
  <si>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</si>
  <si>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</si>
  <si>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</si>
  <si>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</si>
  <si>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</si>
  <si>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</si>
  <si>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</si>
  <si>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</si>
  <si>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</si>
  <si>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</si>
  <si>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</si>
  <si>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</si>
  <si>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</si>
  <si>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</si>
  <si>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</si>
  <si>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</si>
  <si>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</si>
  <si>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</si>
  <si>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</si>
  <si>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</si>
  <si>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</si>
  <si>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</si>
  <si>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</si>
  <si>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</si>
  <si>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</si>
  <si>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</si>
  <si>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</si>
  <si>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</si>
  <si>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</si>
  <si>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</si>
  <si>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</si>
  <si>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</si>
  <si>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</si>
  <si>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</si>
  <si>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</si>
  <si>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</si>
  <si>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</si>
  <si>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</si>
  <si>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</si>
  <si>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</si>
  <si>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</si>
  <si>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</si>
  <si>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</si>
  <si>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</si>
  <si>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</si>
  <si>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</si>
  <si>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</si>
  <si>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</si>
  <si>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</si>
  <si>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</si>
  <si>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</si>
  <si>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</si>
  <si>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</si>
  <si>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</si>
  <si>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</si>
  <si>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</si>
  <si>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</si>
  <si>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</si>
  <si>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</si>
  <si>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</si>
  <si>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</si>
  <si>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</si>
  <si>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</si>
  <si>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</si>
  <si>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</si>
  <si>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</si>
  <si>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</si>
  <si>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</si>
  <si>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</si>
  <si>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</si>
  <si>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</si>
  <si>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</si>
  <si>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</si>
  <si>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</si>
  <si>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</si>
  <si>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</si>
  <si>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</si>
  <si>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</si>
  <si>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</si>
  <si>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</si>
  <si>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</si>
  <si>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</si>
  <si>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</si>
  <si>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</si>
  <si>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</si>
  <si>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</si>
  <si>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</si>
  <si>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</si>
  <si>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</si>
  <si>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</si>
  <si>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</si>
  <si>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</si>
  <si>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</si>
  <si>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</si>
  <si>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</si>
  <si>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</si>
  <si>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</si>
  <si>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</si>
  <si>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</si>
  <si>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</si>
  <si>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</si>
  <si>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</si>
  <si>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</si>
  <si>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</si>
  <si>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</si>
  <si>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</si>
  <si>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</si>
  <si>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</si>
  <si>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</si>
  <si>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</si>
  <si>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</si>
  <si>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</si>
  <si>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</si>
  <si>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</si>
  <si>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</si>
  <si>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</si>
  <si>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</si>
  <si>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</si>
  <si>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</si>
  <si>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</si>
  <si>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</si>
  <si>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</si>
  <si>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</si>
  <si>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</si>
  <si>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</si>
  <si>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</si>
  <si>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</si>
  <si>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</si>
  <si>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</si>
  <si>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</si>
  <si>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</si>
  <si>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</si>
  <si>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</si>
  <si>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</si>
  <si>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</si>
  <si>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</si>
  <si>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</si>
  <si>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</si>
  <si>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</si>
  <si>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</si>
  <si>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</si>
  <si>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</si>
  <si>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</si>
  <si>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</si>
  <si>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</si>
  <si>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</si>
  <si>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</si>
  <si>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</si>
  <si>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</si>
  <si>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</si>
  <si>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</si>
  <si>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</si>
  <si>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</si>
  <si>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</si>
  <si>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</si>
  <si>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</si>
  <si>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</si>
  <si>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</si>
  <si>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</si>
  <si>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</si>
  <si>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</si>
  <si>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</si>
  <si>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</si>
  <si>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</si>
  <si>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</si>
  <si>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</si>
  <si>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</si>
  <si>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</si>
  <si>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</si>
  <si>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</si>
  <si>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</si>
  <si>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</si>
  <si>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</si>
  <si>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</si>
  <si>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</si>
  <si>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</si>
  <si>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</si>
  <si>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</si>
  <si>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</si>
  <si>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</si>
  <si>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</si>
  <si>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</si>
  <si>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</si>
  <si>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</si>
  <si>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</si>
  <si>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</si>
  <si>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</si>
  <si>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</si>
  <si>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</si>
  <si>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</si>
  <si>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</si>
  <si>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</si>
  <si>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</si>
  <si>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</si>
  <si>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</si>
  <si>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</si>
  <si>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</si>
  <si>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</si>
  <si>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</si>
  <si>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</si>
  <si>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</si>
  <si>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</si>
  <si>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</si>
  <si>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</si>
  <si>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</si>
  <si>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</si>
  <si>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</si>
  <si>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</si>
  <si>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</si>
  <si>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</si>
  <si>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</si>
  <si>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</si>
  <si>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</si>
  <si>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</si>
  <si>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</si>
  <si>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</si>
  <si>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</si>
  <si>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</si>
  <si>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</si>
  <si>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</si>
  <si>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</si>
  <si>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</si>
  <si>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</si>
  <si>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</si>
  <si>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</si>
  <si>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</si>
  <si>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</si>
  <si>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</si>
  <si>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</si>
  <si>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</si>
  <si>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</si>
  <si>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</si>
  <si>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</si>
  <si>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</si>
  <si>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</si>
  <si>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</si>
  <si>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</si>
  <si>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</si>
  <si>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</si>
  <si>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</si>
  <si>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</si>
  <si>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</si>
  <si>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</si>
  <si>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</si>
  <si>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</si>
  <si>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</si>
  <si>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</si>
  <si>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</si>
  <si>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</si>
  <si>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</si>
  <si>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</si>
  <si>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</si>
  <si>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</si>
  <si>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</si>
  <si>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</si>
  <si>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</si>
  <si>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</si>
  <si>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</si>
  <si>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</si>
  <si>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</si>
  <si>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</si>
  <si>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</si>
  <si>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</si>
  <si>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</si>
  <si>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</si>
  <si>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</si>
  <si>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</si>
  <si>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</si>
  <si>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</si>
  <si>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</si>
  <si>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</si>
  <si>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</si>
  <si>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</si>
  <si>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</si>
  <si>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</si>
  <si>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</si>
  <si>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</si>
  <si>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</si>
  <si>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</si>
  <si>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</si>
  <si>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</si>
  <si>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</si>
  <si>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</si>
  <si>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</si>
  <si>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</si>
  <si>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</si>
  <si>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</si>
  <si>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</si>
  <si>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</si>
  <si>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</si>
  <si>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</si>
  <si>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</si>
  <si>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</si>
  <si>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</si>
  <si>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</si>
  <si>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</si>
  <si>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</si>
  <si>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</si>
  <si>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</si>
  <si>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</si>
  <si>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</si>
  <si>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</si>
  <si>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</si>
  <si>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</si>
  <si>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</si>
  <si>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</si>
  <si>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</si>
  <si>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</si>
  <si>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</si>
  <si>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</si>
  <si>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</si>
  <si>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</si>
  <si>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</si>
  <si>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</si>
  <si>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</si>
  <si>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</si>
  <si>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</si>
  <si>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</si>
  <si>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</si>
  <si>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</si>
  <si>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</si>
  <si>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</si>
  <si>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</si>
  <si>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</si>
  <si>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</si>
  <si>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</si>
  <si>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</si>
  <si>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</si>
  <si>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</si>
  <si>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</si>
  <si>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</si>
  <si>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</si>
  <si>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</si>
  <si>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</si>
  <si>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</si>
  <si>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</si>
  <si>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</si>
  <si>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</si>
  <si>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</si>
  <si>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</si>
  <si>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</si>
  <si>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</si>
  <si>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</si>
  <si>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</si>
  <si>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</si>
  <si>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</si>
  <si>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</si>
  <si>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</si>
  <si>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</si>
  <si>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</si>
  <si>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</si>
  <si>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</si>
  <si>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</si>
  <si>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</si>
  <si>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</si>
  <si>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</si>
  <si>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</si>
  <si>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</si>
  <si>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</si>
  <si>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</si>
  <si>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</si>
  <si>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</si>
  <si>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</si>
  <si>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</si>
  <si>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</si>
  <si>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</si>
  <si>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</si>
  <si>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</si>
  <si>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</si>
  <si>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</si>
  <si>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</si>
  <si>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</si>
  <si>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</si>
  <si>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</si>
  <si>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</si>
  <si>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</si>
  <si>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</si>
  <si>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</si>
  <si>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</si>
  <si>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</si>
  <si>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</si>
  <si>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</si>
  <si>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</si>
  <si>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</si>
  <si>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</si>
  <si>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</si>
  <si>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</si>
  <si>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</si>
  <si>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</si>
  <si>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</si>
  <si>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</si>
  <si>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</si>
  <si>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</si>
  <si>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</si>
  <si>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</si>
  <si>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</si>
  <si>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</si>
  <si>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</si>
  <si>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</si>
  <si>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</si>
  <si>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</si>
  <si>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</si>
  <si>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</si>
  <si>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</si>
  <si>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</si>
  <si>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</si>
  <si>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</si>
  <si>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</si>
  <si>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</si>
  <si>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</si>
  <si>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</si>
  <si>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</si>
  <si>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</si>
  <si>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</si>
  <si>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</si>
  <si>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</si>
  <si>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</si>
  <si>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</si>
  <si>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</si>
  <si>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</si>
  <si>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</si>
  <si>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</si>
  <si>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</si>
  <si>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</si>
  <si>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</si>
  <si>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</si>
  <si>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</si>
  <si>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</si>
  <si>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</si>
  <si>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</si>
  <si>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</si>
  <si>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</si>
  <si>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</si>
  <si>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</si>
  <si>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</si>
  <si>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</si>
  <si>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</si>
  <si>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</si>
  <si>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</si>
  <si>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</si>
  <si>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</si>
  <si>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</si>
  <si>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</si>
  <si>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</si>
  <si>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</si>
  <si>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</si>
  <si>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</si>
  <si>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</si>
  <si>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</si>
  <si>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</si>
  <si>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</si>
  <si>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</si>
  <si>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</si>
  <si>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</si>
  <si>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</si>
  <si>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</si>
  <si>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</si>
  <si>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</si>
  <si>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</si>
  <si>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</si>
  <si>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</si>
  <si>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</si>
  <si>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</si>
  <si>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</si>
  <si>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</si>
  <si>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</si>
  <si>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</si>
  <si>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</si>
  <si>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</si>
  <si>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</si>
  <si>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</si>
  <si>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</si>
  <si>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</si>
  <si>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</si>
  <si>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</si>
  <si>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</si>
  <si>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</si>
  <si>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</si>
  <si>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</si>
  <si>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</si>
  <si>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</si>
  <si>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</si>
  <si>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</si>
  <si>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</si>
  <si>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</si>
  <si>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</si>
  <si>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</si>
  <si>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</si>
  <si>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</si>
  <si>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</si>
  <si>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</si>
  <si>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</si>
  <si>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</si>
  <si>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</si>
  <si>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</si>
  <si>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</si>
  <si>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</si>
  <si>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</si>
  <si>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</si>
  <si>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</si>
  <si>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</si>
  <si>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</si>
  <si>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</si>
  <si>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</si>
  <si>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</si>
  <si>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</si>
  <si>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</si>
  <si>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</si>
  <si>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</si>
  <si>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</si>
  <si>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</si>
  <si>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</si>
  <si>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</si>
  <si>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</si>
  <si>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</si>
  <si>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</si>
  <si>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</si>
  <si>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</si>
  <si>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</si>
  <si>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</si>
  <si>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</si>
  <si>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</si>
  <si>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</si>
  <si>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</si>
  <si>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</si>
  <si>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</si>
  <si>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</si>
  <si>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</si>
  <si>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</si>
  <si>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</si>
  <si>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</si>
  <si>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</si>
  <si>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</si>
  <si>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</si>
  <si>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</si>
  <si>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</si>
  <si>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</si>
  <si>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</si>
  <si>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</si>
  <si>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</si>
  <si>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</si>
  <si>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</si>
  <si>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</si>
  <si>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</si>
  <si>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</si>
  <si>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</si>
  <si>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</si>
  <si>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</si>
  <si>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</si>
  <si>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</si>
  <si>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</si>
  <si>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</si>
  <si>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14,09 на 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</si>
</sst>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46280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Вторник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200</v>
      </c>
      <c r="Y433" s="55">
        <f t="shared" si="68"/>
        <v>210</v>
      </c>
      <c r="Z433" s="41">
        <f>IFERROR(IF(Y433=0,"",ROUNDUP(Y433/H433,0)*0.02175),"")</f>
        <v>0.30449999999999999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206.26666666666668</v>
      </c>
      <c r="BN433" s="78">
        <f t="shared" si="70"/>
        <v>216.58</v>
      </c>
      <c r="BO433" s="78">
        <f t="shared" si="71"/>
        <v>0.27777777777777779</v>
      </c>
      <c r="BP433" s="78">
        <f t="shared" si="72"/>
        <v>0.29166666666666663</v>
      </c>
    </row>
    <row r="434" spans="1:68" ht="27" hidden="1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200</v>
      </c>
      <c r="Y435" s="55">
        <f t="shared" si="68"/>
        <v>210</v>
      </c>
      <c r="Z435" s="41">
        <f>IFERROR(IF(Y435=0,"",ROUNDUP(Y435/H435,0)*0.02175),"")</f>
        <v>0.30449999999999999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206.26666666666668</v>
      </c>
      <c r="BN435" s="78">
        <f t="shared" si="70"/>
        <v>216.58</v>
      </c>
      <c r="BO435" s="78">
        <f t="shared" si="71"/>
        <v>0.27777777777777779</v>
      </c>
      <c r="BP435" s="78">
        <f t="shared" si="72"/>
        <v>0.29166666666666663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26.666666666666668</v>
      </c>
      <c r="Y440" s="43">
        <f>IFERROR(Y432/H432,"0")+IFERROR(Y433/H433,"0")+IFERROR(Y434/H434,"0")+IFERROR(Y435/H435,"0")+IFERROR(Y436/H436,"0")+IFERROR(Y437/H437,"0")+IFERROR(Y438/H438,"0")+IFERROR(Y439/H439,"0")</f>
        <v>28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0.60899999999999999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400</v>
      </c>
      <c r="Y441" s="43">
        <f>IFERROR(SUM(Y432:Y439),"0")</f>
        <v>420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400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420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412.53333333333336</v>
      </c>
      <c r="Y561" s="43">
        <f>IFERROR(SUM(BN22:BN557),"0")</f>
        <v>433.16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437.53333333333336</v>
      </c>
      <c r="Y563" s="43">
        <f>GrossWeightTotalR+PalletQtyTotalR*25</f>
        <v>458.16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26.666666666666668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28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0.60899999999999999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420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00,00"/>
        <filter val="26,67"/>
        <filter val="400,00"/>
        <filter val="412,53"/>
        <filter val="437,53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2026-09-15T08:48:08Z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