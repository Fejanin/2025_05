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61784A8-82D0-4B18-BB40-91E0177534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O521" i="1"/>
  <c r="BN521" i="1"/>
  <c r="BM521" i="1"/>
  <c r="Y521" i="1"/>
  <c r="BP521" i="1" s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N480" i="1"/>
  <c r="BM480" i="1"/>
  <c r="Y480" i="1"/>
  <c r="BP480" i="1" s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O458" i="1"/>
  <c r="BN458" i="1"/>
  <c r="BM458" i="1"/>
  <c r="Y458" i="1"/>
  <c r="BP458" i="1" s="1"/>
  <c r="P458" i="1"/>
  <c r="X455" i="1"/>
  <c r="X454" i="1"/>
  <c r="BO453" i="1"/>
  <c r="BM453" i="1"/>
  <c r="Y453" i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Y444" i="1" s="1"/>
  <c r="P440" i="1"/>
  <c r="X438" i="1"/>
  <c r="X437" i="1"/>
  <c r="BO436" i="1"/>
  <c r="BM436" i="1"/>
  <c r="Y436" i="1"/>
  <c r="P436" i="1"/>
  <c r="BO435" i="1"/>
  <c r="BM435" i="1"/>
  <c r="Y435" i="1"/>
  <c r="BN435" i="1" s="1"/>
  <c r="P435" i="1"/>
  <c r="BO434" i="1"/>
  <c r="BN434" i="1"/>
  <c r="BM434" i="1"/>
  <c r="Y434" i="1"/>
  <c r="BP434" i="1" s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BN415" i="1" s="1"/>
  <c r="P415" i="1"/>
  <c r="X412" i="1"/>
  <c r="X411" i="1"/>
  <c r="BO410" i="1"/>
  <c r="BM410" i="1"/>
  <c r="Y410" i="1"/>
  <c r="P410" i="1"/>
  <c r="BO409" i="1"/>
  <c r="BM409" i="1"/>
  <c r="Y409" i="1"/>
  <c r="Y411" i="1" s="1"/>
  <c r="P409" i="1"/>
  <c r="BP408" i="1"/>
  <c r="BO408" i="1"/>
  <c r="BN408" i="1"/>
  <c r="BM408" i="1"/>
  <c r="Z408" i="1"/>
  <c r="Y408" i="1"/>
  <c r="P408" i="1"/>
  <c r="X406" i="1"/>
  <c r="Y405" i="1"/>
  <c r="X405" i="1"/>
  <c r="BO404" i="1"/>
  <c r="BN404" i="1"/>
  <c r="BM404" i="1"/>
  <c r="Y404" i="1"/>
  <c r="BP404" i="1" s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BN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O382" i="1"/>
  <c r="BN382" i="1"/>
  <c r="BM382" i="1"/>
  <c r="Y382" i="1"/>
  <c r="BP382" i="1" s="1"/>
  <c r="P382" i="1"/>
  <c r="X380" i="1"/>
  <c r="X379" i="1"/>
  <c r="BO378" i="1"/>
  <c r="BM378" i="1"/>
  <c r="Y378" i="1"/>
  <c r="P378" i="1"/>
  <c r="BO377" i="1"/>
  <c r="BM377" i="1"/>
  <c r="Y377" i="1"/>
  <c r="P377" i="1"/>
  <c r="BO376" i="1"/>
  <c r="BN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N372" i="1"/>
  <c r="BM372" i="1"/>
  <c r="Y372" i="1"/>
  <c r="BP372" i="1" s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N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N357" i="1" s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N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N342" i="1"/>
  <c r="BM342" i="1"/>
  <c r="Y342" i="1"/>
  <c r="BP342" i="1" s="1"/>
  <c r="P342" i="1"/>
  <c r="X339" i="1"/>
  <c r="X338" i="1"/>
  <c r="BO337" i="1"/>
  <c r="BN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BN330" i="1" s="1"/>
  <c r="P330" i="1"/>
  <c r="BO329" i="1"/>
  <c r="BM329" i="1"/>
  <c r="Y329" i="1"/>
  <c r="P329" i="1"/>
  <c r="BO328" i="1"/>
  <c r="BN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N321" i="1"/>
  <c r="BM321" i="1"/>
  <c r="Y321" i="1"/>
  <c r="BP321" i="1" s="1"/>
  <c r="P321" i="1"/>
  <c r="BO320" i="1"/>
  <c r="BM320" i="1"/>
  <c r="Y320" i="1"/>
  <c r="P320" i="1"/>
  <c r="BO319" i="1"/>
  <c r="BM319" i="1"/>
  <c r="Y319" i="1"/>
  <c r="BP319" i="1" s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N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N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X298" i="1"/>
  <c r="X297" i="1"/>
  <c r="BO296" i="1"/>
  <c r="BM296" i="1"/>
  <c r="Y296" i="1"/>
  <c r="BN296" i="1" s="1"/>
  <c r="P296" i="1"/>
  <c r="BO295" i="1"/>
  <c r="BM295" i="1"/>
  <c r="Y295" i="1"/>
  <c r="P295" i="1"/>
  <c r="X293" i="1"/>
  <c r="X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Z285" i="1" s="1"/>
  <c r="P285" i="1"/>
  <c r="BO284" i="1"/>
  <c r="BM284" i="1"/>
  <c r="Y284" i="1"/>
  <c r="BN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Y293" i="1" s="1"/>
  <c r="P281" i="1"/>
  <c r="BO280" i="1"/>
  <c r="BN280" i="1"/>
  <c r="BM280" i="1"/>
  <c r="Y280" i="1"/>
  <c r="BP280" i="1" s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N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N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Y266" i="1" s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Y252" i="1" s="1"/>
  <c r="P248" i="1"/>
  <c r="X246" i="1"/>
  <c r="X245" i="1"/>
  <c r="BO244" i="1"/>
  <c r="BM244" i="1"/>
  <c r="Y244" i="1"/>
  <c r="BP244" i="1" s="1"/>
  <c r="P244" i="1"/>
  <c r="BO243" i="1"/>
  <c r="BN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N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N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N227" i="1"/>
  <c r="BM227" i="1"/>
  <c r="Z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M223" i="1"/>
  <c r="Z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N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N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BP189" i="1" s="1"/>
  <c r="P189" i="1"/>
  <c r="BO188" i="1"/>
  <c r="BM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Y185" i="1" s="1"/>
  <c r="P173" i="1"/>
  <c r="BO172" i="1"/>
  <c r="BN172" i="1"/>
  <c r="BM172" i="1"/>
  <c r="Y172" i="1"/>
  <c r="BP172" i="1" s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O163" i="1"/>
  <c r="BM163" i="1"/>
  <c r="Y163" i="1"/>
  <c r="BP163" i="1" s="1"/>
  <c r="P163" i="1"/>
  <c r="BO162" i="1"/>
  <c r="BN162" i="1"/>
  <c r="BM162" i="1"/>
  <c r="Z162" i="1"/>
  <c r="Y162" i="1"/>
  <c r="BP162" i="1" s="1"/>
  <c r="P162" i="1"/>
  <c r="BO161" i="1"/>
  <c r="BM161" i="1"/>
  <c r="Y161" i="1"/>
  <c r="P161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BP147" i="1" s="1"/>
  <c r="P147" i="1"/>
  <c r="X144" i="1"/>
  <c r="X143" i="1"/>
  <c r="BO142" i="1"/>
  <c r="BN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BN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BO111" i="1"/>
  <c r="BM111" i="1"/>
  <c r="Y111" i="1"/>
  <c r="P111" i="1"/>
  <c r="X109" i="1"/>
  <c r="X108" i="1"/>
  <c r="BO107" i="1"/>
  <c r="BN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99" i="1" s="1"/>
  <c r="P95" i="1"/>
  <c r="BO94" i="1"/>
  <c r="BN94" i="1"/>
  <c r="BM94" i="1"/>
  <c r="Y94" i="1"/>
  <c r="BP94" i="1" s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N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N79" i="1" s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N67" i="1"/>
  <c r="BM67" i="1"/>
  <c r="Y67" i="1"/>
  <c r="BP67" i="1" s="1"/>
  <c r="P67" i="1"/>
  <c r="BO66" i="1"/>
  <c r="BM66" i="1"/>
  <c r="Y66" i="1"/>
  <c r="P66" i="1"/>
  <c r="BO65" i="1"/>
  <c r="BM65" i="1"/>
  <c r="Y65" i="1"/>
  <c r="P65" i="1"/>
  <c r="X63" i="1"/>
  <c r="X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N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N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Y25" i="1" s="1"/>
  <c r="P23" i="1"/>
  <c r="BO22" i="1"/>
  <c r="BN22" i="1"/>
  <c r="BM22" i="1"/>
  <c r="Y22" i="1"/>
  <c r="BP22" i="1" s="1"/>
  <c r="P22" i="1"/>
  <c r="H10" i="1"/>
  <c r="A9" i="1"/>
  <c r="F10" i="1" s="1"/>
  <c r="D7" i="1"/>
  <c r="Q6" i="1"/>
  <c r="P2" i="1"/>
  <c r="Z50" i="1" l="1"/>
  <c r="BP50" i="1"/>
  <c r="Z61" i="1"/>
  <c r="BP61" i="1"/>
  <c r="Y69" i="1"/>
  <c r="Z79" i="1"/>
  <c r="BP79" i="1"/>
  <c r="F568" i="1"/>
  <c r="Z119" i="1"/>
  <c r="BP119" i="1"/>
  <c r="Z176" i="1"/>
  <c r="BP176" i="1"/>
  <c r="Z188" i="1"/>
  <c r="BP188" i="1"/>
  <c r="K568" i="1"/>
  <c r="Z219" i="1"/>
  <c r="BP219" i="1"/>
  <c r="Z274" i="1"/>
  <c r="BP274" i="1"/>
  <c r="Z284" i="1"/>
  <c r="BP284" i="1"/>
  <c r="Z296" i="1"/>
  <c r="BP296" i="1"/>
  <c r="Z307" i="1"/>
  <c r="BP307" i="1"/>
  <c r="Z330" i="1"/>
  <c r="BP330" i="1"/>
  <c r="Z357" i="1"/>
  <c r="BP357" i="1"/>
  <c r="Z398" i="1"/>
  <c r="BP398" i="1"/>
  <c r="Z415" i="1"/>
  <c r="BP415" i="1"/>
  <c r="Z435" i="1"/>
  <c r="BP435" i="1"/>
  <c r="Z505" i="1"/>
  <c r="BP505" i="1"/>
  <c r="Z22" i="1"/>
  <c r="Y33" i="1"/>
  <c r="Z57" i="1"/>
  <c r="Z67" i="1"/>
  <c r="Z88" i="1"/>
  <c r="Z172" i="1"/>
  <c r="Z206" i="1"/>
  <c r="Z231" i="1"/>
  <c r="Y246" i="1"/>
  <c r="Z243" i="1"/>
  <c r="Z270" i="1"/>
  <c r="Z280" i="1"/>
  <c r="Z303" i="1"/>
  <c r="Z321" i="1"/>
  <c r="P568" i="1"/>
  <c r="Z337" i="1"/>
  <c r="Z346" i="1"/>
  <c r="Z366" i="1"/>
  <c r="Z376" i="1"/>
  <c r="Z404" i="1"/>
  <c r="Z525" i="1"/>
  <c r="AB568" i="1"/>
  <c r="Y297" i="1"/>
  <c r="Z30" i="1"/>
  <c r="C568" i="1"/>
  <c r="Z94" i="1"/>
  <c r="Z107" i="1"/>
  <c r="Y117" i="1"/>
  <c r="Y124" i="1"/>
  <c r="Z142" i="1"/>
  <c r="Z239" i="1"/>
  <c r="Z328" i="1"/>
  <c r="Z342" i="1"/>
  <c r="Z372" i="1"/>
  <c r="Z382" i="1"/>
  <c r="Z434" i="1"/>
  <c r="Z458" i="1"/>
  <c r="Z480" i="1"/>
  <c r="Z521" i="1"/>
  <c r="BP335" i="1"/>
  <c r="BN335" i="1"/>
  <c r="Z335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BP410" i="1"/>
  <c r="BN410" i="1"/>
  <c r="Z410" i="1"/>
  <c r="BP432" i="1"/>
  <c r="BN432" i="1"/>
  <c r="Z432" i="1"/>
  <c r="BP453" i="1"/>
  <c r="BN453" i="1"/>
  <c r="Z453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X562" i="1"/>
  <c r="Z28" i="1"/>
  <c r="BN28" i="1"/>
  <c r="Z38" i="1"/>
  <c r="BN38" i="1"/>
  <c r="Z48" i="1"/>
  <c r="BN48" i="1"/>
  <c r="Z55" i="1"/>
  <c r="BN55" i="1"/>
  <c r="Y62" i="1"/>
  <c r="Z59" i="1"/>
  <c r="BN59" i="1"/>
  <c r="Z65" i="1"/>
  <c r="BN65" i="1"/>
  <c r="BP65" i="1"/>
  <c r="Y70" i="1"/>
  <c r="Z73" i="1"/>
  <c r="BN73" i="1"/>
  <c r="Y82" i="1"/>
  <c r="Z86" i="1"/>
  <c r="BN86" i="1"/>
  <c r="Z90" i="1"/>
  <c r="BN90" i="1"/>
  <c r="Y98" i="1"/>
  <c r="Z96" i="1"/>
  <c r="BN96" i="1"/>
  <c r="G568" i="1"/>
  <c r="Z105" i="1"/>
  <c r="BN105" i="1"/>
  <c r="Z111" i="1"/>
  <c r="BN111" i="1"/>
  <c r="BP111" i="1"/>
  <c r="Y116" i="1"/>
  <c r="Z115" i="1"/>
  <c r="BN115" i="1"/>
  <c r="Y123" i="1"/>
  <c r="Z121" i="1"/>
  <c r="BN121" i="1"/>
  <c r="H568" i="1"/>
  <c r="Z136" i="1"/>
  <c r="BN136" i="1"/>
  <c r="BP136" i="1"/>
  <c r="Y139" i="1"/>
  <c r="Z147" i="1"/>
  <c r="BN147" i="1"/>
  <c r="Y154" i="1"/>
  <c r="Z151" i="1"/>
  <c r="BN151" i="1"/>
  <c r="J568" i="1"/>
  <c r="Z168" i="1"/>
  <c r="BN168" i="1"/>
  <c r="Y184" i="1"/>
  <c r="Z174" i="1"/>
  <c r="BN174" i="1"/>
  <c r="Z178" i="1"/>
  <c r="BN178" i="1"/>
  <c r="Z182" i="1"/>
  <c r="BN182" i="1"/>
  <c r="Y191" i="1"/>
  <c r="Z204" i="1"/>
  <c r="BN204" i="1"/>
  <c r="Z208" i="1"/>
  <c r="BN208" i="1"/>
  <c r="L568" i="1"/>
  <c r="Y234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M568" i="1"/>
  <c r="Z264" i="1"/>
  <c r="BN264" i="1"/>
  <c r="BP264" i="1"/>
  <c r="Y267" i="1"/>
  <c r="Y277" i="1"/>
  <c r="Z272" i="1"/>
  <c r="BN272" i="1"/>
  <c r="Z276" i="1"/>
  <c r="BN276" i="1"/>
  <c r="Z282" i="1"/>
  <c r="BN282" i="1"/>
  <c r="Z286" i="1"/>
  <c r="BN286" i="1"/>
  <c r="Z290" i="1"/>
  <c r="BN290" i="1"/>
  <c r="Z301" i="1"/>
  <c r="BN301" i="1"/>
  <c r="Z305" i="1"/>
  <c r="BN305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Y322" i="1"/>
  <c r="Z326" i="1"/>
  <c r="BN326" i="1"/>
  <c r="BP326" i="1"/>
  <c r="Y338" i="1"/>
  <c r="BP344" i="1"/>
  <c r="BN344" i="1"/>
  <c r="Z344" i="1"/>
  <c r="BP364" i="1"/>
  <c r="BN364" i="1"/>
  <c r="Z364" i="1"/>
  <c r="Y379" i="1"/>
  <c r="BP374" i="1"/>
  <c r="BN374" i="1"/>
  <c r="Z374" i="1"/>
  <c r="BP384" i="1"/>
  <c r="BN384" i="1"/>
  <c r="Z384" i="1"/>
  <c r="Y406" i="1"/>
  <c r="BP402" i="1"/>
  <c r="BN402" i="1"/>
  <c r="Z402" i="1"/>
  <c r="BP422" i="1"/>
  <c r="BN422" i="1"/>
  <c r="Z422" i="1"/>
  <c r="BP441" i="1"/>
  <c r="BN441" i="1"/>
  <c r="Z441" i="1"/>
  <c r="BP468" i="1"/>
  <c r="BN468" i="1"/>
  <c r="Z468" i="1"/>
  <c r="Y486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60" i="1"/>
  <c r="Y386" i="1"/>
  <c r="Y393" i="1"/>
  <c r="Y412" i="1"/>
  <c r="Y460" i="1"/>
  <c r="Y481" i="1"/>
  <c r="H9" i="1"/>
  <c r="A10" i="1"/>
  <c r="B568" i="1"/>
  <c r="X559" i="1"/>
  <c r="X560" i="1"/>
  <c r="Z23" i="1"/>
  <c r="Z24" i="1" s="1"/>
  <c r="BN23" i="1"/>
  <c r="BP23" i="1"/>
  <c r="Y24" i="1"/>
  <c r="X558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8" i="1"/>
  <c r="Z56" i="1"/>
  <c r="BN56" i="1"/>
  <c r="BP56" i="1"/>
  <c r="Z58" i="1"/>
  <c r="BN58" i="1"/>
  <c r="Z60" i="1"/>
  <c r="BN60" i="1"/>
  <c r="Y63" i="1"/>
  <c r="Z66" i="1"/>
  <c r="BN66" i="1"/>
  <c r="BP66" i="1"/>
  <c r="Z68" i="1"/>
  <c r="BN68" i="1"/>
  <c r="Z72" i="1"/>
  <c r="BN72" i="1"/>
  <c r="BP72" i="1"/>
  <c r="Z74" i="1"/>
  <c r="BN74" i="1"/>
  <c r="Y75" i="1"/>
  <c r="Z78" i="1"/>
  <c r="Z81" i="1" s="1"/>
  <c r="BN78" i="1"/>
  <c r="BP78" i="1"/>
  <c r="Z80" i="1"/>
  <c r="BN80" i="1"/>
  <c r="Y81" i="1"/>
  <c r="Z85" i="1"/>
  <c r="BN85" i="1"/>
  <c r="BP85" i="1"/>
  <c r="Z87" i="1"/>
  <c r="BN87" i="1"/>
  <c r="Z89" i="1"/>
  <c r="BN89" i="1"/>
  <c r="Y92" i="1"/>
  <c r="Z95" i="1"/>
  <c r="BN95" i="1"/>
  <c r="BP95" i="1"/>
  <c r="Z97" i="1"/>
  <c r="BN97" i="1"/>
  <c r="Z102" i="1"/>
  <c r="BN102" i="1"/>
  <c r="BP102" i="1"/>
  <c r="Z104" i="1"/>
  <c r="BN104" i="1"/>
  <c r="Z106" i="1"/>
  <c r="BN106" i="1"/>
  <c r="Y109" i="1"/>
  <c r="Z112" i="1"/>
  <c r="BN112" i="1"/>
  <c r="BP112" i="1"/>
  <c r="Z114" i="1"/>
  <c r="BN114" i="1"/>
  <c r="Z120" i="1"/>
  <c r="Z123" i="1" s="1"/>
  <c r="BN120" i="1"/>
  <c r="BP120" i="1"/>
  <c r="Z122" i="1"/>
  <c r="BN122" i="1"/>
  <c r="Z126" i="1"/>
  <c r="Z127" i="1" s="1"/>
  <c r="BN126" i="1"/>
  <c r="BP126" i="1"/>
  <c r="Y127" i="1"/>
  <c r="Z131" i="1"/>
  <c r="Z133" i="1" s="1"/>
  <c r="BN131" i="1"/>
  <c r="BP131" i="1"/>
  <c r="Y134" i="1"/>
  <c r="Z137" i="1"/>
  <c r="Z138" i="1" s="1"/>
  <c r="BN137" i="1"/>
  <c r="BP137" i="1"/>
  <c r="Z141" i="1"/>
  <c r="Z143" i="1" s="1"/>
  <c r="BN141" i="1"/>
  <c r="BP141" i="1"/>
  <c r="Y144" i="1"/>
  <c r="I568" i="1"/>
  <c r="Z148" i="1"/>
  <c r="BN148" i="1"/>
  <c r="BP148" i="1"/>
  <c r="Z150" i="1"/>
  <c r="BN150" i="1"/>
  <c r="Z152" i="1"/>
  <c r="BN152" i="1"/>
  <c r="Y153" i="1"/>
  <c r="Z156" i="1"/>
  <c r="Z157" i="1" s="1"/>
  <c r="BN156" i="1"/>
  <c r="BP156" i="1"/>
  <c r="Y157" i="1"/>
  <c r="Z161" i="1"/>
  <c r="BN161" i="1"/>
  <c r="BP161" i="1"/>
  <c r="Z163" i="1"/>
  <c r="BN163" i="1"/>
  <c r="Y164" i="1"/>
  <c r="Z167" i="1"/>
  <c r="Z169" i="1" s="1"/>
  <c r="BN167" i="1"/>
  <c r="BP167" i="1"/>
  <c r="Y170" i="1"/>
  <c r="Z173" i="1"/>
  <c r="BN173" i="1"/>
  <c r="BP173" i="1"/>
  <c r="Z175" i="1"/>
  <c r="BN175" i="1"/>
  <c r="Z177" i="1"/>
  <c r="BN177" i="1"/>
  <c r="Z179" i="1"/>
  <c r="BN179" i="1"/>
  <c r="Z181" i="1"/>
  <c r="BN181" i="1"/>
  <c r="Z183" i="1"/>
  <c r="BN183" i="1"/>
  <c r="Z187" i="1"/>
  <c r="Z190" i="1" s="1"/>
  <c r="BN187" i="1"/>
  <c r="BP187" i="1"/>
  <c r="Z189" i="1"/>
  <c r="BN189" i="1"/>
  <c r="Y190" i="1"/>
  <c r="Z193" i="1"/>
  <c r="Z194" i="1" s="1"/>
  <c r="BN193" i="1"/>
  <c r="BP193" i="1"/>
  <c r="Y194" i="1"/>
  <c r="Z197" i="1"/>
  <c r="Z198" i="1" s="1"/>
  <c r="BN197" i="1"/>
  <c r="BP197" i="1"/>
  <c r="Y198" i="1"/>
  <c r="Z203" i="1"/>
  <c r="BN203" i="1"/>
  <c r="BP203" i="1"/>
  <c r="Z205" i="1"/>
  <c r="BN205" i="1"/>
  <c r="Z207" i="1"/>
  <c r="BN207" i="1"/>
  <c r="Z209" i="1"/>
  <c r="BN209" i="1"/>
  <c r="Y210" i="1"/>
  <c r="Z214" i="1"/>
  <c r="Z215" i="1" s="1"/>
  <c r="BN214" i="1"/>
  <c r="BP214" i="1"/>
  <c r="Y215" i="1"/>
  <c r="Z218" i="1"/>
  <c r="Z233" i="1" s="1"/>
  <c r="BN218" i="1"/>
  <c r="BP218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Y233" i="1"/>
  <c r="Z236" i="1"/>
  <c r="BN236" i="1"/>
  <c r="BP236" i="1"/>
  <c r="Z238" i="1"/>
  <c r="BN238" i="1"/>
  <c r="Z240" i="1"/>
  <c r="BN240" i="1"/>
  <c r="Z242" i="1"/>
  <c r="BN242" i="1"/>
  <c r="Z244" i="1"/>
  <c r="BN244" i="1"/>
  <c r="Y245" i="1"/>
  <c r="Z248" i="1"/>
  <c r="BN248" i="1"/>
  <c r="BP248" i="1"/>
  <c r="Z250" i="1"/>
  <c r="BN250" i="1"/>
  <c r="Y251" i="1"/>
  <c r="Z254" i="1"/>
  <c r="Z255" i="1" s="1"/>
  <c r="BN254" i="1"/>
  <c r="BP254" i="1"/>
  <c r="Y255" i="1"/>
  <c r="Z259" i="1"/>
  <c r="Z261" i="1" s="1"/>
  <c r="BN259" i="1"/>
  <c r="BP259" i="1"/>
  <c r="Y262" i="1"/>
  <c r="Z265" i="1"/>
  <c r="Z266" i="1" s="1"/>
  <c r="BN265" i="1"/>
  <c r="BP265" i="1"/>
  <c r="Z269" i="1"/>
  <c r="BN269" i="1"/>
  <c r="BP269" i="1"/>
  <c r="Z271" i="1"/>
  <c r="BN271" i="1"/>
  <c r="Z273" i="1"/>
  <c r="BN273" i="1"/>
  <c r="Z275" i="1"/>
  <c r="BN275" i="1"/>
  <c r="Y278" i="1"/>
  <c r="Y292" i="1"/>
  <c r="Z281" i="1"/>
  <c r="BN281" i="1"/>
  <c r="BP281" i="1"/>
  <c r="Z283" i="1"/>
  <c r="BN283" i="1"/>
  <c r="BP289" i="1"/>
  <c r="BN289" i="1"/>
  <c r="Z289" i="1"/>
  <c r="BP302" i="1"/>
  <c r="BN302" i="1"/>
  <c r="Z302" i="1"/>
  <c r="BP306" i="1"/>
  <c r="BN306" i="1"/>
  <c r="Z306" i="1"/>
  <c r="Y323" i="1"/>
  <c r="BP327" i="1"/>
  <c r="BN327" i="1"/>
  <c r="Z327" i="1"/>
  <c r="Y331" i="1"/>
  <c r="BP336" i="1"/>
  <c r="BN336" i="1"/>
  <c r="Z336" i="1"/>
  <c r="Z338" i="1" s="1"/>
  <c r="BP345" i="1"/>
  <c r="BN345" i="1"/>
  <c r="Z345" i="1"/>
  <c r="Y352" i="1"/>
  <c r="BP358" i="1"/>
  <c r="BN358" i="1"/>
  <c r="Z358" i="1"/>
  <c r="T568" i="1"/>
  <c r="Y370" i="1"/>
  <c r="BP363" i="1"/>
  <c r="BN363" i="1"/>
  <c r="Z363" i="1"/>
  <c r="BP367" i="1"/>
  <c r="BN367" i="1"/>
  <c r="Z367" i="1"/>
  <c r="Y380" i="1"/>
  <c r="BP375" i="1"/>
  <c r="BN375" i="1"/>
  <c r="Z375" i="1"/>
  <c r="BP383" i="1"/>
  <c r="BN383" i="1"/>
  <c r="Z383" i="1"/>
  <c r="BP391" i="1"/>
  <c r="BN391" i="1"/>
  <c r="Z391" i="1"/>
  <c r="Y400" i="1"/>
  <c r="BP395" i="1"/>
  <c r="BN395" i="1"/>
  <c r="Z395" i="1"/>
  <c r="Y399" i="1"/>
  <c r="BP403" i="1"/>
  <c r="BN403" i="1"/>
  <c r="Z403" i="1"/>
  <c r="BP416" i="1"/>
  <c r="BN416" i="1"/>
  <c r="Z416" i="1"/>
  <c r="Z417" i="1" s="1"/>
  <c r="Y418" i="1"/>
  <c r="V568" i="1"/>
  <c r="Y425" i="1"/>
  <c r="Y424" i="1"/>
  <c r="BP421" i="1"/>
  <c r="BN421" i="1"/>
  <c r="Z421" i="1"/>
  <c r="F9" i="1"/>
  <c r="J9" i="1"/>
  <c r="Y43" i="1"/>
  <c r="Y51" i="1"/>
  <c r="Y91" i="1"/>
  <c r="Y108" i="1"/>
  <c r="Y133" i="1"/>
  <c r="Y165" i="1"/>
  <c r="Y211" i="1"/>
  <c r="Y216" i="1"/>
  <c r="Y261" i="1"/>
  <c r="BP285" i="1"/>
  <c r="BN285" i="1"/>
  <c r="BP287" i="1"/>
  <c r="BN287" i="1"/>
  <c r="Z287" i="1"/>
  <c r="BP291" i="1"/>
  <c r="BN291" i="1"/>
  <c r="Z291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Z322" i="1" s="1"/>
  <c r="BP329" i="1"/>
  <c r="BN329" i="1"/>
  <c r="Z329" i="1"/>
  <c r="BP343" i="1"/>
  <c r="BN343" i="1"/>
  <c r="Z343" i="1"/>
  <c r="Z347" i="1" s="1"/>
  <c r="Y347" i="1"/>
  <c r="BP351" i="1"/>
  <c r="BN351" i="1"/>
  <c r="Z351" i="1"/>
  <c r="Z352" i="1" s="1"/>
  <c r="Y353" i="1"/>
  <c r="S568" i="1"/>
  <c r="Y359" i="1"/>
  <c r="BP356" i="1"/>
  <c r="BN356" i="1"/>
  <c r="Z356" i="1"/>
  <c r="Z359" i="1" s="1"/>
  <c r="BP365" i="1"/>
  <c r="BN365" i="1"/>
  <c r="Z365" i="1"/>
  <c r="Y369" i="1"/>
  <c r="BP373" i="1"/>
  <c r="BN373" i="1"/>
  <c r="Z373" i="1"/>
  <c r="BP377" i="1"/>
  <c r="BN377" i="1"/>
  <c r="Z377" i="1"/>
  <c r="BP385" i="1"/>
  <c r="BN385" i="1"/>
  <c r="Z385" i="1"/>
  <c r="Y387" i="1"/>
  <c r="Y392" i="1"/>
  <c r="BP389" i="1"/>
  <c r="BN389" i="1"/>
  <c r="Z389" i="1"/>
  <c r="BP397" i="1"/>
  <c r="BN397" i="1"/>
  <c r="Z397" i="1"/>
  <c r="BP409" i="1"/>
  <c r="BN409" i="1"/>
  <c r="Z409" i="1"/>
  <c r="Z411" i="1" s="1"/>
  <c r="BP423" i="1"/>
  <c r="BN423" i="1"/>
  <c r="Z423" i="1"/>
  <c r="O568" i="1"/>
  <c r="Y309" i="1"/>
  <c r="Y332" i="1"/>
  <c r="Q568" i="1"/>
  <c r="Y339" i="1"/>
  <c r="R568" i="1"/>
  <c r="Y348" i="1"/>
  <c r="U568" i="1"/>
  <c r="Y417" i="1"/>
  <c r="Z429" i="1"/>
  <c r="BN429" i="1"/>
  <c r="Z431" i="1"/>
  <c r="BN431" i="1"/>
  <c r="Z433" i="1"/>
  <c r="BN433" i="1"/>
  <c r="BP442" i="1"/>
  <c r="BN442" i="1"/>
  <c r="Z442" i="1"/>
  <c r="Y449" i="1"/>
  <c r="BP446" i="1"/>
  <c r="BN446" i="1"/>
  <c r="Z446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BP477" i="1"/>
  <c r="BN477" i="1"/>
  <c r="Z477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W568" i="1"/>
  <c r="Y437" i="1"/>
  <c r="BP436" i="1"/>
  <c r="BN436" i="1"/>
  <c r="Z436" i="1"/>
  <c r="Y438" i="1"/>
  <c r="Y443" i="1"/>
  <c r="BP440" i="1"/>
  <c r="BN440" i="1"/>
  <c r="Z440" i="1"/>
  <c r="Z443" i="1" s="1"/>
  <c r="BP448" i="1"/>
  <c r="BN448" i="1"/>
  <c r="Z448" i="1"/>
  <c r="Y450" i="1"/>
  <c r="Y455" i="1"/>
  <c r="BP452" i="1"/>
  <c r="BN452" i="1"/>
  <c r="Z452" i="1"/>
  <c r="Z454" i="1" s="1"/>
  <c r="BP469" i="1"/>
  <c r="BN469" i="1"/>
  <c r="Z469" i="1"/>
  <c r="Y471" i="1"/>
  <c r="Y568" i="1"/>
  <c r="Y482" i="1"/>
  <c r="BP475" i="1"/>
  <c r="BN475" i="1"/>
  <c r="Z475" i="1"/>
  <c r="BP479" i="1"/>
  <c r="BN479" i="1"/>
  <c r="Z479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386" i="1" l="1"/>
  <c r="Z331" i="1"/>
  <c r="Z392" i="1"/>
  <c r="Z379" i="1"/>
  <c r="Z251" i="1"/>
  <c r="Z245" i="1"/>
  <c r="Z210" i="1"/>
  <c r="Z116" i="1"/>
  <c r="Z98" i="1"/>
  <c r="Z91" i="1"/>
  <c r="Z75" i="1"/>
  <c r="Z51" i="1"/>
  <c r="Z42" i="1"/>
  <c r="Z32" i="1"/>
  <c r="Y559" i="1"/>
  <c r="Y558" i="1"/>
  <c r="Z292" i="1"/>
  <c r="Z153" i="1"/>
  <c r="Z62" i="1"/>
  <c r="Y560" i="1"/>
  <c r="Z550" i="1"/>
  <c r="Z517" i="1"/>
  <c r="Z481" i="1"/>
  <c r="Z405" i="1"/>
  <c r="Z308" i="1"/>
  <c r="Z184" i="1"/>
  <c r="Z69" i="1"/>
  <c r="Z556" i="1"/>
  <c r="Z527" i="1"/>
  <c r="Z470" i="1"/>
  <c r="Z424" i="1"/>
  <c r="Z369" i="1"/>
  <c r="Y562" i="1"/>
  <c r="Z511" i="1"/>
  <c r="Z497" i="1"/>
  <c r="Z449" i="1"/>
  <c r="Z437" i="1"/>
  <c r="Z399" i="1"/>
  <c r="Z277" i="1"/>
  <c r="Z164" i="1"/>
  <c r="Z563" i="1" s="1"/>
  <c r="Z108" i="1"/>
  <c r="X561" i="1"/>
  <c r="Y561" i="1" l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<sst xmlns="http://schemas.openxmlformats.org/spreadsheetml/2006/main" count="2542" uniqueCount="915">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</sst>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46279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887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5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0.45833333333333331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5</v>
      </c>
      <c r="Y30" s="642">
        <f>IFERROR(IF(X30="",0,CEILING((X30/$H30),1)*$H30),"")</f>
        <v>5.4</v>
      </c>
      <c r="Z30" s="36">
        <f>IFERROR(IF(Y30=0,"",ROUNDUP(Y30/H30,0)*0.00651),"")</f>
        <v>1.9529999999999999E-2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8.8333333333333339</v>
      </c>
      <c r="BN30" s="64">
        <f>IFERROR(Y30*I30/H30,"0")</f>
        <v>9.5400000000000009</v>
      </c>
      <c r="BO30" s="64">
        <f>IFERROR(1/J30*(X30/H30),"0")</f>
        <v>1.5262515262515264E-2</v>
      </c>
      <c r="BP30" s="64">
        <f>IFERROR(1/J30*(Y30/H30),"0")</f>
        <v>1.6483516483516484E-2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2.7777777777777777</v>
      </c>
      <c r="Y32" s="643">
        <f>IFERROR(Y27/H27,"0")+IFERROR(Y28/H28,"0")+IFERROR(Y29/H29,"0")+IFERROR(Y30/H30,"0")+IFERROR(Y31/H31,"0")</f>
        <v>3</v>
      </c>
      <c r="Z32" s="643">
        <f>IFERROR(IF(Z27="",0,Z27),"0")+IFERROR(IF(Z28="",0,Z28),"0")+IFERROR(IF(Z29="",0,Z29),"0")+IFERROR(IF(Z30="",0,Z30),"0")+IFERROR(IF(Z31="",0,Z31),"0")</f>
        <v>1.9529999999999999E-2</v>
      </c>
      <c r="AA32" s="644"/>
      <c r="AB32" s="644"/>
      <c r="AC32" s="644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5</v>
      </c>
      <c r="Y33" s="643">
        <f>IFERROR(SUM(Y27:Y31),"0")</f>
        <v>5.4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700</v>
      </c>
      <c r="Y47" s="642">
        <f>IFERROR(IF(X47="",0,CEILING((X47/$H47),1)*$H47),"")</f>
        <v>702</v>
      </c>
      <c r="Z47" s="36">
        <f>IFERROR(IF(Y47=0,"",ROUNDUP(Y47/H47,0)*0.01898),"")</f>
        <v>1.2337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726.57407407407413</v>
      </c>
      <c r="BN47" s="64">
        <f>IFERROR(Y47*I47/H47,"0")</f>
        <v>728.65000000000009</v>
      </c>
      <c r="BO47" s="64">
        <f>IFERROR(1/J47*(X47/H47),"0")</f>
        <v>1.0127314814814814</v>
      </c>
      <c r="BP47" s="64">
        <f>IFERROR(1/J47*(Y47/H47),"0")</f>
        <v>1.015625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3</v>
      </c>
      <c r="Y49" s="642">
        <f>IFERROR(IF(X49="",0,CEILING((X49/$H49),1)*$H49),"")</f>
        <v>4</v>
      </c>
      <c r="Z49" s="36">
        <f>IFERROR(IF(Y49=0,"",ROUNDUP(Y49/H49,0)*0.00902),"")</f>
        <v>9.0200000000000002E-3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3.1425000000000001</v>
      </c>
      <c r="BN49" s="64">
        <f>IFERROR(Y49*I49/H49,"0")</f>
        <v>4.1900000000000004</v>
      </c>
      <c r="BO49" s="64">
        <f>IFERROR(1/J49*(X49/H49),"0")</f>
        <v>5.681818181818182E-3</v>
      </c>
      <c r="BP49" s="64">
        <f>IFERROR(1/J49*(Y49/H49),"0")</f>
        <v>7.575757575757576E-3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65.56481481481481</v>
      </c>
      <c r="Y51" s="643">
        <f>IFERROR(Y47/H47,"0")+IFERROR(Y48/H48,"0")+IFERROR(Y49/H49,"0")+IFERROR(Y50/H50,"0")</f>
        <v>66</v>
      </c>
      <c r="Z51" s="643">
        <f>IFERROR(IF(Z47="",0,Z47),"0")+IFERROR(IF(Z48="",0,Z48),"0")+IFERROR(IF(Z49="",0,Z49),"0")+IFERROR(IF(Z50="",0,Z50),"0")</f>
        <v>1.24272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703</v>
      </c>
      <c r="Y52" s="643">
        <f>IFERROR(SUM(Y47:Y50),"0")</f>
        <v>706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26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26.951785714285716</v>
      </c>
      <c r="BN55" s="64">
        <f t="shared" ref="BN55:BN61" si="2">IFERROR(Y55*I55/H55,"0")</f>
        <v>34.829999999999991</v>
      </c>
      <c r="BO55" s="64">
        <f t="shared" ref="BO55:BO61" si="3">IFERROR(1/J55*(X55/H55),"0")</f>
        <v>3.6272321428571432E-2</v>
      </c>
      <c r="BP55" s="64">
        <f t="shared" ref="BP55:BP61" si="4">IFERROR(1/J55*(Y55/H55),"0")</f>
        <v>4.6874999999999993E-2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569</v>
      </c>
      <c r="Y56" s="642">
        <f t="shared" si="0"/>
        <v>572.40000000000009</v>
      </c>
      <c r="Z56" s="36">
        <f>IFERROR(IF(Y56=0,"",ROUNDUP(Y56/H56,0)*0.01898),"")</f>
        <v>1.0059400000000001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590.60092592592594</v>
      </c>
      <c r="BN56" s="64">
        <f t="shared" si="2"/>
        <v>594.13000000000011</v>
      </c>
      <c r="BO56" s="64">
        <f t="shared" si="3"/>
        <v>0.82320601851851849</v>
      </c>
      <c r="BP56" s="64">
        <f t="shared" si="4"/>
        <v>0.82812500000000011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55.006613756613753</v>
      </c>
      <c r="Y62" s="643">
        <f>IFERROR(Y55/H55,"0")+IFERROR(Y56/H56,"0")+IFERROR(Y57/H57,"0")+IFERROR(Y58/H58,"0")+IFERROR(Y59/H59,"0")+IFERROR(Y60/H60,"0")+IFERROR(Y61/H61,"0")</f>
        <v>56.000000000000007</v>
      </c>
      <c r="Z62" s="643">
        <f>IFERROR(IF(Z55="",0,Z55),"0")+IFERROR(IF(Z56="",0,Z56),"0")+IFERROR(IF(Z57="",0,Z57),"0")+IFERROR(IF(Z58="",0,Z58),"0")+IFERROR(IF(Z59="",0,Z59),"0")+IFERROR(IF(Z60="",0,Z60),"0")+IFERROR(IF(Z61="",0,Z61),"0")</f>
        <v>1.06288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595</v>
      </c>
      <c r="Y63" s="643">
        <f>IFERROR(SUM(Y55:Y61),"0")</f>
        <v>606.00000000000011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72</v>
      </c>
      <c r="Y65" s="642">
        <f>IFERROR(IF(X65="",0,CEILING((X65/$H65),1)*$H65),"")</f>
        <v>75.600000000000009</v>
      </c>
      <c r="Z65" s="36">
        <f>IFERROR(IF(Y65=0,"",ROUNDUP(Y65/H65,0)*0.01898),"")</f>
        <v>0.13286000000000001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74.733333333333334</v>
      </c>
      <c r="BN65" s="64">
        <f>IFERROR(Y65*I65/H65,"0")</f>
        <v>78.47</v>
      </c>
      <c r="BO65" s="64">
        <f>IFERROR(1/J65*(X65/H65),"0")</f>
        <v>0.10416666666666666</v>
      </c>
      <c r="BP65" s="64">
        <f>IFERROR(1/J65*(Y65/H65),"0")</f>
        <v>0.109375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6.6666666666666661</v>
      </c>
      <c r="Y69" s="643">
        <f>IFERROR(Y65/H65,"0")+IFERROR(Y66/H66,"0")+IFERROR(Y67/H67,"0")+IFERROR(Y68/H68,"0")</f>
        <v>7</v>
      </c>
      <c r="Z69" s="643">
        <f>IFERROR(IF(Z65="",0,Z65),"0")+IFERROR(IF(Z66="",0,Z66),"0")+IFERROR(IF(Z67="",0,Z67),"0")+IFERROR(IF(Z68="",0,Z68),"0")</f>
        <v>0.13286000000000001</v>
      </c>
      <c r="AA69" s="644"/>
      <c r="AB69" s="644"/>
      <c r="AC69" s="64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72</v>
      </c>
      <c r="Y70" s="643">
        <f>IFERROR(SUM(Y65:Y68),"0")</f>
        <v>75.600000000000009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487</v>
      </c>
      <c r="Y85" s="642">
        <f t="shared" ref="Y85:Y90" si="5">IFERROR(IF(X85="",0,CEILING((X85/$H85),1)*$H85),"")</f>
        <v>496.8</v>
      </c>
      <c r="Z85" s="36">
        <f>IFERROR(IF(Y85=0,"",ROUNDUP(Y85/H85,0)*0.01898),"")</f>
        <v>0.87307999999999997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505.48796296296297</v>
      </c>
      <c r="BN85" s="64">
        <f t="shared" ref="BN85:BN90" si="7">IFERROR(Y85*I85/H85,"0")</f>
        <v>515.66</v>
      </c>
      <c r="BO85" s="64">
        <f t="shared" ref="BO85:BO90" si="8">IFERROR(1/J85*(X85/H85),"0")</f>
        <v>0.70457175925925919</v>
      </c>
      <c r="BP85" s="64">
        <f t="shared" ref="BP85:BP90" si="9">IFERROR(1/J85*(Y85/H85),"0")</f>
        <v>0.71875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108</v>
      </c>
      <c r="Y89" s="642">
        <f t="shared" si="5"/>
        <v>108</v>
      </c>
      <c r="Z89" s="36">
        <f>IFERROR(IF(Y89=0,"",ROUNDUP(Y89/H89,0)*0.00902),"")</f>
        <v>0.21648000000000001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112.56</v>
      </c>
      <c r="BN89" s="64">
        <f t="shared" si="7"/>
        <v>112.56</v>
      </c>
      <c r="BO89" s="64">
        <f t="shared" si="8"/>
        <v>0.18181818181818182</v>
      </c>
      <c r="BP89" s="64">
        <f t="shared" si="9"/>
        <v>0.18181818181818182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69.092592592592581</v>
      </c>
      <c r="Y91" s="643">
        <f>IFERROR(Y85/H85,"0")+IFERROR(Y86/H86,"0")+IFERROR(Y87/H87,"0")+IFERROR(Y88/H88,"0")+IFERROR(Y89/H89,"0")+IFERROR(Y90/H90,"0")</f>
        <v>70</v>
      </c>
      <c r="Z91" s="643">
        <f>IFERROR(IF(Z85="",0,Z85),"0")+IFERROR(IF(Z86="",0,Z86),"0")+IFERROR(IF(Z87="",0,Z87),"0")+IFERROR(IF(Z88="",0,Z88),"0")+IFERROR(IF(Z89="",0,Z89),"0")+IFERROR(IF(Z90="",0,Z90),"0")</f>
        <v>1.0895600000000001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595</v>
      </c>
      <c r="Y92" s="643">
        <f>IFERROR(SUM(Y85:Y90),"0")</f>
        <v>604.79999999999995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1586</v>
      </c>
      <c r="Y96" s="642">
        <f>IFERROR(IF(X96="",0,CEILING((X96/$H96),1)*$H96),"")</f>
        <v>1587.6000000000001</v>
      </c>
      <c r="Z96" s="36">
        <f>IFERROR(IF(Y96=0,"",ROUNDUP(Y96/H96,0)*0.00651),"")</f>
        <v>3.8278799999999999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1734.0266666666666</v>
      </c>
      <c r="BN96" s="64">
        <f>IFERROR(Y96*I96/H96,"0")</f>
        <v>1735.7760000000001</v>
      </c>
      <c r="BO96" s="64">
        <f>IFERROR(1/J96*(X96/H96),"0")</f>
        <v>3.2275132275132279</v>
      </c>
      <c r="BP96" s="64">
        <f>IFERROR(1/J96*(Y96/H96),"0")</f>
        <v>3.2307692307692308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587.40740740740739</v>
      </c>
      <c r="Y98" s="643">
        <f>IFERROR(Y94/H94,"0")+IFERROR(Y95/H95,"0")+IFERROR(Y96/H96,"0")+IFERROR(Y97/H97,"0")</f>
        <v>588</v>
      </c>
      <c r="Z98" s="643">
        <f>IFERROR(IF(Z94="",0,Z94),"0")+IFERROR(IF(Z95="",0,Z95),"0")+IFERROR(IF(Z96="",0,Z96),"0")+IFERROR(IF(Z97="",0,Z97),"0")</f>
        <v>3.8278799999999999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1586</v>
      </c>
      <c r="Y99" s="643">
        <f>IFERROR(SUM(Y94:Y97),"0")</f>
        <v>1587.6000000000001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331</v>
      </c>
      <c r="Y102" s="642">
        <f t="shared" ref="Y102:Y107" si="10">IFERROR(IF(X102="",0,CEILING((X102/$H102),1)*$H102),"")</f>
        <v>334.8</v>
      </c>
      <c r="Z102" s="36">
        <f>IFERROR(IF(Y102=0,"",ROUNDUP(Y102/H102,0)*0.01898),"")</f>
        <v>0.58838000000000001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343.56574074074075</v>
      </c>
      <c r="BN102" s="64">
        <f t="shared" ref="BN102:BN107" si="12">IFERROR(Y102*I102/H102,"0")</f>
        <v>347.51000000000005</v>
      </c>
      <c r="BO102" s="64">
        <f t="shared" ref="BO102:BO107" si="13">IFERROR(1/J102*(X102/H102),"0")</f>
        <v>0.47887731481481477</v>
      </c>
      <c r="BP102" s="64">
        <f t="shared" ref="BP102:BP107" si="14">IFERROR(1/J102*(Y102/H102),"0")</f>
        <v>0.484375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30.648148148148145</v>
      </c>
      <c r="Y108" s="643">
        <f>IFERROR(Y102/H102,"0")+IFERROR(Y103/H103,"0")+IFERROR(Y104/H104,"0")+IFERROR(Y105/H105,"0")+IFERROR(Y106/H106,"0")+IFERROR(Y107/H107,"0")</f>
        <v>31</v>
      </c>
      <c r="Z108" s="643">
        <f>IFERROR(IF(Z102="",0,Z102),"0")+IFERROR(IF(Z103="",0,Z103),"0")+IFERROR(IF(Z104="",0,Z104),"0")+IFERROR(IF(Z105="",0,Z105),"0")+IFERROR(IF(Z106="",0,Z106),"0")+IFERROR(IF(Z107="",0,Z107),"0")</f>
        <v>0.58838000000000001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331</v>
      </c>
      <c r="Y109" s="643">
        <f>IFERROR(SUM(Y102:Y107),"0")</f>
        <v>334.8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2</v>
      </c>
      <c r="Y115" s="642">
        <f>IFERROR(IF(X115="",0,CEILING((X115/$H115),1)*$H115),"")</f>
        <v>2.4</v>
      </c>
      <c r="Z115" s="36">
        <f>IFERROR(IF(Y115=0,"",ROUNDUP(Y115/H115,0)*0.00651),"")</f>
        <v>6.5100000000000002E-3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2.1500000000000004</v>
      </c>
      <c r="BN115" s="64">
        <f>IFERROR(Y115*I115/H115,"0")</f>
        <v>2.58</v>
      </c>
      <c r="BO115" s="64">
        <f>IFERROR(1/J115*(X115/H115),"0")</f>
        <v>4.578754578754579E-3</v>
      </c>
      <c r="BP115" s="64">
        <f>IFERROR(1/J115*(Y115/H115),"0")</f>
        <v>5.4945054945054949E-3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0.83333333333333337</v>
      </c>
      <c r="Y116" s="643">
        <f>IFERROR(Y111/H111,"0")+IFERROR(Y112/H112,"0")+IFERROR(Y113/H113,"0")+IFERROR(Y114/H114,"0")+IFERROR(Y115/H115,"0")</f>
        <v>1</v>
      </c>
      <c r="Z116" s="643">
        <f>IFERROR(IF(Z111="",0,Z111),"0")+IFERROR(IF(Z112="",0,Z112),"0")+IFERROR(IF(Z113="",0,Z113),"0")+IFERROR(IF(Z114="",0,Z114),"0")+IFERROR(IF(Z115="",0,Z115),"0")</f>
        <v>6.5100000000000002E-3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2</v>
      </c>
      <c r="Y117" s="643">
        <f>IFERROR(SUM(Y111:Y115),"0")</f>
        <v>2.4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0</v>
      </c>
      <c r="Y121" s="64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0</v>
      </c>
      <c r="Y123" s="643">
        <f>IFERROR(Y119/H119,"0")+IFERROR(Y120/H120,"0")+IFERROR(Y121/H121,"0")+IFERROR(Y122/H122,"0")</f>
        <v>0</v>
      </c>
      <c r="Z123" s="643">
        <f>IFERROR(IF(Z119="",0,Z119),"0")+IFERROR(IF(Z120="",0,Z120),"0")+IFERROR(IF(Z121="",0,Z121),"0")+IFERROR(IF(Z122="",0,Z122),"0")</f>
        <v>0</v>
      </c>
      <c r="AA123" s="644"/>
      <c r="AB123" s="644"/>
      <c r="AC123" s="644"/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0</v>
      </c>
      <c r="Y124" s="643">
        <f>IFERROR(SUM(Y119:Y122),"0")</f>
        <v>0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15</v>
      </c>
      <c r="Y136" s="642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5.3571428571428577</v>
      </c>
      <c r="Y138" s="643">
        <f>IFERROR(Y136/H136,"0")+IFERROR(Y137/H137,"0")</f>
        <v>5.9999999999999991</v>
      </c>
      <c r="Z138" s="643">
        <f>IFERROR(IF(Z136="",0,Z136),"0")+IFERROR(IF(Z137="",0,Z137),"0")</f>
        <v>3.9059999999999997E-2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15</v>
      </c>
      <c r="Y139" s="643">
        <f>IFERROR(SUM(Y136:Y137),"0")</f>
        <v>16.799999999999997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13</v>
      </c>
      <c r="Y161" s="642">
        <f>IFERROR(IF(X161="",0,CEILING((X161/$H161),1)*$H161),"")</f>
        <v>18</v>
      </c>
      <c r="Z161" s="36">
        <f>IFERROR(IF(Y161=0,"",ROUNDUP(Y161/H161,0)*0.01196),"")</f>
        <v>3.5880000000000002E-2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13.758333333333333</v>
      </c>
      <c r="BN161" s="64">
        <f>IFERROR(Y161*I161/H161,"0")</f>
        <v>19.05</v>
      </c>
      <c r="BO161" s="64">
        <f>IFERROR(1/J161*(X161/H161),"0")</f>
        <v>2.0833333333333332E-2</v>
      </c>
      <c r="BP161" s="64">
        <f>IFERROR(1/J161*(Y161/H161),"0")</f>
        <v>2.8846153846153848E-2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2.1666666666666665</v>
      </c>
      <c r="Y164" s="643">
        <f>IFERROR(Y161/H161,"0")+IFERROR(Y162/H162,"0")+IFERROR(Y163/H163,"0")</f>
        <v>3</v>
      </c>
      <c r="Z164" s="643">
        <f>IFERROR(IF(Z161="",0,Z161),"0")+IFERROR(IF(Z162="",0,Z162),"0")+IFERROR(IF(Z163="",0,Z163),"0")</f>
        <v>3.5880000000000002E-2</v>
      </c>
      <c r="AA164" s="644"/>
      <c r="AB164" s="644"/>
      <c r="AC164" s="644"/>
    </row>
    <row r="165" spans="1:68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13</v>
      </c>
      <c r="Y165" s="643">
        <f>IFERROR(SUM(Y161:Y163),"0")</f>
        <v>18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50</v>
      </c>
      <c r="Y172" s="642">
        <f t="shared" ref="Y172:Y183" si="21">IFERROR(IF(X172="",0,CEILING((X172/$H172),1)*$H172),"")</f>
        <v>52.5</v>
      </c>
      <c r="Z172" s="36">
        <f>IFERROR(IF(Y172=0,"",ROUNDUP(Y172/H172,0)*0.00902),"")</f>
        <v>0.1353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52.714285714285715</v>
      </c>
      <c r="BN172" s="64">
        <f t="shared" ref="BN172:BN183" si="23">IFERROR(Y172*I172/H172,"0")</f>
        <v>55.35</v>
      </c>
      <c r="BO172" s="64">
        <f t="shared" ref="BO172:BO183" si="24">IFERROR(1/J172*(X172/H172),"0")</f>
        <v>0.10822510822510824</v>
      </c>
      <c r="BP172" s="64">
        <f t="shared" ref="BP172:BP183" si="25">IFERROR(1/J172*(Y172/H172),"0")</f>
        <v>0.11363636363636365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129</v>
      </c>
      <c r="Y174" s="642">
        <f t="shared" si="21"/>
        <v>129.5</v>
      </c>
      <c r="Z174" s="36">
        <f>IFERROR(IF(Y174=0,"",ROUNDUP(Y174/H174,0)*0.00902),"")</f>
        <v>0.33374000000000004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136.00285714285715</v>
      </c>
      <c r="BN174" s="64">
        <f t="shared" si="23"/>
        <v>136.53</v>
      </c>
      <c r="BO174" s="64">
        <f t="shared" si="24"/>
        <v>0.2792207792207792</v>
      </c>
      <c r="BP174" s="64">
        <f t="shared" si="25"/>
        <v>0.28030303030303033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109</v>
      </c>
      <c r="Y176" s="642">
        <f t="shared" si="21"/>
        <v>112</v>
      </c>
      <c r="Z176" s="36">
        <f>IFERROR(IF(Y176=0,"",ROUNDUP(Y176/H176,0)*0.00902),"")</f>
        <v>0.28864000000000001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114.91714285714285</v>
      </c>
      <c r="BN176" s="64">
        <f t="shared" si="23"/>
        <v>118.08</v>
      </c>
      <c r="BO176" s="64">
        <f t="shared" si="24"/>
        <v>0.23593073593073594</v>
      </c>
      <c r="BP176" s="64">
        <f t="shared" si="25"/>
        <v>0.24242424242424243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28</v>
      </c>
      <c r="Y179" s="642">
        <f t="shared" si="21"/>
        <v>28.56</v>
      </c>
      <c r="Z179" s="36">
        <f>IFERROR(IF(Y179=0,"",ROUNDUP(Y179/H179,0)*0.00502),"")</f>
        <v>8.5339999999999999E-2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29.666666666666671</v>
      </c>
      <c r="BN179" s="64">
        <f t="shared" si="23"/>
        <v>30.259999999999998</v>
      </c>
      <c r="BO179" s="64">
        <f t="shared" si="24"/>
        <v>7.122507122507124E-2</v>
      </c>
      <c r="BP179" s="64">
        <f t="shared" si="25"/>
        <v>7.2649572649572655E-2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23</v>
      </c>
      <c r="Y180" s="642">
        <f t="shared" si="21"/>
        <v>23.400000000000002</v>
      </c>
      <c r="Z180" s="36">
        <f>IFERROR(IF(Y180=0,"",ROUNDUP(Y180/H180,0)*0.00417),"")</f>
        <v>0.10842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28.366666666666667</v>
      </c>
      <c r="BN180" s="64">
        <f t="shared" si="23"/>
        <v>28.860000000000003</v>
      </c>
      <c r="BO180" s="64">
        <f t="shared" si="24"/>
        <v>7.6058201058201047E-2</v>
      </c>
      <c r="BP180" s="64">
        <f t="shared" si="25"/>
        <v>7.7380952380952384E-2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8</v>
      </c>
      <c r="Y181" s="642">
        <f t="shared" si="21"/>
        <v>8.4</v>
      </c>
      <c r="Z181" s="36">
        <f>IFERROR(IF(Y181=0,"",ROUNDUP(Y181/H181,0)*0.00502),"")</f>
        <v>2.5100000000000001E-2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8.4761904761904763</v>
      </c>
      <c r="BN181" s="64">
        <f t="shared" si="23"/>
        <v>8.9000000000000021</v>
      </c>
      <c r="BO181" s="64">
        <f t="shared" si="24"/>
        <v>2.0350020350020353E-2</v>
      </c>
      <c r="BP181" s="64">
        <f t="shared" si="25"/>
        <v>2.1367521367521368E-2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84</v>
      </c>
      <c r="Y183" s="642">
        <f t="shared" si="21"/>
        <v>84</v>
      </c>
      <c r="Z183" s="36">
        <f>IFERROR(IF(Y183=0,"",ROUNDUP(Y183/H183,0)*0.00502),"")</f>
        <v>0.251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89.000000000000014</v>
      </c>
      <c r="BN183" s="64">
        <f t="shared" si="23"/>
        <v>89.000000000000014</v>
      </c>
      <c r="BO183" s="64">
        <f t="shared" si="24"/>
        <v>0.21367521367521369</v>
      </c>
      <c r="BP183" s="64">
        <f t="shared" si="25"/>
        <v>0.21367521367521369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179.26984126984127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182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1.2275399999999999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431</v>
      </c>
      <c r="Y185" s="643">
        <f>IFERROR(SUM(Y172:Y183),"0")</f>
        <v>438.35999999999996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5</v>
      </c>
      <c r="Y220" s="642">
        <f t="shared" si="32"/>
        <v>8.4</v>
      </c>
      <c r="Z220" s="36">
        <f>IFERROR(IF(Y220=0,"",ROUNDUP(Y220/H220,0)*0.00902),"")</f>
        <v>1.804E-2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5.2261904761904754</v>
      </c>
      <c r="BN220" s="64">
        <f t="shared" si="34"/>
        <v>8.7799999999999994</v>
      </c>
      <c r="BO220" s="64">
        <f t="shared" si="35"/>
        <v>9.0187590187590181E-3</v>
      </c>
      <c r="BP220" s="64">
        <f t="shared" si="36"/>
        <v>1.5151515151515152E-2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25</v>
      </c>
      <c r="Y221" s="642">
        <f t="shared" si="32"/>
        <v>25.6</v>
      </c>
      <c r="Z221" s="36">
        <f>IFERROR(IF(Y221=0,"",ROUNDUP(Y221/H221,0)*0.00556),"")</f>
        <v>0.17791999999999999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29.0625</v>
      </c>
      <c r="BN221" s="64">
        <f t="shared" si="34"/>
        <v>29.76</v>
      </c>
      <c r="BO221" s="64">
        <f t="shared" si="35"/>
        <v>0.1240079365079365</v>
      </c>
      <c r="BP221" s="64">
        <f t="shared" si="36"/>
        <v>0.12698412698412698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6</v>
      </c>
      <c r="Y227" s="642">
        <f t="shared" si="32"/>
        <v>7.2</v>
      </c>
      <c r="Z227" s="36">
        <f t="shared" si="37"/>
        <v>2.0080000000000001E-2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6.4333333333333336</v>
      </c>
      <c r="BN227" s="64">
        <f t="shared" si="34"/>
        <v>7.7199999999999989</v>
      </c>
      <c r="BO227" s="64">
        <f t="shared" si="35"/>
        <v>1.4245014245014245E-2</v>
      </c>
      <c r="BP227" s="64">
        <f t="shared" si="36"/>
        <v>1.7094017094017096E-2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19</v>
      </c>
      <c r="Y228" s="642">
        <f t="shared" si="32"/>
        <v>19.200000000000003</v>
      </c>
      <c r="Z228" s="36">
        <f>IFERROR(IF(Y228=0,"",ROUNDUP(Y228/H228,0)*0.00417),"")</f>
        <v>0.10008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23.987500000000001</v>
      </c>
      <c r="BN228" s="64">
        <f t="shared" si="34"/>
        <v>24.240000000000002</v>
      </c>
      <c r="BO228" s="64">
        <f t="shared" si="35"/>
        <v>7.0684523809523808E-2</v>
      </c>
      <c r="BP228" s="64">
        <f t="shared" si="36"/>
        <v>7.1428571428571438E-2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123</v>
      </c>
      <c r="Y229" s="642">
        <f t="shared" si="32"/>
        <v>123.9</v>
      </c>
      <c r="Z229" s="36">
        <f>IFERROR(IF(Y229=0,"",ROUNDUP(Y229/H229,0)*0.00502),"")</f>
        <v>0.29618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128.85714285714286</v>
      </c>
      <c r="BN229" s="64">
        <f t="shared" si="34"/>
        <v>129.80000000000001</v>
      </c>
      <c r="BO229" s="64">
        <f t="shared" si="35"/>
        <v>0.2503052503052503</v>
      </c>
      <c r="BP229" s="64">
        <f t="shared" si="36"/>
        <v>0.25213675213675218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118.0952380952381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121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0.61230000000000007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178</v>
      </c>
      <c r="Y234" s="643">
        <f>IFERROR(SUM(Y218:Y232),"0")</f>
        <v>184.3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16</v>
      </c>
      <c r="Y250" s="642">
        <f>IFERROR(IF(X250="",0,CEILING((X250/$H250),1)*$H250),"")</f>
        <v>16.38</v>
      </c>
      <c r="Z250" s="36">
        <f>IFERROR(IF(Y250=0,"",ROUNDUP(Y250/H250,0)*0.0059),"")</f>
        <v>7.6700000000000004E-2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18.412698412698411</v>
      </c>
      <c r="BN250" s="64">
        <f>IFERROR(Y250*I250/H250,"0")</f>
        <v>18.849999999999998</v>
      </c>
      <c r="BO250" s="64">
        <f>IFERROR(1/J250*(X250/H250),"0")</f>
        <v>5.8788947677836559E-2</v>
      </c>
      <c r="BP250" s="64">
        <f>IFERROR(1/J250*(Y250/H250),"0")</f>
        <v>6.0185185185185182E-2</v>
      </c>
    </row>
    <row r="251" spans="1:68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12.698412698412698</v>
      </c>
      <c r="Y251" s="643">
        <f>IFERROR(Y248/H248,"0")+IFERROR(Y249/H249,"0")+IFERROR(Y250/H250,"0")</f>
        <v>13</v>
      </c>
      <c r="Z251" s="643">
        <f>IFERROR(IF(Z248="",0,Z248),"0")+IFERROR(IF(Z249="",0,Z249),"0")+IFERROR(IF(Z250="",0,Z250),"0")</f>
        <v>7.6700000000000004E-2</v>
      </c>
      <c r="AA251" s="644"/>
      <c r="AB251" s="644"/>
      <c r="AC251" s="644"/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16</v>
      </c>
      <c r="Y252" s="643">
        <f>IFERROR(SUM(Y248:Y250),"0")</f>
        <v>16.38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4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3.1746031746031744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4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150</v>
      </c>
      <c r="Y270" s="642">
        <f t="shared" si="43"/>
        <v>151.20000000000002</v>
      </c>
      <c r="Z270" s="36">
        <f>IFERROR(IF(Y270=0,"",ROUNDUP(Y270/H270,0)*0.00902),"")</f>
        <v>0.25256000000000001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155.27777777777777</v>
      </c>
      <c r="BN270" s="64">
        <f t="shared" si="45"/>
        <v>156.52000000000001</v>
      </c>
      <c r="BO270" s="64">
        <f t="shared" si="46"/>
        <v>0.21043771043771042</v>
      </c>
      <c r="BP270" s="64">
        <f t="shared" si="47"/>
        <v>0.21212121212121213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250</v>
      </c>
      <c r="Y271" s="642">
        <f t="shared" si="43"/>
        <v>253.8</v>
      </c>
      <c r="Z271" s="36">
        <f>IFERROR(IF(Y271=0,"",ROUNDUP(Y271/H271,0)*0.00902),"")</f>
        <v>0.42393999999999998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258.7962962962963</v>
      </c>
      <c r="BN271" s="64">
        <f t="shared" si="45"/>
        <v>262.72999999999996</v>
      </c>
      <c r="BO271" s="64">
        <f t="shared" si="46"/>
        <v>0.35072951739618402</v>
      </c>
      <c r="BP271" s="64">
        <f t="shared" si="47"/>
        <v>0.35606060606060608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60</v>
      </c>
      <c r="Y272" s="642">
        <f t="shared" si="43"/>
        <v>64.800000000000011</v>
      </c>
      <c r="Z272" s="36">
        <f>IFERROR(IF(Y272=0,"",ROUNDUP(Y272/H272,0)*0.00902),"")</f>
        <v>0.10824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62.1111111111111</v>
      </c>
      <c r="BN272" s="64">
        <f t="shared" si="45"/>
        <v>67.08</v>
      </c>
      <c r="BO272" s="64">
        <f t="shared" si="46"/>
        <v>8.4175084175084181E-2</v>
      </c>
      <c r="BP272" s="64">
        <f t="shared" si="47"/>
        <v>9.0909090909090925E-2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49</v>
      </c>
      <c r="Y273" s="642">
        <f t="shared" si="43"/>
        <v>50.4</v>
      </c>
      <c r="Z273" s="36">
        <f>IFERROR(IF(Y273=0,"",ROUNDUP(Y273/H273,0)*0.00502),"")</f>
        <v>0.14056000000000002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52.538888888888884</v>
      </c>
      <c r="BN273" s="64">
        <f t="shared" si="45"/>
        <v>54.039999999999992</v>
      </c>
      <c r="BO273" s="64">
        <f t="shared" si="46"/>
        <v>0.11633428300094968</v>
      </c>
      <c r="BP273" s="64">
        <f t="shared" si="47"/>
        <v>0.11965811965811968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9</v>
      </c>
      <c r="Y274" s="642">
        <f t="shared" si="43"/>
        <v>9</v>
      </c>
      <c r="Z274" s="36">
        <f>IFERROR(IF(Y274=0,"",ROUNDUP(Y274/H274,0)*0.00502),"")</f>
        <v>2.5100000000000001E-2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9.4999999999999982</v>
      </c>
      <c r="BN274" s="64">
        <f t="shared" si="45"/>
        <v>9.4999999999999982</v>
      </c>
      <c r="BO274" s="64">
        <f t="shared" si="46"/>
        <v>2.1367521367521368E-2</v>
      </c>
      <c r="BP274" s="64">
        <f t="shared" si="47"/>
        <v>2.1367521367521368E-2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15</v>
      </c>
      <c r="Y276" s="642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15.833333333333332</v>
      </c>
      <c r="BN276" s="64">
        <f t="shared" si="45"/>
        <v>17.099999999999998</v>
      </c>
      <c r="BO276" s="64">
        <f t="shared" si="46"/>
        <v>3.561253561253562E-2</v>
      </c>
      <c r="BP276" s="64">
        <f t="shared" si="47"/>
        <v>3.8461538461538464E-2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125.74074074074072</v>
      </c>
      <c r="Y277" s="643">
        <f>IFERROR(Y269/H269,"0")+IFERROR(Y270/H270,"0")+IFERROR(Y271/H271,"0")+IFERROR(Y272/H272,"0")+IFERROR(Y273/H273,"0")+IFERROR(Y274/H274,"0")+IFERROR(Y275/H275,"0")+IFERROR(Y276/H276,"0")</f>
        <v>129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0.99558000000000002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533</v>
      </c>
      <c r="Y278" s="643">
        <f>IFERROR(SUM(Y269:Y276),"0")</f>
        <v>545.40000000000009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373</v>
      </c>
      <c r="Y280" s="642">
        <f t="shared" ref="Y280:Y291" si="48">IFERROR(IF(X280="",0,CEILING((X280/$H280),1)*$H280),"")</f>
        <v>380.7</v>
      </c>
      <c r="Z280" s="36">
        <f>IFERROR(IF(Y280=0,"",ROUNDUP(Y280/H280,0)*0.01898),"")</f>
        <v>0.89205999999999996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395.74839506172839</v>
      </c>
      <c r="BN280" s="64">
        <f t="shared" ref="BN280:BN291" si="50">IFERROR(Y280*I280/H280,"0")</f>
        <v>403.91799999999995</v>
      </c>
      <c r="BO280" s="64">
        <f t="shared" ref="BO280:BO291" si="51">IFERROR(1/J280*(X280/H280),"0")</f>
        <v>0.71952160493827166</v>
      </c>
      <c r="BP280" s="64">
        <f t="shared" ref="BP280:BP291" si="52">IFERROR(1/J280*(Y280/H280),"0")</f>
        <v>0.734375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65</v>
      </c>
      <c r="Y281" s="642">
        <f t="shared" si="48"/>
        <v>72.899999999999991</v>
      </c>
      <c r="Z281" s="36">
        <f>IFERROR(IF(Y281=0,"",ROUNDUP(Y281/H281,0)*0.01898),"")</f>
        <v>0.17082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68.819753086419766</v>
      </c>
      <c r="BN281" s="64">
        <f t="shared" si="50"/>
        <v>77.183999999999997</v>
      </c>
      <c r="BO281" s="64">
        <f t="shared" si="51"/>
        <v>0.1253858024691358</v>
      </c>
      <c r="BP281" s="64">
        <f t="shared" si="52"/>
        <v>0.140625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30</v>
      </c>
      <c r="Y282" s="642">
        <f t="shared" si="48"/>
        <v>34.799999999999997</v>
      </c>
      <c r="Z282" s="36">
        <f>IFERROR(IF(Y282=0,"",ROUNDUP(Y282/H282,0)*0.01898),"")</f>
        <v>7.5920000000000001E-2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31.703448275862076</v>
      </c>
      <c r="BN282" s="64">
        <f t="shared" si="50"/>
        <v>36.776000000000003</v>
      </c>
      <c r="BO282" s="64">
        <f t="shared" si="51"/>
        <v>5.387931034482759E-2</v>
      </c>
      <c r="BP282" s="64">
        <f t="shared" si="52"/>
        <v>6.25E-2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60</v>
      </c>
      <c r="Y283" s="642">
        <f t="shared" si="48"/>
        <v>60</v>
      </c>
      <c r="Z283" s="36">
        <f>IFERROR(IF(Y283=0,"",ROUNDUP(Y283/H283,0)*0.00651),"")</f>
        <v>0.16275000000000001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66.75</v>
      </c>
      <c r="BN283" s="64">
        <f t="shared" si="50"/>
        <v>66.75</v>
      </c>
      <c r="BO283" s="64">
        <f t="shared" si="51"/>
        <v>0.13736263736263737</v>
      </c>
      <c r="BP283" s="64">
        <f t="shared" si="52"/>
        <v>0.13736263736263737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800</v>
      </c>
      <c r="Y286" s="642">
        <f t="shared" si="48"/>
        <v>801.6</v>
      </c>
      <c r="Z286" s="36">
        <f>IFERROR(IF(Y286=0,"",ROUNDUP(Y286/H286,0)*0.00651),"")</f>
        <v>2.1743399999999999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884</v>
      </c>
      <c r="BN286" s="64">
        <f t="shared" si="50"/>
        <v>885.76800000000014</v>
      </c>
      <c r="BO286" s="64">
        <f t="shared" si="51"/>
        <v>1.8315018315018319</v>
      </c>
      <c r="BP286" s="64">
        <f t="shared" si="52"/>
        <v>1.8351648351648353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197</v>
      </c>
      <c r="Y288" s="642">
        <f t="shared" si="48"/>
        <v>199.2</v>
      </c>
      <c r="Z288" s="36">
        <f>IFERROR(IF(Y288=0,"",ROUNDUP(Y288/H288,0)*0.00651),"")</f>
        <v>0.54032999999999998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217.68500000000003</v>
      </c>
      <c r="BN288" s="64">
        <f t="shared" si="50"/>
        <v>220.11600000000001</v>
      </c>
      <c r="BO288" s="64">
        <f t="shared" si="51"/>
        <v>0.45100732600732607</v>
      </c>
      <c r="BP288" s="64">
        <f t="shared" si="52"/>
        <v>0.45604395604395609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29</v>
      </c>
      <c r="Y289" s="642">
        <f t="shared" si="48"/>
        <v>31.2</v>
      </c>
      <c r="Z289" s="36">
        <f>IFERROR(IF(Y289=0,"",ROUNDUP(Y289/H289,0)*0.00651),"")</f>
        <v>8.4629999999999997E-2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32.045000000000002</v>
      </c>
      <c r="BN289" s="64">
        <f t="shared" si="50"/>
        <v>34.476000000000006</v>
      </c>
      <c r="BO289" s="64">
        <f t="shared" si="51"/>
        <v>6.6391941391941406E-2</v>
      </c>
      <c r="BP289" s="64">
        <f t="shared" si="52"/>
        <v>7.1428571428571438E-2</v>
      </c>
    </row>
    <row r="290" spans="1:68" ht="27" hidden="1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0</v>
      </c>
      <c r="Y290" s="642">
        <f t="shared" si="48"/>
        <v>0</v>
      </c>
      <c r="Z290" s="36" t="str">
        <f>IFERROR(IF(Y290=0,"",ROUNDUP(Y290/H290,0)*0.00651),"")</f>
        <v/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510.02234993614303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515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4.1008499999999994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1554</v>
      </c>
      <c r="Y293" s="643">
        <f>IFERROR(SUM(Y280:Y291),"0")</f>
        <v>1580.4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4</v>
      </c>
      <c r="Y315" s="642">
        <f>IFERROR(IF(X315="",0,CEILING((X315/$H315),1)*$H315),"")</f>
        <v>5.4</v>
      </c>
      <c r="Z315" s="36">
        <f>IFERROR(IF(Y315=0,"",ROUNDUP(Y315/H315,0)*0.0059),"")</f>
        <v>1.77E-2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4.3888888888888893</v>
      </c>
      <c r="BN315" s="64">
        <f>IFERROR(Y315*I315/H315,"0")</f>
        <v>5.9250000000000007</v>
      </c>
      <c r="BO315" s="64">
        <f>IFERROR(1/J315*(X315/H315),"0")</f>
        <v>1.0288065843621399E-2</v>
      </c>
      <c r="BP315" s="64">
        <f>IFERROR(1/J315*(Y315/H315),"0")</f>
        <v>1.3888888888888888E-2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2.2222222222222223</v>
      </c>
      <c r="Y316" s="643">
        <f>IFERROR(Y315/H315,"0")</f>
        <v>3</v>
      </c>
      <c r="Z316" s="643">
        <f>IFERROR(IF(Z315="",0,Z315),"0")</f>
        <v>1.77E-2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4</v>
      </c>
      <c r="Y317" s="643">
        <f>IFERROR(SUM(Y315:Y315),"0")</f>
        <v>5.4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58</v>
      </c>
      <c r="Y336" s="642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64.09</v>
      </c>
      <c r="BN336" s="64">
        <f>IFERROR(Y336*I336/H336,"0")</f>
        <v>66.300000000000011</v>
      </c>
      <c r="BO336" s="64">
        <f>IFERROR(1/J336*(X336/H336),"0")</f>
        <v>0.13278388278388281</v>
      </c>
      <c r="BP336" s="64">
        <f>IFERROR(1/J336*(Y336/H336),"0")</f>
        <v>0.13736263736263737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120</v>
      </c>
      <c r="Y337" s="642">
        <f>IFERROR(IF(X337="",0,CEILING((X337/$H337),1)*$H337),"")</f>
        <v>120</v>
      </c>
      <c r="Z337" s="36">
        <f>IFERROR(IF(Y337=0,"",ROUNDUP(Y337/H337,0)*0.00651),"")</f>
        <v>0.32550000000000001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129.00000000000003</v>
      </c>
      <c r="BN337" s="64">
        <f>IFERROR(Y337*I337/H337,"0")</f>
        <v>129.00000000000003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74.166666666666671</v>
      </c>
      <c r="Y338" s="643">
        <f>IFERROR(Y335/H335,"0")+IFERROR(Y336/H336,"0")+IFERROR(Y337/H337,"0")</f>
        <v>75</v>
      </c>
      <c r="Z338" s="643">
        <f>IFERROR(IF(Z335="",0,Z335),"0")+IFERROR(IF(Z336="",0,Z336),"0")+IFERROR(IF(Z337="",0,Z337),"0")</f>
        <v>0.48825000000000002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178</v>
      </c>
      <c r="Y339" s="643">
        <f>IFERROR(SUM(Y335:Y337),"0")</f>
        <v>180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23</v>
      </c>
      <c r="Y356" s="642">
        <f>IFERROR(IF(X356="",0,CEILING((X356/$H356),1)*$H356),"")</f>
        <v>23.4</v>
      </c>
      <c r="Z356" s="36">
        <f>IFERROR(IF(Y356=0,"",ROUNDUP(Y356/H356,0)*0.01898),"")</f>
        <v>5.6940000000000004E-2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24.208974358974363</v>
      </c>
      <c r="BN356" s="64">
        <f>IFERROR(Y356*I356/H356,"0")</f>
        <v>24.630000000000003</v>
      </c>
      <c r="BO356" s="64">
        <f>IFERROR(1/J356*(X356/H356),"0")</f>
        <v>4.6073717948717952E-2</v>
      </c>
      <c r="BP356" s="64">
        <f>IFERROR(1/J356*(Y356/H356),"0")</f>
        <v>4.6875E-2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350</v>
      </c>
      <c r="Y357" s="642">
        <f>IFERROR(IF(X357="",0,CEILING((X357/$H357),1)*$H357),"")</f>
        <v>351</v>
      </c>
      <c r="Z357" s="36">
        <f>IFERROR(IF(Y357=0,"",ROUNDUP(Y357/H357,0)*0.01898),"")</f>
        <v>0.85409999999999997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368.39743589743597</v>
      </c>
      <c r="BN357" s="64">
        <f>IFERROR(Y357*I357/H357,"0")</f>
        <v>369.45000000000005</v>
      </c>
      <c r="BO357" s="64">
        <f>IFERROR(1/J357*(X357/H357),"0")</f>
        <v>0.70112179487179493</v>
      </c>
      <c r="BP357" s="64">
        <f>IFERROR(1/J357*(Y357/H357),"0")</f>
        <v>0.703125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69</v>
      </c>
      <c r="Y358" s="642">
        <f>IFERROR(IF(X358="",0,CEILING((X358/$H358),1)*$H358),"")</f>
        <v>70.2</v>
      </c>
      <c r="Z358" s="36">
        <f>IFERROR(IF(Y358=0,"",ROUNDUP(Y358/H358,0)*0.01898),"")</f>
        <v>0.17082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72.626923076923077</v>
      </c>
      <c r="BN358" s="64">
        <f>IFERROR(Y358*I358/H358,"0")</f>
        <v>73.890000000000015</v>
      </c>
      <c r="BO358" s="64">
        <f>IFERROR(1/J358*(X358/H358),"0")</f>
        <v>0.13822115384615385</v>
      </c>
      <c r="BP358" s="64">
        <f>IFERROR(1/J358*(Y358/H358),"0")</f>
        <v>0.140625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56.666666666666671</v>
      </c>
      <c r="Y359" s="643">
        <f>IFERROR(Y356/H356,"0")+IFERROR(Y357/H357,"0")+IFERROR(Y358/H358,"0")</f>
        <v>57</v>
      </c>
      <c r="Z359" s="643">
        <f>IFERROR(IF(Z356="",0,Z356),"0")+IFERROR(IF(Z357="",0,Z357),"0")+IFERROR(IF(Z358="",0,Z358),"0")</f>
        <v>1.08186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442</v>
      </c>
      <c r="Y360" s="643">
        <f>IFERROR(SUM(Y356:Y358),"0")</f>
        <v>444.59999999999997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14</v>
      </c>
      <c r="Y366" s="642">
        <f t="shared" si="58"/>
        <v>21.6</v>
      </c>
      <c r="Z366" s="36">
        <f>IFERROR(IF(Y366=0,"",ROUNDUP(Y366/H366,0)*0.01898),"")</f>
        <v>3.7960000000000001E-2</v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14.53148148148148</v>
      </c>
      <c r="BN366" s="64">
        <f t="shared" si="60"/>
        <v>22.42</v>
      </c>
      <c r="BO366" s="64">
        <f t="shared" si="61"/>
        <v>2.0254629629629629E-2</v>
      </c>
      <c r="BP366" s="64">
        <f t="shared" si="62"/>
        <v>3.125E-2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1.2962962962962963</v>
      </c>
      <c r="Y369" s="643">
        <f>IFERROR(Y363/H363,"0")+IFERROR(Y364/H364,"0")+IFERROR(Y365/H365,"0")+IFERROR(Y366/H366,"0")+IFERROR(Y367/H367,"0")+IFERROR(Y368/H368,"0")</f>
        <v>2</v>
      </c>
      <c r="Z369" s="643">
        <f>IFERROR(IF(Z363="",0,Z363),"0")+IFERROR(IF(Z364="",0,Z364),"0")+IFERROR(IF(Z365="",0,Z365),"0")+IFERROR(IF(Z366="",0,Z366),"0")+IFERROR(IF(Z367="",0,Z367),"0")+IFERROR(IF(Z368="",0,Z368),"0")</f>
        <v>3.7960000000000001E-2</v>
      </c>
      <c r="AA369" s="644"/>
      <c r="AB369" s="644"/>
      <c r="AC369" s="644"/>
    </row>
    <row r="370" spans="1:68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14</v>
      </c>
      <c r="Y370" s="643">
        <f>IFERROR(SUM(Y363:Y368),"0")</f>
        <v>21.6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17</v>
      </c>
      <c r="Y373" s="642">
        <f t="shared" si="63"/>
        <v>21</v>
      </c>
      <c r="Z373" s="36">
        <f>IFERROR(IF(Y373=0,"",ROUNDUP(Y373/H373,0)*0.00902),"")</f>
        <v>4.5100000000000001E-2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18.011904761904763</v>
      </c>
      <c r="BN373" s="64">
        <f t="shared" si="65"/>
        <v>22.25</v>
      </c>
      <c r="BO373" s="64">
        <f t="shared" si="66"/>
        <v>3.0663780663780664E-2</v>
      </c>
      <c r="BP373" s="64">
        <f t="shared" si="67"/>
        <v>3.787878787878788E-2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7</v>
      </c>
      <c r="Y378" s="642">
        <f t="shared" si="63"/>
        <v>7.2</v>
      </c>
      <c r="Z378" s="36">
        <f>IFERROR(IF(Y378=0,"",ROUNDUP(Y378/H378,0)*0.00651),"")</f>
        <v>2.6040000000000001E-2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7.8866666666666667</v>
      </c>
      <c r="BN378" s="64">
        <f t="shared" si="65"/>
        <v>8.1120000000000001</v>
      </c>
      <c r="BO378" s="64">
        <f t="shared" si="66"/>
        <v>2.1367521367521368E-2</v>
      </c>
      <c r="BP378" s="64">
        <f t="shared" si="67"/>
        <v>2.197802197802198E-2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7.9365079365079367</v>
      </c>
      <c r="Y379" s="643">
        <f>IFERROR(Y372/H372,"0")+IFERROR(Y373/H373,"0")+IFERROR(Y374/H374,"0")+IFERROR(Y375/H375,"0")+IFERROR(Y376/H376,"0")+IFERROR(Y377/H377,"0")+IFERROR(Y378/H378,"0")</f>
        <v>9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7.1140000000000009E-2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24</v>
      </c>
      <c r="Y380" s="643">
        <f>IFERROR(SUM(Y372:Y378),"0")</f>
        <v>28.2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0</v>
      </c>
      <c r="Y392" s="643">
        <f>IFERROR(Y389/H389,"0")+IFERROR(Y390/H390,"0")+IFERROR(Y391/H391,"0")</f>
        <v>0</v>
      </c>
      <c r="Z392" s="643">
        <f>IFERROR(IF(Z389="",0,Z389),"0")+IFERROR(IF(Z390="",0,Z390),"0")+IFERROR(IF(Z391="",0,Z391),"0")</f>
        <v>0</v>
      </c>
      <c r="AA392" s="644"/>
      <c r="AB392" s="644"/>
      <c r="AC392" s="644"/>
    </row>
    <row r="393" spans="1:68" hidden="1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0</v>
      </c>
      <c r="Y393" s="643">
        <f>IFERROR(SUM(Y389:Y391),"0")</f>
        <v>0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5</v>
      </c>
      <c r="Y396" s="642">
        <f>IFERROR(IF(X396="",0,CEILING((X396/$H396),1)*$H396),"")</f>
        <v>6.08</v>
      </c>
      <c r="Z396" s="36">
        <f>IFERROR(IF(Y396=0,"",ROUNDUP(Y396/H396,0)*0.00902),"")</f>
        <v>1.804E-2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5.3782894736842106</v>
      </c>
      <c r="BN396" s="64">
        <f>IFERROR(Y396*I396/H396,"0")</f>
        <v>6.5399999999999991</v>
      </c>
      <c r="BO396" s="64">
        <f>IFERROR(1/J396*(X396/H396),"0")</f>
        <v>1.2460127591706539E-2</v>
      </c>
      <c r="BP396" s="64">
        <f>IFERROR(1/J396*(Y396/H396),"0")</f>
        <v>1.5151515151515152E-2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18</v>
      </c>
      <c r="Y398" s="642">
        <f>IFERROR(IF(X398="",0,CEILING((X398/$H398),1)*$H398),"")</f>
        <v>20.399999999999999</v>
      </c>
      <c r="Z398" s="36">
        <f>IFERROR(IF(Y398=0,"",ROUNDUP(Y398/H398,0)*0.00651),"")</f>
        <v>5.2080000000000001E-2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20.329411764705881</v>
      </c>
      <c r="BN398" s="64">
        <f>IFERROR(Y398*I398/H398,"0")</f>
        <v>23.04</v>
      </c>
      <c r="BO398" s="64">
        <f>IFERROR(1/J398*(X398/H398),"0")</f>
        <v>3.8784744667097616E-2</v>
      </c>
      <c r="BP398" s="64">
        <f>IFERROR(1/J398*(Y398/H398),"0")</f>
        <v>4.3956043956043959E-2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8.7035603715170282</v>
      </c>
      <c r="Y399" s="643">
        <f>IFERROR(Y395/H395,"0")+IFERROR(Y396/H396,"0")+IFERROR(Y397/H397,"0")+IFERROR(Y398/H398,"0")</f>
        <v>10</v>
      </c>
      <c r="Z399" s="643">
        <f>IFERROR(IF(Z395="",0,Z395),"0")+IFERROR(IF(Z396="",0,Z396),"0")+IFERROR(IF(Z397="",0,Z397),"0")+IFERROR(IF(Z398="",0,Z398),"0")</f>
        <v>7.0120000000000002E-2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23</v>
      </c>
      <c r="Y400" s="643">
        <f>IFERROR(SUM(Y395:Y398),"0")</f>
        <v>26.479999999999997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0</v>
      </c>
      <c r="Y405" s="643">
        <f>IFERROR(Y402/H402,"0")+IFERROR(Y403/H403,"0")+IFERROR(Y404/H404,"0")</f>
        <v>0</v>
      </c>
      <c r="Z405" s="643">
        <f>IFERROR(IF(Z402="",0,Z402),"0")+IFERROR(IF(Z403="",0,Z403),"0")+IFERROR(IF(Z404="",0,Z404),"0")</f>
        <v>0</v>
      </c>
      <c r="AA405" s="644"/>
      <c r="AB405" s="644"/>
      <c r="AC405" s="644"/>
    </row>
    <row r="406" spans="1:68" hidden="1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0</v>
      </c>
      <c r="Y406" s="643">
        <f>IFERROR(SUM(Y402:Y404),"0")</f>
        <v>0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53</v>
      </c>
      <c r="Y422" s="642">
        <f>IFERROR(IF(X422="",0,CEILING((X422/$H422),1)*$H422),"")</f>
        <v>54.6</v>
      </c>
      <c r="Z422" s="36">
        <f>IFERROR(IF(Y422=0,"",ROUNDUP(Y422/H422,0)*0.00651),"")</f>
        <v>0.16925999999999999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59.359999999999992</v>
      </c>
      <c r="BN422" s="64">
        <f>IFERROR(Y422*I422/H422,"0")</f>
        <v>61.151999999999994</v>
      </c>
      <c r="BO422" s="64">
        <f>IFERROR(1/J422*(X422/H422),"0")</f>
        <v>0.13867085295656725</v>
      </c>
      <c r="BP422" s="64">
        <f>IFERROR(1/J422*(Y422/H422),"0")</f>
        <v>0.14285714285714288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28</v>
      </c>
      <c r="Y423" s="642">
        <f>IFERROR(IF(X423="",0,CEILING((X423/$H423),1)*$H423),"")</f>
        <v>29.400000000000002</v>
      </c>
      <c r="Z423" s="36">
        <f>IFERROR(IF(Y423=0,"",ROUNDUP(Y423/H423,0)*0.00651),"")</f>
        <v>9.1139999999999999E-2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31.199999999999996</v>
      </c>
      <c r="BN423" s="64">
        <f>IFERROR(Y423*I423/H423,"0")</f>
        <v>32.760000000000005</v>
      </c>
      <c r="BO423" s="64">
        <f>IFERROR(1/J423*(X423/H423),"0")</f>
        <v>7.3260073260073263E-2</v>
      </c>
      <c r="BP423" s="64">
        <f>IFERROR(1/J423*(Y423/H423),"0")</f>
        <v>7.6923076923076927E-2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38.571428571428569</v>
      </c>
      <c r="Y424" s="643">
        <f>IFERROR(Y421/H421,"0")+IFERROR(Y422/H422,"0")+IFERROR(Y423/H423,"0")</f>
        <v>40</v>
      </c>
      <c r="Z424" s="643">
        <f>IFERROR(IF(Z421="",0,Z421),"0")+IFERROR(IF(Z422="",0,Z422),"0")+IFERROR(IF(Z423="",0,Z423),"0")</f>
        <v>0.26039999999999996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81</v>
      </c>
      <c r="Y425" s="643">
        <f>IFERROR(SUM(Y421:Y423),"0")</f>
        <v>84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19</v>
      </c>
      <c r="Y429" s="642">
        <f t="shared" ref="Y429:Y436" si="68">IFERROR(IF(X429="",0,CEILING((X429/$H429),1)*$H429),"")</f>
        <v>30</v>
      </c>
      <c r="Z429" s="36">
        <f>IFERROR(IF(Y429=0,"",ROUNDUP(Y429/H429,0)*0.02175),"")</f>
        <v>4.3499999999999997E-2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19.595333333333333</v>
      </c>
      <c r="BN429" s="64">
        <f t="shared" ref="BN429:BN436" si="70">IFERROR(Y429*I429/H429,"0")</f>
        <v>30.94</v>
      </c>
      <c r="BO429" s="64">
        <f t="shared" ref="BO429:BO436" si="71">IFERROR(1/J429*(X429/H429),"0")</f>
        <v>2.6388888888888885E-2</v>
      </c>
      <c r="BP429" s="64">
        <f t="shared" ref="BP429:BP436" si="72">IFERROR(1/J429*(Y429/H429),"0")</f>
        <v>4.1666666666666664E-2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0</v>
      </c>
      <c r="Y430" s="642">
        <f t="shared" si="68"/>
        <v>0</v>
      </c>
      <c r="Z430" s="36" t="str">
        <f>IFERROR(IF(Y430=0,"",ROUNDUP(Y430/H430,0)*0.02175),"")</f>
        <v/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0</v>
      </c>
      <c r="BN430" s="64">
        <f t="shared" si="70"/>
        <v>0</v>
      </c>
      <c r="BO430" s="64">
        <f t="shared" si="71"/>
        <v>0</v>
      </c>
      <c r="BP430" s="64">
        <f t="shared" si="72"/>
        <v>0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567</v>
      </c>
      <c r="Y431" s="642">
        <f t="shared" si="68"/>
        <v>570</v>
      </c>
      <c r="Z431" s="36">
        <f>IFERROR(IF(Y431=0,"",ROUNDUP(Y431/H431,0)*0.02175),"")</f>
        <v>0.8264999999999999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584.76599999999996</v>
      </c>
      <c r="BN431" s="64">
        <f t="shared" si="70"/>
        <v>587.86</v>
      </c>
      <c r="BO431" s="64">
        <f t="shared" si="71"/>
        <v>0.78749999999999987</v>
      </c>
      <c r="BP431" s="64">
        <f t="shared" si="72"/>
        <v>0.79166666666666663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458</v>
      </c>
      <c r="Y432" s="642">
        <f t="shared" si="68"/>
        <v>465</v>
      </c>
      <c r="Z432" s="36">
        <f>IFERROR(IF(Y432=0,"",ROUNDUP(Y432/H432,0)*0.02175),"")</f>
        <v>0.6742499999999999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472.35066666666665</v>
      </c>
      <c r="BN432" s="64">
        <f t="shared" si="70"/>
        <v>479.57</v>
      </c>
      <c r="BO432" s="64">
        <f t="shared" si="71"/>
        <v>0.63611111111111107</v>
      </c>
      <c r="BP432" s="64">
        <f t="shared" si="72"/>
        <v>0.64583333333333326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527</v>
      </c>
      <c r="Y433" s="642">
        <f t="shared" si="68"/>
        <v>540</v>
      </c>
      <c r="Z433" s="36">
        <f>IFERROR(IF(Y433=0,"",ROUNDUP(Y433/H433,0)*0.02175),"")</f>
        <v>0.78299999999999992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543.51266666666675</v>
      </c>
      <c r="BN433" s="64">
        <f t="shared" si="70"/>
        <v>556.92000000000007</v>
      </c>
      <c r="BO433" s="64">
        <f t="shared" si="71"/>
        <v>0.7319444444444444</v>
      </c>
      <c r="BP433" s="64">
        <f t="shared" si="72"/>
        <v>0.75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104.73333333333332</v>
      </c>
      <c r="Y437" s="643">
        <f>IFERROR(Y429/H429,"0")+IFERROR(Y430/H430,"0")+IFERROR(Y431/H431,"0")+IFERROR(Y432/H432,"0")+IFERROR(Y433/H433,"0")+IFERROR(Y434/H434,"0")+IFERROR(Y435/H435,"0")+IFERROR(Y436/H436,"0")</f>
        <v>107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2.3272499999999998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1571</v>
      </c>
      <c r="Y438" s="643">
        <f>IFERROR(SUM(Y429:Y436),"0")</f>
        <v>1605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2561</v>
      </c>
      <c r="Y440" s="642">
        <f>IFERROR(IF(X440="",0,CEILING((X440/$H440),1)*$H440),"")</f>
        <v>2565</v>
      </c>
      <c r="Z440" s="36">
        <f>IFERROR(IF(Y440=0,"",ROUNDUP(Y440/H440,0)*0.02175),"")</f>
        <v>3.7192499999999997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2641.2446666666665</v>
      </c>
      <c r="BN440" s="64">
        <f>IFERROR(Y440*I440/H440,"0")</f>
        <v>2645.3700000000003</v>
      </c>
      <c r="BO440" s="64">
        <f>IFERROR(1/J440*(X440/H440),"0")</f>
        <v>3.556944444444444</v>
      </c>
      <c r="BP440" s="64">
        <f>IFERROR(1/J440*(Y440/H440),"0")</f>
        <v>3.5625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170.73333333333332</v>
      </c>
      <c r="Y443" s="643">
        <f>IFERROR(Y440/H440,"0")+IFERROR(Y441/H441,"0")+IFERROR(Y442/H442,"0")</f>
        <v>171</v>
      </c>
      <c r="Z443" s="643">
        <f>IFERROR(IF(Z440="",0,Z440),"0")+IFERROR(IF(Z441="",0,Z441),"0")+IFERROR(IF(Z442="",0,Z442),"0")</f>
        <v>3.7192499999999997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2561</v>
      </c>
      <c r="Y444" s="643">
        <f>IFERROR(SUM(Y440:Y442),"0")</f>
        <v>2565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1000</v>
      </c>
      <c r="Y467" s="642">
        <f>IFERROR(IF(X467="",0,CEILING((X467/$H467),1)*$H467),"")</f>
        <v>1008</v>
      </c>
      <c r="Z467" s="36">
        <f>IFERROR(IF(Y467=0,"",ROUNDUP(Y467/H467,0)*0.01898),"")</f>
        <v>2.1257600000000001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1054.8888888888889</v>
      </c>
      <c r="BN467" s="64">
        <f>IFERROR(Y467*I467/H467,"0")</f>
        <v>1063.328</v>
      </c>
      <c r="BO467" s="64">
        <f>IFERROR(1/J467*(X467/H467),"0")</f>
        <v>1.7361111111111112</v>
      </c>
      <c r="BP467" s="64">
        <f>IFERROR(1/J467*(Y467/H467),"0")</f>
        <v>1.75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80</v>
      </c>
      <c r="Y468" s="642">
        <f>IFERROR(IF(X468="",0,CEILING((X468/$H468),1)*$H468),"")</f>
        <v>81.599999999999994</v>
      </c>
      <c r="Z468" s="36">
        <f>IFERROR(IF(Y468=0,"",ROUNDUP(Y468/H468,0)*0.00651),"")</f>
        <v>0.22134000000000001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88.800000000000011</v>
      </c>
      <c r="BN468" s="64">
        <f>IFERROR(Y468*I468/H468,"0")</f>
        <v>90.575999999999993</v>
      </c>
      <c r="BO468" s="64">
        <f>IFERROR(1/J468*(X468/H468),"0")</f>
        <v>0.18315018315018317</v>
      </c>
      <c r="BP468" s="64">
        <f>IFERROR(1/J468*(Y468/H468),"0")</f>
        <v>0.18681318681318682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144.44444444444446</v>
      </c>
      <c r="Y470" s="643">
        <f>IFERROR(Y467/H467,"0")+IFERROR(Y468/H468,"0")+IFERROR(Y469/H469,"0")</f>
        <v>146</v>
      </c>
      <c r="Z470" s="643">
        <f>IFERROR(IF(Z467="",0,Z467),"0")+IFERROR(IF(Z468="",0,Z468),"0")+IFERROR(IF(Z469="",0,Z469),"0")</f>
        <v>2.3471000000000002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1080</v>
      </c>
      <c r="Y471" s="643">
        <f>IFERROR(SUM(Y467:Y469),"0")</f>
        <v>1089.5999999999999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117</v>
      </c>
      <c r="Y505" s="642">
        <f t="shared" si="78"/>
        <v>121.44000000000001</v>
      </c>
      <c r="Z505" s="36">
        <f t="shared" si="79"/>
        <v>0.27507999999999999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124.75568181818181</v>
      </c>
      <c r="BN505" s="64">
        <f t="shared" si="81"/>
        <v>129.49</v>
      </c>
      <c r="BO505" s="64">
        <f t="shared" si="82"/>
        <v>0.2130681818181818</v>
      </c>
      <c r="BP505" s="64">
        <f t="shared" si="83"/>
        <v>0.22115384615384617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1585</v>
      </c>
      <c r="Y507" s="642">
        <f t="shared" si="78"/>
        <v>1589.28</v>
      </c>
      <c r="Z507" s="36">
        <f t="shared" si="79"/>
        <v>3.5999599999999998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1690.0662878787878</v>
      </c>
      <c r="BN507" s="64">
        <f t="shared" si="81"/>
        <v>1694.6299999999999</v>
      </c>
      <c r="BO507" s="64">
        <f t="shared" si="82"/>
        <v>2.8864364801864801</v>
      </c>
      <c r="BP507" s="64">
        <f t="shared" si="83"/>
        <v>2.8942307692307696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1026</v>
      </c>
      <c r="Y509" s="642">
        <f t="shared" si="78"/>
        <v>1027.2</v>
      </c>
      <c r="Z509" s="36">
        <f>IFERROR(IF(Y509=0,"",ROUNDUP(Y509/H509,0)*0.00902),"")</f>
        <v>1.93028</v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1477.0125</v>
      </c>
      <c r="BN509" s="64">
        <f t="shared" si="81"/>
        <v>1478.74</v>
      </c>
      <c r="BO509" s="64">
        <f t="shared" si="82"/>
        <v>1.6193181818181819</v>
      </c>
      <c r="BP509" s="64">
        <f t="shared" si="83"/>
        <v>1.6212121212121215</v>
      </c>
    </row>
    <row r="510" spans="1:68" ht="27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64</v>
      </c>
      <c r="Y510" s="642">
        <f t="shared" si="78"/>
        <v>67.2</v>
      </c>
      <c r="Z510" s="36">
        <f>IFERROR(IF(Y510=0,"",ROUNDUP(Y510/H510,0)*0.00902),"")</f>
        <v>0.12628</v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92.13333333333334</v>
      </c>
      <c r="BN510" s="64">
        <f t="shared" si="81"/>
        <v>96.740000000000009</v>
      </c>
      <c r="BO510" s="64">
        <f t="shared" si="82"/>
        <v>0.10101010101010102</v>
      </c>
      <c r="BP510" s="64">
        <f t="shared" si="83"/>
        <v>0.10606060606060608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549.43181818181824</v>
      </c>
      <c r="Y511" s="643">
        <f>IFERROR(Y502/H502,"0")+IFERROR(Y503/H503,"0")+IFERROR(Y504/H504,"0")+IFERROR(Y505/H505,"0")+IFERROR(Y506/H506,"0")+IFERROR(Y507/H507,"0")+IFERROR(Y508/H508,"0")+IFERROR(Y509/H509,"0")+IFERROR(Y510/H510,"0")</f>
        <v>552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5.9316000000000004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2792</v>
      </c>
      <c r="Y512" s="643">
        <f>IFERROR(SUM(Y502:Y510),"0")</f>
        <v>2805.12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650</v>
      </c>
      <c r="Y514" s="642">
        <f>IFERROR(IF(X514="",0,CEILING((X514/$H514),1)*$H514),"")</f>
        <v>654.72</v>
      </c>
      <c r="Z514" s="36">
        <f>IFERROR(IF(Y514=0,"",ROUNDUP(Y514/H514,0)*0.01196),"")</f>
        <v>1.4830399999999999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693.08712121212113</v>
      </c>
      <c r="BN514" s="64">
        <f>IFERROR(Y514*I514/H514,"0")</f>
        <v>698.12</v>
      </c>
      <c r="BO514" s="64">
        <f>IFERROR(1/J514*(X514/H514),"0")</f>
        <v>1.1837121212121211</v>
      </c>
      <c r="BP514" s="64">
        <f>IFERROR(1/J514*(Y514/H514),"0")</f>
        <v>1.1923076923076923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3</v>
      </c>
      <c r="Y516" s="642">
        <f>IFERROR(IF(X516="",0,CEILING((X516/$H516),1)*$H516),"")</f>
        <v>4.8</v>
      </c>
      <c r="Z516" s="36">
        <f>IFERROR(IF(Y516=0,"",ROUNDUP(Y516/H516,0)*0.00902),"")</f>
        <v>9.0200000000000002E-3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4.3187500000000005</v>
      </c>
      <c r="BN516" s="64">
        <f>IFERROR(Y516*I516/H516,"0")</f>
        <v>6.91</v>
      </c>
      <c r="BO516" s="64">
        <f>IFERROR(1/J516*(X516/H516),"0")</f>
        <v>4.734848484848485E-3</v>
      </c>
      <c r="BP516" s="64">
        <f>IFERROR(1/J516*(Y516/H516),"0")</f>
        <v>7.575757575757576E-3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123.73106060606059</v>
      </c>
      <c r="Y517" s="643">
        <f>IFERROR(Y514/H514,"0")+IFERROR(Y515/H515,"0")+IFERROR(Y516/H516,"0")</f>
        <v>125</v>
      </c>
      <c r="Z517" s="643">
        <f>IFERROR(IF(Z514="",0,Z514),"0")+IFERROR(IF(Z515="",0,Z515),"0")+IFERROR(IF(Z516="",0,Z516),"0")</f>
        <v>1.4920599999999999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653</v>
      </c>
      <c r="Y518" s="643">
        <f>IFERROR(SUM(Y514:Y516),"0")</f>
        <v>659.52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450</v>
      </c>
      <c r="Y520" s="642">
        <f t="shared" ref="Y520:Y526" si="84">IFERROR(IF(X520="",0,CEILING((X520/$H520),1)*$H520),"")</f>
        <v>454.08000000000004</v>
      </c>
      <c r="Z520" s="36">
        <f>IFERROR(IF(Y520=0,"",ROUNDUP(Y520/H520,0)*0.01196),"")</f>
        <v>1.0285599999999999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479.82954545454544</v>
      </c>
      <c r="BN520" s="64">
        <f t="shared" ref="BN520:BN526" si="86">IFERROR(Y520*I520/H520,"0")</f>
        <v>484.18</v>
      </c>
      <c r="BO520" s="64">
        <f t="shared" ref="BO520:BO526" si="87">IFERROR(1/J520*(X520/H520),"0")</f>
        <v>0.81949300699300698</v>
      </c>
      <c r="BP520" s="64">
        <f t="shared" ref="BP520:BP526" si="88">IFERROR(1/J520*(Y520/H520),"0")</f>
        <v>0.82692307692307698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251</v>
      </c>
      <c r="Y521" s="642">
        <f t="shared" si="84"/>
        <v>253.44</v>
      </c>
      <c r="Z521" s="36">
        <f>IFERROR(IF(Y521=0,"",ROUNDUP(Y521/H521,0)*0.01196),"")</f>
        <v>0.57408000000000003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267.63825757575756</v>
      </c>
      <c r="BN521" s="64">
        <f t="shared" si="86"/>
        <v>270.23999999999995</v>
      </c>
      <c r="BO521" s="64">
        <f t="shared" si="87"/>
        <v>0.45709498834498841</v>
      </c>
      <c r="BP521" s="64">
        <f t="shared" si="88"/>
        <v>0.46153846153846156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643</v>
      </c>
      <c r="Y522" s="642">
        <f t="shared" si="84"/>
        <v>644.16000000000008</v>
      </c>
      <c r="Z522" s="36">
        <f>IFERROR(IF(Y522=0,"",ROUNDUP(Y522/H522,0)*0.01196),"")</f>
        <v>1.45912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685.62310606060601</v>
      </c>
      <c r="BN522" s="64">
        <f t="shared" si="86"/>
        <v>686.86000000000013</v>
      </c>
      <c r="BO522" s="64">
        <f t="shared" si="87"/>
        <v>1.1709644522144522</v>
      </c>
      <c r="BP522" s="64">
        <f t="shared" si="88"/>
        <v>1.1730769230769234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254.54545454545453</v>
      </c>
      <c r="Y527" s="643">
        <f>IFERROR(Y520/H520,"0")+IFERROR(Y521/H521,"0")+IFERROR(Y522/H522,"0")+IFERROR(Y523/H523,"0")+IFERROR(Y524/H524,"0")+IFERROR(Y525/H525,"0")+IFERROR(Y526/H526,"0")</f>
        <v>256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3.06176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1344</v>
      </c>
      <c r="Y528" s="643">
        <f>IFERROR(SUM(Y520:Y526),"0")</f>
        <v>1351.68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17400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17593.480000000003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18824.388505334355</v>
      </c>
      <c r="Y559" s="643">
        <f>IFERROR(SUM(BN22:BN555),"0")</f>
        <v>19031.185000000005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31</v>
      </c>
      <c r="Y560" s="38">
        <f>ROUNDUP(SUM(BP22:BP555),0)</f>
        <v>31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19599.388505334355</v>
      </c>
      <c r="Y561" s="643">
        <f>GrossWeightTotalR+PalletQtyTotalR*25</f>
        <v>19806.185000000005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3311.7051431118925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3348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35.988279999999996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5.4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706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681.60000000000014</v>
      </c>
      <c r="F568" s="46">
        <f>IFERROR(Y85*1,"0")+IFERROR(Y86*1,"0")+IFERROR(Y87*1,"0")+IFERROR(Y88*1,"0")+IFERROR(Y89*1,"0")+IFERROR(Y90*1,"0")+IFERROR(Y94*1,"0")+IFERROR(Y95*1,"0")+IFERROR(Y96*1,"0")+IFERROR(Y97*1,"0")</f>
        <v>2192.4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337.2</v>
      </c>
      <c r="H568" s="46">
        <f>IFERROR(Y131*1,"0")+IFERROR(Y132*1,"0")+IFERROR(Y136*1,"0")+IFERROR(Y137*1,"0")+IFERROR(Y141*1,"0")+IFERROR(Y142*1,"0")</f>
        <v>16.799999999999997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456.35999999999996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205.72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2125.7999999999997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5.4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180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444.59999999999997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76.28</v>
      </c>
      <c r="U568" s="46">
        <f>IFERROR(Y415*1,"0")+IFERROR(Y416*1,"0")</f>
        <v>0</v>
      </c>
      <c r="V568" s="46">
        <f>IFERROR(Y421*1,"0")+IFERROR(Y422*1,"0")+IFERROR(Y423*1,"0")</f>
        <v>84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4170</v>
      </c>
      <c r="X568" s="46">
        <f>IFERROR(Y458*1,"0")+IFERROR(Y459*1,"0")+IFERROR(Y463*1,"0")+IFERROR(Y467*1,"0")+IFERROR(Y468*1,"0")+IFERROR(Y469*1,"0")</f>
        <v>1089.5999999999999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4816.32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026,00"/>
        <filter val="1 080,00"/>
        <filter val="1 344,00"/>
        <filter val="1 554,00"/>
        <filter val="1 571,00"/>
        <filter val="1 585,00"/>
        <filter val="1 586,00"/>
        <filter val="1,30"/>
        <filter val="104,73"/>
        <filter val="108,00"/>
        <filter val="109,00"/>
        <filter val="117,00"/>
        <filter val="118,10"/>
        <filter val="12,70"/>
        <filter val="120,00"/>
        <filter val="123,00"/>
        <filter val="123,73"/>
        <filter val="125,74"/>
        <filter val="129,00"/>
        <filter val="13,00"/>
        <filter val="14,00"/>
        <filter val="144,44"/>
        <filter val="15,00"/>
        <filter val="150,00"/>
        <filter val="16,00"/>
        <filter val="17 400,00"/>
        <filter val="17,00"/>
        <filter val="170,73"/>
        <filter val="178,00"/>
        <filter val="179,27"/>
        <filter val="18 824,39"/>
        <filter val="18,00"/>
        <filter val="19 599,39"/>
        <filter val="19,00"/>
        <filter val="197,00"/>
        <filter val="2 561,00"/>
        <filter val="2 792,00"/>
        <filter val="2,00"/>
        <filter val="2,17"/>
        <filter val="2,22"/>
        <filter val="2,78"/>
        <filter val="23,00"/>
        <filter val="24,00"/>
        <filter val="25,00"/>
        <filter val="250,00"/>
        <filter val="251,00"/>
        <filter val="254,55"/>
        <filter val="26,00"/>
        <filter val="28,00"/>
        <filter val="29,00"/>
        <filter val="3 311,71"/>
        <filter val="3,00"/>
        <filter val="3,17"/>
        <filter val="30,00"/>
        <filter val="30,65"/>
        <filter val="31"/>
        <filter val="331,00"/>
        <filter val="350,00"/>
        <filter val="373,00"/>
        <filter val="38,57"/>
        <filter val="4,00"/>
        <filter val="431,00"/>
        <filter val="442,00"/>
        <filter val="450,00"/>
        <filter val="458,00"/>
        <filter val="487,00"/>
        <filter val="49,00"/>
        <filter val="5,00"/>
        <filter val="5,36"/>
        <filter val="50,00"/>
        <filter val="510,02"/>
        <filter val="527,00"/>
        <filter val="53,00"/>
        <filter val="533,00"/>
        <filter val="549,43"/>
        <filter val="55,01"/>
        <filter val="56,67"/>
        <filter val="567,00"/>
        <filter val="569,00"/>
        <filter val="58,00"/>
        <filter val="587,41"/>
        <filter val="595,00"/>
        <filter val="6,00"/>
        <filter val="6,67"/>
        <filter val="60,00"/>
        <filter val="64,00"/>
        <filter val="643,00"/>
        <filter val="65,00"/>
        <filter val="65,56"/>
        <filter val="650,00"/>
        <filter val="653,00"/>
        <filter val="69,00"/>
        <filter val="69,09"/>
        <filter val="7,00"/>
        <filter val="7,94"/>
        <filter val="700,00"/>
        <filter val="703,00"/>
        <filter val="72,00"/>
        <filter val="74,17"/>
        <filter val="8,00"/>
        <filter val="8,70"/>
        <filter val="80,00"/>
        <filter val="800,00"/>
        <filter val="81,00"/>
        <filter val="84,00"/>
        <filter val="9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