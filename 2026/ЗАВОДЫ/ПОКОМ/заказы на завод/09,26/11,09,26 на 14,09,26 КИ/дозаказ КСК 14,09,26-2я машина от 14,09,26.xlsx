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E0B5B51-EF64-465F-9AFA-0A78EAD120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4" i="2" l="1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218" i="2"/>
  <c r="Z553" i="2"/>
  <c r="Z484" i="2"/>
  <c r="Z99" i="2"/>
  <c r="Z32" i="2"/>
  <c r="Z414" i="2"/>
  <c r="Z325" i="2"/>
  <c r="Z452" i="2"/>
  <c r="Z177" i="2"/>
  <c r="Z198" i="2"/>
  <c r="Z51" i="2"/>
  <c r="Z134" i="2"/>
  <c r="Z6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<sst xmlns="http://schemas.openxmlformats.org/spreadsheetml/2006/main" count="4310" uniqueCount="900">
  <si>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</si>
  <si>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</si>
  <si>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</si>
  <si>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</si>
  <si>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</si>
  <si>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</si>
  <si>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</si>
  <si>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</si>
  <si>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</si>
  <si>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</si>
  <si>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</si>
  <si>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</si>
  <si>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</si>
  <si>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</si>
  <si>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</si>
  <si>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</si>
  <si>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</si>
  <si>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</si>
  <si>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</si>
  <si>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</si>
  <si>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</si>
  <si>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</si>
  <si>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</si>
  <si>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</si>
  <si>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</si>
  <si>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</si>
  <si>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</si>
  <si>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</si>
  <si>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</si>
  <si>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</si>
  <si>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</si>
  <si>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</si>
  <si>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</si>
  <si>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</si>
  <si>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</si>
  <si>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</si>
  <si>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</si>
  <si>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</si>
  <si>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</si>
  <si>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</si>
  <si>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</si>
  <si>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</si>
  <si>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</si>
  <si>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</si>
  <si>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</si>
  <si>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</si>
  <si>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</si>
  <si>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</si>
  <si>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</si>
  <si>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</si>
  <si>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</si>
  <si>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</si>
  <si>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</si>
  <si>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</si>
  <si>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</si>
  <si>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</si>
  <si>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</si>
  <si>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</si>
  <si>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</si>
  <si>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</si>
  <si>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</si>
  <si>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</si>
  <si>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</si>
  <si>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</si>
  <si>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</si>
  <si>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</si>
  <si>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</si>
  <si>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</si>
  <si>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</si>
  <si>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</si>
  <si>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</si>
  <si>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</si>
  <si>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</si>
  <si>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</si>
  <si>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</si>
  <si>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</si>
  <si>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</si>
  <si>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</si>
  <si>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</si>
  <si>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</si>
  <si>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</si>
  <si>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</si>
  <si>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</si>
  <si>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</si>
  <si>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</si>
  <si>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</si>
  <si>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</si>
  <si>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</si>
  <si>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</si>
  <si>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</si>
  <si>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</si>
  <si>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</si>
  <si>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</si>
  <si>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</si>
  <si>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</si>
  <si>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</si>
  <si>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</si>
  <si>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</si>
  <si>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</si>
  <si>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</si>
  <si>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</si>
  <si>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</si>
  <si>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</si>
  <si>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</si>
  <si>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</si>
  <si>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</si>
  <si>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</si>
  <si>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</si>
  <si>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</si>
  <si>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</si>
  <si>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</si>
  <si>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</si>
  <si>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</si>
  <si>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</si>
  <si>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</si>
  <si>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</si>
  <si>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</si>
  <si>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</si>
  <si>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</si>
  <si>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</si>
  <si>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</si>
  <si>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</si>
  <si>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</si>
  <si>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</si>
  <si>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</si>
  <si>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</si>
  <si>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</si>
  <si>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</si>
  <si>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</si>
  <si>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</si>
  <si>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</si>
  <si>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</si>
  <si>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</si>
  <si>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</si>
  <si>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</si>
  <si>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</si>
  <si>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</si>
  <si>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</si>
  <si>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</si>
  <si>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</si>
  <si>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</si>
  <si>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</si>
  <si>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</si>
  <si>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</si>
  <si>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</si>
  <si>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</si>
  <si>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</si>
  <si>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</si>
  <si>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</si>
  <si>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</si>
  <si>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</si>
  <si>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</si>
  <si>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</si>
  <si>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</si>
  <si>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</si>
  <si>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</si>
  <si>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</si>
  <si>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</si>
  <si>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</si>
  <si>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</si>
  <si>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</si>
  <si>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</si>
  <si>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</si>
  <si>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</si>
  <si>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</si>
  <si>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</si>
  <si>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</si>
  <si>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</si>
  <si>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</si>
  <si>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</si>
  <si>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</si>
  <si>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</si>
  <si>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</si>
  <si>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</si>
  <si>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</si>
  <si>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</si>
  <si>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</si>
  <si>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</si>
  <si>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</si>
  <si>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</si>
  <si>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</si>
  <si>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</si>
  <si>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</si>
  <si>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</si>
  <si>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</si>
  <si>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</si>
  <si>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</si>
  <si>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</si>
  <si>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</si>
  <si>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</si>
  <si>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</si>
  <si>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</si>
  <si>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</si>
  <si>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</si>
  <si>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</si>
  <si>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</si>
  <si>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</si>
  <si>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</si>
  <si>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</si>
  <si>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</si>
  <si>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</si>
  <si>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</si>
  <si>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</si>
  <si>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</si>
  <si>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</si>
  <si>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</si>
  <si>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</si>
  <si>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</si>
  <si>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</si>
  <si>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</si>
  <si>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</si>
  <si>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</si>
  <si>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</si>
  <si>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</si>
  <si>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</si>
  <si>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</si>
  <si>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</si>
  <si>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</si>
  <si>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</si>
  <si>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</si>
  <si>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</si>
  <si>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</si>
  <si>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</si>
  <si>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</si>
  <si>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</si>
  <si>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</si>
  <si>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</si>
  <si>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</si>
  <si>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</si>
  <si>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</si>
  <si>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</si>
  <si>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</si>
  <si>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</si>
  <si>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</si>
  <si>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</si>
  <si>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</si>
  <si>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</si>
  <si>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</si>
  <si>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</si>
  <si>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</si>
  <si>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</si>
  <si>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</si>
  <si>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</si>
  <si>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</si>
  <si>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</si>
  <si>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</si>
  <si>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</si>
  <si>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</si>
  <si>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</si>
  <si>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</si>
  <si>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</si>
  <si>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</si>
  <si>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</si>
  <si>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</si>
  <si>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</si>
  <si>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</si>
  <si>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</si>
  <si>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</si>
  <si>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</si>
  <si>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</si>
  <si>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</si>
  <si>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</si>
  <si>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</si>
  <si>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</si>
  <si>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</si>
  <si>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</si>
  <si>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</si>
  <si>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</si>
  <si>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</si>
  <si>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</si>
  <si>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</si>
  <si>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</si>
  <si>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</si>
  <si>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</si>
  <si>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</si>
  <si>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</si>
  <si>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</si>
  <si>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</si>
  <si>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</si>
  <si>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</si>
  <si>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</si>
  <si>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</si>
  <si>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</si>
  <si>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</si>
  <si>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</si>
  <si>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</si>
  <si>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</si>
  <si>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</si>
  <si>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</si>
  <si>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</si>
  <si>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</si>
  <si>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</si>
  <si>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</si>
  <si>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</si>
  <si>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</si>
  <si>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</si>
  <si>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</si>
  <si>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</si>
  <si>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</si>
  <si>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</si>
  <si>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</si>
  <si>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</si>
  <si>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</si>
  <si>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</si>
  <si>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</si>
  <si>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</si>
  <si>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</si>
  <si>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</si>
  <si>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</si>
  <si>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</si>
  <si>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</si>
  <si>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</si>
  <si>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</si>
  <si>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</si>
  <si>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</si>
  <si>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</si>
  <si>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</si>
  <si>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</si>
  <si>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</si>
  <si>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</si>
  <si>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</si>
  <si>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</si>
  <si>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</si>
  <si>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</si>
  <si>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</si>
  <si>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</si>
  <si>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</si>
  <si>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</si>
  <si>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</si>
  <si>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</si>
  <si>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</si>
  <si>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</si>
  <si>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</si>
  <si>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</si>
  <si>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</si>
  <si>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</si>
  <si>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</si>
  <si>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</si>
  <si>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</si>
  <si>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</si>
  <si>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</si>
  <si>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</si>
  <si>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</si>
  <si>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</si>
  <si>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</si>
  <si>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</si>
  <si>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</si>
  <si>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</si>
  <si>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</si>
  <si>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</si>
  <si>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</si>
  <si>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</si>
  <si>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</si>
  <si>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</si>
  <si>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</si>
  <si>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</si>
  <si>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</si>
  <si>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</si>
  <si>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</si>
  <si>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</si>
  <si>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</si>
  <si>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</si>
  <si>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</si>
  <si>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</si>
  <si>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</si>
  <si>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</si>
  <si>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</si>
  <si>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</si>
  <si>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</si>
  <si>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</si>
  <si>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</si>
  <si>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</si>
  <si>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</si>
  <si>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</si>
  <si>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</si>
  <si>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</si>
  <si>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</si>
  <si>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</si>
  <si>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</si>
  <si>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</si>
  <si>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</si>
  <si>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</si>
  <si>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</si>
  <si>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</si>
  <si>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</si>
  <si>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</si>
  <si>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</si>
  <si>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</si>
  <si>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</si>
  <si>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</si>
  <si>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</si>
  <si>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</si>
  <si>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</si>
  <si>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</si>
  <si>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</si>
  <si>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</si>
  <si>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</si>
  <si>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</si>
  <si>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</si>
  <si>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</si>
  <si>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</si>
  <si>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</si>
  <si>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</si>
  <si>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</si>
  <si>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</si>
  <si>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</si>
  <si>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</si>
  <si>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</si>
  <si>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</si>
  <si>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</si>
  <si>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</si>
  <si>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</si>
  <si>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</si>
  <si>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</si>
  <si>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</si>
  <si>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</si>
  <si>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</si>
  <si>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</si>
  <si>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</si>
  <si>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</si>
  <si>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</si>
  <si>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</si>
  <si>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</si>
  <si>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</si>
  <si>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</si>
  <si>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</si>
  <si>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</si>
  <si>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</si>
  <si>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</si>
  <si>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</si>
  <si>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</si>
  <si>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</si>
  <si>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</si>
  <si>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</si>
  <si>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</si>
  <si>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</si>
  <si>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</si>
  <si>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</si>
  <si>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</si>
  <si>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</si>
  <si>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</si>
  <si>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</si>
  <si>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</si>
  <si>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</si>
  <si>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</si>
  <si>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</si>
  <si>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</si>
  <si>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</si>
  <si>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</si>
  <si>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</si>
  <si>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</si>
  <si>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</si>
  <si>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</si>
  <si>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</si>
  <si>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</si>
  <si>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</si>
  <si>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</si>
  <si>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</si>
  <si>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</si>
  <si>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</si>
  <si>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</si>
  <si>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</si>
  <si>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</si>
  <si>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</si>
  <si>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</si>
  <si>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</si>
  <si>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</si>
  <si>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</si>
  <si>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</si>
  <si>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</si>
  <si>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</si>
  <si>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</si>
  <si>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</si>
  <si>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</si>
  <si>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</si>
  <si>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</si>
  <si>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</si>
  <si>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</si>
  <si>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</si>
  <si>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</si>
  <si>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</si>
  <si>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</si>
  <si>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</si>
  <si>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</si>
  <si>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</si>
  <si>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</si>
  <si>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</si>
  <si>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</si>
  <si>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</si>
  <si>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</si>
  <si>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</si>
  <si>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</si>
  <si>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</si>
  <si>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</si>
  <si>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</si>
  <si>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</si>
  <si>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</si>
  <si>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</si>
  <si>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</si>
  <si>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</si>
  <si>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</si>
  <si>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</si>
  <si>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</si>
  <si>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</si>
  <si>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</si>
  <si>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</si>
  <si>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</si>
  <si>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</si>
  <si>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</si>
  <si>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</si>
  <si>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</si>
  <si>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</si>
  <si>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</si>
  <si>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</si>
  <si>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</si>
  <si>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</si>
  <si>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</si>
  <si>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</si>
  <si>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</si>
  <si>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</si>
  <si>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</si>
  <si>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</si>
  <si>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</si>
  <si>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</si>
  <si>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</si>
  <si>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</si>
  <si>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</si>
  <si>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</si>
  <si>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</si>
  <si>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</si>
  <si>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</si>
  <si>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</si>
  <si>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</si>
  <si>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</si>
  <si>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</si>
  <si>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</si>
  <si>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</si>
  <si>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</si>
  <si>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</si>
  <si>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</si>
  <si>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</si>
  <si>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</si>
  <si>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</si>
  <si>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</si>
  <si>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</si>
  <si>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</si>
  <si>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</si>
  <si>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</si>
  <si>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</si>
  <si>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</si>
  <si>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</si>
  <si>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</si>
  <si>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</si>
  <si>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</si>
  <si>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</si>
  <si>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</si>
  <si>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</si>
  <si>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</si>
  <si>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</si>
  <si>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</si>
  <si>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</si>
  <si>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</si>
  <si>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</si>
  <si>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</si>
  <si>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</si>
  <si>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</si>
  <si>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</si>
  <si>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</si>
  <si>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</si>
  <si>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</si>
  <si>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</si>
  <si>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</si>
  <si>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</si>
  <si>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</si>
  <si>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</si>
  <si>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</si>
  <si>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</si>
  <si>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</si>
  <si>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</si>
  <si>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</si>
  <si>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</si>
  <si>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</si>
  <si>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</si>
  <si>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</si>
  <si>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</si>
  <si>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</si>
  <si>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</si>
  <si>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</si>
  <si>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</si>
  <si>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</si>
  <si>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</si>
  <si>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</si>
  <si>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</si>
  <si>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</si>
  <si>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</si>
  <si>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</si>
  <si>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</si>
  <si>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</si>
  <si>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</si>
  <si>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</si>
  <si>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</si>
  <si>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</si>
  <si>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</si>
  <si>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</si>
  <si>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</si>
  <si>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</si>
  <si>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</si>
  <si>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</si>
  <si>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</si>
  <si>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</si>
  <si>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</si>
  <si>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</si>
  <si>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</si>
  <si>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</si>
  <si>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</si>
  <si>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</si>
  <si>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</si>
  <si>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</si>
  <si>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</si>
  <si>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</si>
  <si>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</si>
  <si>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</si>
  <si>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</si>
  <si>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</si>
  <si>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</si>
  <si>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</si>
  <si>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</si>
  <si>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</si>
  <si>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</si>
  <si>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</si>
  <si>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</si>
  <si>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</si>
  <si>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</si>
  <si>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</si>
  <si>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</si>
  <si>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</si>
  <si>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</si>
  <si>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</si>
  <si>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</si>
  <si>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</si>
  <si>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</si>
  <si>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</si>
  <si>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</si>
  <si>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</si>
  <si>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</si>
  <si>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</si>
  <si>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</si>
  <si>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</si>
  <si>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</si>
  <si>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</si>
  <si>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</si>
  <si>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</si>
  <si>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</si>
  <si>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</si>
  <si>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</si>
  <si>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</si>
  <si>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</si>
  <si>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</si>
  <si>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</si>
  <si>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</si>
  <si>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</si>
  <si>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</si>
  <si>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</si>
  <si>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</si>
  <si>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</si>
  <si>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</si>
  <si>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</si>
  <si>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</si>
  <si>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</si>
  <si>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</si>
  <si>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</si>
  <si>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</si>
  <si>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</si>
  <si>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</si>
  <si>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</si>
  <si>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</si>
  <si>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</si>
  <si>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</si>
  <si>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</si>
  <si>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</si>
  <si>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</si>
  <si>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</si>
  <si>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</si>
  <si>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</si>
  <si>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</si>
  <si>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</si>
  <si>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</si>
  <si>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</si>
  <si>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</si>
  <si>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</si>
  <si>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</si>
  <si>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</si>
  <si>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</si>
  <si>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</si>
  <si>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</si>
  <si>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</si>
  <si>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</si>
  <si>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</si>
  <si>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</si>
  <si>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</si>
  <si>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</si>
  <si>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</si>
  <si>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</si>
  <si>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</si>
  <si>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</si>
  <si>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</si>
  <si>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</si>
  <si>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</si>
  <si>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</si>
  <si>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</si>
  <si>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</si>
  <si>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</si>
  <si>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</si>
  <si>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</si>
  <si>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</si>
  <si>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</si>
  <si>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</si>
  <si>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</si>
  <si>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</si>
  <si>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</si>
  <si>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</si>
  <si>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</si>
  <si>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</si>
  <si>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</si>
  <si>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</si>
  <si>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</si>
  <si>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</si>
  <si>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</si>
  <si>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</si>
  <si>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</si>
  <si>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</si>
  <si>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</si>
  <si>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</si>
  <si>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</si>
  <si>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</si>
  <si>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</si>
  <si>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</si>
  <si>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</si>
  <si>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</si>
  <si>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</si>
  <si>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</si>
  <si>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</si>
  <si>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</si>
  <si>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</si>
  <si>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</si>
  <si>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</si>
  <si>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</si>
  <si>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</si>
  <si>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</si>
  <si>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</si>
  <si>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</si>
  <si>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</si>
  <si>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</si>
  <si>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</si>
  <si>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</si>
  <si>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</si>
  <si>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</si>
  <si>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</si>
  <si>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</si>
  <si>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</si>
  <si>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</si>
  <si>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</si>
  <si>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</si>
  <si>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</si>
  <si>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</si>
  <si>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</si>
  <si>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</si>
  <si>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</si>
  <si>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</si>
  <si>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</si>
  <si>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</si>
  <si>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</si>
  <si>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</si>
  <si>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</si>
  <si>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</si>
  <si>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</si>
  <si>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</si>
  <si>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</si>
  <si>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</si>
  <si>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</si>
  <si>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</si>
  <si>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</si>
  <si>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</si>
  <si>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</si>
  <si>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</si>
  <si>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</si>
  <si>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</si>
  <si>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</si>
  <si>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</si>
  <si>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</si>
  <si>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</si>
  <si>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</si>
  <si>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</si>
  <si>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</si>
  <si>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</si>
  <si>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</si>
  <si>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</si>
  <si>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</si>
  <si>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</si>
  <si>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</si>
  <si>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</si>
  <si>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</si>
  <si>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</si>
  <si>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</si>
  <si>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</si>
  <si>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</si>
  <si>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</si>
  <si>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</si>
  <si>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</si>
  <si>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</si>
  <si>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</si>
  <si>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</si>
  <si>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</si>
  <si>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</si>
  <si>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</si>
  <si>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</si>
  <si>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</si>
  <si>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</si>
  <si>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</si>
  <si>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</si>
  <si>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</si>
  <si>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</si>
  <si>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</si>
  <si>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</si>
  <si>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</si>
  <si>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</si>
  <si>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</si>
  <si>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</si>
  <si>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</si>
  <si>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</si>
  <si>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</si>
  <si>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</si>
  <si>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</si>
  <si>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</si>
  <si>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</si>
  <si>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</si>
  <si>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</si>
  <si>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</si>
  <si>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</si>
  <si>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</si>
  <si>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</si>
  <si>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</si>
  <si>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</si>
  <si>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</si>
  <si>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</si>
  <si>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</si>
  <si>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</si>
  <si>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</si>
  <si>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</si>
  <si>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</si>
  <si>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</si>
  <si>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</si>
  <si>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</si>
  <si>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</si>
  <si>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</si>
  <si>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</si>
  <si>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</si>
  <si>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</si>
  <si>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</si>
  <si>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</si>
  <si>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</si>
  <si>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</si>
  <si>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</si>
  <si>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</si>
  <si>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</si>
  <si>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</si>
  <si>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</si>
  <si>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</si>
  <si>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</si>
  <si>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</si>
  <si>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</si>
  <si>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</si>
  <si>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</si>
  <si>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</si>
  <si>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</si>
  <si>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</si>
  <si>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</si>
  <si>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</si>
  <si>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</si>
  <si>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</si>
  <si>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</si>
  <si>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</si>
  <si>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</si>
  <si>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</si>
  <si>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</si>
  <si>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</si>
  <si>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</si>
  <si>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</si>
  <si>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</si>
  <si>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</si>
  <si>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</si>
  <si>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</si>
  <si>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</si>
  <si>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</si>
  <si>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</si>
  <si>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</si>
  <si>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</si>
  <si>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</si>
  <si>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</si>
  <si>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14,09 на 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</si>
</sst>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46279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0.66666666666666663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1000</v>
      </c>
      <c r="Y433" s="55">
        <f t="shared" si="68"/>
        <v>1005</v>
      </c>
      <c r="Z433" s="41">
        <f>IFERROR(IF(Y433=0,"",ROUNDUP(Y433/H433,0)*0.02175),"")</f>
        <v>1.4572499999999999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1031.3333333333333</v>
      </c>
      <c r="BN433" s="78">
        <f t="shared" si="70"/>
        <v>1036.49</v>
      </c>
      <c r="BO433" s="78">
        <f t="shared" si="71"/>
        <v>1.3888888888888888</v>
      </c>
      <c r="BP433" s="78">
        <f t="shared" si="72"/>
        <v>1.3958333333333333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700</v>
      </c>
      <c r="Y434" s="55">
        <f t="shared" si="68"/>
        <v>705</v>
      </c>
      <c r="Z434" s="41">
        <f>IFERROR(IF(Y434=0,"",ROUNDUP(Y434/H434,0)*0.02175),"")</f>
        <v>1.0222499999999999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721.93333333333328</v>
      </c>
      <c r="BN434" s="78">
        <f t="shared" si="70"/>
        <v>727.09</v>
      </c>
      <c r="BO434" s="78">
        <f t="shared" si="71"/>
        <v>0.9722222222222221</v>
      </c>
      <c r="BP434" s="78">
        <f t="shared" si="72"/>
        <v>0.97916666666666663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900</v>
      </c>
      <c r="Y435" s="55">
        <f t="shared" si="68"/>
        <v>900</v>
      </c>
      <c r="Z435" s="41">
        <f>IFERROR(IF(Y435=0,"",ROUNDUP(Y435/H435,0)*0.02175),"")</f>
        <v>1.3049999999999999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928.2</v>
      </c>
      <c r="BN435" s="78">
        <f t="shared" si="70"/>
        <v>928.2</v>
      </c>
      <c r="BO435" s="78">
        <f t="shared" si="71"/>
        <v>1.25</v>
      </c>
      <c r="BP435" s="78">
        <f t="shared" si="72"/>
        <v>1.25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68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515.66666666666663</v>
      </c>
      <c r="BN436" s="78">
        <f t="shared" si="70"/>
        <v>525.98</v>
      </c>
      <c r="BO436" s="78">
        <f t="shared" si="71"/>
        <v>0.69444444444444442</v>
      </c>
      <c r="BP436" s="78">
        <f t="shared" si="72"/>
        <v>0.70833333333333326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206.66666666666669</v>
      </c>
      <c r="Y440" s="43">
        <f>IFERROR(Y432/H432,"0")+IFERROR(Y433/H433,"0")+IFERROR(Y434/H434,"0")+IFERROR(Y435/H435,"0")+IFERROR(Y436/H436,"0")+IFERROR(Y437/H437,"0")+IFERROR(Y438/H438,"0")+IFERROR(Y439/H439,"0")</f>
        <v>208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4.5239999999999991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3100</v>
      </c>
      <c r="Y441" s="43">
        <f>IFERROR(SUM(Y432:Y439),"0")</f>
        <v>3120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800</v>
      </c>
      <c r="Y443" s="55">
        <f>IFERROR(IF(X443="",0,CEILING((X443/$H443),1)*$H443),"")</f>
        <v>810</v>
      </c>
      <c r="Z443" s="41">
        <f>IFERROR(IF(Y443=0,"",ROUNDUP(Y443/H443,0)*0.02175),"")</f>
        <v>1.1744999999999999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825.06666666666672</v>
      </c>
      <c r="BN443" s="78">
        <f>IFERROR(Y443*I443/H443,"0")</f>
        <v>835.38</v>
      </c>
      <c r="BO443" s="78">
        <f>IFERROR(1/J443*(X443/H443),"0")</f>
        <v>1.1111111111111112</v>
      </c>
      <c r="BP443" s="78">
        <f>IFERROR(1/J443*(Y443/H443),"0")</f>
        <v>1.125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53.333333333333336</v>
      </c>
      <c r="Y446" s="43">
        <f>IFERROR(Y443/H443,"0")+IFERROR(Y444/H444,"0")+IFERROR(Y445/H445,"0")</f>
        <v>54</v>
      </c>
      <c r="Z446" s="43">
        <f>IFERROR(IF(Z443="",0,Z443),"0")+IFERROR(IF(Z444="",0,Z444),"0")+IFERROR(IF(Z445="",0,Z445),"0")</f>
        <v>1.1744999999999999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800</v>
      </c>
      <c r="Y447" s="43">
        <f>IFERROR(SUM(Y443:Y445),"0")</f>
        <v>810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3900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3930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4022.1999999999994</v>
      </c>
      <c r="Y561" s="43">
        <f>IFERROR(SUM(BN22:BN557),"0")</f>
        <v>4053.14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6</v>
      </c>
      <c r="Y562" s="44">
        <f>ROUNDUP(SUM(BP22:BP557),0)</f>
        <v>6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4172.1999999999989</v>
      </c>
      <c r="Y563" s="43">
        <f>GrossWeightTotalR+PalletQtyTotalR*25</f>
        <v>4203.1399999999994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260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262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5.6984999999999992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3930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206,67"/>
        <filter val="260,00"/>
        <filter val="3 100,00"/>
        <filter val="3 900,00"/>
        <filter val="4 022,20"/>
        <filter val="4 172,20"/>
        <filter val="500,00"/>
        <filter val="53,33"/>
        <filter val="6"/>
        <filter val="700,00"/>
        <filter val="800,00"/>
        <filter val="9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2026-09-14T13:25:23Z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