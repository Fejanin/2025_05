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92F765F-756E-428B-B44F-459E457AC066}" xr6:coauthVersionLast="47" xr6:coauthVersionMax="47" xr10:uidLastSave="{00000000-0000-0000-0000-000000000000}"/>
  <bookViews>
    <workbookView xWindow="75" yWindow="105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Z520" i="2"/>
  <c r="Y520" i="2"/>
  <c r="BN520" i="2" s="1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Z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Y462" i="2" s="1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P437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Z427" i="2"/>
  <c r="Y427" i="2"/>
  <c r="BN427" i="2" s="1"/>
  <c r="P427" i="2"/>
  <c r="BO426" i="2"/>
  <c r="BM426" i="2"/>
  <c r="Y426" i="2"/>
  <c r="P426" i="2"/>
  <c r="X422" i="2"/>
  <c r="X421" i="2"/>
  <c r="BO420" i="2"/>
  <c r="BM420" i="2"/>
  <c r="Z420" i="2"/>
  <c r="Y420" i="2"/>
  <c r="BP420" i="2" s="1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Z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BP382" i="2" s="1"/>
  <c r="P382" i="2"/>
  <c r="BO381" i="2"/>
  <c r="BM381" i="2"/>
  <c r="Y381" i="2"/>
  <c r="P381" i="2"/>
  <c r="BP380" i="2"/>
  <c r="BO380" i="2"/>
  <c r="BM380" i="2"/>
  <c r="Z380" i="2"/>
  <c r="Y380" i="2"/>
  <c r="BN380" i="2" s="1"/>
  <c r="P380" i="2"/>
  <c r="BO379" i="2"/>
  <c r="BM379" i="2"/>
  <c r="Y379" i="2"/>
  <c r="Y384" i="2" s="1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P361" i="2"/>
  <c r="BP360" i="2"/>
  <c r="BO360" i="2"/>
  <c r="BM360" i="2"/>
  <c r="Z360" i="2"/>
  <c r="Y360" i="2"/>
  <c r="BN360" i="2" s="1"/>
  <c r="P360" i="2"/>
  <c r="BO359" i="2"/>
  <c r="BM359" i="2"/>
  <c r="Y359" i="2"/>
  <c r="X356" i="2"/>
  <c r="X355" i="2"/>
  <c r="BP354" i="2"/>
  <c r="BO354" i="2"/>
  <c r="BM354" i="2"/>
  <c r="Z354" i="2"/>
  <c r="Y354" i="2"/>
  <c r="BN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P324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Y314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P273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Z251" i="2"/>
  <c r="Z252" i="2" s="1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P226" i="2"/>
  <c r="BO226" i="2"/>
  <c r="BM226" i="2"/>
  <c r="Z226" i="2"/>
  <c r="Y226" i="2"/>
  <c r="BN226" i="2" s="1"/>
  <c r="P226" i="2"/>
  <c r="BO225" i="2"/>
  <c r="BN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Z216" i="2"/>
  <c r="Y216" i="2"/>
  <c r="P216" i="2"/>
  <c r="BO215" i="2"/>
  <c r="BN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P203" i="2"/>
  <c r="BO203" i="2"/>
  <c r="BN203" i="2"/>
  <c r="BM203" i="2"/>
  <c r="Z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P189" i="2"/>
  <c r="BO189" i="2"/>
  <c r="BM189" i="2"/>
  <c r="Z189" i="2"/>
  <c r="Y189" i="2"/>
  <c r="BN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N180" i="2"/>
  <c r="BM180" i="2"/>
  <c r="Z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Z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N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N115" i="2"/>
  <c r="BM115" i="2"/>
  <c r="Y115" i="2"/>
  <c r="BP115" i="2" s="1"/>
  <c r="P115" i="2"/>
  <c r="BO114" i="2"/>
  <c r="BM114" i="2"/>
  <c r="Z114" i="2"/>
  <c r="Y114" i="2"/>
  <c r="BP114" i="2" s="1"/>
  <c r="P114" i="2"/>
  <c r="BO113" i="2"/>
  <c r="BN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N78" i="2"/>
  <c r="BM78" i="2"/>
  <c r="Z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N49" i="2"/>
  <c r="BM49" i="2"/>
  <c r="Z49" i="2"/>
  <c r="Y49" i="2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Y32" i="2" s="1"/>
  <c r="P28" i="2"/>
  <c r="BO27" i="2"/>
  <c r="BN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X558" i="2" l="1"/>
  <c r="Z27" i="2"/>
  <c r="Z66" i="2"/>
  <c r="Z113" i="2"/>
  <c r="Z117" i="2" s="1"/>
  <c r="BN114" i="2"/>
  <c r="Z115" i="2"/>
  <c r="Z151" i="2"/>
  <c r="Z177" i="2"/>
  <c r="Z215" i="2"/>
  <c r="Z225" i="2"/>
  <c r="BN420" i="2"/>
  <c r="Y452" i="2"/>
  <c r="BN48" i="2"/>
  <c r="BP181" i="2"/>
  <c r="BN236" i="2"/>
  <c r="Z48" i="2"/>
  <c r="Z79" i="2"/>
  <c r="Z221" i="2"/>
  <c r="Z236" i="2"/>
  <c r="Z372" i="2"/>
  <c r="X556" i="2"/>
  <c r="Z38" i="2"/>
  <c r="Z58" i="2"/>
  <c r="BN58" i="2"/>
  <c r="Z72" i="2"/>
  <c r="BN72" i="2"/>
  <c r="Z86" i="2"/>
  <c r="Y109" i="2"/>
  <c r="Y118" i="2"/>
  <c r="Z120" i="2"/>
  <c r="Z134" i="2"/>
  <c r="Z143" i="2"/>
  <c r="Y154" i="2"/>
  <c r="Z173" i="2"/>
  <c r="BN173" i="2"/>
  <c r="Z179" i="2"/>
  <c r="Z184" i="2"/>
  <c r="BN184" i="2"/>
  <c r="Z200" i="2"/>
  <c r="Z205" i="2"/>
  <c r="BN205" i="2"/>
  <c r="Z217" i="2"/>
  <c r="BN217" i="2"/>
  <c r="Z223" i="2"/>
  <c r="Z233" i="2"/>
  <c r="Z256" i="2"/>
  <c r="BN256" i="2"/>
  <c r="Z269" i="2"/>
  <c r="BN269" i="2"/>
  <c r="Z299" i="2"/>
  <c r="BN299" i="2"/>
  <c r="Z341" i="2"/>
  <c r="BN341" i="2"/>
  <c r="Z342" i="2"/>
  <c r="Z374" i="2"/>
  <c r="Y383" i="2"/>
  <c r="Z401" i="2"/>
  <c r="Z432" i="2"/>
  <c r="BN432" i="2"/>
  <c r="BP433" i="2"/>
  <c r="Z444" i="2"/>
  <c r="BP460" i="2"/>
  <c r="Y461" i="2"/>
  <c r="Z481" i="2"/>
  <c r="Z493" i="2"/>
  <c r="BN493" i="2"/>
  <c r="Y495" i="2"/>
  <c r="Y509" i="2"/>
  <c r="Z505" i="2"/>
  <c r="BN505" i="2"/>
  <c r="Z506" i="2"/>
  <c r="BN506" i="2"/>
  <c r="Z522" i="2"/>
  <c r="Y539" i="2"/>
  <c r="Y25" i="2"/>
  <c r="Z23" i="2"/>
  <c r="Z24" i="2" s="1"/>
  <c r="Z30" i="2"/>
  <c r="BP30" i="2"/>
  <c r="BN30" i="2"/>
  <c r="BN55" i="2"/>
  <c r="BN67" i="2"/>
  <c r="BP67" i="2"/>
  <c r="BP88" i="2"/>
  <c r="BP94" i="2"/>
  <c r="X555" i="2"/>
  <c r="X557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BP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194" i="2"/>
  <c r="Y195" i="2"/>
  <c r="BP200" i="2"/>
  <c r="Z204" i="2"/>
  <c r="BN204" i="2"/>
  <c r="Z211" i="2"/>
  <c r="Z212" i="2" s="1"/>
  <c r="Y213" i="2"/>
  <c r="Y230" i="2"/>
  <c r="BP216" i="2"/>
  <c r="BP221" i="2"/>
  <c r="Z224" i="2"/>
  <c r="BN224" i="2"/>
  <c r="Z227" i="2"/>
  <c r="BN227" i="2"/>
  <c r="Z234" i="2"/>
  <c r="BN234" i="2"/>
  <c r="BN235" i="2"/>
  <c r="BP235" i="2"/>
  <c r="BP240" i="2"/>
  <c r="BN241" i="2"/>
  <c r="Z246" i="2"/>
  <c r="BN246" i="2"/>
  <c r="BP251" i="2"/>
  <c r="Y252" i="2"/>
  <c r="Y253" i="2"/>
  <c r="Y259" i="2"/>
  <c r="BN257" i="2"/>
  <c r="BP257" i="2"/>
  <c r="Y258" i="2"/>
  <c r="BP262" i="2"/>
  <c r="Z267" i="2"/>
  <c r="BN267" i="2"/>
  <c r="Z277" i="2"/>
  <c r="BN277" i="2"/>
  <c r="Z279" i="2"/>
  <c r="BN279" i="2"/>
  <c r="BN284" i="2"/>
  <c r="Z285" i="2"/>
  <c r="BN285" i="2"/>
  <c r="Z286" i="2"/>
  <c r="BN286" i="2"/>
  <c r="BP287" i="2"/>
  <c r="BN292" i="2"/>
  <c r="BN298" i="2"/>
  <c r="BP298" i="2"/>
  <c r="Z300" i="2"/>
  <c r="BN300" i="2"/>
  <c r="Z301" i="2"/>
  <c r="BP301" i="2"/>
  <c r="BN301" i="2"/>
  <c r="Y306" i="2"/>
  <c r="BN308" i="2"/>
  <c r="BP308" i="2"/>
  <c r="Y309" i="2"/>
  <c r="Y310" i="2"/>
  <c r="BN338" i="2"/>
  <c r="BP338" i="2"/>
  <c r="BP340" i="2"/>
  <c r="BN340" i="2"/>
  <c r="Z340" i="2"/>
  <c r="BN362" i="2"/>
  <c r="Z362" i="2"/>
  <c r="BN382" i="2"/>
  <c r="Z38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45" i="2"/>
  <c r="BN445" i="2"/>
  <c r="Z445" i="2"/>
  <c r="Z446" i="2" s="1"/>
  <c r="Y446" i="2"/>
  <c r="Y447" i="2"/>
  <c r="BN450" i="2"/>
  <c r="Z450" i="2"/>
  <c r="BN460" i="2"/>
  <c r="Z460" i="2"/>
  <c r="Z461" i="2" s="1"/>
  <c r="BN503" i="2"/>
  <c r="BP503" i="2"/>
  <c r="BN504" i="2"/>
  <c r="BP504" i="2"/>
  <c r="BP518" i="2"/>
  <c r="BN518" i="2"/>
  <c r="Z518" i="2"/>
  <c r="BN523" i="2"/>
  <c r="BP523" i="2"/>
  <c r="BN546" i="2"/>
  <c r="BN116" i="2"/>
  <c r="Y124" i="2"/>
  <c r="Y125" i="2"/>
  <c r="BN163" i="2"/>
  <c r="Y166" i="2"/>
  <c r="BN168" i="2"/>
  <c r="BP174" i="2"/>
  <c r="BN178" i="2"/>
  <c r="BN188" i="2"/>
  <c r="Y191" i="2"/>
  <c r="Y192" i="2"/>
  <c r="BP211" i="2"/>
  <c r="Y212" i="2"/>
  <c r="BN237" i="2"/>
  <c r="BN270" i="2"/>
  <c r="BP270" i="2"/>
  <c r="BN282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Y389" i="2"/>
  <c r="BN386" i="2"/>
  <c r="Z386" i="2"/>
  <c r="BP388" i="2"/>
  <c r="BN388" i="2"/>
  <c r="Z388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144" i="2" l="1"/>
  <c r="Z483" i="2"/>
  <c r="Z402" i="2"/>
  <c r="Z81" i="2"/>
  <c r="Z69" i="2"/>
  <c r="Z124" i="2"/>
  <c r="Z343" i="2"/>
  <c r="Z185" i="2"/>
  <c r="Z514" i="2"/>
  <c r="Z97" i="2"/>
  <c r="Z258" i="2"/>
  <c r="Z62" i="2"/>
  <c r="Z242" i="2"/>
  <c r="Z207" i="2"/>
  <c r="Z451" i="2"/>
  <c r="Z32" i="2"/>
  <c r="Z334" i="2"/>
  <c r="Z75" i="2"/>
  <c r="Z389" i="2"/>
  <c r="Z440" i="2"/>
  <c r="Y554" i="2"/>
  <c r="Z289" i="2"/>
  <c r="Y555" i="2"/>
  <c r="Z376" i="2"/>
  <c r="Z478" i="2"/>
  <c r="Z230" i="2"/>
  <c r="Z51" i="2"/>
  <c r="Z248" i="2"/>
  <c r="Z524" i="2"/>
  <c r="Z414" i="2"/>
  <c r="Z154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<sst xmlns="http://schemas.openxmlformats.org/spreadsheetml/2006/main" count="4298" uniqueCount="916">
  <si>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</si>
  <si>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</si>
  <si>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</si>
  <si>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</si>
  <si>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</si>
  <si>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</si>
  <si>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</si>
  <si>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</si>
  <si>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</si>
  <si>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</si>
  <si>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</si>
  <si>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</si>
  <si>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</si>
  <si>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</si>
  <si>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</si>
  <si>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</si>
  <si>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</si>
  <si>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</si>
  <si>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</si>
  <si>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</si>
  <si>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</si>
  <si>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</si>
  <si>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</si>
  <si>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</si>
  <si>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</si>
  <si>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</si>
  <si>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</si>
  <si>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</si>
  <si>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</si>
  <si>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</si>
  <si>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</si>
  <si>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</si>
  <si>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</si>
  <si>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</si>
  <si>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</si>
  <si>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</si>
  <si>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</si>
  <si>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</si>
  <si>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</si>
  <si>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</si>
  <si>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</si>
  <si>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</si>
  <si>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</si>
  <si>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</si>
  <si>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</si>
  <si>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</si>
  <si>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</si>
  <si>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</si>
  <si>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</si>
  <si>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</si>
  <si>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</si>
  <si>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</si>
  <si>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</si>
  <si>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</si>
  <si>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</si>
  <si>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</si>
  <si>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</si>
  <si>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</si>
  <si>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</si>
  <si>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</si>
  <si>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</si>
  <si>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</si>
  <si>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</si>
  <si>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</si>
  <si>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</si>
  <si>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</si>
  <si>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</si>
  <si>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</si>
  <si>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</si>
  <si>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</si>
  <si>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</si>
  <si>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</si>
  <si>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</si>
  <si>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</si>
  <si>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</si>
  <si>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</si>
  <si>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</si>
  <si>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</si>
  <si>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</si>
  <si>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</si>
  <si>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</si>
  <si>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</si>
  <si>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</si>
  <si>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</si>
  <si>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</si>
  <si>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</si>
  <si>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</si>
  <si>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</si>
  <si>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</si>
  <si>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</si>
  <si>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</si>
  <si>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</si>
  <si>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</si>
  <si>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</si>
  <si>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</si>
  <si>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</si>
  <si>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</si>
  <si>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</si>
  <si>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</si>
  <si>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</si>
  <si>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</si>
  <si>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</si>
  <si>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</si>
  <si>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</si>
  <si>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</si>
  <si>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</si>
  <si>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</si>
  <si>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</si>
  <si>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</si>
  <si>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</si>
  <si>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</si>
  <si>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</si>
  <si>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</si>
  <si>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</si>
  <si>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</si>
  <si>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</si>
  <si>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</si>
  <si>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</si>
  <si>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</si>
  <si>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</si>
  <si>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</si>
  <si>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</si>
  <si>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</si>
  <si>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</si>
  <si>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</si>
  <si>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</si>
  <si>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</si>
  <si>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</si>
  <si>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</si>
  <si>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</si>
  <si>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</si>
  <si>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</si>
  <si>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</si>
  <si>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</si>
  <si>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</si>
  <si>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</si>
  <si>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</si>
  <si>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</si>
  <si>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</si>
  <si>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</si>
  <si>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</si>
  <si>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</si>
  <si>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</si>
  <si>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</si>
  <si>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</si>
  <si>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</si>
  <si>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</si>
  <si>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</si>
  <si>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</si>
  <si>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</si>
  <si>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</si>
  <si>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</si>
  <si>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</si>
  <si>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</si>
  <si>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</si>
  <si>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</si>
  <si>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</si>
  <si>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</si>
  <si>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</si>
  <si>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</si>
  <si>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</si>
  <si>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</si>
  <si>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</si>
  <si>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</si>
  <si>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</si>
  <si>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</si>
  <si>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</si>
  <si>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</si>
  <si>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</si>
  <si>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</si>
  <si>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</si>
  <si>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</si>
  <si>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</si>
  <si>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</si>
  <si>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</si>
  <si>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</si>
  <si>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</si>
  <si>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</si>
  <si>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</si>
  <si>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</si>
  <si>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</si>
  <si>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</si>
  <si>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</si>
  <si>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</si>
  <si>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</si>
  <si>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</si>
  <si>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</si>
  <si>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</si>
  <si>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</si>
  <si>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</si>
  <si>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</si>
  <si>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</si>
  <si>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</si>
  <si>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</si>
  <si>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</si>
  <si>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</si>
  <si>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</si>
  <si>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</si>
  <si>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</si>
  <si>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</si>
  <si>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</si>
  <si>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</si>
  <si>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</si>
  <si>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</si>
  <si>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</si>
  <si>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</si>
  <si>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</si>
  <si>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</si>
  <si>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</si>
  <si>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</si>
  <si>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</si>
  <si>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</si>
  <si>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</si>
  <si>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</si>
  <si>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</si>
  <si>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</si>
  <si>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</si>
  <si>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</si>
  <si>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</si>
  <si>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</si>
  <si>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</si>
  <si>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</si>
  <si>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</si>
  <si>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</si>
  <si>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</si>
  <si>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</si>
  <si>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</si>
  <si>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</si>
  <si>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</si>
  <si>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</si>
  <si>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</si>
  <si>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</si>
  <si>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</si>
  <si>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</si>
  <si>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</si>
  <si>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</si>
  <si>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</si>
  <si>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</si>
  <si>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</si>
  <si>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</si>
  <si>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</si>
  <si>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</si>
  <si>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</si>
  <si>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</si>
  <si>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</si>
  <si>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</si>
  <si>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</si>
  <si>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</si>
  <si>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</si>
  <si>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</si>
  <si>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</si>
  <si>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</si>
  <si>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</si>
  <si>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</si>
  <si>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</si>
  <si>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</si>
  <si>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</si>
  <si>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</si>
  <si>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</si>
  <si>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</si>
  <si>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</si>
  <si>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</si>
  <si>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</si>
  <si>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</si>
  <si>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</si>
  <si>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</si>
  <si>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</si>
  <si>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</si>
  <si>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</si>
  <si>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</si>
  <si>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</si>
  <si>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</si>
  <si>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</si>
  <si>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</si>
  <si>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</si>
  <si>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</si>
  <si>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</si>
  <si>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</si>
  <si>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</si>
  <si>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</si>
  <si>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</si>
  <si>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</si>
  <si>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</si>
  <si>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</si>
  <si>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</si>
  <si>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</si>
  <si>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</si>
  <si>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</si>
  <si>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</si>
  <si>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</si>
  <si>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</si>
  <si>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</si>
  <si>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</si>
  <si>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</si>
  <si>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</si>
  <si>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</si>
  <si>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</si>
  <si>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</si>
  <si>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</si>
  <si>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</si>
  <si>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</si>
  <si>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</si>
  <si>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</si>
  <si>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</si>
  <si>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</si>
  <si>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</si>
  <si>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</si>
  <si>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</si>
  <si>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</si>
  <si>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</si>
  <si>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</si>
  <si>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</si>
  <si>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</si>
  <si>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</si>
  <si>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</si>
  <si>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</si>
  <si>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</si>
  <si>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</si>
  <si>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</si>
  <si>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</si>
  <si>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</si>
  <si>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</si>
  <si>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</si>
  <si>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</si>
  <si>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</si>
  <si>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</si>
  <si>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</si>
  <si>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</si>
  <si>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</si>
  <si>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</si>
  <si>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</si>
  <si>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</si>
  <si>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</si>
  <si>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</si>
  <si>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</si>
  <si>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</si>
  <si>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</si>
  <si>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</si>
  <si>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</si>
  <si>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</si>
  <si>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</si>
  <si>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</si>
  <si>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</si>
  <si>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</si>
  <si>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</si>
  <si>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</si>
  <si>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</si>
  <si>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</si>
  <si>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</si>
  <si>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</si>
  <si>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</si>
  <si>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</si>
  <si>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</si>
  <si>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</si>
  <si>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</si>
  <si>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</si>
  <si>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</si>
  <si>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</si>
  <si>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</si>
  <si>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</si>
  <si>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</si>
  <si>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</si>
  <si>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</si>
  <si>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</si>
  <si>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</si>
  <si>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</si>
  <si>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</si>
  <si>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</si>
  <si>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</si>
  <si>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</si>
  <si>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</si>
  <si>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</si>
  <si>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</si>
  <si>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</si>
  <si>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</si>
  <si>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</si>
  <si>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</si>
  <si>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</si>
  <si>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</si>
  <si>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</si>
  <si>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</si>
  <si>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</si>
  <si>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</si>
  <si>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</si>
  <si>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</si>
  <si>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</si>
  <si>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</si>
  <si>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</si>
  <si>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</si>
  <si>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</si>
  <si>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</si>
  <si>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</si>
  <si>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</si>
  <si>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</si>
  <si>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</si>
  <si>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</si>
  <si>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</si>
  <si>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</si>
  <si>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</si>
  <si>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</si>
  <si>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</si>
  <si>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</si>
  <si>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</si>
  <si>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</si>
  <si>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</si>
  <si>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</si>
  <si>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</si>
  <si>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</si>
  <si>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</si>
  <si>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</si>
  <si>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</si>
  <si>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</si>
  <si>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</si>
  <si>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</si>
  <si>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</si>
  <si>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</si>
  <si>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</si>
  <si>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</si>
  <si>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</si>
  <si>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</si>
  <si>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</si>
  <si>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</si>
  <si>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</si>
  <si>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</si>
  <si>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</si>
  <si>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</si>
  <si>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</si>
  <si>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</si>
  <si>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</si>
  <si>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</si>
  <si>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</si>
  <si>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</si>
  <si>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</si>
  <si>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</si>
  <si>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</si>
  <si>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</si>
  <si>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</si>
  <si>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</si>
  <si>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</si>
  <si>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</si>
  <si>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</si>
  <si>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</si>
  <si>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</si>
  <si>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</si>
  <si>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</si>
  <si>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</si>
  <si>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</si>
  <si>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</si>
  <si>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</si>
  <si>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</si>
  <si>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</si>
  <si>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</si>
  <si>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</si>
  <si>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</si>
  <si>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</si>
  <si>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</si>
  <si>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</si>
  <si>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</si>
  <si>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</si>
  <si>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</si>
  <si>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</si>
  <si>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</si>
  <si>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</si>
  <si>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</si>
  <si>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</si>
  <si>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</si>
  <si>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</si>
  <si>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</si>
  <si>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</si>
  <si>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</si>
  <si>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</si>
  <si>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</si>
  <si>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</si>
  <si>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</si>
  <si>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</si>
  <si>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</si>
  <si>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</si>
  <si>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</si>
  <si>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</si>
  <si>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</si>
  <si>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</si>
  <si>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</si>
  <si>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</si>
  <si>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</si>
  <si>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</si>
  <si>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</si>
  <si>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</si>
  <si>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</si>
  <si>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</si>
  <si>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</si>
  <si>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</si>
  <si>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</si>
  <si>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</si>
  <si>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</si>
  <si>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</si>
  <si>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</si>
  <si>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</si>
  <si>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</si>
  <si>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</si>
  <si>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</si>
  <si>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</si>
  <si>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</si>
  <si>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</si>
  <si>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</si>
  <si>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</si>
  <si>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</si>
  <si>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</si>
  <si>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</si>
  <si>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</si>
  <si>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</si>
  <si>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</si>
  <si>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</si>
  <si>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</si>
  <si>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</si>
  <si>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</si>
  <si>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</si>
  <si>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</si>
  <si>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</si>
  <si>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</si>
  <si>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</si>
  <si>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</si>
  <si>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</si>
  <si>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</si>
  <si>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</si>
  <si>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</si>
  <si>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</si>
  <si>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</si>
  <si>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</si>
  <si>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</si>
  <si>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</si>
  <si>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</si>
  <si>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</si>
  <si>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</si>
  <si>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</si>
  <si>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</si>
  <si>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</si>
  <si>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</si>
  <si>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</si>
  <si>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</si>
  <si>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</si>
  <si>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</si>
  <si>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</si>
  <si>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</si>
  <si>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</si>
  <si>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</si>
  <si>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</si>
  <si>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</si>
  <si>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</si>
  <si>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</si>
  <si>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</si>
  <si>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</si>
  <si>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</si>
  <si>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</si>
  <si>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</si>
  <si>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</si>
  <si>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</si>
  <si>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</si>
  <si>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</si>
  <si>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</si>
  <si>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</si>
  <si>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</si>
  <si>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</si>
  <si>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</si>
  <si>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</si>
  <si>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</si>
  <si>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</si>
  <si>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</si>
  <si>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</si>
  <si>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</si>
  <si>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</si>
  <si>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</si>
  <si>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</si>
  <si>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</si>
  <si>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</si>
  <si>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</si>
  <si>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</si>
  <si>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</si>
  <si>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</si>
  <si>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</si>
  <si>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</si>
  <si>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</si>
  <si>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</si>
  <si>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</si>
  <si>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</si>
  <si>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</si>
  <si>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</si>
  <si>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</si>
  <si>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</si>
  <si>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</si>
  <si>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</si>
  <si>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</si>
  <si>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</si>
  <si>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</si>
  <si>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</si>
  <si>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</si>
  <si>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</si>
  <si>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</si>
  <si>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</si>
  <si>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</si>
  <si>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</si>
  <si>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</si>
  <si>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</si>
  <si>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</si>
  <si>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</si>
  <si>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</si>
  <si>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</si>
  <si>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</si>
  <si>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</si>
  <si>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</si>
  <si>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</si>
  <si>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</si>
  <si>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</si>
  <si>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</si>
  <si>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</si>
  <si>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</si>
  <si>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</si>
  <si>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</si>
  <si>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</si>
  <si>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</si>
  <si>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</si>
  <si>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</si>
  <si>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</si>
  <si>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</si>
  <si>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</si>
  <si>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</si>
  <si>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</si>
  <si>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</si>
  <si>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</si>
  <si>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</si>
  <si>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</si>
  <si>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</si>
  <si>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</si>
  <si>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</si>
  <si>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</si>
  <si>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</si>
  <si>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</si>
  <si>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</si>
  <si>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</si>
  <si>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</si>
  <si>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</si>
  <si>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</si>
  <si>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</si>
  <si>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</si>
  <si>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</si>
  <si>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</si>
  <si>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</si>
  <si>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</si>
  <si>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</si>
  <si>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</si>
  <si>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</si>
  <si>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</si>
  <si>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</si>
  <si>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</si>
  <si>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</si>
  <si>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</si>
  <si>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</si>
  <si>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</si>
  <si>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</si>
  <si>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</si>
  <si>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</si>
  <si>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</si>
  <si>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</si>
  <si>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</si>
  <si>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</si>
  <si>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</si>
  <si>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</si>
  <si>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</si>
  <si>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</si>
  <si>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</si>
  <si>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</si>
  <si>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</si>
  <si>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</si>
  <si>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</si>
  <si>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</si>
  <si>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</si>
  <si>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</si>
  <si>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</si>
  <si>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</si>
  <si>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</si>
  <si>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</si>
  <si>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</si>
  <si>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</si>
  <si>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</si>
  <si>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</si>
  <si>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</si>
  <si>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</si>
  <si>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</si>
  <si>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</si>
  <si>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</si>
  <si>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</si>
  <si>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</si>
  <si>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</si>
  <si>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</si>
  <si>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</si>
  <si>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</si>
  <si>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</si>
  <si>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</si>
  <si>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</si>
  <si>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</si>
  <si>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</si>
  <si>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</si>
  <si>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</si>
  <si>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</si>
  <si>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</si>
  <si>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</si>
  <si>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</si>
  <si>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</si>
  <si>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</si>
  <si>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</si>
  <si>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</si>
  <si>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</si>
  <si>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</si>
  <si>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</si>
  <si>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</si>
  <si>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</si>
  <si>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</si>
  <si>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</si>
  <si>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</si>
  <si>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</si>
  <si>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</si>
  <si>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</si>
  <si>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</si>
  <si>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</si>
  <si>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</si>
  <si>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</si>
  <si>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</si>
  <si>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</si>
  <si>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</si>
  <si>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</si>
  <si>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</si>
  <si>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</si>
  <si>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</si>
  <si>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</si>
  <si>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</si>
  <si>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</si>
  <si>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</si>
  <si>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</si>
  <si>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</si>
  <si>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</si>
  <si>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</si>
  <si>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</si>
  <si>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</si>
  <si>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</si>
  <si>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</si>
  <si>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</si>
  <si>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</si>
  <si>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</si>
  <si>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</si>
  <si>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</si>
  <si>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</si>
  <si>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</si>
  <si>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</si>
  <si>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</si>
  <si>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</si>
  <si>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</si>
  <si>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</si>
  <si>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</si>
  <si>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</si>
  <si>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</si>
  <si>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</si>
  <si>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</si>
  <si>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</si>
  <si>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</si>
  <si>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</si>
  <si>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</si>
  <si>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</si>
  <si>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</si>
  <si>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</si>
  <si>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</si>
  <si>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</si>
  <si>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</si>
  <si>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</si>
  <si>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</si>
  <si>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</si>
  <si>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</si>
  <si>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</si>
  <si>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</si>
  <si>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</si>
  <si>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</si>
  <si>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</si>
  <si>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</si>
  <si>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</si>
  <si>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</si>
  <si>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</si>
  <si>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</si>
  <si>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</si>
  <si>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</si>
  <si>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</si>
  <si>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</si>
  <si>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</si>
  <si>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</si>
  <si>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</si>
  <si>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</si>
  <si>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</si>
  <si>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</si>
  <si>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</si>
  <si>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</si>
  <si>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</si>
  <si>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</si>
  <si>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</si>
  <si>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</si>
  <si>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</si>
  <si>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</si>
  <si>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</si>
  <si>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</si>
  <si>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</si>
  <si>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</si>
  <si>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</si>
  <si>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</si>
  <si>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</si>
  <si>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</si>
  <si>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</si>
  <si>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</si>
  <si>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</si>
  <si>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</si>
  <si>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</si>
  <si>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</si>
  <si>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</si>
  <si>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</si>
  <si>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</si>
  <si>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</si>
  <si>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</si>
  <si>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</si>
  <si>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</si>
  <si>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</si>
  <si>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</si>
  <si>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</si>
  <si>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</si>
  <si>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</si>
  <si>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</si>
  <si>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</si>
  <si>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</si>
  <si>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</si>
  <si>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</si>
  <si>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</si>
  <si>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</si>
  <si>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</si>
  <si>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</si>
  <si>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</si>
  <si>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</si>
  <si>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</si>
  <si>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</si>
  <si>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</si>
  <si>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</si>
  <si>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</si>
  <si>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</si>
  <si>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</si>
  <si>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</si>
  <si>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</si>
  <si>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</si>
  <si>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</si>
  <si>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</si>
  <si>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</si>
  <si>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</si>
  <si>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</si>
  <si>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</si>
  <si>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</si>
  <si>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</si>
  <si>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</si>
  <si>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</si>
  <si>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</si>
  <si>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</si>
  <si>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</si>
  <si>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</si>
  <si>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</si>
  <si>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</si>
  <si>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</si>
  <si>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</si>
  <si>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</si>
  <si>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</si>
  <si>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</si>
  <si>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</si>
  <si>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</si>
  <si>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</si>
  <si>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</si>
  <si>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</si>
  <si>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</si>
  <si>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</si>
  <si>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</si>
  <si>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</si>
  <si>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</si>
  <si>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</si>
  <si>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</si>
  <si>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</si>
  <si>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</si>
  <si>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</si>
  <si>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</si>
  <si>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</si>
  <si>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</si>
  <si>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</si>
  <si>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</si>
  <si>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</si>
  <si>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</si>
  <si>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</si>
  <si>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</si>
  <si>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</si>
  <si>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</si>
  <si>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</si>
  <si>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</si>
  <si>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</si>
  <si>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</si>
  <si>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</si>
  <si>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</si>
  <si>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</si>
  <si>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</si>
  <si>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</si>
  <si>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</si>
  <si>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</si>
  <si>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</si>
  <si>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</si>
  <si>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</si>
  <si>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</si>
  <si>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</si>
  <si>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</si>
  <si>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TSO001121064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</si>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</sst>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66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67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914</v>
      </c>
      <c r="I5" s="1009"/>
      <c r="J5" s="1009"/>
      <c r="K5" s="1009"/>
      <c r="L5" s="1009"/>
      <c r="M5" s="1009"/>
      <c r="N5" s="72"/>
      <c r="P5" s="27" t="s">
        <v>4</v>
      </c>
      <c r="Q5" s="1011">
        <v>46283</v>
      </c>
      <c r="R5" s="1011"/>
      <c r="T5" s="1012" t="s">
        <v>3</v>
      </c>
      <c r="U5" s="1013"/>
      <c r="V5" s="1014" t="s">
        <v>874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893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Пятница</v>
      </c>
      <c r="R6" s="989"/>
      <c r="T6" s="990" t="s">
        <v>5</v>
      </c>
      <c r="U6" s="991"/>
      <c r="V6" s="992" t="s">
        <v>69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7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57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70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915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71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72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73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74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60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58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65</v>
      </c>
      <c r="L17" s="948" t="s">
        <v>63</v>
      </c>
      <c r="M17" s="948" t="s">
        <v>2</v>
      </c>
      <c r="N17" s="948" t="s">
        <v>62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55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59</v>
      </c>
      <c r="AB17" s="954" t="s">
        <v>19</v>
      </c>
      <c r="AC17" s="954" t="s">
        <v>64</v>
      </c>
      <c r="AD17" s="956" t="s">
        <v>56</v>
      </c>
      <c r="AE17" s="957"/>
      <c r="AF17" s="958"/>
      <c r="AG17" s="82"/>
      <c r="BD17" s="81" t="s">
        <v>61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75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76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85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103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85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120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121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136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121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125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139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133</v>
      </c>
      <c r="L61" s="37" t="s">
        <v>46</v>
      </c>
      <c r="M61" s="38" t="s">
        <v>125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156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126</v>
      </c>
      <c r="L65" s="37" t="s">
        <v>46</v>
      </c>
      <c r="M65" s="38" t="s">
        <v>125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130</v>
      </c>
      <c r="L67" s="37" t="s">
        <v>46</v>
      </c>
      <c r="M67" s="38" t="s">
        <v>80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125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85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170</v>
      </c>
      <c r="B74" s="63" t="s">
        <v>173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172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174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175</v>
      </c>
      <c r="B79" s="63" t="s">
        <v>178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126</v>
      </c>
      <c r="L79" s="37" t="s">
        <v>46</v>
      </c>
      <c r="M79" s="38" t="s">
        <v>96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177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179</v>
      </c>
      <c r="B80" s="63" t="s">
        <v>180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182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121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125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85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197</v>
      </c>
      <c r="B94" s="63" t="s">
        <v>198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199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90</v>
      </c>
      <c r="L95" s="37" t="s">
        <v>46</v>
      </c>
      <c r="M95" s="38" t="s">
        <v>96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202</v>
      </c>
      <c r="B96" s="63" t="s">
        <v>203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205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121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206</v>
      </c>
      <c r="B101" s="63" t="s">
        <v>207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126</v>
      </c>
      <c r="L101" s="37" t="s">
        <v>46</v>
      </c>
      <c r="M101" s="38" t="s">
        <v>125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206</v>
      </c>
      <c r="B102" s="63" t="s">
        <v>209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126</v>
      </c>
      <c r="L102" s="37" t="s">
        <v>46</v>
      </c>
      <c r="M102" s="38" t="s">
        <v>125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130</v>
      </c>
      <c r="L103" s="37" t="s">
        <v>46</v>
      </c>
      <c r="M103" s="38" t="s">
        <v>80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208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125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210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208</v>
      </c>
      <c r="AG106" s="78"/>
      <c r="AJ106" s="84" t="s">
        <v>46</v>
      </c>
      <c r="AK106" s="84">
        <v>0</v>
      </c>
      <c r="BB106" s="181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210</v>
      </c>
      <c r="AG107" s="78"/>
      <c r="AJ107" s="84" t="s">
        <v>46</v>
      </c>
      <c r="AK107" s="84">
        <v>0</v>
      </c>
      <c r="BB107" s="183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90</v>
      </c>
      <c r="L108" s="37" t="s">
        <v>46</v>
      </c>
      <c r="M108" s="38" t="s">
        <v>125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223</v>
      </c>
      <c r="AG108" s="78"/>
      <c r="AJ108" s="84" t="s">
        <v>46</v>
      </c>
      <c r="AK108" s="84">
        <v>0</v>
      </c>
      <c r="BB108" s="185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156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224</v>
      </c>
      <c r="B112" s="63" t="s">
        <v>225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126</v>
      </c>
      <c r="L112" s="37" t="s">
        <v>46</v>
      </c>
      <c r="M112" s="38" t="s">
        <v>125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226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230</v>
      </c>
      <c r="L113" s="37" t="s">
        <v>46</v>
      </c>
      <c r="M113" s="38" t="s">
        <v>80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227</v>
      </c>
      <c r="B114" s="63" t="s">
        <v>231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230</v>
      </c>
      <c r="L114" s="37" t="s">
        <v>46</v>
      </c>
      <c r="M114" s="38" t="s">
        <v>80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125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226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125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226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85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236</v>
      </c>
      <c r="B120" s="63" t="s">
        <v>237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126</v>
      </c>
      <c r="L120" s="37" t="s">
        <v>46</v>
      </c>
      <c r="M120" s="38" t="s">
        <v>89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89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241</v>
      </c>
      <c r="B122" s="63" t="s">
        <v>242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89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243</v>
      </c>
      <c r="B123" s="63" t="s">
        <v>244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245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174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246</v>
      </c>
      <c r="B127" s="63" t="s">
        <v>247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248</v>
      </c>
      <c r="AG127" s="78"/>
      <c r="AJ127" s="84" t="s">
        <v>46</v>
      </c>
      <c r="AK127" s="84">
        <v>0</v>
      </c>
      <c r="BB127" s="205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249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121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250</v>
      </c>
      <c r="B132" s="63" t="s">
        <v>251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90</v>
      </c>
      <c r="L132" s="37" t="s">
        <v>46</v>
      </c>
      <c r="M132" s="38" t="s">
        <v>253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252</v>
      </c>
      <c r="AG132" s="78"/>
      <c r="AJ132" s="84" t="s">
        <v>46</v>
      </c>
      <c r="AK132" s="84">
        <v>0</v>
      </c>
      <c r="BB132" s="207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250</v>
      </c>
      <c r="B133" s="63" t="s">
        <v>254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90</v>
      </c>
      <c r="L133" s="37" t="s">
        <v>46</v>
      </c>
      <c r="M133" s="38" t="s">
        <v>253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76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255</v>
      </c>
      <c r="B137" s="63" t="s">
        <v>256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253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255</v>
      </c>
      <c r="B138" s="63" t="s">
        <v>258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90</v>
      </c>
      <c r="L138" s="37" t="s">
        <v>46</v>
      </c>
      <c r="M138" s="38" t="s">
        <v>253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85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259</v>
      </c>
      <c r="B142" s="63" t="s">
        <v>260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253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252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259</v>
      </c>
      <c r="B143" s="63" t="s">
        <v>261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253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262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85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263</v>
      </c>
      <c r="B148" s="63" t="s">
        <v>264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265</v>
      </c>
      <c r="AG148" s="78"/>
      <c r="AJ148" s="84" t="s">
        <v>46</v>
      </c>
      <c r="AK148" s="84">
        <v>0</v>
      </c>
      <c r="BB148" s="219" t="s">
        <v>66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266</v>
      </c>
      <c r="B149" s="63" t="s">
        <v>267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268</v>
      </c>
      <c r="AG149" s="78"/>
      <c r="AJ149" s="84" t="s">
        <v>46</v>
      </c>
      <c r="AK149" s="84">
        <v>0</v>
      </c>
      <c r="BB149" s="221" t="s">
        <v>66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266</v>
      </c>
      <c r="B150" s="63" t="s">
        <v>269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273</v>
      </c>
      <c r="B152" s="63" t="s">
        <v>274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276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277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278</v>
      </c>
      <c r="B157" s="63" t="s">
        <v>279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283</v>
      </c>
      <c r="L157" s="37" t="s">
        <v>46</v>
      </c>
      <c r="M157" s="38" t="s">
        <v>282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280</v>
      </c>
      <c r="AG157" s="78"/>
      <c r="AJ157" s="84" t="s">
        <v>46</v>
      </c>
      <c r="AK157" s="84">
        <v>0</v>
      </c>
      <c r="BB157" s="231" t="s">
        <v>281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119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121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284</v>
      </c>
      <c r="B162" s="63" t="s">
        <v>285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126</v>
      </c>
      <c r="L162" s="37" t="s">
        <v>46</v>
      </c>
      <c r="M162" s="38" t="s">
        <v>125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286</v>
      </c>
      <c r="AG162" s="78"/>
      <c r="AJ162" s="84" t="s">
        <v>46</v>
      </c>
      <c r="AK162" s="84">
        <v>0</v>
      </c>
      <c r="BB162" s="233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287</v>
      </c>
      <c r="B163" s="63" t="s">
        <v>288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133</v>
      </c>
      <c r="L163" s="37" t="s">
        <v>46</v>
      </c>
      <c r="M163" s="38" t="s">
        <v>125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289</v>
      </c>
      <c r="AG163" s="78"/>
      <c r="AJ163" s="84" t="s">
        <v>46</v>
      </c>
      <c r="AK163" s="84">
        <v>0</v>
      </c>
      <c r="BB163" s="235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290</v>
      </c>
      <c r="B164" s="63" t="s">
        <v>291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90</v>
      </c>
      <c r="L164" s="37" t="s">
        <v>46</v>
      </c>
      <c r="M164" s="38" t="s">
        <v>89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156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293</v>
      </c>
      <c r="B168" s="63" t="s">
        <v>294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81</v>
      </c>
      <c r="L168" s="37" t="s">
        <v>46</v>
      </c>
      <c r="M168" s="38" t="s">
        <v>80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295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296</v>
      </c>
      <c r="B169" s="63" t="s">
        <v>297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81</v>
      </c>
      <c r="L169" s="37" t="s">
        <v>46</v>
      </c>
      <c r="M169" s="38" t="s">
        <v>125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298</v>
      </c>
      <c r="AG169" s="78"/>
      <c r="AJ169" s="84" t="s">
        <v>46</v>
      </c>
      <c r="AK169" s="84">
        <v>0</v>
      </c>
      <c r="BB169" s="241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76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299</v>
      </c>
      <c r="B173" s="63" t="s">
        <v>300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133</v>
      </c>
      <c r="L173" s="37" t="s">
        <v>46</v>
      </c>
      <c r="M173" s="38" t="s">
        <v>80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301</v>
      </c>
      <c r="AG173" s="78"/>
      <c r="AJ173" s="84" t="s">
        <v>46</v>
      </c>
      <c r="AK173" s="84">
        <v>0</v>
      </c>
      <c r="BB173" s="243" t="s">
        <v>66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302</v>
      </c>
      <c r="B174" s="63" t="s">
        <v>303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133</v>
      </c>
      <c r="L174" s="37" t="s">
        <v>46</v>
      </c>
      <c r="M174" s="38" t="s">
        <v>80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304</v>
      </c>
      <c r="AG174" s="78"/>
      <c r="AJ174" s="84" t="s">
        <v>46</v>
      </c>
      <c r="AK174" s="84">
        <v>0</v>
      </c>
      <c r="BB174" s="245" t="s">
        <v>66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305</v>
      </c>
      <c r="B175" s="63" t="s">
        <v>306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66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305</v>
      </c>
      <c r="B176" s="63" t="s">
        <v>308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130</v>
      </c>
      <c r="L178" s="37" t="s">
        <v>46</v>
      </c>
      <c r="M178" s="38" t="s">
        <v>80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313</v>
      </c>
      <c r="B179" s="63" t="s">
        <v>316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315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301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321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309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326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312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85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331</v>
      </c>
      <c r="AG188" s="78"/>
      <c r="AJ188" s="84" t="s">
        <v>46</v>
      </c>
      <c r="AK188" s="84">
        <v>0</v>
      </c>
      <c r="BB188" s="267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335</v>
      </c>
      <c r="B190" s="63" t="s">
        <v>336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338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339</v>
      </c>
      <c r="B194" s="63" t="s">
        <v>340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342</v>
      </c>
      <c r="L194" s="37" t="s">
        <v>46</v>
      </c>
      <c r="M194" s="38" t="s">
        <v>282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341</v>
      </c>
      <c r="AG194" s="78"/>
      <c r="AJ194" s="84" t="s">
        <v>46</v>
      </c>
      <c r="AK194" s="84">
        <v>0</v>
      </c>
      <c r="BB194" s="273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343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344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121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345</v>
      </c>
      <c r="B200" s="63" t="s">
        <v>346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126</v>
      </c>
      <c r="L200" s="37" t="s">
        <v>46</v>
      </c>
      <c r="M200" s="38" t="s">
        <v>89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124</v>
      </c>
      <c r="AG200" s="78"/>
      <c r="AJ200" s="84" t="s">
        <v>46</v>
      </c>
      <c r="AK200" s="84">
        <v>0</v>
      </c>
      <c r="BB200" s="275" t="s">
        <v>66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126</v>
      </c>
      <c r="L201" s="37" t="s">
        <v>46</v>
      </c>
      <c r="M201" s="38" t="s">
        <v>89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349</v>
      </c>
      <c r="AG201" s="78"/>
      <c r="AJ201" s="84" t="s">
        <v>46</v>
      </c>
      <c r="AK201" s="84">
        <v>0</v>
      </c>
      <c r="BB201" s="277" t="s">
        <v>66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126</v>
      </c>
      <c r="L202" s="37" t="s">
        <v>46</v>
      </c>
      <c r="M202" s="38" t="s">
        <v>89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352</v>
      </c>
      <c r="AG202" s="78"/>
      <c r="AJ202" s="84" t="s">
        <v>46</v>
      </c>
      <c r="AK202" s="84">
        <v>0</v>
      </c>
      <c r="BB202" s="279" t="s">
        <v>66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353</v>
      </c>
      <c r="B203" s="63" t="s">
        <v>354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126</v>
      </c>
      <c r="L203" s="37" t="s">
        <v>46</v>
      </c>
      <c r="M203" s="38" t="s">
        <v>89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355</v>
      </c>
      <c r="AG203" s="78"/>
      <c r="AJ203" s="84" t="s">
        <v>46</v>
      </c>
      <c r="AK203" s="84">
        <v>0</v>
      </c>
      <c r="BB203" s="281" t="s">
        <v>66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356</v>
      </c>
      <c r="B204" s="63" t="s">
        <v>357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126</v>
      </c>
      <c r="L204" s="37" t="s">
        <v>46</v>
      </c>
      <c r="M204" s="38" t="s">
        <v>89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358</v>
      </c>
      <c r="AG204" s="78"/>
      <c r="AJ204" s="84" t="s">
        <v>46</v>
      </c>
      <c r="AK204" s="84">
        <v>0</v>
      </c>
      <c r="BB204" s="283" t="s">
        <v>66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126</v>
      </c>
      <c r="L205" s="37" t="s">
        <v>46</v>
      </c>
      <c r="M205" s="38" t="s">
        <v>89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361</v>
      </c>
      <c r="AG205" s="78"/>
      <c r="AJ205" s="84" t="s">
        <v>46</v>
      </c>
      <c r="AK205" s="84">
        <v>0</v>
      </c>
      <c r="BB205" s="285" t="s">
        <v>66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362</v>
      </c>
      <c r="B206" s="63" t="s">
        <v>363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364</v>
      </c>
      <c r="AG206" s="78"/>
      <c r="AJ206" s="84" t="s">
        <v>46</v>
      </c>
      <c r="AK206" s="84">
        <v>0</v>
      </c>
      <c r="BB206" s="287" t="s">
        <v>66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365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156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366</v>
      </c>
      <c r="B211" s="63" t="s">
        <v>367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81</v>
      </c>
      <c r="L211" s="37" t="s">
        <v>46</v>
      </c>
      <c r="M211" s="38" t="s">
        <v>80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368</v>
      </c>
      <c r="AG211" s="78"/>
      <c r="AJ211" s="84" t="s">
        <v>46</v>
      </c>
      <c r="AK211" s="84">
        <v>0</v>
      </c>
      <c r="BB211" s="289" t="s">
        <v>66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76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369</v>
      </c>
      <c r="B215" s="63" t="s">
        <v>370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133</v>
      </c>
      <c r="L215" s="37" t="s">
        <v>46</v>
      </c>
      <c r="M215" s="38" t="s">
        <v>80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371</v>
      </c>
      <c r="AG215" s="78"/>
      <c r="AJ215" s="84" t="s">
        <v>46</v>
      </c>
      <c r="AK215" s="84">
        <v>0</v>
      </c>
      <c r="BB215" s="291" t="s">
        <v>66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133</v>
      </c>
      <c r="L216" s="37" t="s">
        <v>46</v>
      </c>
      <c r="M216" s="38" t="s">
        <v>80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374</v>
      </c>
      <c r="AG216" s="78"/>
      <c r="AJ216" s="84" t="s">
        <v>46</v>
      </c>
      <c r="AK216" s="84">
        <v>0</v>
      </c>
      <c r="BB216" s="293" t="s">
        <v>66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133</v>
      </c>
      <c r="L217" s="37" t="s">
        <v>46</v>
      </c>
      <c r="M217" s="38" t="s">
        <v>80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378</v>
      </c>
      <c r="B218" s="63" t="s">
        <v>379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380</v>
      </c>
      <c r="AG218" s="78"/>
      <c r="AJ218" s="84" t="s">
        <v>46</v>
      </c>
      <c r="AK218" s="84">
        <v>0</v>
      </c>
      <c r="BB218" s="297" t="s">
        <v>66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371</v>
      </c>
      <c r="AG219" s="78"/>
      <c r="AJ219" s="84" t="s">
        <v>46</v>
      </c>
      <c r="AK219" s="84">
        <v>0</v>
      </c>
      <c r="BB219" s="299" t="s">
        <v>66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385</v>
      </c>
      <c r="AG220" s="78"/>
      <c r="AJ220" s="84" t="s">
        <v>46</v>
      </c>
      <c r="AK220" s="84">
        <v>0</v>
      </c>
      <c r="BB220" s="301" t="s">
        <v>66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374</v>
      </c>
      <c r="AG221" s="78"/>
      <c r="AJ221" s="84" t="s">
        <v>46</v>
      </c>
      <c r="AK221" s="84">
        <v>0</v>
      </c>
      <c r="BB221" s="303" t="s">
        <v>66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390</v>
      </c>
      <c r="AG222" s="78"/>
      <c r="AJ222" s="84" t="s">
        <v>46</v>
      </c>
      <c r="AK222" s="84">
        <v>0</v>
      </c>
      <c r="BB222" s="305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393</v>
      </c>
      <c r="AG223" s="78"/>
      <c r="AJ223" s="84" t="s">
        <v>46</v>
      </c>
      <c r="AK223" s="84">
        <v>0</v>
      </c>
      <c r="BB223" s="307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394</v>
      </c>
      <c r="B224" s="63" t="s">
        <v>395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396</v>
      </c>
      <c r="AG224" s="78"/>
      <c r="AJ224" s="84" t="s">
        <v>46</v>
      </c>
      <c r="AK224" s="84">
        <v>0</v>
      </c>
      <c r="BB224" s="309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130</v>
      </c>
      <c r="L225" s="37" t="s">
        <v>46</v>
      </c>
      <c r="M225" s="38" t="s">
        <v>80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399</v>
      </c>
      <c r="AG225" s="78"/>
      <c r="AJ225" s="84" t="s">
        <v>46</v>
      </c>
      <c r="AK225" s="84">
        <v>0</v>
      </c>
      <c r="BB225" s="311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400</v>
      </c>
      <c r="B226" s="63" t="s">
        <v>401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377</v>
      </c>
      <c r="AG226" s="78"/>
      <c r="AJ226" s="84" t="s">
        <v>46</v>
      </c>
      <c r="AK226" s="84">
        <v>0</v>
      </c>
      <c r="BB226" s="313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402</v>
      </c>
      <c r="B227" s="63" t="s">
        <v>403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90</v>
      </c>
      <c r="L227" s="37" t="s">
        <v>46</v>
      </c>
      <c r="M227" s="38" t="s">
        <v>80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377</v>
      </c>
      <c r="AG227" s="78"/>
      <c r="AJ227" s="84" t="s">
        <v>46</v>
      </c>
      <c r="AK227" s="84">
        <v>0</v>
      </c>
      <c r="BB227" s="315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402</v>
      </c>
      <c r="B228" s="63" t="s">
        <v>404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90</v>
      </c>
      <c r="L228" s="37" t="s">
        <v>46</v>
      </c>
      <c r="M228" s="38" t="s">
        <v>80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377</v>
      </c>
      <c r="AG228" s="78"/>
      <c r="AJ228" s="84" t="s">
        <v>46</v>
      </c>
      <c r="AK228" s="84">
        <v>0</v>
      </c>
      <c r="BB228" s="317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407</v>
      </c>
      <c r="AG229" s="78"/>
      <c r="AJ229" s="84" t="s">
        <v>46</v>
      </c>
      <c r="AK229" s="84">
        <v>0</v>
      </c>
      <c r="BB229" s="319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85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408</v>
      </c>
      <c r="B233" s="63" t="s">
        <v>409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126</v>
      </c>
      <c r="L233" s="37" t="s">
        <v>46</v>
      </c>
      <c r="M233" s="38" t="s">
        <v>96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410</v>
      </c>
      <c r="AG233" s="78"/>
      <c r="AJ233" s="84" t="s">
        <v>46</v>
      </c>
      <c r="AK233" s="84">
        <v>0</v>
      </c>
      <c r="BB233" s="321" t="s">
        <v>66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408</v>
      </c>
      <c r="B234" s="63" t="s">
        <v>411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126</v>
      </c>
      <c r="L234" s="37" t="s">
        <v>46</v>
      </c>
      <c r="M234" s="38" t="s">
        <v>96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412</v>
      </c>
      <c r="AG234" s="78"/>
      <c r="AJ234" s="84" t="s">
        <v>46</v>
      </c>
      <c r="AK234" s="84">
        <v>0</v>
      </c>
      <c r="BB234" s="323" t="s">
        <v>66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413</v>
      </c>
      <c r="B235" s="63" t="s">
        <v>414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126</v>
      </c>
      <c r="L235" s="37" t="s">
        <v>46</v>
      </c>
      <c r="M235" s="38" t="s">
        <v>96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415</v>
      </c>
      <c r="AG235" s="78"/>
      <c r="AJ235" s="84" t="s">
        <v>46</v>
      </c>
      <c r="AK235" s="84">
        <v>0</v>
      </c>
      <c r="BB235" s="325" t="s">
        <v>66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413</v>
      </c>
      <c r="B236" s="63" t="s">
        <v>416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126</v>
      </c>
      <c r="L236" s="37" t="s">
        <v>46</v>
      </c>
      <c r="M236" s="38" t="s">
        <v>96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417</v>
      </c>
      <c r="AG236" s="78"/>
      <c r="AJ236" s="84" t="s">
        <v>46</v>
      </c>
      <c r="AK236" s="84">
        <v>0</v>
      </c>
      <c r="BB236" s="327" t="s">
        <v>66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133</v>
      </c>
      <c r="L237" s="37" t="s">
        <v>46</v>
      </c>
      <c r="M237" s="38" t="s">
        <v>96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420</v>
      </c>
      <c r="AG237" s="78"/>
      <c r="AJ237" s="84" t="s">
        <v>46</v>
      </c>
      <c r="AK237" s="84">
        <v>0</v>
      </c>
      <c r="BB237" s="329" t="s">
        <v>66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418</v>
      </c>
      <c r="B238" s="63" t="s">
        <v>421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133</v>
      </c>
      <c r="L238" s="37" t="s">
        <v>46</v>
      </c>
      <c r="M238" s="38" t="s">
        <v>96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412</v>
      </c>
      <c r="AG238" s="78"/>
      <c r="AJ238" s="84" t="s">
        <v>46</v>
      </c>
      <c r="AK238" s="84">
        <v>0</v>
      </c>
      <c r="BB238" s="331" t="s">
        <v>66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133</v>
      </c>
      <c r="L239" s="37" t="s">
        <v>46</v>
      </c>
      <c r="M239" s="38" t="s">
        <v>96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424</v>
      </c>
      <c r="AG239" s="78"/>
      <c r="AJ239" s="84" t="s">
        <v>46</v>
      </c>
      <c r="AK239" s="84">
        <v>0</v>
      </c>
      <c r="BB239" s="333" t="s">
        <v>66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415</v>
      </c>
      <c r="AG240" s="78"/>
      <c r="AJ240" s="84" t="s">
        <v>46</v>
      </c>
      <c r="AK240" s="84">
        <v>0</v>
      </c>
      <c r="BB240" s="335" t="s">
        <v>66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425</v>
      </c>
      <c r="B241" s="63" t="s">
        <v>427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417</v>
      </c>
      <c r="AG241" s="78"/>
      <c r="AJ241" s="84" t="s">
        <v>46</v>
      </c>
      <c r="AK241" s="84">
        <v>0</v>
      </c>
      <c r="BB241" s="337" t="s">
        <v>66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277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428</v>
      </c>
      <c r="B245" s="63" t="s">
        <v>429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342</v>
      </c>
      <c r="L245" s="37" t="s">
        <v>46</v>
      </c>
      <c r="M245" s="38" t="s">
        <v>282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430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431</v>
      </c>
      <c r="B246" s="63" t="s">
        <v>432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342</v>
      </c>
      <c r="L246" s="37" t="s">
        <v>46</v>
      </c>
      <c r="M246" s="38" t="s">
        <v>282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433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342</v>
      </c>
      <c r="L247" s="37" t="s">
        <v>46</v>
      </c>
      <c r="M247" s="38" t="s">
        <v>282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433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436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342</v>
      </c>
      <c r="L251" s="37" t="s">
        <v>46</v>
      </c>
      <c r="M251" s="38" t="s">
        <v>282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439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121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440</v>
      </c>
      <c r="B256" s="63" t="s">
        <v>441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126</v>
      </c>
      <c r="L256" s="37" t="s">
        <v>46</v>
      </c>
      <c r="M256" s="38" t="s">
        <v>125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442</v>
      </c>
      <c r="AG256" s="78"/>
      <c r="AJ256" s="84" t="s">
        <v>46</v>
      </c>
      <c r="AK256" s="84">
        <v>0</v>
      </c>
      <c r="BB256" s="347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443</v>
      </c>
      <c r="B257" s="63" t="s">
        <v>444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90</v>
      </c>
      <c r="L257" s="37" t="s">
        <v>46</v>
      </c>
      <c r="M257" s="38" t="s">
        <v>125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442</v>
      </c>
      <c r="AG257" s="78"/>
      <c r="AJ257" s="84" t="s">
        <v>46</v>
      </c>
      <c r="AK257" s="84">
        <v>0</v>
      </c>
      <c r="BB257" s="349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156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445</v>
      </c>
      <c r="B261" s="63" t="s">
        <v>446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126</v>
      </c>
      <c r="L261" s="37" t="s">
        <v>46</v>
      </c>
      <c r="M261" s="38" t="s">
        <v>125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447</v>
      </c>
      <c r="AG261" s="78"/>
      <c r="AJ261" s="84" t="s">
        <v>46</v>
      </c>
      <c r="AK261" s="84">
        <v>0</v>
      </c>
      <c r="BB261" s="35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448</v>
      </c>
      <c r="B262" s="63" t="s">
        <v>449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90</v>
      </c>
      <c r="L262" s="37" t="s">
        <v>46</v>
      </c>
      <c r="M262" s="38" t="s">
        <v>125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447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76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450</v>
      </c>
      <c r="B266" s="63" t="s">
        <v>451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133</v>
      </c>
      <c r="L266" s="37" t="s">
        <v>46</v>
      </c>
      <c r="M266" s="38" t="s">
        <v>80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452</v>
      </c>
      <c r="AG266" s="78"/>
      <c r="AJ266" s="84" t="s">
        <v>46</v>
      </c>
      <c r="AK266" s="84">
        <v>0</v>
      </c>
      <c r="BB266" s="355" t="s">
        <v>66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453</v>
      </c>
      <c r="B267" s="63" t="s">
        <v>454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455</v>
      </c>
      <c r="AG267" s="78"/>
      <c r="AJ267" s="84" t="s">
        <v>46</v>
      </c>
      <c r="AK267" s="84">
        <v>0</v>
      </c>
      <c r="BB267" s="357" t="s">
        <v>66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458</v>
      </c>
      <c r="AG268" s="78"/>
      <c r="AJ268" s="84" t="s">
        <v>46</v>
      </c>
      <c r="AK268" s="84">
        <v>0</v>
      </c>
      <c r="BB268" s="359" t="s">
        <v>66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461</v>
      </c>
      <c r="AG269" s="78"/>
      <c r="AJ269" s="84" t="s">
        <v>46</v>
      </c>
      <c r="AK269" s="84">
        <v>0</v>
      </c>
      <c r="BB269" s="361" t="s">
        <v>66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452</v>
      </c>
      <c r="AG270" s="78"/>
      <c r="AJ270" s="84" t="s">
        <v>46</v>
      </c>
      <c r="AK270" s="84">
        <v>0</v>
      </c>
      <c r="BB270" s="363" t="s">
        <v>66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455</v>
      </c>
      <c r="AG271" s="78"/>
      <c r="AJ271" s="84" t="s">
        <v>46</v>
      </c>
      <c r="AK271" s="84">
        <v>0</v>
      </c>
      <c r="BB271" s="365" t="s">
        <v>66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458</v>
      </c>
      <c r="AG272" s="78"/>
      <c r="AJ272" s="84" t="s">
        <v>46</v>
      </c>
      <c r="AK272" s="84">
        <v>0</v>
      </c>
      <c r="BB272" s="367" t="s">
        <v>66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461</v>
      </c>
      <c r="AG273" s="78"/>
      <c r="AJ273" s="84" t="s">
        <v>46</v>
      </c>
      <c r="AK273" s="84">
        <v>0</v>
      </c>
      <c r="BB273" s="369" t="s">
        <v>66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85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470</v>
      </c>
      <c r="B277" s="63" t="s">
        <v>471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126</v>
      </c>
      <c r="L277" s="37" t="s">
        <v>46</v>
      </c>
      <c r="M277" s="38" t="s">
        <v>89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472</v>
      </c>
      <c r="AG277" s="78"/>
      <c r="AJ277" s="84" t="s">
        <v>46</v>
      </c>
      <c r="AK277" s="84">
        <v>0</v>
      </c>
      <c r="BB277" s="371" t="s">
        <v>66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473</v>
      </c>
      <c r="B278" s="63" t="s">
        <v>474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475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478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66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90</v>
      </c>
      <c r="L281" s="37" t="s">
        <v>46</v>
      </c>
      <c r="M281" s="38" t="s">
        <v>96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478</v>
      </c>
      <c r="AG281" s="78"/>
      <c r="AJ281" s="84" t="s">
        <v>46</v>
      </c>
      <c r="AK281" s="84">
        <v>0</v>
      </c>
      <c r="BB281" s="379" t="s">
        <v>66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133</v>
      </c>
      <c r="L282" s="37" t="s">
        <v>46</v>
      </c>
      <c r="M282" s="38" t="s">
        <v>89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485</v>
      </c>
      <c r="AG282" s="78"/>
      <c r="AJ282" s="84" t="s">
        <v>46</v>
      </c>
      <c r="AK282" s="84">
        <v>0</v>
      </c>
      <c r="BB282" s="381" t="s">
        <v>66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478</v>
      </c>
      <c r="AG283" s="78"/>
      <c r="AJ283" s="84" t="s">
        <v>46</v>
      </c>
      <c r="AK283" s="84">
        <v>0</v>
      </c>
      <c r="BB283" s="383" t="s">
        <v>66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126</v>
      </c>
      <c r="L284" s="37" t="s">
        <v>46</v>
      </c>
      <c r="M284" s="38" t="s">
        <v>89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485</v>
      </c>
      <c r="AG284" s="78"/>
      <c r="AJ284" s="84" t="s">
        <v>46</v>
      </c>
      <c r="AK284" s="84">
        <v>0</v>
      </c>
      <c r="BB284" s="385" t="s">
        <v>66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89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478</v>
      </c>
      <c r="AG285" s="78"/>
      <c r="AJ285" s="84" t="s">
        <v>46</v>
      </c>
      <c r="AK285" s="84">
        <v>0</v>
      </c>
      <c r="BB285" s="387" t="s">
        <v>66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96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494</v>
      </c>
      <c r="AG286" s="78"/>
      <c r="AJ286" s="84" t="s">
        <v>46</v>
      </c>
      <c r="AK286" s="84">
        <v>0</v>
      </c>
      <c r="BB286" s="389" t="s">
        <v>66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497</v>
      </c>
      <c r="AG287" s="78"/>
      <c r="AJ287" s="84" t="s">
        <v>46</v>
      </c>
      <c r="AK287" s="84">
        <v>0</v>
      </c>
      <c r="BB287" s="391" t="s">
        <v>66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500</v>
      </c>
      <c r="AG288" s="78"/>
      <c r="AJ288" s="84" t="s">
        <v>46</v>
      </c>
      <c r="AK288" s="84">
        <v>0</v>
      </c>
      <c r="BB288" s="393" t="s">
        <v>66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174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501</v>
      </c>
      <c r="B292" s="63" t="s">
        <v>502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507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121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508</v>
      </c>
      <c r="B298" s="63" t="s">
        <v>509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126</v>
      </c>
      <c r="L298" s="37" t="s">
        <v>46</v>
      </c>
      <c r="M298" s="38" t="s">
        <v>125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510</v>
      </c>
      <c r="AG298" s="78"/>
      <c r="AJ298" s="84" t="s">
        <v>46</v>
      </c>
      <c r="AK298" s="84">
        <v>0</v>
      </c>
      <c r="BB298" s="399" t="s">
        <v>66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511</v>
      </c>
      <c r="B299" s="63" t="s">
        <v>512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513</v>
      </c>
      <c r="AG299" s="78"/>
      <c r="AJ299" s="84" t="s">
        <v>46</v>
      </c>
      <c r="AK299" s="84">
        <v>0</v>
      </c>
      <c r="BB299" s="401" t="s">
        <v>66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361</v>
      </c>
      <c r="AG300" s="78"/>
      <c r="AJ300" s="84" t="s">
        <v>46</v>
      </c>
      <c r="AK300" s="84">
        <v>0</v>
      </c>
      <c r="BB300" s="403" t="s">
        <v>66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133</v>
      </c>
      <c r="L301" s="37" t="s">
        <v>46</v>
      </c>
      <c r="M301" s="38" t="s">
        <v>125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510</v>
      </c>
      <c r="AG301" s="78"/>
      <c r="AJ301" s="84" t="s">
        <v>46</v>
      </c>
      <c r="AK301" s="84">
        <v>0</v>
      </c>
      <c r="BB301" s="405" t="s">
        <v>66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520</v>
      </c>
      <c r="AG302" s="78"/>
      <c r="AJ302" s="84" t="s">
        <v>46</v>
      </c>
      <c r="AK302" s="84">
        <v>0</v>
      </c>
      <c r="BB302" s="407" t="s">
        <v>66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90</v>
      </c>
      <c r="L303" s="37" t="s">
        <v>46</v>
      </c>
      <c r="M303" s="38" t="s">
        <v>125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523</v>
      </c>
      <c r="AG303" s="78"/>
      <c r="AJ303" s="84" t="s">
        <v>46</v>
      </c>
      <c r="AK303" s="84">
        <v>0</v>
      </c>
      <c r="BB303" s="409" t="s">
        <v>66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133</v>
      </c>
      <c r="L304" s="37" t="s">
        <v>46</v>
      </c>
      <c r="M304" s="38" t="s">
        <v>125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361</v>
      </c>
      <c r="AG304" s="78"/>
      <c r="AJ304" s="84" t="s">
        <v>46</v>
      </c>
      <c r="AK304" s="84">
        <v>0</v>
      </c>
      <c r="BB304" s="411" t="s">
        <v>66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156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526</v>
      </c>
      <c r="B308" s="63" t="s">
        <v>527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81</v>
      </c>
      <c r="L308" s="37" t="s">
        <v>46</v>
      </c>
      <c r="M308" s="38" t="s">
        <v>89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528</v>
      </c>
      <c r="AG308" s="78"/>
      <c r="AJ308" s="84" t="s">
        <v>46</v>
      </c>
      <c r="AK308" s="84">
        <v>0</v>
      </c>
      <c r="BB308" s="413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529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530</v>
      </c>
      <c r="B312" s="63" t="s">
        <v>531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342</v>
      </c>
      <c r="L312" s="37" t="s">
        <v>46</v>
      </c>
      <c r="M312" s="38" t="s">
        <v>282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532</v>
      </c>
      <c r="AG312" s="78"/>
      <c r="AJ312" s="84" t="s">
        <v>46</v>
      </c>
      <c r="AK312" s="84">
        <v>0</v>
      </c>
      <c r="BB312" s="415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338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533</v>
      </c>
      <c r="B316" s="63" t="s">
        <v>534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342</v>
      </c>
      <c r="L316" s="37" t="s">
        <v>46</v>
      </c>
      <c r="M316" s="38" t="s">
        <v>282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535</v>
      </c>
      <c r="AG316" s="78"/>
      <c r="AJ316" s="84" t="s">
        <v>46</v>
      </c>
      <c r="AK316" s="84">
        <v>0</v>
      </c>
      <c r="BB316" s="417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536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121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537</v>
      </c>
      <c r="B321" s="63" t="s">
        <v>538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126</v>
      </c>
      <c r="L321" s="37" t="s">
        <v>46</v>
      </c>
      <c r="M321" s="38" t="s">
        <v>125</v>
      </c>
      <c r="N321" s="38"/>
      <c r="O321" s="37">
        <v>55</v>
      </c>
      <c r="P321" s="778" t="s">
        <v>539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541</v>
      </c>
      <c r="AC321" s="418" t="s">
        <v>540</v>
      </c>
      <c r="AG321" s="78"/>
      <c r="AJ321" s="84" t="s">
        <v>46</v>
      </c>
      <c r="AK321" s="84">
        <v>0</v>
      </c>
      <c r="BB321" s="419" t="s">
        <v>66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126</v>
      </c>
      <c r="L322" s="37" t="s">
        <v>46</v>
      </c>
      <c r="M322" s="38" t="s">
        <v>125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544</v>
      </c>
      <c r="AG322" s="78"/>
      <c r="AJ322" s="84" t="s">
        <v>46</v>
      </c>
      <c r="AK322" s="84">
        <v>0</v>
      </c>
      <c r="BB322" s="421" t="s">
        <v>66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126</v>
      </c>
      <c r="L323" s="37" t="s">
        <v>46</v>
      </c>
      <c r="M323" s="38" t="s">
        <v>125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547</v>
      </c>
      <c r="AG323" s="78"/>
      <c r="AJ323" s="84" t="s">
        <v>46</v>
      </c>
      <c r="AK323" s="84">
        <v>0</v>
      </c>
      <c r="BB323" s="423" t="s">
        <v>66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550</v>
      </c>
      <c r="AG324" s="78"/>
      <c r="AJ324" s="84" t="s">
        <v>46</v>
      </c>
      <c r="AK324" s="84">
        <v>0</v>
      </c>
      <c r="BB324" s="425" t="s">
        <v>66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133</v>
      </c>
      <c r="L325" s="37" t="s">
        <v>46</v>
      </c>
      <c r="M325" s="38" t="s">
        <v>125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553</v>
      </c>
      <c r="AG325" s="78"/>
      <c r="AJ325" s="84" t="s">
        <v>46</v>
      </c>
      <c r="AK325" s="84">
        <v>0</v>
      </c>
      <c r="BB325" s="427" t="s">
        <v>66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133</v>
      </c>
      <c r="L326" s="37" t="s">
        <v>46</v>
      </c>
      <c r="M326" s="38" t="s">
        <v>125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556</v>
      </c>
      <c r="AG326" s="78"/>
      <c r="AJ326" s="84" t="s">
        <v>46</v>
      </c>
      <c r="AK326" s="84">
        <v>0</v>
      </c>
      <c r="BB326" s="429" t="s">
        <v>66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557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85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560</v>
      </c>
      <c r="AG331" s="78"/>
      <c r="AJ331" s="84" t="s">
        <v>46</v>
      </c>
      <c r="AK331" s="84">
        <v>0</v>
      </c>
      <c r="BB331" s="431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563</v>
      </c>
      <c r="AG332" s="78"/>
      <c r="AJ332" s="84" t="s">
        <v>46</v>
      </c>
      <c r="AK332" s="84">
        <v>0</v>
      </c>
      <c r="BB332" s="433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560</v>
      </c>
      <c r="AG333" s="78"/>
      <c r="AJ333" s="84" t="s">
        <v>46</v>
      </c>
      <c r="AK333" s="84">
        <v>0</v>
      </c>
      <c r="BB333" s="435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566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76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393</v>
      </c>
      <c r="AG338" s="78"/>
      <c r="AJ338" s="84" t="s">
        <v>46</v>
      </c>
      <c r="AK338" s="84">
        <v>0</v>
      </c>
      <c r="BB338" s="437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571</v>
      </c>
      <c r="AG339" s="78"/>
      <c r="AJ339" s="84" t="s">
        <v>46</v>
      </c>
      <c r="AK339" s="84">
        <v>0</v>
      </c>
      <c r="BB339" s="439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574</v>
      </c>
      <c r="AG340" s="78"/>
      <c r="AJ340" s="84" t="s">
        <v>46</v>
      </c>
      <c r="AK340" s="84">
        <v>0</v>
      </c>
      <c r="BB340" s="441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577</v>
      </c>
      <c r="AG341" s="78"/>
      <c r="AJ341" s="84" t="s">
        <v>46</v>
      </c>
      <c r="AK341" s="84">
        <v>0</v>
      </c>
      <c r="BB341" s="443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580</v>
      </c>
      <c r="AG342" s="78"/>
      <c r="AJ342" s="84" t="s">
        <v>46</v>
      </c>
      <c r="AK342" s="84">
        <v>0</v>
      </c>
      <c r="BB342" s="445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85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133</v>
      </c>
      <c r="L346" s="37" t="s">
        <v>46</v>
      </c>
      <c r="M346" s="38" t="s">
        <v>89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583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133</v>
      </c>
      <c r="L347" s="37" t="s">
        <v>46</v>
      </c>
      <c r="M347" s="38" t="s">
        <v>89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586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587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121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126</v>
      </c>
      <c r="L352" s="37" t="s">
        <v>46</v>
      </c>
      <c r="M352" s="38" t="s">
        <v>89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352</v>
      </c>
      <c r="AG352" s="78"/>
      <c r="AJ352" s="84" t="s">
        <v>46</v>
      </c>
      <c r="AK352" s="84">
        <v>0</v>
      </c>
      <c r="BB352" s="45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590</v>
      </c>
      <c r="B353" s="63" t="s">
        <v>591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126</v>
      </c>
      <c r="L353" s="37" t="s">
        <v>46</v>
      </c>
      <c r="M353" s="38" t="s">
        <v>89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592</v>
      </c>
      <c r="AG353" s="78"/>
      <c r="AJ353" s="84" t="s">
        <v>46</v>
      </c>
      <c r="AK353" s="84">
        <v>0</v>
      </c>
      <c r="BB353" s="45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595</v>
      </c>
      <c r="AG354" s="78"/>
      <c r="AJ354" s="84" t="s">
        <v>46</v>
      </c>
      <c r="AK354" s="84">
        <v>0</v>
      </c>
      <c r="BB354" s="45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596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121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126</v>
      </c>
      <c r="L359" s="37" t="s">
        <v>46</v>
      </c>
      <c r="M359" s="38" t="s">
        <v>125</v>
      </c>
      <c r="N359" s="38"/>
      <c r="O359" s="37">
        <v>55</v>
      </c>
      <c r="P359" s="763" t="s">
        <v>599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541</v>
      </c>
      <c r="AC359" s="456" t="s">
        <v>520</v>
      </c>
      <c r="AG359" s="78"/>
      <c r="AJ359" s="84" t="s">
        <v>46</v>
      </c>
      <c r="AK359" s="84">
        <v>0</v>
      </c>
      <c r="BB359" s="457" t="s">
        <v>66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126</v>
      </c>
      <c r="L360" s="37" t="s">
        <v>46</v>
      </c>
      <c r="M360" s="38" t="s">
        <v>125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602</v>
      </c>
      <c r="AG360" s="78"/>
      <c r="AJ360" s="84" t="s">
        <v>46</v>
      </c>
      <c r="AK360" s="84">
        <v>0</v>
      </c>
      <c r="BB360" s="459" t="s">
        <v>66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603</v>
      </c>
      <c r="B361" s="63" t="s">
        <v>604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605</v>
      </c>
      <c r="AG361" s="78"/>
      <c r="AJ361" s="84" t="s">
        <v>46</v>
      </c>
      <c r="AK361" s="84">
        <v>0</v>
      </c>
      <c r="BB361" s="461" t="s">
        <v>66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606</v>
      </c>
      <c r="B362" s="63" t="s">
        <v>607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608</v>
      </c>
      <c r="AG362" s="78"/>
      <c r="AJ362" s="84" t="s">
        <v>46</v>
      </c>
      <c r="AK362" s="84">
        <v>0</v>
      </c>
      <c r="BB362" s="463" t="s">
        <v>66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611</v>
      </c>
      <c r="AG363" s="78"/>
      <c r="AJ363" s="84" t="s">
        <v>46</v>
      </c>
      <c r="AK363" s="84">
        <v>0</v>
      </c>
      <c r="BB363" s="465" t="s">
        <v>66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612</v>
      </c>
      <c r="B364" s="63" t="s">
        <v>613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605</v>
      </c>
      <c r="AG364" s="78"/>
      <c r="AJ364" s="84" t="s">
        <v>46</v>
      </c>
      <c r="AK364" s="84">
        <v>0</v>
      </c>
      <c r="BB364" s="467" t="s">
        <v>66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614</v>
      </c>
      <c r="B365" s="63" t="s">
        <v>615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616</v>
      </c>
      <c r="AG365" s="78"/>
      <c r="AJ365" s="84" t="s">
        <v>46</v>
      </c>
      <c r="AK365" s="84">
        <v>0</v>
      </c>
      <c r="BB365" s="469" t="s">
        <v>66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76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617</v>
      </c>
      <c r="B369" s="63" t="s">
        <v>618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619</v>
      </c>
      <c r="AG369" s="78"/>
      <c r="AJ369" s="84" t="s">
        <v>46</v>
      </c>
      <c r="AK369" s="84">
        <v>0</v>
      </c>
      <c r="BB369" s="471" t="s">
        <v>66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622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625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626</v>
      </c>
      <c r="B372" s="63" t="s">
        <v>627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630</v>
      </c>
      <c r="AG373" s="78"/>
      <c r="AJ373" s="84" t="s">
        <v>46</v>
      </c>
      <c r="AK373" s="84">
        <v>0</v>
      </c>
      <c r="BB373" s="479" t="s">
        <v>66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631</v>
      </c>
      <c r="B374" s="63" t="s">
        <v>632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625</v>
      </c>
      <c r="AG374" s="78"/>
      <c r="AJ374" s="84" t="s">
        <v>46</v>
      </c>
      <c r="AK374" s="84">
        <v>0</v>
      </c>
      <c r="BB374" s="481" t="s">
        <v>66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633</v>
      </c>
      <c r="B375" s="63" t="s">
        <v>634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635</v>
      </c>
      <c r="AG375" s="78"/>
      <c r="AJ375" s="84" t="s">
        <v>46</v>
      </c>
      <c r="AK375" s="84">
        <v>0</v>
      </c>
      <c r="BB375" s="483" t="s">
        <v>66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85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636</v>
      </c>
      <c r="B379" s="63" t="s">
        <v>637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638</v>
      </c>
      <c r="AG379" s="78"/>
      <c r="AJ379" s="84" t="s">
        <v>46</v>
      </c>
      <c r="AK379" s="84">
        <v>0</v>
      </c>
      <c r="BB379" s="485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641</v>
      </c>
      <c r="AG380" s="78"/>
      <c r="AJ380" s="84" t="s">
        <v>46</v>
      </c>
      <c r="AK380" s="84">
        <v>0</v>
      </c>
      <c r="BB380" s="487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644</v>
      </c>
      <c r="AG381" s="78"/>
      <c r="AJ381" s="84" t="s">
        <v>46</v>
      </c>
      <c r="AK381" s="84">
        <v>0</v>
      </c>
      <c r="BB381" s="489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645</v>
      </c>
      <c r="B382" s="63" t="s">
        <v>646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174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647</v>
      </c>
      <c r="B386" s="63" t="s">
        <v>648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649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652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653</v>
      </c>
      <c r="B388" s="63" t="s">
        <v>654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655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277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656</v>
      </c>
      <c r="B392" s="63" t="s">
        <v>657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253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658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659</v>
      </c>
      <c r="B393" s="63" t="s">
        <v>660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253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661</v>
      </c>
      <c r="B394" s="63" t="s">
        <v>662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253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663</v>
      </c>
      <c r="B395" s="63" t="s">
        <v>664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253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665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666</v>
      </c>
      <c r="B399" s="63" t="s">
        <v>667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669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668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670</v>
      </c>
      <c r="B400" s="63" t="s">
        <v>671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669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668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672</v>
      </c>
      <c r="B401" s="63" t="s">
        <v>673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668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674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675</v>
      </c>
      <c r="B405" s="63" t="s">
        <v>676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669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677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678</v>
      </c>
      <c r="B406" s="63" t="s">
        <v>679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669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680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681</v>
      </c>
      <c r="B407" s="63" t="s">
        <v>682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677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683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85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684</v>
      </c>
      <c r="B412" s="63" t="s">
        <v>685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686</v>
      </c>
      <c r="AG412" s="78"/>
      <c r="AJ412" s="84" t="s">
        <v>46</v>
      </c>
      <c r="AK412" s="84">
        <v>0</v>
      </c>
      <c r="BB412" s="51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687</v>
      </c>
      <c r="B413" s="63" t="s">
        <v>688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689</v>
      </c>
      <c r="AG413" s="78"/>
      <c r="AJ413" s="84" t="s">
        <v>46</v>
      </c>
      <c r="AK413" s="84">
        <v>0</v>
      </c>
      <c r="BB413" s="52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690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85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691</v>
      </c>
      <c r="B418" s="63" t="s">
        <v>692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693</v>
      </c>
      <c r="AG418" s="78"/>
      <c r="AJ418" s="84" t="s">
        <v>46</v>
      </c>
      <c r="AK418" s="84">
        <v>0</v>
      </c>
      <c r="BB418" s="523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694</v>
      </c>
      <c r="B419" s="63" t="s">
        <v>695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696</v>
      </c>
      <c r="AG419" s="78"/>
      <c r="AJ419" s="84" t="s">
        <v>46</v>
      </c>
      <c r="AK419" s="84">
        <v>0</v>
      </c>
      <c r="BB419" s="525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697</v>
      </c>
      <c r="B420" s="63" t="s">
        <v>698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699</v>
      </c>
      <c r="AG420" s="78"/>
      <c r="AJ420" s="84" t="s">
        <v>46</v>
      </c>
      <c r="AK420" s="84">
        <v>0</v>
      </c>
      <c r="BB420" s="52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701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121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702</v>
      </c>
      <c r="B426" s="63" t="s">
        <v>703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704</v>
      </c>
      <c r="AG426" s="78"/>
      <c r="AJ426" s="84" t="s">
        <v>46</v>
      </c>
      <c r="AK426" s="84">
        <v>0</v>
      </c>
      <c r="BB426" s="529" t="s">
        <v>66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705</v>
      </c>
      <c r="B427" s="63" t="s">
        <v>706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707</v>
      </c>
      <c r="AG427" s="78"/>
      <c r="AJ427" s="84" t="s">
        <v>46</v>
      </c>
      <c r="AK427" s="84">
        <v>0</v>
      </c>
      <c r="BB427" s="531" t="s">
        <v>66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708</v>
      </c>
      <c r="B428" s="63" t="s">
        <v>709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700</v>
      </c>
      <c r="Y428" s="55">
        <f t="shared" si="68"/>
        <v>705</v>
      </c>
      <c r="Z428" s="41">
        <f>IFERROR(IF(Y428=0,"",ROUNDUP(Y428/H428,0)*0.02175),"")</f>
        <v>1.0222499999999999</v>
      </c>
      <c r="AA428" s="68" t="s">
        <v>46</v>
      </c>
      <c r="AB428" s="69" t="s">
        <v>46</v>
      </c>
      <c r="AC428" s="532" t="s">
        <v>710</v>
      </c>
      <c r="AG428" s="78"/>
      <c r="AJ428" s="84" t="s">
        <v>46</v>
      </c>
      <c r="AK428" s="84">
        <v>0</v>
      </c>
      <c r="BB428" s="533" t="s">
        <v>66</v>
      </c>
      <c r="BM428" s="78">
        <f t="shared" si="69"/>
        <v>721.93333333333328</v>
      </c>
      <c r="BN428" s="78">
        <f t="shared" si="70"/>
        <v>727.09</v>
      </c>
      <c r="BO428" s="78">
        <f t="shared" si="71"/>
        <v>0.9722222222222221</v>
      </c>
      <c r="BP428" s="78">
        <f t="shared" si="72"/>
        <v>0.97916666666666663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713</v>
      </c>
      <c r="AG429" s="78"/>
      <c r="AJ429" s="84" t="s">
        <v>46</v>
      </c>
      <c r="AK429" s="84">
        <v>0</v>
      </c>
      <c r="BB429" s="535" t="s">
        <v>66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716</v>
      </c>
      <c r="AG430" s="78"/>
      <c r="AJ430" s="84" t="s">
        <v>46</v>
      </c>
      <c r="AK430" s="84">
        <v>0</v>
      </c>
      <c r="BB430" s="537" t="s">
        <v>66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719</v>
      </c>
      <c r="AG431" s="78"/>
      <c r="AJ431" s="84" t="s">
        <v>46</v>
      </c>
      <c r="AK431" s="84">
        <v>0</v>
      </c>
      <c r="BB431" s="539" t="s">
        <v>66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720</v>
      </c>
      <c r="B432" s="63" t="s">
        <v>721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722</v>
      </c>
      <c r="AG432" s="78"/>
      <c r="AJ432" s="84" t="s">
        <v>46</v>
      </c>
      <c r="AK432" s="84">
        <v>0</v>
      </c>
      <c r="BB432" s="541" t="s">
        <v>66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723</v>
      </c>
      <c r="B433" s="63" t="s">
        <v>724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725</v>
      </c>
      <c r="AG433" s="78"/>
      <c r="AJ433" s="84" t="s">
        <v>46</v>
      </c>
      <c r="AK433" s="84">
        <v>0</v>
      </c>
      <c r="BB433" s="543" t="s">
        <v>66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46.666666666666664</v>
      </c>
      <c r="Y434" s="43">
        <f>IFERROR(Y426/H426,"0")+IFERROR(Y427/H427,"0")+IFERROR(Y428/H428,"0")+IFERROR(Y429/H429,"0")+IFERROR(Y430/H430,"0")+IFERROR(Y431/H431,"0")+IFERROR(Y432/H432,"0")+IFERROR(Y433/H433,"0")</f>
        <v>47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1.0222499999999999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700</v>
      </c>
      <c r="Y435" s="43">
        <f>IFERROR(SUM(Y426:Y433),"0")</f>
        <v>705</v>
      </c>
      <c r="Z435" s="42"/>
      <c r="AA435" s="67"/>
      <c r="AB435" s="67"/>
      <c r="AC435" s="67"/>
    </row>
    <row r="436" spans="1:68" ht="14.25" hidden="1" customHeight="1" x14ac:dyDescent="0.25">
      <c r="A436" s="653" t="s">
        <v>156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726</v>
      </c>
      <c r="B437" s="63" t="s">
        <v>727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728</v>
      </c>
      <c r="AG437" s="78"/>
      <c r="AJ437" s="84" t="s">
        <v>46</v>
      </c>
      <c r="AK437" s="84">
        <v>0</v>
      </c>
      <c r="BB437" s="54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731</v>
      </c>
      <c r="AG438" s="78"/>
      <c r="AJ438" s="84" t="s">
        <v>46</v>
      </c>
      <c r="AK438" s="84">
        <v>0</v>
      </c>
      <c r="BB438" s="54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732</v>
      </c>
      <c r="B439" s="63" t="s">
        <v>733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734</v>
      </c>
      <c r="AG439" s="78"/>
      <c r="AJ439" s="84" t="s">
        <v>46</v>
      </c>
      <c r="AK439" s="84">
        <v>0</v>
      </c>
      <c r="BB439" s="54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85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735</v>
      </c>
      <c r="B443" s="63" t="s">
        <v>736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737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740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741</v>
      </c>
      <c r="B445" s="63" t="s">
        <v>742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743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174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744</v>
      </c>
      <c r="B449" s="63" t="s">
        <v>745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746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747</v>
      </c>
      <c r="B450" s="63" t="s">
        <v>748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749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750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121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751</v>
      </c>
      <c r="B455" s="63" t="s">
        <v>752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753</v>
      </c>
      <c r="AG455" s="78"/>
      <c r="AJ455" s="84" t="s">
        <v>46</v>
      </c>
      <c r="AK455" s="84">
        <v>0</v>
      </c>
      <c r="BB455" s="561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754</v>
      </c>
      <c r="B456" s="63" t="s">
        <v>755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753</v>
      </c>
      <c r="AG456" s="78"/>
      <c r="AJ456" s="84" t="s">
        <v>46</v>
      </c>
      <c r="AK456" s="84">
        <v>0</v>
      </c>
      <c r="BB456" s="56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76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756</v>
      </c>
      <c r="B460" s="63" t="s">
        <v>757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758</v>
      </c>
      <c r="AG460" s="78"/>
      <c r="AJ460" s="84" t="s">
        <v>46</v>
      </c>
      <c r="AK460" s="84">
        <v>0</v>
      </c>
      <c r="BB460" s="56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85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759</v>
      </c>
      <c r="B464" s="63" t="s">
        <v>760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761</v>
      </c>
      <c r="AG464" s="78"/>
      <c r="AJ464" s="84" t="s">
        <v>46</v>
      </c>
      <c r="AK464" s="84">
        <v>0</v>
      </c>
      <c r="BB464" s="56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762</v>
      </c>
      <c r="B465" s="63" t="s">
        <v>763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762</v>
      </c>
      <c r="B466" s="63" t="s">
        <v>764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765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766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767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76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768</v>
      </c>
      <c r="B472" s="63" t="s">
        <v>769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770</v>
      </c>
      <c r="AG472" s="78"/>
      <c r="AJ472" s="84" t="s">
        <v>46</v>
      </c>
      <c r="AK472" s="84">
        <v>0</v>
      </c>
      <c r="BB472" s="573" t="s">
        <v>66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773</v>
      </c>
      <c r="AG473" s="78"/>
      <c r="AJ473" s="84" t="s">
        <v>46</v>
      </c>
      <c r="AK473" s="84">
        <v>0</v>
      </c>
      <c r="BB473" s="575" t="s">
        <v>66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774</v>
      </c>
      <c r="B474" s="63" t="s">
        <v>775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770</v>
      </c>
      <c r="AG474" s="78"/>
      <c r="AJ474" s="84" t="s">
        <v>46</v>
      </c>
      <c r="AK474" s="84">
        <v>0</v>
      </c>
      <c r="BB474" s="577" t="s">
        <v>66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778</v>
      </c>
      <c r="AG475" s="78"/>
      <c r="AJ475" s="84" t="s">
        <v>46</v>
      </c>
      <c r="AK475" s="84">
        <v>0</v>
      </c>
      <c r="BB475" s="579" t="s">
        <v>66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779</v>
      </c>
      <c r="B476" s="63" t="s">
        <v>780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781</v>
      </c>
      <c r="AG476" s="78"/>
      <c r="AJ476" s="84" t="s">
        <v>46</v>
      </c>
      <c r="AK476" s="84">
        <v>0</v>
      </c>
      <c r="BB476" s="581" t="s">
        <v>66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782</v>
      </c>
      <c r="B477" s="63" t="s">
        <v>783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778</v>
      </c>
      <c r="AG477" s="78"/>
      <c r="AJ477" s="84" t="s">
        <v>46</v>
      </c>
      <c r="AK477" s="84">
        <v>0</v>
      </c>
      <c r="BB477" s="583" t="s">
        <v>66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85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784</v>
      </c>
      <c r="B481" s="63" t="s">
        <v>785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786</v>
      </c>
      <c r="AG481" s="78"/>
      <c r="AJ481" s="84" t="s">
        <v>46</v>
      </c>
      <c r="AK481" s="84">
        <v>0</v>
      </c>
      <c r="BB481" s="585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787</v>
      </c>
      <c r="B482" s="63" t="s">
        <v>788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789</v>
      </c>
      <c r="AG482" s="78"/>
      <c r="AJ482" s="84" t="s">
        <v>46</v>
      </c>
      <c r="AK482" s="84">
        <v>0</v>
      </c>
      <c r="BB482" s="587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790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156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791</v>
      </c>
      <c r="B487" s="63" t="s">
        <v>792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793</v>
      </c>
      <c r="AG487" s="78"/>
      <c r="AJ487" s="84" t="s">
        <v>46</v>
      </c>
      <c r="AK487" s="84">
        <v>0</v>
      </c>
      <c r="BB487" s="58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76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794</v>
      </c>
      <c r="B491" s="63" t="s">
        <v>795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796</v>
      </c>
      <c r="AG491" s="78"/>
      <c r="AJ491" s="84" t="s">
        <v>46</v>
      </c>
      <c r="AK491" s="84">
        <v>0</v>
      </c>
      <c r="BB491" s="591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799</v>
      </c>
      <c r="AG492" s="78"/>
      <c r="AJ492" s="84" t="s">
        <v>46</v>
      </c>
      <c r="AK492" s="84">
        <v>0</v>
      </c>
      <c r="BB492" s="593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800</v>
      </c>
      <c r="B493" s="63" t="s">
        <v>801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802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802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121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803</v>
      </c>
      <c r="B499" s="63" t="s">
        <v>804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124</v>
      </c>
      <c r="AG499" s="78"/>
      <c r="AJ499" s="84" t="s">
        <v>46</v>
      </c>
      <c r="AK499" s="84">
        <v>0</v>
      </c>
      <c r="BB499" s="597" t="s">
        <v>66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805</v>
      </c>
      <c r="B500" s="63" t="s">
        <v>806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807</v>
      </c>
      <c r="AG500" s="78"/>
      <c r="AJ500" s="84" t="s">
        <v>46</v>
      </c>
      <c r="AK500" s="84">
        <v>0</v>
      </c>
      <c r="BB500" s="599" t="s">
        <v>66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808</v>
      </c>
      <c r="B501" s="63" t="s">
        <v>809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810</v>
      </c>
      <c r="AG501" s="78"/>
      <c r="AJ501" s="84" t="s">
        <v>46</v>
      </c>
      <c r="AK501" s="84">
        <v>0</v>
      </c>
      <c r="BB501" s="601" t="s">
        <v>66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811</v>
      </c>
      <c r="B502" s="63" t="s">
        <v>812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813</v>
      </c>
      <c r="AG502" s="78"/>
      <c r="AJ502" s="84" t="s">
        <v>46</v>
      </c>
      <c r="AK502" s="84">
        <v>0</v>
      </c>
      <c r="BB502" s="603" t="s">
        <v>66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814</v>
      </c>
      <c r="B503" s="63" t="s">
        <v>815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816</v>
      </c>
      <c r="AG503" s="78"/>
      <c r="AJ503" s="84" t="s">
        <v>46</v>
      </c>
      <c r="AK503" s="84">
        <v>0</v>
      </c>
      <c r="BB503" s="605" t="s">
        <v>66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819</v>
      </c>
      <c r="AG504" s="78"/>
      <c r="AJ504" s="84" t="s">
        <v>46</v>
      </c>
      <c r="AK504" s="84">
        <v>0</v>
      </c>
      <c r="BB504" s="607" t="s">
        <v>66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820</v>
      </c>
      <c r="B505" s="63" t="s">
        <v>821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124</v>
      </c>
      <c r="AG505" s="78"/>
      <c r="AJ505" s="84" t="s">
        <v>46</v>
      </c>
      <c r="AK505" s="84">
        <v>0</v>
      </c>
      <c r="BB505" s="609" t="s">
        <v>66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124</v>
      </c>
      <c r="AG506" s="78"/>
      <c r="AJ506" s="84" t="s">
        <v>46</v>
      </c>
      <c r="AK506" s="84">
        <v>0</v>
      </c>
      <c r="BB506" s="611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819</v>
      </c>
      <c r="AG507" s="78"/>
      <c r="AJ507" s="84" t="s">
        <v>46</v>
      </c>
      <c r="AK507" s="84">
        <v>0</v>
      </c>
      <c r="BB507" s="613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156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826</v>
      </c>
      <c r="B511" s="63" t="s">
        <v>827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828</v>
      </c>
      <c r="AG511" s="78"/>
      <c r="AJ511" s="84" t="s">
        <v>46</v>
      </c>
      <c r="AK511" s="84">
        <v>0</v>
      </c>
      <c r="BB511" s="615" t="s">
        <v>66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829</v>
      </c>
      <c r="B512" s="63" t="s">
        <v>830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828</v>
      </c>
      <c r="AG513" s="78"/>
      <c r="AJ513" s="84" t="s">
        <v>46</v>
      </c>
      <c r="AK513" s="84">
        <v>0</v>
      </c>
      <c r="BB513" s="619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76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833</v>
      </c>
      <c r="B517" s="63" t="s">
        <v>834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835</v>
      </c>
      <c r="AG517" s="78"/>
      <c r="AJ517" s="84" t="s">
        <v>46</v>
      </c>
      <c r="AK517" s="84">
        <v>0</v>
      </c>
      <c r="BB517" s="621" t="s">
        <v>66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836</v>
      </c>
      <c r="B518" s="63" t="s">
        <v>837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838</v>
      </c>
      <c r="AG518" s="78"/>
      <c r="AJ518" s="84" t="s">
        <v>46</v>
      </c>
      <c r="AK518" s="84">
        <v>0</v>
      </c>
      <c r="BB518" s="623" t="s">
        <v>66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841</v>
      </c>
      <c r="AG519" s="78"/>
      <c r="AJ519" s="84" t="s">
        <v>46</v>
      </c>
      <c r="AK519" s="84">
        <v>0</v>
      </c>
      <c r="BB519" s="625" t="s">
        <v>66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842</v>
      </c>
      <c r="B520" s="63" t="s">
        <v>843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835</v>
      </c>
      <c r="AG520" s="78"/>
      <c r="AJ520" s="84" t="s">
        <v>46</v>
      </c>
      <c r="AK520" s="84">
        <v>0</v>
      </c>
      <c r="BB520" s="627" t="s">
        <v>66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838</v>
      </c>
      <c r="AG521" s="78"/>
      <c r="AJ521" s="84" t="s">
        <v>46</v>
      </c>
      <c r="AK521" s="84">
        <v>0</v>
      </c>
      <c r="BB521" s="629" t="s">
        <v>66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844</v>
      </c>
      <c r="B522" s="63" t="s">
        <v>846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838</v>
      </c>
      <c r="AG522" s="78"/>
      <c r="AJ522" s="84" t="s">
        <v>46</v>
      </c>
      <c r="AK522" s="84">
        <v>0</v>
      </c>
      <c r="BB522" s="631" t="s">
        <v>66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847</v>
      </c>
      <c r="B523" s="63" t="s">
        <v>848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841</v>
      </c>
      <c r="AG523" s="78"/>
      <c r="AJ523" s="84" t="s">
        <v>46</v>
      </c>
      <c r="AK523" s="84">
        <v>0</v>
      </c>
      <c r="BB523" s="633" t="s">
        <v>66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849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849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121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850</v>
      </c>
      <c r="B529" s="63" t="s">
        <v>851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852</v>
      </c>
      <c r="AG529" s="78"/>
      <c r="AJ529" s="84" t="s">
        <v>46</v>
      </c>
      <c r="AK529" s="84">
        <v>0</v>
      </c>
      <c r="BB529" s="63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156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853</v>
      </c>
      <c r="B533" s="63" t="s">
        <v>854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855</v>
      </c>
      <c r="AG533" s="78"/>
      <c r="AJ533" s="84" t="s">
        <v>46</v>
      </c>
      <c r="AK533" s="84">
        <v>0</v>
      </c>
      <c r="BB533" s="63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76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858</v>
      </c>
      <c r="AG537" s="78"/>
      <c r="AJ537" s="84" t="s">
        <v>46</v>
      </c>
      <c r="AK537" s="84">
        <v>0</v>
      </c>
      <c r="BB537" s="63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85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861</v>
      </c>
      <c r="AG541" s="78"/>
      <c r="AJ541" s="84" t="s">
        <v>46</v>
      </c>
      <c r="AK541" s="84">
        <v>0</v>
      </c>
      <c r="BB541" s="64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174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862</v>
      </c>
      <c r="B545" s="63" t="s">
        <v>863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864</v>
      </c>
      <c r="AG545" s="78"/>
      <c r="AJ545" s="84" t="s">
        <v>46</v>
      </c>
      <c r="AK545" s="84">
        <v>0</v>
      </c>
      <c r="BB545" s="643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865</v>
      </c>
      <c r="B546" s="63" t="s">
        <v>866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867</v>
      </c>
      <c r="AG546" s="78"/>
      <c r="AJ546" s="84" t="s">
        <v>46</v>
      </c>
      <c r="AK546" s="84">
        <v>0</v>
      </c>
      <c r="BB546" s="645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868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156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869</v>
      </c>
      <c r="B551" s="63" t="s">
        <v>870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871</v>
      </c>
      <c r="AG551" s="78"/>
      <c r="AJ551" s="84" t="s">
        <v>46</v>
      </c>
      <c r="AK551" s="84">
        <v>0</v>
      </c>
      <c r="BB551" s="647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705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721.93333333333328</v>
      </c>
      <c r="Y555" s="43">
        <f>IFERROR(SUM(BN22:BN551),"0")</f>
        <v>727.09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746.93333333333328</v>
      </c>
      <c r="Y557" s="43">
        <f>GrossWeightTotalR+PalletQtyTotalR*25</f>
        <v>752.09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46.666666666666664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47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1.0222499999999999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8" t="s">
        <v>119</v>
      </c>
      <c r="E561" s="648" t="s">
        <v>119</v>
      </c>
      <c r="F561" s="648" t="s">
        <v>119</v>
      </c>
      <c r="G561" s="648" t="s">
        <v>119</v>
      </c>
      <c r="H561" s="648" t="s">
        <v>119</v>
      </c>
      <c r="I561" s="648" t="s">
        <v>119</v>
      </c>
      <c r="J561" s="648" t="s">
        <v>119</v>
      </c>
      <c r="K561" s="648" t="s">
        <v>343</v>
      </c>
      <c r="L561" s="648" t="s">
        <v>343</v>
      </c>
      <c r="M561" s="648" t="s">
        <v>343</v>
      </c>
      <c r="N561" s="649"/>
      <c r="O561" s="648" t="s">
        <v>343</v>
      </c>
      <c r="P561" s="648" t="s">
        <v>343</v>
      </c>
      <c r="Q561" s="648" t="s">
        <v>343</v>
      </c>
      <c r="R561" s="648" t="s">
        <v>343</v>
      </c>
      <c r="S561" s="648" t="s">
        <v>343</v>
      </c>
      <c r="T561" s="648" t="s">
        <v>343</v>
      </c>
      <c r="U561" s="648" t="s">
        <v>343</v>
      </c>
      <c r="V561" s="648" t="s">
        <v>343</v>
      </c>
      <c r="W561" s="648" t="s">
        <v>700</v>
      </c>
      <c r="X561" s="648" t="s">
        <v>700</v>
      </c>
      <c r="Y561" s="648" t="s">
        <v>766</v>
      </c>
      <c r="Z561" s="648" t="s">
        <v>766</v>
      </c>
      <c r="AA561" s="85" t="s">
        <v>802</v>
      </c>
      <c r="AB561" s="648" t="s">
        <v>849</v>
      </c>
      <c r="AC561" s="648" t="s">
        <v>849</v>
      </c>
      <c r="AF561" s="1"/>
    </row>
    <row r="562" spans="1:32" ht="14.25" customHeight="1" thickTop="1" x14ac:dyDescent="0.2">
      <c r="A562" s="650" t="s">
        <v>10</v>
      </c>
      <c r="B562" s="648" t="s">
        <v>75</v>
      </c>
      <c r="C562" s="648" t="s">
        <v>103</v>
      </c>
      <c r="D562" s="648" t="s">
        <v>120</v>
      </c>
      <c r="E562" s="648" t="s">
        <v>136</v>
      </c>
      <c r="F562" s="648" t="s">
        <v>182</v>
      </c>
      <c r="G562" s="648" t="s">
        <v>205</v>
      </c>
      <c r="H562" s="648" t="s">
        <v>249</v>
      </c>
      <c r="I562" s="648" t="s">
        <v>262</v>
      </c>
      <c r="J562" s="648" t="s">
        <v>119</v>
      </c>
      <c r="K562" s="648" t="s">
        <v>344</v>
      </c>
      <c r="L562" s="648" t="s">
        <v>365</v>
      </c>
      <c r="M562" s="648" t="s">
        <v>439</v>
      </c>
      <c r="N562" s="1"/>
      <c r="O562" s="648" t="s">
        <v>507</v>
      </c>
      <c r="P562" s="648" t="s">
        <v>536</v>
      </c>
      <c r="Q562" s="648" t="s">
        <v>557</v>
      </c>
      <c r="R562" s="648" t="s">
        <v>566</v>
      </c>
      <c r="S562" s="648" t="s">
        <v>587</v>
      </c>
      <c r="T562" s="648" t="s">
        <v>596</v>
      </c>
      <c r="U562" s="648" t="s">
        <v>683</v>
      </c>
      <c r="V562" s="648" t="s">
        <v>690</v>
      </c>
      <c r="W562" s="648" t="s">
        <v>701</v>
      </c>
      <c r="X562" s="648" t="s">
        <v>750</v>
      </c>
      <c r="Y562" s="648" t="s">
        <v>767</v>
      </c>
      <c r="Z562" s="648" t="s">
        <v>790</v>
      </c>
      <c r="AA562" s="648" t="s">
        <v>802</v>
      </c>
      <c r="AB562" s="648" t="s">
        <v>849</v>
      </c>
      <c r="AC562" s="648" t="s">
        <v>868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705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46,67"/>
        <filter val="700,00"/>
        <filter val="721,93"/>
        <filter val="746,93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4" spans="2:8" x14ac:dyDescent="0.2">
      <c r="B14" s="53" t="s">
        <v>896</v>
      </c>
      <c r="C14" s="53" t="s">
        <v>876</v>
      </c>
      <c r="D14" s="53" t="s">
        <v>46</v>
      </c>
      <c r="E14" s="53" t="s">
        <v>46</v>
      </c>
    </row>
    <row r="16" spans="2:8" x14ac:dyDescent="0.2">
      <c r="B16" s="53" t="s">
        <v>897</v>
      </c>
      <c r="C16" s="53" t="s">
        <v>879</v>
      </c>
      <c r="D16" s="53" t="s">
        <v>46</v>
      </c>
      <c r="E16" s="53" t="s">
        <v>46</v>
      </c>
    </row>
    <row r="18" spans="2:5" x14ac:dyDescent="0.2">
      <c r="B18" s="53" t="s">
        <v>898</v>
      </c>
      <c r="C18" s="53" t="s">
        <v>882</v>
      </c>
      <c r="D18" s="53" t="s">
        <v>46</v>
      </c>
      <c r="E18" s="53" t="s">
        <v>46</v>
      </c>
    </row>
    <row r="20" spans="2:5" x14ac:dyDescent="0.2">
      <c r="B20" s="53" t="s">
        <v>899</v>
      </c>
      <c r="C20" s="53" t="s">
        <v>885</v>
      </c>
      <c r="D20" s="53" t="s">
        <v>46</v>
      </c>
      <c r="E20" s="53" t="s">
        <v>46</v>
      </c>
    </row>
    <row r="22" spans="2:5" x14ac:dyDescent="0.2">
      <c r="B22" s="53" t="s">
        <v>900</v>
      </c>
      <c r="C22" s="53" t="s">
        <v>888</v>
      </c>
      <c r="D22" s="53" t="s">
        <v>46</v>
      </c>
      <c r="E22" s="53" t="s">
        <v>46</v>
      </c>
    </row>
    <row r="24" spans="2:5" x14ac:dyDescent="0.2">
      <c r="B24" s="53" t="s">
        <v>901</v>
      </c>
      <c r="C24" s="53" t="s">
        <v>891</v>
      </c>
      <c r="D24" s="53" t="s">
        <v>46</v>
      </c>
      <c r="E24" s="53" t="s">
        <v>46</v>
      </c>
    </row>
    <row r="26" spans="2:5" x14ac:dyDescent="0.2">
      <c r="B26" s="53" t="s">
        <v>902</v>
      </c>
      <c r="C26" s="53" t="s">
        <v>894</v>
      </c>
      <c r="D26" s="53" t="s">
        <v>46</v>
      </c>
      <c r="E26" s="53" t="s">
        <v>46</v>
      </c>
    </row>
    <row r="28" spans="2:5" x14ac:dyDescent="0.2">
      <c r="B28" s="53" t="s">
        <v>903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2026-09-18T06:33:21Z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