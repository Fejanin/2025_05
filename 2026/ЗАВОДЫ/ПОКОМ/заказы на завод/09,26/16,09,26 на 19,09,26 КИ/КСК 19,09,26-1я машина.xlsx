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A3A6A2E-E5DB-469D-A801-29AD06EC000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P536" i="2"/>
  <c r="X534" i="2"/>
  <c r="X533" i="2"/>
  <c r="BO532" i="2"/>
  <c r="BM532" i="2"/>
  <c r="Y532" i="2"/>
  <c r="P532" i="2"/>
  <c r="X528" i="2"/>
  <c r="X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BN524" i="2" s="1"/>
  <c r="P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P514" i="2"/>
  <c r="X512" i="2"/>
  <c r="X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BO503" i="2"/>
  <c r="BM503" i="2"/>
  <c r="Y503" i="2"/>
  <c r="BP503" i="2" s="1"/>
  <c r="P503" i="2"/>
  <c r="BO502" i="2"/>
  <c r="BM502" i="2"/>
  <c r="Y502" i="2"/>
  <c r="Z502" i="2" s="1"/>
  <c r="P502" i="2"/>
  <c r="X498" i="2"/>
  <c r="X497" i="2"/>
  <c r="BP496" i="2"/>
  <c r="BO496" i="2"/>
  <c r="BM496" i="2"/>
  <c r="Y496" i="2"/>
  <c r="P496" i="2"/>
  <c r="BO495" i="2"/>
  <c r="BM495" i="2"/>
  <c r="Y495" i="2"/>
  <c r="BP495" i="2" s="1"/>
  <c r="P495" i="2"/>
  <c r="BO494" i="2"/>
  <c r="BM494" i="2"/>
  <c r="Y494" i="2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P485" i="2"/>
  <c r="BO484" i="2"/>
  <c r="BM484" i="2"/>
  <c r="Y484" i="2"/>
  <c r="Z484" i="2" s="1"/>
  <c r="P484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P459" i="2" s="1"/>
  <c r="P459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Z448" i="2" s="1"/>
  <c r="P448" i="2"/>
  <c r="BO447" i="2"/>
  <c r="BM447" i="2"/>
  <c r="Y447" i="2"/>
  <c r="BP447" i="2" s="1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P441" i="2"/>
  <c r="BO440" i="2"/>
  <c r="BM440" i="2"/>
  <c r="Y440" i="2"/>
  <c r="P440" i="2"/>
  <c r="X438" i="2"/>
  <c r="X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P431" i="2" s="1"/>
  <c r="P431" i="2"/>
  <c r="BO430" i="2"/>
  <c r="BM430" i="2"/>
  <c r="Y430" i="2"/>
  <c r="P430" i="2"/>
  <c r="BO429" i="2"/>
  <c r="BM429" i="2"/>
  <c r="Y429" i="2"/>
  <c r="BP429" i="2" s="1"/>
  <c r="P429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BO421" i="2"/>
  <c r="BM421" i="2"/>
  <c r="Y421" i="2"/>
  <c r="BN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X412" i="2"/>
  <c r="X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BP408" i="2" s="1"/>
  <c r="P408" i="2"/>
  <c r="X406" i="2"/>
  <c r="X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BN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P395" i="2" s="1"/>
  <c r="P395" i="2"/>
  <c r="X393" i="2"/>
  <c r="X392" i="2"/>
  <c r="BO391" i="2"/>
  <c r="BM391" i="2"/>
  <c r="Y391" i="2"/>
  <c r="Z391" i="2" s="1"/>
  <c r="P391" i="2"/>
  <c r="BO390" i="2"/>
  <c r="BM390" i="2"/>
  <c r="Y390" i="2"/>
  <c r="P390" i="2"/>
  <c r="BO389" i="2"/>
  <c r="BM389" i="2"/>
  <c r="Y389" i="2"/>
  <c r="P389" i="2"/>
  <c r="X387" i="2"/>
  <c r="X386" i="2"/>
  <c r="BO385" i="2"/>
  <c r="BM385" i="2"/>
  <c r="Z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P382" i="2"/>
  <c r="X380" i="2"/>
  <c r="X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X370" i="2"/>
  <c r="X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Z356" i="2" s="1"/>
  <c r="P356" i="2"/>
  <c r="X353" i="2"/>
  <c r="X352" i="2"/>
  <c r="BO351" i="2"/>
  <c r="BM351" i="2"/>
  <c r="Y351" i="2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Z342" i="2" s="1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P335" i="2"/>
  <c r="X332" i="2"/>
  <c r="X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Z319" i="2" s="1"/>
  <c r="P319" i="2"/>
  <c r="X317" i="2"/>
  <c r="X316" i="2"/>
  <c r="BO315" i="2"/>
  <c r="BM315" i="2"/>
  <c r="Y315" i="2"/>
  <c r="Y316" i="2" s="1"/>
  <c r="P315" i="2"/>
  <c r="X313" i="2"/>
  <c r="X312" i="2"/>
  <c r="BO311" i="2"/>
  <c r="BM311" i="2"/>
  <c r="Y311" i="2"/>
  <c r="Z311" i="2" s="1"/>
  <c r="Z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P304" i="2"/>
  <c r="BO303" i="2"/>
  <c r="BM303" i="2"/>
  <c r="Y303" i="2"/>
  <c r="P303" i="2"/>
  <c r="BO302" i="2"/>
  <c r="BM302" i="2"/>
  <c r="Y302" i="2"/>
  <c r="Z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P283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P269" i="2"/>
  <c r="X267" i="2"/>
  <c r="X266" i="2"/>
  <c r="BO265" i="2"/>
  <c r="BM265" i="2"/>
  <c r="Y265" i="2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BN259" i="2" s="1"/>
  <c r="P259" i="2"/>
  <c r="X256" i="2"/>
  <c r="X255" i="2"/>
  <c r="BO254" i="2"/>
  <c r="BM254" i="2"/>
  <c r="Y254" i="2"/>
  <c r="P254" i="2"/>
  <c r="X252" i="2"/>
  <c r="X251" i="2"/>
  <c r="BO250" i="2"/>
  <c r="BM250" i="2"/>
  <c r="Y250" i="2"/>
  <c r="Z250" i="2" s="1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Z243" i="2" s="1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X216" i="2"/>
  <c r="X215" i="2"/>
  <c r="BO214" i="2"/>
  <c r="BM214" i="2"/>
  <c r="Y214" i="2"/>
  <c r="BN214" i="2" s="1"/>
  <c r="P214" i="2"/>
  <c r="X211" i="2"/>
  <c r="X210" i="2"/>
  <c r="BO209" i="2"/>
  <c r="BM209" i="2"/>
  <c r="Y209" i="2"/>
  <c r="Z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P203" i="2"/>
  <c r="X199" i="2"/>
  <c r="X198" i="2"/>
  <c r="BO197" i="2"/>
  <c r="BM197" i="2"/>
  <c r="Y197" i="2"/>
  <c r="Z197" i="2" s="1"/>
  <c r="Z198" i="2" s="1"/>
  <c r="P197" i="2"/>
  <c r="X195" i="2"/>
  <c r="X194" i="2"/>
  <c r="BO193" i="2"/>
  <c r="BM193" i="2"/>
  <c r="Y193" i="2"/>
  <c r="Y194" i="2" s="1"/>
  <c r="P193" i="2"/>
  <c r="X191" i="2"/>
  <c r="X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P187" i="2"/>
  <c r="X185" i="2"/>
  <c r="X184" i="2"/>
  <c r="BO183" i="2"/>
  <c r="BM183" i="2"/>
  <c r="Y183" i="2"/>
  <c r="BN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X170" i="2"/>
  <c r="X169" i="2"/>
  <c r="BO168" i="2"/>
  <c r="BM168" i="2"/>
  <c r="Y168" i="2"/>
  <c r="BP168" i="2" s="1"/>
  <c r="P168" i="2"/>
  <c r="BO167" i="2"/>
  <c r="BM167" i="2"/>
  <c r="Y167" i="2"/>
  <c r="P167" i="2"/>
  <c r="X165" i="2"/>
  <c r="X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N148" i="2" s="1"/>
  <c r="P148" i="2"/>
  <c r="BO147" i="2"/>
  <c r="BM147" i="2"/>
  <c r="Y147" i="2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P137" i="2"/>
  <c r="BO136" i="2"/>
  <c r="BM136" i="2"/>
  <c r="Y136" i="2"/>
  <c r="Z136" i="2" s="1"/>
  <c r="P136" i="2"/>
  <c r="X134" i="2"/>
  <c r="X133" i="2"/>
  <c r="BO132" i="2"/>
  <c r="BM132" i="2"/>
  <c r="Y132" i="2"/>
  <c r="P132" i="2"/>
  <c r="BO131" i="2"/>
  <c r="BM131" i="2"/>
  <c r="Y131" i="2"/>
  <c r="BP131" i="2" s="1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P112" i="2"/>
  <c r="BO111" i="2"/>
  <c r="BM111" i="2"/>
  <c r="Y111" i="2"/>
  <c r="Z111" i="2" s="1"/>
  <c r="P111" i="2"/>
  <c r="X109" i="2"/>
  <c r="X108" i="2"/>
  <c r="BO107" i="2"/>
  <c r="BM107" i="2"/>
  <c r="Y107" i="2"/>
  <c r="BN107" i="2" s="1"/>
  <c r="P107" i="2"/>
  <c r="BO106" i="2"/>
  <c r="BM106" i="2"/>
  <c r="Y106" i="2"/>
  <c r="BN106" i="2" s="1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Z95" i="2"/>
  <c r="Y95" i="2"/>
  <c r="BN95" i="2" s="1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BN88" i="2" s="1"/>
  <c r="P88" i="2"/>
  <c r="BO87" i="2"/>
  <c r="BM87" i="2"/>
  <c r="Y87" i="2"/>
  <c r="Z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BN80" i="2" s="1"/>
  <c r="P80" i="2"/>
  <c r="BO79" i="2"/>
  <c r="BM79" i="2"/>
  <c r="Y79" i="2"/>
  <c r="BP79" i="2" s="1"/>
  <c r="P79" i="2"/>
  <c r="BO78" i="2"/>
  <c r="BM78" i="2"/>
  <c r="Y78" i="2"/>
  <c r="BN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N72" i="2" s="1"/>
  <c r="P72" i="2"/>
  <c r="X70" i="2"/>
  <c r="X69" i="2"/>
  <c r="BO68" i="2"/>
  <c r="BM68" i="2"/>
  <c r="Y68" i="2"/>
  <c r="P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Z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67" i="2" l="1"/>
  <c r="BN131" i="2"/>
  <c r="BN478" i="2"/>
  <c r="BN521" i="2"/>
  <c r="BN57" i="2"/>
  <c r="BN554" i="2"/>
  <c r="BN240" i="2"/>
  <c r="BN168" i="2"/>
  <c r="Y153" i="2"/>
  <c r="BN59" i="2"/>
  <c r="Z208" i="2"/>
  <c r="Y392" i="2"/>
  <c r="Y518" i="2"/>
  <c r="BN508" i="2"/>
  <c r="BP504" i="2"/>
  <c r="BN453" i="2"/>
  <c r="BN442" i="2"/>
  <c r="BN307" i="2"/>
  <c r="BN273" i="2"/>
  <c r="Z238" i="2"/>
  <c r="BP238" i="2"/>
  <c r="BN223" i="2"/>
  <c r="BN209" i="2"/>
  <c r="BN204" i="2"/>
  <c r="BN161" i="2"/>
  <c r="BN156" i="2"/>
  <c r="BP95" i="2"/>
  <c r="BN30" i="2"/>
  <c r="BN228" i="2"/>
  <c r="BN250" i="2"/>
  <c r="Z78" i="2"/>
  <c r="Z282" i="2"/>
  <c r="BN391" i="2"/>
  <c r="BN447" i="2"/>
  <c r="Z522" i="2"/>
  <c r="BP514" i="2"/>
  <c r="BN49" i="2"/>
  <c r="Y542" i="2"/>
  <c r="BP524" i="2"/>
  <c r="Y517" i="2"/>
  <c r="BN509" i="2"/>
  <c r="BN503" i="2"/>
  <c r="BN495" i="2"/>
  <c r="Y491" i="2"/>
  <c r="BN490" i="2"/>
  <c r="BN484" i="2"/>
  <c r="Z478" i="2"/>
  <c r="BN476" i="2"/>
  <c r="Y471" i="2"/>
  <c r="BN459" i="2"/>
  <c r="Z447" i="2"/>
  <c r="BN434" i="2"/>
  <c r="Z434" i="2"/>
  <c r="Z422" i="2"/>
  <c r="BP422" i="2"/>
  <c r="Y417" i="2"/>
  <c r="BN416" i="2"/>
  <c r="Y418" i="2"/>
  <c r="Z403" i="2"/>
  <c r="BP403" i="2"/>
  <c r="BN396" i="2"/>
  <c r="BN385" i="2"/>
  <c r="BN373" i="2"/>
  <c r="BP366" i="2"/>
  <c r="BN365" i="2"/>
  <c r="Z365" i="2"/>
  <c r="BN364" i="2"/>
  <c r="BN319" i="2"/>
  <c r="Z306" i="2"/>
  <c r="BN306" i="2"/>
  <c r="BN302" i="2"/>
  <c r="BN291" i="2"/>
  <c r="Z291" i="2"/>
  <c r="Z284" i="2"/>
  <c r="BN243" i="2"/>
  <c r="Z228" i="2"/>
  <c r="Z226" i="2"/>
  <c r="Z223" i="2"/>
  <c r="BN219" i="2"/>
  <c r="Z204" i="2"/>
  <c r="Y198" i="2"/>
  <c r="BN197" i="2"/>
  <c r="Z193" i="2"/>
  <c r="Z194" i="2" s="1"/>
  <c r="BP183" i="2"/>
  <c r="Z183" i="2"/>
  <c r="Z180" i="2"/>
  <c r="BP180" i="2"/>
  <c r="BN178" i="2"/>
  <c r="Z176" i="2"/>
  <c r="BN163" i="2"/>
  <c r="BN152" i="2"/>
  <c r="Z152" i="2"/>
  <c r="BN151" i="2"/>
  <c r="Z148" i="2"/>
  <c r="BP147" i="2"/>
  <c r="BN142" i="2"/>
  <c r="Z119" i="2"/>
  <c r="BN113" i="2"/>
  <c r="BP111" i="2"/>
  <c r="BN104" i="2"/>
  <c r="Y109" i="2"/>
  <c r="BN87" i="2"/>
  <c r="Y52" i="2"/>
  <c r="Z40" i="2"/>
  <c r="X560" i="2"/>
  <c r="Z30" i="2"/>
  <c r="BN22" i="2"/>
  <c r="Y43" i="2"/>
  <c r="Z58" i="2"/>
  <c r="BP59" i="2"/>
  <c r="Z85" i="2"/>
  <c r="BN97" i="2"/>
  <c r="BN103" i="2"/>
  <c r="BN220" i="2"/>
  <c r="BP220" i="2"/>
  <c r="Z220" i="2"/>
  <c r="BP232" i="2"/>
  <c r="BN232" i="2"/>
  <c r="Z232" i="2"/>
  <c r="BP265" i="2"/>
  <c r="BN265" i="2"/>
  <c r="Z265" i="2"/>
  <c r="BP274" i="2"/>
  <c r="BN274" i="2"/>
  <c r="Z274" i="2"/>
  <c r="Z276" i="2"/>
  <c r="BN276" i="2"/>
  <c r="BP283" i="2"/>
  <c r="BN283" i="2"/>
  <c r="BP304" i="2"/>
  <c r="BN304" i="2"/>
  <c r="BP375" i="2"/>
  <c r="BN375" i="2"/>
  <c r="Z375" i="2"/>
  <c r="BP523" i="2"/>
  <c r="BN523" i="2"/>
  <c r="Z523" i="2"/>
  <c r="X559" i="2"/>
  <c r="Z27" i="2"/>
  <c r="BP27" i="2"/>
  <c r="BN29" i="2"/>
  <c r="Z31" i="2"/>
  <c r="BN39" i="2"/>
  <c r="BP40" i="2"/>
  <c r="BN41" i="2"/>
  <c r="BN48" i="2"/>
  <c r="Z57" i="2"/>
  <c r="BN65" i="2"/>
  <c r="BN73" i="2"/>
  <c r="Z74" i="2"/>
  <c r="BP74" i="2"/>
  <c r="BN79" i="2"/>
  <c r="BP88" i="2"/>
  <c r="BN96" i="2"/>
  <c r="Z96" i="2"/>
  <c r="Z98" i="2" s="1"/>
  <c r="BN239" i="2"/>
  <c r="Z239" i="2"/>
  <c r="Z286" i="2"/>
  <c r="BN286" i="2"/>
  <c r="BP329" i="2"/>
  <c r="BN329" i="2"/>
  <c r="Z329" i="2"/>
  <c r="BP477" i="2"/>
  <c r="BN477" i="2"/>
  <c r="Z477" i="2"/>
  <c r="Z496" i="2"/>
  <c r="BN496" i="2"/>
  <c r="Y551" i="2"/>
  <c r="BN548" i="2"/>
  <c r="BP548" i="2"/>
  <c r="Z548" i="2"/>
  <c r="BP97" i="2"/>
  <c r="BP103" i="2"/>
  <c r="BP106" i="2"/>
  <c r="Y127" i="2"/>
  <c r="BN126" i="2"/>
  <c r="BP126" i="2"/>
  <c r="Z126" i="2"/>
  <c r="Z127" i="2" s="1"/>
  <c r="BN132" i="2"/>
  <c r="BP132" i="2"/>
  <c r="Z132" i="2"/>
  <c r="BP181" i="2"/>
  <c r="BN181" i="2"/>
  <c r="Z181" i="2"/>
  <c r="BP242" i="2"/>
  <c r="BN242" i="2"/>
  <c r="Z242" i="2"/>
  <c r="BP260" i="2"/>
  <c r="BN260" i="2"/>
  <c r="Z271" i="2"/>
  <c r="BN271" i="2"/>
  <c r="BP290" i="2"/>
  <c r="BN290" i="2"/>
  <c r="BN344" i="2"/>
  <c r="BP344" i="2"/>
  <c r="Z344" i="2"/>
  <c r="BN507" i="2"/>
  <c r="BP507" i="2"/>
  <c r="Z507" i="2"/>
  <c r="Y537" i="2"/>
  <c r="BN536" i="2"/>
  <c r="Y538" i="2"/>
  <c r="BP536" i="2"/>
  <c r="Z536" i="2"/>
  <c r="Z537" i="2" s="1"/>
  <c r="BP29" i="2"/>
  <c r="BN31" i="2"/>
  <c r="BP37" i="2"/>
  <c r="Z39" i="2"/>
  <c r="BP41" i="2"/>
  <c r="BP48" i="2"/>
  <c r="Z60" i="2"/>
  <c r="BP85" i="2"/>
  <c r="BP89" i="2"/>
  <c r="Z89" i="2"/>
  <c r="Z106" i="2"/>
  <c r="Y128" i="2"/>
  <c r="BP205" i="2"/>
  <c r="Z205" i="2"/>
  <c r="Z230" i="2"/>
  <c r="BN230" i="2"/>
  <c r="Z296" i="2"/>
  <c r="BN296" i="2"/>
  <c r="BN320" i="2"/>
  <c r="Z320" i="2"/>
  <c r="BN358" i="2"/>
  <c r="BP358" i="2"/>
  <c r="Z358" i="2"/>
  <c r="BN479" i="2"/>
  <c r="BP479" i="2"/>
  <c r="BP136" i="2"/>
  <c r="Y158" i="2"/>
  <c r="Y184" i="2"/>
  <c r="BN175" i="2"/>
  <c r="BN207" i="2"/>
  <c r="BP208" i="2"/>
  <c r="BN225" i="2"/>
  <c r="BN231" i="2"/>
  <c r="BP240" i="2"/>
  <c r="BN241" i="2"/>
  <c r="BN248" i="2"/>
  <c r="BP250" i="2"/>
  <c r="BN275" i="2"/>
  <c r="BP281" i="2"/>
  <c r="BN285" i="2"/>
  <c r="BN295" i="2"/>
  <c r="Y322" i="2"/>
  <c r="BN328" i="2"/>
  <c r="BP330" i="2"/>
  <c r="BP336" i="2"/>
  <c r="BP342" i="2"/>
  <c r="Y369" i="2"/>
  <c r="Y370" i="2"/>
  <c r="BP376" i="2"/>
  <c r="BN398" i="2"/>
  <c r="Y399" i="2"/>
  <c r="BP402" i="2"/>
  <c r="BN429" i="2"/>
  <c r="BP432" i="2"/>
  <c r="BN436" i="2"/>
  <c r="BP448" i="2"/>
  <c r="Y498" i="2"/>
  <c r="BP113" i="2"/>
  <c r="Z121" i="2"/>
  <c r="Y144" i="2"/>
  <c r="Z142" i="2"/>
  <c r="Z150" i="2"/>
  <c r="Z156" i="2"/>
  <c r="Z157" i="2" s="1"/>
  <c r="Z163" i="2"/>
  <c r="BP178" i="2"/>
  <c r="BP197" i="2"/>
  <c r="BP229" i="2"/>
  <c r="BP243" i="2"/>
  <c r="BP289" i="2"/>
  <c r="Y297" i="2"/>
  <c r="BP302" i="2"/>
  <c r="BP319" i="2"/>
  <c r="BP367" i="2"/>
  <c r="BP442" i="2"/>
  <c r="Y450" i="2"/>
  <c r="Z453" i="2"/>
  <c r="Z459" i="2"/>
  <c r="Z495" i="2"/>
  <c r="Z503" i="2"/>
  <c r="Z509" i="2"/>
  <c r="Z554" i="2"/>
  <c r="BP554" i="2"/>
  <c r="BP87" i="2"/>
  <c r="BN136" i="2"/>
  <c r="Y138" i="2"/>
  <c r="Z141" i="2"/>
  <c r="BP141" i="2"/>
  <c r="Y143" i="2"/>
  <c r="BP148" i="2"/>
  <c r="Y157" i="2"/>
  <c r="BN174" i="2"/>
  <c r="Z175" i="2"/>
  <c r="Y199" i="2"/>
  <c r="Z207" i="2"/>
  <c r="BP209" i="2"/>
  <c r="Z225" i="2"/>
  <c r="Z229" i="2"/>
  <c r="Z231" i="2"/>
  <c r="Z248" i="2"/>
  <c r="Y266" i="2"/>
  <c r="Z272" i="2"/>
  <c r="Z275" i="2"/>
  <c r="BN281" i="2"/>
  <c r="Z285" i="2"/>
  <c r="Z289" i="2"/>
  <c r="Z295" i="2"/>
  <c r="BP307" i="2"/>
  <c r="Z315" i="2"/>
  <c r="Z316" i="2" s="1"/>
  <c r="Y323" i="2"/>
  <c r="BN327" i="2"/>
  <c r="Z328" i="2"/>
  <c r="BN336" i="2"/>
  <c r="BN342" i="2"/>
  <c r="BN363" i="2"/>
  <c r="Z367" i="2"/>
  <c r="BN383" i="2"/>
  <c r="Z384" i="2"/>
  <c r="BP391" i="2"/>
  <c r="BP396" i="2"/>
  <c r="BN397" i="2"/>
  <c r="Z398" i="2"/>
  <c r="Y400" i="2"/>
  <c r="Z429" i="2"/>
  <c r="BN432" i="2"/>
  <c r="Z436" i="2"/>
  <c r="BN448" i="2"/>
  <c r="Y470" i="2"/>
  <c r="BP484" i="2"/>
  <c r="BP490" i="2"/>
  <c r="Y492" i="2"/>
  <c r="BP508" i="2"/>
  <c r="BP94" i="2"/>
  <c r="BN94" i="2"/>
  <c r="Y267" i="2"/>
  <c r="BN86" i="2"/>
  <c r="Y92" i="2"/>
  <c r="BP115" i="2"/>
  <c r="BN115" i="2"/>
  <c r="Y256" i="2"/>
  <c r="Y255" i="2"/>
  <c r="BP254" i="2"/>
  <c r="Z254" i="2"/>
  <c r="Z255" i="2" s="1"/>
  <c r="Y465" i="2"/>
  <c r="Y464" i="2"/>
  <c r="BP463" i="2"/>
  <c r="BN463" i="2"/>
  <c r="Y546" i="2"/>
  <c r="Y545" i="2"/>
  <c r="BP544" i="2"/>
  <c r="BN544" i="2"/>
  <c r="Z544" i="2"/>
  <c r="Z545" i="2" s="1"/>
  <c r="BP112" i="2"/>
  <c r="Z112" i="2"/>
  <c r="Y278" i="2"/>
  <c r="BP269" i="2"/>
  <c r="Y308" i="2"/>
  <c r="Y339" i="2"/>
  <c r="BP335" i="2"/>
  <c r="Y338" i="2"/>
  <c r="BN335" i="2"/>
  <c r="Q568" i="2"/>
  <c r="Z377" i="2"/>
  <c r="Y393" i="2"/>
  <c r="BP389" i="2"/>
  <c r="Z409" i="2"/>
  <c r="Z463" i="2"/>
  <c r="Z464" i="2" s="1"/>
  <c r="BP510" i="2"/>
  <c r="BN510" i="2"/>
  <c r="BP38" i="2"/>
  <c r="BN38" i="2"/>
  <c r="BN60" i="2"/>
  <c r="BN66" i="2"/>
  <c r="Z66" i="2"/>
  <c r="I568" i="2"/>
  <c r="Z147" i="2"/>
  <c r="BN167" i="2"/>
  <c r="Z167" i="2"/>
  <c r="Y191" i="2"/>
  <c r="BP187" i="2"/>
  <c r="Y190" i="2"/>
  <c r="BN187" i="2"/>
  <c r="Z187" i="2"/>
  <c r="BN205" i="2"/>
  <c r="BN226" i="2"/>
  <c r="Z249" i="2"/>
  <c r="BN254" i="2"/>
  <c r="Z269" i="2"/>
  <c r="Z305" i="2"/>
  <c r="Z335" i="2"/>
  <c r="Z345" i="2"/>
  <c r="BP351" i="2"/>
  <c r="BN351" i="2"/>
  <c r="Z351" i="2"/>
  <c r="Z374" i="2"/>
  <c r="Z389" i="2"/>
  <c r="Y437" i="2"/>
  <c r="BP430" i="2"/>
  <c r="BN430" i="2"/>
  <c r="Z510" i="2"/>
  <c r="BN522" i="2"/>
  <c r="BN112" i="2"/>
  <c r="BN150" i="2"/>
  <c r="Z430" i="2"/>
  <c r="Y460" i="2"/>
  <c r="X568" i="2"/>
  <c r="BP458" i="2"/>
  <c r="Z72" i="2"/>
  <c r="Y75" i="2"/>
  <c r="Z80" i="2"/>
  <c r="BP86" i="2"/>
  <c r="Z104" i="2"/>
  <c r="Z107" i="2"/>
  <c r="BN147" i="2"/>
  <c r="Y154" i="2"/>
  <c r="BP162" i="2"/>
  <c r="BN162" i="2"/>
  <c r="BP179" i="2"/>
  <c r="Z179" i="2"/>
  <c r="BP182" i="2"/>
  <c r="BN182" i="2"/>
  <c r="Z241" i="2"/>
  <c r="Z264" i="2"/>
  <c r="Z266" i="2" s="1"/>
  <c r="BN269" i="2"/>
  <c r="BP272" i="2"/>
  <c r="Z287" i="2"/>
  <c r="BN305" i="2"/>
  <c r="BN345" i="2"/>
  <c r="BN374" i="2"/>
  <c r="BP377" i="2"/>
  <c r="BN389" i="2"/>
  <c r="BP409" i="2"/>
  <c r="Z458" i="2"/>
  <c r="Z23" i="2"/>
  <c r="Y62" i="2"/>
  <c r="E568" i="2"/>
  <c r="BP55" i="2"/>
  <c r="BP61" i="2"/>
  <c r="BN61" i="2"/>
  <c r="BP66" i="2"/>
  <c r="Y98" i="2"/>
  <c r="BN121" i="2"/>
  <c r="Z162" i="2"/>
  <c r="BP167" i="2"/>
  <c r="Z173" i="2"/>
  <c r="BN193" i="2"/>
  <c r="BP203" i="2"/>
  <c r="Z203" i="2"/>
  <c r="K568" i="2"/>
  <c r="BP206" i="2"/>
  <c r="BN206" i="2"/>
  <c r="Y233" i="2"/>
  <c r="BP224" i="2"/>
  <c r="Z224" i="2"/>
  <c r="BP227" i="2"/>
  <c r="BN227" i="2"/>
  <c r="Z244" i="2"/>
  <c r="BP249" i="2"/>
  <c r="BN284" i="2"/>
  <c r="Y312" i="2"/>
  <c r="BP311" i="2"/>
  <c r="BN311" i="2"/>
  <c r="Z423" i="2"/>
  <c r="Y438" i="2"/>
  <c r="BN326" i="2"/>
  <c r="Y332" i="2"/>
  <c r="Z326" i="2"/>
  <c r="P568" i="2"/>
  <c r="Y405" i="2"/>
  <c r="BP404" i="2"/>
  <c r="BN404" i="2"/>
  <c r="BN458" i="2"/>
  <c r="Z86" i="2"/>
  <c r="BN23" i="2"/>
  <c r="Y76" i="2"/>
  <c r="BP80" i="2"/>
  <c r="BP107" i="2"/>
  <c r="Y117" i="2"/>
  <c r="BN173" i="2"/>
  <c r="Z188" i="2"/>
  <c r="BP193" i="2"/>
  <c r="BN203" i="2"/>
  <c r="Z221" i="2"/>
  <c r="BN224" i="2"/>
  <c r="Y234" i="2"/>
  <c r="Y262" i="2"/>
  <c r="Y261" i="2"/>
  <c r="M568" i="2"/>
  <c r="BP270" i="2"/>
  <c r="BN270" i="2"/>
  <c r="BP287" i="2"/>
  <c r="Y347" i="2"/>
  <c r="BP346" i="2"/>
  <c r="BN346" i="2"/>
  <c r="Y353" i="2"/>
  <c r="BP390" i="2"/>
  <c r="Z390" i="2"/>
  <c r="BN390" i="2"/>
  <c r="Z404" i="2"/>
  <c r="BN423" i="2"/>
  <c r="Y444" i="2"/>
  <c r="BP440" i="2"/>
  <c r="Y443" i="2"/>
  <c r="BN440" i="2"/>
  <c r="Y455" i="2"/>
  <c r="Y454" i="2"/>
  <c r="BP452" i="2"/>
  <c r="Y568" i="2"/>
  <c r="Y482" i="2"/>
  <c r="Y481" i="2"/>
  <c r="BP475" i="2"/>
  <c r="BN475" i="2"/>
  <c r="Z475" i="2"/>
  <c r="Y42" i="2"/>
  <c r="Z49" i="2"/>
  <c r="BN55" i="2"/>
  <c r="BN58" i="2"/>
  <c r="Z67" i="2"/>
  <c r="BP72" i="2"/>
  <c r="Y99" i="2"/>
  <c r="H568" i="2"/>
  <c r="Z168" i="2"/>
  <c r="BN176" i="2"/>
  <c r="BN218" i="2"/>
  <c r="BP244" i="2"/>
  <c r="Z259" i="2"/>
  <c r="BP264" i="2"/>
  <c r="Z270" i="2"/>
  <c r="Z346" i="2"/>
  <c r="BN384" i="2"/>
  <c r="Z440" i="2"/>
  <c r="Z452" i="2"/>
  <c r="BP505" i="2"/>
  <c r="BN505" i="2"/>
  <c r="Y527" i="2"/>
  <c r="BP520" i="2"/>
  <c r="BN520" i="2"/>
  <c r="Z520" i="2"/>
  <c r="Z28" i="2"/>
  <c r="Y32" i="2"/>
  <c r="Y82" i="2"/>
  <c r="BN90" i="2"/>
  <c r="BP105" i="2"/>
  <c r="BN105" i="2"/>
  <c r="Y124" i="2"/>
  <c r="Y123" i="2"/>
  <c r="BP119" i="2"/>
  <c r="BP122" i="2"/>
  <c r="Z122" i="2"/>
  <c r="BP173" i="2"/>
  <c r="BN188" i="2"/>
  <c r="BN221" i="2"/>
  <c r="Y246" i="2"/>
  <c r="Y245" i="2"/>
  <c r="BP236" i="2"/>
  <c r="BN303" i="2"/>
  <c r="Z303" i="2"/>
  <c r="BP326" i="2"/>
  <c r="Y360" i="2"/>
  <c r="S568" i="2"/>
  <c r="Y359" i="2"/>
  <c r="BN356" i="2"/>
  <c r="AA568" i="2"/>
  <c r="Y512" i="2"/>
  <c r="Y511" i="2"/>
  <c r="BP502" i="2"/>
  <c r="Z505" i="2"/>
  <c r="Y528" i="2"/>
  <c r="BP28" i="2"/>
  <c r="Y195" i="2"/>
  <c r="BP218" i="2"/>
  <c r="Y379" i="2"/>
  <c r="BP372" i="2"/>
  <c r="BN372" i="2"/>
  <c r="Z372" i="2"/>
  <c r="Y425" i="2"/>
  <c r="Y424" i="2"/>
  <c r="BN452" i="2"/>
  <c r="Y487" i="2"/>
  <c r="Y486" i="2"/>
  <c r="BP485" i="2"/>
  <c r="BN485" i="2"/>
  <c r="Z485" i="2"/>
  <c r="Z486" i="2" s="1"/>
  <c r="X562" i="2"/>
  <c r="G568" i="2"/>
  <c r="Y108" i="2"/>
  <c r="BP102" i="2"/>
  <c r="Z102" i="2"/>
  <c r="F10" i="2"/>
  <c r="A10" i="2"/>
  <c r="F9" i="2"/>
  <c r="X558" i="2"/>
  <c r="Y33" i="2"/>
  <c r="BN56" i="2"/>
  <c r="Z56" i="2"/>
  <c r="F568" i="2"/>
  <c r="BP90" i="2"/>
  <c r="BN122" i="2"/>
  <c r="BP177" i="2"/>
  <c r="BN177" i="2"/>
  <c r="Z177" i="2"/>
  <c r="Y210" i="2"/>
  <c r="Y313" i="2"/>
  <c r="Y406" i="2"/>
  <c r="Z435" i="2"/>
  <c r="AB568" i="2"/>
  <c r="Y534" i="2"/>
  <c r="Y533" i="2"/>
  <c r="BP532" i="2"/>
  <c r="BN532" i="2"/>
  <c r="Z532" i="2"/>
  <c r="Z533" i="2" s="1"/>
  <c r="BN102" i="2"/>
  <c r="Y139" i="2"/>
  <c r="BP137" i="2"/>
  <c r="BP222" i="2"/>
  <c r="BN222" i="2"/>
  <c r="Z222" i="2"/>
  <c r="BN236" i="2"/>
  <c r="BP259" i="2"/>
  <c r="Y277" i="2"/>
  <c r="BP303" i="2"/>
  <c r="BN337" i="2"/>
  <c r="Z337" i="2"/>
  <c r="Y380" i="2"/>
  <c r="Y412" i="2"/>
  <c r="BP441" i="2"/>
  <c r="BN441" i="2"/>
  <c r="Z441" i="2"/>
  <c r="BP468" i="2"/>
  <c r="BN468" i="2"/>
  <c r="BN502" i="2"/>
  <c r="C568" i="2"/>
  <c r="Y51" i="2"/>
  <c r="BP47" i="2"/>
  <c r="D568" i="2"/>
  <c r="Z88" i="2"/>
  <c r="Y91" i="2"/>
  <c r="Z114" i="2"/>
  <c r="Z137" i="2"/>
  <c r="Z138" i="2" s="1"/>
  <c r="BP189" i="2"/>
  <c r="Z189" i="2"/>
  <c r="BP239" i="2"/>
  <c r="Y251" i="2"/>
  <c r="BP282" i="2"/>
  <c r="Y317" i="2"/>
  <c r="BP315" i="2"/>
  <c r="BN315" i="2"/>
  <c r="BP320" i="2"/>
  <c r="Y348" i="2"/>
  <c r="BP356" i="2"/>
  <c r="Y411" i="2"/>
  <c r="W568" i="2"/>
  <c r="BN435" i="2"/>
  <c r="Z468" i="2"/>
  <c r="BP515" i="2"/>
  <c r="BN515" i="2"/>
  <c r="Y63" i="2"/>
  <c r="Y116" i="2"/>
  <c r="J9" i="2"/>
  <c r="Z37" i="2"/>
  <c r="Z47" i="2"/>
  <c r="BP50" i="2"/>
  <c r="BN50" i="2"/>
  <c r="Y70" i="2"/>
  <c r="Y69" i="2"/>
  <c r="BP65" i="2"/>
  <c r="BP68" i="2"/>
  <c r="Z68" i="2"/>
  <c r="Y134" i="2"/>
  <c r="Y133" i="2"/>
  <c r="Y169" i="2"/>
  <c r="Y211" i="2"/>
  <c r="Y292" i="2"/>
  <c r="Y387" i="2"/>
  <c r="Y386" i="2"/>
  <c r="BP382" i="2"/>
  <c r="BN382" i="2"/>
  <c r="Z382" i="2"/>
  <c r="BP415" i="2"/>
  <c r="U568" i="2"/>
  <c r="BN415" i="2"/>
  <c r="Z415" i="2"/>
  <c r="Z515" i="2"/>
  <c r="BN120" i="2"/>
  <c r="Z120" i="2"/>
  <c r="BN137" i="2"/>
  <c r="BP237" i="2"/>
  <c r="BN237" i="2"/>
  <c r="Y331" i="2"/>
  <c r="BP337" i="2"/>
  <c r="Y352" i="2"/>
  <c r="BP350" i="2"/>
  <c r="BN350" i="2"/>
  <c r="BP480" i="2"/>
  <c r="BN480" i="2"/>
  <c r="Z79" i="2"/>
  <c r="Y81" i="2"/>
  <c r="BN111" i="2"/>
  <c r="BN114" i="2"/>
  <c r="Z22" i="2"/>
  <c r="Y25" i="2"/>
  <c r="Y24" i="2"/>
  <c r="B568" i="2"/>
  <c r="BN37" i="2"/>
  <c r="BN47" i="2"/>
  <c r="BN68" i="2"/>
  <c r="J568" i="2"/>
  <c r="Y165" i="2"/>
  <c r="BP161" i="2"/>
  <c r="Y164" i="2"/>
  <c r="Y170" i="2"/>
  <c r="Y216" i="2"/>
  <c r="Y215" i="2"/>
  <c r="BP214" i="2"/>
  <c r="Z214" i="2"/>
  <c r="Z215" i="2" s="1"/>
  <c r="L568" i="2"/>
  <c r="Z237" i="2"/>
  <c r="Y252" i="2"/>
  <c r="BP280" i="2"/>
  <c r="BN280" i="2"/>
  <c r="Y293" i="2"/>
  <c r="BP301" i="2"/>
  <c r="BN301" i="2"/>
  <c r="Y309" i="2"/>
  <c r="O568" i="2"/>
  <c r="Z350" i="2"/>
  <c r="Z364" i="2"/>
  <c r="Y461" i="2"/>
  <c r="Z480" i="2"/>
  <c r="BP525" i="2"/>
  <c r="BN525" i="2"/>
  <c r="Z343" i="2"/>
  <c r="Z397" i="2"/>
  <c r="Z421" i="2"/>
  <c r="Z433" i="2"/>
  <c r="Z549" i="2"/>
  <c r="Z555" i="2"/>
  <c r="R568" i="2"/>
  <c r="Y298" i="2"/>
  <c r="Z73" i="2"/>
  <c r="Z151" i="2"/>
  <c r="Z174" i="2"/>
  <c r="Y185" i="2"/>
  <c r="Z219" i="2"/>
  <c r="Z260" i="2"/>
  <c r="Z290" i="2"/>
  <c r="Z402" i="2"/>
  <c r="BN433" i="2"/>
  <c r="BN549" i="2"/>
  <c r="BN555" i="2"/>
  <c r="T568" i="2"/>
  <c r="BP343" i="2"/>
  <c r="Z395" i="2"/>
  <c r="BP421" i="2"/>
  <c r="Z431" i="2"/>
  <c r="V568" i="2"/>
  <c r="Z149" i="2"/>
  <c r="Z172" i="2"/>
  <c r="Z288" i="2"/>
  <c r="Z321" i="2"/>
  <c r="Z357" i="2"/>
  <c r="Z368" i="2"/>
  <c r="Z378" i="2"/>
  <c r="Z410" i="2"/>
  <c r="Z446" i="2"/>
  <c r="Z469" i="2"/>
  <c r="Z494" i="2"/>
  <c r="Z506" i="2"/>
  <c r="Z516" i="2"/>
  <c r="Z526" i="2"/>
  <c r="Z540" i="2"/>
  <c r="Z541" i="2" s="1"/>
  <c r="Z273" i="2"/>
  <c r="Z283" i="2"/>
  <c r="Z304" i="2"/>
  <c r="Z327" i="2"/>
  <c r="Z363" i="2"/>
  <c r="Z373" i="2"/>
  <c r="Z383" i="2"/>
  <c r="BN395" i="2"/>
  <c r="Z416" i="2"/>
  <c r="BN431" i="2"/>
  <c r="Z476" i="2"/>
  <c r="Z521" i="2"/>
  <c r="Y550" i="2"/>
  <c r="Y556" i="2"/>
  <c r="BP78" i="2"/>
  <c r="Z131" i="2"/>
  <c r="BN149" i="2"/>
  <c r="BN172" i="2"/>
  <c r="BN288" i="2"/>
  <c r="BN321" i="2"/>
  <c r="BN357" i="2"/>
  <c r="BN368" i="2"/>
  <c r="BN378" i="2"/>
  <c r="BN410" i="2"/>
  <c r="BN446" i="2"/>
  <c r="Y449" i="2"/>
  <c r="BN469" i="2"/>
  <c r="BN494" i="2"/>
  <c r="Y497" i="2"/>
  <c r="BN506" i="2"/>
  <c r="BN516" i="2"/>
  <c r="BN526" i="2"/>
  <c r="BN540" i="2"/>
  <c r="Z568" i="2"/>
  <c r="Z330" i="2"/>
  <c r="Z366" i="2"/>
  <c r="Z376" i="2"/>
  <c r="Z408" i="2"/>
  <c r="BP446" i="2"/>
  <c r="Z467" i="2"/>
  <c r="Z479" i="2"/>
  <c r="BP494" i="2"/>
  <c r="Z504" i="2"/>
  <c r="Z514" i="2"/>
  <c r="Z524" i="2"/>
  <c r="BP540" i="2"/>
  <c r="Y557" i="2"/>
  <c r="BP363" i="2"/>
  <c r="BN408" i="2"/>
  <c r="BN467" i="2"/>
  <c r="BN514" i="2"/>
  <c r="Z454" i="2" l="1"/>
  <c r="Z143" i="2"/>
  <c r="Z133" i="2"/>
  <c r="Z108" i="2"/>
  <c r="Z322" i="2"/>
  <c r="Z449" i="2"/>
  <c r="Z251" i="2"/>
  <c r="Z164" i="2"/>
  <c r="Z62" i="2"/>
  <c r="Z24" i="2"/>
  <c r="Z297" i="2"/>
  <c r="Z556" i="2"/>
  <c r="Z511" i="2"/>
  <c r="Z443" i="2"/>
  <c r="Z437" i="2"/>
  <c r="Z417" i="2"/>
  <c r="Z411" i="2"/>
  <c r="Z399" i="2"/>
  <c r="Z359" i="2"/>
  <c r="Z245" i="2"/>
  <c r="Z123" i="2"/>
  <c r="X561" i="2"/>
  <c r="Z42" i="2"/>
  <c r="Z32" i="2"/>
  <c r="Z261" i="2"/>
  <c r="Y559" i="2"/>
  <c r="Z81" i="2"/>
  <c r="Z338" i="2"/>
  <c r="Z69" i="2"/>
  <c r="Z116" i="2"/>
  <c r="Z292" i="2"/>
  <c r="Z369" i="2"/>
  <c r="Z550" i="2"/>
  <c r="Z347" i="2"/>
  <c r="Z233" i="2"/>
  <c r="Y560" i="2"/>
  <c r="Z308" i="2"/>
  <c r="Z91" i="2"/>
  <c r="Z460" i="2"/>
  <c r="Z497" i="2"/>
  <c r="Z210" i="2"/>
  <c r="Z153" i="2"/>
  <c r="Z75" i="2"/>
  <c r="Z481" i="2"/>
  <c r="Z277" i="2"/>
  <c r="Z184" i="2"/>
  <c r="Y558" i="2"/>
  <c r="Z424" i="2"/>
  <c r="Z470" i="2"/>
  <c r="Z379" i="2"/>
  <c r="Z51" i="2"/>
  <c r="Z190" i="2"/>
  <c r="Z386" i="2"/>
  <c r="Z405" i="2"/>
  <c r="Z527" i="2"/>
  <c r="Z331" i="2"/>
  <c r="Y562" i="2"/>
  <c r="Z392" i="2"/>
  <c r="Z169" i="2"/>
  <c r="Z352" i="2"/>
  <c r="Z517" i="2"/>
  <c r="Z563" i="2" l="1"/>
  <c r="Y561" i="2"/>
</calcChain>
</file>

<file path=xl/sharedStrings.xml><?xml version="1.0" encoding="utf-8"?>
<sst xmlns="http://schemas.openxmlformats.org/spreadsheetml/2006/main" count="4275" uniqueCount="895">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</sst>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0" t="s">
        <v>26</v>
      </c>
      <c r="E1" s="650"/>
      <c r="F1" s="650"/>
      <c r="G1" s="14" t="s">
        <v>67</v>
      </c>
      <c r="H1" s="650" t="s">
        <v>47</v>
      </c>
      <c r="I1" s="650"/>
      <c r="J1" s="650"/>
      <c r="K1" s="650"/>
      <c r="L1" s="650"/>
      <c r="M1" s="650"/>
      <c r="N1" s="650"/>
      <c r="O1" s="650"/>
      <c r="P1" s="650"/>
      <c r="Q1" s="650"/>
      <c r="R1" s="651" t="s">
        <v>68</v>
      </c>
      <c r="S1" s="652"/>
      <c r="T1" s="6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3"/>
      <c r="R2" s="653"/>
      <c r="S2" s="653"/>
      <c r="T2" s="653"/>
      <c r="U2" s="653"/>
      <c r="V2" s="653"/>
      <c r="W2" s="6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3"/>
      <c r="Q3" s="653"/>
      <c r="R3" s="653"/>
      <c r="S3" s="653"/>
      <c r="T3" s="653"/>
      <c r="U3" s="653"/>
      <c r="V3" s="653"/>
      <c r="W3" s="6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4" t="s">
        <v>8</v>
      </c>
      <c r="B5" s="654"/>
      <c r="C5" s="654"/>
      <c r="D5" s="655"/>
      <c r="E5" s="655"/>
      <c r="F5" s="656" t="s">
        <v>14</v>
      </c>
      <c r="G5" s="656"/>
      <c r="H5" s="655" t="s">
        <v>894</v>
      </c>
      <c r="I5" s="655"/>
      <c r="J5" s="655"/>
      <c r="K5" s="655"/>
      <c r="L5" s="655"/>
      <c r="M5" s="655"/>
      <c r="N5" s="72"/>
      <c r="P5" s="27" t="s">
        <v>4</v>
      </c>
      <c r="Q5" s="657">
        <v>46284</v>
      </c>
      <c r="R5" s="657"/>
      <c r="T5" s="658" t="s">
        <v>3</v>
      </c>
      <c r="U5" s="659"/>
      <c r="V5" s="660" t="s">
        <v>875</v>
      </c>
      <c r="W5" s="661"/>
      <c r="AB5" s="59"/>
      <c r="AC5" s="59"/>
      <c r="AD5" s="59"/>
      <c r="AE5" s="59"/>
    </row>
    <row r="6" spans="1:32" s="17" customFormat="1" ht="24" customHeight="1" x14ac:dyDescent="0.2">
      <c r="A6" s="654" t="s">
        <v>1</v>
      </c>
      <c r="B6" s="654"/>
      <c r="C6" s="654"/>
      <c r="D6" s="662" t="s">
        <v>876</v>
      </c>
      <c r="E6" s="662"/>
      <c r="F6" s="662"/>
      <c r="G6" s="662"/>
      <c r="H6" s="662"/>
      <c r="I6" s="662"/>
      <c r="J6" s="662"/>
      <c r="K6" s="662"/>
      <c r="L6" s="662"/>
      <c r="M6" s="662"/>
      <c r="N6" s="73"/>
      <c r="P6" s="27" t="s">
        <v>27</v>
      </c>
      <c r="Q6" s="663" t="str">
        <f>IF(Q5=0," ",CHOOSE(WEEKDAY(Q5,2),"Понедельник","Вторник","Среда","Четверг","Пятница","Суббота","Воскресенье"))</f>
        <v>Суббота</v>
      </c>
      <c r="R6" s="663"/>
      <c r="T6" s="664" t="s">
        <v>5</v>
      </c>
      <c r="U6" s="665"/>
      <c r="V6" s="666" t="s">
        <v>70</v>
      </c>
      <c r="W6" s="6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2" t="str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74"/>
      <c r="P7" s="29"/>
      <c r="Q7" s="48"/>
      <c r="R7" s="48"/>
      <c r="T7" s="664"/>
      <c r="U7" s="665"/>
      <c r="V7" s="668"/>
      <c r="W7" s="669"/>
      <c r="AB7" s="59"/>
      <c r="AC7" s="59"/>
      <c r="AD7" s="59"/>
      <c r="AE7" s="59"/>
    </row>
    <row r="8" spans="1:32" s="17" customFormat="1" ht="25.5" customHeight="1" x14ac:dyDescent="0.2">
      <c r="A8" s="675" t="s">
        <v>58</v>
      </c>
      <c r="B8" s="675"/>
      <c r="C8" s="675"/>
      <c r="D8" s="676"/>
      <c r="E8" s="676"/>
      <c r="F8" s="676"/>
      <c r="G8" s="676"/>
      <c r="H8" s="676"/>
      <c r="I8" s="676"/>
      <c r="J8" s="676"/>
      <c r="K8" s="676"/>
      <c r="L8" s="676"/>
      <c r="M8" s="676"/>
      <c r="N8" s="75"/>
      <c r="P8" s="27" t="s">
        <v>11</v>
      </c>
      <c r="Q8" s="677">
        <v>4.1666666666666664E-2</v>
      </c>
      <c r="R8" s="677"/>
      <c r="T8" s="664"/>
      <c r="U8" s="665"/>
      <c r="V8" s="668"/>
      <c r="W8" s="669"/>
      <c r="AB8" s="59"/>
      <c r="AC8" s="59"/>
      <c r="AD8" s="59"/>
      <c r="AE8" s="59"/>
    </row>
    <row r="9" spans="1:32" s="17" customFormat="1" ht="39.950000000000003" customHeight="1" x14ac:dyDescent="0.2">
      <c r="A9" s="6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8"/>
      <c r="C9" s="678"/>
      <c r="D9" s="679" t="s">
        <v>46</v>
      </c>
      <c r="E9" s="680"/>
      <c r="F9" s="6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8"/>
      <c r="H9" s="681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70"/>
      <c r="P9" s="31" t="s">
        <v>15</v>
      </c>
      <c r="Q9" s="682"/>
      <c r="R9" s="682"/>
      <c r="T9" s="664"/>
      <c r="U9" s="665"/>
      <c r="V9" s="670"/>
      <c r="W9" s="6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8"/>
      <c r="C10" s="678"/>
      <c r="D10" s="679"/>
      <c r="E10" s="680"/>
      <c r="F10" s="6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8"/>
      <c r="H10" s="683" t="str">
        <f>IFERROR(VLOOKUP($D$10,Proxy,2,FALSE),"")</f>
        <v/>
      </c>
      <c r="I10" s="683"/>
      <c r="J10" s="683"/>
      <c r="K10" s="683"/>
      <c r="L10" s="683"/>
      <c r="M10" s="683"/>
      <c r="N10" s="71"/>
      <c r="P10" s="31" t="s">
        <v>32</v>
      </c>
      <c r="Q10" s="684"/>
      <c r="R10" s="684"/>
      <c r="U10" s="29" t="s">
        <v>12</v>
      </c>
      <c r="V10" s="685" t="s">
        <v>71</v>
      </c>
      <c r="W10" s="6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7"/>
      <c r="R11" s="687"/>
      <c r="U11" s="29" t="s">
        <v>28</v>
      </c>
      <c r="V11" s="688" t="s">
        <v>55</v>
      </c>
      <c r="W11" s="6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9" t="s">
        <v>72</v>
      </c>
      <c r="B12" s="689"/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76"/>
      <c r="P12" s="27" t="s">
        <v>30</v>
      </c>
      <c r="Q12" s="677"/>
      <c r="R12" s="677"/>
      <c r="S12" s="28"/>
      <c r="T12"/>
      <c r="U12" s="29" t="s">
        <v>46</v>
      </c>
      <c r="V12" s="690"/>
      <c r="W12" s="690"/>
      <c r="X12"/>
      <c r="AB12" s="59"/>
      <c r="AC12" s="59"/>
      <c r="AD12" s="59"/>
      <c r="AE12" s="59"/>
    </row>
    <row r="13" spans="1:32" s="17" customFormat="1" ht="23.25" customHeight="1" x14ac:dyDescent="0.2">
      <c r="A13" s="689" t="s">
        <v>73</v>
      </c>
      <c r="B13" s="689"/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76"/>
      <c r="O13" s="31"/>
      <c r="P13" s="31" t="s">
        <v>31</v>
      </c>
      <c r="Q13" s="688"/>
      <c r="R13" s="6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9" t="s">
        <v>74</v>
      </c>
      <c r="B14" s="689"/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1" t="s">
        <v>75</v>
      </c>
      <c r="B15" s="691"/>
      <c r="C15" s="691"/>
      <c r="D15" s="691"/>
      <c r="E15" s="691"/>
      <c r="F15" s="691"/>
      <c r="G15" s="691"/>
      <c r="H15" s="691"/>
      <c r="I15" s="691"/>
      <c r="J15" s="691"/>
      <c r="K15" s="691"/>
      <c r="L15" s="691"/>
      <c r="M15" s="691"/>
      <c r="N15" s="77"/>
      <c r="O15"/>
      <c r="P15" s="692" t="s">
        <v>61</v>
      </c>
      <c r="Q15" s="692"/>
      <c r="R15" s="692"/>
      <c r="S15" s="692"/>
      <c r="T15" s="6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3"/>
      <c r="Q16" s="693"/>
      <c r="R16" s="693"/>
      <c r="S16" s="693"/>
      <c r="T16" s="6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6" t="s">
        <v>59</v>
      </c>
      <c r="B17" s="696" t="s">
        <v>49</v>
      </c>
      <c r="C17" s="698" t="s">
        <v>48</v>
      </c>
      <c r="D17" s="700" t="s">
        <v>50</v>
      </c>
      <c r="E17" s="701"/>
      <c r="F17" s="696" t="s">
        <v>21</v>
      </c>
      <c r="G17" s="696" t="s">
        <v>24</v>
      </c>
      <c r="H17" s="696" t="s">
        <v>22</v>
      </c>
      <c r="I17" s="696" t="s">
        <v>23</v>
      </c>
      <c r="J17" s="696" t="s">
        <v>16</v>
      </c>
      <c r="K17" s="696" t="s">
        <v>66</v>
      </c>
      <c r="L17" s="696" t="s">
        <v>64</v>
      </c>
      <c r="M17" s="696" t="s">
        <v>2</v>
      </c>
      <c r="N17" s="696" t="s">
        <v>63</v>
      </c>
      <c r="O17" s="696" t="s">
        <v>25</v>
      </c>
      <c r="P17" s="700" t="s">
        <v>17</v>
      </c>
      <c r="Q17" s="704"/>
      <c r="R17" s="704"/>
      <c r="S17" s="704"/>
      <c r="T17" s="701"/>
      <c r="U17" s="694" t="s">
        <v>56</v>
      </c>
      <c r="V17" s="695"/>
      <c r="W17" s="696" t="s">
        <v>6</v>
      </c>
      <c r="X17" s="696" t="s">
        <v>41</v>
      </c>
      <c r="Y17" s="706" t="s">
        <v>54</v>
      </c>
      <c r="Z17" s="708" t="s">
        <v>18</v>
      </c>
      <c r="AA17" s="710" t="s">
        <v>60</v>
      </c>
      <c r="AB17" s="710" t="s">
        <v>19</v>
      </c>
      <c r="AC17" s="710" t="s">
        <v>65</v>
      </c>
      <c r="AD17" s="712" t="s">
        <v>57</v>
      </c>
      <c r="AE17" s="713"/>
      <c r="AF17" s="714"/>
      <c r="AG17" s="82"/>
      <c r="BD17" s="81" t="s">
        <v>62</v>
      </c>
    </row>
    <row r="18" spans="1:68" ht="14.25" customHeight="1" x14ac:dyDescent="0.2">
      <c r="A18" s="697"/>
      <c r="B18" s="697"/>
      <c r="C18" s="699"/>
      <c r="D18" s="702"/>
      <c r="E18" s="703"/>
      <c r="F18" s="697"/>
      <c r="G18" s="697"/>
      <c r="H18" s="697"/>
      <c r="I18" s="697"/>
      <c r="J18" s="697"/>
      <c r="K18" s="697"/>
      <c r="L18" s="697"/>
      <c r="M18" s="697"/>
      <c r="N18" s="697"/>
      <c r="O18" s="697"/>
      <c r="P18" s="702"/>
      <c r="Q18" s="705"/>
      <c r="R18" s="705"/>
      <c r="S18" s="705"/>
      <c r="T18" s="703"/>
      <c r="U18" s="83" t="s">
        <v>44</v>
      </c>
      <c r="V18" s="83" t="s">
        <v>43</v>
      </c>
      <c r="W18" s="697"/>
      <c r="X18" s="697"/>
      <c r="Y18" s="707"/>
      <c r="Z18" s="709"/>
      <c r="AA18" s="711"/>
      <c r="AB18" s="711"/>
      <c r="AC18" s="711"/>
      <c r="AD18" s="715"/>
      <c r="AE18" s="716"/>
      <c r="AF18" s="717"/>
      <c r="AG18" s="82"/>
      <c r="BD18" s="81"/>
    </row>
    <row r="19" spans="1:68" ht="27.75" hidden="1" customHeight="1" x14ac:dyDescent="0.2">
      <c r="A19" s="718" t="s">
        <v>76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4"/>
      <c r="AB19" s="54"/>
      <c r="AC19" s="54"/>
    </row>
    <row r="20" spans="1:68" ht="16.5" hidden="1" customHeight="1" x14ac:dyDescent="0.25">
      <c r="A20" s="719" t="s">
        <v>76</v>
      </c>
      <c r="B20" s="719"/>
      <c r="C20" s="719"/>
      <c r="D20" s="719"/>
      <c r="E20" s="719"/>
      <c r="F20" s="719"/>
      <c r="G20" s="719"/>
      <c r="H20" s="719"/>
      <c r="I20" s="719"/>
      <c r="J20" s="719"/>
      <c r="K20" s="719"/>
      <c r="L20" s="719"/>
      <c r="M20" s="719"/>
      <c r="N20" s="719"/>
      <c r="O20" s="719"/>
      <c r="P20" s="719"/>
      <c r="Q20" s="719"/>
      <c r="R20" s="719"/>
      <c r="S20" s="719"/>
      <c r="T20" s="719"/>
      <c r="U20" s="719"/>
      <c r="V20" s="719"/>
      <c r="W20" s="719"/>
      <c r="X20" s="719"/>
      <c r="Y20" s="719"/>
      <c r="Z20" s="719"/>
      <c r="AA20" s="65"/>
      <c r="AB20" s="65"/>
      <c r="AC20" s="79"/>
    </row>
    <row r="21" spans="1:68" ht="14.25" hidden="1" customHeight="1" x14ac:dyDescent="0.25">
      <c r="A21" s="720" t="s">
        <v>77</v>
      </c>
      <c r="B21" s="720"/>
      <c r="C21" s="720"/>
      <c r="D21" s="720"/>
      <c r="E21" s="720"/>
      <c r="F21" s="720"/>
      <c r="G21" s="720"/>
      <c r="H21" s="720"/>
      <c r="I21" s="720"/>
      <c r="J21" s="720"/>
      <c r="K21" s="720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1">
        <v>4680115886643</v>
      </c>
      <c r="E22" s="7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3"/>
      <c r="R22" s="723"/>
      <c r="S22" s="723"/>
      <c r="T22" s="7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1">
        <v>4680115889071</v>
      </c>
      <c r="E23" s="7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3"/>
      <c r="R23" s="723"/>
      <c r="S23" s="723"/>
      <c r="T23" s="7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9"/>
      <c r="B24" s="729"/>
      <c r="C24" s="729"/>
      <c r="D24" s="729"/>
      <c r="E24" s="729"/>
      <c r="F24" s="729"/>
      <c r="G24" s="729"/>
      <c r="H24" s="729"/>
      <c r="I24" s="729"/>
      <c r="J24" s="729"/>
      <c r="K24" s="729"/>
      <c r="L24" s="729"/>
      <c r="M24" s="729"/>
      <c r="N24" s="729"/>
      <c r="O24" s="730"/>
      <c r="P24" s="726" t="s">
        <v>40</v>
      </c>
      <c r="Q24" s="727"/>
      <c r="R24" s="727"/>
      <c r="S24" s="727"/>
      <c r="T24" s="727"/>
      <c r="U24" s="727"/>
      <c r="V24" s="72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9"/>
      <c r="B25" s="729"/>
      <c r="C25" s="729"/>
      <c r="D25" s="729"/>
      <c r="E25" s="729"/>
      <c r="F25" s="729"/>
      <c r="G25" s="729"/>
      <c r="H25" s="729"/>
      <c r="I25" s="729"/>
      <c r="J25" s="729"/>
      <c r="K25" s="729"/>
      <c r="L25" s="729"/>
      <c r="M25" s="729"/>
      <c r="N25" s="729"/>
      <c r="O25" s="730"/>
      <c r="P25" s="726" t="s">
        <v>40</v>
      </c>
      <c r="Q25" s="727"/>
      <c r="R25" s="727"/>
      <c r="S25" s="727"/>
      <c r="T25" s="727"/>
      <c r="U25" s="727"/>
      <c r="V25" s="72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0" t="s">
        <v>86</v>
      </c>
      <c r="B26" s="720"/>
      <c r="C26" s="720"/>
      <c r="D26" s="720"/>
      <c r="E26" s="720"/>
      <c r="F26" s="720"/>
      <c r="G26" s="720"/>
      <c r="H26" s="720"/>
      <c r="I26" s="720"/>
      <c r="J26" s="720"/>
      <c r="K26" s="720"/>
      <c r="L26" s="720"/>
      <c r="M26" s="720"/>
      <c r="N26" s="720"/>
      <c r="O26" s="720"/>
      <c r="P26" s="720"/>
      <c r="Q26" s="720"/>
      <c r="R26" s="720"/>
      <c r="S26" s="720"/>
      <c r="T26" s="720"/>
      <c r="U26" s="720"/>
      <c r="V26" s="720"/>
      <c r="W26" s="720"/>
      <c r="X26" s="720"/>
      <c r="Y26" s="720"/>
      <c r="Z26" s="7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1">
        <v>4680115885912</v>
      </c>
      <c r="E27" s="7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3"/>
      <c r="R27" s="723"/>
      <c r="S27" s="723"/>
      <c r="T27" s="7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1">
        <v>4607091388237</v>
      </c>
      <c r="E28" s="7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3"/>
      <c r="R28" s="723"/>
      <c r="S28" s="723"/>
      <c r="T28" s="7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1">
        <v>4680115887350</v>
      </c>
      <c r="E29" s="7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3"/>
      <c r="R29" s="723"/>
      <c r="S29" s="723"/>
      <c r="T29" s="7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1">
        <v>4680115885905</v>
      </c>
      <c r="E30" s="7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3"/>
      <c r="R30" s="723"/>
      <c r="S30" s="723"/>
      <c r="T30" s="7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1">
        <v>4680115887619</v>
      </c>
      <c r="E31" s="7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3"/>
      <c r="R31" s="723"/>
      <c r="S31" s="723"/>
      <c r="T31" s="7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9"/>
      <c r="B32" s="729"/>
      <c r="C32" s="729"/>
      <c r="D32" s="729"/>
      <c r="E32" s="729"/>
      <c r="F32" s="729"/>
      <c r="G32" s="729"/>
      <c r="H32" s="729"/>
      <c r="I32" s="729"/>
      <c r="J32" s="729"/>
      <c r="K32" s="729"/>
      <c r="L32" s="729"/>
      <c r="M32" s="729"/>
      <c r="N32" s="729"/>
      <c r="O32" s="730"/>
      <c r="P32" s="726" t="s">
        <v>40</v>
      </c>
      <c r="Q32" s="727"/>
      <c r="R32" s="727"/>
      <c r="S32" s="727"/>
      <c r="T32" s="727"/>
      <c r="U32" s="727"/>
      <c r="V32" s="72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9"/>
      <c r="B33" s="729"/>
      <c r="C33" s="729"/>
      <c r="D33" s="729"/>
      <c r="E33" s="729"/>
      <c r="F33" s="729"/>
      <c r="G33" s="729"/>
      <c r="H33" s="729"/>
      <c r="I33" s="729"/>
      <c r="J33" s="729"/>
      <c r="K33" s="729"/>
      <c r="L33" s="729"/>
      <c r="M33" s="729"/>
      <c r="N33" s="729"/>
      <c r="O33" s="730"/>
      <c r="P33" s="726" t="s">
        <v>40</v>
      </c>
      <c r="Q33" s="727"/>
      <c r="R33" s="727"/>
      <c r="S33" s="727"/>
      <c r="T33" s="727"/>
      <c r="U33" s="727"/>
      <c r="V33" s="72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8" t="s">
        <v>45</v>
      </c>
      <c r="B34" s="718"/>
      <c r="C34" s="718"/>
      <c r="D34" s="718"/>
      <c r="E34" s="718"/>
      <c r="F34" s="718"/>
      <c r="G34" s="718"/>
      <c r="H34" s="718"/>
      <c r="I34" s="718"/>
      <c r="J34" s="718"/>
      <c r="K34" s="718"/>
      <c r="L34" s="718"/>
      <c r="M34" s="718"/>
      <c r="N34" s="718"/>
      <c r="O34" s="718"/>
      <c r="P34" s="718"/>
      <c r="Q34" s="718"/>
      <c r="R34" s="718"/>
      <c r="S34" s="718"/>
      <c r="T34" s="718"/>
      <c r="U34" s="718"/>
      <c r="V34" s="718"/>
      <c r="W34" s="718"/>
      <c r="X34" s="718"/>
      <c r="Y34" s="718"/>
      <c r="Z34" s="718"/>
      <c r="AA34" s="54"/>
      <c r="AB34" s="54"/>
      <c r="AC34" s="54"/>
    </row>
    <row r="35" spans="1:68" ht="16.5" hidden="1" customHeight="1" x14ac:dyDescent="0.25">
      <c r="A35" s="719" t="s">
        <v>104</v>
      </c>
      <c r="B35" s="719"/>
      <c r="C35" s="719"/>
      <c r="D35" s="719"/>
      <c r="E35" s="719"/>
      <c r="F35" s="719"/>
      <c r="G35" s="719"/>
      <c r="H35" s="719"/>
      <c r="I35" s="719"/>
      <c r="J35" s="719"/>
      <c r="K35" s="719"/>
      <c r="L35" s="719"/>
      <c r="M35" s="719"/>
      <c r="N35" s="719"/>
      <c r="O35" s="719"/>
      <c r="P35" s="719"/>
      <c r="Q35" s="719"/>
      <c r="R35" s="719"/>
      <c r="S35" s="719"/>
      <c r="T35" s="719"/>
      <c r="U35" s="719"/>
      <c r="V35" s="719"/>
      <c r="W35" s="719"/>
      <c r="X35" s="719"/>
      <c r="Y35" s="719"/>
      <c r="Z35" s="719"/>
      <c r="AA35" s="65"/>
      <c r="AB35" s="65"/>
      <c r="AC35" s="79"/>
    </row>
    <row r="36" spans="1:68" ht="14.25" hidden="1" customHeight="1" x14ac:dyDescent="0.25">
      <c r="A36" s="720" t="s">
        <v>86</v>
      </c>
      <c r="B36" s="720"/>
      <c r="C36" s="720"/>
      <c r="D36" s="720"/>
      <c r="E36" s="720"/>
      <c r="F36" s="720"/>
      <c r="G36" s="720"/>
      <c r="H36" s="720"/>
      <c r="I36" s="720"/>
      <c r="J36" s="720"/>
      <c r="K36" s="720"/>
      <c r="L36" s="720"/>
      <c r="M36" s="720"/>
      <c r="N36" s="720"/>
      <c r="O36" s="720"/>
      <c r="P36" s="720"/>
      <c r="Q36" s="720"/>
      <c r="R36" s="720"/>
      <c r="S36" s="720"/>
      <c r="T36" s="720"/>
      <c r="U36" s="720"/>
      <c r="V36" s="720"/>
      <c r="W36" s="720"/>
      <c r="X36" s="720"/>
      <c r="Y36" s="720"/>
      <c r="Z36" s="72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1">
        <v>4680115889354</v>
      </c>
      <c r="E37" s="72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3"/>
      <c r="R37" s="723"/>
      <c r="S37" s="723"/>
      <c r="T37" s="724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1">
        <v>4680115888463</v>
      </c>
      <c r="E38" s="72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3"/>
      <c r="R38" s="723"/>
      <c r="S38" s="723"/>
      <c r="T38" s="724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1">
        <v>4680115889590</v>
      </c>
      <c r="E39" s="72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3"/>
      <c r="R39" s="723"/>
      <c r="S39" s="723"/>
      <c r="T39" s="724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21">
        <v>4680115888272</v>
      </c>
      <c r="E40" s="72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3"/>
      <c r="R40" s="723"/>
      <c r="S40" s="723"/>
      <c r="T40" s="724"/>
      <c r="U40" s="39" t="s">
        <v>46</v>
      </c>
      <c r="V40" s="39" t="s">
        <v>46</v>
      </c>
      <c r="W40" s="40" t="s">
        <v>0</v>
      </c>
      <c r="X40" s="58">
        <v>48</v>
      </c>
      <c r="Y40" s="55">
        <f>IFERROR(IF(X40="",0,CEILING((X40/$H40),1)*$H40),"")</f>
        <v>48</v>
      </c>
      <c r="Z40" s="41">
        <f>IFERROR(IF(Y40=0,"",ROUNDUP(Y40/H40,0)*0.00651),"")</f>
        <v>0.16275000000000001</v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52.500000000000007</v>
      </c>
      <c r="BN40" s="78">
        <f>IFERROR(Y40*I40/H40,"0")</f>
        <v>52.500000000000007</v>
      </c>
      <c r="BO40" s="78">
        <f>IFERROR(1/J40*(X40/H40),"0")</f>
        <v>0.13736263736263737</v>
      </c>
      <c r="BP40" s="78">
        <f>IFERROR(1/J40*(Y40/H40),"0")</f>
        <v>0.13736263736263737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1">
        <v>4680115888364</v>
      </c>
      <c r="E41" s="7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3"/>
      <c r="R41" s="723"/>
      <c r="S41" s="723"/>
      <c r="T41" s="7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9"/>
      <c r="B42" s="729"/>
      <c r="C42" s="729"/>
      <c r="D42" s="729"/>
      <c r="E42" s="729"/>
      <c r="F42" s="729"/>
      <c r="G42" s="729"/>
      <c r="H42" s="729"/>
      <c r="I42" s="729"/>
      <c r="J42" s="729"/>
      <c r="K42" s="729"/>
      <c r="L42" s="729"/>
      <c r="M42" s="729"/>
      <c r="N42" s="729"/>
      <c r="O42" s="730"/>
      <c r="P42" s="726" t="s">
        <v>40</v>
      </c>
      <c r="Q42" s="727"/>
      <c r="R42" s="727"/>
      <c r="S42" s="727"/>
      <c r="T42" s="727"/>
      <c r="U42" s="727"/>
      <c r="V42" s="728"/>
      <c r="W42" s="42" t="s">
        <v>39</v>
      </c>
      <c r="X42" s="43">
        <f>IFERROR(X37/H37,"0")+IFERROR(X38/H38,"0")+IFERROR(X39/H39,"0")+IFERROR(X40/H40,"0")+IFERROR(X41/H41,"0")</f>
        <v>25</v>
      </c>
      <c r="Y42" s="43">
        <f>IFERROR(Y37/H37,"0")+IFERROR(Y38/H38,"0")+IFERROR(Y39/H39,"0")+IFERROR(Y40/H40,"0")+IFERROR(Y41/H41,"0")</f>
        <v>25</v>
      </c>
      <c r="Z42" s="43">
        <f>IFERROR(IF(Z37="",0,Z37),"0")+IFERROR(IF(Z38="",0,Z38),"0")+IFERROR(IF(Z39="",0,Z39),"0")+IFERROR(IF(Z40="",0,Z40),"0")+IFERROR(IF(Z41="",0,Z41),"0")</f>
        <v>0.16275000000000001</v>
      </c>
      <c r="AA42" s="67"/>
      <c r="AB42" s="67"/>
      <c r="AC42" s="67"/>
    </row>
    <row r="43" spans="1:68" x14ac:dyDescent="0.2">
      <c r="A43" s="729"/>
      <c r="B43" s="729"/>
      <c r="C43" s="729"/>
      <c r="D43" s="729"/>
      <c r="E43" s="729"/>
      <c r="F43" s="729"/>
      <c r="G43" s="729"/>
      <c r="H43" s="729"/>
      <c r="I43" s="729"/>
      <c r="J43" s="729"/>
      <c r="K43" s="729"/>
      <c r="L43" s="729"/>
      <c r="M43" s="729"/>
      <c r="N43" s="729"/>
      <c r="O43" s="730"/>
      <c r="P43" s="726" t="s">
        <v>40</v>
      </c>
      <c r="Q43" s="727"/>
      <c r="R43" s="727"/>
      <c r="S43" s="727"/>
      <c r="T43" s="727"/>
      <c r="U43" s="727"/>
      <c r="V43" s="728"/>
      <c r="W43" s="42" t="s">
        <v>0</v>
      </c>
      <c r="X43" s="43">
        <f>IFERROR(SUM(X37:X41),"0")</f>
        <v>48</v>
      </c>
      <c r="Y43" s="43">
        <f>IFERROR(SUM(Y37:Y41),"0")</f>
        <v>48</v>
      </c>
      <c r="Z43" s="42"/>
      <c r="AA43" s="67"/>
      <c r="AB43" s="67"/>
      <c r="AC43" s="67"/>
    </row>
    <row r="44" spans="1:68" ht="27.75" hidden="1" customHeight="1" x14ac:dyDescent="0.2">
      <c r="A44" s="718" t="s">
        <v>120</v>
      </c>
      <c r="B44" s="718"/>
      <c r="C44" s="718"/>
      <c r="D44" s="718"/>
      <c r="E44" s="718"/>
      <c r="F44" s="718"/>
      <c r="G44" s="718"/>
      <c r="H44" s="718"/>
      <c r="I44" s="718"/>
      <c r="J44" s="718"/>
      <c r="K44" s="718"/>
      <c r="L44" s="718"/>
      <c r="M44" s="718"/>
      <c r="N44" s="718"/>
      <c r="O44" s="718"/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  <c r="AA44" s="54"/>
      <c r="AB44" s="54"/>
      <c r="AC44" s="54"/>
    </row>
    <row r="45" spans="1:68" ht="16.5" hidden="1" customHeight="1" x14ac:dyDescent="0.25">
      <c r="A45" s="719" t="s">
        <v>121</v>
      </c>
      <c r="B45" s="719"/>
      <c r="C45" s="719"/>
      <c r="D45" s="719"/>
      <c r="E45" s="719"/>
      <c r="F45" s="719"/>
      <c r="G45" s="719"/>
      <c r="H45" s="719"/>
      <c r="I45" s="719"/>
      <c r="J45" s="719"/>
      <c r="K45" s="719"/>
      <c r="L45" s="719"/>
      <c r="M45" s="719"/>
      <c r="N45" s="719"/>
      <c r="O45" s="719"/>
      <c r="P45" s="719"/>
      <c r="Q45" s="719"/>
      <c r="R45" s="719"/>
      <c r="S45" s="719"/>
      <c r="T45" s="719"/>
      <c r="U45" s="719"/>
      <c r="V45" s="719"/>
      <c r="W45" s="719"/>
      <c r="X45" s="719"/>
      <c r="Y45" s="719"/>
      <c r="Z45" s="719"/>
      <c r="AA45" s="65"/>
      <c r="AB45" s="65"/>
      <c r="AC45" s="79"/>
    </row>
    <row r="46" spans="1:68" ht="14.25" hidden="1" customHeight="1" x14ac:dyDescent="0.25">
      <c r="A46" s="720" t="s">
        <v>122</v>
      </c>
      <c r="B46" s="720"/>
      <c r="C46" s="720"/>
      <c r="D46" s="720"/>
      <c r="E46" s="720"/>
      <c r="F46" s="720"/>
      <c r="G46" s="720"/>
      <c r="H46" s="720"/>
      <c r="I46" s="720"/>
      <c r="J46" s="720"/>
      <c r="K46" s="720"/>
      <c r="L46" s="720"/>
      <c r="M46" s="720"/>
      <c r="N46" s="720"/>
      <c r="O46" s="720"/>
      <c r="P46" s="720"/>
      <c r="Q46" s="720"/>
      <c r="R46" s="720"/>
      <c r="S46" s="720"/>
      <c r="T46" s="720"/>
      <c r="U46" s="720"/>
      <c r="V46" s="720"/>
      <c r="W46" s="720"/>
      <c r="X46" s="720"/>
      <c r="Y46" s="720"/>
      <c r="Z46" s="720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1">
        <v>4607091385670</v>
      </c>
      <c r="E47" s="721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3"/>
      <c r="R47" s="723"/>
      <c r="S47" s="723"/>
      <c r="T47" s="724"/>
      <c r="U47" s="39" t="s">
        <v>46</v>
      </c>
      <c r="V47" s="39" t="s">
        <v>46</v>
      </c>
      <c r="W47" s="40" t="s">
        <v>0</v>
      </c>
      <c r="X47" s="58">
        <v>160</v>
      </c>
      <c r="Y47" s="55">
        <f>IFERROR(IF(X47="",0,CEILING((X47/$H47),1)*$H47),"")</f>
        <v>162</v>
      </c>
      <c r="Z47" s="41">
        <f>IFERROR(IF(Y47=0,"",ROUNDUP(Y47/H47,0)*0.01898),"")</f>
        <v>0.28470000000000001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166.07407407407408</v>
      </c>
      <c r="BN47" s="78">
        <f>IFERROR(Y47*I47/H47,"0")</f>
        <v>168.15</v>
      </c>
      <c r="BO47" s="78">
        <f>IFERROR(1/J47*(X47/H47),"0")</f>
        <v>0.23148148148148145</v>
      </c>
      <c r="BP47" s="78">
        <f>IFERROR(1/J47*(Y47/H47),"0")</f>
        <v>0.23437499999999997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1">
        <v>4680115887725</v>
      </c>
      <c r="E48" s="721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3"/>
      <c r="R48" s="723"/>
      <c r="S48" s="723"/>
      <c r="T48" s="724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1">
        <v>4607091385687</v>
      </c>
      <c r="E49" s="721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3"/>
      <c r="R49" s="723"/>
      <c r="S49" s="723"/>
      <c r="T49" s="724"/>
      <c r="U49" s="39" t="s">
        <v>46</v>
      </c>
      <c r="V49" s="39" t="s">
        <v>46</v>
      </c>
      <c r="W49" s="40" t="s">
        <v>0</v>
      </c>
      <c r="X49" s="58">
        <v>280</v>
      </c>
      <c r="Y49" s="55">
        <f>IFERROR(IF(X49="",0,CEILING((X49/$H49),1)*$H49),"")</f>
        <v>280</v>
      </c>
      <c r="Z49" s="41">
        <f>IFERROR(IF(Y49=0,"",ROUNDUP(Y49/H49,0)*0.00902),"")</f>
        <v>0.63139999999999996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293.3</v>
      </c>
      <c r="BN49" s="78">
        <f>IFERROR(Y49*I49/H49,"0")</f>
        <v>293.3</v>
      </c>
      <c r="BO49" s="78">
        <f>IFERROR(1/J49*(X49/H49),"0")</f>
        <v>0.53030303030303028</v>
      </c>
      <c r="BP49" s="78">
        <f>IFERROR(1/J49*(Y49/H49),"0")</f>
        <v>0.53030303030303028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1">
        <v>4680115882539</v>
      </c>
      <c r="E50" s="721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3"/>
      <c r="R50" s="723"/>
      <c r="S50" s="723"/>
      <c r="T50" s="724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9"/>
      <c r="B51" s="729"/>
      <c r="C51" s="729"/>
      <c r="D51" s="729"/>
      <c r="E51" s="729"/>
      <c r="F51" s="729"/>
      <c r="G51" s="729"/>
      <c r="H51" s="729"/>
      <c r="I51" s="729"/>
      <c r="J51" s="729"/>
      <c r="K51" s="729"/>
      <c r="L51" s="729"/>
      <c r="M51" s="729"/>
      <c r="N51" s="729"/>
      <c r="O51" s="730"/>
      <c r="P51" s="726" t="s">
        <v>40</v>
      </c>
      <c r="Q51" s="727"/>
      <c r="R51" s="727"/>
      <c r="S51" s="727"/>
      <c r="T51" s="727"/>
      <c r="U51" s="727"/>
      <c r="V51" s="728"/>
      <c r="W51" s="42" t="s">
        <v>39</v>
      </c>
      <c r="X51" s="43">
        <f>IFERROR(X47/H47,"0")+IFERROR(X48/H48,"0")+IFERROR(X49/H49,"0")+IFERROR(X50/H50,"0")</f>
        <v>84.81481481481481</v>
      </c>
      <c r="Y51" s="43">
        <f>IFERROR(Y47/H47,"0")+IFERROR(Y48/H48,"0")+IFERROR(Y49/H49,"0")+IFERROR(Y50/H50,"0")</f>
        <v>85</v>
      </c>
      <c r="Z51" s="43">
        <f>IFERROR(IF(Z47="",0,Z47),"0")+IFERROR(IF(Z48="",0,Z48),"0")+IFERROR(IF(Z49="",0,Z49),"0")+IFERROR(IF(Z50="",0,Z50),"0")</f>
        <v>0.91609999999999991</v>
      </c>
      <c r="AA51" s="67"/>
      <c r="AB51" s="67"/>
      <c r="AC51" s="67"/>
    </row>
    <row r="52" spans="1:68" x14ac:dyDescent="0.2">
      <c r="A52" s="729"/>
      <c r="B52" s="729"/>
      <c r="C52" s="729"/>
      <c r="D52" s="729"/>
      <c r="E52" s="729"/>
      <c r="F52" s="729"/>
      <c r="G52" s="729"/>
      <c r="H52" s="729"/>
      <c r="I52" s="729"/>
      <c r="J52" s="729"/>
      <c r="K52" s="729"/>
      <c r="L52" s="729"/>
      <c r="M52" s="729"/>
      <c r="N52" s="729"/>
      <c r="O52" s="730"/>
      <c r="P52" s="726" t="s">
        <v>40</v>
      </c>
      <c r="Q52" s="727"/>
      <c r="R52" s="727"/>
      <c r="S52" s="727"/>
      <c r="T52" s="727"/>
      <c r="U52" s="727"/>
      <c r="V52" s="728"/>
      <c r="W52" s="42" t="s">
        <v>0</v>
      </c>
      <c r="X52" s="43">
        <f>IFERROR(SUM(X47:X50),"0")</f>
        <v>440</v>
      </c>
      <c r="Y52" s="43">
        <f>IFERROR(SUM(Y47:Y50),"0")</f>
        <v>442</v>
      </c>
      <c r="Z52" s="42"/>
      <c r="AA52" s="67"/>
      <c r="AB52" s="67"/>
      <c r="AC52" s="67"/>
    </row>
    <row r="53" spans="1:68" ht="16.5" hidden="1" customHeight="1" x14ac:dyDescent="0.25">
      <c r="A53" s="719" t="s">
        <v>137</v>
      </c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19"/>
      <c r="P53" s="719"/>
      <c r="Q53" s="719"/>
      <c r="R53" s="719"/>
      <c r="S53" s="719"/>
      <c r="T53" s="719"/>
      <c r="U53" s="719"/>
      <c r="V53" s="719"/>
      <c r="W53" s="719"/>
      <c r="X53" s="719"/>
      <c r="Y53" s="719"/>
      <c r="Z53" s="719"/>
      <c r="AA53" s="65"/>
      <c r="AB53" s="65"/>
      <c r="AC53" s="79"/>
    </row>
    <row r="54" spans="1:68" ht="14.25" hidden="1" customHeight="1" x14ac:dyDescent="0.25">
      <c r="A54" s="720" t="s">
        <v>122</v>
      </c>
      <c r="B54" s="720"/>
      <c r="C54" s="720"/>
      <c r="D54" s="720"/>
      <c r="E54" s="720"/>
      <c r="F54" s="720"/>
      <c r="G54" s="720"/>
      <c r="H54" s="720"/>
      <c r="I54" s="720"/>
      <c r="J54" s="720"/>
      <c r="K54" s="720"/>
      <c r="L54" s="720"/>
      <c r="M54" s="720"/>
      <c r="N54" s="720"/>
      <c r="O54" s="720"/>
      <c r="P54" s="720"/>
      <c r="Q54" s="720"/>
      <c r="R54" s="720"/>
      <c r="S54" s="720"/>
      <c r="T54" s="720"/>
      <c r="U54" s="720"/>
      <c r="V54" s="720"/>
      <c r="W54" s="720"/>
      <c r="X54" s="720"/>
      <c r="Y54" s="720"/>
      <c r="Z54" s="72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1">
        <v>4680115885882</v>
      </c>
      <c r="E55" s="721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3"/>
      <c r="R55" s="723"/>
      <c r="S55" s="723"/>
      <c r="T55" s="724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1">
        <v>4680115881426</v>
      </c>
      <c r="E56" s="72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3"/>
      <c r="R56" s="723"/>
      <c r="S56" s="723"/>
      <c r="T56" s="724"/>
      <c r="U56" s="39" t="s">
        <v>46</v>
      </c>
      <c r="V56" s="39" t="s">
        <v>46</v>
      </c>
      <c r="W56" s="40" t="s">
        <v>0</v>
      </c>
      <c r="X56" s="58">
        <v>120</v>
      </c>
      <c r="Y56" s="55">
        <f t="shared" si="0"/>
        <v>129.60000000000002</v>
      </c>
      <c r="Z56" s="41">
        <f>IFERROR(IF(Y56=0,"",ROUNDUP(Y56/H56,0)*0.01898),"")</f>
        <v>0.22776000000000002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124.55555555555556</v>
      </c>
      <c r="BN56" s="78">
        <f t="shared" si="2"/>
        <v>134.52000000000001</v>
      </c>
      <c r="BO56" s="78">
        <f t="shared" si="3"/>
        <v>0.1736111111111111</v>
      </c>
      <c r="BP56" s="78">
        <f t="shared" si="4"/>
        <v>0.18750000000000003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21">
        <v>4680115880283</v>
      </c>
      <c r="E57" s="721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3"/>
      <c r="R57" s="723"/>
      <c r="S57" s="723"/>
      <c r="T57" s="724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21">
        <v>4680115881525</v>
      </c>
      <c r="E58" s="721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3"/>
      <c r="R58" s="723"/>
      <c r="S58" s="723"/>
      <c r="T58" s="72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21">
        <v>4680115881525</v>
      </c>
      <c r="E59" s="72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3"/>
      <c r="R59" s="723"/>
      <c r="S59" s="723"/>
      <c r="T59" s="7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21">
        <v>4680115885899</v>
      </c>
      <c r="E60" s="72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3"/>
      <c r="R60" s="723"/>
      <c r="S60" s="723"/>
      <c r="T60" s="7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154</v>
      </c>
      <c r="B61" s="63" t="s">
        <v>155</v>
      </c>
      <c r="C61" s="36">
        <v>4301011801</v>
      </c>
      <c r="D61" s="721">
        <v>4680115881419</v>
      </c>
      <c r="E61" s="72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5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3"/>
      <c r="R61" s="723"/>
      <c r="S61" s="723"/>
      <c r="T61" s="724"/>
      <c r="U61" s="39" t="s">
        <v>46</v>
      </c>
      <c r="V61" s="39" t="s">
        <v>46</v>
      </c>
      <c r="W61" s="40" t="s">
        <v>0</v>
      </c>
      <c r="X61" s="58">
        <v>405</v>
      </c>
      <c r="Y61" s="55">
        <f t="shared" si="0"/>
        <v>405</v>
      </c>
      <c r="Z61" s="41">
        <f>IFERROR(IF(Y61=0,"",ROUNDUP(Y61/H61,0)*0.00902),"")</f>
        <v>0.81180000000000008</v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422.1</v>
      </c>
      <c r="BN61" s="78">
        <f t="shared" si="2"/>
        <v>422.1</v>
      </c>
      <c r="BO61" s="78">
        <f t="shared" si="3"/>
        <v>0.68181818181818188</v>
      </c>
      <c r="BP61" s="78">
        <f t="shared" si="4"/>
        <v>0.68181818181818188</v>
      </c>
    </row>
    <row r="62" spans="1:68" x14ac:dyDescent="0.2">
      <c r="A62" s="729"/>
      <c r="B62" s="729"/>
      <c r="C62" s="729"/>
      <c r="D62" s="729"/>
      <c r="E62" s="729"/>
      <c r="F62" s="729"/>
      <c r="G62" s="729"/>
      <c r="H62" s="729"/>
      <c r="I62" s="729"/>
      <c r="J62" s="729"/>
      <c r="K62" s="729"/>
      <c r="L62" s="729"/>
      <c r="M62" s="729"/>
      <c r="N62" s="729"/>
      <c r="O62" s="730"/>
      <c r="P62" s="726" t="s">
        <v>40</v>
      </c>
      <c r="Q62" s="727"/>
      <c r="R62" s="727"/>
      <c r="S62" s="727"/>
      <c r="T62" s="727"/>
      <c r="U62" s="727"/>
      <c r="V62" s="728"/>
      <c r="W62" s="42" t="s">
        <v>39</v>
      </c>
      <c r="X62" s="43">
        <f>IFERROR(X55/H55,"0")+IFERROR(X56/H56,"0")+IFERROR(X57/H57,"0")+IFERROR(X58/H58,"0")+IFERROR(X59/H59,"0")+IFERROR(X60/H60,"0")+IFERROR(X61/H61,"0")</f>
        <v>101.11111111111111</v>
      </c>
      <c r="Y62" s="43">
        <f>IFERROR(Y55/H55,"0")+IFERROR(Y56/H56,"0")+IFERROR(Y57/H57,"0")+IFERROR(Y58/H58,"0")+IFERROR(Y59/H59,"0")+IFERROR(Y60/H60,"0")+IFERROR(Y61/H61,"0")</f>
        <v>102</v>
      </c>
      <c r="Z62" s="43">
        <f>IFERROR(IF(Z55="",0,Z55),"0")+IFERROR(IF(Z56="",0,Z56),"0")+IFERROR(IF(Z57="",0,Z57),"0")+IFERROR(IF(Z58="",0,Z58),"0")+IFERROR(IF(Z59="",0,Z59),"0")+IFERROR(IF(Z60="",0,Z60),"0")+IFERROR(IF(Z61="",0,Z61),"0")</f>
        <v>1.03956</v>
      </c>
      <c r="AA62" s="67"/>
      <c r="AB62" s="67"/>
      <c r="AC62" s="67"/>
    </row>
    <row r="63" spans="1:68" x14ac:dyDescent="0.2">
      <c r="A63" s="729"/>
      <c r="B63" s="729"/>
      <c r="C63" s="729"/>
      <c r="D63" s="729"/>
      <c r="E63" s="729"/>
      <c r="F63" s="729"/>
      <c r="G63" s="729"/>
      <c r="H63" s="729"/>
      <c r="I63" s="729"/>
      <c r="J63" s="729"/>
      <c r="K63" s="729"/>
      <c r="L63" s="729"/>
      <c r="M63" s="729"/>
      <c r="N63" s="729"/>
      <c r="O63" s="730"/>
      <c r="P63" s="726" t="s">
        <v>40</v>
      </c>
      <c r="Q63" s="727"/>
      <c r="R63" s="727"/>
      <c r="S63" s="727"/>
      <c r="T63" s="727"/>
      <c r="U63" s="727"/>
      <c r="V63" s="728"/>
      <c r="W63" s="42" t="s">
        <v>0</v>
      </c>
      <c r="X63" s="43">
        <f>IFERROR(SUM(X55:X61),"0")</f>
        <v>525</v>
      </c>
      <c r="Y63" s="43">
        <f>IFERROR(SUM(Y55:Y61),"0")</f>
        <v>534.6</v>
      </c>
      <c r="Z63" s="42"/>
      <c r="AA63" s="67"/>
      <c r="AB63" s="67"/>
      <c r="AC63" s="67"/>
    </row>
    <row r="64" spans="1:68" ht="14.25" hidden="1" customHeight="1" x14ac:dyDescent="0.25">
      <c r="A64" s="720" t="s">
        <v>157</v>
      </c>
      <c r="B64" s="720"/>
      <c r="C64" s="720"/>
      <c r="D64" s="720"/>
      <c r="E64" s="720"/>
      <c r="F64" s="720"/>
      <c r="G64" s="720"/>
      <c r="H64" s="720"/>
      <c r="I64" s="720"/>
      <c r="J64" s="720"/>
      <c r="K64" s="720"/>
      <c r="L64" s="720"/>
      <c r="M64" s="720"/>
      <c r="N64" s="720"/>
      <c r="O64" s="720"/>
      <c r="P64" s="720"/>
      <c r="Q64" s="720"/>
      <c r="R64" s="720"/>
      <c r="S64" s="720"/>
      <c r="T64" s="720"/>
      <c r="U64" s="720"/>
      <c r="V64" s="720"/>
      <c r="W64" s="720"/>
      <c r="X64" s="720"/>
      <c r="Y64" s="720"/>
      <c r="Z64" s="720"/>
      <c r="AA64" s="66"/>
      <c r="AB64" s="66"/>
      <c r="AC64" s="80"/>
    </row>
    <row r="65" spans="1:68" ht="16.5" customHeight="1" x14ac:dyDescent="0.25">
      <c r="A65" s="63" t="s">
        <v>158</v>
      </c>
      <c r="B65" s="63" t="s">
        <v>159</v>
      </c>
      <c r="C65" s="36">
        <v>4301020298</v>
      </c>
      <c r="D65" s="721">
        <v>4680115881440</v>
      </c>
      <c r="E65" s="72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3"/>
      <c r="R65" s="723"/>
      <c r="S65" s="723"/>
      <c r="T65" s="724"/>
      <c r="U65" s="39" t="s">
        <v>46</v>
      </c>
      <c r="V65" s="39" t="s">
        <v>46</v>
      </c>
      <c r="W65" s="40" t="s">
        <v>0</v>
      </c>
      <c r="X65" s="58">
        <v>70</v>
      </c>
      <c r="Y65" s="55">
        <f>IFERROR(IF(X65="",0,CEILING((X65/$H65),1)*$H65),"")</f>
        <v>75.600000000000009</v>
      </c>
      <c r="Z65" s="41">
        <f>IFERROR(IF(Y65=0,"",ROUNDUP(Y65/H65,0)*0.01898),"")</f>
        <v>0.13286000000000001</v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72.657407407407405</v>
      </c>
      <c r="BN65" s="78">
        <f>IFERROR(Y65*I65/H65,"0")</f>
        <v>78.47</v>
      </c>
      <c r="BO65" s="78">
        <f>IFERROR(1/J65*(X65/H65),"0")</f>
        <v>0.10127314814814814</v>
      </c>
      <c r="BP65" s="78">
        <f>IFERROR(1/J65*(Y65/H65),"0")</f>
        <v>0.109375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21">
        <v>4680115885950</v>
      </c>
      <c r="E66" s="72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3"/>
      <c r="R66" s="723"/>
      <c r="S66" s="723"/>
      <c r="T66" s="72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21">
        <v>4680115887688</v>
      </c>
      <c r="E67" s="72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3"/>
      <c r="R67" s="723"/>
      <c r="S67" s="723"/>
      <c r="T67" s="72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166</v>
      </c>
      <c r="B68" s="63" t="s">
        <v>167</v>
      </c>
      <c r="C68" s="36">
        <v>4301020296</v>
      </c>
      <c r="D68" s="721">
        <v>4680115881433</v>
      </c>
      <c r="E68" s="72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3"/>
      <c r="R68" s="723"/>
      <c r="S68" s="723"/>
      <c r="T68" s="724"/>
      <c r="U68" s="39" t="s">
        <v>46</v>
      </c>
      <c r="V68" s="39" t="s">
        <v>46</v>
      </c>
      <c r="W68" s="40" t="s">
        <v>0</v>
      </c>
      <c r="X68" s="58">
        <v>135</v>
      </c>
      <c r="Y68" s="55">
        <f>IFERROR(IF(X68="",0,CEILING((X68/$H68),1)*$H68),"")</f>
        <v>135</v>
      </c>
      <c r="Z68" s="41">
        <f>IFERROR(IF(Y68=0,"",ROUNDUP(Y68/H68,0)*0.00651),"")</f>
        <v>0.32550000000000001</v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144</v>
      </c>
      <c r="BN68" s="78">
        <f>IFERROR(Y68*I68/H68,"0")</f>
        <v>144</v>
      </c>
      <c r="BO68" s="78">
        <f>IFERROR(1/J68*(X68/H68),"0")</f>
        <v>0.27472527472527475</v>
      </c>
      <c r="BP68" s="78">
        <f>IFERROR(1/J68*(Y68/H68),"0")</f>
        <v>0.27472527472527475</v>
      </c>
    </row>
    <row r="69" spans="1:68" x14ac:dyDescent="0.2">
      <c r="A69" s="729"/>
      <c r="B69" s="729"/>
      <c r="C69" s="729"/>
      <c r="D69" s="729"/>
      <c r="E69" s="729"/>
      <c r="F69" s="729"/>
      <c r="G69" s="729"/>
      <c r="H69" s="729"/>
      <c r="I69" s="729"/>
      <c r="J69" s="729"/>
      <c r="K69" s="729"/>
      <c r="L69" s="729"/>
      <c r="M69" s="729"/>
      <c r="N69" s="729"/>
      <c r="O69" s="730"/>
      <c r="P69" s="726" t="s">
        <v>40</v>
      </c>
      <c r="Q69" s="727"/>
      <c r="R69" s="727"/>
      <c r="S69" s="727"/>
      <c r="T69" s="727"/>
      <c r="U69" s="727"/>
      <c r="V69" s="728"/>
      <c r="W69" s="42" t="s">
        <v>39</v>
      </c>
      <c r="X69" s="43">
        <f>IFERROR(X65/H65,"0")+IFERROR(X66/H66,"0")+IFERROR(X67/H67,"0")+IFERROR(X68/H68,"0")</f>
        <v>56.481481481481481</v>
      </c>
      <c r="Y69" s="43">
        <f>IFERROR(Y65/H65,"0")+IFERROR(Y66/H66,"0")+IFERROR(Y67/H67,"0")+IFERROR(Y68/H68,"0")</f>
        <v>57</v>
      </c>
      <c r="Z69" s="43">
        <f>IFERROR(IF(Z65="",0,Z65),"0")+IFERROR(IF(Z66="",0,Z66),"0")+IFERROR(IF(Z67="",0,Z67),"0")+IFERROR(IF(Z68="",0,Z68),"0")</f>
        <v>0.45835999999999999</v>
      </c>
      <c r="AA69" s="67"/>
      <c r="AB69" s="67"/>
      <c r="AC69" s="67"/>
    </row>
    <row r="70" spans="1:68" x14ac:dyDescent="0.2">
      <c r="A70" s="729"/>
      <c r="B70" s="729"/>
      <c r="C70" s="729"/>
      <c r="D70" s="729"/>
      <c r="E70" s="729"/>
      <c r="F70" s="729"/>
      <c r="G70" s="729"/>
      <c r="H70" s="729"/>
      <c r="I70" s="729"/>
      <c r="J70" s="729"/>
      <c r="K70" s="729"/>
      <c r="L70" s="729"/>
      <c r="M70" s="729"/>
      <c r="N70" s="729"/>
      <c r="O70" s="730"/>
      <c r="P70" s="726" t="s">
        <v>40</v>
      </c>
      <c r="Q70" s="727"/>
      <c r="R70" s="727"/>
      <c r="S70" s="727"/>
      <c r="T70" s="727"/>
      <c r="U70" s="727"/>
      <c r="V70" s="728"/>
      <c r="W70" s="42" t="s">
        <v>0</v>
      </c>
      <c r="X70" s="43">
        <f>IFERROR(SUM(X65:X68),"0")</f>
        <v>205</v>
      </c>
      <c r="Y70" s="43">
        <f>IFERROR(SUM(Y65:Y68),"0")</f>
        <v>210.60000000000002</v>
      </c>
      <c r="Z70" s="42"/>
      <c r="AA70" s="67"/>
      <c r="AB70" s="67"/>
      <c r="AC70" s="67"/>
    </row>
    <row r="71" spans="1:68" ht="14.25" hidden="1" customHeight="1" x14ac:dyDescent="0.25">
      <c r="A71" s="720" t="s">
        <v>86</v>
      </c>
      <c r="B71" s="720"/>
      <c r="C71" s="720"/>
      <c r="D71" s="720"/>
      <c r="E71" s="720"/>
      <c r="F71" s="720"/>
      <c r="G71" s="720"/>
      <c r="H71" s="720"/>
      <c r="I71" s="720"/>
      <c r="J71" s="720"/>
      <c r="K71" s="720"/>
      <c r="L71" s="720"/>
      <c r="M71" s="720"/>
      <c r="N71" s="720"/>
      <c r="O71" s="720"/>
      <c r="P71" s="720"/>
      <c r="Q71" s="720"/>
      <c r="R71" s="720"/>
      <c r="S71" s="720"/>
      <c r="T71" s="720"/>
      <c r="U71" s="720"/>
      <c r="V71" s="720"/>
      <c r="W71" s="720"/>
      <c r="X71" s="720"/>
      <c r="Y71" s="720"/>
      <c r="Z71" s="720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21">
        <v>4680115884311</v>
      </c>
      <c r="E72" s="72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3"/>
      <c r="R72" s="723"/>
      <c r="S72" s="723"/>
      <c r="T72" s="7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21">
        <v>4680115884403</v>
      </c>
      <c r="E73" s="72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3"/>
      <c r="R73" s="723"/>
      <c r="S73" s="723"/>
      <c r="T73" s="72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21">
        <v>4680115884403</v>
      </c>
      <c r="E74" s="721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3"/>
      <c r="R74" s="723"/>
      <c r="S74" s="723"/>
      <c r="T74" s="724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9"/>
      <c r="B75" s="729"/>
      <c r="C75" s="729"/>
      <c r="D75" s="729"/>
      <c r="E75" s="729"/>
      <c r="F75" s="729"/>
      <c r="G75" s="729"/>
      <c r="H75" s="729"/>
      <c r="I75" s="729"/>
      <c r="J75" s="729"/>
      <c r="K75" s="729"/>
      <c r="L75" s="729"/>
      <c r="M75" s="729"/>
      <c r="N75" s="729"/>
      <c r="O75" s="730"/>
      <c r="P75" s="726" t="s">
        <v>40</v>
      </c>
      <c r="Q75" s="727"/>
      <c r="R75" s="727"/>
      <c r="S75" s="727"/>
      <c r="T75" s="727"/>
      <c r="U75" s="727"/>
      <c r="V75" s="728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9"/>
      <c r="B76" s="729"/>
      <c r="C76" s="729"/>
      <c r="D76" s="729"/>
      <c r="E76" s="729"/>
      <c r="F76" s="729"/>
      <c r="G76" s="729"/>
      <c r="H76" s="729"/>
      <c r="I76" s="729"/>
      <c r="J76" s="729"/>
      <c r="K76" s="729"/>
      <c r="L76" s="729"/>
      <c r="M76" s="729"/>
      <c r="N76" s="729"/>
      <c r="O76" s="730"/>
      <c r="P76" s="726" t="s">
        <v>40</v>
      </c>
      <c r="Q76" s="727"/>
      <c r="R76" s="727"/>
      <c r="S76" s="727"/>
      <c r="T76" s="727"/>
      <c r="U76" s="727"/>
      <c r="V76" s="728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20" t="s">
        <v>175</v>
      </c>
      <c r="B77" s="720"/>
      <c r="C77" s="720"/>
      <c r="D77" s="720"/>
      <c r="E77" s="720"/>
      <c r="F77" s="720"/>
      <c r="G77" s="720"/>
      <c r="H77" s="720"/>
      <c r="I77" s="720"/>
      <c r="J77" s="720"/>
      <c r="K77" s="720"/>
      <c r="L77" s="720"/>
      <c r="M77" s="720"/>
      <c r="N77" s="720"/>
      <c r="O77" s="720"/>
      <c r="P77" s="720"/>
      <c r="Q77" s="720"/>
      <c r="R77" s="720"/>
      <c r="S77" s="720"/>
      <c r="T77" s="720"/>
      <c r="U77" s="720"/>
      <c r="V77" s="720"/>
      <c r="W77" s="720"/>
      <c r="X77" s="720"/>
      <c r="Y77" s="720"/>
      <c r="Z77" s="720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21">
        <v>4680115881532</v>
      </c>
      <c r="E78" s="721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3"/>
      <c r="R78" s="723"/>
      <c r="S78" s="723"/>
      <c r="T78" s="724"/>
      <c r="U78" s="39" t="s">
        <v>46</v>
      </c>
      <c r="V78" s="39" t="s">
        <v>46</v>
      </c>
      <c r="W78" s="40" t="s">
        <v>0</v>
      </c>
      <c r="X78" s="58">
        <v>30</v>
      </c>
      <c r="Y78" s="55">
        <f>IFERROR(IF(X78="",0,CEILING((X78/$H78),1)*$H78),"")</f>
        <v>31.2</v>
      </c>
      <c r="Z78" s="41">
        <f>IFERROR(IF(Y78=0,"",ROUNDUP(Y78/H78,0)*0.01898),"")</f>
        <v>7.5920000000000001E-2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31.57692307692308</v>
      </c>
      <c r="BN78" s="78">
        <f>IFERROR(Y78*I78/H78,"0")</f>
        <v>32.840000000000003</v>
      </c>
      <c r="BO78" s="78">
        <f>IFERROR(1/J78*(X78/H78),"0")</f>
        <v>6.0096153846153848E-2</v>
      </c>
      <c r="BP78" s="78">
        <f>IFERROR(1/J78*(Y78/H78),"0")</f>
        <v>6.25E-2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21">
        <v>4680115881532</v>
      </c>
      <c r="E79" s="7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6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3"/>
      <c r="R79" s="723"/>
      <c r="S79" s="723"/>
      <c r="T79" s="724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21">
        <v>4680115881464</v>
      </c>
      <c r="E80" s="7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6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3"/>
      <c r="R80" s="723"/>
      <c r="S80" s="723"/>
      <c r="T80" s="724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729"/>
      <c r="B81" s="729"/>
      <c r="C81" s="729"/>
      <c r="D81" s="729"/>
      <c r="E81" s="729"/>
      <c r="F81" s="729"/>
      <c r="G81" s="729"/>
      <c r="H81" s="729"/>
      <c r="I81" s="729"/>
      <c r="J81" s="729"/>
      <c r="K81" s="729"/>
      <c r="L81" s="729"/>
      <c r="M81" s="729"/>
      <c r="N81" s="729"/>
      <c r="O81" s="730"/>
      <c r="P81" s="726" t="s">
        <v>40</v>
      </c>
      <c r="Q81" s="727"/>
      <c r="R81" s="727"/>
      <c r="S81" s="727"/>
      <c r="T81" s="727"/>
      <c r="U81" s="727"/>
      <c r="V81" s="728"/>
      <c r="W81" s="42" t="s">
        <v>39</v>
      </c>
      <c r="X81" s="43">
        <f>IFERROR(X78/H78,"0")+IFERROR(X79/H79,"0")+IFERROR(X80/H80,"0")</f>
        <v>3.8461538461538463</v>
      </c>
      <c r="Y81" s="43">
        <f>IFERROR(Y78/H78,"0")+IFERROR(Y79/H79,"0")+IFERROR(Y80/H80,"0")</f>
        <v>4</v>
      </c>
      <c r="Z81" s="43">
        <f>IFERROR(IF(Z78="",0,Z78),"0")+IFERROR(IF(Z79="",0,Z79),"0")+IFERROR(IF(Z80="",0,Z80),"0")</f>
        <v>7.5920000000000001E-2</v>
      </c>
      <c r="AA81" s="67"/>
      <c r="AB81" s="67"/>
      <c r="AC81" s="67"/>
    </row>
    <row r="82" spans="1:68" x14ac:dyDescent="0.2">
      <c r="A82" s="729"/>
      <c r="B82" s="729"/>
      <c r="C82" s="729"/>
      <c r="D82" s="729"/>
      <c r="E82" s="729"/>
      <c r="F82" s="729"/>
      <c r="G82" s="729"/>
      <c r="H82" s="729"/>
      <c r="I82" s="729"/>
      <c r="J82" s="729"/>
      <c r="K82" s="729"/>
      <c r="L82" s="729"/>
      <c r="M82" s="729"/>
      <c r="N82" s="729"/>
      <c r="O82" s="730"/>
      <c r="P82" s="726" t="s">
        <v>40</v>
      </c>
      <c r="Q82" s="727"/>
      <c r="R82" s="727"/>
      <c r="S82" s="727"/>
      <c r="T82" s="727"/>
      <c r="U82" s="727"/>
      <c r="V82" s="728"/>
      <c r="W82" s="42" t="s">
        <v>0</v>
      </c>
      <c r="X82" s="43">
        <f>IFERROR(SUM(X78:X80),"0")</f>
        <v>30</v>
      </c>
      <c r="Y82" s="43">
        <f>IFERROR(SUM(Y78:Y80),"0")</f>
        <v>31.2</v>
      </c>
      <c r="Z82" s="42"/>
      <c r="AA82" s="67"/>
      <c r="AB82" s="67"/>
      <c r="AC82" s="67"/>
    </row>
    <row r="83" spans="1:68" ht="16.5" hidden="1" customHeight="1" x14ac:dyDescent="0.25">
      <c r="A83" s="719" t="s">
        <v>183</v>
      </c>
      <c r="B83" s="719"/>
      <c r="C83" s="719"/>
      <c r="D83" s="719"/>
      <c r="E83" s="719"/>
      <c r="F83" s="719"/>
      <c r="G83" s="719"/>
      <c r="H83" s="719"/>
      <c r="I83" s="719"/>
      <c r="J83" s="719"/>
      <c r="K83" s="719"/>
      <c r="L83" s="719"/>
      <c r="M83" s="719"/>
      <c r="N83" s="719"/>
      <c r="O83" s="719"/>
      <c r="P83" s="719"/>
      <c r="Q83" s="719"/>
      <c r="R83" s="719"/>
      <c r="S83" s="719"/>
      <c r="T83" s="719"/>
      <c r="U83" s="719"/>
      <c r="V83" s="719"/>
      <c r="W83" s="719"/>
      <c r="X83" s="719"/>
      <c r="Y83" s="719"/>
      <c r="Z83" s="719"/>
      <c r="AA83" s="65"/>
      <c r="AB83" s="65"/>
      <c r="AC83" s="79"/>
    </row>
    <row r="84" spans="1:68" ht="14.25" hidden="1" customHeight="1" x14ac:dyDescent="0.25">
      <c r="A84" s="720" t="s">
        <v>122</v>
      </c>
      <c r="B84" s="720"/>
      <c r="C84" s="720"/>
      <c r="D84" s="720"/>
      <c r="E84" s="720"/>
      <c r="F84" s="720"/>
      <c r="G84" s="720"/>
      <c r="H84" s="720"/>
      <c r="I84" s="720"/>
      <c r="J84" s="720"/>
      <c r="K84" s="720"/>
      <c r="L84" s="720"/>
      <c r="M84" s="720"/>
      <c r="N84" s="720"/>
      <c r="O84" s="720"/>
      <c r="P84" s="720"/>
      <c r="Q84" s="720"/>
      <c r="R84" s="720"/>
      <c r="S84" s="720"/>
      <c r="T84" s="720"/>
      <c r="U84" s="720"/>
      <c r="V84" s="720"/>
      <c r="W84" s="720"/>
      <c r="X84" s="720"/>
      <c r="Y84" s="720"/>
      <c r="Z84" s="720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721">
        <v>4680115881327</v>
      </c>
      <c r="E85" s="7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3"/>
      <c r="R85" s="723"/>
      <c r="S85" s="723"/>
      <c r="T85" s="724"/>
      <c r="U85" s="39" t="s">
        <v>46</v>
      </c>
      <c r="V85" s="39" t="s">
        <v>46</v>
      </c>
      <c r="W85" s="40" t="s">
        <v>0</v>
      </c>
      <c r="X85" s="58">
        <v>100</v>
      </c>
      <c r="Y85" s="55">
        <f t="shared" ref="Y85:Y90" si="5">IFERROR(IF(X85="",0,CEILING((X85/$H85),1)*$H85),"")</f>
        <v>108</v>
      </c>
      <c r="Z85" s="41">
        <f>IFERROR(IF(Y85=0,"",ROUNDUP(Y85/H85,0)*0.01898),"")</f>
        <v>0.1898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103.79629629629629</v>
      </c>
      <c r="BN85" s="78">
        <f t="shared" ref="BN85:BN90" si="7">IFERROR(Y85*I85/H85,"0")</f>
        <v>112.1</v>
      </c>
      <c r="BO85" s="78">
        <f t="shared" ref="BO85:BO90" si="8">IFERROR(1/J85*(X85/H85),"0")</f>
        <v>0.14467592592592593</v>
      </c>
      <c r="BP85" s="78">
        <f t="shared" ref="BP85:BP90" si="9">IFERROR(1/J85*(Y85/H85),"0")</f>
        <v>0.15625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21">
        <v>4680115887732</v>
      </c>
      <c r="E86" s="721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3"/>
      <c r="R86" s="723"/>
      <c r="S86" s="723"/>
      <c r="T86" s="724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21">
        <v>4680115887732</v>
      </c>
      <c r="E87" s="721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4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3"/>
      <c r="R87" s="723"/>
      <c r="S87" s="723"/>
      <c r="T87" s="724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21">
        <v>4680115881518</v>
      </c>
      <c r="E88" s="721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3"/>
      <c r="R88" s="723"/>
      <c r="S88" s="723"/>
      <c r="T88" s="724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721">
        <v>4680115881303</v>
      </c>
      <c r="E89" s="721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6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3"/>
      <c r="R89" s="723"/>
      <c r="S89" s="723"/>
      <c r="T89" s="724"/>
      <c r="U89" s="39" t="s">
        <v>46</v>
      </c>
      <c r="V89" s="39" t="s">
        <v>46</v>
      </c>
      <c r="W89" s="40" t="s">
        <v>0</v>
      </c>
      <c r="X89" s="58">
        <v>495</v>
      </c>
      <c r="Y89" s="55">
        <f t="shared" si="5"/>
        <v>495</v>
      </c>
      <c r="Z89" s="41">
        <f>IFERROR(IF(Y89=0,"",ROUNDUP(Y89/H89,0)*0.00902),"")</f>
        <v>0.99219999999999997</v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515.90000000000009</v>
      </c>
      <c r="BN89" s="78">
        <f t="shared" si="7"/>
        <v>515.90000000000009</v>
      </c>
      <c r="BO89" s="78">
        <f t="shared" si="8"/>
        <v>0.83333333333333337</v>
      </c>
      <c r="BP89" s="78">
        <f t="shared" si="9"/>
        <v>0.83333333333333337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721">
        <v>4680115881303</v>
      </c>
      <c r="E90" s="721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723"/>
      <c r="R90" s="723"/>
      <c r="S90" s="723"/>
      <c r="T90" s="724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729"/>
      <c r="B91" s="729"/>
      <c r="C91" s="729"/>
      <c r="D91" s="729"/>
      <c r="E91" s="729"/>
      <c r="F91" s="729"/>
      <c r="G91" s="729"/>
      <c r="H91" s="729"/>
      <c r="I91" s="729"/>
      <c r="J91" s="729"/>
      <c r="K91" s="729"/>
      <c r="L91" s="729"/>
      <c r="M91" s="729"/>
      <c r="N91" s="729"/>
      <c r="O91" s="730"/>
      <c r="P91" s="726" t="s">
        <v>40</v>
      </c>
      <c r="Q91" s="727"/>
      <c r="R91" s="727"/>
      <c r="S91" s="727"/>
      <c r="T91" s="727"/>
      <c r="U91" s="727"/>
      <c r="V91" s="728"/>
      <c r="W91" s="42" t="s">
        <v>39</v>
      </c>
      <c r="X91" s="43">
        <f>IFERROR(X85/H85,"0")+IFERROR(X86/H86,"0")+IFERROR(X87/H87,"0")+IFERROR(X88/H88,"0")+IFERROR(X89/H89,"0")+IFERROR(X90/H90,"0")</f>
        <v>119.25925925925927</v>
      </c>
      <c r="Y91" s="43">
        <f>IFERROR(Y85/H85,"0")+IFERROR(Y86/H86,"0")+IFERROR(Y87/H87,"0")+IFERROR(Y88/H88,"0")+IFERROR(Y89/H89,"0")+IFERROR(Y90/H90,"0")</f>
        <v>120</v>
      </c>
      <c r="Z91" s="43">
        <f>IFERROR(IF(Z85="",0,Z85),"0")+IFERROR(IF(Z86="",0,Z86),"0")+IFERROR(IF(Z87="",0,Z87),"0")+IFERROR(IF(Z88="",0,Z88),"0")+IFERROR(IF(Z89="",0,Z89),"0")+IFERROR(IF(Z90="",0,Z90),"0")</f>
        <v>1.1819999999999999</v>
      </c>
      <c r="AA91" s="67"/>
      <c r="AB91" s="67"/>
      <c r="AC91" s="67"/>
    </row>
    <row r="92" spans="1:68" x14ac:dyDescent="0.2">
      <c r="A92" s="729"/>
      <c r="B92" s="729"/>
      <c r="C92" s="729"/>
      <c r="D92" s="729"/>
      <c r="E92" s="729"/>
      <c r="F92" s="729"/>
      <c r="G92" s="729"/>
      <c r="H92" s="729"/>
      <c r="I92" s="729"/>
      <c r="J92" s="729"/>
      <c r="K92" s="729"/>
      <c r="L92" s="729"/>
      <c r="M92" s="729"/>
      <c r="N92" s="729"/>
      <c r="O92" s="730"/>
      <c r="P92" s="726" t="s">
        <v>40</v>
      </c>
      <c r="Q92" s="727"/>
      <c r="R92" s="727"/>
      <c r="S92" s="727"/>
      <c r="T92" s="727"/>
      <c r="U92" s="727"/>
      <c r="V92" s="728"/>
      <c r="W92" s="42" t="s">
        <v>0</v>
      </c>
      <c r="X92" s="43">
        <f>IFERROR(SUM(X85:X90),"0")</f>
        <v>595</v>
      </c>
      <c r="Y92" s="43">
        <f>IFERROR(SUM(Y85:Y90),"0")</f>
        <v>603</v>
      </c>
      <c r="Z92" s="42"/>
      <c r="AA92" s="67"/>
      <c r="AB92" s="67"/>
      <c r="AC92" s="67"/>
    </row>
    <row r="93" spans="1:68" ht="14.25" hidden="1" customHeight="1" x14ac:dyDescent="0.25">
      <c r="A93" s="720" t="s">
        <v>86</v>
      </c>
      <c r="B93" s="720"/>
      <c r="C93" s="720"/>
      <c r="D93" s="720"/>
      <c r="E93" s="720"/>
      <c r="F93" s="720"/>
      <c r="G93" s="720"/>
      <c r="H93" s="720"/>
      <c r="I93" s="720"/>
      <c r="J93" s="720"/>
      <c r="K93" s="720"/>
      <c r="L93" s="720"/>
      <c r="M93" s="720"/>
      <c r="N93" s="720"/>
      <c r="O93" s="720"/>
      <c r="P93" s="720"/>
      <c r="Q93" s="720"/>
      <c r="R93" s="720"/>
      <c r="S93" s="720"/>
      <c r="T93" s="720"/>
      <c r="U93" s="720"/>
      <c r="V93" s="720"/>
      <c r="W93" s="720"/>
      <c r="X93" s="720"/>
      <c r="Y93" s="720"/>
      <c r="Z93" s="720"/>
      <c r="AA93" s="66"/>
      <c r="AB93" s="66"/>
      <c r="AC93" s="80"/>
    </row>
    <row r="94" spans="1:68" ht="27" customHeight="1" x14ac:dyDescent="0.25">
      <c r="A94" s="63" t="s">
        <v>196</v>
      </c>
      <c r="B94" s="63" t="s">
        <v>197</v>
      </c>
      <c r="C94" s="36">
        <v>4301052101</v>
      </c>
      <c r="D94" s="721">
        <v>4607091386967</v>
      </c>
      <c r="E94" s="721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6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723"/>
      <c r="R94" s="723"/>
      <c r="S94" s="723"/>
      <c r="T94" s="724"/>
      <c r="U94" s="39" t="s">
        <v>46</v>
      </c>
      <c r="V94" s="39" t="s">
        <v>46</v>
      </c>
      <c r="W94" s="40" t="s">
        <v>0</v>
      </c>
      <c r="X94" s="58">
        <v>600</v>
      </c>
      <c r="Y94" s="55">
        <f>IFERROR(IF(X94="",0,CEILING((X94/$H94),1)*$H94),"")</f>
        <v>607.5</v>
      </c>
      <c r="Z94" s="41">
        <f>IFERROR(IF(Y94=0,"",ROUNDUP(Y94/H94,0)*0.01898),"")</f>
        <v>1.4235</v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636.59259259259261</v>
      </c>
      <c r="BN94" s="78">
        <f>IFERROR(Y94*I94/H94,"0")</f>
        <v>644.54999999999995</v>
      </c>
      <c r="BO94" s="78">
        <f>IFERROR(1/J94*(X94/H94),"0")</f>
        <v>1.1574074074074074</v>
      </c>
      <c r="BP94" s="78">
        <f>IFERROR(1/J94*(Y94/H94),"0")</f>
        <v>1.171875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721">
        <v>4680115884953</v>
      </c>
      <c r="E95" s="721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6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723"/>
      <c r="R95" s="723"/>
      <c r="S95" s="723"/>
      <c r="T95" s="72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4301052094</v>
      </c>
      <c r="D96" s="721">
        <v>4607091385731</v>
      </c>
      <c r="E96" s="721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7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723"/>
      <c r="R96" s="723"/>
      <c r="S96" s="723"/>
      <c r="T96" s="724"/>
      <c r="U96" s="39" t="s">
        <v>46</v>
      </c>
      <c r="V96" s="39" t="s">
        <v>46</v>
      </c>
      <c r="W96" s="40" t="s">
        <v>0</v>
      </c>
      <c r="X96" s="58">
        <v>585</v>
      </c>
      <c r="Y96" s="55">
        <f>IFERROR(IF(X96="",0,CEILING((X96/$H96),1)*$H96),"")</f>
        <v>585.90000000000009</v>
      </c>
      <c r="Z96" s="41">
        <f>IFERROR(IF(Y96=0,"",ROUNDUP(Y96/H96,0)*0.00651),"")</f>
        <v>1.4126700000000001</v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639.6</v>
      </c>
      <c r="BN96" s="78">
        <f>IFERROR(Y96*I96/H96,"0")</f>
        <v>640.58400000000006</v>
      </c>
      <c r="BO96" s="78">
        <f>IFERROR(1/J96*(X96/H96),"0")</f>
        <v>1.1904761904761905</v>
      </c>
      <c r="BP96" s="78">
        <f>IFERROR(1/J96*(Y96/H96),"0")</f>
        <v>1.1923076923076925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721">
        <v>4680115880894</v>
      </c>
      <c r="E97" s="721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723"/>
      <c r="R97" s="723"/>
      <c r="S97" s="723"/>
      <c r="T97" s="72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729"/>
      <c r="B98" s="729"/>
      <c r="C98" s="729"/>
      <c r="D98" s="729"/>
      <c r="E98" s="729"/>
      <c r="F98" s="729"/>
      <c r="G98" s="729"/>
      <c r="H98" s="729"/>
      <c r="I98" s="729"/>
      <c r="J98" s="729"/>
      <c r="K98" s="729"/>
      <c r="L98" s="729"/>
      <c r="M98" s="729"/>
      <c r="N98" s="729"/>
      <c r="O98" s="730"/>
      <c r="P98" s="726" t="s">
        <v>40</v>
      </c>
      <c r="Q98" s="727"/>
      <c r="R98" s="727"/>
      <c r="S98" s="727"/>
      <c r="T98" s="727"/>
      <c r="U98" s="727"/>
      <c r="V98" s="728"/>
      <c r="W98" s="42" t="s">
        <v>39</v>
      </c>
      <c r="X98" s="43">
        <f>IFERROR(X94/H94,"0")+IFERROR(X95/H95,"0")+IFERROR(X96/H96,"0")+IFERROR(X97/H97,"0")</f>
        <v>290.74074074074076</v>
      </c>
      <c r="Y98" s="43">
        <f>IFERROR(Y94/H94,"0")+IFERROR(Y95/H95,"0")+IFERROR(Y96/H96,"0")+IFERROR(Y97/H97,"0")</f>
        <v>292</v>
      </c>
      <c r="Z98" s="43">
        <f>IFERROR(IF(Z94="",0,Z94),"0")+IFERROR(IF(Z95="",0,Z95),"0")+IFERROR(IF(Z96="",0,Z96),"0")+IFERROR(IF(Z97="",0,Z97),"0")</f>
        <v>2.8361700000000001</v>
      </c>
      <c r="AA98" s="67"/>
      <c r="AB98" s="67"/>
      <c r="AC98" s="67"/>
    </row>
    <row r="99" spans="1:68" x14ac:dyDescent="0.2">
      <c r="A99" s="729"/>
      <c r="B99" s="729"/>
      <c r="C99" s="729"/>
      <c r="D99" s="729"/>
      <c r="E99" s="729"/>
      <c r="F99" s="729"/>
      <c r="G99" s="729"/>
      <c r="H99" s="729"/>
      <c r="I99" s="729"/>
      <c r="J99" s="729"/>
      <c r="K99" s="729"/>
      <c r="L99" s="729"/>
      <c r="M99" s="729"/>
      <c r="N99" s="729"/>
      <c r="O99" s="730"/>
      <c r="P99" s="726" t="s">
        <v>40</v>
      </c>
      <c r="Q99" s="727"/>
      <c r="R99" s="727"/>
      <c r="S99" s="727"/>
      <c r="T99" s="727"/>
      <c r="U99" s="727"/>
      <c r="V99" s="728"/>
      <c r="W99" s="42" t="s">
        <v>0</v>
      </c>
      <c r="X99" s="43">
        <f>IFERROR(SUM(X94:X97),"0")</f>
        <v>1185</v>
      </c>
      <c r="Y99" s="43">
        <f>IFERROR(SUM(Y94:Y97),"0")</f>
        <v>1193.4000000000001</v>
      </c>
      <c r="Z99" s="42"/>
      <c r="AA99" s="67"/>
      <c r="AB99" s="67"/>
      <c r="AC99" s="67"/>
    </row>
    <row r="100" spans="1:68" ht="16.5" hidden="1" customHeight="1" x14ac:dyDescent="0.25">
      <c r="A100" s="719" t="s">
        <v>207</v>
      </c>
      <c r="B100" s="719"/>
      <c r="C100" s="719"/>
      <c r="D100" s="719"/>
      <c r="E100" s="719"/>
      <c r="F100" s="719"/>
      <c r="G100" s="719"/>
      <c r="H100" s="719"/>
      <c r="I100" s="719"/>
      <c r="J100" s="719"/>
      <c r="K100" s="719"/>
      <c r="L100" s="719"/>
      <c r="M100" s="719"/>
      <c r="N100" s="719"/>
      <c r="O100" s="719"/>
      <c r="P100" s="719"/>
      <c r="Q100" s="719"/>
      <c r="R100" s="719"/>
      <c r="S100" s="719"/>
      <c r="T100" s="719"/>
      <c r="U100" s="719"/>
      <c r="V100" s="719"/>
      <c r="W100" s="719"/>
      <c r="X100" s="719"/>
      <c r="Y100" s="719"/>
      <c r="Z100" s="719"/>
      <c r="AA100" s="65"/>
      <c r="AB100" s="65"/>
      <c r="AC100" s="79"/>
    </row>
    <row r="101" spans="1:68" ht="14.25" hidden="1" customHeight="1" x14ac:dyDescent="0.25">
      <c r="A101" s="720" t="s">
        <v>122</v>
      </c>
      <c r="B101" s="720"/>
      <c r="C101" s="720"/>
      <c r="D101" s="720"/>
      <c r="E101" s="720"/>
      <c r="F101" s="720"/>
      <c r="G101" s="720"/>
      <c r="H101" s="720"/>
      <c r="I101" s="720"/>
      <c r="J101" s="720"/>
      <c r="K101" s="720"/>
      <c r="L101" s="720"/>
      <c r="M101" s="720"/>
      <c r="N101" s="720"/>
      <c r="O101" s="720"/>
      <c r="P101" s="720"/>
      <c r="Q101" s="720"/>
      <c r="R101" s="720"/>
      <c r="S101" s="720"/>
      <c r="T101" s="720"/>
      <c r="U101" s="720"/>
      <c r="V101" s="720"/>
      <c r="W101" s="720"/>
      <c r="X101" s="720"/>
      <c r="Y101" s="720"/>
      <c r="Z101" s="720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721">
        <v>4680115882133</v>
      </c>
      <c r="E102" s="721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723"/>
      <c r="R102" s="723"/>
      <c r="S102" s="723"/>
      <c r="T102" s="72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721">
        <v>4680115887718</v>
      </c>
      <c r="E103" s="721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3"/>
      <c r="R103" s="723"/>
      <c r="S103" s="723"/>
      <c r="T103" s="7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721">
        <v>4680115880269</v>
      </c>
      <c r="E104" s="721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3"/>
      <c r="R104" s="723"/>
      <c r="S104" s="723"/>
      <c r="T104" s="7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4301012254</v>
      </c>
      <c r="D105" s="721">
        <v>4680115880429</v>
      </c>
      <c r="E105" s="721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3"/>
      <c r="R105" s="723"/>
      <c r="S105" s="723"/>
      <c r="T105" s="724"/>
      <c r="U105" s="39" t="s">
        <v>46</v>
      </c>
      <c r="V105" s="39" t="s">
        <v>46</v>
      </c>
      <c r="W105" s="40" t="s">
        <v>0</v>
      </c>
      <c r="X105" s="58">
        <v>270</v>
      </c>
      <c r="Y105" s="55">
        <f t="shared" si="10"/>
        <v>270</v>
      </c>
      <c r="Z105" s="41">
        <f>IFERROR(IF(Y105=0,"",ROUNDUP(Y105/H105,0)*0.00902),"")</f>
        <v>0.54120000000000001</v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281.40000000000003</v>
      </c>
      <c r="BN105" s="78">
        <f t="shared" si="12"/>
        <v>281.40000000000003</v>
      </c>
      <c r="BO105" s="78">
        <f t="shared" si="13"/>
        <v>0.45454545454545459</v>
      </c>
      <c r="BP105" s="78">
        <f t="shared" si="14"/>
        <v>0.45454545454545459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21">
        <v>4680115881457</v>
      </c>
      <c r="E106" s="721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3"/>
      <c r="R106" s="723"/>
      <c r="S106" s="723"/>
      <c r="T106" s="7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21">
        <v>4680115881457</v>
      </c>
      <c r="E107" s="721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3"/>
      <c r="R107" s="723"/>
      <c r="S107" s="723"/>
      <c r="T107" s="72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x14ac:dyDescent="0.2">
      <c r="A108" s="729"/>
      <c r="B108" s="729"/>
      <c r="C108" s="729"/>
      <c r="D108" s="729"/>
      <c r="E108" s="729"/>
      <c r="F108" s="729"/>
      <c r="G108" s="729"/>
      <c r="H108" s="729"/>
      <c r="I108" s="729"/>
      <c r="J108" s="729"/>
      <c r="K108" s="729"/>
      <c r="L108" s="729"/>
      <c r="M108" s="729"/>
      <c r="N108" s="729"/>
      <c r="O108" s="730"/>
      <c r="P108" s="726" t="s">
        <v>40</v>
      </c>
      <c r="Q108" s="727"/>
      <c r="R108" s="727"/>
      <c r="S108" s="727"/>
      <c r="T108" s="727"/>
      <c r="U108" s="727"/>
      <c r="V108" s="728"/>
      <c r="W108" s="42" t="s">
        <v>39</v>
      </c>
      <c r="X108" s="43">
        <f>IFERROR(X102/H102,"0")+IFERROR(X103/H103,"0")+IFERROR(X104/H104,"0")+IFERROR(X105/H105,"0")+IFERROR(X106/H106,"0")+IFERROR(X107/H107,"0")</f>
        <v>60</v>
      </c>
      <c r="Y108" s="43">
        <f>IFERROR(Y102/H102,"0")+IFERROR(Y103/H103,"0")+IFERROR(Y104/H104,"0")+IFERROR(Y105/H105,"0")+IFERROR(Y106/H106,"0")+IFERROR(Y107/H107,"0")</f>
        <v>60</v>
      </c>
      <c r="Z108" s="43">
        <f>IFERROR(IF(Z102="",0,Z102),"0")+IFERROR(IF(Z103="",0,Z103),"0")+IFERROR(IF(Z104="",0,Z104),"0")+IFERROR(IF(Z105="",0,Z105),"0")+IFERROR(IF(Z106="",0,Z106),"0")+IFERROR(IF(Z107="",0,Z107),"0")</f>
        <v>0.54120000000000001</v>
      </c>
      <c r="AA108" s="67"/>
      <c r="AB108" s="67"/>
      <c r="AC108" s="67"/>
    </row>
    <row r="109" spans="1:68" x14ac:dyDescent="0.2">
      <c r="A109" s="729"/>
      <c r="B109" s="729"/>
      <c r="C109" s="729"/>
      <c r="D109" s="729"/>
      <c r="E109" s="729"/>
      <c r="F109" s="729"/>
      <c r="G109" s="729"/>
      <c r="H109" s="729"/>
      <c r="I109" s="729"/>
      <c r="J109" s="729"/>
      <c r="K109" s="729"/>
      <c r="L109" s="729"/>
      <c r="M109" s="729"/>
      <c r="N109" s="729"/>
      <c r="O109" s="730"/>
      <c r="P109" s="726" t="s">
        <v>40</v>
      </c>
      <c r="Q109" s="727"/>
      <c r="R109" s="727"/>
      <c r="S109" s="727"/>
      <c r="T109" s="727"/>
      <c r="U109" s="727"/>
      <c r="V109" s="728"/>
      <c r="W109" s="42" t="s">
        <v>0</v>
      </c>
      <c r="X109" s="43">
        <f>IFERROR(SUM(X102:X107),"0")</f>
        <v>270</v>
      </c>
      <c r="Y109" s="43">
        <f>IFERROR(SUM(Y102:Y107),"0")</f>
        <v>270</v>
      </c>
      <c r="Z109" s="42"/>
      <c r="AA109" s="67"/>
      <c r="AB109" s="67"/>
      <c r="AC109" s="67"/>
    </row>
    <row r="110" spans="1:68" ht="14.25" hidden="1" customHeight="1" x14ac:dyDescent="0.25">
      <c r="A110" s="720" t="s">
        <v>157</v>
      </c>
      <c r="B110" s="720"/>
      <c r="C110" s="720"/>
      <c r="D110" s="720"/>
      <c r="E110" s="720"/>
      <c r="F110" s="720"/>
      <c r="G110" s="720"/>
      <c r="H110" s="720"/>
      <c r="I110" s="720"/>
      <c r="J110" s="720"/>
      <c r="K110" s="720"/>
      <c r="L110" s="720"/>
      <c r="M110" s="720"/>
      <c r="N110" s="720"/>
      <c r="O110" s="720"/>
      <c r="P110" s="720"/>
      <c r="Q110" s="720"/>
      <c r="R110" s="720"/>
      <c r="S110" s="720"/>
      <c r="T110" s="720"/>
      <c r="U110" s="720"/>
      <c r="V110" s="720"/>
      <c r="W110" s="720"/>
      <c r="X110" s="720"/>
      <c r="Y110" s="720"/>
      <c r="Z110" s="720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721">
        <v>4680115881488</v>
      </c>
      <c r="E111" s="721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7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723"/>
      <c r="R111" s="723"/>
      <c r="S111" s="723"/>
      <c r="T111" s="72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721">
        <v>4680115887664</v>
      </c>
      <c r="E112" s="721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723"/>
      <c r="R112" s="723"/>
      <c r="S112" s="723"/>
      <c r="T112" s="72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721">
        <v>4680115887664</v>
      </c>
      <c r="E113" s="721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780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3"/>
      <c r="R113" s="723"/>
      <c r="S113" s="723"/>
      <c r="T113" s="72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721">
        <v>4680115882775</v>
      </c>
      <c r="E114" s="721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723"/>
      <c r="R114" s="723"/>
      <c r="S114" s="723"/>
      <c r="T114" s="72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721">
        <v>4680115880658</v>
      </c>
      <c r="E115" s="721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7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723"/>
      <c r="R115" s="723"/>
      <c r="S115" s="723"/>
      <c r="T115" s="72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729"/>
      <c r="B116" s="729"/>
      <c r="C116" s="729"/>
      <c r="D116" s="729"/>
      <c r="E116" s="729"/>
      <c r="F116" s="729"/>
      <c r="G116" s="729"/>
      <c r="H116" s="729"/>
      <c r="I116" s="729"/>
      <c r="J116" s="729"/>
      <c r="K116" s="729"/>
      <c r="L116" s="729"/>
      <c r="M116" s="729"/>
      <c r="N116" s="729"/>
      <c r="O116" s="730"/>
      <c r="P116" s="726" t="s">
        <v>40</v>
      </c>
      <c r="Q116" s="727"/>
      <c r="R116" s="727"/>
      <c r="S116" s="727"/>
      <c r="T116" s="727"/>
      <c r="U116" s="727"/>
      <c r="V116" s="728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729"/>
      <c r="B117" s="729"/>
      <c r="C117" s="729"/>
      <c r="D117" s="729"/>
      <c r="E117" s="729"/>
      <c r="F117" s="729"/>
      <c r="G117" s="729"/>
      <c r="H117" s="729"/>
      <c r="I117" s="729"/>
      <c r="J117" s="729"/>
      <c r="K117" s="729"/>
      <c r="L117" s="729"/>
      <c r="M117" s="729"/>
      <c r="N117" s="729"/>
      <c r="O117" s="730"/>
      <c r="P117" s="726" t="s">
        <v>40</v>
      </c>
      <c r="Q117" s="727"/>
      <c r="R117" s="727"/>
      <c r="S117" s="727"/>
      <c r="T117" s="727"/>
      <c r="U117" s="727"/>
      <c r="V117" s="728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720" t="s">
        <v>86</v>
      </c>
      <c r="B118" s="720"/>
      <c r="C118" s="720"/>
      <c r="D118" s="720"/>
      <c r="E118" s="720"/>
      <c r="F118" s="720"/>
      <c r="G118" s="720"/>
      <c r="H118" s="720"/>
      <c r="I118" s="720"/>
      <c r="J118" s="720"/>
      <c r="K118" s="720"/>
      <c r="L118" s="720"/>
      <c r="M118" s="720"/>
      <c r="N118" s="720"/>
      <c r="O118" s="720"/>
      <c r="P118" s="720"/>
      <c r="Q118" s="720"/>
      <c r="R118" s="720"/>
      <c r="S118" s="720"/>
      <c r="T118" s="720"/>
      <c r="U118" s="720"/>
      <c r="V118" s="720"/>
      <c r="W118" s="720"/>
      <c r="X118" s="720"/>
      <c r="Y118" s="720"/>
      <c r="Z118" s="720"/>
      <c r="AA118" s="66"/>
      <c r="AB118" s="66"/>
      <c r="AC118" s="80"/>
    </row>
    <row r="119" spans="1:68" ht="27" customHeight="1" x14ac:dyDescent="0.25">
      <c r="A119" s="63" t="s">
        <v>234</v>
      </c>
      <c r="B119" s="63" t="s">
        <v>235</v>
      </c>
      <c r="C119" s="36">
        <v>4301052088</v>
      </c>
      <c r="D119" s="721">
        <v>4607091385168</v>
      </c>
      <c r="E119" s="721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7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723"/>
      <c r="R119" s="723"/>
      <c r="S119" s="723"/>
      <c r="T119" s="724"/>
      <c r="U119" s="39" t="s">
        <v>46</v>
      </c>
      <c r="V119" s="39" t="s">
        <v>46</v>
      </c>
      <c r="W119" s="40" t="s">
        <v>0</v>
      </c>
      <c r="X119" s="58">
        <v>600</v>
      </c>
      <c r="Y119" s="55">
        <f>IFERROR(IF(X119="",0,CEILING((X119/$H119),1)*$H119),"")</f>
        <v>607.5</v>
      </c>
      <c r="Z119" s="41">
        <f>IFERROR(IF(Y119=0,"",ROUNDUP(Y119/H119,0)*0.01898),"")</f>
        <v>1.4235</v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636.14814814814804</v>
      </c>
      <c r="BN119" s="78">
        <f>IFERROR(Y119*I119/H119,"0")</f>
        <v>644.09999999999991</v>
      </c>
      <c r="BO119" s="78">
        <f>IFERROR(1/J119*(X119/H119),"0")</f>
        <v>1.1574074074074074</v>
      </c>
      <c r="BP119" s="78">
        <f>IFERROR(1/J119*(Y119/H119),"0")</f>
        <v>1.171875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721">
        <v>4607091383256</v>
      </c>
      <c r="E120" s="721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723"/>
      <c r="R120" s="723"/>
      <c r="S120" s="723"/>
      <c r="T120" s="72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239</v>
      </c>
      <c r="B121" s="63" t="s">
        <v>240</v>
      </c>
      <c r="C121" s="36">
        <v>4301052086</v>
      </c>
      <c r="D121" s="721">
        <v>4607091385748</v>
      </c>
      <c r="E121" s="721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723"/>
      <c r="R121" s="723"/>
      <c r="S121" s="723"/>
      <c r="T121" s="724"/>
      <c r="U121" s="39" t="s">
        <v>46</v>
      </c>
      <c r="V121" s="39" t="s">
        <v>46</v>
      </c>
      <c r="W121" s="40" t="s">
        <v>0</v>
      </c>
      <c r="X121" s="58">
        <v>630</v>
      </c>
      <c r="Y121" s="55">
        <f>IFERROR(IF(X121="",0,CEILING((X121/$H121),1)*$H121),"")</f>
        <v>631.80000000000007</v>
      </c>
      <c r="Z121" s="41">
        <f>IFERROR(IF(Y121=0,"",ROUNDUP(Y121/H121,0)*0.00651),"")</f>
        <v>1.5233400000000001</v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688.8</v>
      </c>
      <c r="BN121" s="78">
        <f>IFERROR(Y121*I121/H121,"0")</f>
        <v>690.76800000000003</v>
      </c>
      <c r="BO121" s="78">
        <f>IFERROR(1/J121*(X121/H121),"0")</f>
        <v>1.2820512820512819</v>
      </c>
      <c r="BP121" s="78">
        <f>IFERROR(1/J121*(Y121/H121),"0")</f>
        <v>1.2857142857142858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721">
        <v>4680115884533</v>
      </c>
      <c r="E122" s="721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723"/>
      <c r="R122" s="723"/>
      <c r="S122" s="723"/>
      <c r="T122" s="72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29"/>
      <c r="B123" s="729"/>
      <c r="C123" s="729"/>
      <c r="D123" s="729"/>
      <c r="E123" s="729"/>
      <c r="F123" s="729"/>
      <c r="G123" s="729"/>
      <c r="H123" s="729"/>
      <c r="I123" s="729"/>
      <c r="J123" s="729"/>
      <c r="K123" s="729"/>
      <c r="L123" s="729"/>
      <c r="M123" s="729"/>
      <c r="N123" s="729"/>
      <c r="O123" s="730"/>
      <c r="P123" s="726" t="s">
        <v>40</v>
      </c>
      <c r="Q123" s="727"/>
      <c r="R123" s="727"/>
      <c r="S123" s="727"/>
      <c r="T123" s="727"/>
      <c r="U123" s="727"/>
      <c r="V123" s="728"/>
      <c r="W123" s="42" t="s">
        <v>39</v>
      </c>
      <c r="X123" s="43">
        <f>IFERROR(X119/H119,"0")+IFERROR(X120/H120,"0")+IFERROR(X121/H121,"0")+IFERROR(X122/H122,"0")</f>
        <v>307.40740740740739</v>
      </c>
      <c r="Y123" s="43">
        <f>IFERROR(Y119/H119,"0")+IFERROR(Y120/H120,"0")+IFERROR(Y121/H121,"0")+IFERROR(Y122/H122,"0")</f>
        <v>309</v>
      </c>
      <c r="Z123" s="43">
        <f>IFERROR(IF(Z119="",0,Z119),"0")+IFERROR(IF(Z120="",0,Z120),"0")+IFERROR(IF(Z121="",0,Z121),"0")+IFERROR(IF(Z122="",0,Z122),"0")</f>
        <v>2.9468399999999999</v>
      </c>
      <c r="AA123" s="67"/>
      <c r="AB123" s="67"/>
      <c r="AC123" s="67"/>
    </row>
    <row r="124" spans="1:68" x14ac:dyDescent="0.2">
      <c r="A124" s="729"/>
      <c r="B124" s="729"/>
      <c r="C124" s="729"/>
      <c r="D124" s="729"/>
      <c r="E124" s="729"/>
      <c r="F124" s="729"/>
      <c r="G124" s="729"/>
      <c r="H124" s="729"/>
      <c r="I124" s="729"/>
      <c r="J124" s="729"/>
      <c r="K124" s="729"/>
      <c r="L124" s="729"/>
      <c r="M124" s="729"/>
      <c r="N124" s="729"/>
      <c r="O124" s="730"/>
      <c r="P124" s="726" t="s">
        <v>40</v>
      </c>
      <c r="Q124" s="727"/>
      <c r="R124" s="727"/>
      <c r="S124" s="727"/>
      <c r="T124" s="727"/>
      <c r="U124" s="727"/>
      <c r="V124" s="728"/>
      <c r="W124" s="42" t="s">
        <v>0</v>
      </c>
      <c r="X124" s="43">
        <f>IFERROR(SUM(X119:X122),"0")</f>
        <v>1230</v>
      </c>
      <c r="Y124" s="43">
        <f>IFERROR(SUM(Y119:Y122),"0")</f>
        <v>1239.3000000000002</v>
      </c>
      <c r="Z124" s="42"/>
      <c r="AA124" s="67"/>
      <c r="AB124" s="67"/>
      <c r="AC124" s="67"/>
    </row>
    <row r="125" spans="1:68" ht="14.25" hidden="1" customHeight="1" x14ac:dyDescent="0.25">
      <c r="A125" s="720" t="s">
        <v>175</v>
      </c>
      <c r="B125" s="720"/>
      <c r="C125" s="720"/>
      <c r="D125" s="720"/>
      <c r="E125" s="720"/>
      <c r="F125" s="720"/>
      <c r="G125" s="720"/>
      <c r="H125" s="720"/>
      <c r="I125" s="720"/>
      <c r="J125" s="720"/>
      <c r="K125" s="720"/>
      <c r="L125" s="720"/>
      <c r="M125" s="720"/>
      <c r="N125" s="720"/>
      <c r="O125" s="720"/>
      <c r="P125" s="720"/>
      <c r="Q125" s="720"/>
      <c r="R125" s="720"/>
      <c r="S125" s="720"/>
      <c r="T125" s="720"/>
      <c r="U125" s="720"/>
      <c r="V125" s="720"/>
      <c r="W125" s="720"/>
      <c r="X125" s="720"/>
      <c r="Y125" s="720"/>
      <c r="Z125" s="720"/>
      <c r="AA125" s="66"/>
      <c r="AB125" s="66"/>
      <c r="AC125" s="80"/>
    </row>
    <row r="126" spans="1:68" ht="16.5" customHeight="1" x14ac:dyDescent="0.25">
      <c r="A126" s="63" t="s">
        <v>244</v>
      </c>
      <c r="B126" s="63" t="s">
        <v>245</v>
      </c>
      <c r="C126" s="36">
        <v>4301060525</v>
      </c>
      <c r="D126" s="721">
        <v>4680115880238</v>
      </c>
      <c r="E126" s="721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7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723"/>
      <c r="R126" s="723"/>
      <c r="S126" s="723"/>
      <c r="T126" s="724"/>
      <c r="U126" s="39" t="s">
        <v>46</v>
      </c>
      <c r="V126" s="39" t="s">
        <v>46</v>
      </c>
      <c r="W126" s="40" t="s">
        <v>0</v>
      </c>
      <c r="X126" s="58">
        <v>50</v>
      </c>
      <c r="Y126" s="55">
        <f>IFERROR(IF(X126="",0,CEILING((X126/$H126),1)*$H126),"")</f>
        <v>51.48</v>
      </c>
      <c r="Z126" s="41">
        <f>IFERROR(IF(Y126=0,"",ROUNDUP(Y126/H126,0)*0.00651),"")</f>
        <v>0.16925999999999999</v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56.515151515151516</v>
      </c>
      <c r="BN126" s="78">
        <f>IFERROR(Y126*I126/H126,"0")</f>
        <v>58.187999999999995</v>
      </c>
      <c r="BO126" s="78">
        <f>IFERROR(1/J126*(X126/H126),"0")</f>
        <v>0.13875013875013875</v>
      </c>
      <c r="BP126" s="78">
        <f>IFERROR(1/J126*(Y126/H126),"0")</f>
        <v>0.14285714285714288</v>
      </c>
    </row>
    <row r="127" spans="1:68" x14ac:dyDescent="0.2">
      <c r="A127" s="729"/>
      <c r="B127" s="729"/>
      <c r="C127" s="729"/>
      <c r="D127" s="729"/>
      <c r="E127" s="729"/>
      <c r="F127" s="729"/>
      <c r="G127" s="729"/>
      <c r="H127" s="729"/>
      <c r="I127" s="729"/>
      <c r="J127" s="729"/>
      <c r="K127" s="729"/>
      <c r="L127" s="729"/>
      <c r="M127" s="729"/>
      <c r="N127" s="729"/>
      <c r="O127" s="730"/>
      <c r="P127" s="726" t="s">
        <v>40</v>
      </c>
      <c r="Q127" s="727"/>
      <c r="R127" s="727"/>
      <c r="S127" s="727"/>
      <c r="T127" s="727"/>
      <c r="U127" s="727"/>
      <c r="V127" s="728"/>
      <c r="W127" s="42" t="s">
        <v>39</v>
      </c>
      <c r="X127" s="43">
        <f>IFERROR(X126/H126,"0")</f>
        <v>25.252525252525253</v>
      </c>
      <c r="Y127" s="43">
        <f>IFERROR(Y126/H126,"0")</f>
        <v>26</v>
      </c>
      <c r="Z127" s="43">
        <f>IFERROR(IF(Z126="",0,Z126),"0")</f>
        <v>0.16925999999999999</v>
      </c>
      <c r="AA127" s="67"/>
      <c r="AB127" s="67"/>
      <c r="AC127" s="67"/>
    </row>
    <row r="128" spans="1:68" x14ac:dyDescent="0.2">
      <c r="A128" s="729"/>
      <c r="B128" s="729"/>
      <c r="C128" s="729"/>
      <c r="D128" s="729"/>
      <c r="E128" s="729"/>
      <c r="F128" s="729"/>
      <c r="G128" s="729"/>
      <c r="H128" s="729"/>
      <c r="I128" s="729"/>
      <c r="J128" s="729"/>
      <c r="K128" s="729"/>
      <c r="L128" s="729"/>
      <c r="M128" s="729"/>
      <c r="N128" s="729"/>
      <c r="O128" s="730"/>
      <c r="P128" s="726" t="s">
        <v>40</v>
      </c>
      <c r="Q128" s="727"/>
      <c r="R128" s="727"/>
      <c r="S128" s="727"/>
      <c r="T128" s="727"/>
      <c r="U128" s="727"/>
      <c r="V128" s="728"/>
      <c r="W128" s="42" t="s">
        <v>0</v>
      </c>
      <c r="X128" s="43">
        <f>IFERROR(SUM(X126:X126),"0")</f>
        <v>50</v>
      </c>
      <c r="Y128" s="43">
        <f>IFERROR(SUM(Y126:Y126),"0")</f>
        <v>51.48</v>
      </c>
      <c r="Z128" s="42"/>
      <c r="AA128" s="67"/>
      <c r="AB128" s="67"/>
      <c r="AC128" s="67"/>
    </row>
    <row r="129" spans="1:68" ht="16.5" hidden="1" customHeight="1" x14ac:dyDescent="0.25">
      <c r="A129" s="719" t="s">
        <v>247</v>
      </c>
      <c r="B129" s="719"/>
      <c r="C129" s="719"/>
      <c r="D129" s="719"/>
      <c r="E129" s="719"/>
      <c r="F129" s="719"/>
      <c r="G129" s="719"/>
      <c r="H129" s="719"/>
      <c r="I129" s="719"/>
      <c r="J129" s="719"/>
      <c r="K129" s="719"/>
      <c r="L129" s="719"/>
      <c r="M129" s="719"/>
      <c r="N129" s="719"/>
      <c r="O129" s="719"/>
      <c r="P129" s="719"/>
      <c r="Q129" s="719"/>
      <c r="R129" s="719"/>
      <c r="S129" s="719"/>
      <c r="T129" s="719"/>
      <c r="U129" s="719"/>
      <c r="V129" s="719"/>
      <c r="W129" s="719"/>
      <c r="X129" s="719"/>
      <c r="Y129" s="719"/>
      <c r="Z129" s="719"/>
      <c r="AA129" s="65"/>
      <c r="AB129" s="65"/>
      <c r="AC129" s="79"/>
    </row>
    <row r="130" spans="1:68" ht="14.25" hidden="1" customHeight="1" x14ac:dyDescent="0.25">
      <c r="A130" s="720" t="s">
        <v>122</v>
      </c>
      <c r="B130" s="720"/>
      <c r="C130" s="720"/>
      <c r="D130" s="720"/>
      <c r="E130" s="720"/>
      <c r="F130" s="720"/>
      <c r="G130" s="720"/>
      <c r="H130" s="720"/>
      <c r="I130" s="720"/>
      <c r="J130" s="720"/>
      <c r="K130" s="720"/>
      <c r="L130" s="720"/>
      <c r="M130" s="720"/>
      <c r="N130" s="720"/>
      <c r="O130" s="720"/>
      <c r="P130" s="720"/>
      <c r="Q130" s="720"/>
      <c r="R130" s="720"/>
      <c r="S130" s="720"/>
      <c r="T130" s="720"/>
      <c r="U130" s="720"/>
      <c r="V130" s="720"/>
      <c r="W130" s="720"/>
      <c r="X130" s="720"/>
      <c r="Y130" s="720"/>
      <c r="Z130" s="720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721">
        <v>4680115882577</v>
      </c>
      <c r="E131" s="721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723"/>
      <c r="R131" s="723"/>
      <c r="S131" s="723"/>
      <c r="T131" s="724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customHeight="1" x14ac:dyDescent="0.25">
      <c r="A132" s="63" t="s">
        <v>248</v>
      </c>
      <c r="B132" s="63" t="s">
        <v>252</v>
      </c>
      <c r="C132" s="36">
        <v>4301011564</v>
      </c>
      <c r="D132" s="721">
        <v>4680115882577</v>
      </c>
      <c r="E132" s="72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7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723"/>
      <c r="R132" s="723"/>
      <c r="S132" s="723"/>
      <c r="T132" s="724"/>
      <c r="U132" s="39" t="s">
        <v>46</v>
      </c>
      <c r="V132" s="39" t="s">
        <v>46</v>
      </c>
      <c r="W132" s="40" t="s">
        <v>0</v>
      </c>
      <c r="X132" s="58">
        <v>60</v>
      </c>
      <c r="Y132" s="55">
        <f>IFERROR(IF(X132="",0,CEILING((X132/$H132),1)*$H132),"")</f>
        <v>60.800000000000004</v>
      </c>
      <c r="Z132" s="41">
        <f>IFERROR(IF(Y132=0,"",ROUNDUP(Y132/H132,0)*0.00651),"")</f>
        <v>0.12369000000000001</v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63.374999999999993</v>
      </c>
      <c r="BN132" s="78">
        <f>IFERROR(Y132*I132/H132,"0")</f>
        <v>64.22</v>
      </c>
      <c r="BO132" s="78">
        <f>IFERROR(1/J132*(X132/H132),"0")</f>
        <v>0.10302197802197803</v>
      </c>
      <c r="BP132" s="78">
        <f>IFERROR(1/J132*(Y132/H132),"0")</f>
        <v>0.1043956043956044</v>
      </c>
    </row>
    <row r="133" spans="1:68" x14ac:dyDescent="0.2">
      <c r="A133" s="729"/>
      <c r="B133" s="729"/>
      <c r="C133" s="729"/>
      <c r="D133" s="729"/>
      <c r="E133" s="729"/>
      <c r="F133" s="729"/>
      <c r="G133" s="729"/>
      <c r="H133" s="729"/>
      <c r="I133" s="729"/>
      <c r="J133" s="729"/>
      <c r="K133" s="729"/>
      <c r="L133" s="729"/>
      <c r="M133" s="729"/>
      <c r="N133" s="729"/>
      <c r="O133" s="730"/>
      <c r="P133" s="726" t="s">
        <v>40</v>
      </c>
      <c r="Q133" s="727"/>
      <c r="R133" s="727"/>
      <c r="S133" s="727"/>
      <c r="T133" s="727"/>
      <c r="U133" s="727"/>
      <c r="V133" s="728"/>
      <c r="W133" s="42" t="s">
        <v>39</v>
      </c>
      <c r="X133" s="43">
        <f>IFERROR(X131/H131,"0")+IFERROR(X132/H132,"0")</f>
        <v>18.75</v>
      </c>
      <c r="Y133" s="43">
        <f>IFERROR(Y131/H131,"0")+IFERROR(Y132/H132,"0")</f>
        <v>19</v>
      </c>
      <c r="Z133" s="43">
        <f>IFERROR(IF(Z131="",0,Z131),"0")+IFERROR(IF(Z132="",0,Z132),"0")</f>
        <v>0.12369000000000001</v>
      </c>
      <c r="AA133" s="67"/>
      <c r="AB133" s="67"/>
      <c r="AC133" s="67"/>
    </row>
    <row r="134" spans="1:68" x14ac:dyDescent="0.2">
      <c r="A134" s="729"/>
      <c r="B134" s="729"/>
      <c r="C134" s="729"/>
      <c r="D134" s="729"/>
      <c r="E134" s="729"/>
      <c r="F134" s="729"/>
      <c r="G134" s="729"/>
      <c r="H134" s="729"/>
      <c r="I134" s="729"/>
      <c r="J134" s="729"/>
      <c r="K134" s="729"/>
      <c r="L134" s="729"/>
      <c r="M134" s="729"/>
      <c r="N134" s="729"/>
      <c r="O134" s="730"/>
      <c r="P134" s="726" t="s">
        <v>40</v>
      </c>
      <c r="Q134" s="727"/>
      <c r="R134" s="727"/>
      <c r="S134" s="727"/>
      <c r="T134" s="727"/>
      <c r="U134" s="727"/>
      <c r="V134" s="728"/>
      <c r="W134" s="42" t="s">
        <v>0</v>
      </c>
      <c r="X134" s="43">
        <f>IFERROR(SUM(X131:X132),"0")</f>
        <v>60</v>
      </c>
      <c r="Y134" s="43">
        <f>IFERROR(SUM(Y131:Y132),"0")</f>
        <v>60.800000000000004</v>
      </c>
      <c r="Z134" s="42"/>
      <c r="AA134" s="67"/>
      <c r="AB134" s="67"/>
      <c r="AC134" s="67"/>
    </row>
    <row r="135" spans="1:68" ht="14.25" hidden="1" customHeight="1" x14ac:dyDescent="0.25">
      <c r="A135" s="720" t="s">
        <v>77</v>
      </c>
      <c r="B135" s="720"/>
      <c r="C135" s="720"/>
      <c r="D135" s="720"/>
      <c r="E135" s="720"/>
      <c r="F135" s="720"/>
      <c r="G135" s="720"/>
      <c r="H135" s="720"/>
      <c r="I135" s="720"/>
      <c r="J135" s="720"/>
      <c r="K135" s="720"/>
      <c r="L135" s="720"/>
      <c r="M135" s="720"/>
      <c r="N135" s="720"/>
      <c r="O135" s="720"/>
      <c r="P135" s="720"/>
      <c r="Q135" s="720"/>
      <c r="R135" s="720"/>
      <c r="S135" s="720"/>
      <c r="T135" s="720"/>
      <c r="U135" s="720"/>
      <c r="V135" s="720"/>
      <c r="W135" s="720"/>
      <c r="X135" s="720"/>
      <c r="Y135" s="720"/>
      <c r="Z135" s="720"/>
      <c r="AA135" s="66"/>
      <c r="AB135" s="66"/>
      <c r="AC135" s="80"/>
    </row>
    <row r="136" spans="1:68" ht="27" customHeight="1" x14ac:dyDescent="0.25">
      <c r="A136" s="63" t="s">
        <v>253</v>
      </c>
      <c r="B136" s="63" t="s">
        <v>254</v>
      </c>
      <c r="C136" s="36">
        <v>4301031234</v>
      </c>
      <c r="D136" s="721">
        <v>4680115883444</v>
      </c>
      <c r="E136" s="72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23"/>
      <c r="R136" s="723"/>
      <c r="S136" s="723"/>
      <c r="T136" s="724"/>
      <c r="U136" s="39" t="s">
        <v>46</v>
      </c>
      <c r="V136" s="39" t="s">
        <v>46</v>
      </c>
      <c r="W136" s="40" t="s">
        <v>0</v>
      </c>
      <c r="X136" s="58">
        <v>49</v>
      </c>
      <c r="Y136" s="55">
        <f>IFERROR(IF(X136="",0,CEILING((X136/$H136),1)*$H136),"")</f>
        <v>50.4</v>
      </c>
      <c r="Z136" s="41">
        <f>IFERROR(IF(Y136=0,"",ROUNDUP(Y136/H136,0)*0.00651),"")</f>
        <v>0.11718000000000001</v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53.69</v>
      </c>
      <c r="BN136" s="78">
        <f>IFERROR(Y136*I136/H136,"0")</f>
        <v>55.223999999999997</v>
      </c>
      <c r="BO136" s="78">
        <f>IFERROR(1/J136*(X136/H136),"0")</f>
        <v>9.6153846153846159E-2</v>
      </c>
      <c r="BP136" s="78">
        <f>IFERROR(1/J136*(Y136/H136),"0")</f>
        <v>9.8901098901098911E-2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721">
        <v>4680115883444</v>
      </c>
      <c r="E137" s="72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23"/>
      <c r="R137" s="723"/>
      <c r="S137" s="723"/>
      <c r="T137" s="72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29"/>
      <c r="B138" s="729"/>
      <c r="C138" s="729"/>
      <c r="D138" s="729"/>
      <c r="E138" s="729"/>
      <c r="F138" s="729"/>
      <c r="G138" s="729"/>
      <c r="H138" s="729"/>
      <c r="I138" s="729"/>
      <c r="J138" s="729"/>
      <c r="K138" s="729"/>
      <c r="L138" s="729"/>
      <c r="M138" s="729"/>
      <c r="N138" s="729"/>
      <c r="O138" s="730"/>
      <c r="P138" s="726" t="s">
        <v>40</v>
      </c>
      <c r="Q138" s="727"/>
      <c r="R138" s="727"/>
      <c r="S138" s="727"/>
      <c r="T138" s="727"/>
      <c r="U138" s="727"/>
      <c r="V138" s="728"/>
      <c r="W138" s="42" t="s">
        <v>39</v>
      </c>
      <c r="X138" s="43">
        <f>IFERROR(X136/H136,"0")+IFERROR(X137/H137,"0")</f>
        <v>17.5</v>
      </c>
      <c r="Y138" s="43">
        <f>IFERROR(Y136/H136,"0")+IFERROR(Y137/H137,"0")</f>
        <v>18</v>
      </c>
      <c r="Z138" s="43">
        <f>IFERROR(IF(Z136="",0,Z136),"0")+IFERROR(IF(Z137="",0,Z137),"0")</f>
        <v>0.11718000000000001</v>
      </c>
      <c r="AA138" s="67"/>
      <c r="AB138" s="67"/>
      <c r="AC138" s="67"/>
    </row>
    <row r="139" spans="1:68" x14ac:dyDescent="0.2">
      <c r="A139" s="729"/>
      <c r="B139" s="729"/>
      <c r="C139" s="729"/>
      <c r="D139" s="729"/>
      <c r="E139" s="729"/>
      <c r="F139" s="729"/>
      <c r="G139" s="729"/>
      <c r="H139" s="729"/>
      <c r="I139" s="729"/>
      <c r="J139" s="729"/>
      <c r="K139" s="729"/>
      <c r="L139" s="729"/>
      <c r="M139" s="729"/>
      <c r="N139" s="729"/>
      <c r="O139" s="730"/>
      <c r="P139" s="726" t="s">
        <v>40</v>
      </c>
      <c r="Q139" s="727"/>
      <c r="R139" s="727"/>
      <c r="S139" s="727"/>
      <c r="T139" s="727"/>
      <c r="U139" s="727"/>
      <c r="V139" s="728"/>
      <c r="W139" s="42" t="s">
        <v>0</v>
      </c>
      <c r="X139" s="43">
        <f>IFERROR(SUM(X136:X137),"0")</f>
        <v>49</v>
      </c>
      <c r="Y139" s="43">
        <f>IFERROR(SUM(Y136:Y137),"0")</f>
        <v>50.4</v>
      </c>
      <c r="Z139" s="42"/>
      <c r="AA139" s="67"/>
      <c r="AB139" s="67"/>
      <c r="AC139" s="67"/>
    </row>
    <row r="140" spans="1:68" ht="14.25" hidden="1" customHeight="1" x14ac:dyDescent="0.25">
      <c r="A140" s="720" t="s">
        <v>86</v>
      </c>
      <c r="B140" s="720"/>
      <c r="C140" s="720"/>
      <c r="D140" s="720"/>
      <c r="E140" s="720"/>
      <c r="F140" s="720"/>
      <c r="G140" s="720"/>
      <c r="H140" s="720"/>
      <c r="I140" s="720"/>
      <c r="J140" s="720"/>
      <c r="K140" s="720"/>
      <c r="L140" s="720"/>
      <c r="M140" s="720"/>
      <c r="N140" s="720"/>
      <c r="O140" s="720"/>
      <c r="P140" s="720"/>
      <c r="Q140" s="720"/>
      <c r="R140" s="720"/>
      <c r="S140" s="720"/>
      <c r="T140" s="720"/>
      <c r="U140" s="720"/>
      <c r="V140" s="720"/>
      <c r="W140" s="720"/>
      <c r="X140" s="720"/>
      <c r="Y140" s="720"/>
      <c r="Z140" s="720"/>
      <c r="AA140" s="66"/>
      <c r="AB140" s="66"/>
      <c r="AC140" s="80"/>
    </row>
    <row r="141" spans="1:68" ht="16.5" customHeight="1" x14ac:dyDescent="0.25">
      <c r="A141" s="63" t="s">
        <v>257</v>
      </c>
      <c r="B141" s="63" t="s">
        <v>258</v>
      </c>
      <c r="C141" s="36">
        <v>4301051476</v>
      </c>
      <c r="D141" s="721">
        <v>4680115882584</v>
      </c>
      <c r="E141" s="721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7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723"/>
      <c r="R141" s="723"/>
      <c r="S141" s="723"/>
      <c r="T141" s="724"/>
      <c r="U141" s="39" t="s">
        <v>46</v>
      </c>
      <c r="V141" s="39" t="s">
        <v>46</v>
      </c>
      <c r="W141" s="40" t="s">
        <v>0</v>
      </c>
      <c r="X141" s="58">
        <v>33</v>
      </c>
      <c r="Y141" s="55">
        <f>IFERROR(IF(X141="",0,CEILING((X141/$H141),1)*$H141),"")</f>
        <v>34.32</v>
      </c>
      <c r="Z141" s="41">
        <f>IFERROR(IF(Y141=0,"",ROUNDUP(Y141/H141,0)*0.00651),"")</f>
        <v>8.4629999999999997E-2</v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36.349999999999994</v>
      </c>
      <c r="BN141" s="78">
        <f>IFERROR(Y141*I141/H141,"0")</f>
        <v>37.803999999999995</v>
      </c>
      <c r="BO141" s="78">
        <f>IFERROR(1/J141*(X141/H141),"0")</f>
        <v>6.8681318681318687E-2</v>
      </c>
      <c r="BP141" s="78">
        <f>IFERROR(1/J141*(Y141/H141),"0")</f>
        <v>7.1428571428571438E-2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721">
        <v>4680115882584</v>
      </c>
      <c r="E142" s="72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7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723"/>
      <c r="R142" s="723"/>
      <c r="S142" s="723"/>
      <c r="T142" s="72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29"/>
      <c r="B143" s="729"/>
      <c r="C143" s="729"/>
      <c r="D143" s="729"/>
      <c r="E143" s="729"/>
      <c r="F143" s="729"/>
      <c r="G143" s="729"/>
      <c r="H143" s="729"/>
      <c r="I143" s="729"/>
      <c r="J143" s="729"/>
      <c r="K143" s="729"/>
      <c r="L143" s="729"/>
      <c r="M143" s="729"/>
      <c r="N143" s="729"/>
      <c r="O143" s="730"/>
      <c r="P143" s="726" t="s">
        <v>40</v>
      </c>
      <c r="Q143" s="727"/>
      <c r="R143" s="727"/>
      <c r="S143" s="727"/>
      <c r="T143" s="727"/>
      <c r="U143" s="727"/>
      <c r="V143" s="728"/>
      <c r="W143" s="42" t="s">
        <v>39</v>
      </c>
      <c r="X143" s="43">
        <f>IFERROR(X141/H141,"0")+IFERROR(X142/H142,"0")</f>
        <v>12.5</v>
      </c>
      <c r="Y143" s="43">
        <f>IFERROR(Y141/H141,"0")+IFERROR(Y142/H142,"0")</f>
        <v>13</v>
      </c>
      <c r="Z143" s="43">
        <f>IFERROR(IF(Z141="",0,Z141),"0")+IFERROR(IF(Z142="",0,Z142),"0")</f>
        <v>8.4629999999999997E-2</v>
      </c>
      <c r="AA143" s="67"/>
      <c r="AB143" s="67"/>
      <c r="AC143" s="67"/>
    </row>
    <row r="144" spans="1:68" x14ac:dyDescent="0.2">
      <c r="A144" s="729"/>
      <c r="B144" s="729"/>
      <c r="C144" s="729"/>
      <c r="D144" s="729"/>
      <c r="E144" s="729"/>
      <c r="F144" s="729"/>
      <c r="G144" s="729"/>
      <c r="H144" s="729"/>
      <c r="I144" s="729"/>
      <c r="J144" s="729"/>
      <c r="K144" s="729"/>
      <c r="L144" s="729"/>
      <c r="M144" s="729"/>
      <c r="N144" s="729"/>
      <c r="O144" s="730"/>
      <c r="P144" s="726" t="s">
        <v>40</v>
      </c>
      <c r="Q144" s="727"/>
      <c r="R144" s="727"/>
      <c r="S144" s="727"/>
      <c r="T144" s="727"/>
      <c r="U144" s="727"/>
      <c r="V144" s="728"/>
      <c r="W144" s="42" t="s">
        <v>0</v>
      </c>
      <c r="X144" s="43">
        <f>IFERROR(SUM(X141:X142),"0")</f>
        <v>33</v>
      </c>
      <c r="Y144" s="43">
        <f>IFERROR(SUM(Y141:Y142),"0")</f>
        <v>34.32</v>
      </c>
      <c r="Z144" s="42"/>
      <c r="AA144" s="67"/>
      <c r="AB144" s="67"/>
      <c r="AC144" s="67"/>
    </row>
    <row r="145" spans="1:68" ht="16.5" hidden="1" customHeight="1" x14ac:dyDescent="0.25">
      <c r="A145" s="719" t="s">
        <v>260</v>
      </c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19"/>
      <c r="P145" s="719"/>
      <c r="Q145" s="719"/>
      <c r="R145" s="719"/>
      <c r="S145" s="719"/>
      <c r="T145" s="719"/>
      <c r="U145" s="719"/>
      <c r="V145" s="719"/>
      <c r="W145" s="719"/>
      <c r="X145" s="719"/>
      <c r="Y145" s="719"/>
      <c r="Z145" s="719"/>
      <c r="AA145" s="65"/>
      <c r="AB145" s="65"/>
      <c r="AC145" s="79"/>
    </row>
    <row r="146" spans="1:68" ht="14.25" hidden="1" customHeight="1" x14ac:dyDescent="0.25">
      <c r="A146" s="720" t="s">
        <v>86</v>
      </c>
      <c r="B146" s="720"/>
      <c r="C146" s="720"/>
      <c r="D146" s="720"/>
      <c r="E146" s="720"/>
      <c r="F146" s="720"/>
      <c r="G146" s="720"/>
      <c r="H146" s="720"/>
      <c r="I146" s="720"/>
      <c r="J146" s="720"/>
      <c r="K146" s="720"/>
      <c r="L146" s="720"/>
      <c r="M146" s="720"/>
      <c r="N146" s="720"/>
      <c r="O146" s="720"/>
      <c r="P146" s="720"/>
      <c r="Q146" s="720"/>
      <c r="R146" s="720"/>
      <c r="S146" s="720"/>
      <c r="T146" s="720"/>
      <c r="U146" s="720"/>
      <c r="V146" s="720"/>
      <c r="W146" s="720"/>
      <c r="X146" s="720"/>
      <c r="Y146" s="720"/>
      <c r="Z146" s="720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721">
        <v>4680115888203</v>
      </c>
      <c r="E147" s="721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79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723"/>
      <c r="R147" s="723"/>
      <c r="S147" s="723"/>
      <c r="T147" s="724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721">
        <v>4680115888180</v>
      </c>
      <c r="E148" s="72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723"/>
      <c r="R148" s="723"/>
      <c r="S148" s="723"/>
      <c r="T148" s="72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721">
        <v>4680115888180</v>
      </c>
      <c r="E149" s="721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3"/>
      <c r="R149" s="723"/>
      <c r="S149" s="723"/>
      <c r="T149" s="72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721">
        <v>4680115888197</v>
      </c>
      <c r="E150" s="72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723"/>
      <c r="R150" s="723"/>
      <c r="S150" s="723"/>
      <c r="T150" s="72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721">
        <v>4680115888210</v>
      </c>
      <c r="E151" s="7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723"/>
      <c r="R151" s="723"/>
      <c r="S151" s="723"/>
      <c r="T151" s="72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721">
        <v>4680115888210</v>
      </c>
      <c r="E152" s="72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3"/>
      <c r="R152" s="723"/>
      <c r="S152" s="723"/>
      <c r="T152" s="72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729"/>
      <c r="B153" s="729"/>
      <c r="C153" s="729"/>
      <c r="D153" s="729"/>
      <c r="E153" s="729"/>
      <c r="F153" s="729"/>
      <c r="G153" s="729"/>
      <c r="H153" s="729"/>
      <c r="I153" s="729"/>
      <c r="J153" s="729"/>
      <c r="K153" s="729"/>
      <c r="L153" s="729"/>
      <c r="M153" s="729"/>
      <c r="N153" s="729"/>
      <c r="O153" s="730"/>
      <c r="P153" s="726" t="s">
        <v>40</v>
      </c>
      <c r="Q153" s="727"/>
      <c r="R153" s="727"/>
      <c r="S153" s="727"/>
      <c r="T153" s="727"/>
      <c r="U153" s="727"/>
      <c r="V153" s="728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729"/>
      <c r="B154" s="729"/>
      <c r="C154" s="729"/>
      <c r="D154" s="729"/>
      <c r="E154" s="729"/>
      <c r="F154" s="729"/>
      <c r="G154" s="729"/>
      <c r="H154" s="729"/>
      <c r="I154" s="729"/>
      <c r="J154" s="729"/>
      <c r="K154" s="729"/>
      <c r="L154" s="729"/>
      <c r="M154" s="729"/>
      <c r="N154" s="729"/>
      <c r="O154" s="730"/>
      <c r="P154" s="726" t="s">
        <v>40</v>
      </c>
      <c r="Q154" s="727"/>
      <c r="R154" s="727"/>
      <c r="S154" s="727"/>
      <c r="T154" s="727"/>
      <c r="U154" s="727"/>
      <c r="V154" s="728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720" t="s">
        <v>275</v>
      </c>
      <c r="B155" s="720"/>
      <c r="C155" s="720"/>
      <c r="D155" s="720"/>
      <c r="E155" s="720"/>
      <c r="F155" s="720"/>
      <c r="G155" s="720"/>
      <c r="H155" s="720"/>
      <c r="I155" s="720"/>
      <c r="J155" s="720"/>
      <c r="K155" s="720"/>
      <c r="L155" s="720"/>
      <c r="M155" s="720"/>
      <c r="N155" s="720"/>
      <c r="O155" s="720"/>
      <c r="P155" s="720"/>
      <c r="Q155" s="720"/>
      <c r="R155" s="720"/>
      <c r="S155" s="720"/>
      <c r="T155" s="720"/>
      <c r="U155" s="720"/>
      <c r="V155" s="720"/>
      <c r="W155" s="720"/>
      <c r="X155" s="720"/>
      <c r="Y155" s="720"/>
      <c r="Z155" s="720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721">
        <v>4680115889132</v>
      </c>
      <c r="E156" s="721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0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723"/>
      <c r="R156" s="723"/>
      <c r="S156" s="723"/>
      <c r="T156" s="72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729"/>
      <c r="B157" s="729"/>
      <c r="C157" s="729"/>
      <c r="D157" s="729"/>
      <c r="E157" s="729"/>
      <c r="F157" s="729"/>
      <c r="G157" s="729"/>
      <c r="H157" s="729"/>
      <c r="I157" s="729"/>
      <c r="J157" s="729"/>
      <c r="K157" s="729"/>
      <c r="L157" s="729"/>
      <c r="M157" s="729"/>
      <c r="N157" s="729"/>
      <c r="O157" s="730"/>
      <c r="P157" s="726" t="s">
        <v>40</v>
      </c>
      <c r="Q157" s="727"/>
      <c r="R157" s="727"/>
      <c r="S157" s="727"/>
      <c r="T157" s="727"/>
      <c r="U157" s="727"/>
      <c r="V157" s="728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729"/>
      <c r="B158" s="729"/>
      <c r="C158" s="729"/>
      <c r="D158" s="729"/>
      <c r="E158" s="729"/>
      <c r="F158" s="729"/>
      <c r="G158" s="729"/>
      <c r="H158" s="729"/>
      <c r="I158" s="729"/>
      <c r="J158" s="729"/>
      <c r="K158" s="729"/>
      <c r="L158" s="729"/>
      <c r="M158" s="729"/>
      <c r="N158" s="729"/>
      <c r="O158" s="730"/>
      <c r="P158" s="726" t="s">
        <v>40</v>
      </c>
      <c r="Q158" s="727"/>
      <c r="R158" s="727"/>
      <c r="S158" s="727"/>
      <c r="T158" s="727"/>
      <c r="U158" s="727"/>
      <c r="V158" s="728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719" t="s">
        <v>120</v>
      </c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19"/>
      <c r="P159" s="719"/>
      <c r="Q159" s="719"/>
      <c r="R159" s="719"/>
      <c r="S159" s="719"/>
      <c r="T159" s="719"/>
      <c r="U159" s="719"/>
      <c r="V159" s="719"/>
      <c r="W159" s="719"/>
      <c r="X159" s="719"/>
      <c r="Y159" s="719"/>
      <c r="Z159" s="719"/>
      <c r="AA159" s="65"/>
      <c r="AB159" s="65"/>
      <c r="AC159" s="79"/>
    </row>
    <row r="160" spans="1:68" ht="14.25" hidden="1" customHeight="1" x14ac:dyDescent="0.25">
      <c r="A160" s="720" t="s">
        <v>122</v>
      </c>
      <c r="B160" s="720"/>
      <c r="C160" s="720"/>
      <c r="D160" s="720"/>
      <c r="E160" s="720"/>
      <c r="F160" s="720"/>
      <c r="G160" s="720"/>
      <c r="H160" s="720"/>
      <c r="I160" s="720"/>
      <c r="J160" s="720"/>
      <c r="K160" s="720"/>
      <c r="L160" s="720"/>
      <c r="M160" s="720"/>
      <c r="N160" s="720"/>
      <c r="O160" s="720"/>
      <c r="P160" s="720"/>
      <c r="Q160" s="720"/>
      <c r="R160" s="720"/>
      <c r="S160" s="720"/>
      <c r="T160" s="720"/>
      <c r="U160" s="720"/>
      <c r="V160" s="720"/>
      <c r="W160" s="720"/>
      <c r="X160" s="720"/>
      <c r="Y160" s="720"/>
      <c r="Z160" s="720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721">
        <v>4680115887374</v>
      </c>
      <c r="E161" s="721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0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723"/>
      <c r="R161" s="723"/>
      <c r="S161" s="723"/>
      <c r="T161" s="72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721">
        <v>4607091384604</v>
      </c>
      <c r="E162" s="72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723"/>
      <c r="R162" s="723"/>
      <c r="S162" s="723"/>
      <c r="T162" s="72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721">
        <v>4680115888876</v>
      </c>
      <c r="E163" s="721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723"/>
      <c r="R163" s="723"/>
      <c r="S163" s="723"/>
      <c r="T163" s="7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729"/>
      <c r="B164" s="729"/>
      <c r="C164" s="729"/>
      <c r="D164" s="729"/>
      <c r="E164" s="729"/>
      <c r="F164" s="729"/>
      <c r="G164" s="729"/>
      <c r="H164" s="729"/>
      <c r="I164" s="729"/>
      <c r="J164" s="729"/>
      <c r="K164" s="729"/>
      <c r="L164" s="729"/>
      <c r="M164" s="729"/>
      <c r="N164" s="729"/>
      <c r="O164" s="730"/>
      <c r="P164" s="726" t="s">
        <v>40</v>
      </c>
      <c r="Q164" s="727"/>
      <c r="R164" s="727"/>
      <c r="S164" s="727"/>
      <c r="T164" s="727"/>
      <c r="U164" s="727"/>
      <c r="V164" s="728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729"/>
      <c r="B165" s="729"/>
      <c r="C165" s="729"/>
      <c r="D165" s="729"/>
      <c r="E165" s="729"/>
      <c r="F165" s="729"/>
      <c r="G165" s="729"/>
      <c r="H165" s="729"/>
      <c r="I165" s="729"/>
      <c r="J165" s="729"/>
      <c r="K165" s="729"/>
      <c r="L165" s="729"/>
      <c r="M165" s="729"/>
      <c r="N165" s="729"/>
      <c r="O165" s="730"/>
      <c r="P165" s="726" t="s">
        <v>40</v>
      </c>
      <c r="Q165" s="727"/>
      <c r="R165" s="727"/>
      <c r="S165" s="727"/>
      <c r="T165" s="727"/>
      <c r="U165" s="727"/>
      <c r="V165" s="728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720" t="s">
        <v>157</v>
      </c>
      <c r="B166" s="720"/>
      <c r="C166" s="720"/>
      <c r="D166" s="720"/>
      <c r="E166" s="720"/>
      <c r="F166" s="720"/>
      <c r="G166" s="720"/>
      <c r="H166" s="720"/>
      <c r="I166" s="720"/>
      <c r="J166" s="720"/>
      <c r="K166" s="720"/>
      <c r="L166" s="720"/>
      <c r="M166" s="720"/>
      <c r="N166" s="720"/>
      <c r="O166" s="720"/>
      <c r="P166" s="720"/>
      <c r="Q166" s="720"/>
      <c r="R166" s="720"/>
      <c r="S166" s="720"/>
      <c r="T166" s="720"/>
      <c r="U166" s="720"/>
      <c r="V166" s="720"/>
      <c r="W166" s="720"/>
      <c r="X166" s="720"/>
      <c r="Y166" s="720"/>
      <c r="Z166" s="720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721">
        <v>4680115887695</v>
      </c>
      <c r="E167" s="721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723"/>
      <c r="R167" s="723"/>
      <c r="S167" s="723"/>
      <c r="T167" s="72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721">
        <v>4680115889491</v>
      </c>
      <c r="E168" s="721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723"/>
      <c r="R168" s="723"/>
      <c r="S168" s="723"/>
      <c r="T168" s="72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29"/>
      <c r="B169" s="729"/>
      <c r="C169" s="729"/>
      <c r="D169" s="729"/>
      <c r="E169" s="729"/>
      <c r="F169" s="729"/>
      <c r="G169" s="729"/>
      <c r="H169" s="729"/>
      <c r="I169" s="729"/>
      <c r="J169" s="729"/>
      <c r="K169" s="729"/>
      <c r="L169" s="729"/>
      <c r="M169" s="729"/>
      <c r="N169" s="729"/>
      <c r="O169" s="730"/>
      <c r="P169" s="726" t="s">
        <v>40</v>
      </c>
      <c r="Q169" s="727"/>
      <c r="R169" s="727"/>
      <c r="S169" s="727"/>
      <c r="T169" s="727"/>
      <c r="U169" s="727"/>
      <c r="V169" s="728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729"/>
      <c r="B170" s="729"/>
      <c r="C170" s="729"/>
      <c r="D170" s="729"/>
      <c r="E170" s="729"/>
      <c r="F170" s="729"/>
      <c r="G170" s="729"/>
      <c r="H170" s="729"/>
      <c r="I170" s="729"/>
      <c r="J170" s="729"/>
      <c r="K170" s="729"/>
      <c r="L170" s="729"/>
      <c r="M170" s="729"/>
      <c r="N170" s="729"/>
      <c r="O170" s="730"/>
      <c r="P170" s="726" t="s">
        <v>40</v>
      </c>
      <c r="Q170" s="727"/>
      <c r="R170" s="727"/>
      <c r="S170" s="727"/>
      <c r="T170" s="727"/>
      <c r="U170" s="727"/>
      <c r="V170" s="728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20" t="s">
        <v>77</v>
      </c>
      <c r="B171" s="720"/>
      <c r="C171" s="720"/>
      <c r="D171" s="720"/>
      <c r="E171" s="720"/>
      <c r="F171" s="720"/>
      <c r="G171" s="720"/>
      <c r="H171" s="720"/>
      <c r="I171" s="720"/>
      <c r="J171" s="720"/>
      <c r="K171" s="720"/>
      <c r="L171" s="720"/>
      <c r="M171" s="720"/>
      <c r="N171" s="720"/>
      <c r="O171" s="720"/>
      <c r="P171" s="720"/>
      <c r="Q171" s="720"/>
      <c r="R171" s="720"/>
      <c r="S171" s="720"/>
      <c r="T171" s="720"/>
      <c r="U171" s="720"/>
      <c r="V171" s="720"/>
      <c r="W171" s="720"/>
      <c r="X171" s="720"/>
      <c r="Y171" s="720"/>
      <c r="Z171" s="720"/>
      <c r="AA171" s="66"/>
      <c r="AB171" s="66"/>
      <c r="AC171" s="80"/>
    </row>
    <row r="172" spans="1:68" ht="27" customHeight="1" x14ac:dyDescent="0.25">
      <c r="A172" s="63" t="s">
        <v>297</v>
      </c>
      <c r="B172" s="63" t="s">
        <v>298</v>
      </c>
      <c r="C172" s="36">
        <v>4301031496</v>
      </c>
      <c r="D172" s="721">
        <v>4680115887428</v>
      </c>
      <c r="E172" s="721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723"/>
      <c r="R172" s="723"/>
      <c r="S172" s="723"/>
      <c r="T172" s="724"/>
      <c r="U172" s="39" t="s">
        <v>46</v>
      </c>
      <c r="V172" s="39" t="s">
        <v>46</v>
      </c>
      <c r="W172" s="40" t="s">
        <v>0</v>
      </c>
      <c r="X172" s="58">
        <v>300</v>
      </c>
      <c r="Y172" s="55">
        <f t="shared" ref="Y172:Y183" si="21">IFERROR(IF(X172="",0,CEILING((X172/$H172),1)*$H172),"")</f>
        <v>301</v>
      </c>
      <c r="Z172" s="41">
        <f>IFERROR(IF(Y172=0,"",ROUNDUP(Y172/H172,0)*0.00902),"")</f>
        <v>0.77571999999999997</v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316.28571428571428</v>
      </c>
      <c r="BN172" s="78">
        <f t="shared" ref="BN172:BN183" si="23">IFERROR(Y172*I172/H172,"0")</f>
        <v>317.34000000000003</v>
      </c>
      <c r="BO172" s="78">
        <f t="shared" ref="BO172:BO183" si="24">IFERROR(1/J172*(X172/H172),"0")</f>
        <v>0.64935064935064934</v>
      </c>
      <c r="BP172" s="78">
        <f t="shared" ref="BP172:BP183" si="25">IFERROR(1/J172*(Y172/H172),"0")</f>
        <v>0.65151515151515149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721">
        <v>4680115889170</v>
      </c>
      <c r="E173" s="721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723"/>
      <c r="R173" s="723"/>
      <c r="S173" s="723"/>
      <c r="T173" s="7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customHeight="1" x14ac:dyDescent="0.25">
      <c r="A174" s="63" t="s">
        <v>303</v>
      </c>
      <c r="B174" s="63" t="s">
        <v>304</v>
      </c>
      <c r="C174" s="36">
        <v>4301031498</v>
      </c>
      <c r="D174" s="721">
        <v>4680115887398</v>
      </c>
      <c r="E174" s="72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0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723"/>
      <c r="R174" s="723"/>
      <c r="S174" s="723"/>
      <c r="T174" s="724"/>
      <c r="U174" s="39" t="s">
        <v>46</v>
      </c>
      <c r="V174" s="39" t="s">
        <v>46</v>
      </c>
      <c r="W174" s="40" t="s">
        <v>0</v>
      </c>
      <c r="X174" s="58">
        <v>500</v>
      </c>
      <c r="Y174" s="55">
        <f t="shared" si="21"/>
        <v>500.5</v>
      </c>
      <c r="Z174" s="41">
        <f>IFERROR(IF(Y174=0,"",ROUNDUP(Y174/H174,0)*0.00902),"")</f>
        <v>1.28986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527.14285714285711</v>
      </c>
      <c r="BN174" s="78">
        <f t="shared" si="23"/>
        <v>527.66999999999996</v>
      </c>
      <c r="BO174" s="78">
        <f t="shared" si="24"/>
        <v>1.0822510822510822</v>
      </c>
      <c r="BP174" s="78">
        <f t="shared" si="25"/>
        <v>1.0833333333333333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721">
        <v>4680115887398</v>
      </c>
      <c r="E175" s="721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0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3"/>
      <c r="R175" s="723"/>
      <c r="S175" s="723"/>
      <c r="T175" s="72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4301031520</v>
      </c>
      <c r="D176" s="721">
        <v>4680115887336</v>
      </c>
      <c r="E176" s="72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723"/>
      <c r="R176" s="723"/>
      <c r="S176" s="723"/>
      <c r="T176" s="724"/>
      <c r="U176" s="39" t="s">
        <v>46</v>
      </c>
      <c r="V176" s="39" t="s">
        <v>46</v>
      </c>
      <c r="W176" s="40" t="s">
        <v>0</v>
      </c>
      <c r="X176" s="58">
        <v>200</v>
      </c>
      <c r="Y176" s="55">
        <f t="shared" si="21"/>
        <v>203</v>
      </c>
      <c r="Z176" s="41">
        <f>IFERROR(IF(Y176=0,"",ROUNDUP(Y176/H176,0)*0.00902),"")</f>
        <v>0.52316000000000007</v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210.85714285714286</v>
      </c>
      <c r="BN176" s="78">
        <f t="shared" si="23"/>
        <v>214.01999999999998</v>
      </c>
      <c r="BO176" s="78">
        <f t="shared" si="24"/>
        <v>0.43290043290043295</v>
      </c>
      <c r="BP176" s="78">
        <f t="shared" si="25"/>
        <v>0.43939393939393939</v>
      </c>
    </row>
    <row r="177" spans="1:68" ht="16.5" customHeight="1" x14ac:dyDescent="0.25">
      <c r="A177" s="63" t="s">
        <v>311</v>
      </c>
      <c r="B177" s="63" t="s">
        <v>312</v>
      </c>
      <c r="C177" s="36">
        <v>4301032049</v>
      </c>
      <c r="D177" s="721">
        <v>4680115887787</v>
      </c>
      <c r="E177" s="721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1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723"/>
      <c r="R177" s="723"/>
      <c r="S177" s="723"/>
      <c r="T177" s="724"/>
      <c r="U177" s="39" t="s">
        <v>46</v>
      </c>
      <c r="V177" s="39" t="s">
        <v>46</v>
      </c>
      <c r="W177" s="40" t="s">
        <v>0</v>
      </c>
      <c r="X177" s="58">
        <v>4</v>
      </c>
      <c r="Y177" s="55">
        <f t="shared" si="21"/>
        <v>4.5</v>
      </c>
      <c r="Z177" s="41">
        <f>IFERROR(IF(Y177=0,"",ROUNDUP(Y177/H177,0)*0.00417),"")</f>
        <v>2.085E-2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4.9333333333333336</v>
      </c>
      <c r="BN177" s="78">
        <f t="shared" si="23"/>
        <v>5.55</v>
      </c>
      <c r="BO177" s="78">
        <f t="shared" si="24"/>
        <v>1.3227513227513227E-2</v>
      </c>
      <c r="BP177" s="78">
        <f t="shared" si="25"/>
        <v>1.488095238095238E-2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721">
        <v>4680115887787</v>
      </c>
      <c r="E178" s="72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3"/>
      <c r="R178" s="723"/>
      <c r="S178" s="723"/>
      <c r="T178" s="72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customHeight="1" x14ac:dyDescent="0.25">
      <c r="A179" s="63" t="s">
        <v>315</v>
      </c>
      <c r="B179" s="63" t="s">
        <v>316</v>
      </c>
      <c r="C179" s="36">
        <v>4301031448</v>
      </c>
      <c r="D179" s="721">
        <v>4680115887503</v>
      </c>
      <c r="E179" s="72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1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23"/>
      <c r="R179" s="723"/>
      <c r="S179" s="723"/>
      <c r="T179" s="724"/>
      <c r="U179" s="39" t="s">
        <v>46</v>
      </c>
      <c r="V179" s="39" t="s">
        <v>46</v>
      </c>
      <c r="W179" s="40" t="s">
        <v>0</v>
      </c>
      <c r="X179" s="58">
        <v>224</v>
      </c>
      <c r="Y179" s="55">
        <f t="shared" si="21"/>
        <v>225.12</v>
      </c>
      <c r="Z179" s="41">
        <f>IFERROR(IF(Y179=0,"",ROUNDUP(Y179/H179,0)*0.00502),"")</f>
        <v>0.67268000000000006</v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237.33333333333337</v>
      </c>
      <c r="BN179" s="78">
        <f t="shared" si="23"/>
        <v>238.52000000000004</v>
      </c>
      <c r="BO179" s="78">
        <f t="shared" si="24"/>
        <v>0.56980056980056992</v>
      </c>
      <c r="BP179" s="78">
        <f t="shared" si="25"/>
        <v>0.57264957264957272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721">
        <v>4680115887763</v>
      </c>
      <c r="E180" s="72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23"/>
      <c r="R180" s="723"/>
      <c r="S180" s="723"/>
      <c r="T180" s="72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customHeight="1" x14ac:dyDescent="0.25">
      <c r="A181" s="63" t="s">
        <v>320</v>
      </c>
      <c r="B181" s="63" t="s">
        <v>321</v>
      </c>
      <c r="C181" s="36">
        <v>4301031521</v>
      </c>
      <c r="D181" s="721">
        <v>4680115887480</v>
      </c>
      <c r="E181" s="721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1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723"/>
      <c r="R181" s="723"/>
      <c r="S181" s="723"/>
      <c r="T181" s="724"/>
      <c r="U181" s="39" t="s">
        <v>46</v>
      </c>
      <c r="V181" s="39" t="s">
        <v>46</v>
      </c>
      <c r="W181" s="40" t="s">
        <v>0</v>
      </c>
      <c r="X181" s="58">
        <v>224</v>
      </c>
      <c r="Y181" s="55">
        <f t="shared" si="21"/>
        <v>225.12</v>
      </c>
      <c r="Z181" s="41">
        <f>IFERROR(IF(Y181=0,"",ROUNDUP(Y181/H181,0)*0.00502),"")</f>
        <v>0.67268000000000006</v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237.33333333333337</v>
      </c>
      <c r="BN181" s="78">
        <f t="shared" si="23"/>
        <v>238.52000000000004</v>
      </c>
      <c r="BO181" s="78">
        <f t="shared" si="24"/>
        <v>0.56980056980056992</v>
      </c>
      <c r="BP181" s="78">
        <f t="shared" si="25"/>
        <v>0.57264957264957272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721">
        <v>4680115888067</v>
      </c>
      <c r="E182" s="721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723"/>
      <c r="R182" s="723"/>
      <c r="S182" s="723"/>
      <c r="T182" s="72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customHeight="1" x14ac:dyDescent="0.25">
      <c r="A183" s="63" t="s">
        <v>325</v>
      </c>
      <c r="B183" s="63" t="s">
        <v>326</v>
      </c>
      <c r="C183" s="36">
        <v>4301031519</v>
      </c>
      <c r="D183" s="721">
        <v>4680115887435</v>
      </c>
      <c r="E183" s="721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723"/>
      <c r="R183" s="723"/>
      <c r="S183" s="723"/>
      <c r="T183" s="724"/>
      <c r="U183" s="39" t="s">
        <v>46</v>
      </c>
      <c r="V183" s="39" t="s">
        <v>46</v>
      </c>
      <c r="W183" s="40" t="s">
        <v>0</v>
      </c>
      <c r="X183" s="58">
        <v>196</v>
      </c>
      <c r="Y183" s="55">
        <f t="shared" si="21"/>
        <v>196.56</v>
      </c>
      <c r="Z183" s="41">
        <f>IFERROR(IF(Y183=0,"",ROUNDUP(Y183/H183,0)*0.00502),"")</f>
        <v>0.58733999999999997</v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207.66666666666669</v>
      </c>
      <c r="BN183" s="78">
        <f t="shared" si="23"/>
        <v>208.26000000000002</v>
      </c>
      <c r="BO183" s="78">
        <f t="shared" si="24"/>
        <v>0.49857549857549865</v>
      </c>
      <c r="BP183" s="78">
        <f t="shared" si="25"/>
        <v>0.5</v>
      </c>
    </row>
    <row r="184" spans="1:68" x14ac:dyDescent="0.2">
      <c r="A184" s="729"/>
      <c r="B184" s="729"/>
      <c r="C184" s="729"/>
      <c r="D184" s="729"/>
      <c r="E184" s="729"/>
      <c r="F184" s="729"/>
      <c r="G184" s="729"/>
      <c r="H184" s="729"/>
      <c r="I184" s="729"/>
      <c r="J184" s="729"/>
      <c r="K184" s="729"/>
      <c r="L184" s="729"/>
      <c r="M184" s="729"/>
      <c r="N184" s="729"/>
      <c r="O184" s="730"/>
      <c r="P184" s="726" t="s">
        <v>40</v>
      </c>
      <c r="Q184" s="727"/>
      <c r="R184" s="727"/>
      <c r="S184" s="727"/>
      <c r="T184" s="727"/>
      <c r="U184" s="727"/>
      <c r="V184" s="728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673.49206349206349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677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4.5422899999999995</v>
      </c>
      <c r="AA184" s="67"/>
      <c r="AB184" s="67"/>
      <c r="AC184" s="67"/>
    </row>
    <row r="185" spans="1:68" x14ac:dyDescent="0.2">
      <c r="A185" s="729"/>
      <c r="B185" s="729"/>
      <c r="C185" s="729"/>
      <c r="D185" s="729"/>
      <c r="E185" s="729"/>
      <c r="F185" s="729"/>
      <c r="G185" s="729"/>
      <c r="H185" s="729"/>
      <c r="I185" s="729"/>
      <c r="J185" s="729"/>
      <c r="K185" s="729"/>
      <c r="L185" s="729"/>
      <c r="M185" s="729"/>
      <c r="N185" s="729"/>
      <c r="O185" s="730"/>
      <c r="P185" s="726" t="s">
        <v>40</v>
      </c>
      <c r="Q185" s="727"/>
      <c r="R185" s="727"/>
      <c r="S185" s="727"/>
      <c r="T185" s="727"/>
      <c r="U185" s="727"/>
      <c r="V185" s="728"/>
      <c r="W185" s="42" t="s">
        <v>0</v>
      </c>
      <c r="X185" s="43">
        <f>IFERROR(SUM(X172:X183),"0")</f>
        <v>1648</v>
      </c>
      <c r="Y185" s="43">
        <f>IFERROR(SUM(Y172:Y183),"0")</f>
        <v>1655.7999999999997</v>
      </c>
      <c r="Z185" s="42"/>
      <c r="AA185" s="67"/>
      <c r="AB185" s="67"/>
      <c r="AC185" s="67"/>
    </row>
    <row r="186" spans="1:68" ht="14.25" hidden="1" customHeight="1" x14ac:dyDescent="0.25">
      <c r="A186" s="720" t="s">
        <v>86</v>
      </c>
      <c r="B186" s="720"/>
      <c r="C186" s="720"/>
      <c r="D186" s="720"/>
      <c r="E186" s="720"/>
      <c r="F186" s="720"/>
      <c r="G186" s="720"/>
      <c r="H186" s="720"/>
      <c r="I186" s="720"/>
      <c r="J186" s="720"/>
      <c r="K186" s="720"/>
      <c r="L186" s="720"/>
      <c r="M186" s="720"/>
      <c r="N186" s="720"/>
      <c r="O186" s="720"/>
      <c r="P186" s="720"/>
      <c r="Q186" s="720"/>
      <c r="R186" s="720"/>
      <c r="S186" s="720"/>
      <c r="T186" s="720"/>
      <c r="U186" s="720"/>
      <c r="V186" s="720"/>
      <c r="W186" s="720"/>
      <c r="X186" s="720"/>
      <c r="Y186" s="720"/>
      <c r="Z186" s="720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721">
        <v>4680115888395</v>
      </c>
      <c r="E187" s="721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723"/>
      <c r="R187" s="723"/>
      <c r="S187" s="723"/>
      <c r="T187" s="7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721">
        <v>4680115888371</v>
      </c>
      <c r="E188" s="72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723"/>
      <c r="R188" s="723"/>
      <c r="S188" s="723"/>
      <c r="T188" s="7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721">
        <v>4680115887459</v>
      </c>
      <c r="E189" s="721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2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723"/>
      <c r="R189" s="723"/>
      <c r="S189" s="723"/>
      <c r="T189" s="72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29"/>
      <c r="B190" s="729"/>
      <c r="C190" s="729"/>
      <c r="D190" s="729"/>
      <c r="E190" s="729"/>
      <c r="F190" s="729"/>
      <c r="G190" s="729"/>
      <c r="H190" s="729"/>
      <c r="I190" s="729"/>
      <c r="J190" s="729"/>
      <c r="K190" s="729"/>
      <c r="L190" s="729"/>
      <c r="M190" s="729"/>
      <c r="N190" s="729"/>
      <c r="O190" s="730"/>
      <c r="P190" s="726" t="s">
        <v>40</v>
      </c>
      <c r="Q190" s="727"/>
      <c r="R190" s="727"/>
      <c r="S190" s="727"/>
      <c r="T190" s="727"/>
      <c r="U190" s="727"/>
      <c r="V190" s="728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729"/>
      <c r="B191" s="729"/>
      <c r="C191" s="729"/>
      <c r="D191" s="729"/>
      <c r="E191" s="729"/>
      <c r="F191" s="729"/>
      <c r="G191" s="729"/>
      <c r="H191" s="729"/>
      <c r="I191" s="729"/>
      <c r="J191" s="729"/>
      <c r="K191" s="729"/>
      <c r="L191" s="729"/>
      <c r="M191" s="729"/>
      <c r="N191" s="729"/>
      <c r="O191" s="730"/>
      <c r="P191" s="726" t="s">
        <v>40</v>
      </c>
      <c r="Q191" s="727"/>
      <c r="R191" s="727"/>
      <c r="S191" s="727"/>
      <c r="T191" s="727"/>
      <c r="U191" s="727"/>
      <c r="V191" s="728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720" t="s">
        <v>275</v>
      </c>
      <c r="B192" s="720"/>
      <c r="C192" s="720"/>
      <c r="D192" s="720"/>
      <c r="E192" s="720"/>
      <c r="F192" s="720"/>
      <c r="G192" s="720"/>
      <c r="H192" s="720"/>
      <c r="I192" s="720"/>
      <c r="J192" s="720"/>
      <c r="K192" s="720"/>
      <c r="L192" s="720"/>
      <c r="M192" s="720"/>
      <c r="N192" s="720"/>
      <c r="O192" s="720"/>
      <c r="P192" s="720"/>
      <c r="Q192" s="720"/>
      <c r="R192" s="720"/>
      <c r="S192" s="720"/>
      <c r="T192" s="720"/>
      <c r="U192" s="720"/>
      <c r="V192" s="720"/>
      <c r="W192" s="720"/>
      <c r="X192" s="720"/>
      <c r="Y192" s="720"/>
      <c r="Z192" s="720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721">
        <v>4680115889026</v>
      </c>
      <c r="E193" s="721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2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723"/>
      <c r="R193" s="723"/>
      <c r="S193" s="723"/>
      <c r="T193" s="72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29"/>
      <c r="B194" s="729"/>
      <c r="C194" s="729"/>
      <c r="D194" s="729"/>
      <c r="E194" s="729"/>
      <c r="F194" s="729"/>
      <c r="G194" s="729"/>
      <c r="H194" s="729"/>
      <c r="I194" s="729"/>
      <c r="J194" s="729"/>
      <c r="K194" s="729"/>
      <c r="L194" s="729"/>
      <c r="M194" s="729"/>
      <c r="N194" s="729"/>
      <c r="O194" s="730"/>
      <c r="P194" s="726" t="s">
        <v>40</v>
      </c>
      <c r="Q194" s="727"/>
      <c r="R194" s="727"/>
      <c r="S194" s="727"/>
      <c r="T194" s="727"/>
      <c r="U194" s="727"/>
      <c r="V194" s="728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29"/>
      <c r="B195" s="729"/>
      <c r="C195" s="729"/>
      <c r="D195" s="729"/>
      <c r="E195" s="729"/>
      <c r="F195" s="729"/>
      <c r="G195" s="729"/>
      <c r="H195" s="729"/>
      <c r="I195" s="729"/>
      <c r="J195" s="729"/>
      <c r="K195" s="729"/>
      <c r="L195" s="729"/>
      <c r="M195" s="729"/>
      <c r="N195" s="729"/>
      <c r="O195" s="730"/>
      <c r="P195" s="726" t="s">
        <v>40</v>
      </c>
      <c r="Q195" s="727"/>
      <c r="R195" s="727"/>
      <c r="S195" s="727"/>
      <c r="T195" s="727"/>
      <c r="U195" s="727"/>
      <c r="V195" s="728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20" t="s">
        <v>340</v>
      </c>
      <c r="B196" s="720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0"/>
      <c r="T196" s="720"/>
      <c r="U196" s="720"/>
      <c r="V196" s="720"/>
      <c r="W196" s="720"/>
      <c r="X196" s="720"/>
      <c r="Y196" s="720"/>
      <c r="Z196" s="720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721">
        <v>4680115889033</v>
      </c>
      <c r="E197" s="721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2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723"/>
      <c r="R197" s="723"/>
      <c r="S197" s="723"/>
      <c r="T197" s="72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29"/>
      <c r="B198" s="729"/>
      <c r="C198" s="729"/>
      <c r="D198" s="729"/>
      <c r="E198" s="729"/>
      <c r="F198" s="729"/>
      <c r="G198" s="729"/>
      <c r="H198" s="729"/>
      <c r="I198" s="729"/>
      <c r="J198" s="729"/>
      <c r="K198" s="729"/>
      <c r="L198" s="729"/>
      <c r="M198" s="729"/>
      <c r="N198" s="729"/>
      <c r="O198" s="730"/>
      <c r="P198" s="726" t="s">
        <v>40</v>
      </c>
      <c r="Q198" s="727"/>
      <c r="R198" s="727"/>
      <c r="S198" s="727"/>
      <c r="T198" s="727"/>
      <c r="U198" s="727"/>
      <c r="V198" s="728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729"/>
      <c r="B199" s="729"/>
      <c r="C199" s="729"/>
      <c r="D199" s="729"/>
      <c r="E199" s="729"/>
      <c r="F199" s="729"/>
      <c r="G199" s="729"/>
      <c r="H199" s="729"/>
      <c r="I199" s="729"/>
      <c r="J199" s="729"/>
      <c r="K199" s="729"/>
      <c r="L199" s="729"/>
      <c r="M199" s="729"/>
      <c r="N199" s="729"/>
      <c r="O199" s="730"/>
      <c r="P199" s="726" t="s">
        <v>40</v>
      </c>
      <c r="Q199" s="727"/>
      <c r="R199" s="727"/>
      <c r="S199" s="727"/>
      <c r="T199" s="727"/>
      <c r="U199" s="727"/>
      <c r="V199" s="728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718" t="s">
        <v>344</v>
      </c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54"/>
      <c r="AB200" s="54"/>
      <c r="AC200" s="54"/>
    </row>
    <row r="201" spans="1:68" ht="16.5" hidden="1" customHeight="1" x14ac:dyDescent="0.25">
      <c r="A201" s="719" t="s">
        <v>345</v>
      </c>
      <c r="B201" s="719"/>
      <c r="C201" s="719"/>
      <c r="D201" s="719"/>
      <c r="E201" s="719"/>
      <c r="F201" s="719"/>
      <c r="G201" s="719"/>
      <c r="H201" s="719"/>
      <c r="I201" s="719"/>
      <c r="J201" s="719"/>
      <c r="K201" s="719"/>
      <c r="L201" s="719"/>
      <c r="M201" s="719"/>
      <c r="N201" s="719"/>
      <c r="O201" s="719"/>
      <c r="P201" s="719"/>
      <c r="Q201" s="719"/>
      <c r="R201" s="719"/>
      <c r="S201" s="719"/>
      <c r="T201" s="719"/>
      <c r="U201" s="719"/>
      <c r="V201" s="719"/>
      <c r="W201" s="719"/>
      <c r="X201" s="719"/>
      <c r="Y201" s="719"/>
      <c r="Z201" s="719"/>
      <c r="AA201" s="65"/>
      <c r="AB201" s="65"/>
      <c r="AC201" s="79"/>
    </row>
    <row r="202" spans="1:68" ht="14.25" hidden="1" customHeight="1" x14ac:dyDescent="0.25">
      <c r="A202" s="720" t="s">
        <v>122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721">
        <v>4607091383423</v>
      </c>
      <c r="E203" s="721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723"/>
      <c r="R203" s="723"/>
      <c r="S203" s="723"/>
      <c r="T203" s="7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721">
        <v>4680115888760</v>
      </c>
      <c r="E204" s="721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723"/>
      <c r="R204" s="723"/>
      <c r="S204" s="723"/>
      <c r="T204" s="7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721">
        <v>4680115888807</v>
      </c>
      <c r="E205" s="72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723"/>
      <c r="R205" s="723"/>
      <c r="S205" s="723"/>
      <c r="T205" s="72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721">
        <v>4680115888852</v>
      </c>
      <c r="E206" s="721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723"/>
      <c r="R206" s="723"/>
      <c r="S206" s="723"/>
      <c r="T206" s="72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721">
        <v>4680115886957</v>
      </c>
      <c r="E207" s="721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723"/>
      <c r="R207" s="723"/>
      <c r="S207" s="723"/>
      <c r="T207" s="72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4301012098</v>
      </c>
      <c r="D208" s="721">
        <v>4680115885660</v>
      </c>
      <c r="E208" s="721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723"/>
      <c r="R208" s="723"/>
      <c r="S208" s="723"/>
      <c r="T208" s="724"/>
      <c r="U208" s="39" t="s">
        <v>46</v>
      </c>
      <c r="V208" s="39" t="s">
        <v>46</v>
      </c>
      <c r="W208" s="40" t="s">
        <v>0</v>
      </c>
      <c r="X208" s="58">
        <v>100</v>
      </c>
      <c r="Y208" s="55">
        <f t="shared" si="26"/>
        <v>108</v>
      </c>
      <c r="Z208" s="41">
        <f t="shared" si="27"/>
        <v>0.1898</v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103.79629629629629</v>
      </c>
      <c r="BN208" s="78">
        <f t="shared" si="29"/>
        <v>112.1</v>
      </c>
      <c r="BO208" s="78">
        <f t="shared" si="30"/>
        <v>0.14467592592592593</v>
      </c>
      <c r="BP208" s="78">
        <f t="shared" si="31"/>
        <v>0.15625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721">
        <v>4680115886773</v>
      </c>
      <c r="E209" s="721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723"/>
      <c r="R209" s="723"/>
      <c r="S209" s="723"/>
      <c r="T209" s="72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x14ac:dyDescent="0.2">
      <c r="A210" s="729"/>
      <c r="B210" s="729"/>
      <c r="C210" s="729"/>
      <c r="D210" s="729"/>
      <c r="E210" s="729"/>
      <c r="F210" s="729"/>
      <c r="G210" s="729"/>
      <c r="H210" s="729"/>
      <c r="I210" s="729"/>
      <c r="J210" s="729"/>
      <c r="K210" s="729"/>
      <c r="L210" s="729"/>
      <c r="M210" s="729"/>
      <c r="N210" s="729"/>
      <c r="O210" s="730"/>
      <c r="P210" s="726" t="s">
        <v>40</v>
      </c>
      <c r="Q210" s="727"/>
      <c r="R210" s="727"/>
      <c r="S210" s="727"/>
      <c r="T210" s="727"/>
      <c r="U210" s="727"/>
      <c r="V210" s="728"/>
      <c r="W210" s="42" t="s">
        <v>39</v>
      </c>
      <c r="X210" s="43">
        <f>IFERROR(X203/H203,"0")+IFERROR(X204/H204,"0")+IFERROR(X205/H205,"0")+IFERROR(X206/H206,"0")+IFERROR(X207/H207,"0")+IFERROR(X208/H208,"0")+IFERROR(X209/H209,"0")</f>
        <v>9.2592592592592595</v>
      </c>
      <c r="Y210" s="43">
        <f>IFERROR(Y203/H203,"0")+IFERROR(Y204/H204,"0")+IFERROR(Y205/H205,"0")+IFERROR(Y206/H206,"0")+IFERROR(Y207/H207,"0")+IFERROR(Y208/H208,"0")+IFERROR(Y209/H209,"0")</f>
        <v>10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0.1898</v>
      </c>
      <c r="AA210" s="67"/>
      <c r="AB210" s="67"/>
      <c r="AC210" s="67"/>
    </row>
    <row r="211" spans="1:68" x14ac:dyDescent="0.2">
      <c r="A211" s="729"/>
      <c r="B211" s="729"/>
      <c r="C211" s="729"/>
      <c r="D211" s="729"/>
      <c r="E211" s="729"/>
      <c r="F211" s="729"/>
      <c r="G211" s="729"/>
      <c r="H211" s="729"/>
      <c r="I211" s="729"/>
      <c r="J211" s="729"/>
      <c r="K211" s="729"/>
      <c r="L211" s="729"/>
      <c r="M211" s="729"/>
      <c r="N211" s="729"/>
      <c r="O211" s="730"/>
      <c r="P211" s="726" t="s">
        <v>40</v>
      </c>
      <c r="Q211" s="727"/>
      <c r="R211" s="727"/>
      <c r="S211" s="727"/>
      <c r="T211" s="727"/>
      <c r="U211" s="727"/>
      <c r="V211" s="728"/>
      <c r="W211" s="42" t="s">
        <v>0</v>
      </c>
      <c r="X211" s="43">
        <f>IFERROR(SUM(X203:X209),"0")</f>
        <v>100</v>
      </c>
      <c r="Y211" s="43">
        <f>IFERROR(SUM(Y203:Y209),"0")</f>
        <v>108</v>
      </c>
      <c r="Z211" s="42"/>
      <c r="AA211" s="67"/>
      <c r="AB211" s="67"/>
      <c r="AC211" s="67"/>
    </row>
    <row r="212" spans="1:68" ht="16.5" hidden="1" customHeight="1" x14ac:dyDescent="0.25">
      <c r="A212" s="719" t="s">
        <v>366</v>
      </c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19"/>
      <c r="P212" s="719"/>
      <c r="Q212" s="719"/>
      <c r="R212" s="719"/>
      <c r="S212" s="719"/>
      <c r="T212" s="719"/>
      <c r="U212" s="719"/>
      <c r="V212" s="719"/>
      <c r="W212" s="719"/>
      <c r="X212" s="719"/>
      <c r="Y212" s="719"/>
      <c r="Z212" s="719"/>
      <c r="AA212" s="65"/>
      <c r="AB212" s="65"/>
      <c r="AC212" s="79"/>
    </row>
    <row r="213" spans="1:68" ht="14.25" hidden="1" customHeight="1" x14ac:dyDescent="0.25">
      <c r="A213" s="720" t="s">
        <v>157</v>
      </c>
      <c r="B213" s="720"/>
      <c r="C213" s="720"/>
      <c r="D213" s="720"/>
      <c r="E213" s="720"/>
      <c r="F213" s="720"/>
      <c r="G213" s="720"/>
      <c r="H213" s="720"/>
      <c r="I213" s="720"/>
      <c r="J213" s="720"/>
      <c r="K213" s="720"/>
      <c r="L213" s="720"/>
      <c r="M213" s="720"/>
      <c r="N213" s="720"/>
      <c r="O213" s="720"/>
      <c r="P213" s="720"/>
      <c r="Q213" s="720"/>
      <c r="R213" s="720"/>
      <c r="S213" s="720"/>
      <c r="T213" s="720"/>
      <c r="U213" s="720"/>
      <c r="V213" s="720"/>
      <c r="W213" s="720"/>
      <c r="X213" s="720"/>
      <c r="Y213" s="720"/>
      <c r="Z213" s="720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721">
        <v>4680115886223</v>
      </c>
      <c r="E214" s="721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723"/>
      <c r="R214" s="723"/>
      <c r="S214" s="723"/>
      <c r="T214" s="724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729"/>
      <c r="B215" s="729"/>
      <c r="C215" s="729"/>
      <c r="D215" s="729"/>
      <c r="E215" s="729"/>
      <c r="F215" s="729"/>
      <c r="G215" s="729"/>
      <c r="H215" s="729"/>
      <c r="I215" s="729"/>
      <c r="J215" s="729"/>
      <c r="K215" s="729"/>
      <c r="L215" s="729"/>
      <c r="M215" s="729"/>
      <c r="N215" s="729"/>
      <c r="O215" s="730"/>
      <c r="P215" s="726" t="s">
        <v>40</v>
      </c>
      <c r="Q215" s="727"/>
      <c r="R215" s="727"/>
      <c r="S215" s="727"/>
      <c r="T215" s="727"/>
      <c r="U215" s="727"/>
      <c r="V215" s="728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729"/>
      <c r="B216" s="729"/>
      <c r="C216" s="729"/>
      <c r="D216" s="729"/>
      <c r="E216" s="729"/>
      <c r="F216" s="729"/>
      <c r="G216" s="729"/>
      <c r="H216" s="729"/>
      <c r="I216" s="729"/>
      <c r="J216" s="729"/>
      <c r="K216" s="729"/>
      <c r="L216" s="729"/>
      <c r="M216" s="729"/>
      <c r="N216" s="729"/>
      <c r="O216" s="730"/>
      <c r="P216" s="726" t="s">
        <v>40</v>
      </c>
      <c r="Q216" s="727"/>
      <c r="R216" s="727"/>
      <c r="S216" s="727"/>
      <c r="T216" s="727"/>
      <c r="U216" s="727"/>
      <c r="V216" s="728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720" t="s">
        <v>77</v>
      </c>
      <c r="B217" s="720"/>
      <c r="C217" s="720"/>
      <c r="D217" s="720"/>
      <c r="E217" s="720"/>
      <c r="F217" s="720"/>
      <c r="G217" s="720"/>
      <c r="H217" s="720"/>
      <c r="I217" s="720"/>
      <c r="J217" s="720"/>
      <c r="K217" s="720"/>
      <c r="L217" s="720"/>
      <c r="M217" s="720"/>
      <c r="N217" s="720"/>
      <c r="O217" s="720"/>
      <c r="P217" s="720"/>
      <c r="Q217" s="720"/>
      <c r="R217" s="720"/>
      <c r="S217" s="720"/>
      <c r="T217" s="720"/>
      <c r="U217" s="720"/>
      <c r="V217" s="720"/>
      <c r="W217" s="720"/>
      <c r="X217" s="720"/>
      <c r="Y217" s="720"/>
      <c r="Z217" s="720"/>
      <c r="AA217" s="66"/>
      <c r="AB217" s="66"/>
      <c r="AC217" s="80"/>
    </row>
    <row r="218" spans="1:68" ht="27" customHeight="1" x14ac:dyDescent="0.25">
      <c r="A218" s="63" t="s">
        <v>370</v>
      </c>
      <c r="B218" s="63" t="s">
        <v>371</v>
      </c>
      <c r="C218" s="36">
        <v>4301031191</v>
      </c>
      <c r="D218" s="721">
        <v>4680115880993</v>
      </c>
      <c r="E218" s="721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723"/>
      <c r="R218" s="723"/>
      <c r="S218" s="723"/>
      <c r="T218" s="724"/>
      <c r="U218" s="39" t="s">
        <v>46</v>
      </c>
      <c r="V218" s="39" t="s">
        <v>46</v>
      </c>
      <c r="W218" s="40" t="s">
        <v>0</v>
      </c>
      <c r="X218" s="58">
        <v>50</v>
      </c>
      <c r="Y218" s="55">
        <f t="shared" ref="Y218:Y232" si="32">IFERROR(IF(X218="",0,CEILING((X218/$H218),1)*$H218),"")</f>
        <v>50.400000000000006</v>
      </c>
      <c r="Z218" s="41">
        <f>IFERROR(IF(Y218=0,"",ROUNDUP(Y218/H218,0)*0.00902),"")</f>
        <v>0.10824</v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52.976190476190474</v>
      </c>
      <c r="BN218" s="78">
        <f t="shared" ref="BN218:BN232" si="34">IFERROR(Y218*I218/H218,"0")</f>
        <v>53.400000000000006</v>
      </c>
      <c r="BO218" s="78">
        <f t="shared" ref="BO218:BO232" si="35">IFERROR(1/J218*(X218/H218),"0")</f>
        <v>9.0187590187590191E-2</v>
      </c>
      <c r="BP218" s="78">
        <f t="shared" ref="BP218:BP232" si="36">IFERROR(1/J218*(Y218/H218),"0")</f>
        <v>9.0909090909090912E-2</v>
      </c>
    </row>
    <row r="219" spans="1:68" ht="27" customHeight="1" x14ac:dyDescent="0.25">
      <c r="A219" s="63" t="s">
        <v>373</v>
      </c>
      <c r="B219" s="63" t="s">
        <v>374</v>
      </c>
      <c r="C219" s="36">
        <v>4301031204</v>
      </c>
      <c r="D219" s="721">
        <v>4680115881761</v>
      </c>
      <c r="E219" s="72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723"/>
      <c r="R219" s="723"/>
      <c r="S219" s="723"/>
      <c r="T219" s="724"/>
      <c r="U219" s="39" t="s">
        <v>46</v>
      </c>
      <c r="V219" s="39" t="s">
        <v>46</v>
      </c>
      <c r="W219" s="40" t="s">
        <v>0</v>
      </c>
      <c r="X219" s="58">
        <v>40</v>
      </c>
      <c r="Y219" s="55">
        <f t="shared" si="32"/>
        <v>42</v>
      </c>
      <c r="Z219" s="41">
        <f>IFERROR(IF(Y219=0,"",ROUNDUP(Y219/H219,0)*0.00902),"")</f>
        <v>9.0200000000000002E-2</v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42.38095238095238</v>
      </c>
      <c r="BN219" s="78">
        <f t="shared" si="34"/>
        <v>44.5</v>
      </c>
      <c r="BO219" s="78">
        <f t="shared" si="35"/>
        <v>7.2150072150072145E-2</v>
      </c>
      <c r="BP219" s="78">
        <f t="shared" si="36"/>
        <v>7.575757575757576E-2</v>
      </c>
    </row>
    <row r="220" spans="1:68" ht="27" customHeight="1" x14ac:dyDescent="0.25">
      <c r="A220" s="63" t="s">
        <v>376</v>
      </c>
      <c r="B220" s="63" t="s">
        <v>377</v>
      </c>
      <c r="C220" s="36">
        <v>4301031201</v>
      </c>
      <c r="D220" s="721">
        <v>4680115881563</v>
      </c>
      <c r="E220" s="721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723"/>
      <c r="R220" s="723"/>
      <c r="S220" s="723"/>
      <c r="T220" s="724"/>
      <c r="U220" s="39" t="s">
        <v>46</v>
      </c>
      <c r="V220" s="39" t="s">
        <v>46</v>
      </c>
      <c r="W220" s="40" t="s">
        <v>0</v>
      </c>
      <c r="X220" s="58">
        <v>40</v>
      </c>
      <c r="Y220" s="55">
        <f t="shared" si="32"/>
        <v>42</v>
      </c>
      <c r="Z220" s="41">
        <f>IFERROR(IF(Y220=0,"",ROUNDUP(Y220/H220,0)*0.00902),"")</f>
        <v>9.0200000000000002E-2</v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41.809523809523803</v>
      </c>
      <c r="BN220" s="78">
        <f t="shared" si="34"/>
        <v>43.9</v>
      </c>
      <c r="BO220" s="78">
        <f t="shared" si="35"/>
        <v>7.2150072150072145E-2</v>
      </c>
      <c r="BP220" s="78">
        <f t="shared" si="36"/>
        <v>7.575757575757576E-2</v>
      </c>
    </row>
    <row r="221" spans="1:68" ht="37.5" customHeight="1" x14ac:dyDescent="0.25">
      <c r="A221" s="63" t="s">
        <v>379</v>
      </c>
      <c r="B221" s="63" t="s">
        <v>380</v>
      </c>
      <c r="C221" s="36">
        <v>4301031447</v>
      </c>
      <c r="D221" s="721">
        <v>4680115887565</v>
      </c>
      <c r="E221" s="721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723"/>
      <c r="R221" s="723"/>
      <c r="S221" s="723"/>
      <c r="T221" s="724"/>
      <c r="U221" s="39" t="s">
        <v>46</v>
      </c>
      <c r="V221" s="39" t="s">
        <v>46</v>
      </c>
      <c r="W221" s="40" t="s">
        <v>0</v>
      </c>
      <c r="X221" s="58">
        <v>9</v>
      </c>
      <c r="Y221" s="55">
        <f t="shared" si="32"/>
        <v>9.6000000000000014</v>
      </c>
      <c r="Z221" s="41">
        <f>IFERROR(IF(Y221=0,"",ROUNDUP(Y221/H221,0)*0.00556),"")</f>
        <v>6.6720000000000002E-2</v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10.4625</v>
      </c>
      <c r="BN221" s="78">
        <f t="shared" si="34"/>
        <v>11.160000000000002</v>
      </c>
      <c r="BO221" s="78">
        <f t="shared" si="35"/>
        <v>4.4642857142857137E-2</v>
      </c>
      <c r="BP221" s="78">
        <f t="shared" si="36"/>
        <v>4.7619047619047623E-2</v>
      </c>
    </row>
    <row r="222" spans="1:68" ht="27" customHeight="1" x14ac:dyDescent="0.25">
      <c r="A222" s="63" t="s">
        <v>382</v>
      </c>
      <c r="B222" s="63" t="s">
        <v>383</v>
      </c>
      <c r="C222" s="36">
        <v>4301031199</v>
      </c>
      <c r="D222" s="721">
        <v>4680115880986</v>
      </c>
      <c r="E222" s="721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723"/>
      <c r="R222" s="723"/>
      <c r="S222" s="723"/>
      <c r="T222" s="724"/>
      <c r="U222" s="39" t="s">
        <v>46</v>
      </c>
      <c r="V222" s="39" t="s">
        <v>46</v>
      </c>
      <c r="W222" s="40" t="s">
        <v>0</v>
      </c>
      <c r="X222" s="58">
        <v>35</v>
      </c>
      <c r="Y222" s="55">
        <f t="shared" si="32"/>
        <v>35.700000000000003</v>
      </c>
      <c r="Z222" s="41">
        <f t="shared" ref="Z222:Z227" si="37">IFERROR(IF(Y222=0,"",ROUNDUP(Y222/H222,0)*0.00502),"")</f>
        <v>8.5339999999999999E-2</v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37.166666666666664</v>
      </c>
      <c r="BN222" s="78">
        <f t="shared" si="34"/>
        <v>37.910000000000004</v>
      </c>
      <c r="BO222" s="78">
        <f t="shared" si="35"/>
        <v>7.1225071225071226E-2</v>
      </c>
      <c r="BP222" s="78">
        <f t="shared" si="36"/>
        <v>7.2649572649572655E-2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721">
        <v>4680115887213</v>
      </c>
      <c r="E223" s="721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723"/>
      <c r="R223" s="723"/>
      <c r="S223" s="723"/>
      <c r="T223" s="7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4301031205</v>
      </c>
      <c r="D224" s="721">
        <v>4680115881785</v>
      </c>
      <c r="E224" s="721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723"/>
      <c r="R224" s="723"/>
      <c r="S224" s="723"/>
      <c r="T224" s="724"/>
      <c r="U224" s="39" t="s">
        <v>46</v>
      </c>
      <c r="V224" s="39" t="s">
        <v>46</v>
      </c>
      <c r="W224" s="40" t="s">
        <v>0</v>
      </c>
      <c r="X224" s="58">
        <v>210</v>
      </c>
      <c r="Y224" s="55">
        <f t="shared" si="32"/>
        <v>210</v>
      </c>
      <c r="Z224" s="41">
        <f t="shared" si="37"/>
        <v>0.502</v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223</v>
      </c>
      <c r="BN224" s="78">
        <f t="shared" si="34"/>
        <v>223</v>
      </c>
      <c r="BO224" s="78">
        <f t="shared" si="35"/>
        <v>0.42735042735042739</v>
      </c>
      <c r="BP224" s="78">
        <f t="shared" si="36"/>
        <v>0.42735042735042739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721">
        <v>4680115888432</v>
      </c>
      <c r="E225" s="721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723"/>
      <c r="R225" s="723"/>
      <c r="S225" s="723"/>
      <c r="T225" s="7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721">
        <v>4680115888104</v>
      </c>
      <c r="E226" s="721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723"/>
      <c r="R226" s="723"/>
      <c r="S226" s="723"/>
      <c r="T226" s="7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721">
        <v>4680115886537</v>
      </c>
      <c r="E227" s="721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723"/>
      <c r="R227" s="723"/>
      <c r="S227" s="723"/>
      <c r="T227" s="72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4301031279</v>
      </c>
      <c r="D228" s="721">
        <v>4680115887596</v>
      </c>
      <c r="E228" s="721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723"/>
      <c r="R228" s="723"/>
      <c r="S228" s="723"/>
      <c r="T228" s="724"/>
      <c r="U228" s="39" t="s">
        <v>46</v>
      </c>
      <c r="V228" s="39" t="s">
        <v>46</v>
      </c>
      <c r="W228" s="40" t="s">
        <v>0</v>
      </c>
      <c r="X228" s="58">
        <v>3</v>
      </c>
      <c r="Y228" s="55">
        <f t="shared" si="32"/>
        <v>3.2</v>
      </c>
      <c r="Z228" s="41">
        <f>IFERROR(IF(Y228=0,"",ROUNDUP(Y228/H228,0)*0.00417),"")</f>
        <v>1.668E-2</v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3.7875000000000001</v>
      </c>
      <c r="BN228" s="78">
        <f t="shared" si="34"/>
        <v>4.04</v>
      </c>
      <c r="BO228" s="78">
        <f t="shared" si="35"/>
        <v>1.1160714285714284E-2</v>
      </c>
      <c r="BP228" s="78">
        <f t="shared" si="36"/>
        <v>1.1904761904761904E-2</v>
      </c>
    </row>
    <row r="229" spans="1:68" ht="37.5" customHeight="1" x14ac:dyDescent="0.25">
      <c r="A229" s="63" t="s">
        <v>401</v>
      </c>
      <c r="B229" s="63" t="s">
        <v>402</v>
      </c>
      <c r="C229" s="36">
        <v>4301031202</v>
      </c>
      <c r="D229" s="721">
        <v>4680115881679</v>
      </c>
      <c r="E229" s="721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723"/>
      <c r="R229" s="723"/>
      <c r="S229" s="723"/>
      <c r="T229" s="724"/>
      <c r="U229" s="39" t="s">
        <v>46</v>
      </c>
      <c r="V229" s="39" t="s">
        <v>46</v>
      </c>
      <c r="W229" s="40" t="s">
        <v>0</v>
      </c>
      <c r="X229" s="58">
        <v>315</v>
      </c>
      <c r="Y229" s="55">
        <f t="shared" si="32"/>
        <v>315</v>
      </c>
      <c r="Z229" s="41">
        <f>IFERROR(IF(Y229=0,"",ROUNDUP(Y229/H229,0)*0.00502),"")</f>
        <v>0.753</v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330</v>
      </c>
      <c r="BN229" s="78">
        <f t="shared" si="34"/>
        <v>330</v>
      </c>
      <c r="BO229" s="78">
        <f t="shared" si="35"/>
        <v>0.64102564102564108</v>
      </c>
      <c r="BP229" s="78">
        <f t="shared" si="36"/>
        <v>0.64102564102564108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721">
        <v>4680115880191</v>
      </c>
      <c r="E230" s="721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4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723"/>
      <c r="R230" s="723"/>
      <c r="S230" s="723"/>
      <c r="T230" s="72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721">
        <v>4680115880191</v>
      </c>
      <c r="E231" s="7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23"/>
      <c r="R231" s="723"/>
      <c r="S231" s="723"/>
      <c r="T231" s="72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21">
        <v>4680115883963</v>
      </c>
      <c r="E232" s="72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23"/>
      <c r="R232" s="723"/>
      <c r="S232" s="723"/>
      <c r="T232" s="72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x14ac:dyDescent="0.2">
      <c r="A233" s="729"/>
      <c r="B233" s="729"/>
      <c r="C233" s="729"/>
      <c r="D233" s="729"/>
      <c r="E233" s="729"/>
      <c r="F233" s="729"/>
      <c r="G233" s="729"/>
      <c r="H233" s="729"/>
      <c r="I233" s="729"/>
      <c r="J233" s="729"/>
      <c r="K233" s="729"/>
      <c r="L233" s="729"/>
      <c r="M233" s="729"/>
      <c r="N233" s="729"/>
      <c r="O233" s="730"/>
      <c r="P233" s="726" t="s">
        <v>40</v>
      </c>
      <c r="Q233" s="727"/>
      <c r="R233" s="727"/>
      <c r="S233" s="727"/>
      <c r="T233" s="727"/>
      <c r="U233" s="727"/>
      <c r="V233" s="728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312.61904761904759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315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1.71238</v>
      </c>
      <c r="AA233" s="67"/>
      <c r="AB233" s="67"/>
      <c r="AC233" s="67"/>
    </row>
    <row r="234" spans="1:68" x14ac:dyDescent="0.2">
      <c r="A234" s="729"/>
      <c r="B234" s="729"/>
      <c r="C234" s="729"/>
      <c r="D234" s="729"/>
      <c r="E234" s="729"/>
      <c r="F234" s="729"/>
      <c r="G234" s="729"/>
      <c r="H234" s="729"/>
      <c r="I234" s="729"/>
      <c r="J234" s="729"/>
      <c r="K234" s="729"/>
      <c r="L234" s="729"/>
      <c r="M234" s="729"/>
      <c r="N234" s="729"/>
      <c r="O234" s="730"/>
      <c r="P234" s="726" t="s">
        <v>40</v>
      </c>
      <c r="Q234" s="727"/>
      <c r="R234" s="727"/>
      <c r="S234" s="727"/>
      <c r="T234" s="727"/>
      <c r="U234" s="727"/>
      <c r="V234" s="728"/>
      <c r="W234" s="42" t="s">
        <v>0</v>
      </c>
      <c r="X234" s="43">
        <f>IFERROR(SUM(X218:X232),"0")</f>
        <v>702</v>
      </c>
      <c r="Y234" s="43">
        <f>IFERROR(SUM(Y218:Y232),"0")</f>
        <v>707.9</v>
      </c>
      <c r="Z234" s="42"/>
      <c r="AA234" s="67"/>
      <c r="AB234" s="67"/>
      <c r="AC234" s="67"/>
    </row>
    <row r="235" spans="1:68" ht="14.25" hidden="1" customHeight="1" x14ac:dyDescent="0.25">
      <c r="A235" s="720" t="s">
        <v>86</v>
      </c>
      <c r="B235" s="720"/>
      <c r="C235" s="720"/>
      <c r="D235" s="720"/>
      <c r="E235" s="720"/>
      <c r="F235" s="720"/>
      <c r="G235" s="720"/>
      <c r="H235" s="720"/>
      <c r="I235" s="720"/>
      <c r="J235" s="720"/>
      <c r="K235" s="720"/>
      <c r="L235" s="720"/>
      <c r="M235" s="720"/>
      <c r="N235" s="720"/>
      <c r="O235" s="720"/>
      <c r="P235" s="720"/>
      <c r="Q235" s="720"/>
      <c r="R235" s="720"/>
      <c r="S235" s="720"/>
      <c r="T235" s="720"/>
      <c r="U235" s="720"/>
      <c r="V235" s="720"/>
      <c r="W235" s="720"/>
      <c r="X235" s="720"/>
      <c r="Y235" s="720"/>
      <c r="Z235" s="720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721">
        <v>4680115888692</v>
      </c>
      <c r="E236" s="72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23"/>
      <c r="R236" s="723"/>
      <c r="S236" s="723"/>
      <c r="T236" s="72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721">
        <v>4680115888692</v>
      </c>
      <c r="E237" s="72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4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723"/>
      <c r="R237" s="723"/>
      <c r="S237" s="723"/>
      <c r="T237" s="724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721">
        <v>4680115888722</v>
      </c>
      <c r="E238" s="721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723"/>
      <c r="R238" s="723"/>
      <c r="S238" s="723"/>
      <c r="T238" s="724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721">
        <v>4680115888722</v>
      </c>
      <c r="E239" s="721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4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723"/>
      <c r="R239" s="723"/>
      <c r="S239" s="723"/>
      <c r="T239" s="724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721">
        <v>4680115888951</v>
      </c>
      <c r="E240" s="72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23"/>
      <c r="R240" s="723"/>
      <c r="S240" s="723"/>
      <c r="T240" s="724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721">
        <v>4680115888951</v>
      </c>
      <c r="E241" s="721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723"/>
      <c r="R241" s="723"/>
      <c r="S241" s="723"/>
      <c r="T241" s="724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721">
        <v>4680115888975</v>
      </c>
      <c r="E242" s="721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723"/>
      <c r="R242" s="723"/>
      <c r="S242" s="723"/>
      <c r="T242" s="724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721">
        <v>4680115888982</v>
      </c>
      <c r="E243" s="721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723"/>
      <c r="R243" s="723"/>
      <c r="S243" s="723"/>
      <c r="T243" s="724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721">
        <v>4680115888982</v>
      </c>
      <c r="E244" s="72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23"/>
      <c r="R244" s="723"/>
      <c r="S244" s="723"/>
      <c r="T244" s="724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729"/>
      <c r="B245" s="729"/>
      <c r="C245" s="729"/>
      <c r="D245" s="729"/>
      <c r="E245" s="729"/>
      <c r="F245" s="729"/>
      <c r="G245" s="729"/>
      <c r="H245" s="729"/>
      <c r="I245" s="729"/>
      <c r="J245" s="729"/>
      <c r="K245" s="729"/>
      <c r="L245" s="729"/>
      <c r="M245" s="729"/>
      <c r="N245" s="729"/>
      <c r="O245" s="730"/>
      <c r="P245" s="726" t="s">
        <v>40</v>
      </c>
      <c r="Q245" s="727"/>
      <c r="R245" s="727"/>
      <c r="S245" s="727"/>
      <c r="T245" s="727"/>
      <c r="U245" s="727"/>
      <c r="V245" s="728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29"/>
      <c r="B246" s="729"/>
      <c r="C246" s="729"/>
      <c r="D246" s="729"/>
      <c r="E246" s="729"/>
      <c r="F246" s="729"/>
      <c r="G246" s="729"/>
      <c r="H246" s="729"/>
      <c r="I246" s="729"/>
      <c r="J246" s="729"/>
      <c r="K246" s="729"/>
      <c r="L246" s="729"/>
      <c r="M246" s="729"/>
      <c r="N246" s="729"/>
      <c r="O246" s="730"/>
      <c r="P246" s="726" t="s">
        <v>40</v>
      </c>
      <c r="Q246" s="727"/>
      <c r="R246" s="727"/>
      <c r="S246" s="727"/>
      <c r="T246" s="727"/>
      <c r="U246" s="727"/>
      <c r="V246" s="728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20" t="s">
        <v>275</v>
      </c>
      <c r="B247" s="720"/>
      <c r="C247" s="720"/>
      <c r="D247" s="720"/>
      <c r="E247" s="720"/>
      <c r="F247" s="720"/>
      <c r="G247" s="720"/>
      <c r="H247" s="720"/>
      <c r="I247" s="720"/>
      <c r="J247" s="720"/>
      <c r="K247" s="720"/>
      <c r="L247" s="720"/>
      <c r="M247" s="720"/>
      <c r="N247" s="720"/>
      <c r="O247" s="720"/>
      <c r="P247" s="720"/>
      <c r="Q247" s="720"/>
      <c r="R247" s="720"/>
      <c r="S247" s="720"/>
      <c r="T247" s="720"/>
      <c r="U247" s="720"/>
      <c r="V247" s="720"/>
      <c r="W247" s="720"/>
      <c r="X247" s="720"/>
      <c r="Y247" s="720"/>
      <c r="Z247" s="720"/>
      <c r="AA247" s="66"/>
      <c r="AB247" s="66"/>
      <c r="AC247" s="80"/>
    </row>
    <row r="248" spans="1:68" ht="27" customHeight="1" x14ac:dyDescent="0.25">
      <c r="A248" s="63" t="s">
        <v>429</v>
      </c>
      <c r="B248" s="63" t="s">
        <v>430</v>
      </c>
      <c r="C248" s="36">
        <v>4301032053</v>
      </c>
      <c r="D248" s="721">
        <v>4680115886780</v>
      </c>
      <c r="E248" s="72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23"/>
      <c r="R248" s="723"/>
      <c r="S248" s="723"/>
      <c r="T248" s="724"/>
      <c r="U248" s="39" t="s">
        <v>46</v>
      </c>
      <c r="V248" s="39" t="s">
        <v>46</v>
      </c>
      <c r="W248" s="40" t="s">
        <v>0</v>
      </c>
      <c r="X248" s="58">
        <v>8</v>
      </c>
      <c r="Y248" s="55">
        <f>IFERROR(IF(X248="",0,CEILING((X248/$H248),1)*$H248),"")</f>
        <v>8.82</v>
      </c>
      <c r="Z248" s="41">
        <f>IFERROR(IF(Y248=0,"",ROUNDUP(Y248/H248,0)*0.0059),"")</f>
        <v>4.1299999999999996E-2</v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9.2063492063492056</v>
      </c>
      <c r="BN248" s="78">
        <f>IFERROR(Y248*I248/H248,"0")</f>
        <v>10.15</v>
      </c>
      <c r="BO248" s="78">
        <f>IFERROR(1/J248*(X248/H248),"0")</f>
        <v>2.9394473838918279E-2</v>
      </c>
      <c r="BP248" s="78">
        <f>IFERROR(1/J248*(Y248/H248),"0")</f>
        <v>3.2407407407407406E-2</v>
      </c>
    </row>
    <row r="249" spans="1:68" ht="27" customHeight="1" x14ac:dyDescent="0.25">
      <c r="A249" s="63" t="s">
        <v>432</v>
      </c>
      <c r="B249" s="63" t="s">
        <v>433</v>
      </c>
      <c r="C249" s="36">
        <v>4301032051</v>
      </c>
      <c r="D249" s="721">
        <v>4680115886742</v>
      </c>
      <c r="E249" s="72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23"/>
      <c r="R249" s="723"/>
      <c r="S249" s="723"/>
      <c r="T249" s="724"/>
      <c r="U249" s="39" t="s">
        <v>46</v>
      </c>
      <c r="V249" s="39" t="s">
        <v>46</v>
      </c>
      <c r="W249" s="40" t="s">
        <v>0</v>
      </c>
      <c r="X249" s="58">
        <v>7</v>
      </c>
      <c r="Y249" s="55">
        <f>IFERROR(IF(X249="",0,CEILING((X249/$H249),1)*$H249),"")</f>
        <v>7.5600000000000005</v>
      </c>
      <c r="Z249" s="41">
        <f>IFERROR(IF(Y249=0,"",ROUNDUP(Y249/H249,0)*0.0059),"")</f>
        <v>3.5400000000000001E-2</v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8.0555555555555554</v>
      </c>
      <c r="BN249" s="78">
        <f>IFERROR(Y249*I249/H249,"0")</f>
        <v>8.6999999999999993</v>
      </c>
      <c r="BO249" s="78">
        <f>IFERROR(1/J249*(X249/H249),"0")</f>
        <v>2.5720164609053495E-2</v>
      </c>
      <c r="BP249" s="78">
        <f>IFERROR(1/J249*(Y249/H249),"0")</f>
        <v>2.7777777777777776E-2</v>
      </c>
    </row>
    <row r="250" spans="1:68" ht="27" customHeight="1" x14ac:dyDescent="0.25">
      <c r="A250" s="63" t="s">
        <v>435</v>
      </c>
      <c r="B250" s="63" t="s">
        <v>436</v>
      </c>
      <c r="C250" s="36">
        <v>4301032052</v>
      </c>
      <c r="D250" s="721">
        <v>4680115886766</v>
      </c>
      <c r="E250" s="72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23"/>
      <c r="R250" s="723"/>
      <c r="S250" s="723"/>
      <c r="T250" s="724"/>
      <c r="U250" s="39" t="s">
        <v>46</v>
      </c>
      <c r="V250" s="39" t="s">
        <v>46</v>
      </c>
      <c r="W250" s="40" t="s">
        <v>0</v>
      </c>
      <c r="X250" s="58">
        <v>21</v>
      </c>
      <c r="Y250" s="55">
        <f>IFERROR(IF(X250="",0,CEILING((X250/$H250),1)*$H250),"")</f>
        <v>21.42</v>
      </c>
      <c r="Z250" s="41">
        <f>IFERROR(IF(Y250=0,"",ROUNDUP(Y250/H250,0)*0.0059),"")</f>
        <v>0.1003</v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24.166666666666664</v>
      </c>
      <c r="BN250" s="78">
        <f>IFERROR(Y250*I250/H250,"0")</f>
        <v>24.650000000000002</v>
      </c>
      <c r="BO250" s="78">
        <f>IFERROR(1/J250*(X250/H250),"0")</f>
        <v>7.716049382716049E-2</v>
      </c>
      <c r="BP250" s="78">
        <f>IFERROR(1/J250*(Y250/H250),"0")</f>
        <v>7.8703703703703692E-2</v>
      </c>
    </row>
    <row r="251" spans="1:68" x14ac:dyDescent="0.2">
      <c r="A251" s="729"/>
      <c r="B251" s="729"/>
      <c r="C251" s="729"/>
      <c r="D251" s="729"/>
      <c r="E251" s="729"/>
      <c r="F251" s="729"/>
      <c r="G251" s="729"/>
      <c r="H251" s="729"/>
      <c r="I251" s="729"/>
      <c r="J251" s="729"/>
      <c r="K251" s="729"/>
      <c r="L251" s="729"/>
      <c r="M251" s="729"/>
      <c r="N251" s="729"/>
      <c r="O251" s="730"/>
      <c r="P251" s="726" t="s">
        <v>40</v>
      </c>
      <c r="Q251" s="727"/>
      <c r="R251" s="727"/>
      <c r="S251" s="727"/>
      <c r="T251" s="727"/>
      <c r="U251" s="727"/>
      <c r="V251" s="728"/>
      <c r="W251" s="42" t="s">
        <v>39</v>
      </c>
      <c r="X251" s="43">
        <f>IFERROR(X248/H248,"0")+IFERROR(X249/H249,"0")+IFERROR(X250/H250,"0")</f>
        <v>28.571428571428573</v>
      </c>
      <c r="Y251" s="43">
        <f>IFERROR(Y248/H248,"0")+IFERROR(Y249/H249,"0")+IFERROR(Y250/H250,"0")</f>
        <v>30</v>
      </c>
      <c r="Z251" s="43">
        <f>IFERROR(IF(Z248="",0,Z248),"0")+IFERROR(IF(Z249="",0,Z249),"0")+IFERROR(IF(Z250="",0,Z250),"0")</f>
        <v>0.17699999999999999</v>
      </c>
      <c r="AA251" s="67"/>
      <c r="AB251" s="67"/>
      <c r="AC251" s="67"/>
    </row>
    <row r="252" spans="1:68" x14ac:dyDescent="0.2">
      <c r="A252" s="729"/>
      <c r="B252" s="729"/>
      <c r="C252" s="729"/>
      <c r="D252" s="729"/>
      <c r="E252" s="729"/>
      <c r="F252" s="729"/>
      <c r="G252" s="729"/>
      <c r="H252" s="729"/>
      <c r="I252" s="729"/>
      <c r="J252" s="729"/>
      <c r="K252" s="729"/>
      <c r="L252" s="729"/>
      <c r="M252" s="729"/>
      <c r="N252" s="729"/>
      <c r="O252" s="730"/>
      <c r="P252" s="726" t="s">
        <v>40</v>
      </c>
      <c r="Q252" s="727"/>
      <c r="R252" s="727"/>
      <c r="S252" s="727"/>
      <c r="T252" s="727"/>
      <c r="U252" s="727"/>
      <c r="V252" s="728"/>
      <c r="W252" s="42" t="s">
        <v>0</v>
      </c>
      <c r="X252" s="43">
        <f>IFERROR(SUM(X248:X250),"0")</f>
        <v>36</v>
      </c>
      <c r="Y252" s="43">
        <f>IFERROR(SUM(Y248:Y250),"0")</f>
        <v>37.800000000000004</v>
      </c>
      <c r="Z252" s="42"/>
      <c r="AA252" s="67"/>
      <c r="AB252" s="67"/>
      <c r="AC252" s="67"/>
    </row>
    <row r="253" spans="1:68" ht="14.25" hidden="1" customHeight="1" x14ac:dyDescent="0.25">
      <c r="A253" s="720" t="s">
        <v>437</v>
      </c>
      <c r="B253" s="720"/>
      <c r="C253" s="720"/>
      <c r="D253" s="720"/>
      <c r="E253" s="720"/>
      <c r="F253" s="720"/>
      <c r="G253" s="720"/>
      <c r="H253" s="720"/>
      <c r="I253" s="720"/>
      <c r="J253" s="720"/>
      <c r="K253" s="720"/>
      <c r="L253" s="720"/>
      <c r="M253" s="720"/>
      <c r="N253" s="720"/>
      <c r="O253" s="720"/>
      <c r="P253" s="720"/>
      <c r="Q253" s="720"/>
      <c r="R253" s="720"/>
      <c r="S253" s="720"/>
      <c r="T253" s="720"/>
      <c r="U253" s="720"/>
      <c r="V253" s="720"/>
      <c r="W253" s="720"/>
      <c r="X253" s="720"/>
      <c r="Y253" s="720"/>
      <c r="Z253" s="720"/>
      <c r="AA253" s="66"/>
      <c r="AB253" s="66"/>
      <c r="AC253" s="80"/>
    </row>
    <row r="254" spans="1:68" ht="27" customHeight="1" x14ac:dyDescent="0.25">
      <c r="A254" s="63" t="s">
        <v>438</v>
      </c>
      <c r="B254" s="63" t="s">
        <v>439</v>
      </c>
      <c r="C254" s="36">
        <v>4301170013</v>
      </c>
      <c r="D254" s="721">
        <v>4680115886797</v>
      </c>
      <c r="E254" s="72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23"/>
      <c r="R254" s="723"/>
      <c r="S254" s="723"/>
      <c r="T254" s="724"/>
      <c r="U254" s="39" t="s">
        <v>46</v>
      </c>
      <c r="V254" s="39" t="s">
        <v>46</v>
      </c>
      <c r="W254" s="40" t="s">
        <v>0</v>
      </c>
      <c r="X254" s="58">
        <v>7</v>
      </c>
      <c r="Y254" s="55">
        <f>IFERROR(IF(X254="",0,CEILING((X254/$H254),1)*$H254),"")</f>
        <v>7.5600000000000005</v>
      </c>
      <c r="Z254" s="41">
        <f>IFERROR(IF(Y254=0,"",ROUNDUP(Y254/H254,0)*0.0059),"")</f>
        <v>3.5400000000000001E-2</v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8.0555555555555554</v>
      </c>
      <c r="BN254" s="78">
        <f>IFERROR(Y254*I254/H254,"0")</f>
        <v>8.6999999999999993</v>
      </c>
      <c r="BO254" s="78">
        <f>IFERROR(1/J254*(X254/H254),"0")</f>
        <v>2.5720164609053495E-2</v>
      </c>
      <c r="BP254" s="78">
        <f>IFERROR(1/J254*(Y254/H254),"0")</f>
        <v>2.7777777777777776E-2</v>
      </c>
    </row>
    <row r="255" spans="1:68" x14ac:dyDescent="0.2">
      <c r="A255" s="729"/>
      <c r="B255" s="729"/>
      <c r="C255" s="729"/>
      <c r="D255" s="729"/>
      <c r="E255" s="729"/>
      <c r="F255" s="729"/>
      <c r="G255" s="729"/>
      <c r="H255" s="729"/>
      <c r="I255" s="729"/>
      <c r="J255" s="729"/>
      <c r="K255" s="729"/>
      <c r="L255" s="729"/>
      <c r="M255" s="729"/>
      <c r="N255" s="729"/>
      <c r="O255" s="730"/>
      <c r="P255" s="726" t="s">
        <v>40</v>
      </c>
      <c r="Q255" s="727"/>
      <c r="R255" s="727"/>
      <c r="S255" s="727"/>
      <c r="T255" s="727"/>
      <c r="U255" s="727"/>
      <c r="V255" s="728"/>
      <c r="W255" s="42" t="s">
        <v>39</v>
      </c>
      <c r="X255" s="43">
        <f>IFERROR(X254/H254,"0")</f>
        <v>5.5555555555555554</v>
      </c>
      <c r="Y255" s="43">
        <f>IFERROR(Y254/H254,"0")</f>
        <v>6</v>
      </c>
      <c r="Z255" s="43">
        <f>IFERROR(IF(Z254="",0,Z254),"0")</f>
        <v>3.5400000000000001E-2</v>
      </c>
      <c r="AA255" s="67"/>
      <c r="AB255" s="67"/>
      <c r="AC255" s="67"/>
    </row>
    <row r="256" spans="1:68" x14ac:dyDescent="0.2">
      <c r="A256" s="729"/>
      <c r="B256" s="729"/>
      <c r="C256" s="729"/>
      <c r="D256" s="729"/>
      <c r="E256" s="729"/>
      <c r="F256" s="729"/>
      <c r="G256" s="729"/>
      <c r="H256" s="729"/>
      <c r="I256" s="729"/>
      <c r="J256" s="729"/>
      <c r="K256" s="729"/>
      <c r="L256" s="729"/>
      <c r="M256" s="729"/>
      <c r="N256" s="729"/>
      <c r="O256" s="730"/>
      <c r="P256" s="726" t="s">
        <v>40</v>
      </c>
      <c r="Q256" s="727"/>
      <c r="R256" s="727"/>
      <c r="S256" s="727"/>
      <c r="T256" s="727"/>
      <c r="U256" s="727"/>
      <c r="V256" s="728"/>
      <c r="W256" s="42" t="s">
        <v>0</v>
      </c>
      <c r="X256" s="43">
        <f>IFERROR(SUM(X254:X254),"0")</f>
        <v>7</v>
      </c>
      <c r="Y256" s="43">
        <f>IFERROR(SUM(Y254:Y254),"0")</f>
        <v>7.5600000000000005</v>
      </c>
      <c r="Z256" s="42"/>
      <c r="AA256" s="67"/>
      <c r="AB256" s="67"/>
      <c r="AC256" s="67"/>
    </row>
    <row r="257" spans="1:68" ht="16.5" hidden="1" customHeight="1" x14ac:dyDescent="0.25">
      <c r="A257" s="719" t="s">
        <v>440</v>
      </c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19"/>
      <c r="P257" s="719"/>
      <c r="Q257" s="719"/>
      <c r="R257" s="719"/>
      <c r="S257" s="719"/>
      <c r="T257" s="719"/>
      <c r="U257" s="719"/>
      <c r="V257" s="719"/>
      <c r="W257" s="719"/>
      <c r="X257" s="719"/>
      <c r="Y257" s="719"/>
      <c r="Z257" s="719"/>
      <c r="AA257" s="65"/>
      <c r="AB257" s="65"/>
      <c r="AC257" s="79"/>
    </row>
    <row r="258" spans="1:68" ht="14.25" hidden="1" customHeight="1" x14ac:dyDescent="0.25">
      <c r="A258" s="720" t="s">
        <v>122</v>
      </c>
      <c r="B258" s="720"/>
      <c r="C258" s="720"/>
      <c r="D258" s="720"/>
      <c r="E258" s="720"/>
      <c r="F258" s="720"/>
      <c r="G258" s="720"/>
      <c r="H258" s="720"/>
      <c r="I258" s="720"/>
      <c r="J258" s="720"/>
      <c r="K258" s="720"/>
      <c r="L258" s="720"/>
      <c r="M258" s="720"/>
      <c r="N258" s="720"/>
      <c r="O258" s="720"/>
      <c r="P258" s="720"/>
      <c r="Q258" s="720"/>
      <c r="R258" s="720"/>
      <c r="S258" s="720"/>
      <c r="T258" s="720"/>
      <c r="U258" s="720"/>
      <c r="V258" s="720"/>
      <c r="W258" s="720"/>
      <c r="X258" s="720"/>
      <c r="Y258" s="720"/>
      <c r="Z258" s="720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721">
        <v>4680115881402</v>
      </c>
      <c r="E259" s="72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23"/>
      <c r="R259" s="723"/>
      <c r="S259" s="723"/>
      <c r="T259" s="72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721">
        <v>4680115881396</v>
      </c>
      <c r="E260" s="72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6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23"/>
      <c r="R260" s="723"/>
      <c r="S260" s="723"/>
      <c r="T260" s="72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29"/>
      <c r="B261" s="729"/>
      <c r="C261" s="729"/>
      <c r="D261" s="729"/>
      <c r="E261" s="729"/>
      <c r="F261" s="729"/>
      <c r="G261" s="729"/>
      <c r="H261" s="729"/>
      <c r="I261" s="729"/>
      <c r="J261" s="729"/>
      <c r="K261" s="729"/>
      <c r="L261" s="729"/>
      <c r="M261" s="729"/>
      <c r="N261" s="729"/>
      <c r="O261" s="730"/>
      <c r="P261" s="726" t="s">
        <v>40</v>
      </c>
      <c r="Q261" s="727"/>
      <c r="R261" s="727"/>
      <c r="S261" s="727"/>
      <c r="T261" s="727"/>
      <c r="U261" s="727"/>
      <c r="V261" s="728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29"/>
      <c r="B262" s="729"/>
      <c r="C262" s="729"/>
      <c r="D262" s="729"/>
      <c r="E262" s="729"/>
      <c r="F262" s="729"/>
      <c r="G262" s="729"/>
      <c r="H262" s="729"/>
      <c r="I262" s="729"/>
      <c r="J262" s="729"/>
      <c r="K262" s="729"/>
      <c r="L262" s="729"/>
      <c r="M262" s="729"/>
      <c r="N262" s="729"/>
      <c r="O262" s="730"/>
      <c r="P262" s="726" t="s">
        <v>40</v>
      </c>
      <c r="Q262" s="727"/>
      <c r="R262" s="727"/>
      <c r="S262" s="727"/>
      <c r="T262" s="727"/>
      <c r="U262" s="727"/>
      <c r="V262" s="728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20" t="s">
        <v>157</v>
      </c>
      <c r="B263" s="720"/>
      <c r="C263" s="720"/>
      <c r="D263" s="720"/>
      <c r="E263" s="720"/>
      <c r="F263" s="720"/>
      <c r="G263" s="720"/>
      <c r="H263" s="720"/>
      <c r="I263" s="720"/>
      <c r="J263" s="720"/>
      <c r="K263" s="720"/>
      <c r="L263" s="720"/>
      <c r="M263" s="720"/>
      <c r="N263" s="720"/>
      <c r="O263" s="720"/>
      <c r="P263" s="720"/>
      <c r="Q263" s="720"/>
      <c r="R263" s="720"/>
      <c r="S263" s="720"/>
      <c r="T263" s="720"/>
      <c r="U263" s="720"/>
      <c r="V263" s="720"/>
      <c r="W263" s="720"/>
      <c r="X263" s="720"/>
      <c r="Y263" s="720"/>
      <c r="Z263" s="720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721">
        <v>4680115882935</v>
      </c>
      <c r="E264" s="7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6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23"/>
      <c r="R264" s="723"/>
      <c r="S264" s="723"/>
      <c r="T264" s="72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721">
        <v>4680115880764</v>
      </c>
      <c r="E265" s="72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6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23"/>
      <c r="R265" s="723"/>
      <c r="S265" s="723"/>
      <c r="T265" s="72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29"/>
      <c r="B266" s="729"/>
      <c r="C266" s="729"/>
      <c r="D266" s="729"/>
      <c r="E266" s="729"/>
      <c r="F266" s="729"/>
      <c r="G266" s="729"/>
      <c r="H266" s="729"/>
      <c r="I266" s="729"/>
      <c r="J266" s="729"/>
      <c r="K266" s="729"/>
      <c r="L266" s="729"/>
      <c r="M266" s="729"/>
      <c r="N266" s="729"/>
      <c r="O266" s="730"/>
      <c r="P266" s="726" t="s">
        <v>40</v>
      </c>
      <c r="Q266" s="727"/>
      <c r="R266" s="727"/>
      <c r="S266" s="727"/>
      <c r="T266" s="727"/>
      <c r="U266" s="727"/>
      <c r="V266" s="728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29"/>
      <c r="B267" s="729"/>
      <c r="C267" s="729"/>
      <c r="D267" s="729"/>
      <c r="E267" s="729"/>
      <c r="F267" s="729"/>
      <c r="G267" s="729"/>
      <c r="H267" s="729"/>
      <c r="I267" s="729"/>
      <c r="J267" s="729"/>
      <c r="K267" s="729"/>
      <c r="L267" s="729"/>
      <c r="M267" s="729"/>
      <c r="N267" s="729"/>
      <c r="O267" s="730"/>
      <c r="P267" s="726" t="s">
        <v>40</v>
      </c>
      <c r="Q267" s="727"/>
      <c r="R267" s="727"/>
      <c r="S267" s="727"/>
      <c r="T267" s="727"/>
      <c r="U267" s="727"/>
      <c r="V267" s="728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20" t="s">
        <v>77</v>
      </c>
      <c r="B268" s="720"/>
      <c r="C268" s="720"/>
      <c r="D268" s="720"/>
      <c r="E268" s="720"/>
      <c r="F268" s="720"/>
      <c r="G268" s="720"/>
      <c r="H268" s="720"/>
      <c r="I268" s="720"/>
      <c r="J268" s="720"/>
      <c r="K268" s="720"/>
      <c r="L268" s="720"/>
      <c r="M268" s="720"/>
      <c r="N268" s="720"/>
      <c r="O268" s="720"/>
      <c r="P268" s="720"/>
      <c r="Q268" s="720"/>
      <c r="R268" s="720"/>
      <c r="S268" s="720"/>
      <c r="T268" s="720"/>
      <c r="U268" s="720"/>
      <c r="V268" s="720"/>
      <c r="W268" s="720"/>
      <c r="X268" s="720"/>
      <c r="Y268" s="720"/>
      <c r="Z268" s="720"/>
      <c r="AA268" s="66"/>
      <c r="AB268" s="66"/>
      <c r="AC268" s="80"/>
    </row>
    <row r="269" spans="1:68" ht="27" customHeight="1" x14ac:dyDescent="0.25">
      <c r="A269" s="63" t="s">
        <v>451</v>
      </c>
      <c r="B269" s="63" t="s">
        <v>452</v>
      </c>
      <c r="C269" s="36">
        <v>4301031224</v>
      </c>
      <c r="D269" s="721">
        <v>4680115882683</v>
      </c>
      <c r="E269" s="72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23"/>
      <c r="R269" s="723"/>
      <c r="S269" s="723"/>
      <c r="T269" s="724"/>
      <c r="U269" s="39" t="s">
        <v>46</v>
      </c>
      <c r="V269" s="39" t="s">
        <v>46</v>
      </c>
      <c r="W269" s="40" t="s">
        <v>0</v>
      </c>
      <c r="X269" s="58">
        <v>400</v>
      </c>
      <c r="Y269" s="55">
        <f t="shared" ref="Y269:Y276" si="43">IFERROR(IF(X269="",0,CEILING((X269/$H269),1)*$H269),"")</f>
        <v>405</v>
      </c>
      <c r="Z269" s="41">
        <f>IFERROR(IF(Y269=0,"",ROUNDUP(Y269/H269,0)*0.00902),"")</f>
        <v>0.67649999999999999</v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414.07407407407402</v>
      </c>
      <c r="BN269" s="78">
        <f t="shared" ref="BN269:BN276" si="45">IFERROR(Y269*I269/H269,"0")</f>
        <v>419.24999999999994</v>
      </c>
      <c r="BO269" s="78">
        <f t="shared" ref="BO269:BO276" si="46">IFERROR(1/J269*(X269/H269),"0")</f>
        <v>0.5611672278338945</v>
      </c>
      <c r="BP269" s="78">
        <f t="shared" ref="BP269:BP276" si="47">IFERROR(1/J269*(Y269/H269),"0")</f>
        <v>0.56818181818181823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721">
        <v>4680115882690</v>
      </c>
      <c r="E270" s="72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6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23"/>
      <c r="R270" s="723"/>
      <c r="S270" s="723"/>
      <c r="T270" s="7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customHeight="1" x14ac:dyDescent="0.25">
      <c r="A271" s="63" t="s">
        <v>457</v>
      </c>
      <c r="B271" s="63" t="s">
        <v>458</v>
      </c>
      <c r="C271" s="36">
        <v>4301031220</v>
      </c>
      <c r="D271" s="721">
        <v>4680115882669</v>
      </c>
      <c r="E271" s="72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23"/>
      <c r="R271" s="723"/>
      <c r="S271" s="723"/>
      <c r="T271" s="724"/>
      <c r="U271" s="39" t="s">
        <v>46</v>
      </c>
      <c r="V271" s="39" t="s">
        <v>46</v>
      </c>
      <c r="W271" s="40" t="s">
        <v>0</v>
      </c>
      <c r="X271" s="58">
        <v>200</v>
      </c>
      <c r="Y271" s="55">
        <f t="shared" si="43"/>
        <v>205.20000000000002</v>
      </c>
      <c r="Z271" s="41">
        <f>IFERROR(IF(Y271=0,"",ROUNDUP(Y271/H271,0)*0.00902),"")</f>
        <v>0.34276000000000001</v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207.03703703703701</v>
      </c>
      <c r="BN271" s="78">
        <f t="shared" si="45"/>
        <v>212.42</v>
      </c>
      <c r="BO271" s="78">
        <f t="shared" si="46"/>
        <v>0.28058361391694725</v>
      </c>
      <c r="BP271" s="78">
        <f t="shared" si="47"/>
        <v>0.2878787878787879</v>
      </c>
    </row>
    <row r="272" spans="1:68" ht="27" customHeight="1" x14ac:dyDescent="0.25">
      <c r="A272" s="63" t="s">
        <v>460</v>
      </c>
      <c r="B272" s="63" t="s">
        <v>461</v>
      </c>
      <c r="C272" s="36">
        <v>4301031221</v>
      </c>
      <c r="D272" s="721">
        <v>4680115882676</v>
      </c>
      <c r="E272" s="72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23"/>
      <c r="R272" s="723"/>
      <c r="S272" s="723"/>
      <c r="T272" s="724"/>
      <c r="U272" s="39" t="s">
        <v>46</v>
      </c>
      <c r="V272" s="39" t="s">
        <v>46</v>
      </c>
      <c r="W272" s="40" t="s">
        <v>0</v>
      </c>
      <c r="X272" s="58">
        <v>80</v>
      </c>
      <c r="Y272" s="55">
        <f t="shared" si="43"/>
        <v>81</v>
      </c>
      <c r="Z272" s="41">
        <f>IFERROR(IF(Y272=0,"",ROUNDUP(Y272/H272,0)*0.00902),"")</f>
        <v>0.1353</v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82.81481481481481</v>
      </c>
      <c r="BN272" s="78">
        <f t="shared" si="45"/>
        <v>83.85</v>
      </c>
      <c r="BO272" s="78">
        <f t="shared" si="46"/>
        <v>0.11223344556677889</v>
      </c>
      <c r="BP272" s="78">
        <f t="shared" si="47"/>
        <v>0.11363636363636363</v>
      </c>
    </row>
    <row r="273" spans="1:68" ht="27" customHeight="1" x14ac:dyDescent="0.25">
      <c r="A273" s="63" t="s">
        <v>463</v>
      </c>
      <c r="B273" s="63" t="s">
        <v>464</v>
      </c>
      <c r="C273" s="36">
        <v>4301031223</v>
      </c>
      <c r="D273" s="721">
        <v>4680115884014</v>
      </c>
      <c r="E273" s="72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23"/>
      <c r="R273" s="723"/>
      <c r="S273" s="723"/>
      <c r="T273" s="724"/>
      <c r="U273" s="39" t="s">
        <v>46</v>
      </c>
      <c r="V273" s="39" t="s">
        <v>46</v>
      </c>
      <c r="W273" s="40" t="s">
        <v>0</v>
      </c>
      <c r="X273" s="58">
        <v>210</v>
      </c>
      <c r="Y273" s="55">
        <f t="shared" si="43"/>
        <v>210.6</v>
      </c>
      <c r="Z273" s="41">
        <f>IFERROR(IF(Y273=0,"",ROUNDUP(Y273/H273,0)*0.00502),"")</f>
        <v>0.58733999999999997</v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225.16666666666666</v>
      </c>
      <c r="BN273" s="78">
        <f t="shared" si="45"/>
        <v>225.80999999999997</v>
      </c>
      <c r="BO273" s="78">
        <f t="shared" si="46"/>
        <v>0.4985754985754986</v>
      </c>
      <c r="BP273" s="78">
        <f t="shared" si="47"/>
        <v>0.5</v>
      </c>
    </row>
    <row r="274" spans="1:68" ht="27" customHeight="1" x14ac:dyDescent="0.25">
      <c r="A274" s="63" t="s">
        <v>465</v>
      </c>
      <c r="B274" s="63" t="s">
        <v>466</v>
      </c>
      <c r="C274" s="36">
        <v>4301031222</v>
      </c>
      <c r="D274" s="721">
        <v>4680115884007</v>
      </c>
      <c r="E274" s="72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23"/>
      <c r="R274" s="723"/>
      <c r="S274" s="723"/>
      <c r="T274" s="724"/>
      <c r="U274" s="39" t="s">
        <v>46</v>
      </c>
      <c r="V274" s="39" t="s">
        <v>46</v>
      </c>
      <c r="W274" s="40" t="s">
        <v>0</v>
      </c>
      <c r="X274" s="58">
        <v>180</v>
      </c>
      <c r="Y274" s="55">
        <f t="shared" si="43"/>
        <v>180</v>
      </c>
      <c r="Z274" s="41">
        <f>IFERROR(IF(Y274=0,"",ROUNDUP(Y274/H274,0)*0.00502),"")</f>
        <v>0.502</v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190</v>
      </c>
      <c r="BN274" s="78">
        <f t="shared" si="45"/>
        <v>190</v>
      </c>
      <c r="BO274" s="78">
        <f t="shared" si="46"/>
        <v>0.42735042735042739</v>
      </c>
      <c r="BP274" s="78">
        <f t="shared" si="47"/>
        <v>0.42735042735042739</v>
      </c>
    </row>
    <row r="275" spans="1:68" ht="27" customHeight="1" x14ac:dyDescent="0.25">
      <c r="A275" s="63" t="s">
        <v>467</v>
      </c>
      <c r="B275" s="63" t="s">
        <v>468</v>
      </c>
      <c r="C275" s="36">
        <v>4301031229</v>
      </c>
      <c r="D275" s="721">
        <v>4680115884038</v>
      </c>
      <c r="E275" s="72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23"/>
      <c r="R275" s="723"/>
      <c r="S275" s="723"/>
      <c r="T275" s="724"/>
      <c r="U275" s="39" t="s">
        <v>46</v>
      </c>
      <c r="V275" s="39" t="s">
        <v>46</v>
      </c>
      <c r="W275" s="40" t="s">
        <v>0</v>
      </c>
      <c r="X275" s="58">
        <v>180</v>
      </c>
      <c r="Y275" s="55">
        <f t="shared" si="43"/>
        <v>180</v>
      </c>
      <c r="Z275" s="41">
        <f>IFERROR(IF(Y275=0,"",ROUNDUP(Y275/H275,0)*0.00502),"")</f>
        <v>0.502</v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190</v>
      </c>
      <c r="BN275" s="78">
        <f t="shared" si="45"/>
        <v>190</v>
      </c>
      <c r="BO275" s="78">
        <f t="shared" si="46"/>
        <v>0.42735042735042739</v>
      </c>
      <c r="BP275" s="78">
        <f t="shared" si="47"/>
        <v>0.42735042735042739</v>
      </c>
    </row>
    <row r="276" spans="1:68" ht="27" customHeight="1" x14ac:dyDescent="0.25">
      <c r="A276" s="63" t="s">
        <v>469</v>
      </c>
      <c r="B276" s="63" t="s">
        <v>470</v>
      </c>
      <c r="C276" s="36">
        <v>4301031225</v>
      </c>
      <c r="D276" s="721">
        <v>4680115884021</v>
      </c>
      <c r="E276" s="72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23"/>
      <c r="R276" s="723"/>
      <c r="S276" s="723"/>
      <c r="T276" s="724"/>
      <c r="U276" s="39" t="s">
        <v>46</v>
      </c>
      <c r="V276" s="39" t="s">
        <v>46</v>
      </c>
      <c r="W276" s="40" t="s">
        <v>0</v>
      </c>
      <c r="X276" s="58">
        <v>150</v>
      </c>
      <c r="Y276" s="55">
        <f t="shared" si="43"/>
        <v>151.20000000000002</v>
      </c>
      <c r="Z276" s="41">
        <f>IFERROR(IF(Y276=0,"",ROUNDUP(Y276/H276,0)*0.00502),"")</f>
        <v>0.42168</v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158.33333333333334</v>
      </c>
      <c r="BN276" s="78">
        <f t="shared" si="45"/>
        <v>159.60000000000002</v>
      </c>
      <c r="BO276" s="78">
        <f t="shared" si="46"/>
        <v>0.35612535612535612</v>
      </c>
      <c r="BP276" s="78">
        <f t="shared" si="47"/>
        <v>0.35897435897435909</v>
      </c>
    </row>
    <row r="277" spans="1:68" x14ac:dyDescent="0.2">
      <c r="A277" s="729"/>
      <c r="B277" s="729"/>
      <c r="C277" s="729"/>
      <c r="D277" s="729"/>
      <c r="E277" s="729"/>
      <c r="F277" s="729"/>
      <c r="G277" s="729"/>
      <c r="H277" s="729"/>
      <c r="I277" s="729"/>
      <c r="J277" s="729"/>
      <c r="K277" s="729"/>
      <c r="L277" s="729"/>
      <c r="M277" s="729"/>
      <c r="N277" s="729"/>
      <c r="O277" s="730"/>
      <c r="P277" s="726" t="s">
        <v>40</v>
      </c>
      <c r="Q277" s="727"/>
      <c r="R277" s="727"/>
      <c r="S277" s="727"/>
      <c r="T277" s="727"/>
      <c r="U277" s="727"/>
      <c r="V277" s="728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525.92592592592598</v>
      </c>
      <c r="Y277" s="43">
        <f>IFERROR(Y269/H269,"0")+IFERROR(Y270/H270,"0")+IFERROR(Y271/H271,"0")+IFERROR(Y272/H272,"0")+IFERROR(Y273/H273,"0")+IFERROR(Y274/H274,"0")+IFERROR(Y275/H275,"0")+IFERROR(Y276/H276,"0")</f>
        <v>529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3.1675799999999996</v>
      </c>
      <c r="AA277" s="67"/>
      <c r="AB277" s="67"/>
      <c r="AC277" s="67"/>
    </row>
    <row r="278" spans="1:68" x14ac:dyDescent="0.2">
      <c r="A278" s="729"/>
      <c r="B278" s="729"/>
      <c r="C278" s="729"/>
      <c r="D278" s="729"/>
      <c r="E278" s="729"/>
      <c r="F278" s="729"/>
      <c r="G278" s="729"/>
      <c r="H278" s="729"/>
      <c r="I278" s="729"/>
      <c r="J278" s="729"/>
      <c r="K278" s="729"/>
      <c r="L278" s="729"/>
      <c r="M278" s="729"/>
      <c r="N278" s="729"/>
      <c r="O278" s="730"/>
      <c r="P278" s="726" t="s">
        <v>40</v>
      </c>
      <c r="Q278" s="727"/>
      <c r="R278" s="727"/>
      <c r="S278" s="727"/>
      <c r="T278" s="727"/>
      <c r="U278" s="727"/>
      <c r="V278" s="728"/>
      <c r="W278" s="42" t="s">
        <v>0</v>
      </c>
      <c r="X278" s="43">
        <f>IFERROR(SUM(X269:X276),"0")</f>
        <v>1400</v>
      </c>
      <c r="Y278" s="43">
        <f>IFERROR(SUM(Y269:Y276),"0")</f>
        <v>1413.0000000000002</v>
      </c>
      <c r="Z278" s="42"/>
      <c r="AA278" s="67"/>
      <c r="AB278" s="67"/>
      <c r="AC278" s="67"/>
    </row>
    <row r="279" spans="1:68" ht="14.25" hidden="1" customHeight="1" x14ac:dyDescent="0.25">
      <c r="A279" s="720" t="s">
        <v>86</v>
      </c>
      <c r="B279" s="720"/>
      <c r="C279" s="720"/>
      <c r="D279" s="720"/>
      <c r="E279" s="720"/>
      <c r="F279" s="720"/>
      <c r="G279" s="720"/>
      <c r="H279" s="720"/>
      <c r="I279" s="720"/>
      <c r="J279" s="720"/>
      <c r="K279" s="720"/>
      <c r="L279" s="720"/>
      <c r="M279" s="720"/>
      <c r="N279" s="720"/>
      <c r="O279" s="720"/>
      <c r="P279" s="720"/>
      <c r="Q279" s="720"/>
      <c r="R279" s="720"/>
      <c r="S279" s="720"/>
      <c r="T279" s="720"/>
      <c r="U279" s="720"/>
      <c r="V279" s="720"/>
      <c r="W279" s="720"/>
      <c r="X279" s="720"/>
      <c r="Y279" s="720"/>
      <c r="Z279" s="720"/>
      <c r="AA279" s="66"/>
      <c r="AB279" s="66"/>
      <c r="AC279" s="80"/>
    </row>
    <row r="280" spans="1:68" ht="27" customHeight="1" x14ac:dyDescent="0.25">
      <c r="A280" s="63" t="s">
        <v>471</v>
      </c>
      <c r="B280" s="63" t="s">
        <v>472</v>
      </c>
      <c r="C280" s="36">
        <v>4301051408</v>
      </c>
      <c r="D280" s="721">
        <v>4680115881594</v>
      </c>
      <c r="E280" s="72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7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23"/>
      <c r="R280" s="723"/>
      <c r="S280" s="723"/>
      <c r="T280" s="724"/>
      <c r="U280" s="39" t="s">
        <v>46</v>
      </c>
      <c r="V280" s="39" t="s">
        <v>46</v>
      </c>
      <c r="W280" s="40" t="s">
        <v>0</v>
      </c>
      <c r="X280" s="58">
        <v>150</v>
      </c>
      <c r="Y280" s="55">
        <f t="shared" ref="Y280:Y291" si="48">IFERROR(IF(X280="",0,CEILING((X280/$H280),1)*$H280),"")</f>
        <v>153.9</v>
      </c>
      <c r="Z280" s="41">
        <f>IFERROR(IF(Y280=0,"",ROUNDUP(Y280/H280,0)*0.01898),"")</f>
        <v>0.36062</v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159.14814814814815</v>
      </c>
      <c r="BN280" s="78">
        <f t="shared" ref="BN280:BN291" si="50">IFERROR(Y280*I280/H280,"0")</f>
        <v>163.286</v>
      </c>
      <c r="BO280" s="78">
        <f t="shared" ref="BO280:BO291" si="51">IFERROR(1/J280*(X280/H280),"0")</f>
        <v>0.28935185185185186</v>
      </c>
      <c r="BP280" s="78">
        <f t="shared" ref="BP280:BP291" si="52">IFERROR(1/J280*(Y280/H280),"0")</f>
        <v>0.296875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721">
        <v>4680115881617</v>
      </c>
      <c r="E281" s="72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7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23"/>
      <c r="R281" s="723"/>
      <c r="S281" s="723"/>
      <c r="T281" s="7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customHeight="1" x14ac:dyDescent="0.25">
      <c r="A282" s="63" t="s">
        <v>477</v>
      </c>
      <c r="B282" s="63" t="s">
        <v>478</v>
      </c>
      <c r="C282" s="36">
        <v>4301051656</v>
      </c>
      <c r="D282" s="721">
        <v>4680115880573</v>
      </c>
      <c r="E282" s="72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7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23"/>
      <c r="R282" s="723"/>
      <c r="S282" s="723"/>
      <c r="T282" s="724"/>
      <c r="U282" s="39" t="s">
        <v>46</v>
      </c>
      <c r="V282" s="39" t="s">
        <v>46</v>
      </c>
      <c r="W282" s="40" t="s">
        <v>0</v>
      </c>
      <c r="X282" s="58">
        <v>100</v>
      </c>
      <c r="Y282" s="55">
        <f t="shared" si="48"/>
        <v>104.39999999999999</v>
      </c>
      <c r="Z282" s="41">
        <f>IFERROR(IF(Y282=0,"",ROUNDUP(Y282/H282,0)*0.01898),"")</f>
        <v>0.22776000000000002</v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105.67816091954025</v>
      </c>
      <c r="BN282" s="78">
        <f t="shared" si="50"/>
        <v>110.32800000000002</v>
      </c>
      <c r="BO282" s="78">
        <f t="shared" si="51"/>
        <v>0.1795977011494253</v>
      </c>
      <c r="BP282" s="78">
        <f t="shared" si="52"/>
        <v>0.1875</v>
      </c>
    </row>
    <row r="283" spans="1:68" ht="27" customHeight="1" x14ac:dyDescent="0.25">
      <c r="A283" s="63" t="s">
        <v>480</v>
      </c>
      <c r="B283" s="63" t="s">
        <v>481</v>
      </c>
      <c r="C283" s="36">
        <v>4301051407</v>
      </c>
      <c r="D283" s="721">
        <v>4680115882195</v>
      </c>
      <c r="E283" s="72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23"/>
      <c r="R283" s="723"/>
      <c r="S283" s="723"/>
      <c r="T283" s="724"/>
      <c r="U283" s="39" t="s">
        <v>46</v>
      </c>
      <c r="V283" s="39" t="s">
        <v>46</v>
      </c>
      <c r="W283" s="40" t="s">
        <v>0</v>
      </c>
      <c r="X283" s="58">
        <v>600</v>
      </c>
      <c r="Y283" s="55">
        <f t="shared" si="48"/>
        <v>600</v>
      </c>
      <c r="Z283" s="41">
        <f>IFERROR(IF(Y283=0,"",ROUNDUP(Y283/H283,0)*0.00651),"")</f>
        <v>1.6274999999999999</v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667.5</v>
      </c>
      <c r="BN283" s="78">
        <f t="shared" si="50"/>
        <v>667.5</v>
      </c>
      <c r="BO283" s="78">
        <f t="shared" si="51"/>
        <v>1.3736263736263736</v>
      </c>
      <c r="BP283" s="78">
        <f t="shared" si="52"/>
        <v>1.3736263736263736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721">
        <v>4680115882607</v>
      </c>
      <c r="E284" s="72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7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23"/>
      <c r="R284" s="723"/>
      <c r="S284" s="723"/>
      <c r="T284" s="72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721">
        <v>4680115882607</v>
      </c>
      <c r="E285" s="72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7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23"/>
      <c r="R285" s="723"/>
      <c r="S285" s="723"/>
      <c r="T285" s="72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487</v>
      </c>
      <c r="B286" s="63" t="s">
        <v>488</v>
      </c>
      <c r="C286" s="36">
        <v>4301051666</v>
      </c>
      <c r="D286" s="721">
        <v>4680115880092</v>
      </c>
      <c r="E286" s="7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23"/>
      <c r="R286" s="723"/>
      <c r="S286" s="723"/>
      <c r="T286" s="724"/>
      <c r="U286" s="39" t="s">
        <v>46</v>
      </c>
      <c r="V286" s="39" t="s">
        <v>46</v>
      </c>
      <c r="W286" s="40" t="s">
        <v>0</v>
      </c>
      <c r="X286" s="58">
        <v>360</v>
      </c>
      <c r="Y286" s="55">
        <f t="shared" si="48"/>
        <v>360</v>
      </c>
      <c r="Z286" s="41">
        <f>IFERROR(IF(Y286=0,"",ROUNDUP(Y286/H286,0)*0.00651),"")</f>
        <v>0.97650000000000003</v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397.8</v>
      </c>
      <c r="BN286" s="78">
        <f t="shared" si="50"/>
        <v>397.8</v>
      </c>
      <c r="BO286" s="78">
        <f t="shared" si="51"/>
        <v>0.82417582417582425</v>
      </c>
      <c r="BP286" s="78">
        <f t="shared" si="52"/>
        <v>0.82417582417582425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721">
        <v>4680115889064</v>
      </c>
      <c r="E287" s="72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87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23"/>
      <c r="R287" s="723"/>
      <c r="S287" s="723"/>
      <c r="T287" s="72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721">
        <v>4680115880221</v>
      </c>
      <c r="E288" s="72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23"/>
      <c r="R288" s="723"/>
      <c r="S288" s="723"/>
      <c r="T288" s="72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493</v>
      </c>
      <c r="B289" s="63" t="s">
        <v>494</v>
      </c>
      <c r="C289" s="36">
        <v>4301051945</v>
      </c>
      <c r="D289" s="721">
        <v>4680115880504</v>
      </c>
      <c r="E289" s="72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23"/>
      <c r="R289" s="723"/>
      <c r="S289" s="723"/>
      <c r="T289" s="724"/>
      <c r="U289" s="39" t="s">
        <v>46</v>
      </c>
      <c r="V289" s="39" t="s">
        <v>46</v>
      </c>
      <c r="W289" s="40" t="s">
        <v>0</v>
      </c>
      <c r="X289" s="58">
        <v>120</v>
      </c>
      <c r="Y289" s="55">
        <f t="shared" si="48"/>
        <v>120</v>
      </c>
      <c r="Z289" s="41">
        <f>IFERROR(IF(Y289=0,"",ROUNDUP(Y289/H289,0)*0.00651),"")</f>
        <v>0.32550000000000001</v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132.60000000000002</v>
      </c>
      <c r="BN289" s="78">
        <f t="shared" si="50"/>
        <v>132.60000000000002</v>
      </c>
      <c r="BO289" s="78">
        <f t="shared" si="51"/>
        <v>0.27472527472527475</v>
      </c>
      <c r="BP289" s="78">
        <f t="shared" si="52"/>
        <v>0.27472527472527475</v>
      </c>
    </row>
    <row r="290" spans="1:68" ht="27" customHeight="1" x14ac:dyDescent="0.25">
      <c r="A290" s="63" t="s">
        <v>496</v>
      </c>
      <c r="B290" s="63" t="s">
        <v>497</v>
      </c>
      <c r="C290" s="36">
        <v>4301051410</v>
      </c>
      <c r="D290" s="721">
        <v>4680115882164</v>
      </c>
      <c r="E290" s="72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23"/>
      <c r="R290" s="723"/>
      <c r="S290" s="723"/>
      <c r="T290" s="724"/>
      <c r="U290" s="39" t="s">
        <v>46</v>
      </c>
      <c r="V290" s="39" t="s">
        <v>46</v>
      </c>
      <c r="W290" s="40" t="s">
        <v>0</v>
      </c>
      <c r="X290" s="58">
        <v>280</v>
      </c>
      <c r="Y290" s="55">
        <f t="shared" si="48"/>
        <v>280.8</v>
      </c>
      <c r="Z290" s="41">
        <f>IFERROR(IF(Y290=0,"",ROUNDUP(Y290/H290,0)*0.00651),"")</f>
        <v>0.76167000000000007</v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310.10000000000002</v>
      </c>
      <c r="BN290" s="78">
        <f t="shared" si="50"/>
        <v>310.98599999999999</v>
      </c>
      <c r="BO290" s="78">
        <f t="shared" si="51"/>
        <v>0.64102564102564108</v>
      </c>
      <c r="BP290" s="78">
        <f t="shared" si="52"/>
        <v>0.64285714285714302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721">
        <v>4680115888340</v>
      </c>
      <c r="E291" s="72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23"/>
      <c r="R291" s="723"/>
      <c r="S291" s="723"/>
      <c r="T291" s="7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x14ac:dyDescent="0.2">
      <c r="A292" s="729"/>
      <c r="B292" s="729"/>
      <c r="C292" s="729"/>
      <c r="D292" s="729"/>
      <c r="E292" s="729"/>
      <c r="F292" s="729"/>
      <c r="G292" s="729"/>
      <c r="H292" s="729"/>
      <c r="I292" s="729"/>
      <c r="J292" s="729"/>
      <c r="K292" s="729"/>
      <c r="L292" s="729"/>
      <c r="M292" s="729"/>
      <c r="N292" s="729"/>
      <c r="O292" s="730"/>
      <c r="P292" s="726" t="s">
        <v>40</v>
      </c>
      <c r="Q292" s="727"/>
      <c r="R292" s="727"/>
      <c r="S292" s="727"/>
      <c r="T292" s="727"/>
      <c r="U292" s="727"/>
      <c r="V292" s="728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596.67943805874836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598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4.2795500000000004</v>
      </c>
      <c r="AA292" s="67"/>
      <c r="AB292" s="67"/>
      <c r="AC292" s="67"/>
    </row>
    <row r="293" spans="1:68" x14ac:dyDescent="0.2">
      <c r="A293" s="729"/>
      <c r="B293" s="729"/>
      <c r="C293" s="729"/>
      <c r="D293" s="729"/>
      <c r="E293" s="729"/>
      <c r="F293" s="729"/>
      <c r="G293" s="729"/>
      <c r="H293" s="729"/>
      <c r="I293" s="729"/>
      <c r="J293" s="729"/>
      <c r="K293" s="729"/>
      <c r="L293" s="729"/>
      <c r="M293" s="729"/>
      <c r="N293" s="729"/>
      <c r="O293" s="730"/>
      <c r="P293" s="726" t="s">
        <v>40</v>
      </c>
      <c r="Q293" s="727"/>
      <c r="R293" s="727"/>
      <c r="S293" s="727"/>
      <c r="T293" s="727"/>
      <c r="U293" s="727"/>
      <c r="V293" s="728"/>
      <c r="W293" s="42" t="s">
        <v>0</v>
      </c>
      <c r="X293" s="43">
        <f>IFERROR(SUM(X280:X291),"0")</f>
        <v>1610</v>
      </c>
      <c r="Y293" s="43">
        <f>IFERROR(SUM(Y280:Y291),"0")</f>
        <v>1619.1</v>
      </c>
      <c r="Z293" s="42"/>
      <c r="AA293" s="67"/>
      <c r="AB293" s="67"/>
      <c r="AC293" s="67"/>
    </row>
    <row r="294" spans="1:68" ht="14.25" hidden="1" customHeight="1" x14ac:dyDescent="0.25">
      <c r="A294" s="720" t="s">
        <v>175</v>
      </c>
      <c r="B294" s="720"/>
      <c r="C294" s="720"/>
      <c r="D294" s="720"/>
      <c r="E294" s="720"/>
      <c r="F294" s="720"/>
      <c r="G294" s="720"/>
      <c r="H294" s="720"/>
      <c r="I294" s="720"/>
      <c r="J294" s="720"/>
      <c r="K294" s="720"/>
      <c r="L294" s="720"/>
      <c r="M294" s="720"/>
      <c r="N294" s="720"/>
      <c r="O294" s="720"/>
      <c r="P294" s="720"/>
      <c r="Q294" s="720"/>
      <c r="R294" s="720"/>
      <c r="S294" s="720"/>
      <c r="T294" s="720"/>
      <c r="U294" s="720"/>
      <c r="V294" s="720"/>
      <c r="W294" s="720"/>
      <c r="X294" s="720"/>
      <c r="Y294" s="720"/>
      <c r="Z294" s="720"/>
      <c r="AA294" s="66"/>
      <c r="AB294" s="66"/>
      <c r="AC294" s="80"/>
    </row>
    <row r="295" spans="1:68" ht="27" customHeight="1" x14ac:dyDescent="0.25">
      <c r="A295" s="63" t="s">
        <v>502</v>
      </c>
      <c r="B295" s="63" t="s">
        <v>503</v>
      </c>
      <c r="C295" s="36">
        <v>4301060463</v>
      </c>
      <c r="D295" s="721">
        <v>4680115880818</v>
      </c>
      <c r="E295" s="72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23"/>
      <c r="R295" s="723"/>
      <c r="S295" s="723"/>
      <c r="T295" s="724"/>
      <c r="U295" s="39" t="s">
        <v>46</v>
      </c>
      <c r="V295" s="39" t="s">
        <v>46</v>
      </c>
      <c r="W295" s="40" t="s">
        <v>0</v>
      </c>
      <c r="X295" s="58">
        <v>40</v>
      </c>
      <c r="Y295" s="55">
        <f>IFERROR(IF(X295="",0,CEILING((X295/$H295),1)*$H295),"")</f>
        <v>40.799999999999997</v>
      </c>
      <c r="Z295" s="41">
        <f>IFERROR(IF(Y295=0,"",ROUNDUP(Y295/H295,0)*0.00651),"")</f>
        <v>0.11067</v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44.20000000000001</v>
      </c>
      <c r="BN295" s="78">
        <f>IFERROR(Y295*I295/H295,"0")</f>
        <v>45.084000000000003</v>
      </c>
      <c r="BO295" s="78">
        <f>IFERROR(1/J295*(X295/H295),"0")</f>
        <v>9.1575091575091583E-2</v>
      </c>
      <c r="BP295" s="78">
        <f>IFERROR(1/J295*(Y295/H295),"0")</f>
        <v>9.3406593406593408E-2</v>
      </c>
    </row>
    <row r="296" spans="1:68" ht="27" customHeight="1" x14ac:dyDescent="0.25">
      <c r="A296" s="63" t="s">
        <v>505</v>
      </c>
      <c r="B296" s="63" t="s">
        <v>506</v>
      </c>
      <c r="C296" s="36">
        <v>4301060389</v>
      </c>
      <c r="D296" s="721">
        <v>4680115880801</v>
      </c>
      <c r="E296" s="72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23"/>
      <c r="R296" s="723"/>
      <c r="S296" s="723"/>
      <c r="T296" s="724"/>
      <c r="U296" s="39" t="s">
        <v>46</v>
      </c>
      <c r="V296" s="39" t="s">
        <v>46</v>
      </c>
      <c r="W296" s="40" t="s">
        <v>0</v>
      </c>
      <c r="X296" s="58">
        <v>120</v>
      </c>
      <c r="Y296" s="55">
        <f>IFERROR(IF(X296="",0,CEILING((X296/$H296),1)*$H296),"")</f>
        <v>120</v>
      </c>
      <c r="Z296" s="41">
        <f>IFERROR(IF(Y296=0,"",ROUNDUP(Y296/H296,0)*0.00651),"")</f>
        <v>0.32550000000000001</v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132.60000000000002</v>
      </c>
      <c r="BN296" s="78">
        <f>IFERROR(Y296*I296/H296,"0")</f>
        <v>132.60000000000002</v>
      </c>
      <c r="BO296" s="78">
        <f>IFERROR(1/J296*(X296/H296),"0")</f>
        <v>0.27472527472527475</v>
      </c>
      <c r="BP296" s="78">
        <f>IFERROR(1/J296*(Y296/H296),"0")</f>
        <v>0.27472527472527475</v>
      </c>
    </row>
    <row r="297" spans="1:68" x14ac:dyDescent="0.2">
      <c r="A297" s="729"/>
      <c r="B297" s="729"/>
      <c r="C297" s="729"/>
      <c r="D297" s="729"/>
      <c r="E297" s="729"/>
      <c r="F297" s="729"/>
      <c r="G297" s="729"/>
      <c r="H297" s="729"/>
      <c r="I297" s="729"/>
      <c r="J297" s="729"/>
      <c r="K297" s="729"/>
      <c r="L297" s="729"/>
      <c r="M297" s="729"/>
      <c r="N297" s="729"/>
      <c r="O297" s="730"/>
      <c r="P297" s="726" t="s">
        <v>40</v>
      </c>
      <c r="Q297" s="727"/>
      <c r="R297" s="727"/>
      <c r="S297" s="727"/>
      <c r="T297" s="727"/>
      <c r="U297" s="727"/>
      <c r="V297" s="728"/>
      <c r="W297" s="42" t="s">
        <v>39</v>
      </c>
      <c r="X297" s="43">
        <f>IFERROR(X295/H295,"0")+IFERROR(X296/H296,"0")</f>
        <v>66.666666666666671</v>
      </c>
      <c r="Y297" s="43">
        <f>IFERROR(Y295/H295,"0")+IFERROR(Y296/H296,"0")</f>
        <v>67</v>
      </c>
      <c r="Z297" s="43">
        <f>IFERROR(IF(Z295="",0,Z295),"0")+IFERROR(IF(Z296="",0,Z296),"0")</f>
        <v>0.43617</v>
      </c>
      <c r="AA297" s="67"/>
      <c r="AB297" s="67"/>
      <c r="AC297" s="67"/>
    </row>
    <row r="298" spans="1:68" x14ac:dyDescent="0.2">
      <c r="A298" s="729"/>
      <c r="B298" s="729"/>
      <c r="C298" s="729"/>
      <c r="D298" s="729"/>
      <c r="E298" s="729"/>
      <c r="F298" s="729"/>
      <c r="G298" s="729"/>
      <c r="H298" s="729"/>
      <c r="I298" s="729"/>
      <c r="J298" s="729"/>
      <c r="K298" s="729"/>
      <c r="L298" s="729"/>
      <c r="M298" s="729"/>
      <c r="N298" s="729"/>
      <c r="O298" s="730"/>
      <c r="P298" s="726" t="s">
        <v>40</v>
      </c>
      <c r="Q298" s="727"/>
      <c r="R298" s="727"/>
      <c r="S298" s="727"/>
      <c r="T298" s="727"/>
      <c r="U298" s="727"/>
      <c r="V298" s="728"/>
      <c r="W298" s="42" t="s">
        <v>0</v>
      </c>
      <c r="X298" s="43">
        <f>IFERROR(SUM(X295:X296),"0")</f>
        <v>160</v>
      </c>
      <c r="Y298" s="43">
        <f>IFERROR(SUM(Y295:Y296),"0")</f>
        <v>160.80000000000001</v>
      </c>
      <c r="Z298" s="42"/>
      <c r="AA298" s="67"/>
      <c r="AB298" s="67"/>
      <c r="AC298" s="67"/>
    </row>
    <row r="299" spans="1:68" ht="16.5" hidden="1" customHeight="1" x14ac:dyDescent="0.25">
      <c r="A299" s="719" t="s">
        <v>508</v>
      </c>
      <c r="B299" s="719"/>
      <c r="C299" s="719"/>
      <c r="D299" s="719"/>
      <c r="E299" s="719"/>
      <c r="F299" s="719"/>
      <c r="G299" s="719"/>
      <c r="H299" s="719"/>
      <c r="I299" s="719"/>
      <c r="J299" s="719"/>
      <c r="K299" s="719"/>
      <c r="L299" s="719"/>
      <c r="M299" s="719"/>
      <c r="N299" s="719"/>
      <c r="O299" s="719"/>
      <c r="P299" s="719"/>
      <c r="Q299" s="719"/>
      <c r="R299" s="719"/>
      <c r="S299" s="719"/>
      <c r="T299" s="719"/>
      <c r="U299" s="719"/>
      <c r="V299" s="719"/>
      <c r="W299" s="719"/>
      <c r="X299" s="719"/>
      <c r="Y299" s="719"/>
      <c r="Z299" s="719"/>
      <c r="AA299" s="65"/>
      <c r="AB299" s="65"/>
      <c r="AC299" s="79"/>
    </row>
    <row r="300" spans="1:68" ht="14.25" hidden="1" customHeight="1" x14ac:dyDescent="0.25">
      <c r="A300" s="720" t="s">
        <v>122</v>
      </c>
      <c r="B300" s="720"/>
      <c r="C300" s="720"/>
      <c r="D300" s="720"/>
      <c r="E300" s="720"/>
      <c r="F300" s="720"/>
      <c r="G300" s="720"/>
      <c r="H300" s="720"/>
      <c r="I300" s="720"/>
      <c r="J300" s="720"/>
      <c r="K300" s="720"/>
      <c r="L300" s="720"/>
      <c r="M300" s="720"/>
      <c r="N300" s="720"/>
      <c r="O300" s="720"/>
      <c r="P300" s="720"/>
      <c r="Q300" s="720"/>
      <c r="R300" s="720"/>
      <c r="S300" s="720"/>
      <c r="T300" s="720"/>
      <c r="U300" s="720"/>
      <c r="V300" s="720"/>
      <c r="W300" s="720"/>
      <c r="X300" s="720"/>
      <c r="Y300" s="720"/>
      <c r="Z300" s="720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721">
        <v>4680115884137</v>
      </c>
      <c r="E301" s="72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23"/>
      <c r="R301" s="723"/>
      <c r="S301" s="723"/>
      <c r="T301" s="72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721">
        <v>4680115884236</v>
      </c>
      <c r="E302" s="72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88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23"/>
      <c r="R302" s="723"/>
      <c r="S302" s="723"/>
      <c r="T302" s="72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customHeight="1" x14ac:dyDescent="0.25">
      <c r="A303" s="63" t="s">
        <v>515</v>
      </c>
      <c r="B303" s="63" t="s">
        <v>516</v>
      </c>
      <c r="C303" s="36">
        <v>4301011721</v>
      </c>
      <c r="D303" s="721">
        <v>4680115884175</v>
      </c>
      <c r="E303" s="72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23"/>
      <c r="R303" s="723"/>
      <c r="S303" s="723"/>
      <c r="T303" s="724"/>
      <c r="U303" s="39" t="s">
        <v>46</v>
      </c>
      <c r="V303" s="39" t="s">
        <v>46</v>
      </c>
      <c r="W303" s="40" t="s">
        <v>0</v>
      </c>
      <c r="X303" s="58">
        <v>100</v>
      </c>
      <c r="Y303" s="55">
        <f t="shared" si="53"/>
        <v>104.39999999999999</v>
      </c>
      <c r="Z303" s="41">
        <f>IFERROR(IF(Y303=0,"",ROUNDUP(Y303/H303,0)*0.01898),"")</f>
        <v>0.17082</v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103.5344827586207</v>
      </c>
      <c r="BN303" s="78">
        <f t="shared" si="55"/>
        <v>108.08999999999999</v>
      </c>
      <c r="BO303" s="78">
        <f t="shared" si="56"/>
        <v>0.13469827586206898</v>
      </c>
      <c r="BP303" s="78">
        <f t="shared" si="57"/>
        <v>0.140625</v>
      </c>
    </row>
    <row r="304" spans="1:68" ht="27" customHeight="1" x14ac:dyDescent="0.25">
      <c r="A304" s="63" t="s">
        <v>517</v>
      </c>
      <c r="B304" s="63" t="s">
        <v>518</v>
      </c>
      <c r="C304" s="36">
        <v>4301011824</v>
      </c>
      <c r="D304" s="721">
        <v>4680115884144</v>
      </c>
      <c r="E304" s="72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23"/>
      <c r="R304" s="723"/>
      <c r="S304" s="723"/>
      <c r="T304" s="724"/>
      <c r="U304" s="39" t="s">
        <v>46</v>
      </c>
      <c r="V304" s="39" t="s">
        <v>46</v>
      </c>
      <c r="W304" s="40" t="s">
        <v>0</v>
      </c>
      <c r="X304" s="58">
        <v>12</v>
      </c>
      <c r="Y304" s="55">
        <f t="shared" si="53"/>
        <v>12</v>
      </c>
      <c r="Z304" s="41">
        <f>IFERROR(IF(Y304=0,"",ROUNDUP(Y304/H304,0)*0.00902),"")</f>
        <v>2.7060000000000001E-2</v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12.57</v>
      </c>
      <c r="BN304" s="78">
        <f t="shared" si="55"/>
        <v>12.57</v>
      </c>
      <c r="BO304" s="78">
        <f t="shared" si="56"/>
        <v>2.2727272727272728E-2</v>
      </c>
      <c r="BP304" s="78">
        <f t="shared" si="57"/>
        <v>2.2727272727272728E-2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721">
        <v>4680115886551</v>
      </c>
      <c r="E305" s="72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23"/>
      <c r="R305" s="723"/>
      <c r="S305" s="723"/>
      <c r="T305" s="72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721">
        <v>4680115887282</v>
      </c>
      <c r="E306" s="72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8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23"/>
      <c r="R306" s="723"/>
      <c r="S306" s="723"/>
      <c r="T306" s="72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721">
        <v>4680115884205</v>
      </c>
      <c r="E307" s="72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23"/>
      <c r="R307" s="723"/>
      <c r="S307" s="723"/>
      <c r="T307" s="72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x14ac:dyDescent="0.2">
      <c r="A308" s="729"/>
      <c r="B308" s="729"/>
      <c r="C308" s="729"/>
      <c r="D308" s="729"/>
      <c r="E308" s="729"/>
      <c r="F308" s="729"/>
      <c r="G308" s="729"/>
      <c r="H308" s="729"/>
      <c r="I308" s="729"/>
      <c r="J308" s="729"/>
      <c r="K308" s="729"/>
      <c r="L308" s="729"/>
      <c r="M308" s="729"/>
      <c r="N308" s="729"/>
      <c r="O308" s="730"/>
      <c r="P308" s="726" t="s">
        <v>40</v>
      </c>
      <c r="Q308" s="727"/>
      <c r="R308" s="727"/>
      <c r="S308" s="727"/>
      <c r="T308" s="727"/>
      <c r="U308" s="727"/>
      <c r="V308" s="728"/>
      <c r="W308" s="42" t="s">
        <v>39</v>
      </c>
      <c r="X308" s="43">
        <f>IFERROR(X301/H301,"0")+IFERROR(X302/H302,"0")+IFERROR(X303/H303,"0")+IFERROR(X304/H304,"0")+IFERROR(X305/H305,"0")+IFERROR(X306/H306,"0")+IFERROR(X307/H307,"0")</f>
        <v>11.620689655172415</v>
      </c>
      <c r="Y308" s="43">
        <f>IFERROR(Y301/H301,"0")+IFERROR(Y302/H302,"0")+IFERROR(Y303/H303,"0")+IFERROR(Y304/H304,"0")+IFERROR(Y305/H305,"0")+IFERROR(Y306/H306,"0")+IFERROR(Y307/H307,"0")</f>
        <v>12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0.19788</v>
      </c>
      <c r="AA308" s="67"/>
      <c r="AB308" s="67"/>
      <c r="AC308" s="67"/>
    </row>
    <row r="309" spans="1:68" x14ac:dyDescent="0.2">
      <c r="A309" s="729"/>
      <c r="B309" s="729"/>
      <c r="C309" s="729"/>
      <c r="D309" s="729"/>
      <c r="E309" s="729"/>
      <c r="F309" s="729"/>
      <c r="G309" s="729"/>
      <c r="H309" s="729"/>
      <c r="I309" s="729"/>
      <c r="J309" s="729"/>
      <c r="K309" s="729"/>
      <c r="L309" s="729"/>
      <c r="M309" s="729"/>
      <c r="N309" s="729"/>
      <c r="O309" s="730"/>
      <c r="P309" s="726" t="s">
        <v>40</v>
      </c>
      <c r="Q309" s="727"/>
      <c r="R309" s="727"/>
      <c r="S309" s="727"/>
      <c r="T309" s="727"/>
      <c r="U309" s="727"/>
      <c r="V309" s="728"/>
      <c r="W309" s="42" t="s">
        <v>0</v>
      </c>
      <c r="X309" s="43">
        <f>IFERROR(SUM(X301:X307),"0")</f>
        <v>112</v>
      </c>
      <c r="Y309" s="43">
        <f>IFERROR(SUM(Y301:Y307),"0")</f>
        <v>116.39999999999999</v>
      </c>
      <c r="Z309" s="42"/>
      <c r="AA309" s="67"/>
      <c r="AB309" s="67"/>
      <c r="AC309" s="67"/>
    </row>
    <row r="310" spans="1:68" ht="14.25" hidden="1" customHeight="1" x14ac:dyDescent="0.25">
      <c r="A310" s="720" t="s">
        <v>157</v>
      </c>
      <c r="B310" s="720"/>
      <c r="C310" s="720"/>
      <c r="D310" s="720"/>
      <c r="E310" s="720"/>
      <c r="F310" s="720"/>
      <c r="G310" s="720"/>
      <c r="H310" s="720"/>
      <c r="I310" s="720"/>
      <c r="J310" s="720"/>
      <c r="K310" s="720"/>
      <c r="L310" s="720"/>
      <c r="M310" s="720"/>
      <c r="N310" s="720"/>
      <c r="O310" s="720"/>
      <c r="P310" s="720"/>
      <c r="Q310" s="720"/>
      <c r="R310" s="720"/>
      <c r="S310" s="720"/>
      <c r="T310" s="720"/>
      <c r="U310" s="720"/>
      <c r="V310" s="720"/>
      <c r="W310" s="720"/>
      <c r="X310" s="720"/>
      <c r="Y310" s="720"/>
      <c r="Z310" s="720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721">
        <v>4680115885981</v>
      </c>
      <c r="E311" s="72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23"/>
      <c r="R311" s="723"/>
      <c r="S311" s="723"/>
      <c r="T311" s="7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9"/>
      <c r="B312" s="729"/>
      <c r="C312" s="729"/>
      <c r="D312" s="729"/>
      <c r="E312" s="729"/>
      <c r="F312" s="729"/>
      <c r="G312" s="729"/>
      <c r="H312" s="729"/>
      <c r="I312" s="729"/>
      <c r="J312" s="729"/>
      <c r="K312" s="729"/>
      <c r="L312" s="729"/>
      <c r="M312" s="729"/>
      <c r="N312" s="729"/>
      <c r="O312" s="730"/>
      <c r="P312" s="726" t="s">
        <v>40</v>
      </c>
      <c r="Q312" s="727"/>
      <c r="R312" s="727"/>
      <c r="S312" s="727"/>
      <c r="T312" s="727"/>
      <c r="U312" s="727"/>
      <c r="V312" s="72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9"/>
      <c r="B313" s="729"/>
      <c r="C313" s="729"/>
      <c r="D313" s="729"/>
      <c r="E313" s="729"/>
      <c r="F313" s="729"/>
      <c r="G313" s="729"/>
      <c r="H313" s="729"/>
      <c r="I313" s="729"/>
      <c r="J313" s="729"/>
      <c r="K313" s="729"/>
      <c r="L313" s="729"/>
      <c r="M313" s="729"/>
      <c r="N313" s="729"/>
      <c r="O313" s="730"/>
      <c r="P313" s="726" t="s">
        <v>40</v>
      </c>
      <c r="Q313" s="727"/>
      <c r="R313" s="727"/>
      <c r="S313" s="727"/>
      <c r="T313" s="727"/>
      <c r="U313" s="727"/>
      <c r="V313" s="72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20" t="s">
        <v>530</v>
      </c>
      <c r="B314" s="720"/>
      <c r="C314" s="720"/>
      <c r="D314" s="720"/>
      <c r="E314" s="720"/>
      <c r="F314" s="720"/>
      <c r="G314" s="720"/>
      <c r="H314" s="720"/>
      <c r="I314" s="720"/>
      <c r="J314" s="720"/>
      <c r="K314" s="720"/>
      <c r="L314" s="720"/>
      <c r="M314" s="720"/>
      <c r="N314" s="720"/>
      <c r="O314" s="720"/>
      <c r="P314" s="720"/>
      <c r="Q314" s="720"/>
      <c r="R314" s="720"/>
      <c r="S314" s="720"/>
      <c r="T314" s="720"/>
      <c r="U314" s="720"/>
      <c r="V314" s="720"/>
      <c r="W314" s="720"/>
      <c r="X314" s="720"/>
      <c r="Y314" s="720"/>
      <c r="Z314" s="720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721">
        <v>4680115886803</v>
      </c>
      <c r="E315" s="72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8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23"/>
      <c r="R315" s="723"/>
      <c r="S315" s="723"/>
      <c r="T315" s="72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29"/>
      <c r="B316" s="729"/>
      <c r="C316" s="729"/>
      <c r="D316" s="729"/>
      <c r="E316" s="729"/>
      <c r="F316" s="729"/>
      <c r="G316" s="729"/>
      <c r="H316" s="729"/>
      <c r="I316" s="729"/>
      <c r="J316" s="729"/>
      <c r="K316" s="729"/>
      <c r="L316" s="729"/>
      <c r="M316" s="729"/>
      <c r="N316" s="729"/>
      <c r="O316" s="730"/>
      <c r="P316" s="726" t="s">
        <v>40</v>
      </c>
      <c r="Q316" s="727"/>
      <c r="R316" s="727"/>
      <c r="S316" s="727"/>
      <c r="T316" s="727"/>
      <c r="U316" s="727"/>
      <c r="V316" s="728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29"/>
      <c r="B317" s="729"/>
      <c r="C317" s="729"/>
      <c r="D317" s="729"/>
      <c r="E317" s="729"/>
      <c r="F317" s="729"/>
      <c r="G317" s="729"/>
      <c r="H317" s="729"/>
      <c r="I317" s="729"/>
      <c r="J317" s="729"/>
      <c r="K317" s="729"/>
      <c r="L317" s="729"/>
      <c r="M317" s="729"/>
      <c r="N317" s="729"/>
      <c r="O317" s="730"/>
      <c r="P317" s="726" t="s">
        <v>40</v>
      </c>
      <c r="Q317" s="727"/>
      <c r="R317" s="727"/>
      <c r="S317" s="727"/>
      <c r="T317" s="727"/>
      <c r="U317" s="727"/>
      <c r="V317" s="728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20" t="s">
        <v>340</v>
      </c>
      <c r="B318" s="720"/>
      <c r="C318" s="720"/>
      <c r="D318" s="720"/>
      <c r="E318" s="720"/>
      <c r="F318" s="720"/>
      <c r="G318" s="720"/>
      <c r="H318" s="720"/>
      <c r="I318" s="720"/>
      <c r="J318" s="720"/>
      <c r="K318" s="720"/>
      <c r="L318" s="720"/>
      <c r="M318" s="720"/>
      <c r="N318" s="720"/>
      <c r="O318" s="720"/>
      <c r="P318" s="720"/>
      <c r="Q318" s="720"/>
      <c r="R318" s="720"/>
      <c r="S318" s="720"/>
      <c r="T318" s="720"/>
      <c r="U318" s="720"/>
      <c r="V318" s="720"/>
      <c r="W318" s="720"/>
      <c r="X318" s="720"/>
      <c r="Y318" s="720"/>
      <c r="Z318" s="720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721">
        <v>4680115886704</v>
      </c>
      <c r="E319" s="72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8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23"/>
      <c r="R319" s="723"/>
      <c r="S319" s="723"/>
      <c r="T319" s="7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537</v>
      </c>
      <c r="B320" s="63" t="s">
        <v>538</v>
      </c>
      <c r="C320" s="36">
        <v>4301041008</v>
      </c>
      <c r="D320" s="721">
        <v>4680115886681</v>
      </c>
      <c r="E320" s="72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89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23"/>
      <c r="R320" s="723"/>
      <c r="S320" s="723"/>
      <c r="T320" s="724"/>
      <c r="U320" s="39" t="s">
        <v>46</v>
      </c>
      <c r="V320" s="39" t="s">
        <v>46</v>
      </c>
      <c r="W320" s="40" t="s">
        <v>0</v>
      </c>
      <c r="X320" s="58">
        <v>24</v>
      </c>
      <c r="Y320" s="55">
        <f>IFERROR(IF(X320="",0,CEILING((X320/$H320),1)*$H320),"")</f>
        <v>25.2</v>
      </c>
      <c r="Z320" s="41">
        <f>IFERROR(IF(Y320=0,"",ROUNDUP(Y320/H320,0)*0.0059),"")</f>
        <v>8.2599999999999993E-2</v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26.333333333333336</v>
      </c>
      <c r="BN320" s="78">
        <f>IFERROR(Y320*I320/H320,"0")</f>
        <v>27.650000000000002</v>
      </c>
      <c r="BO320" s="78">
        <f>IFERROR(1/J320*(X320/H320),"0")</f>
        <v>6.1728395061728385E-2</v>
      </c>
      <c r="BP320" s="78">
        <f>IFERROR(1/J320*(Y320/H320),"0")</f>
        <v>6.4814814814814811E-2</v>
      </c>
    </row>
    <row r="321" spans="1:68" ht="27" customHeight="1" x14ac:dyDescent="0.25">
      <c r="A321" s="63" t="s">
        <v>539</v>
      </c>
      <c r="B321" s="63" t="s">
        <v>540</v>
      </c>
      <c r="C321" s="36">
        <v>4301041007</v>
      </c>
      <c r="D321" s="721">
        <v>4680115886735</v>
      </c>
      <c r="E321" s="72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8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23"/>
      <c r="R321" s="723"/>
      <c r="S321" s="723"/>
      <c r="T321" s="724"/>
      <c r="U321" s="39" t="s">
        <v>46</v>
      </c>
      <c r="V321" s="39" t="s">
        <v>46</v>
      </c>
      <c r="W321" s="40" t="s">
        <v>0</v>
      </c>
      <c r="X321" s="58">
        <v>5</v>
      </c>
      <c r="Y321" s="55">
        <f>IFERROR(IF(X321="",0,CEILING((X321/$H321),1)*$H321),"")</f>
        <v>5.4</v>
      </c>
      <c r="Z321" s="41">
        <f>IFERROR(IF(Y321=0,"",ROUNDUP(Y321/H321,0)*0.0059),"")</f>
        <v>3.5400000000000001E-2</v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6.0555555555555554</v>
      </c>
      <c r="BN321" s="78">
        <f>IFERROR(Y321*I321/H321,"0")</f>
        <v>6.5400000000000009</v>
      </c>
      <c r="BO321" s="78">
        <f>IFERROR(1/J321*(X321/H321),"0")</f>
        <v>2.5720164609053495E-2</v>
      </c>
      <c r="BP321" s="78">
        <f>IFERROR(1/J321*(Y321/H321),"0")</f>
        <v>2.7777777777777776E-2</v>
      </c>
    </row>
    <row r="322" spans="1:68" x14ac:dyDescent="0.2">
      <c r="A322" s="729"/>
      <c r="B322" s="729"/>
      <c r="C322" s="729"/>
      <c r="D322" s="729"/>
      <c r="E322" s="729"/>
      <c r="F322" s="729"/>
      <c r="G322" s="729"/>
      <c r="H322" s="729"/>
      <c r="I322" s="729"/>
      <c r="J322" s="729"/>
      <c r="K322" s="729"/>
      <c r="L322" s="729"/>
      <c r="M322" s="729"/>
      <c r="N322" s="729"/>
      <c r="O322" s="730"/>
      <c r="P322" s="726" t="s">
        <v>40</v>
      </c>
      <c r="Q322" s="727"/>
      <c r="R322" s="727"/>
      <c r="S322" s="727"/>
      <c r="T322" s="727"/>
      <c r="U322" s="727"/>
      <c r="V322" s="728"/>
      <c r="W322" s="42" t="s">
        <v>39</v>
      </c>
      <c r="X322" s="43">
        <f>IFERROR(X319/H319,"0")+IFERROR(X320/H320,"0")+IFERROR(X321/H321,"0")</f>
        <v>18.888888888888886</v>
      </c>
      <c r="Y322" s="43">
        <f>IFERROR(Y319/H319,"0")+IFERROR(Y320/H320,"0")+IFERROR(Y321/H321,"0")</f>
        <v>20</v>
      </c>
      <c r="Z322" s="43">
        <f>IFERROR(IF(Z319="",0,Z319),"0")+IFERROR(IF(Z320="",0,Z320),"0")+IFERROR(IF(Z321="",0,Z321),"0")</f>
        <v>0.11799999999999999</v>
      </c>
      <c r="AA322" s="67"/>
      <c r="AB322" s="67"/>
      <c r="AC322" s="67"/>
    </row>
    <row r="323" spans="1:68" x14ac:dyDescent="0.2">
      <c r="A323" s="729"/>
      <c r="B323" s="729"/>
      <c r="C323" s="729"/>
      <c r="D323" s="729"/>
      <c r="E323" s="729"/>
      <c r="F323" s="729"/>
      <c r="G323" s="729"/>
      <c r="H323" s="729"/>
      <c r="I323" s="729"/>
      <c r="J323" s="729"/>
      <c r="K323" s="729"/>
      <c r="L323" s="729"/>
      <c r="M323" s="729"/>
      <c r="N323" s="729"/>
      <c r="O323" s="730"/>
      <c r="P323" s="726" t="s">
        <v>40</v>
      </c>
      <c r="Q323" s="727"/>
      <c r="R323" s="727"/>
      <c r="S323" s="727"/>
      <c r="T323" s="727"/>
      <c r="U323" s="727"/>
      <c r="V323" s="728"/>
      <c r="W323" s="42" t="s">
        <v>0</v>
      </c>
      <c r="X323" s="43">
        <f>IFERROR(SUM(X319:X321),"0")</f>
        <v>29</v>
      </c>
      <c r="Y323" s="43">
        <f>IFERROR(SUM(Y319:Y321),"0")</f>
        <v>30.6</v>
      </c>
      <c r="Z323" s="42"/>
      <c r="AA323" s="67"/>
      <c r="AB323" s="67"/>
      <c r="AC323" s="67"/>
    </row>
    <row r="324" spans="1:68" ht="16.5" hidden="1" customHeight="1" x14ac:dyDescent="0.25">
      <c r="A324" s="719" t="s">
        <v>541</v>
      </c>
      <c r="B324" s="719"/>
      <c r="C324" s="719"/>
      <c r="D324" s="719"/>
      <c r="E324" s="719"/>
      <c r="F324" s="719"/>
      <c r="G324" s="719"/>
      <c r="H324" s="719"/>
      <c r="I324" s="719"/>
      <c r="J324" s="719"/>
      <c r="K324" s="719"/>
      <c r="L324" s="719"/>
      <c r="M324" s="719"/>
      <c r="N324" s="719"/>
      <c r="O324" s="719"/>
      <c r="P324" s="719"/>
      <c r="Q324" s="719"/>
      <c r="R324" s="719"/>
      <c r="S324" s="719"/>
      <c r="T324" s="719"/>
      <c r="U324" s="719"/>
      <c r="V324" s="719"/>
      <c r="W324" s="719"/>
      <c r="X324" s="719"/>
      <c r="Y324" s="719"/>
      <c r="Z324" s="719"/>
      <c r="AA324" s="65"/>
      <c r="AB324" s="65"/>
      <c r="AC324" s="79"/>
    </row>
    <row r="325" spans="1:68" ht="14.25" hidden="1" customHeight="1" x14ac:dyDescent="0.25">
      <c r="A325" s="720" t="s">
        <v>122</v>
      </c>
      <c r="B325" s="720"/>
      <c r="C325" s="720"/>
      <c r="D325" s="720"/>
      <c r="E325" s="720"/>
      <c r="F325" s="720"/>
      <c r="G325" s="720"/>
      <c r="H325" s="720"/>
      <c r="I325" s="720"/>
      <c r="J325" s="720"/>
      <c r="K325" s="720"/>
      <c r="L325" s="720"/>
      <c r="M325" s="720"/>
      <c r="N325" s="720"/>
      <c r="O325" s="720"/>
      <c r="P325" s="720"/>
      <c r="Q325" s="720"/>
      <c r="R325" s="720"/>
      <c r="S325" s="720"/>
      <c r="T325" s="720"/>
      <c r="U325" s="720"/>
      <c r="V325" s="720"/>
      <c r="W325" s="720"/>
      <c r="X325" s="720"/>
      <c r="Y325" s="720"/>
      <c r="Z325" s="720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721">
        <v>4680115885837</v>
      </c>
      <c r="E326" s="72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23"/>
      <c r="R326" s="723"/>
      <c r="S326" s="723"/>
      <c r="T326" s="72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721">
        <v>4680115887237</v>
      </c>
      <c r="E327" s="72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89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23"/>
      <c r="R327" s="723"/>
      <c r="S327" s="723"/>
      <c r="T327" s="72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721">
        <v>4680115885806</v>
      </c>
      <c r="E328" s="72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89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23"/>
      <c r="R328" s="723"/>
      <c r="S328" s="723"/>
      <c r="T328" s="72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721">
        <v>4680115885844</v>
      </c>
      <c r="E329" s="72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9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23"/>
      <c r="R329" s="723"/>
      <c r="S329" s="723"/>
      <c r="T329" s="72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721">
        <v>4680115885820</v>
      </c>
      <c r="E330" s="72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23"/>
      <c r="R330" s="723"/>
      <c r="S330" s="723"/>
      <c r="T330" s="72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29"/>
      <c r="B331" s="729"/>
      <c r="C331" s="729"/>
      <c r="D331" s="729"/>
      <c r="E331" s="729"/>
      <c r="F331" s="729"/>
      <c r="G331" s="729"/>
      <c r="H331" s="729"/>
      <c r="I331" s="729"/>
      <c r="J331" s="729"/>
      <c r="K331" s="729"/>
      <c r="L331" s="729"/>
      <c r="M331" s="729"/>
      <c r="N331" s="729"/>
      <c r="O331" s="730"/>
      <c r="P331" s="726" t="s">
        <v>40</v>
      </c>
      <c r="Q331" s="727"/>
      <c r="R331" s="727"/>
      <c r="S331" s="727"/>
      <c r="T331" s="727"/>
      <c r="U331" s="727"/>
      <c r="V331" s="728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29"/>
      <c r="B332" s="729"/>
      <c r="C332" s="729"/>
      <c r="D332" s="729"/>
      <c r="E332" s="729"/>
      <c r="F332" s="729"/>
      <c r="G332" s="729"/>
      <c r="H332" s="729"/>
      <c r="I332" s="729"/>
      <c r="J332" s="729"/>
      <c r="K332" s="729"/>
      <c r="L332" s="729"/>
      <c r="M332" s="729"/>
      <c r="N332" s="729"/>
      <c r="O332" s="730"/>
      <c r="P332" s="726" t="s">
        <v>40</v>
      </c>
      <c r="Q332" s="727"/>
      <c r="R332" s="727"/>
      <c r="S332" s="727"/>
      <c r="T332" s="727"/>
      <c r="U332" s="727"/>
      <c r="V332" s="728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19" t="s">
        <v>557</v>
      </c>
      <c r="B333" s="719"/>
      <c r="C333" s="719"/>
      <c r="D333" s="719"/>
      <c r="E333" s="719"/>
      <c r="F333" s="719"/>
      <c r="G333" s="719"/>
      <c r="H333" s="719"/>
      <c r="I333" s="719"/>
      <c r="J333" s="719"/>
      <c r="K333" s="719"/>
      <c r="L333" s="719"/>
      <c r="M333" s="719"/>
      <c r="N333" s="719"/>
      <c r="O333" s="719"/>
      <c r="P333" s="719"/>
      <c r="Q333" s="719"/>
      <c r="R333" s="719"/>
      <c r="S333" s="719"/>
      <c r="T333" s="719"/>
      <c r="U333" s="719"/>
      <c r="V333" s="719"/>
      <c r="W333" s="719"/>
      <c r="X333" s="719"/>
      <c r="Y333" s="719"/>
      <c r="Z333" s="719"/>
      <c r="AA333" s="65"/>
      <c r="AB333" s="65"/>
      <c r="AC333" s="79"/>
    </row>
    <row r="334" spans="1:68" ht="14.25" hidden="1" customHeight="1" x14ac:dyDescent="0.25">
      <c r="A334" s="720" t="s">
        <v>86</v>
      </c>
      <c r="B334" s="720"/>
      <c r="C334" s="720"/>
      <c r="D334" s="720"/>
      <c r="E334" s="720"/>
      <c r="F334" s="720"/>
      <c r="G334" s="720"/>
      <c r="H334" s="720"/>
      <c r="I334" s="720"/>
      <c r="J334" s="720"/>
      <c r="K334" s="720"/>
      <c r="L334" s="720"/>
      <c r="M334" s="720"/>
      <c r="N334" s="720"/>
      <c r="O334" s="720"/>
      <c r="P334" s="720"/>
      <c r="Q334" s="720"/>
      <c r="R334" s="720"/>
      <c r="S334" s="720"/>
      <c r="T334" s="720"/>
      <c r="U334" s="720"/>
      <c r="V334" s="720"/>
      <c r="W334" s="720"/>
      <c r="X334" s="720"/>
      <c r="Y334" s="720"/>
      <c r="Z334" s="720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721">
        <v>4680115886186</v>
      </c>
      <c r="E335" s="72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9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23"/>
      <c r="R335" s="723"/>
      <c r="S335" s="723"/>
      <c r="T335" s="7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561</v>
      </c>
      <c r="B336" s="63" t="s">
        <v>562</v>
      </c>
      <c r="C336" s="36">
        <v>4301051795</v>
      </c>
      <c r="D336" s="721">
        <v>4680115881228</v>
      </c>
      <c r="E336" s="72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9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23"/>
      <c r="R336" s="723"/>
      <c r="S336" s="723"/>
      <c r="T336" s="724"/>
      <c r="U336" s="39" t="s">
        <v>46</v>
      </c>
      <c r="V336" s="39" t="s">
        <v>46</v>
      </c>
      <c r="W336" s="40" t="s">
        <v>0</v>
      </c>
      <c r="X336" s="58">
        <v>120</v>
      </c>
      <c r="Y336" s="55">
        <f>IFERROR(IF(X336="",0,CEILING((X336/$H336),1)*$H336),"")</f>
        <v>120</v>
      </c>
      <c r="Z336" s="41">
        <f>IFERROR(IF(Y336=0,"",ROUNDUP(Y336/H336,0)*0.00651),"")</f>
        <v>0.32550000000000001</v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132.60000000000002</v>
      </c>
      <c r="BN336" s="78">
        <f>IFERROR(Y336*I336/H336,"0")</f>
        <v>132.60000000000002</v>
      </c>
      <c r="BO336" s="78">
        <f>IFERROR(1/J336*(X336/H336),"0")</f>
        <v>0.27472527472527475</v>
      </c>
      <c r="BP336" s="78">
        <f>IFERROR(1/J336*(Y336/H336),"0")</f>
        <v>0.27472527472527475</v>
      </c>
    </row>
    <row r="337" spans="1:68" ht="27" customHeight="1" x14ac:dyDescent="0.25">
      <c r="A337" s="63" t="s">
        <v>564</v>
      </c>
      <c r="B337" s="63" t="s">
        <v>565</v>
      </c>
      <c r="C337" s="36">
        <v>4301051388</v>
      </c>
      <c r="D337" s="721">
        <v>4680115881211</v>
      </c>
      <c r="E337" s="72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23"/>
      <c r="R337" s="723"/>
      <c r="S337" s="723"/>
      <c r="T337" s="724"/>
      <c r="U337" s="39" t="s">
        <v>46</v>
      </c>
      <c r="V337" s="39" t="s">
        <v>46</v>
      </c>
      <c r="W337" s="40" t="s">
        <v>0</v>
      </c>
      <c r="X337" s="58">
        <v>360</v>
      </c>
      <c r="Y337" s="55">
        <f>IFERROR(IF(X337="",0,CEILING((X337/$H337),1)*$H337),"")</f>
        <v>360</v>
      </c>
      <c r="Z337" s="41">
        <f>IFERROR(IF(Y337=0,"",ROUNDUP(Y337/H337,0)*0.00651),"")</f>
        <v>0.97650000000000003</v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387.00000000000006</v>
      </c>
      <c r="BN337" s="78">
        <f>IFERROR(Y337*I337/H337,"0")</f>
        <v>387.00000000000006</v>
      </c>
      <c r="BO337" s="78">
        <f>IFERROR(1/J337*(X337/H337),"0")</f>
        <v>0.82417582417582425</v>
      </c>
      <c r="BP337" s="78">
        <f>IFERROR(1/J337*(Y337/H337),"0")</f>
        <v>0.82417582417582425</v>
      </c>
    </row>
    <row r="338" spans="1:68" x14ac:dyDescent="0.2">
      <c r="A338" s="729"/>
      <c r="B338" s="729"/>
      <c r="C338" s="729"/>
      <c r="D338" s="729"/>
      <c r="E338" s="729"/>
      <c r="F338" s="729"/>
      <c r="G338" s="729"/>
      <c r="H338" s="729"/>
      <c r="I338" s="729"/>
      <c r="J338" s="729"/>
      <c r="K338" s="729"/>
      <c r="L338" s="729"/>
      <c r="M338" s="729"/>
      <c r="N338" s="729"/>
      <c r="O338" s="730"/>
      <c r="P338" s="726" t="s">
        <v>40</v>
      </c>
      <c r="Q338" s="727"/>
      <c r="R338" s="727"/>
      <c r="S338" s="727"/>
      <c r="T338" s="727"/>
      <c r="U338" s="727"/>
      <c r="V338" s="728"/>
      <c r="W338" s="42" t="s">
        <v>39</v>
      </c>
      <c r="X338" s="43">
        <f>IFERROR(X335/H335,"0")+IFERROR(X336/H336,"0")+IFERROR(X337/H337,"0")</f>
        <v>200</v>
      </c>
      <c r="Y338" s="43">
        <f>IFERROR(Y335/H335,"0")+IFERROR(Y336/H336,"0")+IFERROR(Y337/H337,"0")</f>
        <v>200</v>
      </c>
      <c r="Z338" s="43">
        <f>IFERROR(IF(Z335="",0,Z335),"0")+IFERROR(IF(Z336="",0,Z336),"0")+IFERROR(IF(Z337="",0,Z337),"0")</f>
        <v>1.302</v>
      </c>
      <c r="AA338" s="67"/>
      <c r="AB338" s="67"/>
      <c r="AC338" s="67"/>
    </row>
    <row r="339" spans="1:68" x14ac:dyDescent="0.2">
      <c r="A339" s="729"/>
      <c r="B339" s="729"/>
      <c r="C339" s="729"/>
      <c r="D339" s="729"/>
      <c r="E339" s="729"/>
      <c r="F339" s="729"/>
      <c r="G339" s="729"/>
      <c r="H339" s="729"/>
      <c r="I339" s="729"/>
      <c r="J339" s="729"/>
      <c r="K339" s="729"/>
      <c r="L339" s="729"/>
      <c r="M339" s="729"/>
      <c r="N339" s="729"/>
      <c r="O339" s="730"/>
      <c r="P339" s="726" t="s">
        <v>40</v>
      </c>
      <c r="Q339" s="727"/>
      <c r="R339" s="727"/>
      <c r="S339" s="727"/>
      <c r="T339" s="727"/>
      <c r="U339" s="727"/>
      <c r="V339" s="728"/>
      <c r="W339" s="42" t="s">
        <v>0</v>
      </c>
      <c r="X339" s="43">
        <f>IFERROR(SUM(X335:X337),"0")</f>
        <v>480</v>
      </c>
      <c r="Y339" s="43">
        <f>IFERROR(SUM(Y335:Y337),"0")</f>
        <v>480</v>
      </c>
      <c r="Z339" s="42"/>
      <c r="AA339" s="67"/>
      <c r="AB339" s="67"/>
      <c r="AC339" s="67"/>
    </row>
    <row r="340" spans="1:68" ht="16.5" hidden="1" customHeight="1" x14ac:dyDescent="0.25">
      <c r="A340" s="719" t="s">
        <v>566</v>
      </c>
      <c r="B340" s="719"/>
      <c r="C340" s="719"/>
      <c r="D340" s="719"/>
      <c r="E340" s="719"/>
      <c r="F340" s="719"/>
      <c r="G340" s="719"/>
      <c r="H340" s="719"/>
      <c r="I340" s="719"/>
      <c r="J340" s="719"/>
      <c r="K340" s="719"/>
      <c r="L340" s="719"/>
      <c r="M340" s="719"/>
      <c r="N340" s="719"/>
      <c r="O340" s="719"/>
      <c r="P340" s="719"/>
      <c r="Q340" s="719"/>
      <c r="R340" s="719"/>
      <c r="S340" s="719"/>
      <c r="T340" s="719"/>
      <c r="U340" s="719"/>
      <c r="V340" s="719"/>
      <c r="W340" s="719"/>
      <c r="X340" s="719"/>
      <c r="Y340" s="719"/>
      <c r="Z340" s="719"/>
      <c r="AA340" s="65"/>
      <c r="AB340" s="65"/>
      <c r="AC340" s="79"/>
    </row>
    <row r="341" spans="1:68" ht="14.25" hidden="1" customHeight="1" x14ac:dyDescent="0.25">
      <c r="A341" s="720" t="s">
        <v>77</v>
      </c>
      <c r="B341" s="720"/>
      <c r="C341" s="720"/>
      <c r="D341" s="720"/>
      <c r="E341" s="720"/>
      <c r="F341" s="720"/>
      <c r="G341" s="720"/>
      <c r="H341" s="720"/>
      <c r="I341" s="720"/>
      <c r="J341" s="720"/>
      <c r="K341" s="720"/>
      <c r="L341" s="720"/>
      <c r="M341" s="720"/>
      <c r="N341" s="720"/>
      <c r="O341" s="720"/>
      <c r="P341" s="720"/>
      <c r="Q341" s="720"/>
      <c r="R341" s="720"/>
      <c r="S341" s="720"/>
      <c r="T341" s="720"/>
      <c r="U341" s="720"/>
      <c r="V341" s="720"/>
      <c r="W341" s="720"/>
      <c r="X341" s="720"/>
      <c r="Y341" s="720"/>
      <c r="Z341" s="720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721">
        <v>4680115888319</v>
      </c>
      <c r="E342" s="72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9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23"/>
      <c r="R342" s="723"/>
      <c r="S342" s="723"/>
      <c r="T342" s="72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721">
        <v>4680115884700</v>
      </c>
      <c r="E343" s="72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23"/>
      <c r="R343" s="723"/>
      <c r="S343" s="723"/>
      <c r="T343" s="72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721">
        <v>4680115880344</v>
      </c>
      <c r="E344" s="72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23"/>
      <c r="R344" s="723"/>
      <c r="S344" s="723"/>
      <c r="T344" s="72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721">
        <v>4680115886919</v>
      </c>
      <c r="E345" s="72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9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23"/>
      <c r="R345" s="723"/>
      <c r="S345" s="723"/>
      <c r="T345" s="72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721">
        <v>4680115883970</v>
      </c>
      <c r="E346" s="72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23"/>
      <c r="R346" s="723"/>
      <c r="S346" s="723"/>
      <c r="T346" s="72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29"/>
      <c r="B347" s="729"/>
      <c r="C347" s="729"/>
      <c r="D347" s="729"/>
      <c r="E347" s="729"/>
      <c r="F347" s="729"/>
      <c r="G347" s="729"/>
      <c r="H347" s="729"/>
      <c r="I347" s="729"/>
      <c r="J347" s="729"/>
      <c r="K347" s="729"/>
      <c r="L347" s="729"/>
      <c r="M347" s="729"/>
      <c r="N347" s="729"/>
      <c r="O347" s="730"/>
      <c r="P347" s="726" t="s">
        <v>40</v>
      </c>
      <c r="Q347" s="727"/>
      <c r="R347" s="727"/>
      <c r="S347" s="727"/>
      <c r="T347" s="727"/>
      <c r="U347" s="727"/>
      <c r="V347" s="728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29"/>
      <c r="B348" s="729"/>
      <c r="C348" s="729"/>
      <c r="D348" s="729"/>
      <c r="E348" s="729"/>
      <c r="F348" s="729"/>
      <c r="G348" s="729"/>
      <c r="H348" s="729"/>
      <c r="I348" s="729"/>
      <c r="J348" s="729"/>
      <c r="K348" s="729"/>
      <c r="L348" s="729"/>
      <c r="M348" s="729"/>
      <c r="N348" s="729"/>
      <c r="O348" s="730"/>
      <c r="P348" s="726" t="s">
        <v>40</v>
      </c>
      <c r="Q348" s="727"/>
      <c r="R348" s="727"/>
      <c r="S348" s="727"/>
      <c r="T348" s="727"/>
      <c r="U348" s="727"/>
      <c r="V348" s="728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20" t="s">
        <v>86</v>
      </c>
      <c r="B349" s="720"/>
      <c r="C349" s="720"/>
      <c r="D349" s="720"/>
      <c r="E349" s="720"/>
      <c r="F349" s="720"/>
      <c r="G349" s="720"/>
      <c r="H349" s="720"/>
      <c r="I349" s="720"/>
      <c r="J349" s="720"/>
      <c r="K349" s="720"/>
      <c r="L349" s="720"/>
      <c r="M349" s="720"/>
      <c r="N349" s="720"/>
      <c r="O349" s="720"/>
      <c r="P349" s="720"/>
      <c r="Q349" s="720"/>
      <c r="R349" s="720"/>
      <c r="S349" s="720"/>
      <c r="T349" s="720"/>
      <c r="U349" s="720"/>
      <c r="V349" s="720"/>
      <c r="W349" s="720"/>
      <c r="X349" s="720"/>
      <c r="Y349" s="720"/>
      <c r="Z349" s="720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721">
        <v>4680115884618</v>
      </c>
      <c r="E350" s="72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91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23"/>
      <c r="R350" s="723"/>
      <c r="S350" s="723"/>
      <c r="T350" s="72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721">
        <v>4680115887114</v>
      </c>
      <c r="E351" s="72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23"/>
      <c r="R351" s="723"/>
      <c r="S351" s="723"/>
      <c r="T351" s="72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29"/>
      <c r="B352" s="729"/>
      <c r="C352" s="729"/>
      <c r="D352" s="729"/>
      <c r="E352" s="729"/>
      <c r="F352" s="729"/>
      <c r="G352" s="729"/>
      <c r="H352" s="729"/>
      <c r="I352" s="729"/>
      <c r="J352" s="729"/>
      <c r="K352" s="729"/>
      <c r="L352" s="729"/>
      <c r="M352" s="729"/>
      <c r="N352" s="729"/>
      <c r="O352" s="730"/>
      <c r="P352" s="726" t="s">
        <v>40</v>
      </c>
      <c r="Q352" s="727"/>
      <c r="R352" s="727"/>
      <c r="S352" s="727"/>
      <c r="T352" s="727"/>
      <c r="U352" s="727"/>
      <c r="V352" s="728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29"/>
      <c r="B353" s="729"/>
      <c r="C353" s="729"/>
      <c r="D353" s="729"/>
      <c r="E353" s="729"/>
      <c r="F353" s="729"/>
      <c r="G353" s="729"/>
      <c r="H353" s="729"/>
      <c r="I353" s="729"/>
      <c r="J353" s="729"/>
      <c r="K353" s="729"/>
      <c r="L353" s="729"/>
      <c r="M353" s="729"/>
      <c r="N353" s="729"/>
      <c r="O353" s="730"/>
      <c r="P353" s="726" t="s">
        <v>40</v>
      </c>
      <c r="Q353" s="727"/>
      <c r="R353" s="727"/>
      <c r="S353" s="727"/>
      <c r="T353" s="727"/>
      <c r="U353" s="727"/>
      <c r="V353" s="728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19" t="s">
        <v>587</v>
      </c>
      <c r="B354" s="719"/>
      <c r="C354" s="719"/>
      <c r="D354" s="719"/>
      <c r="E354" s="719"/>
      <c r="F354" s="719"/>
      <c r="G354" s="719"/>
      <c r="H354" s="719"/>
      <c r="I354" s="719"/>
      <c r="J354" s="719"/>
      <c r="K354" s="719"/>
      <c r="L354" s="719"/>
      <c r="M354" s="719"/>
      <c r="N354" s="719"/>
      <c r="O354" s="719"/>
      <c r="P354" s="719"/>
      <c r="Q354" s="719"/>
      <c r="R354" s="719"/>
      <c r="S354" s="719"/>
      <c r="T354" s="719"/>
      <c r="U354" s="719"/>
      <c r="V354" s="719"/>
      <c r="W354" s="719"/>
      <c r="X354" s="719"/>
      <c r="Y354" s="719"/>
      <c r="Z354" s="719"/>
      <c r="AA354" s="65"/>
      <c r="AB354" s="65"/>
      <c r="AC354" s="79"/>
    </row>
    <row r="355" spans="1:68" ht="14.25" hidden="1" customHeight="1" x14ac:dyDescent="0.25">
      <c r="A355" s="720" t="s">
        <v>122</v>
      </c>
      <c r="B355" s="720"/>
      <c r="C355" s="720"/>
      <c r="D355" s="720"/>
      <c r="E355" s="720"/>
      <c r="F355" s="720"/>
      <c r="G355" s="720"/>
      <c r="H355" s="720"/>
      <c r="I355" s="720"/>
      <c r="J355" s="720"/>
      <c r="K355" s="720"/>
      <c r="L355" s="720"/>
      <c r="M355" s="720"/>
      <c r="N355" s="720"/>
      <c r="O355" s="720"/>
      <c r="P355" s="720"/>
      <c r="Q355" s="720"/>
      <c r="R355" s="720"/>
      <c r="S355" s="720"/>
      <c r="T355" s="720"/>
      <c r="U355" s="720"/>
      <c r="V355" s="720"/>
      <c r="W355" s="720"/>
      <c r="X355" s="720"/>
      <c r="Y355" s="720"/>
      <c r="Z355" s="720"/>
      <c r="AA355" s="66"/>
      <c r="AB355" s="66"/>
      <c r="AC355" s="80"/>
    </row>
    <row r="356" spans="1:68" ht="27" customHeight="1" x14ac:dyDescent="0.25">
      <c r="A356" s="63" t="s">
        <v>588</v>
      </c>
      <c r="B356" s="63" t="s">
        <v>589</v>
      </c>
      <c r="C356" s="36">
        <v>4301012324</v>
      </c>
      <c r="D356" s="721">
        <v>4680115887947</v>
      </c>
      <c r="E356" s="72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1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23"/>
      <c r="R356" s="723"/>
      <c r="S356" s="723"/>
      <c r="T356" s="724"/>
      <c r="U356" s="39" t="s">
        <v>46</v>
      </c>
      <c r="V356" s="39" t="s">
        <v>46</v>
      </c>
      <c r="W356" s="40" t="s">
        <v>0</v>
      </c>
      <c r="X356" s="58">
        <v>180</v>
      </c>
      <c r="Y356" s="55">
        <f>IFERROR(IF(X356="",0,CEILING((X356/$H356),1)*$H356),"")</f>
        <v>187.2</v>
      </c>
      <c r="Z356" s="41">
        <f>IFERROR(IF(Y356=0,"",ROUNDUP(Y356/H356,0)*0.01898),"")</f>
        <v>0.45552000000000004</v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189.46153846153848</v>
      </c>
      <c r="BN356" s="78">
        <f>IFERROR(Y356*I356/H356,"0")</f>
        <v>197.04000000000002</v>
      </c>
      <c r="BO356" s="78">
        <f>IFERROR(1/J356*(X356/H356),"0")</f>
        <v>0.36057692307692307</v>
      </c>
      <c r="BP356" s="78">
        <f>IFERROR(1/J356*(Y356/H356),"0")</f>
        <v>0.375</v>
      </c>
    </row>
    <row r="357" spans="1:68" ht="27" customHeight="1" x14ac:dyDescent="0.25">
      <c r="A357" s="63" t="s">
        <v>590</v>
      </c>
      <c r="B357" s="63" t="s">
        <v>591</v>
      </c>
      <c r="C357" s="36">
        <v>4301012325</v>
      </c>
      <c r="D357" s="721">
        <v>4680115887978</v>
      </c>
      <c r="E357" s="72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23"/>
      <c r="R357" s="723"/>
      <c r="S357" s="723"/>
      <c r="T357" s="724"/>
      <c r="U357" s="39" t="s">
        <v>46</v>
      </c>
      <c r="V357" s="39" t="s">
        <v>46</v>
      </c>
      <c r="W357" s="40" t="s">
        <v>0</v>
      </c>
      <c r="X357" s="58">
        <v>140</v>
      </c>
      <c r="Y357" s="55">
        <f>IFERROR(IF(X357="",0,CEILING((X357/$H357),1)*$H357),"")</f>
        <v>140.4</v>
      </c>
      <c r="Z357" s="41">
        <f>IFERROR(IF(Y357=0,"",ROUNDUP(Y357/H357,0)*0.01898),"")</f>
        <v>0.34164</v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147.35897435897436</v>
      </c>
      <c r="BN357" s="78">
        <f>IFERROR(Y357*I357/H357,"0")</f>
        <v>147.78000000000003</v>
      </c>
      <c r="BO357" s="78">
        <f>IFERROR(1/J357*(X357/H357),"0")</f>
        <v>0.28044871794871795</v>
      </c>
      <c r="BP357" s="78">
        <f>IFERROR(1/J357*(Y357/H357),"0")</f>
        <v>0.28125</v>
      </c>
    </row>
    <row r="358" spans="1:68" ht="27" customHeight="1" x14ac:dyDescent="0.25">
      <c r="A358" s="63" t="s">
        <v>593</v>
      </c>
      <c r="B358" s="63" t="s">
        <v>594</v>
      </c>
      <c r="C358" s="36">
        <v>4301012327</v>
      </c>
      <c r="D358" s="721">
        <v>4680115887992</v>
      </c>
      <c r="E358" s="72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23"/>
      <c r="R358" s="723"/>
      <c r="S358" s="723"/>
      <c r="T358" s="724"/>
      <c r="U358" s="39" t="s">
        <v>46</v>
      </c>
      <c r="V358" s="39" t="s">
        <v>46</v>
      </c>
      <c r="W358" s="40" t="s">
        <v>0</v>
      </c>
      <c r="X358" s="58">
        <v>120</v>
      </c>
      <c r="Y358" s="55">
        <f>IFERROR(IF(X358="",0,CEILING((X358/$H358),1)*$H358),"")</f>
        <v>124.8</v>
      </c>
      <c r="Z358" s="41">
        <f>IFERROR(IF(Y358=0,"",ROUNDUP(Y358/H358,0)*0.01898),"")</f>
        <v>0.30368000000000001</v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126.30769230769232</v>
      </c>
      <c r="BN358" s="78">
        <f>IFERROR(Y358*I358/H358,"0")</f>
        <v>131.36000000000001</v>
      </c>
      <c r="BO358" s="78">
        <f>IFERROR(1/J358*(X358/H358),"0")</f>
        <v>0.24038461538461539</v>
      </c>
      <c r="BP358" s="78">
        <f>IFERROR(1/J358*(Y358/H358),"0")</f>
        <v>0.25</v>
      </c>
    </row>
    <row r="359" spans="1:68" x14ac:dyDescent="0.2">
      <c r="A359" s="729"/>
      <c r="B359" s="729"/>
      <c r="C359" s="729"/>
      <c r="D359" s="729"/>
      <c r="E359" s="729"/>
      <c r="F359" s="729"/>
      <c r="G359" s="729"/>
      <c r="H359" s="729"/>
      <c r="I359" s="729"/>
      <c r="J359" s="729"/>
      <c r="K359" s="729"/>
      <c r="L359" s="729"/>
      <c r="M359" s="729"/>
      <c r="N359" s="729"/>
      <c r="O359" s="730"/>
      <c r="P359" s="726" t="s">
        <v>40</v>
      </c>
      <c r="Q359" s="727"/>
      <c r="R359" s="727"/>
      <c r="S359" s="727"/>
      <c r="T359" s="727"/>
      <c r="U359" s="727"/>
      <c r="V359" s="728"/>
      <c r="W359" s="42" t="s">
        <v>39</v>
      </c>
      <c r="X359" s="43">
        <f>IFERROR(X356/H356,"0")+IFERROR(X357/H357,"0")+IFERROR(X358/H358,"0")</f>
        <v>56.410256410256409</v>
      </c>
      <c r="Y359" s="43">
        <f>IFERROR(Y356/H356,"0")+IFERROR(Y357/H357,"0")+IFERROR(Y358/H358,"0")</f>
        <v>58</v>
      </c>
      <c r="Z359" s="43">
        <f>IFERROR(IF(Z356="",0,Z356),"0")+IFERROR(IF(Z357="",0,Z357),"0")+IFERROR(IF(Z358="",0,Z358),"0")</f>
        <v>1.10084</v>
      </c>
      <c r="AA359" s="67"/>
      <c r="AB359" s="67"/>
      <c r="AC359" s="67"/>
    </row>
    <row r="360" spans="1:68" x14ac:dyDescent="0.2">
      <c r="A360" s="729"/>
      <c r="B360" s="729"/>
      <c r="C360" s="729"/>
      <c r="D360" s="729"/>
      <c r="E360" s="729"/>
      <c r="F360" s="729"/>
      <c r="G360" s="729"/>
      <c r="H360" s="729"/>
      <c r="I360" s="729"/>
      <c r="J360" s="729"/>
      <c r="K360" s="729"/>
      <c r="L360" s="729"/>
      <c r="M360" s="729"/>
      <c r="N360" s="729"/>
      <c r="O360" s="730"/>
      <c r="P360" s="726" t="s">
        <v>40</v>
      </c>
      <c r="Q360" s="727"/>
      <c r="R360" s="727"/>
      <c r="S360" s="727"/>
      <c r="T360" s="727"/>
      <c r="U360" s="727"/>
      <c r="V360" s="728"/>
      <c r="W360" s="42" t="s">
        <v>0</v>
      </c>
      <c r="X360" s="43">
        <f>IFERROR(SUM(X356:X358),"0")</f>
        <v>440</v>
      </c>
      <c r="Y360" s="43">
        <f>IFERROR(SUM(Y356:Y358),"0")</f>
        <v>452.40000000000003</v>
      </c>
      <c r="Z360" s="42"/>
      <c r="AA360" s="67"/>
      <c r="AB360" s="67"/>
      <c r="AC360" s="67"/>
    </row>
    <row r="361" spans="1:68" ht="16.5" hidden="1" customHeight="1" x14ac:dyDescent="0.25">
      <c r="A361" s="719" t="s">
        <v>596</v>
      </c>
      <c r="B361" s="719"/>
      <c r="C361" s="719"/>
      <c r="D361" s="719"/>
      <c r="E361" s="719"/>
      <c r="F361" s="719"/>
      <c r="G361" s="719"/>
      <c r="H361" s="719"/>
      <c r="I361" s="719"/>
      <c r="J361" s="719"/>
      <c r="K361" s="719"/>
      <c r="L361" s="719"/>
      <c r="M361" s="719"/>
      <c r="N361" s="719"/>
      <c r="O361" s="719"/>
      <c r="P361" s="719"/>
      <c r="Q361" s="719"/>
      <c r="R361" s="719"/>
      <c r="S361" s="719"/>
      <c r="T361" s="719"/>
      <c r="U361" s="719"/>
      <c r="V361" s="719"/>
      <c r="W361" s="719"/>
      <c r="X361" s="719"/>
      <c r="Y361" s="719"/>
      <c r="Z361" s="719"/>
      <c r="AA361" s="65"/>
      <c r="AB361" s="65"/>
      <c r="AC361" s="79"/>
    </row>
    <row r="362" spans="1:68" ht="14.25" hidden="1" customHeight="1" x14ac:dyDescent="0.25">
      <c r="A362" s="720" t="s">
        <v>122</v>
      </c>
      <c r="B362" s="720"/>
      <c r="C362" s="720"/>
      <c r="D362" s="720"/>
      <c r="E362" s="720"/>
      <c r="F362" s="720"/>
      <c r="G362" s="720"/>
      <c r="H362" s="720"/>
      <c r="I362" s="720"/>
      <c r="J362" s="720"/>
      <c r="K362" s="720"/>
      <c r="L362" s="720"/>
      <c r="M362" s="720"/>
      <c r="N362" s="720"/>
      <c r="O362" s="720"/>
      <c r="P362" s="720"/>
      <c r="Q362" s="720"/>
      <c r="R362" s="720"/>
      <c r="S362" s="720"/>
      <c r="T362" s="720"/>
      <c r="U362" s="720"/>
      <c r="V362" s="720"/>
      <c r="W362" s="720"/>
      <c r="X362" s="720"/>
      <c r="Y362" s="720"/>
      <c r="Z362" s="720"/>
      <c r="AA362" s="66"/>
      <c r="AB362" s="66"/>
      <c r="AC362" s="80"/>
    </row>
    <row r="363" spans="1:68" ht="27" customHeight="1" x14ac:dyDescent="0.25">
      <c r="A363" s="63" t="s">
        <v>597</v>
      </c>
      <c r="B363" s="63" t="s">
        <v>598</v>
      </c>
      <c r="C363" s="36">
        <v>4301012360</v>
      </c>
      <c r="D363" s="721">
        <v>4680115889293</v>
      </c>
      <c r="E363" s="72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723"/>
      <c r="R363" s="723"/>
      <c r="S363" s="723"/>
      <c r="T363" s="724"/>
      <c r="U363" s="39" t="s">
        <v>46</v>
      </c>
      <c r="V363" s="39" t="s">
        <v>46</v>
      </c>
      <c r="W363" s="40" t="s">
        <v>0</v>
      </c>
      <c r="X363" s="58">
        <v>100</v>
      </c>
      <c r="Y363" s="55">
        <f t="shared" ref="Y363:Y368" si="58">IFERROR(IF(X363="",0,CEILING((X363/$H363),1)*$H363),"")</f>
        <v>108</v>
      </c>
      <c r="Z363" s="41">
        <f>IFERROR(IF(Y363=0,"",ROUNDUP(Y363/H363,0)*0.01898),"")</f>
        <v>0.1898</v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103.79629629629629</v>
      </c>
      <c r="BN363" s="78">
        <f t="shared" ref="BN363:BN368" si="60">IFERROR(Y363*I363/H363,"0")</f>
        <v>112.1</v>
      </c>
      <c r="BO363" s="78">
        <f t="shared" ref="BO363:BO368" si="61">IFERROR(1/J363*(X363/H363),"0")</f>
        <v>0.14467592592592593</v>
      </c>
      <c r="BP363" s="78">
        <f t="shared" ref="BP363:BP368" si="62">IFERROR(1/J363*(Y363/H363),"0")</f>
        <v>0.15625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721">
        <v>4680115887190</v>
      </c>
      <c r="E364" s="72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23"/>
      <c r="R364" s="723"/>
      <c r="S364" s="723"/>
      <c r="T364" s="7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721">
        <v>4680115887138</v>
      </c>
      <c r="E365" s="72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23"/>
      <c r="R365" s="723"/>
      <c r="S365" s="723"/>
      <c r="T365" s="7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721">
        <v>4680115885554</v>
      </c>
      <c r="E366" s="72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91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23"/>
      <c r="R366" s="723"/>
      <c r="S366" s="723"/>
      <c r="T366" s="72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721">
        <v>4680115887220</v>
      </c>
      <c r="E367" s="72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91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23"/>
      <c r="R367" s="723"/>
      <c r="S367" s="723"/>
      <c r="T367" s="7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721">
        <v>4680115885608</v>
      </c>
      <c r="E368" s="7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92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23"/>
      <c r="R368" s="723"/>
      <c r="S368" s="723"/>
      <c r="T368" s="72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x14ac:dyDescent="0.2">
      <c r="A369" s="729"/>
      <c r="B369" s="729"/>
      <c r="C369" s="729"/>
      <c r="D369" s="729"/>
      <c r="E369" s="729"/>
      <c r="F369" s="729"/>
      <c r="G369" s="729"/>
      <c r="H369" s="729"/>
      <c r="I369" s="729"/>
      <c r="J369" s="729"/>
      <c r="K369" s="729"/>
      <c r="L369" s="729"/>
      <c r="M369" s="729"/>
      <c r="N369" s="729"/>
      <c r="O369" s="730"/>
      <c r="P369" s="726" t="s">
        <v>40</v>
      </c>
      <c r="Q369" s="727"/>
      <c r="R369" s="727"/>
      <c r="S369" s="727"/>
      <c r="T369" s="727"/>
      <c r="U369" s="727"/>
      <c r="V369" s="728"/>
      <c r="W369" s="42" t="s">
        <v>39</v>
      </c>
      <c r="X369" s="43">
        <f>IFERROR(X363/H363,"0")+IFERROR(X364/H364,"0")+IFERROR(X365/H365,"0")+IFERROR(X366/H366,"0")+IFERROR(X367/H367,"0")+IFERROR(X368/H368,"0")</f>
        <v>9.2592592592592595</v>
      </c>
      <c r="Y369" s="43">
        <f>IFERROR(Y363/H363,"0")+IFERROR(Y364/H364,"0")+IFERROR(Y365/H365,"0")+IFERROR(Y366/H366,"0")+IFERROR(Y367/H367,"0")+IFERROR(Y368/H368,"0")</f>
        <v>10</v>
      </c>
      <c r="Z369" s="43">
        <f>IFERROR(IF(Z363="",0,Z363),"0")+IFERROR(IF(Z364="",0,Z364),"0")+IFERROR(IF(Z365="",0,Z365),"0")+IFERROR(IF(Z366="",0,Z366),"0")+IFERROR(IF(Z367="",0,Z367),"0")+IFERROR(IF(Z368="",0,Z368),"0")</f>
        <v>0.1898</v>
      </c>
      <c r="AA369" s="67"/>
      <c r="AB369" s="67"/>
      <c r="AC369" s="67"/>
    </row>
    <row r="370" spans="1:68" x14ac:dyDescent="0.2">
      <c r="A370" s="729"/>
      <c r="B370" s="729"/>
      <c r="C370" s="729"/>
      <c r="D370" s="729"/>
      <c r="E370" s="729"/>
      <c r="F370" s="729"/>
      <c r="G370" s="729"/>
      <c r="H370" s="729"/>
      <c r="I370" s="729"/>
      <c r="J370" s="729"/>
      <c r="K370" s="729"/>
      <c r="L370" s="729"/>
      <c r="M370" s="729"/>
      <c r="N370" s="729"/>
      <c r="O370" s="730"/>
      <c r="P370" s="726" t="s">
        <v>40</v>
      </c>
      <c r="Q370" s="727"/>
      <c r="R370" s="727"/>
      <c r="S370" s="727"/>
      <c r="T370" s="727"/>
      <c r="U370" s="727"/>
      <c r="V370" s="728"/>
      <c r="W370" s="42" t="s">
        <v>0</v>
      </c>
      <c r="X370" s="43">
        <f>IFERROR(SUM(X363:X368),"0")</f>
        <v>100</v>
      </c>
      <c r="Y370" s="43">
        <f>IFERROR(SUM(Y363:Y368),"0")</f>
        <v>108</v>
      </c>
      <c r="Z370" s="42"/>
      <c r="AA370" s="67"/>
      <c r="AB370" s="67"/>
      <c r="AC370" s="67"/>
    </row>
    <row r="371" spans="1:68" ht="14.25" hidden="1" customHeight="1" x14ac:dyDescent="0.25">
      <c r="A371" s="720" t="s">
        <v>77</v>
      </c>
      <c r="B371" s="720"/>
      <c r="C371" s="720"/>
      <c r="D371" s="720"/>
      <c r="E371" s="720"/>
      <c r="F371" s="720"/>
      <c r="G371" s="720"/>
      <c r="H371" s="720"/>
      <c r="I371" s="720"/>
      <c r="J371" s="720"/>
      <c r="K371" s="720"/>
      <c r="L371" s="720"/>
      <c r="M371" s="720"/>
      <c r="N371" s="720"/>
      <c r="O371" s="720"/>
      <c r="P371" s="720"/>
      <c r="Q371" s="720"/>
      <c r="R371" s="720"/>
      <c r="S371" s="720"/>
      <c r="T371" s="720"/>
      <c r="U371" s="720"/>
      <c r="V371" s="720"/>
      <c r="W371" s="720"/>
      <c r="X371" s="720"/>
      <c r="Y371" s="720"/>
      <c r="Z371" s="720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721">
        <v>4607091387193</v>
      </c>
      <c r="E372" s="72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92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23"/>
      <c r="R372" s="723"/>
      <c r="S372" s="723"/>
      <c r="T372" s="72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721">
        <v>4607091387230</v>
      </c>
      <c r="E373" s="7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92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23"/>
      <c r="R373" s="723"/>
      <c r="S373" s="723"/>
      <c r="T373" s="72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721">
        <v>4607091387292</v>
      </c>
      <c r="E374" s="72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23"/>
      <c r="R374" s="723"/>
      <c r="S374" s="723"/>
      <c r="T374" s="72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721">
        <v>4607091387285</v>
      </c>
      <c r="E375" s="72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2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23"/>
      <c r="R375" s="723"/>
      <c r="S375" s="723"/>
      <c r="T375" s="72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customHeight="1" x14ac:dyDescent="0.25">
      <c r="A376" s="63" t="s">
        <v>625</v>
      </c>
      <c r="B376" s="63" t="s">
        <v>626</v>
      </c>
      <c r="C376" s="36">
        <v>4301031305</v>
      </c>
      <c r="D376" s="721">
        <v>4607091389845</v>
      </c>
      <c r="E376" s="72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23"/>
      <c r="R376" s="723"/>
      <c r="S376" s="723"/>
      <c r="T376" s="724"/>
      <c r="U376" s="39" t="s">
        <v>46</v>
      </c>
      <c r="V376" s="39" t="s">
        <v>46</v>
      </c>
      <c r="W376" s="40" t="s">
        <v>0</v>
      </c>
      <c r="X376" s="58">
        <v>315</v>
      </c>
      <c r="Y376" s="55">
        <f t="shared" si="63"/>
        <v>315</v>
      </c>
      <c r="Z376" s="41">
        <f>IFERROR(IF(Y376=0,"",ROUNDUP(Y376/H376,0)*0.00502),"")</f>
        <v>0.753</v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330</v>
      </c>
      <c r="BN376" s="78">
        <f t="shared" si="65"/>
        <v>330</v>
      </c>
      <c r="BO376" s="78">
        <f t="shared" si="66"/>
        <v>0.64102564102564108</v>
      </c>
      <c r="BP376" s="78">
        <f t="shared" si="67"/>
        <v>0.64102564102564108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721">
        <v>4680115887442</v>
      </c>
      <c r="E377" s="72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23"/>
      <c r="R377" s="723"/>
      <c r="S377" s="723"/>
      <c r="T377" s="72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customHeight="1" x14ac:dyDescent="0.25">
      <c r="A378" s="63" t="s">
        <v>630</v>
      </c>
      <c r="B378" s="63" t="s">
        <v>631</v>
      </c>
      <c r="C378" s="36">
        <v>4301031066</v>
      </c>
      <c r="D378" s="721">
        <v>4607091383836</v>
      </c>
      <c r="E378" s="72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23"/>
      <c r="R378" s="723"/>
      <c r="S378" s="723"/>
      <c r="T378" s="724"/>
      <c r="U378" s="39" t="s">
        <v>46</v>
      </c>
      <c r="V378" s="39" t="s">
        <v>46</v>
      </c>
      <c r="W378" s="40" t="s">
        <v>0</v>
      </c>
      <c r="X378" s="58">
        <v>42</v>
      </c>
      <c r="Y378" s="55">
        <f t="shared" si="63"/>
        <v>43.2</v>
      </c>
      <c r="Z378" s="41">
        <f>IFERROR(IF(Y378=0,"",ROUNDUP(Y378/H378,0)*0.00651),"")</f>
        <v>0.15623999999999999</v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47.32</v>
      </c>
      <c r="BN378" s="78">
        <f t="shared" si="65"/>
        <v>48.671999999999997</v>
      </c>
      <c r="BO378" s="78">
        <f t="shared" si="66"/>
        <v>0.12820512820512822</v>
      </c>
      <c r="BP378" s="78">
        <f t="shared" si="67"/>
        <v>0.13186813186813187</v>
      </c>
    </row>
    <row r="379" spans="1:68" x14ac:dyDescent="0.2">
      <c r="A379" s="729"/>
      <c r="B379" s="729"/>
      <c r="C379" s="729"/>
      <c r="D379" s="729"/>
      <c r="E379" s="729"/>
      <c r="F379" s="729"/>
      <c r="G379" s="729"/>
      <c r="H379" s="729"/>
      <c r="I379" s="729"/>
      <c r="J379" s="729"/>
      <c r="K379" s="729"/>
      <c r="L379" s="729"/>
      <c r="M379" s="729"/>
      <c r="N379" s="729"/>
      <c r="O379" s="730"/>
      <c r="P379" s="726" t="s">
        <v>40</v>
      </c>
      <c r="Q379" s="727"/>
      <c r="R379" s="727"/>
      <c r="S379" s="727"/>
      <c r="T379" s="727"/>
      <c r="U379" s="727"/>
      <c r="V379" s="728"/>
      <c r="W379" s="42" t="s">
        <v>39</v>
      </c>
      <c r="X379" s="43">
        <f>IFERROR(X372/H372,"0")+IFERROR(X373/H373,"0")+IFERROR(X374/H374,"0")+IFERROR(X375/H375,"0")+IFERROR(X376/H376,"0")+IFERROR(X377/H377,"0")+IFERROR(X378/H378,"0")</f>
        <v>173.33333333333334</v>
      </c>
      <c r="Y379" s="43">
        <f>IFERROR(Y372/H372,"0")+IFERROR(Y373/H373,"0")+IFERROR(Y374/H374,"0")+IFERROR(Y375/H375,"0")+IFERROR(Y376/H376,"0")+IFERROR(Y377/H377,"0")+IFERROR(Y378/H378,"0")</f>
        <v>174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0.90924000000000005</v>
      </c>
      <c r="AA379" s="67"/>
      <c r="AB379" s="67"/>
      <c r="AC379" s="67"/>
    </row>
    <row r="380" spans="1:68" x14ac:dyDescent="0.2">
      <c r="A380" s="729"/>
      <c r="B380" s="729"/>
      <c r="C380" s="729"/>
      <c r="D380" s="729"/>
      <c r="E380" s="729"/>
      <c r="F380" s="729"/>
      <c r="G380" s="729"/>
      <c r="H380" s="729"/>
      <c r="I380" s="729"/>
      <c r="J380" s="729"/>
      <c r="K380" s="729"/>
      <c r="L380" s="729"/>
      <c r="M380" s="729"/>
      <c r="N380" s="729"/>
      <c r="O380" s="730"/>
      <c r="P380" s="726" t="s">
        <v>40</v>
      </c>
      <c r="Q380" s="727"/>
      <c r="R380" s="727"/>
      <c r="S380" s="727"/>
      <c r="T380" s="727"/>
      <c r="U380" s="727"/>
      <c r="V380" s="728"/>
      <c r="W380" s="42" t="s">
        <v>0</v>
      </c>
      <c r="X380" s="43">
        <f>IFERROR(SUM(X372:X378),"0")</f>
        <v>357</v>
      </c>
      <c r="Y380" s="43">
        <f>IFERROR(SUM(Y372:Y378),"0")</f>
        <v>358.2</v>
      </c>
      <c r="Z380" s="42"/>
      <c r="AA380" s="67"/>
      <c r="AB380" s="67"/>
      <c r="AC380" s="67"/>
    </row>
    <row r="381" spans="1:68" ht="14.25" hidden="1" customHeight="1" x14ac:dyDescent="0.25">
      <c r="A381" s="720" t="s">
        <v>86</v>
      </c>
      <c r="B381" s="720"/>
      <c r="C381" s="720"/>
      <c r="D381" s="720"/>
      <c r="E381" s="720"/>
      <c r="F381" s="720"/>
      <c r="G381" s="720"/>
      <c r="H381" s="720"/>
      <c r="I381" s="720"/>
      <c r="J381" s="720"/>
      <c r="K381" s="720"/>
      <c r="L381" s="720"/>
      <c r="M381" s="720"/>
      <c r="N381" s="720"/>
      <c r="O381" s="720"/>
      <c r="P381" s="720"/>
      <c r="Q381" s="720"/>
      <c r="R381" s="720"/>
      <c r="S381" s="720"/>
      <c r="T381" s="720"/>
      <c r="U381" s="720"/>
      <c r="V381" s="720"/>
      <c r="W381" s="720"/>
      <c r="X381" s="720"/>
      <c r="Y381" s="720"/>
      <c r="Z381" s="720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721">
        <v>4607091387766</v>
      </c>
      <c r="E382" s="72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23"/>
      <c r="R382" s="723"/>
      <c r="S382" s="723"/>
      <c r="T382" s="72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721">
        <v>4607091387957</v>
      </c>
      <c r="E383" s="72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9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23"/>
      <c r="R383" s="723"/>
      <c r="S383" s="723"/>
      <c r="T383" s="72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721">
        <v>4607091387964</v>
      </c>
      <c r="E384" s="72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23"/>
      <c r="R384" s="723"/>
      <c r="S384" s="723"/>
      <c r="T384" s="72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721">
        <v>4680115884588</v>
      </c>
      <c r="E385" s="72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23"/>
      <c r="R385" s="723"/>
      <c r="S385" s="723"/>
      <c r="T385" s="7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29"/>
      <c r="B386" s="729"/>
      <c r="C386" s="729"/>
      <c r="D386" s="729"/>
      <c r="E386" s="729"/>
      <c r="F386" s="729"/>
      <c r="G386" s="729"/>
      <c r="H386" s="729"/>
      <c r="I386" s="729"/>
      <c r="J386" s="729"/>
      <c r="K386" s="729"/>
      <c r="L386" s="729"/>
      <c r="M386" s="729"/>
      <c r="N386" s="729"/>
      <c r="O386" s="730"/>
      <c r="P386" s="726" t="s">
        <v>40</v>
      </c>
      <c r="Q386" s="727"/>
      <c r="R386" s="727"/>
      <c r="S386" s="727"/>
      <c r="T386" s="727"/>
      <c r="U386" s="727"/>
      <c r="V386" s="728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29"/>
      <c r="B387" s="729"/>
      <c r="C387" s="729"/>
      <c r="D387" s="729"/>
      <c r="E387" s="729"/>
      <c r="F387" s="729"/>
      <c r="G387" s="729"/>
      <c r="H387" s="729"/>
      <c r="I387" s="729"/>
      <c r="J387" s="729"/>
      <c r="K387" s="729"/>
      <c r="L387" s="729"/>
      <c r="M387" s="729"/>
      <c r="N387" s="729"/>
      <c r="O387" s="730"/>
      <c r="P387" s="726" t="s">
        <v>40</v>
      </c>
      <c r="Q387" s="727"/>
      <c r="R387" s="727"/>
      <c r="S387" s="727"/>
      <c r="T387" s="727"/>
      <c r="U387" s="727"/>
      <c r="V387" s="728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20" t="s">
        <v>175</v>
      </c>
      <c r="B388" s="720"/>
      <c r="C388" s="720"/>
      <c r="D388" s="720"/>
      <c r="E388" s="720"/>
      <c r="F388" s="720"/>
      <c r="G388" s="720"/>
      <c r="H388" s="720"/>
      <c r="I388" s="720"/>
      <c r="J388" s="720"/>
      <c r="K388" s="720"/>
      <c r="L388" s="720"/>
      <c r="M388" s="720"/>
      <c r="N388" s="720"/>
      <c r="O388" s="720"/>
      <c r="P388" s="720"/>
      <c r="Q388" s="720"/>
      <c r="R388" s="720"/>
      <c r="S388" s="720"/>
      <c r="T388" s="720"/>
      <c r="U388" s="720"/>
      <c r="V388" s="720"/>
      <c r="W388" s="720"/>
      <c r="X388" s="720"/>
      <c r="Y388" s="720"/>
      <c r="Z388" s="720"/>
      <c r="AA388" s="66"/>
      <c r="AB388" s="66"/>
      <c r="AC388" s="80"/>
    </row>
    <row r="389" spans="1:68" ht="27" customHeight="1" x14ac:dyDescent="0.25">
      <c r="A389" s="63" t="s">
        <v>644</v>
      </c>
      <c r="B389" s="63" t="s">
        <v>645</v>
      </c>
      <c r="C389" s="36">
        <v>4301060387</v>
      </c>
      <c r="D389" s="721">
        <v>4607091380880</v>
      </c>
      <c r="E389" s="72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9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23"/>
      <c r="R389" s="723"/>
      <c r="S389" s="723"/>
      <c r="T389" s="724"/>
      <c r="U389" s="39" t="s">
        <v>46</v>
      </c>
      <c r="V389" s="39" t="s">
        <v>46</v>
      </c>
      <c r="W389" s="40" t="s">
        <v>0</v>
      </c>
      <c r="X389" s="58">
        <v>450</v>
      </c>
      <c r="Y389" s="55">
        <f>IFERROR(IF(X389="",0,CEILING((X389/$H389),1)*$H389),"")</f>
        <v>453.6</v>
      </c>
      <c r="Z389" s="41">
        <f>IFERROR(IF(Y389=0,"",ROUNDUP(Y389/H389,0)*0.01898),"")</f>
        <v>1.0249200000000001</v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476.46428571428572</v>
      </c>
      <c r="BN389" s="78">
        <f>IFERROR(Y389*I389/H389,"0")</f>
        <v>480.27600000000001</v>
      </c>
      <c r="BO389" s="78">
        <f>IFERROR(1/J389*(X389/H389),"0")</f>
        <v>0.8370535714285714</v>
      </c>
      <c r="BP389" s="78">
        <f>IFERROR(1/J389*(Y389/H389),"0")</f>
        <v>0.84375</v>
      </c>
    </row>
    <row r="390" spans="1:68" ht="27" customHeight="1" x14ac:dyDescent="0.25">
      <c r="A390" s="63" t="s">
        <v>647</v>
      </c>
      <c r="B390" s="63" t="s">
        <v>648</v>
      </c>
      <c r="C390" s="36">
        <v>4301060406</v>
      </c>
      <c r="D390" s="721">
        <v>4607091384482</v>
      </c>
      <c r="E390" s="72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93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23"/>
      <c r="R390" s="723"/>
      <c r="S390" s="723"/>
      <c r="T390" s="724"/>
      <c r="U390" s="39" t="s">
        <v>46</v>
      </c>
      <c r="V390" s="39" t="s">
        <v>46</v>
      </c>
      <c r="W390" s="40" t="s">
        <v>0</v>
      </c>
      <c r="X390" s="58">
        <v>350</v>
      </c>
      <c r="Y390" s="55">
        <f>IFERROR(IF(X390="",0,CEILING((X390/$H390),1)*$H390),"")</f>
        <v>351</v>
      </c>
      <c r="Z390" s="41">
        <f>IFERROR(IF(Y390=0,"",ROUNDUP(Y390/H390,0)*0.01898),"")</f>
        <v>0.85409999999999997</v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372.16666666666669</v>
      </c>
      <c r="BN390" s="78">
        <f>IFERROR(Y390*I390/H390,"0")</f>
        <v>373.23</v>
      </c>
      <c r="BO390" s="78">
        <f>IFERROR(1/J390*(X390/H390),"0")</f>
        <v>0.70112179487179493</v>
      </c>
      <c r="BP390" s="78">
        <f>IFERROR(1/J390*(Y390/H390),"0")</f>
        <v>0.703125</v>
      </c>
    </row>
    <row r="391" spans="1:68" ht="27" customHeight="1" x14ac:dyDescent="0.25">
      <c r="A391" s="63" t="s">
        <v>650</v>
      </c>
      <c r="B391" s="63" t="s">
        <v>651</v>
      </c>
      <c r="C391" s="36">
        <v>4301060484</v>
      </c>
      <c r="D391" s="721">
        <v>4607091380897</v>
      </c>
      <c r="E391" s="72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23"/>
      <c r="R391" s="723"/>
      <c r="S391" s="723"/>
      <c r="T391" s="724"/>
      <c r="U391" s="39" t="s">
        <v>46</v>
      </c>
      <c r="V391" s="39" t="s">
        <v>46</v>
      </c>
      <c r="W391" s="40" t="s">
        <v>0</v>
      </c>
      <c r="X391" s="58">
        <v>60</v>
      </c>
      <c r="Y391" s="55">
        <f>IFERROR(IF(X391="",0,CEILING((X391/$H391),1)*$H391),"")</f>
        <v>67.2</v>
      </c>
      <c r="Z391" s="41">
        <f>IFERROR(IF(Y391=0,"",ROUNDUP(Y391/H391,0)*0.01898),"")</f>
        <v>0.15184</v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63.528571428571425</v>
      </c>
      <c r="BN391" s="78">
        <f>IFERROR(Y391*I391/H391,"0")</f>
        <v>71.152000000000001</v>
      </c>
      <c r="BO391" s="78">
        <f>IFERROR(1/J391*(X391/H391),"0")</f>
        <v>0.11160714285714285</v>
      </c>
      <c r="BP391" s="78">
        <f>IFERROR(1/J391*(Y391/H391),"0")</f>
        <v>0.125</v>
      </c>
    </row>
    <row r="392" spans="1:68" x14ac:dyDescent="0.2">
      <c r="A392" s="729"/>
      <c r="B392" s="729"/>
      <c r="C392" s="729"/>
      <c r="D392" s="729"/>
      <c r="E392" s="729"/>
      <c r="F392" s="729"/>
      <c r="G392" s="729"/>
      <c r="H392" s="729"/>
      <c r="I392" s="729"/>
      <c r="J392" s="729"/>
      <c r="K392" s="729"/>
      <c r="L392" s="729"/>
      <c r="M392" s="729"/>
      <c r="N392" s="729"/>
      <c r="O392" s="730"/>
      <c r="P392" s="726" t="s">
        <v>40</v>
      </c>
      <c r="Q392" s="727"/>
      <c r="R392" s="727"/>
      <c r="S392" s="727"/>
      <c r="T392" s="727"/>
      <c r="U392" s="727"/>
      <c r="V392" s="728"/>
      <c r="W392" s="42" t="s">
        <v>39</v>
      </c>
      <c r="X392" s="43">
        <f>IFERROR(X389/H389,"0")+IFERROR(X390/H390,"0")+IFERROR(X391/H391,"0")</f>
        <v>105.58608058608058</v>
      </c>
      <c r="Y392" s="43">
        <f>IFERROR(Y389/H389,"0")+IFERROR(Y390/H390,"0")+IFERROR(Y391/H391,"0")</f>
        <v>107</v>
      </c>
      <c r="Z392" s="43">
        <f>IFERROR(IF(Z389="",0,Z389),"0")+IFERROR(IF(Z390="",0,Z390),"0")+IFERROR(IF(Z391="",0,Z391),"0")</f>
        <v>2.0308600000000001</v>
      </c>
      <c r="AA392" s="67"/>
      <c r="AB392" s="67"/>
      <c r="AC392" s="67"/>
    </row>
    <row r="393" spans="1:68" x14ac:dyDescent="0.2">
      <c r="A393" s="729"/>
      <c r="B393" s="729"/>
      <c r="C393" s="729"/>
      <c r="D393" s="729"/>
      <c r="E393" s="729"/>
      <c r="F393" s="729"/>
      <c r="G393" s="729"/>
      <c r="H393" s="729"/>
      <c r="I393" s="729"/>
      <c r="J393" s="729"/>
      <c r="K393" s="729"/>
      <c r="L393" s="729"/>
      <c r="M393" s="729"/>
      <c r="N393" s="729"/>
      <c r="O393" s="730"/>
      <c r="P393" s="726" t="s">
        <v>40</v>
      </c>
      <c r="Q393" s="727"/>
      <c r="R393" s="727"/>
      <c r="S393" s="727"/>
      <c r="T393" s="727"/>
      <c r="U393" s="727"/>
      <c r="V393" s="728"/>
      <c r="W393" s="42" t="s">
        <v>0</v>
      </c>
      <c r="X393" s="43">
        <f>IFERROR(SUM(X389:X391),"0")</f>
        <v>860</v>
      </c>
      <c r="Y393" s="43">
        <f>IFERROR(SUM(Y389:Y391),"0")</f>
        <v>871.80000000000007</v>
      </c>
      <c r="Z393" s="42"/>
      <c r="AA393" s="67"/>
      <c r="AB393" s="67"/>
      <c r="AC393" s="67"/>
    </row>
    <row r="394" spans="1:68" ht="14.25" hidden="1" customHeight="1" x14ac:dyDescent="0.25">
      <c r="A394" s="720" t="s">
        <v>275</v>
      </c>
      <c r="B394" s="720"/>
      <c r="C394" s="720"/>
      <c r="D394" s="720"/>
      <c r="E394" s="720"/>
      <c r="F394" s="720"/>
      <c r="G394" s="720"/>
      <c r="H394" s="720"/>
      <c r="I394" s="720"/>
      <c r="J394" s="720"/>
      <c r="K394" s="720"/>
      <c r="L394" s="720"/>
      <c r="M394" s="720"/>
      <c r="N394" s="720"/>
      <c r="O394" s="720"/>
      <c r="P394" s="720"/>
      <c r="Q394" s="720"/>
      <c r="R394" s="720"/>
      <c r="S394" s="720"/>
      <c r="T394" s="720"/>
      <c r="U394" s="720"/>
      <c r="V394" s="720"/>
      <c r="W394" s="720"/>
      <c r="X394" s="720"/>
      <c r="Y394" s="720"/>
      <c r="Z394" s="720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721">
        <v>4607091388381</v>
      </c>
      <c r="E395" s="72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9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23"/>
      <c r="R395" s="723"/>
      <c r="S395" s="723"/>
      <c r="T395" s="72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721">
        <v>4607091388374</v>
      </c>
      <c r="E396" s="72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9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23"/>
      <c r="R396" s="723"/>
      <c r="S396" s="723"/>
      <c r="T396" s="72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721">
        <v>4607091383102</v>
      </c>
      <c r="E397" s="72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9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23"/>
      <c r="R397" s="723"/>
      <c r="S397" s="723"/>
      <c r="T397" s="72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721">
        <v>4607091388404</v>
      </c>
      <c r="E398" s="72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9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23"/>
      <c r="R398" s="723"/>
      <c r="S398" s="723"/>
      <c r="T398" s="72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29"/>
      <c r="B399" s="729"/>
      <c r="C399" s="729"/>
      <c r="D399" s="729"/>
      <c r="E399" s="729"/>
      <c r="F399" s="729"/>
      <c r="G399" s="729"/>
      <c r="H399" s="729"/>
      <c r="I399" s="729"/>
      <c r="J399" s="729"/>
      <c r="K399" s="729"/>
      <c r="L399" s="729"/>
      <c r="M399" s="729"/>
      <c r="N399" s="729"/>
      <c r="O399" s="730"/>
      <c r="P399" s="726" t="s">
        <v>40</v>
      </c>
      <c r="Q399" s="727"/>
      <c r="R399" s="727"/>
      <c r="S399" s="727"/>
      <c r="T399" s="727"/>
      <c r="U399" s="727"/>
      <c r="V399" s="728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29"/>
      <c r="B400" s="729"/>
      <c r="C400" s="729"/>
      <c r="D400" s="729"/>
      <c r="E400" s="729"/>
      <c r="F400" s="729"/>
      <c r="G400" s="729"/>
      <c r="H400" s="729"/>
      <c r="I400" s="729"/>
      <c r="J400" s="729"/>
      <c r="K400" s="729"/>
      <c r="L400" s="729"/>
      <c r="M400" s="729"/>
      <c r="N400" s="729"/>
      <c r="O400" s="730"/>
      <c r="P400" s="726" t="s">
        <v>40</v>
      </c>
      <c r="Q400" s="727"/>
      <c r="R400" s="727"/>
      <c r="S400" s="727"/>
      <c r="T400" s="727"/>
      <c r="U400" s="727"/>
      <c r="V400" s="728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20" t="s">
        <v>662</v>
      </c>
      <c r="B401" s="720"/>
      <c r="C401" s="720"/>
      <c r="D401" s="720"/>
      <c r="E401" s="720"/>
      <c r="F401" s="720"/>
      <c r="G401" s="720"/>
      <c r="H401" s="720"/>
      <c r="I401" s="720"/>
      <c r="J401" s="720"/>
      <c r="K401" s="720"/>
      <c r="L401" s="720"/>
      <c r="M401" s="720"/>
      <c r="N401" s="720"/>
      <c r="O401" s="720"/>
      <c r="P401" s="720"/>
      <c r="Q401" s="720"/>
      <c r="R401" s="720"/>
      <c r="S401" s="720"/>
      <c r="T401" s="720"/>
      <c r="U401" s="720"/>
      <c r="V401" s="720"/>
      <c r="W401" s="720"/>
      <c r="X401" s="720"/>
      <c r="Y401" s="720"/>
      <c r="Z401" s="720"/>
      <c r="AA401" s="66"/>
      <c r="AB401" s="66"/>
      <c r="AC401" s="80"/>
    </row>
    <row r="402" spans="1:68" ht="16.5" customHeight="1" x14ac:dyDescent="0.25">
      <c r="A402" s="63" t="s">
        <v>663</v>
      </c>
      <c r="B402" s="63" t="s">
        <v>664</v>
      </c>
      <c r="C402" s="36">
        <v>4301180007</v>
      </c>
      <c r="D402" s="721">
        <v>4680115881808</v>
      </c>
      <c r="E402" s="72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9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23"/>
      <c r="R402" s="723"/>
      <c r="S402" s="723"/>
      <c r="T402" s="724"/>
      <c r="U402" s="39" t="s">
        <v>46</v>
      </c>
      <c r="V402" s="39" t="s">
        <v>46</v>
      </c>
      <c r="W402" s="40" t="s">
        <v>0</v>
      </c>
      <c r="X402" s="58">
        <v>40</v>
      </c>
      <c r="Y402" s="55">
        <f>IFERROR(IF(X402="",0,CEILING((X402/$H402),1)*$H402),"")</f>
        <v>40</v>
      </c>
      <c r="Z402" s="41">
        <f>IFERROR(IF(Y402=0,"",ROUNDUP(Y402/H402,0)*0.00474),"")</f>
        <v>9.4800000000000009E-2</v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44.800000000000004</v>
      </c>
      <c r="BN402" s="78">
        <f>IFERROR(Y402*I402/H402,"0")</f>
        <v>44.800000000000004</v>
      </c>
      <c r="BO402" s="78">
        <f>IFERROR(1/J402*(X402/H402),"0")</f>
        <v>8.4033613445378144E-2</v>
      </c>
      <c r="BP402" s="78">
        <f>IFERROR(1/J402*(Y402/H402),"0")</f>
        <v>8.4033613445378144E-2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721">
        <v>4680115881822</v>
      </c>
      <c r="E403" s="72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94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23"/>
      <c r="R403" s="723"/>
      <c r="S403" s="723"/>
      <c r="T403" s="72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721">
        <v>4680115880016</v>
      </c>
      <c r="E404" s="72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94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23"/>
      <c r="R404" s="723"/>
      <c r="S404" s="723"/>
      <c r="T404" s="72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x14ac:dyDescent="0.2">
      <c r="A405" s="729"/>
      <c r="B405" s="729"/>
      <c r="C405" s="729"/>
      <c r="D405" s="729"/>
      <c r="E405" s="729"/>
      <c r="F405" s="729"/>
      <c r="G405" s="729"/>
      <c r="H405" s="729"/>
      <c r="I405" s="729"/>
      <c r="J405" s="729"/>
      <c r="K405" s="729"/>
      <c r="L405" s="729"/>
      <c r="M405" s="729"/>
      <c r="N405" s="729"/>
      <c r="O405" s="730"/>
      <c r="P405" s="726" t="s">
        <v>40</v>
      </c>
      <c r="Q405" s="727"/>
      <c r="R405" s="727"/>
      <c r="S405" s="727"/>
      <c r="T405" s="727"/>
      <c r="U405" s="727"/>
      <c r="V405" s="728"/>
      <c r="W405" s="42" t="s">
        <v>39</v>
      </c>
      <c r="X405" s="43">
        <f>IFERROR(X402/H402,"0")+IFERROR(X403/H403,"0")+IFERROR(X404/H404,"0")</f>
        <v>20</v>
      </c>
      <c r="Y405" s="43">
        <f>IFERROR(Y402/H402,"0")+IFERROR(Y403/H403,"0")+IFERROR(Y404/H404,"0")</f>
        <v>20</v>
      </c>
      <c r="Z405" s="43">
        <f>IFERROR(IF(Z402="",0,Z402),"0")+IFERROR(IF(Z403="",0,Z403),"0")+IFERROR(IF(Z404="",0,Z404),"0")</f>
        <v>9.4800000000000009E-2</v>
      </c>
      <c r="AA405" s="67"/>
      <c r="AB405" s="67"/>
      <c r="AC405" s="67"/>
    </row>
    <row r="406" spans="1:68" x14ac:dyDescent="0.2">
      <c r="A406" s="729"/>
      <c r="B406" s="729"/>
      <c r="C406" s="729"/>
      <c r="D406" s="729"/>
      <c r="E406" s="729"/>
      <c r="F406" s="729"/>
      <c r="G406" s="729"/>
      <c r="H406" s="729"/>
      <c r="I406" s="729"/>
      <c r="J406" s="729"/>
      <c r="K406" s="729"/>
      <c r="L406" s="729"/>
      <c r="M406" s="729"/>
      <c r="N406" s="729"/>
      <c r="O406" s="730"/>
      <c r="P406" s="726" t="s">
        <v>40</v>
      </c>
      <c r="Q406" s="727"/>
      <c r="R406" s="727"/>
      <c r="S406" s="727"/>
      <c r="T406" s="727"/>
      <c r="U406" s="727"/>
      <c r="V406" s="728"/>
      <c r="W406" s="42" t="s">
        <v>0</v>
      </c>
      <c r="X406" s="43">
        <f>IFERROR(SUM(X402:X404),"0")</f>
        <v>40</v>
      </c>
      <c r="Y406" s="43">
        <f>IFERROR(SUM(Y402:Y404),"0")</f>
        <v>40</v>
      </c>
      <c r="Z406" s="42"/>
      <c r="AA406" s="67"/>
      <c r="AB406" s="67"/>
      <c r="AC406" s="67"/>
    </row>
    <row r="407" spans="1:68" ht="14.25" hidden="1" customHeight="1" x14ac:dyDescent="0.25">
      <c r="A407" s="720" t="s">
        <v>671</v>
      </c>
      <c r="B407" s="720"/>
      <c r="C407" s="720"/>
      <c r="D407" s="720"/>
      <c r="E407" s="720"/>
      <c r="F407" s="720"/>
      <c r="G407" s="720"/>
      <c r="H407" s="720"/>
      <c r="I407" s="720"/>
      <c r="J407" s="720"/>
      <c r="K407" s="720"/>
      <c r="L407" s="720"/>
      <c r="M407" s="720"/>
      <c r="N407" s="720"/>
      <c r="O407" s="720"/>
      <c r="P407" s="720"/>
      <c r="Q407" s="720"/>
      <c r="R407" s="720"/>
      <c r="S407" s="720"/>
      <c r="T407" s="720"/>
      <c r="U407" s="720"/>
      <c r="V407" s="720"/>
      <c r="W407" s="720"/>
      <c r="X407" s="720"/>
      <c r="Y407" s="720"/>
      <c r="Z407" s="720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721">
        <v>4680115888678</v>
      </c>
      <c r="E408" s="72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23"/>
      <c r="R408" s="723"/>
      <c r="S408" s="723"/>
      <c r="T408" s="72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721">
        <v>4680115888654</v>
      </c>
      <c r="E409" s="72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94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23"/>
      <c r="R409" s="723"/>
      <c r="S409" s="723"/>
      <c r="T409" s="72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721">
        <v>4680115888753</v>
      </c>
      <c r="E410" s="72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94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23"/>
      <c r="R410" s="723"/>
      <c r="S410" s="723"/>
      <c r="T410" s="72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29"/>
      <c r="B411" s="729"/>
      <c r="C411" s="729"/>
      <c r="D411" s="729"/>
      <c r="E411" s="729"/>
      <c r="F411" s="729"/>
      <c r="G411" s="729"/>
      <c r="H411" s="729"/>
      <c r="I411" s="729"/>
      <c r="J411" s="729"/>
      <c r="K411" s="729"/>
      <c r="L411" s="729"/>
      <c r="M411" s="729"/>
      <c r="N411" s="729"/>
      <c r="O411" s="730"/>
      <c r="P411" s="726" t="s">
        <v>40</v>
      </c>
      <c r="Q411" s="727"/>
      <c r="R411" s="727"/>
      <c r="S411" s="727"/>
      <c r="T411" s="727"/>
      <c r="U411" s="727"/>
      <c r="V411" s="728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29"/>
      <c r="B412" s="729"/>
      <c r="C412" s="729"/>
      <c r="D412" s="729"/>
      <c r="E412" s="729"/>
      <c r="F412" s="729"/>
      <c r="G412" s="729"/>
      <c r="H412" s="729"/>
      <c r="I412" s="729"/>
      <c r="J412" s="729"/>
      <c r="K412" s="729"/>
      <c r="L412" s="729"/>
      <c r="M412" s="729"/>
      <c r="N412" s="729"/>
      <c r="O412" s="730"/>
      <c r="P412" s="726" t="s">
        <v>40</v>
      </c>
      <c r="Q412" s="727"/>
      <c r="R412" s="727"/>
      <c r="S412" s="727"/>
      <c r="T412" s="727"/>
      <c r="U412" s="727"/>
      <c r="V412" s="728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19" t="s">
        <v>680</v>
      </c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19"/>
      <c r="P413" s="719"/>
      <c r="Q413" s="719"/>
      <c r="R413" s="719"/>
      <c r="S413" s="719"/>
      <c r="T413" s="719"/>
      <c r="U413" s="719"/>
      <c r="V413" s="719"/>
      <c r="W413" s="719"/>
      <c r="X413" s="719"/>
      <c r="Y413" s="719"/>
      <c r="Z413" s="719"/>
      <c r="AA413" s="65"/>
      <c r="AB413" s="65"/>
      <c r="AC413" s="79"/>
    </row>
    <row r="414" spans="1:68" ht="14.25" hidden="1" customHeight="1" x14ac:dyDescent="0.25">
      <c r="A414" s="720" t="s">
        <v>86</v>
      </c>
      <c r="B414" s="720"/>
      <c r="C414" s="720"/>
      <c r="D414" s="720"/>
      <c r="E414" s="720"/>
      <c r="F414" s="720"/>
      <c r="G414" s="720"/>
      <c r="H414" s="720"/>
      <c r="I414" s="720"/>
      <c r="J414" s="720"/>
      <c r="K414" s="720"/>
      <c r="L414" s="720"/>
      <c r="M414" s="720"/>
      <c r="N414" s="720"/>
      <c r="O414" s="720"/>
      <c r="P414" s="720"/>
      <c r="Q414" s="720"/>
      <c r="R414" s="720"/>
      <c r="S414" s="720"/>
      <c r="T414" s="720"/>
      <c r="U414" s="720"/>
      <c r="V414" s="720"/>
      <c r="W414" s="720"/>
      <c r="X414" s="720"/>
      <c r="Y414" s="720"/>
      <c r="Z414" s="720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721">
        <v>4680115889415</v>
      </c>
      <c r="E415" s="721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94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723"/>
      <c r="R415" s="723"/>
      <c r="S415" s="723"/>
      <c r="T415" s="72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721">
        <v>4680115889422</v>
      </c>
      <c r="E416" s="721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94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723"/>
      <c r="R416" s="723"/>
      <c r="S416" s="723"/>
      <c r="T416" s="72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29"/>
      <c r="B417" s="729"/>
      <c r="C417" s="729"/>
      <c r="D417" s="729"/>
      <c r="E417" s="729"/>
      <c r="F417" s="729"/>
      <c r="G417" s="729"/>
      <c r="H417" s="729"/>
      <c r="I417" s="729"/>
      <c r="J417" s="729"/>
      <c r="K417" s="729"/>
      <c r="L417" s="729"/>
      <c r="M417" s="729"/>
      <c r="N417" s="729"/>
      <c r="O417" s="730"/>
      <c r="P417" s="726" t="s">
        <v>40</v>
      </c>
      <c r="Q417" s="727"/>
      <c r="R417" s="727"/>
      <c r="S417" s="727"/>
      <c r="T417" s="727"/>
      <c r="U417" s="727"/>
      <c r="V417" s="728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729"/>
      <c r="B418" s="729"/>
      <c r="C418" s="729"/>
      <c r="D418" s="729"/>
      <c r="E418" s="729"/>
      <c r="F418" s="729"/>
      <c r="G418" s="729"/>
      <c r="H418" s="729"/>
      <c r="I418" s="729"/>
      <c r="J418" s="729"/>
      <c r="K418" s="729"/>
      <c r="L418" s="729"/>
      <c r="M418" s="729"/>
      <c r="N418" s="729"/>
      <c r="O418" s="730"/>
      <c r="P418" s="726" t="s">
        <v>40</v>
      </c>
      <c r="Q418" s="727"/>
      <c r="R418" s="727"/>
      <c r="S418" s="727"/>
      <c r="T418" s="727"/>
      <c r="U418" s="727"/>
      <c r="V418" s="728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719" t="s">
        <v>687</v>
      </c>
      <c r="B419" s="719"/>
      <c r="C419" s="719"/>
      <c r="D419" s="719"/>
      <c r="E419" s="719"/>
      <c r="F419" s="719"/>
      <c r="G419" s="719"/>
      <c r="H419" s="719"/>
      <c r="I419" s="719"/>
      <c r="J419" s="719"/>
      <c r="K419" s="719"/>
      <c r="L419" s="719"/>
      <c r="M419" s="719"/>
      <c r="N419" s="719"/>
      <c r="O419" s="719"/>
      <c r="P419" s="719"/>
      <c r="Q419" s="719"/>
      <c r="R419" s="719"/>
      <c r="S419" s="719"/>
      <c r="T419" s="719"/>
      <c r="U419" s="719"/>
      <c r="V419" s="719"/>
      <c r="W419" s="719"/>
      <c r="X419" s="719"/>
      <c r="Y419" s="719"/>
      <c r="Z419" s="719"/>
      <c r="AA419" s="65"/>
      <c r="AB419" s="65"/>
      <c r="AC419" s="79"/>
    </row>
    <row r="420" spans="1:68" ht="14.25" hidden="1" customHeight="1" x14ac:dyDescent="0.25">
      <c r="A420" s="720" t="s">
        <v>86</v>
      </c>
      <c r="B420" s="720"/>
      <c r="C420" s="720"/>
      <c r="D420" s="720"/>
      <c r="E420" s="720"/>
      <c r="F420" s="720"/>
      <c r="G420" s="720"/>
      <c r="H420" s="720"/>
      <c r="I420" s="720"/>
      <c r="J420" s="720"/>
      <c r="K420" s="720"/>
      <c r="L420" s="720"/>
      <c r="M420" s="720"/>
      <c r="N420" s="720"/>
      <c r="O420" s="720"/>
      <c r="P420" s="720"/>
      <c r="Q420" s="720"/>
      <c r="R420" s="720"/>
      <c r="S420" s="720"/>
      <c r="T420" s="720"/>
      <c r="U420" s="720"/>
      <c r="V420" s="720"/>
      <c r="W420" s="720"/>
      <c r="X420" s="720"/>
      <c r="Y420" s="720"/>
      <c r="Z420" s="720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721">
        <v>4607091387919</v>
      </c>
      <c r="E421" s="721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9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723"/>
      <c r="R421" s="723"/>
      <c r="S421" s="723"/>
      <c r="T421" s="724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721">
        <v>4680115883604</v>
      </c>
      <c r="E422" s="721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9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723"/>
      <c r="R422" s="723"/>
      <c r="S422" s="723"/>
      <c r="T422" s="724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721">
        <v>4680115883567</v>
      </c>
      <c r="E423" s="721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9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723"/>
      <c r="R423" s="723"/>
      <c r="S423" s="723"/>
      <c r="T423" s="724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29"/>
      <c r="B424" s="729"/>
      <c r="C424" s="729"/>
      <c r="D424" s="729"/>
      <c r="E424" s="729"/>
      <c r="F424" s="729"/>
      <c r="G424" s="729"/>
      <c r="H424" s="729"/>
      <c r="I424" s="729"/>
      <c r="J424" s="729"/>
      <c r="K424" s="729"/>
      <c r="L424" s="729"/>
      <c r="M424" s="729"/>
      <c r="N424" s="729"/>
      <c r="O424" s="730"/>
      <c r="P424" s="726" t="s">
        <v>40</v>
      </c>
      <c r="Q424" s="727"/>
      <c r="R424" s="727"/>
      <c r="S424" s="727"/>
      <c r="T424" s="727"/>
      <c r="U424" s="727"/>
      <c r="V424" s="728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729"/>
      <c r="B425" s="729"/>
      <c r="C425" s="729"/>
      <c r="D425" s="729"/>
      <c r="E425" s="729"/>
      <c r="F425" s="729"/>
      <c r="G425" s="729"/>
      <c r="H425" s="729"/>
      <c r="I425" s="729"/>
      <c r="J425" s="729"/>
      <c r="K425" s="729"/>
      <c r="L425" s="729"/>
      <c r="M425" s="729"/>
      <c r="N425" s="729"/>
      <c r="O425" s="730"/>
      <c r="P425" s="726" t="s">
        <v>40</v>
      </c>
      <c r="Q425" s="727"/>
      <c r="R425" s="727"/>
      <c r="S425" s="727"/>
      <c r="T425" s="727"/>
      <c r="U425" s="727"/>
      <c r="V425" s="728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718" t="s">
        <v>697</v>
      </c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54"/>
      <c r="AB426" s="54"/>
      <c r="AC426" s="54"/>
    </row>
    <row r="427" spans="1:68" ht="16.5" hidden="1" customHeight="1" x14ac:dyDescent="0.25">
      <c r="A427" s="719" t="s">
        <v>698</v>
      </c>
      <c r="B427" s="719"/>
      <c r="C427" s="719"/>
      <c r="D427" s="719"/>
      <c r="E427" s="719"/>
      <c r="F427" s="719"/>
      <c r="G427" s="719"/>
      <c r="H427" s="719"/>
      <c r="I427" s="719"/>
      <c r="J427" s="719"/>
      <c r="K427" s="719"/>
      <c r="L427" s="719"/>
      <c r="M427" s="719"/>
      <c r="N427" s="719"/>
      <c r="O427" s="719"/>
      <c r="P427" s="719"/>
      <c r="Q427" s="719"/>
      <c r="R427" s="719"/>
      <c r="S427" s="719"/>
      <c r="T427" s="719"/>
      <c r="U427" s="719"/>
      <c r="V427" s="719"/>
      <c r="W427" s="719"/>
      <c r="X427" s="719"/>
      <c r="Y427" s="719"/>
      <c r="Z427" s="719"/>
      <c r="AA427" s="65"/>
      <c r="AB427" s="65"/>
      <c r="AC427" s="79"/>
    </row>
    <row r="428" spans="1:68" ht="14.25" hidden="1" customHeight="1" x14ac:dyDescent="0.25">
      <c r="A428" s="720" t="s">
        <v>122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66"/>
      <c r="AB428" s="66"/>
      <c r="AC428" s="80"/>
    </row>
    <row r="429" spans="1:68" ht="27" customHeight="1" x14ac:dyDescent="0.25">
      <c r="A429" s="63" t="s">
        <v>699</v>
      </c>
      <c r="B429" s="63" t="s">
        <v>700</v>
      </c>
      <c r="C429" s="36">
        <v>4301012332</v>
      </c>
      <c r="D429" s="721">
        <v>4680115888401</v>
      </c>
      <c r="E429" s="72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95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723"/>
      <c r="R429" s="723"/>
      <c r="S429" s="723"/>
      <c r="T429" s="724"/>
      <c r="U429" s="39" t="s">
        <v>46</v>
      </c>
      <c r="V429" s="39" t="s">
        <v>46</v>
      </c>
      <c r="W429" s="40" t="s">
        <v>0</v>
      </c>
      <c r="X429" s="58">
        <v>100</v>
      </c>
      <c r="Y429" s="55">
        <f t="shared" ref="Y429:Y436" si="68">IFERROR(IF(X429="",0,CEILING((X429/$H429),1)*$H429),"")</f>
        <v>105</v>
      </c>
      <c r="Z429" s="41">
        <f>IFERROR(IF(Y429=0,"",ROUNDUP(Y429/H429,0)*0.02175),"")</f>
        <v>0.15225</v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103.13333333333334</v>
      </c>
      <c r="BN429" s="78">
        <f t="shared" ref="BN429:BN436" si="70">IFERROR(Y429*I429/H429,"0")</f>
        <v>108.29</v>
      </c>
      <c r="BO429" s="78">
        <f t="shared" ref="BO429:BO436" si="71">IFERROR(1/J429*(X429/H429),"0")</f>
        <v>0.1388888888888889</v>
      </c>
      <c r="BP429" s="78">
        <f t="shared" ref="BP429:BP436" si="72">IFERROR(1/J429*(Y429/H429),"0")</f>
        <v>0.14583333333333331</v>
      </c>
    </row>
    <row r="430" spans="1:68" ht="37.5" customHeight="1" x14ac:dyDescent="0.25">
      <c r="A430" s="63" t="s">
        <v>702</v>
      </c>
      <c r="B430" s="63" t="s">
        <v>703</v>
      </c>
      <c r="C430" s="36">
        <v>4301011869</v>
      </c>
      <c r="D430" s="721">
        <v>4680115884847</v>
      </c>
      <c r="E430" s="721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723"/>
      <c r="R430" s="723"/>
      <c r="S430" s="723"/>
      <c r="T430" s="724"/>
      <c r="U430" s="39" t="s">
        <v>46</v>
      </c>
      <c r="V430" s="39" t="s">
        <v>46</v>
      </c>
      <c r="W430" s="40" t="s">
        <v>0</v>
      </c>
      <c r="X430" s="58">
        <v>1100</v>
      </c>
      <c r="Y430" s="55">
        <f t="shared" si="68"/>
        <v>1110</v>
      </c>
      <c r="Z430" s="41">
        <f>IFERROR(IF(Y430=0,"",ROUNDUP(Y430/H430,0)*0.02175),"")</f>
        <v>1.6094999999999999</v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1134.4666666666667</v>
      </c>
      <c r="BN430" s="78">
        <f t="shared" si="70"/>
        <v>1144.78</v>
      </c>
      <c r="BO430" s="78">
        <f t="shared" si="71"/>
        <v>1.5277777777777777</v>
      </c>
      <c r="BP430" s="78">
        <f t="shared" si="72"/>
        <v>1.5416666666666665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721">
        <v>4680115884854</v>
      </c>
      <c r="E431" s="721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9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723"/>
      <c r="R431" s="723"/>
      <c r="S431" s="723"/>
      <c r="T431" s="724"/>
      <c r="U431" s="39" t="s">
        <v>46</v>
      </c>
      <c r="V431" s="39" t="s">
        <v>46</v>
      </c>
      <c r="W431" s="40" t="s">
        <v>0</v>
      </c>
      <c r="X431" s="58">
        <v>700</v>
      </c>
      <c r="Y431" s="55">
        <f t="shared" si="68"/>
        <v>705</v>
      </c>
      <c r="Z431" s="41">
        <f>IFERROR(IF(Y431=0,"",ROUNDUP(Y431/H431,0)*0.02175),"")</f>
        <v>1.0222499999999999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721.93333333333328</v>
      </c>
      <c r="BN431" s="78">
        <f t="shared" si="70"/>
        <v>727.09</v>
      </c>
      <c r="BO431" s="78">
        <f t="shared" si="71"/>
        <v>0.9722222222222221</v>
      </c>
      <c r="BP431" s="78">
        <f t="shared" si="72"/>
        <v>0.97916666666666663</v>
      </c>
    </row>
    <row r="432" spans="1:68" ht="27" hidden="1" customHeight="1" x14ac:dyDescent="0.25">
      <c r="A432" s="63" t="s">
        <v>708</v>
      </c>
      <c r="B432" s="63" t="s">
        <v>709</v>
      </c>
      <c r="C432" s="36">
        <v>4301011867</v>
      </c>
      <c r="D432" s="721">
        <v>4680115884830</v>
      </c>
      <c r="E432" s="721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723"/>
      <c r="R432" s="723"/>
      <c r="S432" s="723"/>
      <c r="T432" s="72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711</v>
      </c>
      <c r="B433" s="63" t="s">
        <v>712</v>
      </c>
      <c r="C433" s="36">
        <v>4301012356</v>
      </c>
      <c r="D433" s="721">
        <v>4680115889231</v>
      </c>
      <c r="E433" s="721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5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723"/>
      <c r="R433" s="723"/>
      <c r="S433" s="723"/>
      <c r="T433" s="724"/>
      <c r="U433" s="39" t="s">
        <v>46</v>
      </c>
      <c r="V433" s="39" t="s">
        <v>46</v>
      </c>
      <c r="W433" s="40" t="s">
        <v>0</v>
      </c>
      <c r="X433" s="58">
        <v>700</v>
      </c>
      <c r="Y433" s="55">
        <f t="shared" si="68"/>
        <v>705</v>
      </c>
      <c r="Z433" s="41">
        <f>IFERROR(IF(Y433=0,"",ROUNDUP(Y433/H433,0)*0.02175),"")</f>
        <v>1.0222499999999999</v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721.93333333333328</v>
      </c>
      <c r="BN433" s="78">
        <f t="shared" si="70"/>
        <v>727.09</v>
      </c>
      <c r="BO433" s="78">
        <f t="shared" si="71"/>
        <v>0.9722222222222221</v>
      </c>
      <c r="BP433" s="78">
        <f t="shared" si="72"/>
        <v>0.97916666666666663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721">
        <v>4680115882638</v>
      </c>
      <c r="E434" s="721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9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723"/>
      <c r="R434" s="723"/>
      <c r="S434" s="723"/>
      <c r="T434" s="724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721">
        <v>4680115884922</v>
      </c>
      <c r="E435" s="721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95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723"/>
      <c r="R435" s="723"/>
      <c r="S435" s="723"/>
      <c r="T435" s="724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721">
        <v>4680115884861</v>
      </c>
      <c r="E436" s="721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95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723"/>
      <c r="R436" s="723"/>
      <c r="S436" s="723"/>
      <c r="T436" s="724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729"/>
      <c r="B437" s="729"/>
      <c r="C437" s="729"/>
      <c r="D437" s="729"/>
      <c r="E437" s="729"/>
      <c r="F437" s="729"/>
      <c r="G437" s="729"/>
      <c r="H437" s="729"/>
      <c r="I437" s="729"/>
      <c r="J437" s="729"/>
      <c r="K437" s="729"/>
      <c r="L437" s="729"/>
      <c r="M437" s="729"/>
      <c r="N437" s="729"/>
      <c r="O437" s="730"/>
      <c r="P437" s="726" t="s">
        <v>40</v>
      </c>
      <c r="Q437" s="727"/>
      <c r="R437" s="727"/>
      <c r="S437" s="727"/>
      <c r="T437" s="727"/>
      <c r="U437" s="727"/>
      <c r="V437" s="728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173.33333333333331</v>
      </c>
      <c r="Y437" s="43">
        <f>IFERROR(Y429/H429,"0")+IFERROR(Y430/H430,"0")+IFERROR(Y431/H431,"0")+IFERROR(Y432/H432,"0")+IFERROR(Y433/H433,"0")+IFERROR(Y434/H434,"0")+IFERROR(Y435/H435,"0")+IFERROR(Y436/H436,"0")</f>
        <v>175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3.8062499999999995</v>
      </c>
      <c r="AA437" s="67"/>
      <c r="AB437" s="67"/>
      <c r="AC437" s="67"/>
    </row>
    <row r="438" spans="1:68" x14ac:dyDescent="0.2">
      <c r="A438" s="729"/>
      <c r="B438" s="729"/>
      <c r="C438" s="729"/>
      <c r="D438" s="729"/>
      <c r="E438" s="729"/>
      <c r="F438" s="729"/>
      <c r="G438" s="729"/>
      <c r="H438" s="729"/>
      <c r="I438" s="729"/>
      <c r="J438" s="729"/>
      <c r="K438" s="729"/>
      <c r="L438" s="729"/>
      <c r="M438" s="729"/>
      <c r="N438" s="729"/>
      <c r="O438" s="730"/>
      <c r="P438" s="726" t="s">
        <v>40</v>
      </c>
      <c r="Q438" s="727"/>
      <c r="R438" s="727"/>
      <c r="S438" s="727"/>
      <c r="T438" s="727"/>
      <c r="U438" s="727"/>
      <c r="V438" s="728"/>
      <c r="W438" s="42" t="s">
        <v>0</v>
      </c>
      <c r="X438" s="43">
        <f>IFERROR(SUM(X429:X436),"0")</f>
        <v>2600</v>
      </c>
      <c r="Y438" s="43">
        <f>IFERROR(SUM(Y429:Y436),"0")</f>
        <v>2625</v>
      </c>
      <c r="Z438" s="42"/>
      <c r="AA438" s="67"/>
      <c r="AB438" s="67"/>
      <c r="AC438" s="67"/>
    </row>
    <row r="439" spans="1:68" ht="14.25" hidden="1" customHeight="1" x14ac:dyDescent="0.25">
      <c r="A439" s="720" t="s">
        <v>157</v>
      </c>
      <c r="B439" s="720"/>
      <c r="C439" s="720"/>
      <c r="D439" s="720"/>
      <c r="E439" s="720"/>
      <c r="F439" s="720"/>
      <c r="G439" s="720"/>
      <c r="H439" s="720"/>
      <c r="I439" s="720"/>
      <c r="J439" s="720"/>
      <c r="K439" s="720"/>
      <c r="L439" s="720"/>
      <c r="M439" s="720"/>
      <c r="N439" s="720"/>
      <c r="O439" s="720"/>
      <c r="P439" s="720"/>
      <c r="Q439" s="720"/>
      <c r="R439" s="720"/>
      <c r="S439" s="720"/>
      <c r="T439" s="720"/>
      <c r="U439" s="720"/>
      <c r="V439" s="720"/>
      <c r="W439" s="720"/>
      <c r="X439" s="720"/>
      <c r="Y439" s="720"/>
      <c r="Z439" s="720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721">
        <v>4607091383980</v>
      </c>
      <c r="E440" s="721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9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723"/>
      <c r="R440" s="723"/>
      <c r="S440" s="723"/>
      <c r="T440" s="724"/>
      <c r="U440" s="39" t="s">
        <v>46</v>
      </c>
      <c r="V440" s="39" t="s">
        <v>46</v>
      </c>
      <c r="W440" s="40" t="s">
        <v>0</v>
      </c>
      <c r="X440" s="58">
        <v>1400</v>
      </c>
      <c r="Y440" s="55">
        <f>IFERROR(IF(X440="",0,CEILING((X440/$H440),1)*$H440),"")</f>
        <v>1410</v>
      </c>
      <c r="Z440" s="41">
        <f>IFERROR(IF(Y440=0,"",ROUNDUP(Y440/H440,0)*0.02175),"")</f>
        <v>2.0444999999999998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1443.8666666666666</v>
      </c>
      <c r="BN440" s="78">
        <f>IFERROR(Y440*I440/H440,"0")</f>
        <v>1454.18</v>
      </c>
      <c r="BO440" s="78">
        <f>IFERROR(1/J440*(X440/H440),"0")</f>
        <v>1.9444444444444442</v>
      </c>
      <c r="BP440" s="78">
        <f>IFERROR(1/J440*(Y440/H440),"0")</f>
        <v>1.9583333333333333</v>
      </c>
    </row>
    <row r="441" spans="1:68" ht="27" customHeight="1" x14ac:dyDescent="0.25">
      <c r="A441" s="63" t="s">
        <v>726</v>
      </c>
      <c r="B441" s="63" t="s">
        <v>727</v>
      </c>
      <c r="C441" s="36">
        <v>4301020355</v>
      </c>
      <c r="D441" s="721">
        <v>4680115888425</v>
      </c>
      <c r="E441" s="721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95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723"/>
      <c r="R441" s="723"/>
      <c r="S441" s="723"/>
      <c r="T441" s="724"/>
      <c r="U441" s="39" t="s">
        <v>46</v>
      </c>
      <c r="V441" s="39" t="s">
        <v>46</v>
      </c>
      <c r="W441" s="40" t="s">
        <v>0</v>
      </c>
      <c r="X441" s="58">
        <v>160</v>
      </c>
      <c r="Y441" s="55">
        <f>IFERROR(IF(X441="",0,CEILING((X441/$H441),1)*$H441),"")</f>
        <v>165</v>
      </c>
      <c r="Z441" s="41">
        <f>IFERROR(IF(Y441=0,"",ROUNDUP(Y441/H441,0)*0.02175),"")</f>
        <v>0.23924999999999999</v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165.01333333333335</v>
      </c>
      <c r="BN441" s="78">
        <f>IFERROR(Y441*I441/H441,"0")</f>
        <v>170.17000000000002</v>
      </c>
      <c r="BO441" s="78">
        <f>IFERROR(1/J441*(X441/H441),"0")</f>
        <v>0.22222222222222221</v>
      </c>
      <c r="BP441" s="78">
        <f>IFERROR(1/J441*(Y441/H441),"0")</f>
        <v>0.22916666666666666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721">
        <v>4607091384178</v>
      </c>
      <c r="E442" s="721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96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723"/>
      <c r="R442" s="723"/>
      <c r="S442" s="723"/>
      <c r="T442" s="72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729"/>
      <c r="B443" s="729"/>
      <c r="C443" s="729"/>
      <c r="D443" s="729"/>
      <c r="E443" s="729"/>
      <c r="F443" s="729"/>
      <c r="G443" s="729"/>
      <c r="H443" s="729"/>
      <c r="I443" s="729"/>
      <c r="J443" s="729"/>
      <c r="K443" s="729"/>
      <c r="L443" s="729"/>
      <c r="M443" s="729"/>
      <c r="N443" s="729"/>
      <c r="O443" s="730"/>
      <c r="P443" s="726" t="s">
        <v>40</v>
      </c>
      <c r="Q443" s="727"/>
      <c r="R443" s="727"/>
      <c r="S443" s="727"/>
      <c r="T443" s="727"/>
      <c r="U443" s="727"/>
      <c r="V443" s="728"/>
      <c r="W443" s="42" t="s">
        <v>39</v>
      </c>
      <c r="X443" s="43">
        <f>IFERROR(X440/H440,"0")+IFERROR(X441/H441,"0")+IFERROR(X442/H442,"0")</f>
        <v>104</v>
      </c>
      <c r="Y443" s="43">
        <f>IFERROR(Y440/H440,"0")+IFERROR(Y441/H441,"0")+IFERROR(Y442/H442,"0")</f>
        <v>105</v>
      </c>
      <c r="Z443" s="43">
        <f>IFERROR(IF(Z440="",0,Z440),"0")+IFERROR(IF(Z441="",0,Z441),"0")+IFERROR(IF(Z442="",0,Z442),"0")</f>
        <v>2.2837499999999999</v>
      </c>
      <c r="AA443" s="67"/>
      <c r="AB443" s="67"/>
      <c r="AC443" s="67"/>
    </row>
    <row r="444" spans="1:68" x14ac:dyDescent="0.2">
      <c r="A444" s="729"/>
      <c r="B444" s="729"/>
      <c r="C444" s="729"/>
      <c r="D444" s="729"/>
      <c r="E444" s="729"/>
      <c r="F444" s="729"/>
      <c r="G444" s="729"/>
      <c r="H444" s="729"/>
      <c r="I444" s="729"/>
      <c r="J444" s="729"/>
      <c r="K444" s="729"/>
      <c r="L444" s="729"/>
      <c r="M444" s="729"/>
      <c r="N444" s="729"/>
      <c r="O444" s="730"/>
      <c r="P444" s="726" t="s">
        <v>40</v>
      </c>
      <c r="Q444" s="727"/>
      <c r="R444" s="727"/>
      <c r="S444" s="727"/>
      <c r="T444" s="727"/>
      <c r="U444" s="727"/>
      <c r="V444" s="728"/>
      <c r="W444" s="42" t="s">
        <v>0</v>
      </c>
      <c r="X444" s="43">
        <f>IFERROR(SUM(X440:X442),"0")</f>
        <v>1560</v>
      </c>
      <c r="Y444" s="43">
        <f>IFERROR(SUM(Y440:Y442),"0")</f>
        <v>1575</v>
      </c>
      <c r="Z444" s="42"/>
      <c r="AA444" s="67"/>
      <c r="AB444" s="67"/>
      <c r="AC444" s="67"/>
    </row>
    <row r="445" spans="1:68" ht="14.25" hidden="1" customHeight="1" x14ac:dyDescent="0.25">
      <c r="A445" s="720" t="s">
        <v>86</v>
      </c>
      <c r="B445" s="720"/>
      <c r="C445" s="720"/>
      <c r="D445" s="720"/>
      <c r="E445" s="720"/>
      <c r="F445" s="720"/>
      <c r="G445" s="720"/>
      <c r="H445" s="720"/>
      <c r="I445" s="720"/>
      <c r="J445" s="720"/>
      <c r="K445" s="720"/>
      <c r="L445" s="720"/>
      <c r="M445" s="720"/>
      <c r="N445" s="720"/>
      <c r="O445" s="720"/>
      <c r="P445" s="720"/>
      <c r="Q445" s="720"/>
      <c r="R445" s="720"/>
      <c r="S445" s="720"/>
      <c r="T445" s="720"/>
      <c r="U445" s="720"/>
      <c r="V445" s="720"/>
      <c r="W445" s="720"/>
      <c r="X445" s="720"/>
      <c r="Y445" s="720"/>
      <c r="Z445" s="720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721">
        <v>4607091383928</v>
      </c>
      <c r="E446" s="721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96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723"/>
      <c r="R446" s="723"/>
      <c r="S446" s="723"/>
      <c r="T446" s="72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customHeight="1" x14ac:dyDescent="0.25">
      <c r="A447" s="63" t="s">
        <v>735</v>
      </c>
      <c r="B447" s="63" t="s">
        <v>736</v>
      </c>
      <c r="C447" s="36">
        <v>4301051897</v>
      </c>
      <c r="D447" s="721">
        <v>4607091384260</v>
      </c>
      <c r="E447" s="72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96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723"/>
      <c r="R447" s="723"/>
      <c r="S447" s="723"/>
      <c r="T447" s="724"/>
      <c r="U447" s="39" t="s">
        <v>46</v>
      </c>
      <c r="V447" s="39" t="s">
        <v>46</v>
      </c>
      <c r="W447" s="40" t="s">
        <v>0</v>
      </c>
      <c r="X447" s="58">
        <v>60</v>
      </c>
      <c r="Y447" s="55">
        <f>IFERROR(IF(X447="",0,CEILING((X447/$H447),1)*$H447),"")</f>
        <v>63</v>
      </c>
      <c r="Z447" s="41">
        <f>IFERROR(IF(Y447=0,"",ROUNDUP(Y447/H447,0)*0.01898),"")</f>
        <v>0.13286000000000001</v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63.293333333333329</v>
      </c>
      <c r="BN447" s="78">
        <f>IFERROR(Y447*I447/H447,"0")</f>
        <v>66.457999999999998</v>
      </c>
      <c r="BO447" s="78">
        <f>IFERROR(1/J447*(X447/H447),"0")</f>
        <v>0.10416666666666667</v>
      </c>
      <c r="BP447" s="78">
        <f>IFERROR(1/J447*(Y447/H447),"0")</f>
        <v>0.109375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721">
        <v>4680115889538</v>
      </c>
      <c r="E448" s="721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723"/>
      <c r="R448" s="723"/>
      <c r="S448" s="723"/>
      <c r="T448" s="72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x14ac:dyDescent="0.2">
      <c r="A449" s="729"/>
      <c r="B449" s="729"/>
      <c r="C449" s="729"/>
      <c r="D449" s="729"/>
      <c r="E449" s="729"/>
      <c r="F449" s="729"/>
      <c r="G449" s="729"/>
      <c r="H449" s="729"/>
      <c r="I449" s="729"/>
      <c r="J449" s="729"/>
      <c r="K449" s="729"/>
      <c r="L449" s="729"/>
      <c r="M449" s="729"/>
      <c r="N449" s="729"/>
      <c r="O449" s="730"/>
      <c r="P449" s="726" t="s">
        <v>40</v>
      </c>
      <c r="Q449" s="727"/>
      <c r="R449" s="727"/>
      <c r="S449" s="727"/>
      <c r="T449" s="727"/>
      <c r="U449" s="727"/>
      <c r="V449" s="728"/>
      <c r="W449" s="42" t="s">
        <v>39</v>
      </c>
      <c r="X449" s="43">
        <f>IFERROR(X446/H446,"0")+IFERROR(X447/H447,"0")+IFERROR(X448/H448,"0")</f>
        <v>6.666666666666667</v>
      </c>
      <c r="Y449" s="43">
        <f>IFERROR(Y446/H446,"0")+IFERROR(Y447/H447,"0")+IFERROR(Y448/H448,"0")</f>
        <v>7</v>
      </c>
      <c r="Z449" s="43">
        <f>IFERROR(IF(Z446="",0,Z446),"0")+IFERROR(IF(Z447="",0,Z447),"0")+IFERROR(IF(Z448="",0,Z448),"0")</f>
        <v>0.13286000000000001</v>
      </c>
      <c r="AA449" s="67"/>
      <c r="AB449" s="67"/>
      <c r="AC449" s="67"/>
    </row>
    <row r="450" spans="1:68" x14ac:dyDescent="0.2">
      <c r="A450" s="729"/>
      <c r="B450" s="729"/>
      <c r="C450" s="729"/>
      <c r="D450" s="729"/>
      <c r="E450" s="729"/>
      <c r="F450" s="729"/>
      <c r="G450" s="729"/>
      <c r="H450" s="729"/>
      <c r="I450" s="729"/>
      <c r="J450" s="729"/>
      <c r="K450" s="729"/>
      <c r="L450" s="729"/>
      <c r="M450" s="729"/>
      <c r="N450" s="729"/>
      <c r="O450" s="730"/>
      <c r="P450" s="726" t="s">
        <v>40</v>
      </c>
      <c r="Q450" s="727"/>
      <c r="R450" s="727"/>
      <c r="S450" s="727"/>
      <c r="T450" s="727"/>
      <c r="U450" s="727"/>
      <c r="V450" s="728"/>
      <c r="W450" s="42" t="s">
        <v>0</v>
      </c>
      <c r="X450" s="43">
        <f>IFERROR(SUM(X446:X448),"0")</f>
        <v>60</v>
      </c>
      <c r="Y450" s="43">
        <f>IFERROR(SUM(Y446:Y448),"0")</f>
        <v>63</v>
      </c>
      <c r="Z450" s="42"/>
      <c r="AA450" s="67"/>
      <c r="AB450" s="67"/>
      <c r="AC450" s="67"/>
    </row>
    <row r="451" spans="1:68" ht="14.25" hidden="1" customHeight="1" x14ac:dyDescent="0.25">
      <c r="A451" s="720" t="s">
        <v>175</v>
      </c>
      <c r="B451" s="720"/>
      <c r="C451" s="720"/>
      <c r="D451" s="720"/>
      <c r="E451" s="720"/>
      <c r="F451" s="720"/>
      <c r="G451" s="720"/>
      <c r="H451" s="720"/>
      <c r="I451" s="720"/>
      <c r="J451" s="720"/>
      <c r="K451" s="720"/>
      <c r="L451" s="720"/>
      <c r="M451" s="720"/>
      <c r="N451" s="720"/>
      <c r="O451" s="720"/>
      <c r="P451" s="720"/>
      <c r="Q451" s="720"/>
      <c r="R451" s="720"/>
      <c r="S451" s="720"/>
      <c r="T451" s="720"/>
      <c r="U451" s="720"/>
      <c r="V451" s="720"/>
      <c r="W451" s="720"/>
      <c r="X451" s="720"/>
      <c r="Y451" s="720"/>
      <c r="Z451" s="720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721">
        <v>4680115889545</v>
      </c>
      <c r="E452" s="721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96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723"/>
      <c r="R452" s="723"/>
      <c r="S452" s="723"/>
      <c r="T452" s="72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721">
        <v>4607091384673</v>
      </c>
      <c r="E453" s="721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723"/>
      <c r="R453" s="723"/>
      <c r="S453" s="723"/>
      <c r="T453" s="72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29"/>
      <c r="B454" s="729"/>
      <c r="C454" s="729"/>
      <c r="D454" s="729"/>
      <c r="E454" s="729"/>
      <c r="F454" s="729"/>
      <c r="G454" s="729"/>
      <c r="H454" s="729"/>
      <c r="I454" s="729"/>
      <c r="J454" s="729"/>
      <c r="K454" s="729"/>
      <c r="L454" s="729"/>
      <c r="M454" s="729"/>
      <c r="N454" s="729"/>
      <c r="O454" s="730"/>
      <c r="P454" s="726" t="s">
        <v>40</v>
      </c>
      <c r="Q454" s="727"/>
      <c r="R454" s="727"/>
      <c r="S454" s="727"/>
      <c r="T454" s="727"/>
      <c r="U454" s="727"/>
      <c r="V454" s="728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29"/>
      <c r="B455" s="729"/>
      <c r="C455" s="729"/>
      <c r="D455" s="729"/>
      <c r="E455" s="729"/>
      <c r="F455" s="729"/>
      <c r="G455" s="729"/>
      <c r="H455" s="729"/>
      <c r="I455" s="729"/>
      <c r="J455" s="729"/>
      <c r="K455" s="729"/>
      <c r="L455" s="729"/>
      <c r="M455" s="729"/>
      <c r="N455" s="729"/>
      <c r="O455" s="730"/>
      <c r="P455" s="726" t="s">
        <v>40</v>
      </c>
      <c r="Q455" s="727"/>
      <c r="R455" s="727"/>
      <c r="S455" s="727"/>
      <c r="T455" s="727"/>
      <c r="U455" s="727"/>
      <c r="V455" s="728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719" t="s">
        <v>747</v>
      </c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19"/>
      <c r="P456" s="719"/>
      <c r="Q456" s="719"/>
      <c r="R456" s="719"/>
      <c r="S456" s="719"/>
      <c r="T456" s="719"/>
      <c r="U456" s="719"/>
      <c r="V456" s="719"/>
      <c r="W456" s="719"/>
      <c r="X456" s="719"/>
      <c r="Y456" s="719"/>
      <c r="Z456" s="719"/>
      <c r="AA456" s="65"/>
      <c r="AB456" s="65"/>
      <c r="AC456" s="79"/>
    </row>
    <row r="457" spans="1:68" ht="14.25" hidden="1" customHeight="1" x14ac:dyDescent="0.25">
      <c r="A457" s="720" t="s">
        <v>122</v>
      </c>
      <c r="B457" s="720"/>
      <c r="C457" s="720"/>
      <c r="D457" s="720"/>
      <c r="E457" s="720"/>
      <c r="F457" s="720"/>
      <c r="G457" s="720"/>
      <c r="H457" s="720"/>
      <c r="I457" s="720"/>
      <c r="J457" s="720"/>
      <c r="K457" s="720"/>
      <c r="L457" s="720"/>
      <c r="M457" s="720"/>
      <c r="N457" s="720"/>
      <c r="O457" s="720"/>
      <c r="P457" s="720"/>
      <c r="Q457" s="720"/>
      <c r="R457" s="720"/>
      <c r="S457" s="720"/>
      <c r="T457" s="720"/>
      <c r="U457" s="720"/>
      <c r="V457" s="720"/>
      <c r="W457" s="720"/>
      <c r="X457" s="720"/>
      <c r="Y457" s="720"/>
      <c r="Z457" s="720"/>
      <c r="AA457" s="66"/>
      <c r="AB457" s="66"/>
      <c r="AC457" s="80"/>
    </row>
    <row r="458" spans="1:68" ht="27" customHeight="1" x14ac:dyDescent="0.25">
      <c r="A458" s="63" t="s">
        <v>748</v>
      </c>
      <c r="B458" s="63" t="s">
        <v>749</v>
      </c>
      <c r="C458" s="36">
        <v>4301011875</v>
      </c>
      <c r="D458" s="721">
        <v>4680115884885</v>
      </c>
      <c r="E458" s="721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9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723"/>
      <c r="R458" s="723"/>
      <c r="S458" s="723"/>
      <c r="T458" s="724"/>
      <c r="U458" s="39" t="s">
        <v>46</v>
      </c>
      <c r="V458" s="39" t="s">
        <v>46</v>
      </c>
      <c r="W458" s="40" t="s">
        <v>0</v>
      </c>
      <c r="X458" s="58">
        <v>50</v>
      </c>
      <c r="Y458" s="55">
        <f>IFERROR(IF(X458="",0,CEILING((X458/$H458),1)*$H458),"")</f>
        <v>60</v>
      </c>
      <c r="Z458" s="41">
        <f>IFERROR(IF(Y458=0,"",ROUNDUP(Y458/H458,0)*0.01898),"")</f>
        <v>9.4899999999999998E-2</v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51.708333333333336</v>
      </c>
      <c r="BN458" s="78">
        <f>IFERROR(Y458*I458/H458,"0")</f>
        <v>62.050000000000004</v>
      </c>
      <c r="BO458" s="78">
        <f>IFERROR(1/J458*(X458/H458),"0")</f>
        <v>6.5104166666666671E-2</v>
      </c>
      <c r="BP458" s="78">
        <f>IFERROR(1/J458*(Y458/H458),"0")</f>
        <v>7.8125E-2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721">
        <v>4680115884908</v>
      </c>
      <c r="E459" s="721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96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723"/>
      <c r="R459" s="723"/>
      <c r="S459" s="723"/>
      <c r="T459" s="72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729"/>
      <c r="B460" s="729"/>
      <c r="C460" s="729"/>
      <c r="D460" s="729"/>
      <c r="E460" s="729"/>
      <c r="F460" s="729"/>
      <c r="G460" s="729"/>
      <c r="H460" s="729"/>
      <c r="I460" s="729"/>
      <c r="J460" s="729"/>
      <c r="K460" s="729"/>
      <c r="L460" s="729"/>
      <c r="M460" s="729"/>
      <c r="N460" s="729"/>
      <c r="O460" s="730"/>
      <c r="P460" s="726" t="s">
        <v>40</v>
      </c>
      <c r="Q460" s="727"/>
      <c r="R460" s="727"/>
      <c r="S460" s="727"/>
      <c r="T460" s="727"/>
      <c r="U460" s="727"/>
      <c r="V460" s="728"/>
      <c r="W460" s="42" t="s">
        <v>39</v>
      </c>
      <c r="X460" s="43">
        <f>IFERROR(X458/H458,"0")+IFERROR(X459/H459,"0")</f>
        <v>4.166666666666667</v>
      </c>
      <c r="Y460" s="43">
        <f>IFERROR(Y458/H458,"0")+IFERROR(Y459/H459,"0")</f>
        <v>5</v>
      </c>
      <c r="Z460" s="43">
        <f>IFERROR(IF(Z458="",0,Z458),"0")+IFERROR(IF(Z459="",0,Z459),"0")</f>
        <v>9.4899999999999998E-2</v>
      </c>
      <c r="AA460" s="67"/>
      <c r="AB460" s="67"/>
      <c r="AC460" s="67"/>
    </row>
    <row r="461" spans="1:68" x14ac:dyDescent="0.2">
      <c r="A461" s="729"/>
      <c r="B461" s="729"/>
      <c r="C461" s="729"/>
      <c r="D461" s="729"/>
      <c r="E461" s="729"/>
      <c r="F461" s="729"/>
      <c r="G461" s="729"/>
      <c r="H461" s="729"/>
      <c r="I461" s="729"/>
      <c r="J461" s="729"/>
      <c r="K461" s="729"/>
      <c r="L461" s="729"/>
      <c r="M461" s="729"/>
      <c r="N461" s="729"/>
      <c r="O461" s="730"/>
      <c r="P461" s="726" t="s">
        <v>40</v>
      </c>
      <c r="Q461" s="727"/>
      <c r="R461" s="727"/>
      <c r="S461" s="727"/>
      <c r="T461" s="727"/>
      <c r="U461" s="727"/>
      <c r="V461" s="728"/>
      <c r="W461" s="42" t="s">
        <v>0</v>
      </c>
      <c r="X461" s="43">
        <f>IFERROR(SUM(X458:X459),"0")</f>
        <v>50</v>
      </c>
      <c r="Y461" s="43">
        <f>IFERROR(SUM(Y458:Y459),"0")</f>
        <v>60</v>
      </c>
      <c r="Z461" s="42"/>
      <c r="AA461" s="67"/>
      <c r="AB461" s="67"/>
      <c r="AC461" s="67"/>
    </row>
    <row r="462" spans="1:68" ht="14.25" hidden="1" customHeight="1" x14ac:dyDescent="0.25">
      <c r="A462" s="720" t="s">
        <v>77</v>
      </c>
      <c r="B462" s="720"/>
      <c r="C462" s="720"/>
      <c r="D462" s="720"/>
      <c r="E462" s="720"/>
      <c r="F462" s="720"/>
      <c r="G462" s="720"/>
      <c r="H462" s="720"/>
      <c r="I462" s="720"/>
      <c r="J462" s="720"/>
      <c r="K462" s="720"/>
      <c r="L462" s="720"/>
      <c r="M462" s="720"/>
      <c r="N462" s="720"/>
      <c r="O462" s="720"/>
      <c r="P462" s="720"/>
      <c r="Q462" s="720"/>
      <c r="R462" s="720"/>
      <c r="S462" s="720"/>
      <c r="T462" s="720"/>
      <c r="U462" s="720"/>
      <c r="V462" s="720"/>
      <c r="W462" s="720"/>
      <c r="X462" s="720"/>
      <c r="Y462" s="720"/>
      <c r="Z462" s="720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721">
        <v>4607091384802</v>
      </c>
      <c r="E463" s="721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96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723"/>
      <c r="R463" s="723"/>
      <c r="S463" s="723"/>
      <c r="T463" s="72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9"/>
      <c r="B464" s="729"/>
      <c r="C464" s="729"/>
      <c r="D464" s="729"/>
      <c r="E464" s="729"/>
      <c r="F464" s="729"/>
      <c r="G464" s="729"/>
      <c r="H464" s="729"/>
      <c r="I464" s="729"/>
      <c r="J464" s="729"/>
      <c r="K464" s="729"/>
      <c r="L464" s="729"/>
      <c r="M464" s="729"/>
      <c r="N464" s="729"/>
      <c r="O464" s="730"/>
      <c r="P464" s="726" t="s">
        <v>40</v>
      </c>
      <c r="Q464" s="727"/>
      <c r="R464" s="727"/>
      <c r="S464" s="727"/>
      <c r="T464" s="727"/>
      <c r="U464" s="727"/>
      <c r="V464" s="728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729"/>
      <c r="B465" s="729"/>
      <c r="C465" s="729"/>
      <c r="D465" s="729"/>
      <c r="E465" s="729"/>
      <c r="F465" s="729"/>
      <c r="G465" s="729"/>
      <c r="H465" s="729"/>
      <c r="I465" s="729"/>
      <c r="J465" s="729"/>
      <c r="K465" s="729"/>
      <c r="L465" s="729"/>
      <c r="M465" s="729"/>
      <c r="N465" s="729"/>
      <c r="O465" s="730"/>
      <c r="P465" s="726" t="s">
        <v>40</v>
      </c>
      <c r="Q465" s="727"/>
      <c r="R465" s="727"/>
      <c r="S465" s="727"/>
      <c r="T465" s="727"/>
      <c r="U465" s="727"/>
      <c r="V465" s="728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0" t="s">
        <v>86</v>
      </c>
      <c r="B466" s="720"/>
      <c r="C466" s="720"/>
      <c r="D466" s="720"/>
      <c r="E466" s="720"/>
      <c r="F466" s="720"/>
      <c r="G466" s="720"/>
      <c r="H466" s="720"/>
      <c r="I466" s="720"/>
      <c r="J466" s="720"/>
      <c r="K466" s="720"/>
      <c r="L466" s="720"/>
      <c r="M466" s="720"/>
      <c r="N466" s="720"/>
      <c r="O466" s="720"/>
      <c r="P466" s="720"/>
      <c r="Q466" s="720"/>
      <c r="R466" s="720"/>
      <c r="S466" s="720"/>
      <c r="T466" s="720"/>
      <c r="U466" s="720"/>
      <c r="V466" s="720"/>
      <c r="W466" s="720"/>
      <c r="X466" s="720"/>
      <c r="Y466" s="720"/>
      <c r="Z466" s="720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721">
        <v>4607091384246</v>
      </c>
      <c r="E467" s="721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9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723"/>
      <c r="R467" s="723"/>
      <c r="S467" s="723"/>
      <c r="T467" s="724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721">
        <v>4607091384253</v>
      </c>
      <c r="E468" s="721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97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723"/>
      <c r="R468" s="723"/>
      <c r="S468" s="723"/>
      <c r="T468" s="72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721">
        <v>4607091384253</v>
      </c>
      <c r="E469" s="721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9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723"/>
      <c r="R469" s="723"/>
      <c r="S469" s="723"/>
      <c r="T469" s="72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9"/>
      <c r="B470" s="729"/>
      <c r="C470" s="729"/>
      <c r="D470" s="729"/>
      <c r="E470" s="729"/>
      <c r="F470" s="729"/>
      <c r="G470" s="729"/>
      <c r="H470" s="729"/>
      <c r="I470" s="729"/>
      <c r="J470" s="729"/>
      <c r="K470" s="729"/>
      <c r="L470" s="729"/>
      <c r="M470" s="729"/>
      <c r="N470" s="729"/>
      <c r="O470" s="730"/>
      <c r="P470" s="726" t="s">
        <v>40</v>
      </c>
      <c r="Q470" s="727"/>
      <c r="R470" s="727"/>
      <c r="S470" s="727"/>
      <c r="T470" s="727"/>
      <c r="U470" s="727"/>
      <c r="V470" s="728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729"/>
      <c r="B471" s="729"/>
      <c r="C471" s="729"/>
      <c r="D471" s="729"/>
      <c r="E471" s="729"/>
      <c r="F471" s="729"/>
      <c r="G471" s="729"/>
      <c r="H471" s="729"/>
      <c r="I471" s="729"/>
      <c r="J471" s="729"/>
      <c r="K471" s="729"/>
      <c r="L471" s="729"/>
      <c r="M471" s="729"/>
      <c r="N471" s="729"/>
      <c r="O471" s="730"/>
      <c r="P471" s="726" t="s">
        <v>40</v>
      </c>
      <c r="Q471" s="727"/>
      <c r="R471" s="727"/>
      <c r="S471" s="727"/>
      <c r="T471" s="727"/>
      <c r="U471" s="727"/>
      <c r="V471" s="728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718" t="s">
        <v>763</v>
      </c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54"/>
      <c r="AB472" s="54"/>
      <c r="AC472" s="54"/>
    </row>
    <row r="473" spans="1:68" ht="16.5" hidden="1" customHeight="1" x14ac:dyDescent="0.25">
      <c r="A473" s="719" t="s">
        <v>764</v>
      </c>
      <c r="B473" s="719"/>
      <c r="C473" s="719"/>
      <c r="D473" s="719"/>
      <c r="E473" s="719"/>
      <c r="F473" s="719"/>
      <c r="G473" s="719"/>
      <c r="H473" s="719"/>
      <c r="I473" s="719"/>
      <c r="J473" s="719"/>
      <c r="K473" s="719"/>
      <c r="L473" s="719"/>
      <c r="M473" s="719"/>
      <c r="N473" s="719"/>
      <c r="O473" s="719"/>
      <c r="P473" s="719"/>
      <c r="Q473" s="719"/>
      <c r="R473" s="719"/>
      <c r="S473" s="719"/>
      <c r="T473" s="719"/>
      <c r="U473" s="719"/>
      <c r="V473" s="719"/>
      <c r="W473" s="719"/>
      <c r="X473" s="719"/>
      <c r="Y473" s="719"/>
      <c r="Z473" s="719"/>
      <c r="AA473" s="65"/>
      <c r="AB473" s="65"/>
      <c r="AC473" s="79"/>
    </row>
    <row r="474" spans="1:68" ht="14.25" hidden="1" customHeight="1" x14ac:dyDescent="0.25">
      <c r="A474" s="720" t="s">
        <v>77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721">
        <v>4680115886100</v>
      </c>
      <c r="E475" s="721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97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723"/>
      <c r="R475" s="723"/>
      <c r="S475" s="723"/>
      <c r="T475" s="72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721">
        <v>4680115886124</v>
      </c>
      <c r="E476" s="721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9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723"/>
      <c r="R476" s="723"/>
      <c r="S476" s="723"/>
      <c r="T476" s="72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721">
        <v>4607091384338</v>
      </c>
      <c r="E477" s="721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723"/>
      <c r="R477" s="723"/>
      <c r="S477" s="723"/>
      <c r="T477" s="724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721">
        <v>4680115883161</v>
      </c>
      <c r="E478" s="721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7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723"/>
      <c r="R478" s="723"/>
      <c r="S478" s="723"/>
      <c r="T478" s="7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721">
        <v>4607091389531</v>
      </c>
      <c r="E479" s="721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723"/>
      <c r="R479" s="723"/>
      <c r="S479" s="723"/>
      <c r="T479" s="7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721">
        <v>4607091384345</v>
      </c>
      <c r="E480" s="72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723"/>
      <c r="R480" s="723"/>
      <c r="S480" s="723"/>
      <c r="T480" s="7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729"/>
      <c r="B481" s="729"/>
      <c r="C481" s="729"/>
      <c r="D481" s="729"/>
      <c r="E481" s="729"/>
      <c r="F481" s="729"/>
      <c r="G481" s="729"/>
      <c r="H481" s="729"/>
      <c r="I481" s="729"/>
      <c r="J481" s="729"/>
      <c r="K481" s="729"/>
      <c r="L481" s="729"/>
      <c r="M481" s="729"/>
      <c r="N481" s="729"/>
      <c r="O481" s="730"/>
      <c r="P481" s="726" t="s">
        <v>40</v>
      </c>
      <c r="Q481" s="727"/>
      <c r="R481" s="727"/>
      <c r="S481" s="727"/>
      <c r="T481" s="727"/>
      <c r="U481" s="727"/>
      <c r="V481" s="728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29"/>
      <c r="B482" s="729"/>
      <c r="C482" s="729"/>
      <c r="D482" s="729"/>
      <c r="E482" s="729"/>
      <c r="F482" s="729"/>
      <c r="G482" s="729"/>
      <c r="H482" s="729"/>
      <c r="I482" s="729"/>
      <c r="J482" s="729"/>
      <c r="K482" s="729"/>
      <c r="L482" s="729"/>
      <c r="M482" s="729"/>
      <c r="N482" s="729"/>
      <c r="O482" s="730"/>
      <c r="P482" s="726" t="s">
        <v>40</v>
      </c>
      <c r="Q482" s="727"/>
      <c r="R482" s="727"/>
      <c r="S482" s="727"/>
      <c r="T482" s="727"/>
      <c r="U482" s="727"/>
      <c r="V482" s="728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720" t="s">
        <v>86</v>
      </c>
      <c r="B483" s="720"/>
      <c r="C483" s="720"/>
      <c r="D483" s="720"/>
      <c r="E483" s="720"/>
      <c r="F483" s="720"/>
      <c r="G483" s="720"/>
      <c r="H483" s="720"/>
      <c r="I483" s="720"/>
      <c r="J483" s="720"/>
      <c r="K483" s="720"/>
      <c r="L483" s="720"/>
      <c r="M483" s="720"/>
      <c r="N483" s="720"/>
      <c r="O483" s="720"/>
      <c r="P483" s="720"/>
      <c r="Q483" s="720"/>
      <c r="R483" s="720"/>
      <c r="S483" s="720"/>
      <c r="T483" s="720"/>
      <c r="U483" s="720"/>
      <c r="V483" s="720"/>
      <c r="W483" s="720"/>
      <c r="X483" s="720"/>
      <c r="Y483" s="720"/>
      <c r="Z483" s="720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721">
        <v>4607091384352</v>
      </c>
      <c r="E484" s="721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97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723"/>
      <c r="R484" s="723"/>
      <c r="S484" s="723"/>
      <c r="T484" s="72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721">
        <v>4607091389654</v>
      </c>
      <c r="E485" s="721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9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723"/>
      <c r="R485" s="723"/>
      <c r="S485" s="723"/>
      <c r="T485" s="724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729"/>
      <c r="B486" s="729"/>
      <c r="C486" s="729"/>
      <c r="D486" s="729"/>
      <c r="E486" s="729"/>
      <c r="F486" s="729"/>
      <c r="G486" s="729"/>
      <c r="H486" s="729"/>
      <c r="I486" s="729"/>
      <c r="J486" s="729"/>
      <c r="K486" s="729"/>
      <c r="L486" s="729"/>
      <c r="M486" s="729"/>
      <c r="N486" s="729"/>
      <c r="O486" s="730"/>
      <c r="P486" s="726" t="s">
        <v>40</v>
      </c>
      <c r="Q486" s="727"/>
      <c r="R486" s="727"/>
      <c r="S486" s="727"/>
      <c r="T486" s="727"/>
      <c r="U486" s="727"/>
      <c r="V486" s="728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729"/>
      <c r="B487" s="729"/>
      <c r="C487" s="729"/>
      <c r="D487" s="729"/>
      <c r="E487" s="729"/>
      <c r="F487" s="729"/>
      <c r="G487" s="729"/>
      <c r="H487" s="729"/>
      <c r="I487" s="729"/>
      <c r="J487" s="729"/>
      <c r="K487" s="729"/>
      <c r="L487" s="729"/>
      <c r="M487" s="729"/>
      <c r="N487" s="729"/>
      <c r="O487" s="730"/>
      <c r="P487" s="726" t="s">
        <v>40</v>
      </c>
      <c r="Q487" s="727"/>
      <c r="R487" s="727"/>
      <c r="S487" s="727"/>
      <c r="T487" s="727"/>
      <c r="U487" s="727"/>
      <c r="V487" s="728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719" t="s">
        <v>787</v>
      </c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19"/>
      <c r="P488" s="719"/>
      <c r="Q488" s="719"/>
      <c r="R488" s="719"/>
      <c r="S488" s="719"/>
      <c r="T488" s="719"/>
      <c r="U488" s="719"/>
      <c r="V488" s="719"/>
      <c r="W488" s="719"/>
      <c r="X488" s="719"/>
      <c r="Y488" s="719"/>
      <c r="Z488" s="719"/>
      <c r="AA488" s="65"/>
      <c r="AB488" s="65"/>
      <c r="AC488" s="79"/>
    </row>
    <row r="489" spans="1:68" ht="14.25" hidden="1" customHeight="1" x14ac:dyDescent="0.25">
      <c r="A489" s="720" t="s">
        <v>157</v>
      </c>
      <c r="B489" s="720"/>
      <c r="C489" s="720"/>
      <c r="D489" s="720"/>
      <c r="E489" s="720"/>
      <c r="F489" s="720"/>
      <c r="G489" s="720"/>
      <c r="H489" s="720"/>
      <c r="I489" s="720"/>
      <c r="J489" s="720"/>
      <c r="K489" s="720"/>
      <c r="L489" s="720"/>
      <c r="M489" s="720"/>
      <c r="N489" s="720"/>
      <c r="O489" s="720"/>
      <c r="P489" s="720"/>
      <c r="Q489" s="720"/>
      <c r="R489" s="720"/>
      <c r="S489" s="720"/>
      <c r="T489" s="720"/>
      <c r="U489" s="720"/>
      <c r="V489" s="720"/>
      <c r="W489" s="720"/>
      <c r="X489" s="720"/>
      <c r="Y489" s="720"/>
      <c r="Z489" s="720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721">
        <v>4680115885240</v>
      </c>
      <c r="E490" s="721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9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723"/>
      <c r="R490" s="723"/>
      <c r="S490" s="723"/>
      <c r="T490" s="72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29"/>
      <c r="B491" s="729"/>
      <c r="C491" s="729"/>
      <c r="D491" s="729"/>
      <c r="E491" s="729"/>
      <c r="F491" s="729"/>
      <c r="G491" s="729"/>
      <c r="H491" s="729"/>
      <c r="I491" s="729"/>
      <c r="J491" s="729"/>
      <c r="K491" s="729"/>
      <c r="L491" s="729"/>
      <c r="M491" s="729"/>
      <c r="N491" s="729"/>
      <c r="O491" s="730"/>
      <c r="P491" s="726" t="s">
        <v>40</v>
      </c>
      <c r="Q491" s="727"/>
      <c r="R491" s="727"/>
      <c r="S491" s="727"/>
      <c r="T491" s="727"/>
      <c r="U491" s="727"/>
      <c r="V491" s="728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729"/>
      <c r="B492" s="729"/>
      <c r="C492" s="729"/>
      <c r="D492" s="729"/>
      <c r="E492" s="729"/>
      <c r="F492" s="729"/>
      <c r="G492" s="729"/>
      <c r="H492" s="729"/>
      <c r="I492" s="729"/>
      <c r="J492" s="729"/>
      <c r="K492" s="729"/>
      <c r="L492" s="729"/>
      <c r="M492" s="729"/>
      <c r="N492" s="729"/>
      <c r="O492" s="730"/>
      <c r="P492" s="726" t="s">
        <v>40</v>
      </c>
      <c r="Q492" s="727"/>
      <c r="R492" s="727"/>
      <c r="S492" s="727"/>
      <c r="T492" s="727"/>
      <c r="U492" s="727"/>
      <c r="V492" s="728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20" t="s">
        <v>77</v>
      </c>
      <c r="B493" s="720"/>
      <c r="C493" s="720"/>
      <c r="D493" s="720"/>
      <c r="E493" s="720"/>
      <c r="F493" s="720"/>
      <c r="G493" s="720"/>
      <c r="H493" s="720"/>
      <c r="I493" s="720"/>
      <c r="J493" s="720"/>
      <c r="K493" s="720"/>
      <c r="L493" s="720"/>
      <c r="M493" s="720"/>
      <c r="N493" s="720"/>
      <c r="O493" s="720"/>
      <c r="P493" s="720"/>
      <c r="Q493" s="720"/>
      <c r="R493" s="720"/>
      <c r="S493" s="720"/>
      <c r="T493" s="720"/>
      <c r="U493" s="720"/>
      <c r="V493" s="720"/>
      <c r="W493" s="720"/>
      <c r="X493" s="720"/>
      <c r="Y493" s="720"/>
      <c r="Z493" s="720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721">
        <v>4680115886094</v>
      </c>
      <c r="E494" s="721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723"/>
      <c r="R494" s="723"/>
      <c r="S494" s="723"/>
      <c r="T494" s="724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721">
        <v>4680115880771</v>
      </c>
      <c r="E495" s="721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9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723"/>
      <c r="R495" s="723"/>
      <c r="S495" s="723"/>
      <c r="T495" s="724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721">
        <v>4607091389500</v>
      </c>
      <c r="E496" s="721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9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723"/>
      <c r="R496" s="723"/>
      <c r="S496" s="723"/>
      <c r="T496" s="724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729"/>
      <c r="B497" s="729"/>
      <c r="C497" s="729"/>
      <c r="D497" s="729"/>
      <c r="E497" s="729"/>
      <c r="F497" s="729"/>
      <c r="G497" s="729"/>
      <c r="H497" s="729"/>
      <c r="I497" s="729"/>
      <c r="J497" s="729"/>
      <c r="K497" s="729"/>
      <c r="L497" s="729"/>
      <c r="M497" s="729"/>
      <c r="N497" s="729"/>
      <c r="O497" s="730"/>
      <c r="P497" s="726" t="s">
        <v>40</v>
      </c>
      <c r="Q497" s="727"/>
      <c r="R497" s="727"/>
      <c r="S497" s="727"/>
      <c r="T497" s="727"/>
      <c r="U497" s="727"/>
      <c r="V497" s="728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729"/>
      <c r="B498" s="729"/>
      <c r="C498" s="729"/>
      <c r="D498" s="729"/>
      <c r="E498" s="729"/>
      <c r="F498" s="729"/>
      <c r="G498" s="729"/>
      <c r="H498" s="729"/>
      <c r="I498" s="729"/>
      <c r="J498" s="729"/>
      <c r="K498" s="729"/>
      <c r="L498" s="729"/>
      <c r="M498" s="729"/>
      <c r="N498" s="729"/>
      <c r="O498" s="730"/>
      <c r="P498" s="726" t="s">
        <v>40</v>
      </c>
      <c r="Q498" s="727"/>
      <c r="R498" s="727"/>
      <c r="S498" s="727"/>
      <c r="T498" s="727"/>
      <c r="U498" s="727"/>
      <c r="V498" s="728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718" t="s">
        <v>799</v>
      </c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54"/>
      <c r="AB499" s="54"/>
      <c r="AC499" s="54"/>
    </row>
    <row r="500" spans="1:68" ht="16.5" hidden="1" customHeight="1" x14ac:dyDescent="0.25">
      <c r="A500" s="719" t="s">
        <v>799</v>
      </c>
      <c r="B500" s="719"/>
      <c r="C500" s="719"/>
      <c r="D500" s="719"/>
      <c r="E500" s="719"/>
      <c r="F500" s="719"/>
      <c r="G500" s="719"/>
      <c r="H500" s="719"/>
      <c r="I500" s="719"/>
      <c r="J500" s="719"/>
      <c r="K500" s="719"/>
      <c r="L500" s="719"/>
      <c r="M500" s="719"/>
      <c r="N500" s="719"/>
      <c r="O500" s="719"/>
      <c r="P500" s="719"/>
      <c r="Q500" s="719"/>
      <c r="R500" s="719"/>
      <c r="S500" s="719"/>
      <c r="T500" s="719"/>
      <c r="U500" s="719"/>
      <c r="V500" s="719"/>
      <c r="W500" s="719"/>
      <c r="X500" s="719"/>
      <c r="Y500" s="719"/>
      <c r="Z500" s="719"/>
      <c r="AA500" s="65"/>
      <c r="AB500" s="65"/>
      <c r="AC500" s="79"/>
    </row>
    <row r="501" spans="1:68" ht="14.25" hidden="1" customHeight="1" x14ac:dyDescent="0.25">
      <c r="A501" s="720" t="s">
        <v>122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66"/>
      <c r="AB501" s="66"/>
      <c r="AC501" s="80"/>
    </row>
    <row r="502" spans="1:68" ht="27" customHeight="1" x14ac:dyDescent="0.25">
      <c r="A502" s="63" t="s">
        <v>800</v>
      </c>
      <c r="B502" s="63" t="s">
        <v>801</v>
      </c>
      <c r="C502" s="36">
        <v>4301011769</v>
      </c>
      <c r="D502" s="721">
        <v>4607091389067</v>
      </c>
      <c r="E502" s="72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9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723"/>
      <c r="R502" s="723"/>
      <c r="S502" s="723"/>
      <c r="T502" s="724"/>
      <c r="U502" s="39" t="s">
        <v>46</v>
      </c>
      <c r="V502" s="39" t="s">
        <v>46</v>
      </c>
      <c r="W502" s="40" t="s">
        <v>0</v>
      </c>
      <c r="X502" s="58">
        <v>40</v>
      </c>
      <c r="Y502" s="55">
        <f t="shared" ref="Y502:Y510" si="78">IFERROR(IF(X502="",0,CEILING((X502/$H502),1)*$H502),"")</f>
        <v>42.24</v>
      </c>
      <c r="Z502" s="41">
        <f t="shared" ref="Z502:Z507" si="79">IFERROR(IF(Y502=0,"",ROUNDUP(Y502/H502,0)*0.01196),"")</f>
        <v>9.5680000000000001E-2</v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42.651515151515149</v>
      </c>
      <c r="BN502" s="78">
        <f t="shared" ref="BN502:BN510" si="81">IFERROR(Y502*I502/H502,"0")</f>
        <v>45.04</v>
      </c>
      <c r="BO502" s="78">
        <f t="shared" ref="BO502:BO510" si="82">IFERROR(1/J502*(X502/H502),"0")</f>
        <v>7.2843822843822847E-2</v>
      </c>
      <c r="BP502" s="78">
        <f t="shared" ref="BP502:BP510" si="83">IFERROR(1/J502*(Y502/H502),"0")</f>
        <v>7.6923076923076927E-2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721">
        <v>4680115889576</v>
      </c>
      <c r="E503" s="72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723"/>
      <c r="R503" s="723"/>
      <c r="S503" s="723"/>
      <c r="T503" s="72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721">
        <v>4680115885271</v>
      </c>
      <c r="E504" s="72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723"/>
      <c r="R504" s="723"/>
      <c r="S504" s="723"/>
      <c r="T504" s="72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721">
        <v>4680115885226</v>
      </c>
      <c r="E505" s="72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723"/>
      <c r="R505" s="723"/>
      <c r="S505" s="723"/>
      <c r="T505" s="72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721">
        <v>4680115884502</v>
      </c>
      <c r="E506" s="72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723"/>
      <c r="R506" s="723"/>
      <c r="S506" s="723"/>
      <c r="T506" s="72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721">
        <v>4607091389104</v>
      </c>
      <c r="E507" s="721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723"/>
      <c r="R507" s="723"/>
      <c r="S507" s="723"/>
      <c r="T507" s="724"/>
      <c r="U507" s="39" t="s">
        <v>46</v>
      </c>
      <c r="V507" s="39" t="s">
        <v>46</v>
      </c>
      <c r="W507" s="40" t="s">
        <v>0</v>
      </c>
      <c r="X507" s="58">
        <v>100</v>
      </c>
      <c r="Y507" s="55">
        <f t="shared" si="78"/>
        <v>100.32000000000001</v>
      </c>
      <c r="Z507" s="41">
        <f t="shared" si="79"/>
        <v>0.22724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106.62878787878788</v>
      </c>
      <c r="BN507" s="78">
        <f t="shared" si="81"/>
        <v>106.97</v>
      </c>
      <c r="BO507" s="78">
        <f t="shared" si="82"/>
        <v>0.18210955710955709</v>
      </c>
      <c r="BP507" s="78">
        <f t="shared" si="83"/>
        <v>0.18269230769230771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721">
        <v>4680115886391</v>
      </c>
      <c r="E508" s="721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9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723"/>
      <c r="R508" s="723"/>
      <c r="S508" s="723"/>
      <c r="T508" s="72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819</v>
      </c>
      <c r="B509" s="63" t="s">
        <v>820</v>
      </c>
      <c r="C509" s="36">
        <v>4301012048</v>
      </c>
      <c r="D509" s="721">
        <v>4680115880603</v>
      </c>
      <c r="E509" s="721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9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723"/>
      <c r="R509" s="723"/>
      <c r="S509" s="723"/>
      <c r="T509" s="724"/>
      <c r="U509" s="39" t="s">
        <v>46</v>
      </c>
      <c r="V509" s="39" t="s">
        <v>46</v>
      </c>
      <c r="W509" s="40" t="s">
        <v>0</v>
      </c>
      <c r="X509" s="58">
        <v>72</v>
      </c>
      <c r="Y509" s="55">
        <f t="shared" si="78"/>
        <v>72</v>
      </c>
      <c r="Z509" s="41">
        <f>IFERROR(IF(Y509=0,"",ROUNDUP(Y509/H509,0)*0.00902),"")</f>
        <v>0.1353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103.65</v>
      </c>
      <c r="BN509" s="78">
        <f t="shared" si="81"/>
        <v>103.65</v>
      </c>
      <c r="BO509" s="78">
        <f t="shared" si="82"/>
        <v>0.11363636363636365</v>
      </c>
      <c r="BP509" s="78">
        <f t="shared" si="83"/>
        <v>0.11363636363636365</v>
      </c>
    </row>
    <row r="510" spans="1:68" ht="27" customHeight="1" x14ac:dyDescent="0.25">
      <c r="A510" s="63" t="s">
        <v>821</v>
      </c>
      <c r="B510" s="63" t="s">
        <v>822</v>
      </c>
      <c r="C510" s="36">
        <v>4301012034</v>
      </c>
      <c r="D510" s="721">
        <v>4607091389982</v>
      </c>
      <c r="E510" s="72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9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723"/>
      <c r="R510" s="723"/>
      <c r="S510" s="723"/>
      <c r="T510" s="724"/>
      <c r="U510" s="39" t="s">
        <v>46</v>
      </c>
      <c r="V510" s="39" t="s">
        <v>46</v>
      </c>
      <c r="W510" s="40" t="s">
        <v>0</v>
      </c>
      <c r="X510" s="58">
        <v>300</v>
      </c>
      <c r="Y510" s="55">
        <f t="shared" si="78"/>
        <v>302.39999999999998</v>
      </c>
      <c r="Z510" s="41">
        <f>IFERROR(IF(Y510=0,"",ROUNDUP(Y510/H510,0)*0.00902),"")</f>
        <v>0.56825999999999999</v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431.875</v>
      </c>
      <c r="BN510" s="78">
        <f t="shared" si="81"/>
        <v>435.33</v>
      </c>
      <c r="BO510" s="78">
        <f t="shared" si="82"/>
        <v>0.47348484848484851</v>
      </c>
      <c r="BP510" s="78">
        <f t="shared" si="83"/>
        <v>0.47727272727272729</v>
      </c>
    </row>
    <row r="511" spans="1:68" x14ac:dyDescent="0.2">
      <c r="A511" s="729"/>
      <c r="B511" s="729"/>
      <c r="C511" s="729"/>
      <c r="D511" s="729"/>
      <c r="E511" s="729"/>
      <c r="F511" s="729"/>
      <c r="G511" s="729"/>
      <c r="H511" s="729"/>
      <c r="I511" s="729"/>
      <c r="J511" s="729"/>
      <c r="K511" s="729"/>
      <c r="L511" s="729"/>
      <c r="M511" s="729"/>
      <c r="N511" s="729"/>
      <c r="O511" s="730"/>
      <c r="P511" s="726" t="s">
        <v>40</v>
      </c>
      <c r="Q511" s="727"/>
      <c r="R511" s="727"/>
      <c r="S511" s="727"/>
      <c r="T511" s="727"/>
      <c r="U511" s="727"/>
      <c r="V511" s="728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104.01515151515152</v>
      </c>
      <c r="Y511" s="43">
        <f>IFERROR(Y502/H502,"0")+IFERROR(Y503/H503,"0")+IFERROR(Y504/H504,"0")+IFERROR(Y505/H505,"0")+IFERROR(Y506/H506,"0")+IFERROR(Y507/H507,"0")+IFERROR(Y508/H508,"0")+IFERROR(Y509/H509,"0")+IFERROR(Y510/H510,"0")</f>
        <v>105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1.0264799999999998</v>
      </c>
      <c r="AA511" s="67"/>
      <c r="AB511" s="67"/>
      <c r="AC511" s="67"/>
    </row>
    <row r="512" spans="1:68" x14ac:dyDescent="0.2">
      <c r="A512" s="729"/>
      <c r="B512" s="729"/>
      <c r="C512" s="729"/>
      <c r="D512" s="729"/>
      <c r="E512" s="729"/>
      <c r="F512" s="729"/>
      <c r="G512" s="729"/>
      <c r="H512" s="729"/>
      <c r="I512" s="729"/>
      <c r="J512" s="729"/>
      <c r="K512" s="729"/>
      <c r="L512" s="729"/>
      <c r="M512" s="729"/>
      <c r="N512" s="729"/>
      <c r="O512" s="730"/>
      <c r="P512" s="726" t="s">
        <v>40</v>
      </c>
      <c r="Q512" s="727"/>
      <c r="R512" s="727"/>
      <c r="S512" s="727"/>
      <c r="T512" s="727"/>
      <c r="U512" s="727"/>
      <c r="V512" s="728"/>
      <c r="W512" s="42" t="s">
        <v>0</v>
      </c>
      <c r="X512" s="43">
        <f>IFERROR(SUM(X502:X510),"0")</f>
        <v>512</v>
      </c>
      <c r="Y512" s="43">
        <f>IFERROR(SUM(Y502:Y510),"0")</f>
        <v>516.96</v>
      </c>
      <c r="Z512" s="42"/>
      <c r="AA512" s="67"/>
      <c r="AB512" s="67"/>
      <c r="AC512" s="67"/>
    </row>
    <row r="513" spans="1:68" ht="14.25" hidden="1" customHeight="1" x14ac:dyDescent="0.25">
      <c r="A513" s="720" t="s">
        <v>157</v>
      </c>
      <c r="B513" s="720"/>
      <c r="C513" s="720"/>
      <c r="D513" s="720"/>
      <c r="E513" s="720"/>
      <c r="F513" s="720"/>
      <c r="G513" s="720"/>
      <c r="H513" s="720"/>
      <c r="I513" s="720"/>
      <c r="J513" s="720"/>
      <c r="K513" s="720"/>
      <c r="L513" s="720"/>
      <c r="M513" s="720"/>
      <c r="N513" s="720"/>
      <c r="O513" s="720"/>
      <c r="P513" s="720"/>
      <c r="Q513" s="720"/>
      <c r="R513" s="720"/>
      <c r="S513" s="720"/>
      <c r="T513" s="720"/>
      <c r="U513" s="720"/>
      <c r="V513" s="720"/>
      <c r="W513" s="720"/>
      <c r="X513" s="720"/>
      <c r="Y513" s="720"/>
      <c r="Z513" s="720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721">
        <v>4607091388930</v>
      </c>
      <c r="E514" s="72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9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723"/>
      <c r="R514" s="723"/>
      <c r="S514" s="723"/>
      <c r="T514" s="724"/>
      <c r="U514" s="39" t="s">
        <v>46</v>
      </c>
      <c r="V514" s="39" t="s">
        <v>46</v>
      </c>
      <c r="W514" s="40" t="s">
        <v>0</v>
      </c>
      <c r="X514" s="58">
        <v>100</v>
      </c>
      <c r="Y514" s="55">
        <f>IFERROR(IF(X514="",0,CEILING((X514/$H514),1)*$H514),"")</f>
        <v>100.32000000000001</v>
      </c>
      <c r="Z514" s="41">
        <f>IFERROR(IF(Y514=0,"",ROUNDUP(Y514/H514,0)*0.01196),"")</f>
        <v>0.22724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106.62878787878788</v>
      </c>
      <c r="BN514" s="78">
        <f>IFERROR(Y514*I514/H514,"0")</f>
        <v>106.97</v>
      </c>
      <c r="BO514" s="78">
        <f>IFERROR(1/J514*(X514/H514),"0")</f>
        <v>0.18210955710955709</v>
      </c>
      <c r="BP514" s="78">
        <f>IFERROR(1/J514*(Y514/H514),"0")</f>
        <v>0.18269230769230771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721">
        <v>4680115886407</v>
      </c>
      <c r="E515" s="721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9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723"/>
      <c r="R515" s="723"/>
      <c r="S515" s="723"/>
      <c r="T515" s="724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customHeight="1" x14ac:dyDescent="0.25">
      <c r="A516" s="63" t="s">
        <v>828</v>
      </c>
      <c r="B516" s="63" t="s">
        <v>829</v>
      </c>
      <c r="C516" s="36">
        <v>4301020385</v>
      </c>
      <c r="D516" s="721">
        <v>4680115880054</v>
      </c>
      <c r="E516" s="721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99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723"/>
      <c r="R516" s="723"/>
      <c r="S516" s="723"/>
      <c r="T516" s="724"/>
      <c r="U516" s="39" t="s">
        <v>46</v>
      </c>
      <c r="V516" s="39" t="s">
        <v>46</v>
      </c>
      <c r="W516" s="40" t="s">
        <v>0</v>
      </c>
      <c r="X516" s="58">
        <v>150</v>
      </c>
      <c r="Y516" s="55">
        <f>IFERROR(IF(X516="",0,CEILING((X516/$H516),1)*$H516),"")</f>
        <v>153.6</v>
      </c>
      <c r="Z516" s="41">
        <f>IFERROR(IF(Y516=0,"",ROUNDUP(Y516/H516,0)*0.00902),"")</f>
        <v>0.28864000000000001</v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215.9375</v>
      </c>
      <c r="BN516" s="78">
        <f>IFERROR(Y516*I516/H516,"0")</f>
        <v>221.12</v>
      </c>
      <c r="BO516" s="78">
        <f>IFERROR(1/J516*(X516/H516),"0")</f>
        <v>0.23674242424242425</v>
      </c>
      <c r="BP516" s="78">
        <f>IFERROR(1/J516*(Y516/H516),"0")</f>
        <v>0.24242424242424243</v>
      </c>
    </row>
    <row r="517" spans="1:68" x14ac:dyDescent="0.2">
      <c r="A517" s="729"/>
      <c r="B517" s="729"/>
      <c r="C517" s="729"/>
      <c r="D517" s="729"/>
      <c r="E517" s="729"/>
      <c r="F517" s="729"/>
      <c r="G517" s="729"/>
      <c r="H517" s="729"/>
      <c r="I517" s="729"/>
      <c r="J517" s="729"/>
      <c r="K517" s="729"/>
      <c r="L517" s="729"/>
      <c r="M517" s="729"/>
      <c r="N517" s="729"/>
      <c r="O517" s="730"/>
      <c r="P517" s="726" t="s">
        <v>40</v>
      </c>
      <c r="Q517" s="727"/>
      <c r="R517" s="727"/>
      <c r="S517" s="727"/>
      <c r="T517" s="727"/>
      <c r="U517" s="727"/>
      <c r="V517" s="728"/>
      <c r="W517" s="42" t="s">
        <v>39</v>
      </c>
      <c r="X517" s="43">
        <f>IFERROR(X514/H514,"0")+IFERROR(X515/H515,"0")+IFERROR(X516/H516,"0")</f>
        <v>50.189393939393938</v>
      </c>
      <c r="Y517" s="43">
        <f>IFERROR(Y514/H514,"0")+IFERROR(Y515/H515,"0")+IFERROR(Y516/H516,"0")</f>
        <v>51</v>
      </c>
      <c r="Z517" s="43">
        <f>IFERROR(IF(Z514="",0,Z514),"0")+IFERROR(IF(Z515="",0,Z515),"0")+IFERROR(IF(Z516="",0,Z516),"0")</f>
        <v>0.51588000000000001</v>
      </c>
      <c r="AA517" s="67"/>
      <c r="AB517" s="67"/>
      <c r="AC517" s="67"/>
    </row>
    <row r="518" spans="1:68" x14ac:dyDescent="0.2">
      <c r="A518" s="729"/>
      <c r="B518" s="729"/>
      <c r="C518" s="729"/>
      <c r="D518" s="729"/>
      <c r="E518" s="729"/>
      <c r="F518" s="729"/>
      <c r="G518" s="729"/>
      <c r="H518" s="729"/>
      <c r="I518" s="729"/>
      <c r="J518" s="729"/>
      <c r="K518" s="729"/>
      <c r="L518" s="729"/>
      <c r="M518" s="729"/>
      <c r="N518" s="729"/>
      <c r="O518" s="730"/>
      <c r="P518" s="726" t="s">
        <v>40</v>
      </c>
      <c r="Q518" s="727"/>
      <c r="R518" s="727"/>
      <c r="S518" s="727"/>
      <c r="T518" s="727"/>
      <c r="U518" s="727"/>
      <c r="V518" s="728"/>
      <c r="W518" s="42" t="s">
        <v>0</v>
      </c>
      <c r="X518" s="43">
        <f>IFERROR(SUM(X514:X516),"0")</f>
        <v>250</v>
      </c>
      <c r="Y518" s="43">
        <f>IFERROR(SUM(Y514:Y516),"0")</f>
        <v>253.92000000000002</v>
      </c>
      <c r="Z518" s="42"/>
      <c r="AA518" s="67"/>
      <c r="AB518" s="67"/>
      <c r="AC518" s="67"/>
    </row>
    <row r="519" spans="1:68" ht="14.25" hidden="1" customHeight="1" x14ac:dyDescent="0.25">
      <c r="A519" s="720" t="s">
        <v>77</v>
      </c>
      <c r="B519" s="720"/>
      <c r="C519" s="720"/>
      <c r="D519" s="720"/>
      <c r="E519" s="720"/>
      <c r="F519" s="720"/>
      <c r="G519" s="720"/>
      <c r="H519" s="720"/>
      <c r="I519" s="720"/>
      <c r="J519" s="720"/>
      <c r="K519" s="720"/>
      <c r="L519" s="720"/>
      <c r="M519" s="720"/>
      <c r="N519" s="720"/>
      <c r="O519" s="720"/>
      <c r="P519" s="720"/>
      <c r="Q519" s="720"/>
      <c r="R519" s="720"/>
      <c r="S519" s="720"/>
      <c r="T519" s="720"/>
      <c r="U519" s="720"/>
      <c r="V519" s="720"/>
      <c r="W519" s="720"/>
      <c r="X519" s="720"/>
      <c r="Y519" s="720"/>
      <c r="Z519" s="720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721">
        <v>4680115883116</v>
      </c>
      <c r="E520" s="721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99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723"/>
      <c r="R520" s="723"/>
      <c r="S520" s="723"/>
      <c r="T520" s="72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hidden="1" customHeight="1" x14ac:dyDescent="0.25">
      <c r="A521" s="63" t="s">
        <v>833</v>
      </c>
      <c r="B521" s="63" t="s">
        <v>834</v>
      </c>
      <c r="C521" s="36">
        <v>4301031350</v>
      </c>
      <c r="D521" s="721">
        <v>4680115883093</v>
      </c>
      <c r="E521" s="721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9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723"/>
      <c r="R521" s="723"/>
      <c r="S521" s="723"/>
      <c r="T521" s="72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customHeight="1" x14ac:dyDescent="0.25">
      <c r="A522" s="63" t="s">
        <v>836</v>
      </c>
      <c r="B522" s="63" t="s">
        <v>837</v>
      </c>
      <c r="C522" s="36">
        <v>4301031353</v>
      </c>
      <c r="D522" s="721">
        <v>4680115883109</v>
      </c>
      <c r="E522" s="721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99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723"/>
      <c r="R522" s="723"/>
      <c r="S522" s="723"/>
      <c r="T522" s="724"/>
      <c r="U522" s="39" t="s">
        <v>46</v>
      </c>
      <c r="V522" s="39" t="s">
        <v>46</v>
      </c>
      <c r="W522" s="40" t="s">
        <v>0</v>
      </c>
      <c r="X522" s="58">
        <v>150</v>
      </c>
      <c r="Y522" s="55">
        <f t="shared" si="84"/>
        <v>153.12</v>
      </c>
      <c r="Z522" s="41">
        <f>IFERROR(IF(Y522=0,"",ROUNDUP(Y522/H522,0)*0.01196),"")</f>
        <v>0.34683999999999998</v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159.94318181818181</v>
      </c>
      <c r="BN522" s="78">
        <f t="shared" si="86"/>
        <v>163.26999999999998</v>
      </c>
      <c r="BO522" s="78">
        <f t="shared" si="87"/>
        <v>0.27316433566433568</v>
      </c>
      <c r="BP522" s="78">
        <f t="shared" si="88"/>
        <v>0.27884615384615385</v>
      </c>
    </row>
    <row r="523" spans="1:68" ht="27" customHeight="1" x14ac:dyDescent="0.25">
      <c r="A523" s="63" t="s">
        <v>839</v>
      </c>
      <c r="B523" s="63" t="s">
        <v>840</v>
      </c>
      <c r="C523" s="36">
        <v>4301031419</v>
      </c>
      <c r="D523" s="721">
        <v>4680115882072</v>
      </c>
      <c r="E523" s="721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99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723"/>
      <c r="R523" s="723"/>
      <c r="S523" s="723"/>
      <c r="T523" s="724"/>
      <c r="U523" s="39" t="s">
        <v>46</v>
      </c>
      <c r="V523" s="39" t="s">
        <v>46</v>
      </c>
      <c r="W523" s="40" t="s">
        <v>0</v>
      </c>
      <c r="X523" s="58">
        <v>48</v>
      </c>
      <c r="Y523" s="55">
        <f t="shared" si="84"/>
        <v>48</v>
      </c>
      <c r="Z523" s="41">
        <f>IFERROR(IF(Y523=0,"",ROUNDUP(Y523/H523,0)*0.00902),"")</f>
        <v>9.0200000000000002E-2</v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69.100000000000009</v>
      </c>
      <c r="BN523" s="78">
        <f t="shared" si="86"/>
        <v>69.100000000000009</v>
      </c>
      <c r="BO523" s="78">
        <f t="shared" si="87"/>
        <v>7.575757575757576E-2</v>
      </c>
      <c r="BP523" s="78">
        <f t="shared" si="88"/>
        <v>7.575757575757576E-2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721">
        <v>4680115882102</v>
      </c>
      <c r="E524" s="721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100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723"/>
      <c r="R524" s="723"/>
      <c r="S524" s="723"/>
      <c r="T524" s="724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721">
        <v>4680115882102</v>
      </c>
      <c r="E525" s="721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100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723"/>
      <c r="R525" s="723"/>
      <c r="S525" s="723"/>
      <c r="T525" s="724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customHeight="1" x14ac:dyDescent="0.25">
      <c r="A526" s="63" t="s">
        <v>844</v>
      </c>
      <c r="B526" s="63" t="s">
        <v>845</v>
      </c>
      <c r="C526" s="36">
        <v>4301031417</v>
      </c>
      <c r="D526" s="721">
        <v>4680115882096</v>
      </c>
      <c r="E526" s="721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723"/>
      <c r="R526" s="723"/>
      <c r="S526" s="723"/>
      <c r="T526" s="724"/>
      <c r="U526" s="39" t="s">
        <v>46</v>
      </c>
      <c r="V526" s="39" t="s">
        <v>46</v>
      </c>
      <c r="W526" s="40" t="s">
        <v>0</v>
      </c>
      <c r="X526" s="58">
        <v>150</v>
      </c>
      <c r="Y526" s="55">
        <f t="shared" si="84"/>
        <v>153.6</v>
      </c>
      <c r="Z526" s="41">
        <f>IFERROR(IF(Y526=0,"",ROUNDUP(Y526/H526,0)*0.00902),"")</f>
        <v>0.28864000000000001</v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208.4375</v>
      </c>
      <c r="BN526" s="78">
        <f t="shared" si="86"/>
        <v>213.44</v>
      </c>
      <c r="BO526" s="78">
        <f t="shared" si="87"/>
        <v>0.23674242424242425</v>
      </c>
      <c r="BP526" s="78">
        <f t="shared" si="88"/>
        <v>0.24242424242424243</v>
      </c>
    </row>
    <row r="527" spans="1:68" x14ac:dyDescent="0.2">
      <c r="A527" s="729"/>
      <c r="B527" s="729"/>
      <c r="C527" s="729"/>
      <c r="D527" s="729"/>
      <c r="E527" s="729"/>
      <c r="F527" s="729"/>
      <c r="G527" s="729"/>
      <c r="H527" s="729"/>
      <c r="I527" s="729"/>
      <c r="J527" s="729"/>
      <c r="K527" s="729"/>
      <c r="L527" s="729"/>
      <c r="M527" s="729"/>
      <c r="N527" s="729"/>
      <c r="O527" s="730"/>
      <c r="P527" s="726" t="s">
        <v>40</v>
      </c>
      <c r="Q527" s="727"/>
      <c r="R527" s="727"/>
      <c r="S527" s="727"/>
      <c r="T527" s="727"/>
      <c r="U527" s="727"/>
      <c r="V527" s="728"/>
      <c r="W527" s="42" t="s">
        <v>39</v>
      </c>
      <c r="X527" s="43">
        <f>IFERROR(X520/H520,"0")+IFERROR(X521/H521,"0")+IFERROR(X522/H522,"0")+IFERROR(X523/H523,"0")+IFERROR(X524/H524,"0")+IFERROR(X525/H525,"0")+IFERROR(X526/H526,"0")</f>
        <v>69.659090909090907</v>
      </c>
      <c r="Y527" s="43">
        <f>IFERROR(Y520/H520,"0")+IFERROR(Y521/H521,"0")+IFERROR(Y522/H522,"0")+IFERROR(Y523/H523,"0")+IFERROR(Y524/H524,"0")+IFERROR(Y525/H525,"0")+IFERROR(Y526/H526,"0")</f>
        <v>71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0.72567999999999999</v>
      </c>
      <c r="AA527" s="67"/>
      <c r="AB527" s="67"/>
      <c r="AC527" s="67"/>
    </row>
    <row r="528" spans="1:68" x14ac:dyDescent="0.2">
      <c r="A528" s="729"/>
      <c r="B528" s="729"/>
      <c r="C528" s="729"/>
      <c r="D528" s="729"/>
      <c r="E528" s="729"/>
      <c r="F528" s="729"/>
      <c r="G528" s="729"/>
      <c r="H528" s="729"/>
      <c r="I528" s="729"/>
      <c r="J528" s="729"/>
      <c r="K528" s="729"/>
      <c r="L528" s="729"/>
      <c r="M528" s="729"/>
      <c r="N528" s="729"/>
      <c r="O528" s="730"/>
      <c r="P528" s="726" t="s">
        <v>40</v>
      </c>
      <c r="Q528" s="727"/>
      <c r="R528" s="727"/>
      <c r="S528" s="727"/>
      <c r="T528" s="727"/>
      <c r="U528" s="727"/>
      <c r="V528" s="728"/>
      <c r="W528" s="42" t="s">
        <v>0</v>
      </c>
      <c r="X528" s="43">
        <f>IFERROR(SUM(X520:X526),"0")</f>
        <v>348</v>
      </c>
      <c r="Y528" s="43">
        <f>IFERROR(SUM(Y520:Y526),"0")</f>
        <v>354.72</v>
      </c>
      <c r="Z528" s="42"/>
      <c r="AA528" s="67"/>
      <c r="AB528" s="67"/>
      <c r="AC528" s="67"/>
    </row>
    <row r="529" spans="1:68" ht="27.75" hidden="1" customHeight="1" x14ac:dyDescent="0.2">
      <c r="A529" s="718" t="s">
        <v>846</v>
      </c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54"/>
      <c r="AB529" s="54"/>
      <c r="AC529" s="54"/>
    </row>
    <row r="530" spans="1:68" ht="16.5" hidden="1" customHeight="1" x14ac:dyDescent="0.25">
      <c r="A530" s="719" t="s">
        <v>846</v>
      </c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19"/>
      <c r="P530" s="719"/>
      <c r="Q530" s="719"/>
      <c r="R530" s="719"/>
      <c r="S530" s="719"/>
      <c r="T530" s="719"/>
      <c r="U530" s="719"/>
      <c r="V530" s="719"/>
      <c r="W530" s="719"/>
      <c r="X530" s="719"/>
      <c r="Y530" s="719"/>
      <c r="Z530" s="719"/>
      <c r="AA530" s="65"/>
      <c r="AB530" s="65"/>
      <c r="AC530" s="79"/>
    </row>
    <row r="531" spans="1:68" ht="14.25" hidden="1" customHeight="1" x14ac:dyDescent="0.25">
      <c r="A531" s="720" t="s">
        <v>122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66"/>
      <c r="AB531" s="66"/>
      <c r="AC531" s="80"/>
    </row>
    <row r="532" spans="1:68" ht="27" customHeight="1" x14ac:dyDescent="0.25">
      <c r="A532" s="63" t="s">
        <v>847</v>
      </c>
      <c r="B532" s="63" t="s">
        <v>848</v>
      </c>
      <c r="C532" s="36">
        <v>4301011584</v>
      </c>
      <c r="D532" s="721">
        <v>4640242180564</v>
      </c>
      <c r="E532" s="72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100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723"/>
      <c r="R532" s="723"/>
      <c r="S532" s="723"/>
      <c r="T532" s="724"/>
      <c r="U532" s="39" t="s">
        <v>46</v>
      </c>
      <c r="V532" s="39" t="s">
        <v>46</v>
      </c>
      <c r="W532" s="40" t="s">
        <v>0</v>
      </c>
      <c r="X532" s="58">
        <v>150</v>
      </c>
      <c r="Y532" s="55">
        <f>IFERROR(IF(X532="",0,CEILING((X532/$H532),1)*$H532),"")</f>
        <v>156</v>
      </c>
      <c r="Z532" s="41">
        <f>IFERROR(IF(Y532=0,"",ROUNDUP(Y532/H532,0)*0.01898),"")</f>
        <v>0.24674000000000001</v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155.125</v>
      </c>
      <c r="BN532" s="78">
        <f>IFERROR(Y532*I532/H532,"0")</f>
        <v>161.33000000000001</v>
      </c>
      <c r="BO532" s="78">
        <f>IFERROR(1/J532*(X532/H532),"0")</f>
        <v>0.1953125</v>
      </c>
      <c r="BP532" s="78">
        <f>IFERROR(1/J532*(Y532/H532),"0")</f>
        <v>0.203125</v>
      </c>
    </row>
    <row r="533" spans="1:68" x14ac:dyDescent="0.2">
      <c r="A533" s="729"/>
      <c r="B533" s="729"/>
      <c r="C533" s="729"/>
      <c r="D533" s="729"/>
      <c r="E533" s="729"/>
      <c r="F533" s="729"/>
      <c r="G533" s="729"/>
      <c r="H533" s="729"/>
      <c r="I533" s="729"/>
      <c r="J533" s="729"/>
      <c r="K533" s="729"/>
      <c r="L533" s="729"/>
      <c r="M533" s="729"/>
      <c r="N533" s="729"/>
      <c r="O533" s="730"/>
      <c r="P533" s="726" t="s">
        <v>40</v>
      </c>
      <c r="Q533" s="727"/>
      <c r="R533" s="727"/>
      <c r="S533" s="727"/>
      <c r="T533" s="727"/>
      <c r="U533" s="727"/>
      <c r="V533" s="728"/>
      <c r="W533" s="42" t="s">
        <v>39</v>
      </c>
      <c r="X533" s="43">
        <f>IFERROR(X532/H532,"0")</f>
        <v>12.5</v>
      </c>
      <c r="Y533" s="43">
        <f>IFERROR(Y532/H532,"0")</f>
        <v>13</v>
      </c>
      <c r="Z533" s="43">
        <f>IFERROR(IF(Z532="",0,Z532),"0")</f>
        <v>0.24674000000000001</v>
      </c>
      <c r="AA533" s="67"/>
      <c r="AB533" s="67"/>
      <c r="AC533" s="67"/>
    </row>
    <row r="534" spans="1:68" x14ac:dyDescent="0.2">
      <c r="A534" s="729"/>
      <c r="B534" s="729"/>
      <c r="C534" s="729"/>
      <c r="D534" s="729"/>
      <c r="E534" s="729"/>
      <c r="F534" s="729"/>
      <c r="G534" s="729"/>
      <c r="H534" s="729"/>
      <c r="I534" s="729"/>
      <c r="J534" s="729"/>
      <c r="K534" s="729"/>
      <c r="L534" s="729"/>
      <c r="M534" s="729"/>
      <c r="N534" s="729"/>
      <c r="O534" s="730"/>
      <c r="P534" s="726" t="s">
        <v>40</v>
      </c>
      <c r="Q534" s="727"/>
      <c r="R534" s="727"/>
      <c r="S534" s="727"/>
      <c r="T534" s="727"/>
      <c r="U534" s="727"/>
      <c r="V534" s="728"/>
      <c r="W534" s="42" t="s">
        <v>0</v>
      </c>
      <c r="X534" s="43">
        <f>IFERROR(SUM(X532:X532),"0")</f>
        <v>150</v>
      </c>
      <c r="Y534" s="43">
        <f>IFERROR(SUM(Y532:Y532),"0")</f>
        <v>156</v>
      </c>
      <c r="Z534" s="42"/>
      <c r="AA534" s="67"/>
      <c r="AB534" s="67"/>
      <c r="AC534" s="67"/>
    </row>
    <row r="535" spans="1:68" ht="14.25" hidden="1" customHeight="1" x14ac:dyDescent="0.25">
      <c r="A535" s="720" t="s">
        <v>157</v>
      </c>
      <c r="B535" s="720"/>
      <c r="C535" s="720"/>
      <c r="D535" s="720"/>
      <c r="E535" s="720"/>
      <c r="F535" s="720"/>
      <c r="G535" s="720"/>
      <c r="H535" s="720"/>
      <c r="I535" s="720"/>
      <c r="J535" s="720"/>
      <c r="K535" s="720"/>
      <c r="L535" s="720"/>
      <c r="M535" s="720"/>
      <c r="N535" s="720"/>
      <c r="O535" s="720"/>
      <c r="P535" s="720"/>
      <c r="Q535" s="720"/>
      <c r="R535" s="720"/>
      <c r="S535" s="720"/>
      <c r="T535" s="720"/>
      <c r="U535" s="720"/>
      <c r="V535" s="720"/>
      <c r="W535" s="720"/>
      <c r="X535" s="720"/>
      <c r="Y535" s="720"/>
      <c r="Z535" s="720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721">
        <v>4640242180519</v>
      </c>
      <c r="E536" s="721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0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723"/>
      <c r="R536" s="723"/>
      <c r="S536" s="723"/>
      <c r="T536" s="72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29"/>
      <c r="B537" s="729"/>
      <c r="C537" s="729"/>
      <c r="D537" s="729"/>
      <c r="E537" s="729"/>
      <c r="F537" s="729"/>
      <c r="G537" s="729"/>
      <c r="H537" s="729"/>
      <c r="I537" s="729"/>
      <c r="J537" s="729"/>
      <c r="K537" s="729"/>
      <c r="L537" s="729"/>
      <c r="M537" s="729"/>
      <c r="N537" s="729"/>
      <c r="O537" s="730"/>
      <c r="P537" s="726" t="s">
        <v>40</v>
      </c>
      <c r="Q537" s="727"/>
      <c r="R537" s="727"/>
      <c r="S537" s="727"/>
      <c r="T537" s="727"/>
      <c r="U537" s="727"/>
      <c r="V537" s="72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29"/>
      <c r="B538" s="729"/>
      <c r="C538" s="729"/>
      <c r="D538" s="729"/>
      <c r="E538" s="729"/>
      <c r="F538" s="729"/>
      <c r="G538" s="729"/>
      <c r="H538" s="729"/>
      <c r="I538" s="729"/>
      <c r="J538" s="729"/>
      <c r="K538" s="729"/>
      <c r="L538" s="729"/>
      <c r="M538" s="729"/>
      <c r="N538" s="729"/>
      <c r="O538" s="730"/>
      <c r="P538" s="726" t="s">
        <v>40</v>
      </c>
      <c r="Q538" s="727"/>
      <c r="R538" s="727"/>
      <c r="S538" s="727"/>
      <c r="T538" s="727"/>
      <c r="U538" s="727"/>
      <c r="V538" s="72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20" t="s">
        <v>77</v>
      </c>
      <c r="B539" s="720"/>
      <c r="C539" s="720"/>
      <c r="D539" s="720"/>
      <c r="E539" s="720"/>
      <c r="F539" s="720"/>
      <c r="G539" s="720"/>
      <c r="H539" s="720"/>
      <c r="I539" s="720"/>
      <c r="J539" s="720"/>
      <c r="K539" s="720"/>
      <c r="L539" s="720"/>
      <c r="M539" s="720"/>
      <c r="N539" s="720"/>
      <c r="O539" s="720"/>
      <c r="P539" s="720"/>
      <c r="Q539" s="720"/>
      <c r="R539" s="720"/>
      <c r="S539" s="720"/>
      <c r="T539" s="720"/>
      <c r="U539" s="720"/>
      <c r="V539" s="720"/>
      <c r="W539" s="720"/>
      <c r="X539" s="720"/>
      <c r="Y539" s="720"/>
      <c r="Z539" s="720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721">
        <v>4640242180595</v>
      </c>
      <c r="E540" s="721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100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723"/>
      <c r="R540" s="723"/>
      <c r="S540" s="723"/>
      <c r="T540" s="724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29"/>
      <c r="B541" s="729"/>
      <c r="C541" s="729"/>
      <c r="D541" s="729"/>
      <c r="E541" s="729"/>
      <c r="F541" s="729"/>
      <c r="G541" s="729"/>
      <c r="H541" s="729"/>
      <c r="I541" s="729"/>
      <c r="J541" s="729"/>
      <c r="K541" s="729"/>
      <c r="L541" s="729"/>
      <c r="M541" s="729"/>
      <c r="N541" s="729"/>
      <c r="O541" s="730"/>
      <c r="P541" s="726" t="s">
        <v>40</v>
      </c>
      <c r="Q541" s="727"/>
      <c r="R541" s="727"/>
      <c r="S541" s="727"/>
      <c r="T541" s="727"/>
      <c r="U541" s="727"/>
      <c r="V541" s="728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29"/>
      <c r="B542" s="729"/>
      <c r="C542" s="729"/>
      <c r="D542" s="729"/>
      <c r="E542" s="729"/>
      <c r="F542" s="729"/>
      <c r="G542" s="729"/>
      <c r="H542" s="729"/>
      <c r="I542" s="729"/>
      <c r="J542" s="729"/>
      <c r="K542" s="729"/>
      <c r="L542" s="729"/>
      <c r="M542" s="729"/>
      <c r="N542" s="729"/>
      <c r="O542" s="730"/>
      <c r="P542" s="726" t="s">
        <v>40</v>
      </c>
      <c r="Q542" s="727"/>
      <c r="R542" s="727"/>
      <c r="S542" s="727"/>
      <c r="T542" s="727"/>
      <c r="U542" s="727"/>
      <c r="V542" s="728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0" t="s">
        <v>86</v>
      </c>
      <c r="B543" s="720"/>
      <c r="C543" s="720"/>
      <c r="D543" s="720"/>
      <c r="E543" s="720"/>
      <c r="F543" s="720"/>
      <c r="G543" s="720"/>
      <c r="H543" s="720"/>
      <c r="I543" s="720"/>
      <c r="J543" s="720"/>
      <c r="K543" s="720"/>
      <c r="L543" s="720"/>
      <c r="M543" s="720"/>
      <c r="N543" s="720"/>
      <c r="O543" s="720"/>
      <c r="P543" s="720"/>
      <c r="Q543" s="720"/>
      <c r="R543" s="720"/>
      <c r="S543" s="720"/>
      <c r="T543" s="720"/>
      <c r="U543" s="720"/>
      <c r="V543" s="720"/>
      <c r="W543" s="720"/>
      <c r="X543" s="720"/>
      <c r="Y543" s="720"/>
      <c r="Z543" s="720"/>
      <c r="AA543" s="66"/>
      <c r="AB543" s="66"/>
      <c r="AC543" s="80"/>
    </row>
    <row r="544" spans="1:68" ht="27" customHeight="1" x14ac:dyDescent="0.25">
      <c r="A544" s="63" t="s">
        <v>856</v>
      </c>
      <c r="B544" s="63" t="s">
        <v>857</v>
      </c>
      <c r="C544" s="36">
        <v>4301052043</v>
      </c>
      <c r="D544" s="721">
        <v>4640242180533</v>
      </c>
      <c r="E544" s="721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723"/>
      <c r="R544" s="723"/>
      <c r="S544" s="723"/>
      <c r="T544" s="724"/>
      <c r="U544" s="39" t="s">
        <v>46</v>
      </c>
      <c r="V544" s="39" t="s">
        <v>46</v>
      </c>
      <c r="W544" s="40" t="s">
        <v>0</v>
      </c>
      <c r="X544" s="58">
        <v>500</v>
      </c>
      <c r="Y544" s="55">
        <f>IFERROR(IF(X544="",0,CEILING((X544/$H544),1)*$H544),"")</f>
        <v>504</v>
      </c>
      <c r="Z544" s="41">
        <f>IFERROR(IF(Y544=0,"",ROUNDUP(Y544/H544,0)*0.01898),"")</f>
        <v>1.06288</v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527.44444444444446</v>
      </c>
      <c r="BN544" s="78">
        <f>IFERROR(Y544*I544/H544,"0")</f>
        <v>531.66399999999999</v>
      </c>
      <c r="BO544" s="78">
        <f>IFERROR(1/J544*(X544/H544),"0")</f>
        <v>0.86805555555555558</v>
      </c>
      <c r="BP544" s="78">
        <f>IFERROR(1/J544*(Y544/H544),"0")</f>
        <v>0.875</v>
      </c>
    </row>
    <row r="545" spans="1:68" x14ac:dyDescent="0.2">
      <c r="A545" s="729"/>
      <c r="B545" s="729"/>
      <c r="C545" s="729"/>
      <c r="D545" s="729"/>
      <c r="E545" s="729"/>
      <c r="F545" s="729"/>
      <c r="G545" s="729"/>
      <c r="H545" s="729"/>
      <c r="I545" s="729"/>
      <c r="J545" s="729"/>
      <c r="K545" s="729"/>
      <c r="L545" s="729"/>
      <c r="M545" s="729"/>
      <c r="N545" s="729"/>
      <c r="O545" s="730"/>
      <c r="P545" s="726" t="s">
        <v>40</v>
      </c>
      <c r="Q545" s="727"/>
      <c r="R545" s="727"/>
      <c r="S545" s="727"/>
      <c r="T545" s="727"/>
      <c r="U545" s="727"/>
      <c r="V545" s="728"/>
      <c r="W545" s="42" t="s">
        <v>39</v>
      </c>
      <c r="X545" s="43">
        <f>IFERROR(X544/H544,"0")</f>
        <v>55.555555555555557</v>
      </c>
      <c r="Y545" s="43">
        <f>IFERROR(Y544/H544,"0")</f>
        <v>56</v>
      </c>
      <c r="Z545" s="43">
        <f>IFERROR(IF(Z544="",0,Z544),"0")</f>
        <v>1.06288</v>
      </c>
      <c r="AA545" s="67"/>
      <c r="AB545" s="67"/>
      <c r="AC545" s="67"/>
    </row>
    <row r="546" spans="1:68" x14ac:dyDescent="0.2">
      <c r="A546" s="729"/>
      <c r="B546" s="729"/>
      <c r="C546" s="729"/>
      <c r="D546" s="729"/>
      <c r="E546" s="729"/>
      <c r="F546" s="729"/>
      <c r="G546" s="729"/>
      <c r="H546" s="729"/>
      <c r="I546" s="729"/>
      <c r="J546" s="729"/>
      <c r="K546" s="729"/>
      <c r="L546" s="729"/>
      <c r="M546" s="729"/>
      <c r="N546" s="729"/>
      <c r="O546" s="730"/>
      <c r="P546" s="726" t="s">
        <v>40</v>
      </c>
      <c r="Q546" s="727"/>
      <c r="R546" s="727"/>
      <c r="S546" s="727"/>
      <c r="T546" s="727"/>
      <c r="U546" s="727"/>
      <c r="V546" s="728"/>
      <c r="W546" s="42" t="s">
        <v>0</v>
      </c>
      <c r="X546" s="43">
        <f>IFERROR(SUM(X544:X544),"0")</f>
        <v>500</v>
      </c>
      <c r="Y546" s="43">
        <f>IFERROR(SUM(Y544:Y544),"0")</f>
        <v>504</v>
      </c>
      <c r="Z546" s="42"/>
      <c r="AA546" s="67"/>
      <c r="AB546" s="67"/>
      <c r="AC546" s="67"/>
    </row>
    <row r="547" spans="1:68" ht="14.25" hidden="1" customHeight="1" x14ac:dyDescent="0.25">
      <c r="A547" s="720" t="s">
        <v>175</v>
      </c>
      <c r="B547" s="720"/>
      <c r="C547" s="720"/>
      <c r="D547" s="720"/>
      <c r="E547" s="720"/>
      <c r="F547" s="720"/>
      <c r="G547" s="720"/>
      <c r="H547" s="720"/>
      <c r="I547" s="720"/>
      <c r="J547" s="720"/>
      <c r="K547" s="720"/>
      <c r="L547" s="720"/>
      <c r="M547" s="720"/>
      <c r="N547" s="720"/>
      <c r="O547" s="720"/>
      <c r="P547" s="720"/>
      <c r="Q547" s="720"/>
      <c r="R547" s="720"/>
      <c r="S547" s="720"/>
      <c r="T547" s="720"/>
      <c r="U547" s="720"/>
      <c r="V547" s="720"/>
      <c r="W547" s="720"/>
      <c r="X547" s="720"/>
      <c r="Y547" s="720"/>
      <c r="Z547" s="720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721">
        <v>4640242180120</v>
      </c>
      <c r="E548" s="721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723"/>
      <c r="R548" s="723"/>
      <c r="S548" s="723"/>
      <c r="T548" s="72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721">
        <v>4640242180137</v>
      </c>
      <c r="E549" s="721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723"/>
      <c r="R549" s="723"/>
      <c r="S549" s="723"/>
      <c r="T549" s="724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729"/>
      <c r="B550" s="729"/>
      <c r="C550" s="729"/>
      <c r="D550" s="729"/>
      <c r="E550" s="729"/>
      <c r="F550" s="729"/>
      <c r="G550" s="729"/>
      <c r="H550" s="729"/>
      <c r="I550" s="729"/>
      <c r="J550" s="729"/>
      <c r="K550" s="729"/>
      <c r="L550" s="729"/>
      <c r="M550" s="729"/>
      <c r="N550" s="729"/>
      <c r="O550" s="730"/>
      <c r="P550" s="726" t="s">
        <v>40</v>
      </c>
      <c r="Q550" s="727"/>
      <c r="R550" s="727"/>
      <c r="S550" s="727"/>
      <c r="T550" s="727"/>
      <c r="U550" s="727"/>
      <c r="V550" s="728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729"/>
      <c r="B551" s="729"/>
      <c r="C551" s="729"/>
      <c r="D551" s="729"/>
      <c r="E551" s="729"/>
      <c r="F551" s="729"/>
      <c r="G551" s="729"/>
      <c r="H551" s="729"/>
      <c r="I551" s="729"/>
      <c r="J551" s="729"/>
      <c r="K551" s="729"/>
      <c r="L551" s="729"/>
      <c r="M551" s="729"/>
      <c r="N551" s="729"/>
      <c r="O551" s="730"/>
      <c r="P551" s="726" t="s">
        <v>40</v>
      </c>
      <c r="Q551" s="727"/>
      <c r="R551" s="727"/>
      <c r="S551" s="727"/>
      <c r="T551" s="727"/>
      <c r="U551" s="727"/>
      <c r="V551" s="728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719" t="s">
        <v>865</v>
      </c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19"/>
      <c r="P552" s="719"/>
      <c r="Q552" s="719"/>
      <c r="R552" s="719"/>
      <c r="S552" s="719"/>
      <c r="T552" s="719"/>
      <c r="U552" s="719"/>
      <c r="V552" s="719"/>
      <c r="W552" s="719"/>
      <c r="X552" s="719"/>
      <c r="Y552" s="719"/>
      <c r="Z552" s="719"/>
      <c r="AA552" s="65"/>
      <c r="AB552" s="65"/>
      <c r="AC552" s="79"/>
    </row>
    <row r="553" spans="1:68" ht="14.25" hidden="1" customHeight="1" x14ac:dyDescent="0.25">
      <c r="A553" s="720" t="s">
        <v>157</v>
      </c>
      <c r="B553" s="720"/>
      <c r="C553" s="720"/>
      <c r="D553" s="720"/>
      <c r="E553" s="720"/>
      <c r="F553" s="720"/>
      <c r="G553" s="720"/>
      <c r="H553" s="720"/>
      <c r="I553" s="720"/>
      <c r="J553" s="720"/>
      <c r="K553" s="720"/>
      <c r="L553" s="720"/>
      <c r="M553" s="720"/>
      <c r="N553" s="720"/>
      <c r="O553" s="720"/>
      <c r="P553" s="720"/>
      <c r="Q553" s="720"/>
      <c r="R553" s="720"/>
      <c r="S553" s="720"/>
      <c r="T553" s="720"/>
      <c r="U553" s="720"/>
      <c r="V553" s="720"/>
      <c r="W553" s="720"/>
      <c r="X553" s="720"/>
      <c r="Y553" s="720"/>
      <c r="Z553" s="720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721">
        <v>4640242180090</v>
      </c>
      <c r="E554" s="721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100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723"/>
      <c r="R554" s="723"/>
      <c r="S554" s="723"/>
      <c r="T554" s="724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721">
        <v>4680115889798</v>
      </c>
      <c r="E555" s="721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1010" t="s">
        <v>871</v>
      </c>
      <c r="Q555" s="723"/>
      <c r="R555" s="723"/>
      <c r="S555" s="723"/>
      <c r="T555" s="724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729"/>
      <c r="B556" s="729"/>
      <c r="C556" s="729"/>
      <c r="D556" s="729"/>
      <c r="E556" s="729"/>
      <c r="F556" s="729"/>
      <c r="G556" s="729"/>
      <c r="H556" s="729"/>
      <c r="I556" s="729"/>
      <c r="J556" s="729"/>
      <c r="K556" s="729"/>
      <c r="L556" s="729"/>
      <c r="M556" s="729"/>
      <c r="N556" s="729"/>
      <c r="O556" s="730"/>
      <c r="P556" s="726" t="s">
        <v>40</v>
      </c>
      <c r="Q556" s="727"/>
      <c r="R556" s="727"/>
      <c r="S556" s="727"/>
      <c r="T556" s="727"/>
      <c r="U556" s="727"/>
      <c r="V556" s="728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729"/>
      <c r="B557" s="729"/>
      <c r="C557" s="729"/>
      <c r="D557" s="729"/>
      <c r="E557" s="729"/>
      <c r="F557" s="729"/>
      <c r="G557" s="729"/>
      <c r="H557" s="729"/>
      <c r="I557" s="729"/>
      <c r="J557" s="729"/>
      <c r="K557" s="729"/>
      <c r="L557" s="729"/>
      <c r="M557" s="729"/>
      <c r="N557" s="729"/>
      <c r="O557" s="730"/>
      <c r="P557" s="726" t="s">
        <v>40</v>
      </c>
      <c r="Q557" s="727"/>
      <c r="R557" s="727"/>
      <c r="S557" s="727"/>
      <c r="T557" s="727"/>
      <c r="U557" s="727"/>
      <c r="V557" s="728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729"/>
      <c r="B558" s="729"/>
      <c r="C558" s="729"/>
      <c r="D558" s="729"/>
      <c r="E558" s="729"/>
      <c r="F558" s="729"/>
      <c r="G558" s="729"/>
      <c r="H558" s="729"/>
      <c r="I558" s="729"/>
      <c r="J558" s="729"/>
      <c r="K558" s="729"/>
      <c r="L558" s="729"/>
      <c r="M558" s="729"/>
      <c r="N558" s="729"/>
      <c r="O558" s="1014"/>
      <c r="P558" s="1011" t="s">
        <v>33</v>
      </c>
      <c r="Q558" s="1012"/>
      <c r="R558" s="1012"/>
      <c r="S558" s="1012"/>
      <c r="T558" s="1012"/>
      <c r="U558" s="1012"/>
      <c r="V558" s="1013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18831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19045.059999999998</v>
      </c>
      <c r="Z558" s="42"/>
      <c r="AA558" s="67"/>
      <c r="AB558" s="67"/>
      <c r="AC558" s="67"/>
    </row>
    <row r="559" spans="1:68" x14ac:dyDescent="0.2">
      <c r="A559" s="729"/>
      <c r="B559" s="729"/>
      <c r="C559" s="729"/>
      <c r="D559" s="729"/>
      <c r="E559" s="729"/>
      <c r="F559" s="729"/>
      <c r="G559" s="729"/>
      <c r="H559" s="729"/>
      <c r="I559" s="729"/>
      <c r="J559" s="729"/>
      <c r="K559" s="729"/>
      <c r="L559" s="729"/>
      <c r="M559" s="729"/>
      <c r="N559" s="729"/>
      <c r="O559" s="1014"/>
      <c r="P559" s="1011" t="s">
        <v>34</v>
      </c>
      <c r="Q559" s="1012"/>
      <c r="R559" s="1012"/>
      <c r="S559" s="1012"/>
      <c r="T559" s="1012"/>
      <c r="U559" s="1012"/>
      <c r="V559" s="1013"/>
      <c r="W559" s="42" t="s">
        <v>0</v>
      </c>
      <c r="X559" s="43">
        <f>IFERROR(SUM(BM22:BM555),"0")</f>
        <v>20174.466968612483</v>
      </c>
      <c r="Y559" s="43">
        <f>IFERROR(SUM(BN22:BN555),"0")</f>
        <v>20402.774000000009</v>
      </c>
      <c r="Z559" s="42"/>
      <c r="AA559" s="67"/>
      <c r="AB559" s="67"/>
      <c r="AC559" s="67"/>
    </row>
    <row r="560" spans="1:68" x14ac:dyDescent="0.2">
      <c r="A560" s="729"/>
      <c r="B560" s="729"/>
      <c r="C560" s="729"/>
      <c r="D560" s="729"/>
      <c r="E560" s="729"/>
      <c r="F560" s="729"/>
      <c r="G560" s="729"/>
      <c r="H560" s="729"/>
      <c r="I560" s="729"/>
      <c r="J560" s="729"/>
      <c r="K560" s="729"/>
      <c r="L560" s="729"/>
      <c r="M560" s="729"/>
      <c r="N560" s="729"/>
      <c r="O560" s="1014"/>
      <c r="P560" s="1011" t="s">
        <v>35</v>
      </c>
      <c r="Q560" s="1012"/>
      <c r="R560" s="1012"/>
      <c r="S560" s="1012"/>
      <c r="T560" s="1012"/>
      <c r="U560" s="1012"/>
      <c r="V560" s="1013"/>
      <c r="W560" s="42" t="s">
        <v>20</v>
      </c>
      <c r="X560" s="44">
        <f>ROUNDUP(SUM(BO22:BO555),0)</f>
        <v>35</v>
      </c>
      <c r="Y560" s="44">
        <f>ROUNDUP(SUM(BP22:BP555),0)</f>
        <v>36</v>
      </c>
      <c r="Z560" s="42"/>
      <c r="AA560" s="67"/>
      <c r="AB560" s="67"/>
      <c r="AC560" s="67"/>
    </row>
    <row r="561" spans="1:32" x14ac:dyDescent="0.2">
      <c r="A561" s="729"/>
      <c r="B561" s="729"/>
      <c r="C561" s="729"/>
      <c r="D561" s="729"/>
      <c r="E561" s="729"/>
      <c r="F561" s="729"/>
      <c r="G561" s="729"/>
      <c r="H561" s="729"/>
      <c r="I561" s="729"/>
      <c r="J561" s="729"/>
      <c r="K561" s="729"/>
      <c r="L561" s="729"/>
      <c r="M561" s="729"/>
      <c r="N561" s="729"/>
      <c r="O561" s="1014"/>
      <c r="P561" s="1011" t="s">
        <v>36</v>
      </c>
      <c r="Q561" s="1012"/>
      <c r="R561" s="1012"/>
      <c r="S561" s="1012"/>
      <c r="T561" s="1012"/>
      <c r="U561" s="1012"/>
      <c r="V561" s="1013"/>
      <c r="W561" s="42" t="s">
        <v>0</v>
      </c>
      <c r="X561" s="43">
        <f>GrossWeightTotal+PalletQtyTotal*25</f>
        <v>21049.466968612483</v>
      </c>
      <c r="Y561" s="43">
        <f>GrossWeightTotalR+PalletQtyTotalR*25</f>
        <v>21302.774000000009</v>
      </c>
      <c r="Z561" s="42"/>
      <c r="AA561" s="67"/>
      <c r="AB561" s="67"/>
      <c r="AC561" s="67"/>
    </row>
    <row r="562" spans="1:32" x14ac:dyDescent="0.2">
      <c r="A562" s="729"/>
      <c r="B562" s="729"/>
      <c r="C562" s="729"/>
      <c r="D562" s="729"/>
      <c r="E562" s="729"/>
      <c r="F562" s="729"/>
      <c r="G562" s="729"/>
      <c r="H562" s="729"/>
      <c r="I562" s="729"/>
      <c r="J562" s="729"/>
      <c r="K562" s="729"/>
      <c r="L562" s="729"/>
      <c r="M562" s="729"/>
      <c r="N562" s="729"/>
      <c r="O562" s="1014"/>
      <c r="P562" s="1011" t="s">
        <v>37</v>
      </c>
      <c r="Q562" s="1012"/>
      <c r="R562" s="1012"/>
      <c r="S562" s="1012"/>
      <c r="T562" s="1012"/>
      <c r="U562" s="1012"/>
      <c r="V562" s="1013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4516.6172457810399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4551</v>
      </c>
      <c r="Z562" s="42"/>
      <c r="AA562" s="67"/>
      <c r="AB562" s="67"/>
      <c r="AC562" s="67"/>
    </row>
    <row r="563" spans="1:32" ht="14.25" hidden="1" x14ac:dyDescent="0.2">
      <c r="A563" s="729"/>
      <c r="B563" s="729"/>
      <c r="C563" s="729"/>
      <c r="D563" s="729"/>
      <c r="E563" s="729"/>
      <c r="F563" s="729"/>
      <c r="G563" s="729"/>
      <c r="H563" s="729"/>
      <c r="I563" s="729"/>
      <c r="J563" s="729"/>
      <c r="K563" s="729"/>
      <c r="L563" s="729"/>
      <c r="M563" s="729"/>
      <c r="N563" s="729"/>
      <c r="O563" s="1014"/>
      <c r="P563" s="1011" t="s">
        <v>38</v>
      </c>
      <c r="Q563" s="1012"/>
      <c r="R563" s="1012"/>
      <c r="S563" s="1012"/>
      <c r="T563" s="1012"/>
      <c r="U563" s="1012"/>
      <c r="V563" s="1013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41.032670000000003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1015" t="s">
        <v>120</v>
      </c>
      <c r="E565" s="1015" t="s">
        <v>120</v>
      </c>
      <c r="F565" s="1015" t="s">
        <v>120</v>
      </c>
      <c r="G565" s="1015" t="s">
        <v>120</v>
      </c>
      <c r="H565" s="1015" t="s">
        <v>120</v>
      </c>
      <c r="I565" s="1015" t="s">
        <v>120</v>
      </c>
      <c r="J565" s="1015" t="s">
        <v>120</v>
      </c>
      <c r="K565" s="1015" t="s">
        <v>344</v>
      </c>
      <c r="L565" s="1015" t="s">
        <v>344</v>
      </c>
      <c r="M565" s="1015" t="s">
        <v>344</v>
      </c>
      <c r="N565" s="1016"/>
      <c r="O565" s="1015" t="s">
        <v>344</v>
      </c>
      <c r="P565" s="1015" t="s">
        <v>344</v>
      </c>
      <c r="Q565" s="1015" t="s">
        <v>344</v>
      </c>
      <c r="R565" s="1015" t="s">
        <v>344</v>
      </c>
      <c r="S565" s="1015" t="s">
        <v>344</v>
      </c>
      <c r="T565" s="1015" t="s">
        <v>344</v>
      </c>
      <c r="U565" s="1015" t="s">
        <v>344</v>
      </c>
      <c r="V565" s="1015" t="s">
        <v>344</v>
      </c>
      <c r="W565" s="1015" t="s">
        <v>697</v>
      </c>
      <c r="X565" s="1015" t="s">
        <v>697</v>
      </c>
      <c r="Y565" s="1015" t="s">
        <v>763</v>
      </c>
      <c r="Z565" s="1015" t="s">
        <v>763</v>
      </c>
      <c r="AA565" s="85" t="s">
        <v>799</v>
      </c>
      <c r="AB565" s="1015" t="s">
        <v>846</v>
      </c>
      <c r="AC565" s="1015" t="s">
        <v>846</v>
      </c>
      <c r="AF565" s="1"/>
    </row>
    <row r="566" spans="1:32" ht="14.25" customHeight="1" thickTop="1" x14ac:dyDescent="0.2">
      <c r="A566" s="1017" t="s">
        <v>10</v>
      </c>
      <c r="B566" s="1015" t="s">
        <v>76</v>
      </c>
      <c r="C566" s="1015" t="s">
        <v>104</v>
      </c>
      <c r="D566" s="1015" t="s">
        <v>121</v>
      </c>
      <c r="E566" s="1015" t="s">
        <v>137</v>
      </c>
      <c r="F566" s="1015" t="s">
        <v>183</v>
      </c>
      <c r="G566" s="1015" t="s">
        <v>207</v>
      </c>
      <c r="H566" s="1015" t="s">
        <v>247</v>
      </c>
      <c r="I566" s="1015" t="s">
        <v>260</v>
      </c>
      <c r="J566" s="1015" t="s">
        <v>120</v>
      </c>
      <c r="K566" s="1015" t="s">
        <v>345</v>
      </c>
      <c r="L566" s="1015" t="s">
        <v>366</v>
      </c>
      <c r="M566" s="1015" t="s">
        <v>440</v>
      </c>
      <c r="N566" s="1"/>
      <c r="O566" s="1015" t="s">
        <v>508</v>
      </c>
      <c r="P566" s="1015" t="s">
        <v>541</v>
      </c>
      <c r="Q566" s="1015" t="s">
        <v>557</v>
      </c>
      <c r="R566" s="1015" t="s">
        <v>566</v>
      </c>
      <c r="S566" s="1015" t="s">
        <v>587</v>
      </c>
      <c r="T566" s="1015" t="s">
        <v>596</v>
      </c>
      <c r="U566" s="1015" t="s">
        <v>680</v>
      </c>
      <c r="V566" s="1015" t="s">
        <v>687</v>
      </c>
      <c r="W566" s="1015" t="s">
        <v>698</v>
      </c>
      <c r="X566" s="1015" t="s">
        <v>747</v>
      </c>
      <c r="Y566" s="1015" t="s">
        <v>764</v>
      </c>
      <c r="Z566" s="1015" t="s">
        <v>787</v>
      </c>
      <c r="AA566" s="1015" t="s">
        <v>799</v>
      </c>
      <c r="AB566" s="1015" t="s">
        <v>846</v>
      </c>
      <c r="AC566" s="1015" t="s">
        <v>865</v>
      </c>
      <c r="AF566" s="1"/>
    </row>
    <row r="567" spans="1:32" ht="13.5" thickBot="1" x14ac:dyDescent="0.25">
      <c r="A567" s="1018"/>
      <c r="B567" s="1015"/>
      <c r="C567" s="1015"/>
      <c r="D567" s="1015"/>
      <c r="E567" s="1015"/>
      <c r="F567" s="1015"/>
      <c r="G567" s="1015"/>
      <c r="H567" s="1015"/>
      <c r="I567" s="1015"/>
      <c r="J567" s="1015"/>
      <c r="K567" s="1015"/>
      <c r="L567" s="1015"/>
      <c r="M567" s="1015"/>
      <c r="N567" s="1"/>
      <c r="O567" s="1015"/>
      <c r="P567" s="1015"/>
      <c r="Q567" s="1015"/>
      <c r="R567" s="1015"/>
      <c r="S567" s="1015"/>
      <c r="T567" s="1015"/>
      <c r="U567" s="1015"/>
      <c r="V567" s="1015"/>
      <c r="W567" s="1015"/>
      <c r="X567" s="1015"/>
      <c r="Y567" s="1015"/>
      <c r="Z567" s="1015"/>
      <c r="AA567" s="1015"/>
      <c r="AB567" s="1015"/>
      <c r="AC567" s="1015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48</v>
      </c>
      <c r="D568" s="52">
        <f>IFERROR(Y47*1,"0")+IFERROR(Y48*1,"0")+IFERROR(Y49*1,"0")+IFERROR(Y50*1,"0")</f>
        <v>442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776.40000000000009</v>
      </c>
      <c r="F568" s="52">
        <f>IFERROR(Y85*1,"0")+IFERROR(Y86*1,"0")+IFERROR(Y87*1,"0")+IFERROR(Y88*1,"0")+IFERROR(Y89*1,"0")+IFERROR(Y90*1,"0")+IFERROR(Y94*1,"0")+IFERROR(Y95*1,"0")+IFERROR(Y96*1,"0")+IFERROR(Y97*1,"0")</f>
        <v>1796.4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1560.7800000000002</v>
      </c>
      <c r="H568" s="52">
        <f>IFERROR(Y131*1,"0")+IFERROR(Y132*1,"0")+IFERROR(Y136*1,"0")+IFERROR(Y137*1,"0")+IFERROR(Y141*1,"0")+IFERROR(Y142*1,"0")</f>
        <v>145.52000000000001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1655.7999999999997</v>
      </c>
      <c r="K568" s="52">
        <f>IFERROR(Y203*1,"0")+IFERROR(Y204*1,"0")+IFERROR(Y205*1,"0")+IFERROR(Y206*1,"0")+IFERROR(Y207*1,"0")+IFERROR(Y208*1,"0")+IFERROR(Y209*1,"0")</f>
        <v>108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753.25999999999988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3192.9000000000005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147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480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452.40000000000003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1378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4263</v>
      </c>
      <c r="X568" s="52">
        <f>IFERROR(Y458*1,"0")+IFERROR(Y459*1,"0")+IFERROR(Y463*1,"0")+IFERROR(Y467*1,"0")+IFERROR(Y468*1,"0")+IFERROR(Y469*1,"0")</f>
        <v>60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1125.6000000000001</v>
      </c>
      <c r="AB568" s="52">
        <f>IFERROR(Y532*1,"0")+IFERROR(Y536*1,"0")+IFERROR(Y540*1,"0")+IFERROR(Y544*1,"0")+IFERROR(Y548*1,"0")+IFERROR(Y549*1,"0")</f>
        <v>660</v>
      </c>
      <c r="AC568" s="52">
        <f>IFERROR(Y554*1,"0")+IFERROR(Y555*1,"0")</f>
        <v>0</v>
      </c>
      <c r="AF568" s="1"/>
    </row>
  </sheetData>
  <sheetProtection algorithmName="SHA-512" hashValue="6TlpXrHpElLlD5Yk5sJELHwgSLVBSLDBIapr0Y6oC7H6dqcCBClVqBEucBDnGdX5lmgFfM8V9HbiAxNd52ze7w==" saltValue="GN16vLTPNwhlAiKmhzzMww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85,00"/>
        <filter val="1 230,00"/>
        <filter val="1 400,00"/>
        <filter val="1 560,00"/>
        <filter val="1 610,00"/>
        <filter val="1 648,00"/>
        <filter val="100,00"/>
        <filter val="101,11"/>
        <filter val="104,00"/>
        <filter val="104,02"/>
        <filter val="105,59"/>
        <filter val="11,62"/>
        <filter val="112,00"/>
        <filter val="119,26"/>
        <filter val="12,00"/>
        <filter val="12,50"/>
        <filter val="120,00"/>
        <filter val="135,00"/>
        <filter val="140,00"/>
        <filter val="150,00"/>
        <filter val="160,00"/>
        <filter val="17,50"/>
        <filter val="173,33"/>
        <filter val="18 831,00"/>
        <filter val="18,75"/>
        <filter val="18,89"/>
        <filter val="180,00"/>
        <filter val="196,00"/>
        <filter val="2 600,00"/>
        <filter val="20 174,47"/>
        <filter val="20,00"/>
        <filter val="200,00"/>
        <filter val="205,00"/>
        <filter val="21 049,47"/>
        <filter val="21,00"/>
        <filter val="210,00"/>
        <filter val="224,00"/>
        <filter val="24,00"/>
        <filter val="25,00"/>
        <filter val="25,25"/>
        <filter val="250,00"/>
        <filter val="270,00"/>
        <filter val="28,57"/>
        <filter val="280,00"/>
        <filter val="29,00"/>
        <filter val="290,74"/>
        <filter val="3,00"/>
        <filter val="3,85"/>
        <filter val="30,00"/>
        <filter val="300,00"/>
        <filter val="307,41"/>
        <filter val="312,62"/>
        <filter val="315,00"/>
        <filter val="33,00"/>
        <filter val="348,00"/>
        <filter val="35"/>
        <filter val="35,00"/>
        <filter val="350,00"/>
        <filter val="357,00"/>
        <filter val="36,00"/>
        <filter val="360,00"/>
        <filter val="4 516,62"/>
        <filter val="4,00"/>
        <filter val="4,17"/>
        <filter val="40,00"/>
        <filter val="400,00"/>
        <filter val="405,00"/>
        <filter val="42,00"/>
        <filter val="440,00"/>
        <filter val="450,00"/>
        <filter val="48,00"/>
        <filter val="480,00"/>
        <filter val="49,00"/>
        <filter val="495,00"/>
        <filter val="5,00"/>
        <filter val="5,56"/>
        <filter val="50,00"/>
        <filter val="50,19"/>
        <filter val="500,00"/>
        <filter val="512,00"/>
        <filter val="525,00"/>
        <filter val="525,93"/>
        <filter val="55,56"/>
        <filter val="56,41"/>
        <filter val="56,48"/>
        <filter val="585,00"/>
        <filter val="595,00"/>
        <filter val="596,68"/>
        <filter val="6,67"/>
        <filter val="60,00"/>
        <filter val="600,00"/>
        <filter val="630,00"/>
        <filter val="66,67"/>
        <filter val="673,49"/>
        <filter val="69,66"/>
        <filter val="7,00"/>
        <filter val="70,00"/>
        <filter val="700,00"/>
        <filter val="702,00"/>
        <filter val="72,00"/>
        <filter val="8,00"/>
        <filter val="80,00"/>
        <filter val="84,81"/>
        <filter val="860,00"/>
        <filter val="9,00"/>
        <filter val="9,26"/>
      </filters>
    </filterColumn>
    <filterColumn colId="29" showButton="0"/>
    <filterColumn colId="30" showButton="0"/>
  </autoFilter>
  <dataConsolidate/>
  <mergeCells count="1001"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9" spans="2:8" x14ac:dyDescent="0.2">
      <c r="B9" s="53" t="s">
        <v>882</v>
      </c>
      <c r="C9" s="53" t="s">
        <v>877</v>
      </c>
      <c r="D9" s="53" t="s">
        <v>46</v>
      </c>
      <c r="E9" s="53" t="s">
        <v>46</v>
      </c>
    </row>
    <row r="11" spans="2:8" x14ac:dyDescent="0.2">
      <c r="B11" s="53" t="s">
        <v>882</v>
      </c>
      <c r="C11" s="53" t="s">
        <v>880</v>
      </c>
      <c r="D11" s="53" t="s">
        <v>46</v>
      </c>
      <c r="E11" s="53" t="s">
        <v>46</v>
      </c>
    </row>
    <row r="13" spans="2:8" x14ac:dyDescent="0.2">
      <c r="B13" s="53" t="s">
        <v>883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</sheetData>
  <sheetProtection algorithmName="SHA-512" hashValue="/eOsaSr/KsR8dUeLbvIGdbNzSqwvbAJpaSrVUyXKUISzshBLLrmQ22X3LWyHmRq6d5FVQtS5YKZhw2ePQZIuaw==" saltValue="b44zHQ61kiZLHHThyjLcs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1171</vt:i4>
      </vt:variant>
    </vt:vector>
  </HeadingPairs>
  <TitlesOfParts>
    <vt:vector size="117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2026-09-16T13:07:53Z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