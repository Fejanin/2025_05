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89D5C22-14C3-443D-A211-517C1C09301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O554" i="2"/>
  <c r="BM554" i="2"/>
  <c r="Y554" i="2"/>
  <c r="AC568" i="2" s="1"/>
  <c r="P554" i="2"/>
  <c r="X551" i="2"/>
  <c r="X550" i="2"/>
  <c r="BO549" i="2"/>
  <c r="BM549" i="2"/>
  <c r="Y549" i="2"/>
  <c r="BN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5" i="2" s="1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P524" i="2"/>
  <c r="BO524" i="2"/>
  <c r="BM524" i="2"/>
  <c r="Y524" i="2"/>
  <c r="BN524" i="2" s="1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P503" i="2"/>
  <c r="BO502" i="2"/>
  <c r="BM502" i="2"/>
  <c r="Y502" i="2"/>
  <c r="Z502" i="2" s="1"/>
  <c r="P502" i="2"/>
  <c r="X498" i="2"/>
  <c r="X497" i="2"/>
  <c r="BO496" i="2"/>
  <c r="BM496" i="2"/>
  <c r="Y496" i="2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7" i="2" s="1"/>
  <c r="P484" i="2"/>
  <c r="X482" i="2"/>
  <c r="X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P478" i="2"/>
  <c r="BO477" i="2"/>
  <c r="BM477" i="2"/>
  <c r="Y477" i="2"/>
  <c r="Z477" i="2" s="1"/>
  <c r="P477" i="2"/>
  <c r="BO476" i="2"/>
  <c r="BM476" i="2"/>
  <c r="Y476" i="2"/>
  <c r="Z476" i="2" s="1"/>
  <c r="P476" i="2"/>
  <c r="BO475" i="2"/>
  <c r="BM475" i="2"/>
  <c r="Y475" i="2"/>
  <c r="BN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Y465" i="2" s="1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X425" i="2"/>
  <c r="X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P397" i="2"/>
  <c r="BO396" i="2"/>
  <c r="BM396" i="2"/>
  <c r="Y396" i="2"/>
  <c r="P396" i="2"/>
  <c r="BO395" i="2"/>
  <c r="BM395" i="2"/>
  <c r="Y395" i="2"/>
  <c r="P395" i="2"/>
  <c r="X393" i="2"/>
  <c r="X392" i="2"/>
  <c r="BO391" i="2"/>
  <c r="BM391" i="2"/>
  <c r="Y391" i="2"/>
  <c r="BP391" i="2" s="1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BP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BN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BN335" i="2" s="1"/>
  <c r="P335" i="2"/>
  <c r="X332" i="2"/>
  <c r="X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Z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N302" i="2" s="1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P289" i="2"/>
  <c r="BO288" i="2"/>
  <c r="BM288" i="2"/>
  <c r="Y288" i="2"/>
  <c r="P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Z282" i="2" s="1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Y278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P259" i="2"/>
  <c r="X256" i="2"/>
  <c r="X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Z249" i="2" s="1"/>
  <c r="P249" i="2"/>
  <c r="BO248" i="2"/>
  <c r="BM248" i="2"/>
  <c r="Y248" i="2"/>
  <c r="P248" i="2"/>
  <c r="X246" i="2"/>
  <c r="X245" i="2"/>
  <c r="BO244" i="2"/>
  <c r="BM244" i="2"/>
  <c r="Y244" i="2"/>
  <c r="BP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Z240" i="2" s="1"/>
  <c r="P240" i="2"/>
  <c r="BO239" i="2"/>
  <c r="BM239" i="2"/>
  <c r="Y239" i="2"/>
  <c r="Z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Z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BN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BP162" i="2" s="1"/>
  <c r="P162" i="2"/>
  <c r="BO161" i="2"/>
  <c r="BM161" i="2"/>
  <c r="Y161" i="2"/>
  <c r="P161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P97" i="2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Y81" i="2" s="1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Z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Z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Y98" i="2" l="1"/>
  <c r="Y52" i="2"/>
  <c r="Z182" i="2"/>
  <c r="BN182" i="2"/>
  <c r="BP90" i="2"/>
  <c r="Z150" i="2"/>
  <c r="BN150" i="2"/>
  <c r="Z302" i="2"/>
  <c r="Z72" i="2"/>
  <c r="BN72" i="2"/>
  <c r="Z218" i="2"/>
  <c r="BN218" i="2"/>
  <c r="Z459" i="2"/>
  <c r="BN459" i="2"/>
  <c r="Z39" i="2"/>
  <c r="Z85" i="2"/>
  <c r="BN85" i="2"/>
  <c r="Z106" i="2"/>
  <c r="BN106" i="2"/>
  <c r="BP147" i="2"/>
  <c r="Z163" i="2"/>
  <c r="BN163" i="2"/>
  <c r="Z179" i="2"/>
  <c r="Y198" i="2"/>
  <c r="Z204" i="2"/>
  <c r="BP330" i="2"/>
  <c r="Z421" i="2"/>
  <c r="Z433" i="2"/>
  <c r="Z509" i="2"/>
  <c r="BN79" i="2"/>
  <c r="BP79" i="2"/>
  <c r="BN86" i="2"/>
  <c r="BN94" i="2"/>
  <c r="BP115" i="2"/>
  <c r="BN115" i="2"/>
  <c r="Z115" i="2"/>
  <c r="BN148" i="2"/>
  <c r="BN156" i="2"/>
  <c r="BN175" i="2"/>
  <c r="Z175" i="2"/>
  <c r="BN183" i="2"/>
  <c r="BN206" i="2"/>
  <c r="BP227" i="2"/>
  <c r="BN227" i="2"/>
  <c r="Z227" i="2"/>
  <c r="BN237" i="2"/>
  <c r="Y256" i="2"/>
  <c r="Z254" i="2"/>
  <c r="Z255" i="2" s="1"/>
  <c r="BN270" i="2"/>
  <c r="BN327" i="2"/>
  <c r="BN382" i="2"/>
  <c r="Y411" i="2"/>
  <c r="Y412" i="2"/>
  <c r="BP408" i="2"/>
  <c r="BN436" i="2"/>
  <c r="BN508" i="2"/>
  <c r="BN521" i="2"/>
  <c r="BN525" i="2"/>
  <c r="BN23" i="2"/>
  <c r="Z27" i="2"/>
  <c r="BN27" i="2"/>
  <c r="BN28" i="2"/>
  <c r="BP39" i="2"/>
  <c r="BN40" i="2"/>
  <c r="Z48" i="2"/>
  <c r="BN50" i="2"/>
  <c r="Z59" i="2"/>
  <c r="BP61" i="2"/>
  <c r="BN61" i="2"/>
  <c r="BN68" i="2"/>
  <c r="Z68" i="2"/>
  <c r="BN97" i="2"/>
  <c r="BP97" i="2"/>
  <c r="BP141" i="2"/>
  <c r="BN141" i="2"/>
  <c r="Z141" i="2"/>
  <c r="BP180" i="2"/>
  <c r="Z180" i="2"/>
  <c r="Y194" i="2"/>
  <c r="Y195" i="2"/>
  <c r="Z193" i="2"/>
  <c r="Z194" i="2" s="1"/>
  <c r="BN214" i="2"/>
  <c r="BN220" i="2"/>
  <c r="BN242" i="2"/>
  <c r="BP254" i="2"/>
  <c r="BN276" i="2"/>
  <c r="BP276" i="2"/>
  <c r="BN282" i="2"/>
  <c r="BN286" i="2"/>
  <c r="BP286" i="2"/>
  <c r="BP289" i="2"/>
  <c r="BN289" i="2"/>
  <c r="Z289" i="2"/>
  <c r="BN295" i="2"/>
  <c r="BN306" i="2"/>
  <c r="BP344" i="2"/>
  <c r="Z344" i="2"/>
  <c r="BN366" i="2"/>
  <c r="BP366" i="2"/>
  <c r="BN373" i="2"/>
  <c r="BP390" i="2"/>
  <c r="BN390" i="2"/>
  <c r="Z390" i="2"/>
  <c r="BN397" i="2"/>
  <c r="Z397" i="2"/>
  <c r="BN403" i="2"/>
  <c r="Z403" i="2"/>
  <c r="BN429" i="2"/>
  <c r="Z429" i="2"/>
  <c r="BN453" i="2"/>
  <c r="BN479" i="2"/>
  <c r="BP479" i="2"/>
  <c r="BN484" i="2"/>
  <c r="BN495" i="2"/>
  <c r="BN504" i="2"/>
  <c r="BP504" i="2"/>
  <c r="BN507" i="2"/>
  <c r="Z507" i="2"/>
  <c r="Y541" i="2"/>
  <c r="Y542" i="2"/>
  <c r="BN554" i="2"/>
  <c r="BN555" i="2"/>
  <c r="Z555" i="2"/>
  <c r="Y75" i="2"/>
  <c r="BN80" i="2"/>
  <c r="Y92" i="2"/>
  <c r="BN96" i="2"/>
  <c r="Y143" i="2"/>
  <c r="BN189" i="2"/>
  <c r="BN197" i="2"/>
  <c r="BN208" i="2"/>
  <c r="BN224" i="2"/>
  <c r="BN228" i="2"/>
  <c r="BN230" i="2"/>
  <c r="BN239" i="2"/>
  <c r="BN249" i="2"/>
  <c r="BN265" i="2"/>
  <c r="BN271" i="2"/>
  <c r="BN273" i="2"/>
  <c r="BN280" i="2"/>
  <c r="BN287" i="2"/>
  <c r="BN291" i="2"/>
  <c r="BP302" i="2"/>
  <c r="BN303" i="2"/>
  <c r="BN311" i="2"/>
  <c r="BN356" i="2"/>
  <c r="Y360" i="2"/>
  <c r="BN363" i="2"/>
  <c r="BN367" i="2"/>
  <c r="BN375" i="2"/>
  <c r="BN385" i="2"/>
  <c r="BN391" i="2"/>
  <c r="BN409" i="2"/>
  <c r="BN415" i="2"/>
  <c r="BN448" i="2"/>
  <c r="BN468" i="2"/>
  <c r="BN480" i="2"/>
  <c r="BN505" i="2"/>
  <c r="BN532" i="2"/>
  <c r="BN536" i="2"/>
  <c r="BN544" i="2"/>
  <c r="Y546" i="2"/>
  <c r="BN548" i="2"/>
  <c r="J9" i="2"/>
  <c r="BP22" i="2"/>
  <c r="BP47" i="2"/>
  <c r="BP58" i="2"/>
  <c r="BN243" i="2"/>
  <c r="BP243" i="2"/>
  <c r="A10" i="2"/>
  <c r="BP28" i="2"/>
  <c r="Z38" i="2"/>
  <c r="BP38" i="2"/>
  <c r="Y42" i="2"/>
  <c r="Z47" i="2"/>
  <c r="BN48" i="2"/>
  <c r="Z58" i="2"/>
  <c r="BN59" i="2"/>
  <c r="BN73" i="2"/>
  <c r="Z74" i="2"/>
  <c r="BP74" i="2"/>
  <c r="Z95" i="2"/>
  <c r="BP95" i="2"/>
  <c r="Z103" i="2"/>
  <c r="BN105" i="2"/>
  <c r="Z112" i="2"/>
  <c r="BN113" i="2"/>
  <c r="Z114" i="2"/>
  <c r="BN126" i="2"/>
  <c r="Y127" i="2"/>
  <c r="Z136" i="2"/>
  <c r="Z138" i="2" s="1"/>
  <c r="BN152" i="2"/>
  <c r="BN162" i="2"/>
  <c r="Z173" i="2"/>
  <c r="BP173" i="2"/>
  <c r="BP225" i="2"/>
  <c r="BN225" i="2"/>
  <c r="Z225" i="2"/>
  <c r="Z229" i="2"/>
  <c r="BN229" i="2"/>
  <c r="BN259" i="2"/>
  <c r="BP259" i="2"/>
  <c r="Z259" i="2"/>
  <c r="Z272" i="2"/>
  <c r="BN272" i="2"/>
  <c r="BP285" i="2"/>
  <c r="BN285" i="2"/>
  <c r="BP320" i="2"/>
  <c r="BN320" i="2"/>
  <c r="BN336" i="2"/>
  <c r="BP336" i="2"/>
  <c r="Z336" i="2"/>
  <c r="BN346" i="2"/>
  <c r="BP346" i="2"/>
  <c r="Z346" i="2"/>
  <c r="BP446" i="2"/>
  <c r="Y450" i="2"/>
  <c r="BN447" i="2"/>
  <c r="BP447" i="2"/>
  <c r="Z447" i="2"/>
  <c r="Y486" i="2"/>
  <c r="BN485" i="2"/>
  <c r="BP522" i="2"/>
  <c r="Z522" i="2"/>
  <c r="Y99" i="2"/>
  <c r="BP107" i="2"/>
  <c r="BP112" i="2"/>
  <c r="BN301" i="2"/>
  <c r="BP301" i="2"/>
  <c r="Z301" i="2"/>
  <c r="BP478" i="2"/>
  <c r="BN478" i="2"/>
  <c r="BN22" i="2"/>
  <c r="BP40" i="2"/>
  <c r="Z50" i="2"/>
  <c r="Z61" i="2"/>
  <c r="BP86" i="2"/>
  <c r="Z94" i="2"/>
  <c r="BP94" i="2"/>
  <c r="BP102" i="2"/>
  <c r="BN107" i="2"/>
  <c r="BP122" i="2"/>
  <c r="BP137" i="2"/>
  <c r="Y153" i="2"/>
  <c r="BN181" i="2"/>
  <c r="Z181" i="2"/>
  <c r="BN207" i="2"/>
  <c r="BP207" i="2"/>
  <c r="Z207" i="2"/>
  <c r="BN238" i="2"/>
  <c r="BP238" i="2"/>
  <c r="Z238" i="2"/>
  <c r="Y251" i="2"/>
  <c r="BN248" i="2"/>
  <c r="Y252" i="2"/>
  <c r="BP248" i="2"/>
  <c r="Z248" i="2"/>
  <c r="Z251" i="2" s="1"/>
  <c r="BN296" i="2"/>
  <c r="BP296" i="2"/>
  <c r="BN358" i="2"/>
  <c r="BP358" i="2"/>
  <c r="Z358" i="2"/>
  <c r="BP365" i="2"/>
  <c r="BN365" i="2"/>
  <c r="Z416" i="2"/>
  <c r="Z417" i="2" s="1"/>
  <c r="BN416" i="2"/>
  <c r="Y418" i="2"/>
  <c r="BP503" i="2"/>
  <c r="BN503" i="2"/>
  <c r="Y511" i="2"/>
  <c r="Y517" i="2"/>
  <c r="Y518" i="2"/>
  <c r="BP514" i="2"/>
  <c r="BN203" i="2"/>
  <c r="BP203" i="2"/>
  <c r="Z203" i="2"/>
  <c r="BP377" i="2"/>
  <c r="BN377" i="2"/>
  <c r="BP469" i="2"/>
  <c r="Y471" i="2"/>
  <c r="Y24" i="2"/>
  <c r="BP41" i="2"/>
  <c r="BP49" i="2"/>
  <c r="BP60" i="2"/>
  <c r="BP68" i="2"/>
  <c r="BP87" i="2"/>
  <c r="BP96" i="2"/>
  <c r="BN103" i="2"/>
  <c r="Z105" i="2"/>
  <c r="Z113" i="2"/>
  <c r="Z122" i="2"/>
  <c r="Z126" i="2"/>
  <c r="Z127" i="2" s="1"/>
  <c r="BP126" i="2"/>
  <c r="BN136" i="2"/>
  <c r="Y144" i="2"/>
  <c r="Z152" i="2"/>
  <c r="Z162" i="2"/>
  <c r="BP175" i="2"/>
  <c r="BP179" i="2"/>
  <c r="BP275" i="2"/>
  <c r="BN275" i="2"/>
  <c r="BN281" i="2"/>
  <c r="BP281" i="2"/>
  <c r="Z281" i="2"/>
  <c r="Z304" i="2"/>
  <c r="BN304" i="2"/>
  <c r="Z326" i="2"/>
  <c r="BN326" i="2"/>
  <c r="BP496" i="2"/>
  <c r="BN496" i="2"/>
  <c r="Y210" i="2"/>
  <c r="BP209" i="2"/>
  <c r="BP240" i="2"/>
  <c r="BP250" i="2"/>
  <c r="BP283" i="2"/>
  <c r="Q568" i="2"/>
  <c r="BP343" i="2"/>
  <c r="BP372" i="2"/>
  <c r="BP383" i="2"/>
  <c r="BP476" i="2"/>
  <c r="BP490" i="2"/>
  <c r="Y498" i="2"/>
  <c r="Y527" i="2"/>
  <c r="BP520" i="2"/>
  <c r="BP549" i="2"/>
  <c r="BN180" i="2"/>
  <c r="Z183" i="2"/>
  <c r="BN193" i="2"/>
  <c r="BP197" i="2"/>
  <c r="Y199" i="2"/>
  <c r="BN204" i="2"/>
  <c r="Z206" i="2"/>
  <c r="Z214" i="2"/>
  <c r="Z215" i="2" s="1"/>
  <c r="BP214" i="2"/>
  <c r="Z220" i="2"/>
  <c r="Z224" i="2"/>
  <c r="Z228" i="2"/>
  <c r="BP230" i="2"/>
  <c r="Z237" i="2"/>
  <c r="BN254" i="2"/>
  <c r="Z271" i="2"/>
  <c r="BP273" i="2"/>
  <c r="Z280" i="2"/>
  <c r="Y292" i="2"/>
  <c r="Y298" i="2"/>
  <c r="BP303" i="2"/>
  <c r="Y309" i="2"/>
  <c r="BP307" i="2"/>
  <c r="Y313" i="2"/>
  <c r="BP319" i="2"/>
  <c r="BP327" i="2"/>
  <c r="Z335" i="2"/>
  <c r="BP335" i="2"/>
  <c r="Y339" i="2"/>
  <c r="Z343" i="2"/>
  <c r="BP376" i="2"/>
  <c r="Z391" i="2"/>
  <c r="BP397" i="2"/>
  <c r="Y406" i="2"/>
  <c r="Y405" i="2"/>
  <c r="BP415" i="2"/>
  <c r="Y417" i="2"/>
  <c r="Z436" i="2"/>
  <c r="Y470" i="2"/>
  <c r="Z484" i="2"/>
  <c r="BP484" i="2"/>
  <c r="Z495" i="2"/>
  <c r="AB568" i="2"/>
  <c r="BP532" i="2"/>
  <c r="BP544" i="2"/>
  <c r="Z549" i="2"/>
  <c r="Z550" i="2" s="1"/>
  <c r="Z554" i="2"/>
  <c r="BP554" i="2"/>
  <c r="S568" i="2"/>
  <c r="Z189" i="2"/>
  <c r="BP208" i="2"/>
  <c r="BN209" i="2"/>
  <c r="BN232" i="2"/>
  <c r="BP239" i="2"/>
  <c r="BN240" i="2"/>
  <c r="BN244" i="2"/>
  <c r="BP249" i="2"/>
  <c r="BN250" i="2"/>
  <c r="Z270" i="2"/>
  <c r="BP282" i="2"/>
  <c r="BN283" i="2"/>
  <c r="Z291" i="2"/>
  <c r="Z311" i="2"/>
  <c r="Z312" i="2" s="1"/>
  <c r="BP311" i="2"/>
  <c r="Y322" i="2"/>
  <c r="BN329" i="2"/>
  <c r="Y338" i="2"/>
  <c r="BP337" i="2"/>
  <c r="BP373" i="2"/>
  <c r="BN383" i="2"/>
  <c r="BP433" i="2"/>
  <c r="Y464" i="2"/>
  <c r="Y568" i="2"/>
  <c r="BP475" i="2"/>
  <c r="BN476" i="2"/>
  <c r="Y481" i="2"/>
  <c r="BN490" i="2"/>
  <c r="AA568" i="2"/>
  <c r="BP509" i="2"/>
  <c r="BN515" i="2"/>
  <c r="BN520" i="2"/>
  <c r="BN523" i="2"/>
  <c r="BP536" i="2"/>
  <c r="BP548" i="2"/>
  <c r="BP555" i="2"/>
  <c r="U568" i="2"/>
  <c r="BP177" i="2"/>
  <c r="BN177" i="2"/>
  <c r="Y234" i="2"/>
  <c r="Y246" i="2"/>
  <c r="BN236" i="2"/>
  <c r="Y332" i="2"/>
  <c r="BP328" i="2"/>
  <c r="Y331" i="2"/>
  <c r="BN328" i="2"/>
  <c r="BP350" i="2"/>
  <c r="BN350" i="2"/>
  <c r="Z350" i="2"/>
  <c r="Y425" i="2"/>
  <c r="V568" i="2"/>
  <c r="BP423" i="2"/>
  <c r="Z423" i="2"/>
  <c r="BN423" i="2"/>
  <c r="BP431" i="2"/>
  <c r="Z431" i="2"/>
  <c r="BN431" i="2"/>
  <c r="Z111" i="2"/>
  <c r="Y116" i="2"/>
  <c r="BP111" i="2"/>
  <c r="Y133" i="2"/>
  <c r="BP132" i="2"/>
  <c r="BN132" i="2"/>
  <c r="Z168" i="2"/>
  <c r="BP168" i="2"/>
  <c r="BP221" i="2"/>
  <c r="BN221" i="2"/>
  <c r="Z221" i="2"/>
  <c r="BP364" i="2"/>
  <c r="BN364" i="2"/>
  <c r="BP435" i="2"/>
  <c r="Z435" i="2"/>
  <c r="BN435" i="2"/>
  <c r="Z132" i="2"/>
  <c r="BP174" i="2"/>
  <c r="Z174" i="2"/>
  <c r="BP345" i="2"/>
  <c r="BN345" i="2"/>
  <c r="Z364" i="2"/>
  <c r="Y393" i="2"/>
  <c r="BP389" i="2"/>
  <c r="Y392" i="2"/>
  <c r="BN389" i="2"/>
  <c r="Z389" i="2"/>
  <c r="BP441" i="2"/>
  <c r="Z441" i="2"/>
  <c r="BN441" i="2"/>
  <c r="Z67" i="2"/>
  <c r="BP67" i="2"/>
  <c r="F568" i="2"/>
  <c r="BN111" i="2"/>
  <c r="BP120" i="2"/>
  <c r="BN120" i="2"/>
  <c r="BN168" i="2"/>
  <c r="BP274" i="2"/>
  <c r="BN274" i="2"/>
  <c r="Y293" i="2"/>
  <c r="Z345" i="2"/>
  <c r="Y62" i="2"/>
  <c r="E568" i="2"/>
  <c r="BN55" i="2"/>
  <c r="Z55" i="2"/>
  <c r="BP88" i="2"/>
  <c r="Y91" i="2"/>
  <c r="BN88" i="2"/>
  <c r="Z88" i="2"/>
  <c r="BP114" i="2"/>
  <c r="Z120" i="2"/>
  <c r="BN174" i="2"/>
  <c r="BP236" i="2"/>
  <c r="Z274" i="2"/>
  <c r="Z342" i="2"/>
  <c r="Y347" i="2"/>
  <c r="R568" i="2"/>
  <c r="BP342" i="2"/>
  <c r="BP351" i="2"/>
  <c r="Z351" i="2"/>
  <c r="BN351" i="2"/>
  <c r="BP395" i="2"/>
  <c r="Z395" i="2"/>
  <c r="BN395" i="2"/>
  <c r="Y400" i="2"/>
  <c r="Z432" i="2"/>
  <c r="BP432" i="2"/>
  <c r="Y82" i="2"/>
  <c r="BP78" i="2"/>
  <c r="Z78" i="2"/>
  <c r="X559" i="2"/>
  <c r="BP31" i="2"/>
  <c r="Z31" i="2"/>
  <c r="Z49" i="2"/>
  <c r="Z51" i="2" s="1"/>
  <c r="BN67" i="2"/>
  <c r="BP73" i="2"/>
  <c r="Y76" i="2"/>
  <c r="BN78" i="2"/>
  <c r="Z178" i="2"/>
  <c r="BP178" i="2"/>
  <c r="BP222" i="2"/>
  <c r="BN222" i="2"/>
  <c r="Y261" i="2"/>
  <c r="BP260" i="2"/>
  <c r="Z260" i="2"/>
  <c r="M568" i="2"/>
  <c r="BP374" i="2"/>
  <c r="Y380" i="2"/>
  <c r="BN374" i="2"/>
  <c r="Y399" i="2"/>
  <c r="X560" i="2"/>
  <c r="BP151" i="2"/>
  <c r="Z151" i="2"/>
  <c r="BP231" i="2"/>
  <c r="BN231" i="2"/>
  <c r="BP290" i="2"/>
  <c r="Z290" i="2"/>
  <c r="BP305" i="2"/>
  <c r="BN305" i="2"/>
  <c r="O568" i="2"/>
  <c r="Y308" i="2"/>
  <c r="Z442" i="2"/>
  <c r="BP442" i="2"/>
  <c r="Y233" i="2"/>
  <c r="BP219" i="2"/>
  <c r="Z219" i="2"/>
  <c r="L568" i="2"/>
  <c r="BN269" i="2"/>
  <c r="Y277" i="2"/>
  <c r="Z305" i="2"/>
  <c r="Y437" i="2"/>
  <c r="Z269" i="2"/>
  <c r="BN290" i="2"/>
  <c r="Y352" i="2"/>
  <c r="Y386" i="2"/>
  <c r="BP384" i="2"/>
  <c r="BN384" i="2"/>
  <c r="Z396" i="2"/>
  <c r="BP396" i="2"/>
  <c r="Y424" i="2"/>
  <c r="BN442" i="2"/>
  <c r="Y460" i="2"/>
  <c r="X568" i="2"/>
  <c r="BP458" i="2"/>
  <c r="BN458" i="2"/>
  <c r="Z458" i="2"/>
  <c r="Z460" i="2" s="1"/>
  <c r="Y461" i="2"/>
  <c r="Y109" i="2"/>
  <c r="Y108" i="2"/>
  <c r="BN104" i="2"/>
  <c r="BP172" i="2"/>
  <c r="BN172" i="2"/>
  <c r="Z172" i="2"/>
  <c r="Y185" i="2"/>
  <c r="Y184" i="2"/>
  <c r="BP181" i="2"/>
  <c r="Y191" i="2"/>
  <c r="BP187" i="2"/>
  <c r="Y190" i="2"/>
  <c r="BN187" i="2"/>
  <c r="Y211" i="2"/>
  <c r="BN205" i="2"/>
  <c r="K568" i="2"/>
  <c r="BN219" i="2"/>
  <c r="Y370" i="2"/>
  <c r="Z384" i="2"/>
  <c r="Y134" i="2"/>
  <c r="Y51" i="2"/>
  <c r="Z104" i="2"/>
  <c r="J568" i="2"/>
  <c r="Y165" i="2"/>
  <c r="Y164" i="2"/>
  <c r="BN161" i="2"/>
  <c r="Z187" i="2"/>
  <c r="Z205" i="2"/>
  <c r="Z223" i="2"/>
  <c r="BP223" i="2"/>
  <c r="Y353" i="2"/>
  <c r="BN396" i="2"/>
  <c r="Y70" i="2"/>
  <c r="Y69" i="2"/>
  <c r="BN65" i="2"/>
  <c r="Z65" i="2"/>
  <c r="Z161" i="2"/>
  <c r="Z226" i="2"/>
  <c r="Y262" i="2"/>
  <c r="BP269" i="2"/>
  <c r="BP284" i="2"/>
  <c r="BN284" i="2"/>
  <c r="Y379" i="2"/>
  <c r="BN151" i="2"/>
  <c r="Y32" i="2"/>
  <c r="BN223" i="2"/>
  <c r="Y63" i="2"/>
  <c r="X562" i="2"/>
  <c r="Z57" i="2"/>
  <c r="BP57" i="2"/>
  <c r="Z60" i="2"/>
  <c r="BP104" i="2"/>
  <c r="BP142" i="2"/>
  <c r="BN142" i="2"/>
  <c r="Z142" i="2"/>
  <c r="BP149" i="2"/>
  <c r="BN149" i="2"/>
  <c r="Z149" i="2"/>
  <c r="BP205" i="2"/>
  <c r="Y267" i="2"/>
  <c r="Y266" i="2"/>
  <c r="BP264" i="2"/>
  <c r="BN264" i="2"/>
  <c r="BP288" i="2"/>
  <c r="BN288" i="2"/>
  <c r="Z288" i="2"/>
  <c r="Y369" i="2"/>
  <c r="BP56" i="2"/>
  <c r="BN56" i="2"/>
  <c r="Z121" i="2"/>
  <c r="BP121" i="2"/>
  <c r="H568" i="2"/>
  <c r="BP161" i="2"/>
  <c r="BP167" i="2"/>
  <c r="BN167" i="2"/>
  <c r="Y170" i="2"/>
  <c r="Y169" i="2"/>
  <c r="BP176" i="2"/>
  <c r="BN176" i="2"/>
  <c r="Z176" i="2"/>
  <c r="Z188" i="2"/>
  <c r="BP188" i="2"/>
  <c r="BP226" i="2"/>
  <c r="BP241" i="2"/>
  <c r="BN241" i="2"/>
  <c r="Y387" i="2"/>
  <c r="Y438" i="2"/>
  <c r="Y455" i="2"/>
  <c r="Y454" i="2"/>
  <c r="BP452" i="2"/>
  <c r="BN452" i="2"/>
  <c r="BP89" i="2"/>
  <c r="Z89" i="2"/>
  <c r="C568" i="2"/>
  <c r="BN37" i="2"/>
  <c r="Y43" i="2"/>
  <c r="F10" i="2"/>
  <c r="H9" i="2"/>
  <c r="X558" i="2"/>
  <c r="BP37" i="2"/>
  <c r="BN57" i="2"/>
  <c r="G568" i="2"/>
  <c r="Y117" i="2"/>
  <c r="Y139" i="2"/>
  <c r="Y138" i="2"/>
  <c r="BN137" i="2"/>
  <c r="Z167" i="2"/>
  <c r="Z241" i="2"/>
  <c r="Z452" i="2"/>
  <c r="BP66" i="2"/>
  <c r="BN66" i="2"/>
  <c r="BN188" i="2"/>
  <c r="Y245" i="2"/>
  <c r="Y348" i="2"/>
  <c r="Y444" i="2"/>
  <c r="Y33" i="2"/>
  <c r="BP30" i="2"/>
  <c r="BN30" i="2"/>
  <c r="Z66" i="2"/>
  <c r="Y124" i="2"/>
  <c r="Y123" i="2"/>
  <c r="BP119" i="2"/>
  <c r="BN119" i="2"/>
  <c r="Z119" i="2"/>
  <c r="Y317" i="2"/>
  <c r="BP315" i="2"/>
  <c r="BN315" i="2"/>
  <c r="Z315" i="2"/>
  <c r="Z316" i="2" s="1"/>
  <c r="Y528" i="2"/>
  <c r="Y297" i="2"/>
  <c r="Z404" i="2"/>
  <c r="Z430" i="2"/>
  <c r="Z440" i="2"/>
  <c r="Z463" i="2"/>
  <c r="Z464" i="2" s="1"/>
  <c r="BN477" i="2"/>
  <c r="BN502" i="2"/>
  <c r="Z510" i="2"/>
  <c r="BN522" i="2"/>
  <c r="Z23" i="2"/>
  <c r="Z24" i="2" s="1"/>
  <c r="Z80" i="2"/>
  <c r="Z148" i="2"/>
  <c r="Z244" i="2"/>
  <c r="Z287" i="2"/>
  <c r="Z320" i="2"/>
  <c r="Z356" i="2"/>
  <c r="Z367" i="2"/>
  <c r="Z377" i="2"/>
  <c r="Z409" i="2"/>
  <c r="Z468" i="2"/>
  <c r="Z480" i="2"/>
  <c r="Z505" i="2"/>
  <c r="Z515" i="2"/>
  <c r="Z525" i="2"/>
  <c r="P568" i="2"/>
  <c r="Y154" i="2"/>
  <c r="Z337" i="2"/>
  <c r="Z372" i="2"/>
  <c r="Z382" i="2"/>
  <c r="BN404" i="2"/>
  <c r="BN430" i="2"/>
  <c r="BN440" i="2"/>
  <c r="Y443" i="2"/>
  <c r="BN463" i="2"/>
  <c r="Z475" i="2"/>
  <c r="BP477" i="2"/>
  <c r="Z485" i="2"/>
  <c r="Y491" i="2"/>
  <c r="BP502" i="2"/>
  <c r="BN510" i="2"/>
  <c r="Z520" i="2"/>
  <c r="Z532" i="2"/>
  <c r="Z533" i="2" s="1"/>
  <c r="Y537" i="2"/>
  <c r="Z544" i="2"/>
  <c r="Z545" i="2" s="1"/>
  <c r="Y359" i="2"/>
  <c r="Z402" i="2"/>
  <c r="BP440" i="2"/>
  <c r="Z448" i="2"/>
  <c r="BP463" i="2"/>
  <c r="Z496" i="2"/>
  <c r="Z508" i="2"/>
  <c r="BN47" i="2"/>
  <c r="BN102" i="2"/>
  <c r="Z156" i="2"/>
  <c r="Z157" i="2" s="1"/>
  <c r="Z232" i="2"/>
  <c r="Z242" i="2"/>
  <c r="Z265" i="2"/>
  <c r="Z266" i="2" s="1"/>
  <c r="Z275" i="2"/>
  <c r="Z285" i="2"/>
  <c r="Z295" i="2"/>
  <c r="Z306" i="2"/>
  <c r="Z329" i="2"/>
  <c r="Z365" i="2"/>
  <c r="Z375" i="2"/>
  <c r="Z385" i="2"/>
  <c r="BN421" i="2"/>
  <c r="Z453" i="2"/>
  <c r="Z478" i="2"/>
  <c r="Y492" i="2"/>
  <c r="Z503" i="2"/>
  <c r="Z523" i="2"/>
  <c r="Y538" i="2"/>
  <c r="T568" i="2"/>
  <c r="B568" i="2"/>
  <c r="Z321" i="2"/>
  <c r="Z357" i="2"/>
  <c r="Z368" i="2"/>
  <c r="Z378" i="2"/>
  <c r="BP402" i="2"/>
  <c r="Z410" i="2"/>
  <c r="Z446" i="2"/>
  <c r="Z469" i="2"/>
  <c r="Z494" i="2"/>
  <c r="Z506" i="2"/>
  <c r="Z516" i="2"/>
  <c r="Z526" i="2"/>
  <c r="Y533" i="2"/>
  <c r="Z540" i="2"/>
  <c r="Z541" i="2" s="1"/>
  <c r="D568" i="2"/>
  <c r="W568" i="2"/>
  <c r="Z29" i="2"/>
  <c r="Z41" i="2"/>
  <c r="Z87" i="2"/>
  <c r="Z97" i="2"/>
  <c r="Z131" i="2"/>
  <c r="BP156" i="2"/>
  <c r="Y215" i="2"/>
  <c r="Y255" i="2"/>
  <c r="Z363" i="2"/>
  <c r="Y512" i="2"/>
  <c r="Z521" i="2"/>
  <c r="Y550" i="2"/>
  <c r="Y556" i="2"/>
  <c r="Y25" i="2"/>
  <c r="BN321" i="2"/>
  <c r="BN357" i="2"/>
  <c r="BN368" i="2"/>
  <c r="BN378" i="2"/>
  <c r="Z398" i="2"/>
  <c r="BN410" i="2"/>
  <c r="Z422" i="2"/>
  <c r="Z434" i="2"/>
  <c r="BN446" i="2"/>
  <c r="Y449" i="2"/>
  <c r="BN469" i="2"/>
  <c r="Y482" i="2"/>
  <c r="BN494" i="2"/>
  <c r="Y497" i="2"/>
  <c r="BN506" i="2"/>
  <c r="BN516" i="2"/>
  <c r="BN526" i="2"/>
  <c r="BN540" i="2"/>
  <c r="BN29" i="2"/>
  <c r="BN131" i="2"/>
  <c r="Y157" i="2"/>
  <c r="Z568" i="2"/>
  <c r="Z79" i="2"/>
  <c r="Z90" i="2"/>
  <c r="Z147" i="2"/>
  <c r="Z243" i="2"/>
  <c r="Z276" i="2"/>
  <c r="Z286" i="2"/>
  <c r="Z296" i="2"/>
  <c r="Z307" i="2"/>
  <c r="Z319" i="2"/>
  <c r="Z322" i="2" s="1"/>
  <c r="Z330" i="2"/>
  <c r="BN344" i="2"/>
  <c r="Z366" i="2"/>
  <c r="Z376" i="2"/>
  <c r="BN398" i="2"/>
  <c r="Z408" i="2"/>
  <c r="BN422" i="2"/>
  <c r="BN434" i="2"/>
  <c r="Z467" i="2"/>
  <c r="Z479" i="2"/>
  <c r="BP494" i="2"/>
  <c r="Z504" i="2"/>
  <c r="Z514" i="2"/>
  <c r="Z524" i="2"/>
  <c r="BP540" i="2"/>
  <c r="Y551" i="2"/>
  <c r="Y557" i="2"/>
  <c r="I568" i="2"/>
  <c r="BN319" i="2"/>
  <c r="BN408" i="2"/>
  <c r="BN467" i="2"/>
  <c r="BN514" i="2"/>
  <c r="Z424" i="2" l="1"/>
  <c r="Z108" i="2"/>
  <c r="Z75" i="2"/>
  <c r="Z153" i="2"/>
  <c r="Z133" i="2"/>
  <c r="Z91" i="2"/>
  <c r="Z32" i="2"/>
  <c r="Z449" i="2"/>
  <c r="Z292" i="2"/>
  <c r="Z338" i="2"/>
  <c r="Z98" i="2"/>
  <c r="Z42" i="2"/>
  <c r="Z169" i="2"/>
  <c r="Z143" i="2"/>
  <c r="Z486" i="2"/>
  <c r="Y559" i="2"/>
  <c r="Z352" i="2"/>
  <c r="Z443" i="2"/>
  <c r="Z164" i="2"/>
  <c r="Z261" i="2"/>
  <c r="Z392" i="2"/>
  <c r="Z556" i="2"/>
  <c r="Y560" i="2"/>
  <c r="Z511" i="2"/>
  <c r="Z331" i="2"/>
  <c r="Z308" i="2"/>
  <c r="Z233" i="2"/>
  <c r="Z245" i="2"/>
  <c r="Y562" i="2"/>
  <c r="Z210" i="2"/>
  <c r="Z116" i="2"/>
  <c r="Z277" i="2"/>
  <c r="Z69" i="2"/>
  <c r="Z347" i="2"/>
  <c r="X561" i="2"/>
  <c r="Z81" i="2"/>
  <c r="Z369" i="2"/>
  <c r="Z527" i="2"/>
  <c r="Z190" i="2"/>
  <c r="Z411" i="2"/>
  <c r="Z517" i="2"/>
  <c r="Z297" i="2"/>
  <c r="Y558" i="2"/>
  <c r="Z399" i="2"/>
  <c r="Z481" i="2"/>
  <c r="Z184" i="2"/>
  <c r="Z470" i="2"/>
  <c r="Z359" i="2"/>
  <c r="Z386" i="2"/>
  <c r="Z123" i="2"/>
  <c r="Z62" i="2"/>
  <c r="Z437" i="2"/>
  <c r="Z497" i="2"/>
  <c r="Z454" i="2"/>
  <c r="Z405" i="2"/>
  <c r="Z379" i="2"/>
  <c r="Y561" i="2" l="1"/>
  <c r="Z563" i="2"/>
</calcChain>
</file>

<file path=xl/sharedStrings.xml><?xml version="1.0" encoding="utf-8"?>
<sst xmlns="http://schemas.openxmlformats.org/spreadsheetml/2006/main" count="4283" uniqueCount="900">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</sst>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 t="s">
        <v>899</v>
      </c>
      <c r="I5" s="995"/>
      <c r="J5" s="995"/>
      <c r="K5" s="995"/>
      <c r="L5" s="995"/>
      <c r="M5" s="995"/>
      <c r="N5" s="72"/>
      <c r="P5" s="27" t="s">
        <v>4</v>
      </c>
      <c r="Q5" s="997">
        <v>46284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 t="s">
        <v>882</v>
      </c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Суббота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 t="str">
        <f>IFERROR(VLOOKUP(DeliveryAddress,Table,3,0),1)</f>
        <v>3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0.41666666666666669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hidden="1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60</v>
      </c>
      <c r="Y49" s="55">
        <f>IFERROR(IF(X49="",0,CEILING((X49/$H49),1)*$H49),"")</f>
        <v>60</v>
      </c>
      <c r="Z49" s="41">
        <f>IFERROR(IF(Y49=0,"",ROUNDUP(Y49/H49,0)*0.00902),"")</f>
        <v>0.1353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62.850000000000009</v>
      </c>
      <c r="BN49" s="78">
        <f>IFERROR(Y49*I49/H49,"0")</f>
        <v>62.850000000000009</v>
      </c>
      <c r="BO49" s="78">
        <f>IFERROR(1/J49*(X49/H49),"0")</f>
        <v>0.11363636363636365</v>
      </c>
      <c r="BP49" s="78">
        <f>IFERROR(1/J49*(Y49/H49),"0")</f>
        <v>0.11363636363636365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15</v>
      </c>
      <c r="Y51" s="43">
        <f>IFERROR(Y47/H47,"0")+IFERROR(Y48/H48,"0")+IFERROR(Y49/H49,"0")+IFERROR(Y50/H50,"0")</f>
        <v>15</v>
      </c>
      <c r="Z51" s="43">
        <f>IFERROR(IF(Z47="",0,Z47),"0")+IFERROR(IF(Z48="",0,Z48),"0")+IFERROR(IF(Z49="",0,Z49),"0")+IFERROR(IF(Z50="",0,Z50),"0")</f>
        <v>0.1353</v>
      </c>
      <c r="AA51" s="67"/>
      <c r="AB51" s="67"/>
      <c r="AC51" s="67"/>
    </row>
    <row r="52" spans="1:68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60</v>
      </c>
      <c r="Y52" s="43">
        <f>IFERROR(SUM(Y47:Y50),"0")</f>
        <v>60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5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0</v>
      </c>
      <c r="BN85" s="78">
        <f t="shared" ref="BN85:BN90" si="7">IFERROR(Y85*I85/H85,"0")</f>
        <v>0</v>
      </c>
      <c r="BO85" s="78">
        <f t="shared" ref="BO85:BO90" si="8">IFERROR(1/J85*(X85/H85),"0")</f>
        <v>0</v>
      </c>
      <c r="BP85" s="78">
        <f t="shared" ref="BP85:BP90" si="9"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idden="1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0</v>
      </c>
      <c r="Y91" s="43">
        <f>IFERROR(Y85/H85,"0")+IFERROR(Y86/H86,"0")+IFERROR(Y87/H87,"0")+IFERROR(Y88/H88,"0")+IFERROR(Y89/H89,"0")+IFERROR(Y90/H90,"0")</f>
        <v>0</v>
      </c>
      <c r="Z91" s="43">
        <f>IFERROR(IF(Z85="",0,Z85),"0")+IFERROR(IF(Z86="",0,Z86),"0")+IFERROR(IF(Z87="",0,Z87),"0")+IFERROR(IF(Z88="",0,Z88),"0")+IFERROR(IF(Z89="",0,Z89),"0")+IFERROR(IF(Z90="",0,Z90),"0")</f>
        <v>0</v>
      </c>
      <c r="AA91" s="67"/>
      <c r="AB91" s="67"/>
      <c r="AC91" s="67"/>
    </row>
    <row r="92" spans="1:68" hidden="1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0</v>
      </c>
      <c r="Y92" s="43">
        <f>IFERROR(SUM(Y85:Y90),"0")</f>
        <v>0</v>
      </c>
      <c r="Z92" s="42"/>
      <c r="AA92" s="67"/>
      <c r="AB92" s="67"/>
      <c r="AC92" s="67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hidden="1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108</v>
      </c>
      <c r="Y96" s="55">
        <f>IFERROR(IF(X96="",0,CEILING((X96/$H96),1)*$H96),"")</f>
        <v>108</v>
      </c>
      <c r="Z96" s="41">
        <f>IFERROR(IF(Y96=0,"",ROUNDUP(Y96/H96,0)*0.00651),"")</f>
        <v>0.26040000000000002</v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118.07999999999998</v>
      </c>
      <c r="BN96" s="78">
        <f>IFERROR(Y96*I96/H96,"0")</f>
        <v>118.07999999999998</v>
      </c>
      <c r="BO96" s="78">
        <f>IFERROR(1/J96*(X96/H96),"0")</f>
        <v>0.2197802197802198</v>
      </c>
      <c r="BP96" s="78">
        <f>IFERROR(1/J96*(Y96/H96),"0")</f>
        <v>0.2197802197802198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40</v>
      </c>
      <c r="Y98" s="43">
        <f>IFERROR(Y94/H94,"0")+IFERROR(Y95/H95,"0")+IFERROR(Y96/H96,"0")+IFERROR(Y97/H97,"0")</f>
        <v>40</v>
      </c>
      <c r="Z98" s="43">
        <f>IFERROR(IF(Z94="",0,Z94),"0")+IFERROR(IF(Z95="",0,Z95),"0")+IFERROR(IF(Z96="",0,Z96),"0")+IFERROR(IF(Z97="",0,Z97),"0")</f>
        <v>0.26040000000000002</v>
      </c>
      <c r="AA98" s="67"/>
      <c r="AB98" s="67"/>
      <c r="AC98" s="67"/>
    </row>
    <row r="99" spans="1:68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108</v>
      </c>
      <c r="Y99" s="43">
        <f>IFERROR(SUM(Y94:Y97),"0")</f>
        <v>108</v>
      </c>
      <c r="Z99" s="42"/>
      <c r="AA99" s="67"/>
      <c r="AB99" s="67"/>
      <c r="AC99" s="67"/>
    </row>
    <row r="100" spans="1:68" ht="16.5" hidden="1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hidden="1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hidden="1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idden="1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hidden="1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hidden="1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hidden="1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hidden="1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hidden="1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idden="1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hidden="1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hidden="1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hidden="1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hidden="1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7.2</v>
      </c>
      <c r="Y221" s="55">
        <f t="shared" si="32"/>
        <v>7.2</v>
      </c>
      <c r="Z221" s="41">
        <f>IFERROR(IF(Y221=0,"",ROUNDUP(Y221/H221,0)*0.00556),"")</f>
        <v>5.0040000000000001E-2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8.370000000000001</v>
      </c>
      <c r="BN221" s="78">
        <f t="shared" si="34"/>
        <v>8.370000000000001</v>
      </c>
      <c r="BO221" s="78">
        <f t="shared" si="35"/>
        <v>3.5714285714285712E-2</v>
      </c>
      <c r="BP221" s="78">
        <f t="shared" si="36"/>
        <v>3.5714285714285712E-2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9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9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5.0040000000000001E-2</v>
      </c>
      <c r="AA233" s="67"/>
      <c r="AB233" s="67"/>
      <c r="AC233" s="67"/>
    </row>
    <row r="234" spans="1:68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7.2</v>
      </c>
      <c r="Y234" s="43">
        <f>IFERROR(SUM(Y218:Y232),"0")</f>
        <v>7.2</v>
      </c>
      <c r="Z234" s="42"/>
      <c r="AA234" s="67"/>
      <c r="AB234" s="67"/>
      <c r="AC234" s="67"/>
    </row>
    <row r="235" spans="1:68" ht="14.25" hidden="1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hidden="1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idden="1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80</v>
      </c>
      <c r="Y286" s="55">
        <f t="shared" si="48"/>
        <v>81.599999999999994</v>
      </c>
      <c r="Z286" s="41">
        <f>IFERROR(IF(Y286=0,"",ROUNDUP(Y286/H286,0)*0.00651),"")</f>
        <v>0.22134000000000001</v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88.40000000000002</v>
      </c>
      <c r="BN286" s="78">
        <f t="shared" si="50"/>
        <v>90.168000000000006</v>
      </c>
      <c r="BO286" s="78">
        <f t="shared" si="51"/>
        <v>0.18315018315018317</v>
      </c>
      <c r="BP286" s="78">
        <f t="shared" si="52"/>
        <v>0.18681318681318682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33.333333333333336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34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0.22134000000000001</v>
      </c>
      <c r="AA292" s="67"/>
      <c r="AB292" s="67"/>
      <c r="AC292" s="67"/>
    </row>
    <row r="293" spans="1:68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80</v>
      </c>
      <c r="Y293" s="43">
        <f>IFERROR(SUM(Y280:Y291),"0")</f>
        <v>81.599999999999994</v>
      </c>
      <c r="Z293" s="42"/>
      <c r="AA293" s="67"/>
      <c r="AB293" s="67"/>
      <c r="AC293" s="67"/>
    </row>
    <row r="294" spans="1:68" ht="14.25" hidden="1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hidden="1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36</v>
      </c>
      <c r="Y304" s="55">
        <f t="shared" si="53"/>
        <v>36</v>
      </c>
      <c r="Z304" s="41">
        <f>IFERROR(IF(Y304=0,"",ROUNDUP(Y304/H304,0)*0.00902),"")</f>
        <v>8.1180000000000002E-2</v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37.71</v>
      </c>
      <c r="BN304" s="78">
        <f t="shared" si="55"/>
        <v>37.71</v>
      </c>
      <c r="BO304" s="78">
        <f t="shared" si="56"/>
        <v>6.8181818181818177E-2</v>
      </c>
      <c r="BP304" s="78">
        <f t="shared" si="57"/>
        <v>6.8181818181818177E-2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48</v>
      </c>
      <c r="Y307" s="55">
        <f t="shared" si="53"/>
        <v>48</v>
      </c>
      <c r="Z307" s="41">
        <f>IFERROR(IF(Y307=0,"",ROUNDUP(Y307/H307,0)*0.00902),"")</f>
        <v>0.10824</v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50.28</v>
      </c>
      <c r="BN307" s="78">
        <f t="shared" si="55"/>
        <v>50.28</v>
      </c>
      <c r="BO307" s="78">
        <f t="shared" si="56"/>
        <v>9.0909090909090912E-2</v>
      </c>
      <c r="BP307" s="78">
        <f t="shared" si="57"/>
        <v>9.0909090909090912E-2</v>
      </c>
    </row>
    <row r="308" spans="1:68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21</v>
      </c>
      <c r="Y308" s="43">
        <f>IFERROR(Y301/H301,"0")+IFERROR(Y302/H302,"0")+IFERROR(Y303/H303,"0")+IFERROR(Y304/H304,"0")+IFERROR(Y305/H305,"0")+IFERROR(Y306/H306,"0")+IFERROR(Y307/H307,"0")</f>
        <v>21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0.18942000000000001</v>
      </c>
      <c r="AA308" s="67"/>
      <c r="AB308" s="67"/>
      <c r="AC308" s="67"/>
    </row>
    <row r="309" spans="1:68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84</v>
      </c>
      <c r="Y309" s="43">
        <f>IFERROR(SUM(Y301:Y307),"0")</f>
        <v>84</v>
      </c>
      <c r="Z309" s="42"/>
      <c r="AA309" s="67"/>
      <c r="AB309" s="67"/>
      <c r="AC309" s="67"/>
    </row>
    <row r="310" spans="1:68" ht="14.25" hidden="1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hidden="1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hidden="1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hidden="1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42</v>
      </c>
      <c r="Y404" s="55">
        <f>IFERROR(IF(X404="",0,CEILING((X404/$H404),1)*$H404),"")</f>
        <v>42</v>
      </c>
      <c r="Z404" s="41">
        <f>IFERROR(IF(Y404=0,"",ROUNDUP(Y404/H404,0)*0.00474),"")</f>
        <v>9.9540000000000003E-2</v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47.040000000000006</v>
      </c>
      <c r="BN404" s="78">
        <f>IFERROR(Y404*I404/H404,"0")</f>
        <v>47.040000000000006</v>
      </c>
      <c r="BO404" s="78">
        <f>IFERROR(1/J404*(X404/H404),"0")</f>
        <v>8.8235294117647051E-2</v>
      </c>
      <c r="BP404" s="78">
        <f>IFERROR(1/J404*(Y404/H404),"0")</f>
        <v>8.8235294117647051E-2</v>
      </c>
    </row>
    <row r="405" spans="1:68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21</v>
      </c>
      <c r="Y405" s="43">
        <f>IFERROR(Y402/H402,"0")+IFERROR(Y403/H403,"0")+IFERROR(Y404/H404,"0")</f>
        <v>21</v>
      </c>
      <c r="Z405" s="43">
        <f>IFERROR(IF(Z402="",0,Z402),"0")+IFERROR(IF(Z403="",0,Z403),"0")+IFERROR(IF(Z404="",0,Z404),"0")</f>
        <v>9.9540000000000003E-2</v>
      </c>
      <c r="AA405" s="67"/>
      <c r="AB405" s="67"/>
      <c r="AC405" s="67"/>
    </row>
    <row r="406" spans="1:68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42</v>
      </c>
      <c r="Y406" s="43">
        <f>IFERROR(SUM(Y402:Y404),"0")</f>
        <v>42</v>
      </c>
      <c r="Z406" s="42"/>
      <c r="AA406" s="67"/>
      <c r="AB406" s="67"/>
      <c r="AC406" s="67"/>
    </row>
    <row r="407" spans="1:68" ht="14.25" hidden="1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hidden="1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hidden="1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hidden="1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hidden="1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hidden="1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75</v>
      </c>
      <c r="Y436" s="55">
        <f t="shared" si="68"/>
        <v>75</v>
      </c>
      <c r="Z436" s="41">
        <f>IFERROR(IF(Y436=0,"",ROUNDUP(Y436/H436,0)*0.00902),"")</f>
        <v>0.1353</v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77.850000000000009</v>
      </c>
      <c r="BN436" s="78">
        <f t="shared" si="70"/>
        <v>77.850000000000009</v>
      </c>
      <c r="BO436" s="78">
        <f t="shared" si="71"/>
        <v>0.11363636363636365</v>
      </c>
      <c r="BP436" s="78">
        <f t="shared" si="72"/>
        <v>0.11363636363636365</v>
      </c>
    </row>
    <row r="437" spans="1:68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15</v>
      </c>
      <c r="Y437" s="43">
        <f>IFERROR(Y429/H429,"0")+IFERROR(Y430/H430,"0")+IFERROR(Y431/H431,"0")+IFERROR(Y432/H432,"0")+IFERROR(Y433/H433,"0")+IFERROR(Y434/H434,"0")+IFERROR(Y435/H435,"0")+IFERROR(Y436/H436,"0")</f>
        <v>15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0.1353</v>
      </c>
      <c r="AA437" s="67"/>
      <c r="AB437" s="67"/>
      <c r="AC437" s="67"/>
    </row>
    <row r="438" spans="1:68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75</v>
      </c>
      <c r="Y438" s="43">
        <f>IFERROR(SUM(Y429:Y436),"0")</f>
        <v>75</v>
      </c>
      <c r="Z438" s="42"/>
      <c r="AA438" s="67"/>
      <c r="AB438" s="67"/>
      <c r="AC438" s="67"/>
    </row>
    <row r="439" spans="1:68" ht="14.25" hidden="1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hidden="1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24</v>
      </c>
      <c r="Y442" s="55">
        <f>IFERROR(IF(X442="",0,CEILING((X442/$H442),1)*$H442),"")</f>
        <v>24</v>
      </c>
      <c r="Z442" s="41">
        <f>IFERROR(IF(Y442=0,"",ROUNDUP(Y442/H442,0)*0.00902),"")</f>
        <v>5.4120000000000001E-2</v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25.14</v>
      </c>
      <c r="BN442" s="78">
        <f>IFERROR(Y442*I442/H442,"0")</f>
        <v>25.14</v>
      </c>
      <c r="BO442" s="78">
        <f>IFERROR(1/J442*(X442/H442),"0")</f>
        <v>4.5454545454545456E-2</v>
      </c>
      <c r="BP442" s="78">
        <f>IFERROR(1/J442*(Y442/H442),"0")</f>
        <v>4.5454545454545456E-2</v>
      </c>
    </row>
    <row r="443" spans="1:68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6</v>
      </c>
      <c r="Y443" s="43">
        <f>IFERROR(Y440/H440,"0")+IFERROR(Y441/H441,"0")+IFERROR(Y442/H442,"0")</f>
        <v>6</v>
      </c>
      <c r="Z443" s="43">
        <f>IFERROR(IF(Z440="",0,Z440),"0")+IFERROR(IF(Z441="",0,Z441),"0")+IFERROR(IF(Z442="",0,Z442),"0")</f>
        <v>5.4120000000000001E-2</v>
      </c>
      <c r="AA443" s="67"/>
      <c r="AB443" s="67"/>
      <c r="AC443" s="67"/>
    </row>
    <row r="444" spans="1:68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24</v>
      </c>
      <c r="Y444" s="43">
        <f>IFERROR(SUM(Y440:Y442),"0")</f>
        <v>24</v>
      </c>
      <c r="Z444" s="42"/>
      <c r="AA444" s="67"/>
      <c r="AB444" s="67"/>
      <c r="AC444" s="67"/>
    </row>
    <row r="445" spans="1:68" ht="14.25" hidden="1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hidden="1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hidden="1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hidden="1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21</v>
      </c>
      <c r="Y480" s="55">
        <f t="shared" si="73"/>
        <v>21</v>
      </c>
      <c r="Z480" s="41">
        <f>IFERROR(IF(Y480=0,"",ROUNDUP(Y480/H480,0)*0.00502),"")</f>
        <v>5.0200000000000002E-2</v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22.299999999999997</v>
      </c>
      <c r="BN480" s="78">
        <f t="shared" si="75"/>
        <v>22.299999999999997</v>
      </c>
      <c r="BO480" s="78">
        <f t="shared" si="76"/>
        <v>4.2735042735042736E-2</v>
      </c>
      <c r="BP480" s="78">
        <f t="shared" si="77"/>
        <v>4.2735042735042736E-2</v>
      </c>
    </row>
    <row r="481" spans="1:68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10</v>
      </c>
      <c r="Y481" s="43">
        <f>IFERROR(Y475/H475,"0")+IFERROR(Y476/H476,"0")+IFERROR(Y477/H477,"0")+IFERROR(Y478/H478,"0")+IFERROR(Y479/H479,"0")+IFERROR(Y480/H480,"0")</f>
        <v>10</v>
      </c>
      <c r="Z481" s="43">
        <f>IFERROR(IF(Z475="",0,Z475),"0")+IFERROR(IF(Z476="",0,Z476),"0")+IFERROR(IF(Z477="",0,Z477),"0")+IFERROR(IF(Z478="",0,Z478),"0")+IFERROR(IF(Z479="",0,Z479),"0")+IFERROR(IF(Z480="",0,Z480),"0")</f>
        <v>5.0200000000000002E-2</v>
      </c>
      <c r="AA481" s="67"/>
      <c r="AB481" s="67"/>
      <c r="AC481" s="67"/>
    </row>
    <row r="482" spans="1:68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21</v>
      </c>
      <c r="Y482" s="43">
        <f>IFERROR(SUM(Y475:Y480),"0")</f>
        <v>21</v>
      </c>
      <c r="Z482" s="42"/>
      <c r="AA482" s="67"/>
      <c r="AB482" s="67"/>
      <c r="AC482" s="67"/>
    </row>
    <row r="483" spans="1:68" ht="14.25" hidden="1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hidden="1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hidden="1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hidden="1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90</v>
      </c>
      <c r="Y509" s="55">
        <f t="shared" si="78"/>
        <v>91.2</v>
      </c>
      <c r="Z509" s="41">
        <f>IFERROR(IF(Y509=0,"",ROUNDUP(Y509/H509,0)*0.00902),"")</f>
        <v>0.17138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129.5625</v>
      </c>
      <c r="BN509" s="78">
        <f t="shared" si="81"/>
        <v>131.29000000000002</v>
      </c>
      <c r="BO509" s="78">
        <f t="shared" si="82"/>
        <v>0.14204545454545456</v>
      </c>
      <c r="BP509" s="78">
        <f t="shared" si="83"/>
        <v>0.14393939393939395</v>
      </c>
    </row>
    <row r="510" spans="1:68" ht="27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216</v>
      </c>
      <c r="Y510" s="55">
        <f t="shared" si="78"/>
        <v>216</v>
      </c>
      <c r="Z510" s="41">
        <f>IFERROR(IF(Y510=0,"",ROUNDUP(Y510/H510,0)*0.00902),"")</f>
        <v>0.40590000000000004</v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310.95</v>
      </c>
      <c r="BN510" s="78">
        <f t="shared" si="81"/>
        <v>310.95</v>
      </c>
      <c r="BO510" s="78">
        <f t="shared" si="82"/>
        <v>0.34090909090909094</v>
      </c>
      <c r="BP510" s="78">
        <f t="shared" si="83"/>
        <v>0.34090909090909094</v>
      </c>
    </row>
    <row r="511" spans="1:68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63.75</v>
      </c>
      <c r="Y511" s="43">
        <f>IFERROR(Y502/H502,"0")+IFERROR(Y503/H503,"0")+IFERROR(Y504/H504,"0")+IFERROR(Y505/H505,"0")+IFERROR(Y506/H506,"0")+IFERROR(Y507/H507,"0")+IFERROR(Y508/H508,"0")+IFERROR(Y509/H509,"0")+IFERROR(Y510/H510,"0")</f>
        <v>64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0.57728000000000002</v>
      </c>
      <c r="AA511" s="67"/>
      <c r="AB511" s="67"/>
      <c r="AC511" s="67"/>
    </row>
    <row r="512" spans="1:68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306</v>
      </c>
      <c r="Y512" s="43">
        <f>IFERROR(SUM(Y502:Y510),"0")</f>
        <v>307.2</v>
      </c>
      <c r="Z512" s="42"/>
      <c r="AA512" s="67"/>
      <c r="AB512" s="67"/>
      <c r="AC512" s="67"/>
    </row>
    <row r="513" spans="1:68" ht="14.25" hidden="1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hidden="1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0</v>
      </c>
      <c r="Y517" s="43">
        <f>IFERROR(Y514/H514,"0")+IFERROR(Y515/H515,"0")+IFERROR(Y516/H516,"0")</f>
        <v>0</v>
      </c>
      <c r="Z517" s="43">
        <f>IFERROR(IF(Z514="",0,Z514),"0")+IFERROR(IF(Z515="",0,Z515),"0")+IFERROR(IF(Z516="",0,Z516),"0")</f>
        <v>0</v>
      </c>
      <c r="AA517" s="67"/>
      <c r="AB517" s="67"/>
      <c r="AC517" s="67"/>
    </row>
    <row r="518" spans="1:68" hidden="1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0</v>
      </c>
      <c r="Y518" s="43">
        <f>IFERROR(SUM(Y514:Y516),"0")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hidden="1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idden="1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hidden="1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hidden="1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hidden="1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hidden="1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hidden="1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hidden="1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807.2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810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978.53250000000003</v>
      </c>
      <c r="Y559" s="43">
        <f>IFERROR(SUM(BN22:BN555),"0")</f>
        <v>982.02800000000002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2</v>
      </c>
      <c r="Y560" s="44">
        <f>ROUNDUP(SUM(BP22:BP555),0)</f>
        <v>2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1028.5325</v>
      </c>
      <c r="Y561" s="43">
        <f>GrossWeightTotalR+PalletQtyTotalR*25</f>
        <v>1032.028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234.08333333333334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235</v>
      </c>
      <c r="Z562" s="42"/>
      <c r="AA562" s="67"/>
      <c r="AB562" s="67"/>
      <c r="AC562" s="67"/>
    </row>
    <row r="563" spans="1:32" ht="14.25" hidden="1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1.77294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60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108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7.2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81.599999999999994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84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42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99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21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307.2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wBCMApqsjMlwwSppTiXbbAyqDEKGgahPqJOJwzQYtLi6V+FuWlSznwumpUC/AQKcUu/S1N+s4561lKq6+a6Snw==" saltValue="6w9IpDUZLvOvK+YESxa8Z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8,53"/>
        <filter val="10,00"/>
        <filter val="108,00"/>
        <filter val="15,00"/>
        <filter val="2"/>
        <filter val="21,00"/>
        <filter val="216,00"/>
        <filter val="234,08"/>
        <filter val="24,00"/>
        <filter val="306,00"/>
        <filter val="33,33"/>
        <filter val="36,00"/>
        <filter val="40,00"/>
        <filter val="42,00"/>
        <filter val="48,00"/>
        <filter val="6,00"/>
        <filter val="60,00"/>
        <filter val="63,75"/>
        <filter val="7,20"/>
        <filter val="75,00"/>
        <filter val="80,00"/>
        <filter val="807,20"/>
        <filter val="84,00"/>
        <filter val="9,00"/>
        <filter val="90,00"/>
        <filter val="978,53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Qx25jajWNY+dH4V0aKMae6nFzFxcd8ChuTBJFc76d6VQNDvht1+zM9so6oJ/gsQ0OP0bQJnMuDE4LhBq6D/7ow==" saltValue="fasmiMp4nBeLSBFZhMiMd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1173</vt:i4>
      </vt:variant>
    </vt:vector>
  </HeadingPairs>
  <TitlesOfParts>
    <vt:vector size="11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2026-09-16T13:14:15Z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