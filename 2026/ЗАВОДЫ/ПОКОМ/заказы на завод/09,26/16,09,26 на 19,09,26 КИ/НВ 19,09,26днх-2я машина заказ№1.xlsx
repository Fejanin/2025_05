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09B6EDB-DCC1-48B9-B238-DDF468AC10B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Y555" i="1"/>
  <c r="BN555" i="1" s="1"/>
  <c r="BO554" i="1"/>
  <c r="BN554" i="1"/>
  <c r="BM554" i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N505" i="1"/>
  <c r="BM505" i="1"/>
  <c r="Y505" i="1"/>
  <c r="BP505" i="1" s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O495" i="1"/>
  <c r="BM495" i="1"/>
  <c r="Y495" i="1"/>
  <c r="BN495" i="1" s="1"/>
  <c r="P495" i="1"/>
  <c r="BO494" i="1"/>
  <c r="BM494" i="1"/>
  <c r="Y494" i="1"/>
  <c r="P494" i="1"/>
  <c r="X492" i="1"/>
  <c r="Y491" i="1"/>
  <c r="X491" i="1"/>
  <c r="BO490" i="1"/>
  <c r="BN490" i="1"/>
  <c r="BM490" i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O475" i="1"/>
  <c r="BM475" i="1"/>
  <c r="Y475" i="1"/>
  <c r="BN475" i="1" s="1"/>
  <c r="P475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BN459" i="1" s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O448" i="1"/>
  <c r="BN448" i="1"/>
  <c r="BM448" i="1"/>
  <c r="Y448" i="1"/>
  <c r="BP448" i="1" s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BN442" i="1" s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X412" i="1"/>
  <c r="X411" i="1"/>
  <c r="BO410" i="1"/>
  <c r="BM410" i="1"/>
  <c r="Y410" i="1"/>
  <c r="BN410" i="1" s="1"/>
  <c r="P410" i="1"/>
  <c r="BO409" i="1"/>
  <c r="BM409" i="1"/>
  <c r="Y409" i="1"/>
  <c r="P409" i="1"/>
  <c r="BO408" i="1"/>
  <c r="BM408" i="1"/>
  <c r="Y408" i="1"/>
  <c r="P408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N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O390" i="1"/>
  <c r="BN390" i="1"/>
  <c r="BM390" i="1"/>
  <c r="Y390" i="1"/>
  <c r="BP390" i="1" s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BN382" i="1" s="1"/>
  <c r="P382" i="1"/>
  <c r="X380" i="1"/>
  <c r="X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BN372" i="1" s="1"/>
  <c r="P372" i="1"/>
  <c r="X370" i="1"/>
  <c r="X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N357" i="1"/>
  <c r="BM357" i="1"/>
  <c r="Y357" i="1"/>
  <c r="BP357" i="1" s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BN342" i="1" s="1"/>
  <c r="P342" i="1"/>
  <c r="X339" i="1"/>
  <c r="Y338" i="1"/>
  <c r="X338" i="1"/>
  <c r="BO337" i="1"/>
  <c r="BN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O328" i="1"/>
  <c r="BN328" i="1"/>
  <c r="BM328" i="1"/>
  <c r="Y328" i="1"/>
  <c r="BP328" i="1" s="1"/>
  <c r="P328" i="1"/>
  <c r="BO327" i="1"/>
  <c r="BN327" i="1"/>
  <c r="BM327" i="1"/>
  <c r="Z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BN306" i="1" s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O568" i="1" s="1"/>
  <c r="P301" i="1"/>
  <c r="X298" i="1"/>
  <c r="X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N280" i="1"/>
  <c r="BM280" i="1"/>
  <c r="Y280" i="1"/>
  <c r="BP280" i="1" s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Y277" i="1" s="1"/>
  <c r="P269" i="1"/>
  <c r="X267" i="1"/>
  <c r="X266" i="1"/>
  <c r="BO265" i="1"/>
  <c r="BM265" i="1"/>
  <c r="Y265" i="1"/>
  <c r="BP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N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5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N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N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K568" i="1" s="1"/>
  <c r="P203" i="1"/>
  <c r="X199" i="1"/>
  <c r="X198" i="1"/>
  <c r="BO197" i="1"/>
  <c r="BM197" i="1"/>
  <c r="Y197" i="1"/>
  <c r="Y198" i="1" s="1"/>
  <c r="P197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O188" i="1"/>
  <c r="BN188" i="1"/>
  <c r="BM188" i="1"/>
  <c r="Y188" i="1"/>
  <c r="BP188" i="1" s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N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M172" i="1"/>
  <c r="Z172" i="1"/>
  <c r="Y172" i="1"/>
  <c r="BN172" i="1" s="1"/>
  <c r="P172" i="1"/>
  <c r="X170" i="1"/>
  <c r="X169" i="1"/>
  <c r="BO168" i="1"/>
  <c r="BM168" i="1"/>
  <c r="Y168" i="1"/>
  <c r="BP168" i="1" s="1"/>
  <c r="P168" i="1"/>
  <c r="BO167" i="1"/>
  <c r="BM167" i="1"/>
  <c r="Y167" i="1"/>
  <c r="Y170" i="1" s="1"/>
  <c r="P167" i="1"/>
  <c r="X165" i="1"/>
  <c r="X164" i="1"/>
  <c r="BO163" i="1"/>
  <c r="BM163" i="1"/>
  <c r="Y163" i="1"/>
  <c r="BP163" i="1" s="1"/>
  <c r="P163" i="1"/>
  <c r="BO162" i="1"/>
  <c r="BM162" i="1"/>
  <c r="Y162" i="1"/>
  <c r="BN162" i="1" s="1"/>
  <c r="P162" i="1"/>
  <c r="BO161" i="1"/>
  <c r="BM161" i="1"/>
  <c r="Y161" i="1"/>
  <c r="P161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N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O142" i="1"/>
  <c r="BM142" i="1"/>
  <c r="Y142" i="1"/>
  <c r="BN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N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N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N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M88" i="1"/>
  <c r="Z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M67" i="1"/>
  <c r="Z67" i="1"/>
  <c r="Y67" i="1"/>
  <c r="BN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M57" i="1"/>
  <c r="Z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O40" i="1"/>
  <c r="BN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A10" i="1" s="1"/>
  <c r="D7" i="1"/>
  <c r="Q6" i="1"/>
  <c r="P2" i="1"/>
  <c r="Z30" i="1" l="1"/>
  <c r="Z107" i="1"/>
  <c r="BP107" i="1"/>
  <c r="Z162" i="1"/>
  <c r="BP162" i="1"/>
  <c r="Z227" i="1"/>
  <c r="BP227" i="1"/>
  <c r="Z239" i="1"/>
  <c r="BP239" i="1"/>
  <c r="Z306" i="1"/>
  <c r="BP306" i="1"/>
  <c r="Z342" i="1"/>
  <c r="BP342" i="1"/>
  <c r="Z372" i="1"/>
  <c r="BP372" i="1"/>
  <c r="Z382" i="1"/>
  <c r="BP382" i="1"/>
  <c r="Z410" i="1"/>
  <c r="BP410" i="1"/>
  <c r="Z432" i="1"/>
  <c r="BP432" i="1"/>
  <c r="Z442" i="1"/>
  <c r="BP442" i="1"/>
  <c r="Z459" i="1"/>
  <c r="BP459" i="1"/>
  <c r="Z475" i="1"/>
  <c r="BP475" i="1"/>
  <c r="Z495" i="1"/>
  <c r="BP495" i="1"/>
  <c r="Z509" i="1"/>
  <c r="BP509" i="1"/>
  <c r="Y75" i="1"/>
  <c r="BP30" i="1"/>
  <c r="C568" i="1"/>
  <c r="Z94" i="1"/>
  <c r="BP94" i="1"/>
  <c r="Y117" i="1"/>
  <c r="Z142" i="1"/>
  <c r="BP142" i="1"/>
  <c r="Z40" i="1"/>
  <c r="Z103" i="1"/>
  <c r="Z113" i="1"/>
  <c r="Z132" i="1"/>
  <c r="Z149" i="1"/>
  <c r="Z180" i="1"/>
  <c r="Z223" i="1"/>
  <c r="Z328" i="1"/>
  <c r="Z390" i="1"/>
  <c r="Z448" i="1"/>
  <c r="Z505" i="1"/>
  <c r="Z554" i="1"/>
  <c r="Z556" i="1" s="1"/>
  <c r="BP554" i="1"/>
  <c r="Y556" i="1"/>
  <c r="F568" i="1"/>
  <c r="Z188" i="1"/>
  <c r="Z219" i="1"/>
  <c r="Z280" i="1"/>
  <c r="Z337" i="1"/>
  <c r="Z357" i="1"/>
  <c r="Y369" i="1"/>
  <c r="Y387" i="1"/>
  <c r="Z398" i="1"/>
  <c r="Z490" i="1"/>
  <c r="Z491" i="1" s="1"/>
  <c r="BP490" i="1"/>
  <c r="Z525" i="1"/>
  <c r="BP344" i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BP415" i="1"/>
  <c r="BN415" i="1"/>
  <c r="Z415" i="1"/>
  <c r="BP434" i="1"/>
  <c r="BN434" i="1"/>
  <c r="Z434" i="1"/>
  <c r="Y450" i="1"/>
  <c r="BP446" i="1"/>
  <c r="BN446" i="1"/>
  <c r="Z446" i="1"/>
  <c r="Y465" i="1"/>
  <c r="Y464" i="1"/>
  <c r="BP463" i="1"/>
  <c r="BN463" i="1"/>
  <c r="Z463" i="1"/>
  <c r="Z464" i="1" s="1"/>
  <c r="Y471" i="1"/>
  <c r="BP467" i="1"/>
  <c r="BN467" i="1"/>
  <c r="Z467" i="1"/>
  <c r="BP485" i="1"/>
  <c r="BN485" i="1"/>
  <c r="Z485" i="1"/>
  <c r="BP507" i="1"/>
  <c r="BN507" i="1"/>
  <c r="Z507" i="1"/>
  <c r="BP523" i="1"/>
  <c r="BN523" i="1"/>
  <c r="Z523" i="1"/>
  <c r="X562" i="1"/>
  <c r="Z28" i="1"/>
  <c r="BN28" i="1"/>
  <c r="Z38" i="1"/>
  <c r="BN38" i="1"/>
  <c r="Z48" i="1"/>
  <c r="BN48" i="1"/>
  <c r="Z55" i="1"/>
  <c r="BN55" i="1"/>
  <c r="Z59" i="1"/>
  <c r="BN59" i="1"/>
  <c r="Z65" i="1"/>
  <c r="BN65" i="1"/>
  <c r="BP65" i="1"/>
  <c r="Z73" i="1"/>
  <c r="BN73" i="1"/>
  <c r="Y81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Z115" i="1"/>
  <c r="BN115" i="1"/>
  <c r="Y123" i="1"/>
  <c r="Z121" i="1"/>
  <c r="BN121" i="1"/>
  <c r="H568" i="1"/>
  <c r="Z136" i="1"/>
  <c r="BN136" i="1"/>
  <c r="BP136" i="1"/>
  <c r="Z147" i="1"/>
  <c r="BN147" i="1"/>
  <c r="Z151" i="1"/>
  <c r="BN151" i="1"/>
  <c r="J568" i="1"/>
  <c r="Z168" i="1"/>
  <c r="BN168" i="1"/>
  <c r="Y184" i="1"/>
  <c r="Z174" i="1"/>
  <c r="BN174" i="1"/>
  <c r="Z178" i="1"/>
  <c r="BN178" i="1"/>
  <c r="Z182" i="1"/>
  <c r="BN182" i="1"/>
  <c r="Y190" i="1"/>
  <c r="Z204" i="1"/>
  <c r="BN204" i="1"/>
  <c r="Z208" i="1"/>
  <c r="BN208" i="1"/>
  <c r="L568" i="1"/>
  <c r="Y233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Y293" i="1"/>
  <c r="Z282" i="1"/>
  <c r="Y297" i="1"/>
  <c r="Z304" i="1"/>
  <c r="BN304" i="1"/>
  <c r="Z320" i="1"/>
  <c r="BN320" i="1"/>
  <c r="Z330" i="1"/>
  <c r="BN330" i="1"/>
  <c r="BP335" i="1"/>
  <c r="BN335" i="1"/>
  <c r="Z335" i="1"/>
  <c r="Y352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Y412" i="1"/>
  <c r="BP408" i="1"/>
  <c r="BN408" i="1"/>
  <c r="Z408" i="1"/>
  <c r="BP430" i="1"/>
  <c r="BN430" i="1"/>
  <c r="Z430" i="1"/>
  <c r="Y444" i="1"/>
  <c r="BP440" i="1"/>
  <c r="BN440" i="1"/>
  <c r="Z440" i="1"/>
  <c r="Y454" i="1"/>
  <c r="BP452" i="1"/>
  <c r="BN452" i="1"/>
  <c r="Z452" i="1"/>
  <c r="Y470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348" i="1"/>
  <c r="Y380" i="1"/>
  <c r="Y386" i="1"/>
  <c r="Y405" i="1"/>
  <c r="V568" i="1"/>
  <c r="Y449" i="1"/>
  <c r="F9" i="1"/>
  <c r="J9" i="1"/>
  <c r="F10" i="1"/>
  <c r="Y25" i="1"/>
  <c r="Y33" i="1"/>
  <c r="Y43" i="1"/>
  <c r="Y51" i="1"/>
  <c r="Y62" i="1"/>
  <c r="Y70" i="1"/>
  <c r="Y76" i="1"/>
  <c r="Y82" i="1"/>
  <c r="Y91" i="1"/>
  <c r="Y99" i="1"/>
  <c r="Y108" i="1"/>
  <c r="Y116" i="1"/>
  <c r="Y124" i="1"/>
  <c r="Y128" i="1"/>
  <c r="Y133" i="1"/>
  <c r="Y139" i="1"/>
  <c r="Y143" i="1"/>
  <c r="Y154" i="1"/>
  <c r="Y158" i="1"/>
  <c r="Y165" i="1"/>
  <c r="Y169" i="1"/>
  <c r="Y185" i="1"/>
  <c r="Y191" i="1"/>
  <c r="Y195" i="1"/>
  <c r="Y199" i="1"/>
  <c r="Y211" i="1"/>
  <c r="Y216" i="1"/>
  <c r="Y234" i="1"/>
  <c r="Y246" i="1"/>
  <c r="Y252" i="1"/>
  <c r="Y256" i="1"/>
  <c r="H9" i="1"/>
  <c r="B568" i="1"/>
  <c r="X559" i="1"/>
  <c r="X560" i="1"/>
  <c r="Z23" i="1"/>
  <c r="Z24" i="1" s="1"/>
  <c r="BN23" i="1"/>
  <c r="Y24" i="1"/>
  <c r="X558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4" i="1"/>
  <c r="BN74" i="1"/>
  <c r="Z78" i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Z114" i="1"/>
  <c r="BN114" i="1"/>
  <c r="Z120" i="1"/>
  <c r="Z123" i="1" s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68" i="1"/>
  <c r="Z148" i="1"/>
  <c r="BN148" i="1"/>
  <c r="Z150" i="1"/>
  <c r="BN150" i="1"/>
  <c r="Z152" i="1"/>
  <c r="BN152" i="1"/>
  <c r="Y153" i="1"/>
  <c r="Z156" i="1"/>
  <c r="Z157" i="1" s="1"/>
  <c r="BN156" i="1"/>
  <c r="BP156" i="1"/>
  <c r="Z161" i="1"/>
  <c r="BN161" i="1"/>
  <c r="BP161" i="1"/>
  <c r="Z163" i="1"/>
  <c r="BN163" i="1"/>
  <c r="Y164" i="1"/>
  <c r="Z167" i="1"/>
  <c r="Z169" i="1" s="1"/>
  <c r="BN167" i="1"/>
  <c r="BP167" i="1"/>
  <c r="Z173" i="1"/>
  <c r="BN173" i="1"/>
  <c r="Z175" i="1"/>
  <c r="BN175" i="1"/>
  <c r="Z177" i="1"/>
  <c r="BN177" i="1"/>
  <c r="Z179" i="1"/>
  <c r="BN179" i="1"/>
  <c r="Z181" i="1"/>
  <c r="BN181" i="1"/>
  <c r="Z183" i="1"/>
  <c r="BN183" i="1"/>
  <c r="Z187" i="1"/>
  <c r="BN187" i="1"/>
  <c r="BP187" i="1"/>
  <c r="Z189" i="1"/>
  <c r="BN189" i="1"/>
  <c r="Z193" i="1"/>
  <c r="Z194" i="1" s="1"/>
  <c r="BN193" i="1"/>
  <c r="BP193" i="1"/>
  <c r="Z197" i="1"/>
  <c r="Z198" i="1" s="1"/>
  <c r="BN197" i="1"/>
  <c r="BP197" i="1"/>
  <c r="Z203" i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2" i="1"/>
  <c r="BN242" i="1"/>
  <c r="Z244" i="1"/>
  <c r="BN244" i="1"/>
  <c r="Z248" i="1"/>
  <c r="BN248" i="1"/>
  <c r="BP248" i="1"/>
  <c r="Z250" i="1"/>
  <c r="BN250" i="1"/>
  <c r="Z254" i="1"/>
  <c r="Z255" i="1" s="1"/>
  <c r="BN254" i="1"/>
  <c r="BP254" i="1"/>
  <c r="Z259" i="1"/>
  <c r="BN259" i="1"/>
  <c r="BP259" i="1"/>
  <c r="Y262" i="1"/>
  <c r="Z265" i="1"/>
  <c r="BN265" i="1"/>
  <c r="Y266" i="1"/>
  <c r="Z269" i="1"/>
  <c r="BN269" i="1"/>
  <c r="BP269" i="1"/>
  <c r="Z271" i="1"/>
  <c r="BN271" i="1"/>
  <c r="Z273" i="1"/>
  <c r="BN273" i="1"/>
  <c r="Z275" i="1"/>
  <c r="BN275" i="1"/>
  <c r="Y278" i="1"/>
  <c r="Z281" i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Y298" i="1"/>
  <c r="Z302" i="1"/>
  <c r="BN302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Y353" i="1"/>
  <c r="S568" i="1"/>
  <c r="Y359" i="1"/>
  <c r="BP356" i="1"/>
  <c r="BN356" i="1"/>
  <c r="Z356" i="1"/>
  <c r="BP365" i="1"/>
  <c r="BN365" i="1"/>
  <c r="Z365" i="1"/>
  <c r="BP373" i="1"/>
  <c r="BN373" i="1"/>
  <c r="Z373" i="1"/>
  <c r="BP377" i="1"/>
  <c r="BN377" i="1"/>
  <c r="Z377" i="1"/>
  <c r="BP385" i="1"/>
  <c r="BN385" i="1"/>
  <c r="Z385" i="1"/>
  <c r="Y392" i="1"/>
  <c r="BP389" i="1"/>
  <c r="BN389" i="1"/>
  <c r="Z389" i="1"/>
  <c r="BP397" i="1"/>
  <c r="BN397" i="1"/>
  <c r="Z397" i="1"/>
  <c r="BP409" i="1"/>
  <c r="BN409" i="1"/>
  <c r="Z409" i="1"/>
  <c r="Z411" i="1" s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BP453" i="1"/>
  <c r="BN453" i="1"/>
  <c r="Z453" i="1"/>
  <c r="Y455" i="1"/>
  <c r="X568" i="1"/>
  <c r="Y461" i="1"/>
  <c r="BP458" i="1"/>
  <c r="BN458" i="1"/>
  <c r="Z458" i="1"/>
  <c r="Z460" i="1" s="1"/>
  <c r="BP476" i="1"/>
  <c r="BN476" i="1"/>
  <c r="Z476" i="1"/>
  <c r="BP480" i="1"/>
  <c r="BN480" i="1"/>
  <c r="Z480" i="1"/>
  <c r="Y482" i="1"/>
  <c r="Y487" i="1"/>
  <c r="BP484" i="1"/>
  <c r="BN484" i="1"/>
  <c r="Z484" i="1"/>
  <c r="Z486" i="1" s="1"/>
  <c r="M568" i="1"/>
  <c r="Z260" i="1"/>
  <c r="BN260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Y331" i="1"/>
  <c r="BP336" i="1"/>
  <c r="BN336" i="1"/>
  <c r="Z336" i="1"/>
  <c r="BP345" i="1"/>
  <c r="BN345" i="1"/>
  <c r="Z345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BP375" i="1"/>
  <c r="BN375" i="1"/>
  <c r="Z375" i="1"/>
  <c r="Y379" i="1"/>
  <c r="BP383" i="1"/>
  <c r="BN383" i="1"/>
  <c r="Z383" i="1"/>
  <c r="Z386" i="1" s="1"/>
  <c r="BP391" i="1"/>
  <c r="BN391" i="1"/>
  <c r="Z391" i="1"/>
  <c r="Y393" i="1"/>
  <c r="Y400" i="1"/>
  <c r="BP395" i="1"/>
  <c r="BN395" i="1"/>
  <c r="Z395" i="1"/>
  <c r="Y399" i="1"/>
  <c r="BP403" i="1"/>
  <c r="BN403" i="1"/>
  <c r="Z403" i="1"/>
  <c r="Z405" i="1" s="1"/>
  <c r="Y411" i="1"/>
  <c r="BP416" i="1"/>
  <c r="BN416" i="1"/>
  <c r="Z416" i="1"/>
  <c r="Z417" i="1" s="1"/>
  <c r="Y418" i="1"/>
  <c r="Y424" i="1"/>
  <c r="BP421" i="1"/>
  <c r="BN421" i="1"/>
  <c r="Z421" i="1"/>
  <c r="BP431" i="1"/>
  <c r="BN431" i="1"/>
  <c r="Z431" i="1"/>
  <c r="BP435" i="1"/>
  <c r="BN435" i="1"/>
  <c r="Z435" i="1"/>
  <c r="Y443" i="1"/>
  <c r="BP447" i="1"/>
  <c r="BN447" i="1"/>
  <c r="Z447" i="1"/>
  <c r="Y460" i="1"/>
  <c r="BP468" i="1"/>
  <c r="BN468" i="1"/>
  <c r="Z468" i="1"/>
  <c r="Z470" i="1" s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BP524" i="1"/>
  <c r="BN524" i="1"/>
  <c r="Z524" i="1"/>
  <c r="Y557" i="1"/>
  <c r="Z69" i="1" l="1"/>
  <c r="Z481" i="1"/>
  <c r="Z443" i="1"/>
  <c r="Z338" i="1"/>
  <c r="Z379" i="1"/>
  <c r="Z292" i="1"/>
  <c r="Z184" i="1"/>
  <c r="Z116" i="1"/>
  <c r="Z98" i="1"/>
  <c r="Y559" i="1"/>
  <c r="Z527" i="1"/>
  <c r="Z449" i="1"/>
  <c r="Z424" i="1"/>
  <c r="Z331" i="1"/>
  <c r="Z454" i="1"/>
  <c r="Z359" i="1"/>
  <c r="Z352" i="1"/>
  <c r="Z347" i="1"/>
  <c r="Z251" i="1"/>
  <c r="Z233" i="1"/>
  <c r="Z210" i="1"/>
  <c r="Z164" i="1"/>
  <c r="Z153" i="1"/>
  <c r="Z81" i="1"/>
  <c r="Z62" i="1"/>
  <c r="Y560" i="1"/>
  <c r="Z32" i="1"/>
  <c r="X561" i="1"/>
  <c r="Z511" i="1"/>
  <c r="Z277" i="1"/>
  <c r="Y562" i="1"/>
  <c r="Z497" i="1"/>
  <c r="Z517" i="1"/>
  <c r="Z399" i="1"/>
  <c r="Z369" i="1"/>
  <c r="Z322" i="1"/>
  <c r="Z308" i="1"/>
  <c r="Z437" i="1"/>
  <c r="Z392" i="1"/>
  <c r="Z261" i="1"/>
  <c r="Z245" i="1"/>
  <c r="Z190" i="1"/>
  <c r="Z108" i="1"/>
  <c r="Z91" i="1"/>
  <c r="Z75" i="1"/>
  <c r="Z51" i="1"/>
  <c r="Z42" i="1"/>
  <c r="Y558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<sst xmlns="http://schemas.openxmlformats.org/spreadsheetml/2006/main" count="2542" uniqueCount="915">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</sst>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B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46284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887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Суббота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5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765</v>
      </c>
      <c r="Y47" s="642">
        <f>IFERROR(IF(X47="",0,CEILING((X47/$H47),1)*$H47),"")</f>
        <v>766.80000000000007</v>
      </c>
      <c r="Z47" s="36">
        <f>IFERROR(IF(Y47=0,"",ROUNDUP(Y47/H47,0)*0.01898),"")</f>
        <v>1.34758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794.04166666666674</v>
      </c>
      <c r="BN47" s="64">
        <f>IFERROR(Y47*I47/H47,"0")</f>
        <v>795.91000000000008</v>
      </c>
      <c r="BO47" s="64">
        <f>IFERROR(1/J47*(X47/H47),"0")</f>
        <v>1.1067708333333333</v>
      </c>
      <c r="BP47" s="64">
        <f>IFERROR(1/J47*(Y47/H47),"0")</f>
        <v>1.109375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70.833333333333329</v>
      </c>
      <c r="Y51" s="643">
        <f>IFERROR(Y47/H47,"0")+IFERROR(Y48/H48,"0")+IFERROR(Y49/H49,"0")+IFERROR(Y50/H50,"0")</f>
        <v>71</v>
      </c>
      <c r="Z51" s="643">
        <f>IFERROR(IF(Z47="",0,Z47),"0")+IFERROR(IF(Z48="",0,Z48),"0")+IFERROR(IF(Z49="",0,Z49),"0")+IFERROR(IF(Z50="",0,Z50),"0")</f>
        <v>1.34758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765</v>
      </c>
      <c r="Y52" s="643">
        <f>IFERROR(SUM(Y47:Y50),"0")</f>
        <v>766.80000000000007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29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30.061607142857145</v>
      </c>
      <c r="BN55" s="64">
        <f t="shared" ref="BN55:BN61" si="2">IFERROR(Y55*I55/H55,"0")</f>
        <v>34.829999999999991</v>
      </c>
      <c r="BO55" s="64">
        <f t="shared" ref="BO55:BO61" si="3">IFERROR(1/J55*(X55/H55),"0")</f>
        <v>4.0457589285714288E-2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141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146.35277777777779</v>
      </c>
      <c r="BN56" s="64">
        <f t="shared" si="2"/>
        <v>156.94</v>
      </c>
      <c r="BO56" s="64">
        <f t="shared" si="3"/>
        <v>0.20399305555555555</v>
      </c>
      <c r="BP56" s="64">
        <f t="shared" si="4"/>
        <v>0.21875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15.644841269841269</v>
      </c>
      <c r="Y62" s="643">
        <f>IFERROR(Y55/H55,"0")+IFERROR(Y56/H56,"0")+IFERROR(Y57/H57,"0")+IFERROR(Y58/H58,"0")+IFERROR(Y59/H59,"0")+IFERROR(Y60/H60,"0")+IFERROR(Y61/H61,"0")</f>
        <v>17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0.32266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170</v>
      </c>
      <c r="Y63" s="643">
        <f>IFERROR(SUM(Y55:Y61),"0")</f>
        <v>184.8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175</v>
      </c>
      <c r="Y65" s="642">
        <f>IFERROR(IF(X65="",0,CEILING((X65/$H65),1)*$H65),"")</f>
        <v>183.60000000000002</v>
      </c>
      <c r="Z65" s="36">
        <f>IFERROR(IF(Y65=0,"",ROUNDUP(Y65/H65,0)*0.01898),"")</f>
        <v>0.32266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181.64351851851853</v>
      </c>
      <c r="BN65" s="64">
        <f>IFERROR(Y65*I65/H65,"0")</f>
        <v>190.57000000000002</v>
      </c>
      <c r="BO65" s="64">
        <f>IFERROR(1/J65*(X65/H65),"0")</f>
        <v>0.25318287037037035</v>
      </c>
      <c r="BP65" s="64">
        <f>IFERROR(1/J65*(Y65/H65),"0")</f>
        <v>0.265625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16.203703703703702</v>
      </c>
      <c r="Y69" s="643">
        <f>IFERROR(Y65/H65,"0")+IFERROR(Y66/H66,"0")+IFERROR(Y67/H67,"0")+IFERROR(Y68/H68,"0")</f>
        <v>17</v>
      </c>
      <c r="Z69" s="643">
        <f>IFERROR(IF(Z65="",0,Z65),"0")+IFERROR(IF(Z66="",0,Z66),"0")+IFERROR(IF(Z67="",0,Z67),"0")+IFERROR(IF(Z68="",0,Z68),"0")</f>
        <v>0.32266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175</v>
      </c>
      <c r="Y70" s="643">
        <f>IFERROR(SUM(Y65:Y68),"0")</f>
        <v>183.60000000000002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57</v>
      </c>
      <c r="Y78" s="642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59.996153846153852</v>
      </c>
      <c r="BN78" s="64">
        <f>IFERROR(Y78*I78/H78,"0")</f>
        <v>65.680000000000007</v>
      </c>
      <c r="BO78" s="64">
        <f>IFERROR(1/J78*(X78/H78),"0")</f>
        <v>0.1141826923076923</v>
      </c>
      <c r="BP78" s="64">
        <f>IFERROR(1/J78*(Y78/H78),"0")</f>
        <v>0.125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7.3076923076923075</v>
      </c>
      <c r="Y81" s="643">
        <f>IFERROR(Y78/H78,"0")+IFERROR(Y79/H79,"0")+IFERROR(Y80/H80,"0")</f>
        <v>8</v>
      </c>
      <c r="Z81" s="643">
        <f>IFERROR(IF(Z78="",0,Z78),"0")+IFERROR(IF(Z79="",0,Z79),"0")+IFERROR(IF(Z80="",0,Z80),"0")</f>
        <v>0.15184</v>
      </c>
      <c r="AA81" s="644"/>
      <c r="AB81" s="644"/>
      <c r="AC81" s="64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57</v>
      </c>
      <c r="Y82" s="643">
        <f>IFERROR(SUM(Y78:Y80),"0")</f>
        <v>62.4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191</v>
      </c>
      <c r="Y85" s="642">
        <f t="shared" ref="Y85:Y90" si="5">IFERROR(IF(X85="",0,CEILING((X85/$H85),1)*$H85),"")</f>
        <v>194.4</v>
      </c>
      <c r="Z85" s="36">
        <f>IFERROR(IF(Y85=0,"",ROUNDUP(Y85/H85,0)*0.01898),"")</f>
        <v>0.34164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198.25092592592591</v>
      </c>
      <c r="BN85" s="64">
        <f t="shared" ref="BN85:BN90" si="7">IFERROR(Y85*I85/H85,"0")</f>
        <v>201.78</v>
      </c>
      <c r="BO85" s="64">
        <f t="shared" ref="BO85:BO90" si="8">IFERROR(1/J85*(X85/H85),"0")</f>
        <v>0.27633101851851849</v>
      </c>
      <c r="BP85" s="64">
        <f t="shared" ref="BP85:BP90" si="9">IFERROR(1/J85*(Y85/H85),"0")</f>
        <v>0.28125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17.685185185185183</v>
      </c>
      <c r="Y91" s="643">
        <f>IFERROR(Y85/H85,"0")+IFERROR(Y86/H86,"0")+IFERROR(Y87/H87,"0")+IFERROR(Y88/H88,"0")+IFERROR(Y89/H89,"0")+IFERROR(Y90/H90,"0")</f>
        <v>18</v>
      </c>
      <c r="Z91" s="643">
        <f>IFERROR(IF(Z85="",0,Z85),"0")+IFERROR(IF(Z86="",0,Z86),"0")+IFERROR(IF(Z87="",0,Z87),"0")+IFERROR(IF(Z88="",0,Z88),"0")+IFERROR(IF(Z89="",0,Z89),"0")+IFERROR(IF(Z90="",0,Z90),"0")</f>
        <v>0.34164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191</v>
      </c>
      <c r="Y92" s="643">
        <f>IFERROR(SUM(Y85:Y90),"0")</f>
        <v>194.4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826</v>
      </c>
      <c r="Y94" s="642">
        <f>IFERROR(IF(X94="",0,CEILING((X94/$H94),1)*$H94),"")</f>
        <v>826.19999999999993</v>
      </c>
      <c r="Z94" s="36">
        <f>IFERROR(IF(Y94=0,"",ROUNDUP(Y94/H94,0)*0.01898),"")</f>
        <v>1.9359600000000001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876.37580246913581</v>
      </c>
      <c r="BN94" s="64">
        <f>IFERROR(Y94*I94/H94,"0")</f>
        <v>876.58799999999997</v>
      </c>
      <c r="BO94" s="64">
        <f>IFERROR(1/J94*(X94/H94),"0")</f>
        <v>1.5933641975308643</v>
      </c>
      <c r="BP94" s="64">
        <f>IFERROR(1/J94*(Y94/H94),"0")</f>
        <v>1.59375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135</v>
      </c>
      <c r="Y96" s="642">
        <f>IFERROR(IF(X96="",0,CEILING((X96/$H96),1)*$H96),"")</f>
        <v>135</v>
      </c>
      <c r="Z96" s="36">
        <f>IFERROR(IF(Y96=0,"",ROUNDUP(Y96/H96,0)*0.00651),"")</f>
        <v>0.32550000000000001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147.6</v>
      </c>
      <c r="BN96" s="64">
        <f>IFERROR(Y96*I96/H96,"0")</f>
        <v>147.6</v>
      </c>
      <c r="BO96" s="64">
        <f>IFERROR(1/J96*(X96/H96),"0")</f>
        <v>0.27472527472527475</v>
      </c>
      <c r="BP96" s="64">
        <f>IFERROR(1/J96*(Y96/H96),"0")</f>
        <v>0.27472527472527475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151.97530864197532</v>
      </c>
      <c r="Y98" s="643">
        <f>IFERROR(Y94/H94,"0")+IFERROR(Y95/H95,"0")+IFERROR(Y96/H96,"0")+IFERROR(Y97/H97,"0")</f>
        <v>152</v>
      </c>
      <c r="Z98" s="643">
        <f>IFERROR(IF(Z94="",0,Z94),"0")+IFERROR(IF(Z95="",0,Z95),"0")+IFERROR(IF(Z96="",0,Z96),"0")+IFERROR(IF(Z97="",0,Z97),"0")</f>
        <v>2.26146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961</v>
      </c>
      <c r="Y99" s="643">
        <f>IFERROR(SUM(Y94:Y97),"0")</f>
        <v>961.19999999999993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153</v>
      </c>
      <c r="Y102" s="642">
        <f t="shared" ref="Y102:Y107" si="10">IFERROR(IF(X102="",0,CEILING((X102/$H102),1)*$H102),"")</f>
        <v>162</v>
      </c>
      <c r="Z102" s="36">
        <f>IFERROR(IF(Y102=0,"",ROUNDUP(Y102/H102,0)*0.01898),"")</f>
        <v>0.28470000000000001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158.80833333333334</v>
      </c>
      <c r="BN102" s="64">
        <f t="shared" ref="BN102:BN107" si="12">IFERROR(Y102*I102/H102,"0")</f>
        <v>168.15</v>
      </c>
      <c r="BO102" s="64">
        <f t="shared" ref="BO102:BO107" si="13">IFERROR(1/J102*(X102/H102),"0")</f>
        <v>0.22135416666666666</v>
      </c>
      <c r="BP102" s="64">
        <f t="shared" ref="BP102:BP107" si="14">IFERROR(1/J102*(Y102/H102),"0")</f>
        <v>0.23437499999999997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14.166666666666666</v>
      </c>
      <c r="Y108" s="643">
        <f>IFERROR(Y102/H102,"0")+IFERROR(Y103/H103,"0")+IFERROR(Y104/H104,"0")+IFERROR(Y105/H105,"0")+IFERROR(Y106/H106,"0")+IFERROR(Y107/H107,"0")</f>
        <v>14.999999999999998</v>
      </c>
      <c r="Z108" s="643">
        <f>IFERROR(IF(Z102="",0,Z102),"0")+IFERROR(IF(Z103="",0,Z103),"0")+IFERROR(IF(Z104="",0,Z104),"0")+IFERROR(IF(Z105="",0,Z105),"0")+IFERROR(IF(Z106="",0,Z106),"0")+IFERROR(IF(Z107="",0,Z107),"0")</f>
        <v>0.28470000000000001</v>
      </c>
      <c r="AA108" s="644"/>
      <c r="AB108" s="644"/>
      <c r="AC108" s="644"/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153</v>
      </c>
      <c r="Y109" s="643">
        <f>IFERROR(SUM(Y102:Y107),"0")</f>
        <v>162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109</v>
      </c>
      <c r="Y111" s="642">
        <f>IFERROR(IF(X111="",0,CEILING((X111/$H111),1)*$H111),"")</f>
        <v>118.80000000000001</v>
      </c>
      <c r="Z111" s="36">
        <f>IFERROR(IF(Y111=0,"",ROUNDUP(Y111/H111,0)*0.01898),"")</f>
        <v>0.20877999999999999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113.13796296296296</v>
      </c>
      <c r="BN111" s="64">
        <f>IFERROR(Y111*I111/H111,"0")</f>
        <v>123.31000000000002</v>
      </c>
      <c r="BO111" s="64">
        <f>IFERROR(1/J111*(X111/H111),"0")</f>
        <v>0.15769675925925924</v>
      </c>
      <c r="BP111" s="64">
        <f>IFERROR(1/J111*(Y111/H111),"0")</f>
        <v>0.171875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10.092592592592592</v>
      </c>
      <c r="Y116" s="643">
        <f>IFERROR(Y111/H111,"0")+IFERROR(Y112/H112,"0")+IFERROR(Y113/H113,"0")+IFERROR(Y114/H114,"0")+IFERROR(Y115/H115,"0")</f>
        <v>11</v>
      </c>
      <c r="Z116" s="643">
        <f>IFERROR(IF(Z111="",0,Z111),"0")+IFERROR(IF(Z112="",0,Z112),"0")+IFERROR(IF(Z113="",0,Z113),"0")+IFERROR(IF(Z114="",0,Z114),"0")+IFERROR(IF(Z115="",0,Z115),"0")</f>
        <v>0.20877999999999999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109</v>
      </c>
      <c r="Y117" s="643">
        <f>IFERROR(SUM(Y111:Y115),"0")</f>
        <v>118.80000000000001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1329</v>
      </c>
      <c r="Y119" s="642">
        <f>IFERROR(IF(X119="",0,CEILING((X119/$H119),1)*$H119),"")</f>
        <v>1336.5</v>
      </c>
      <c r="Z119" s="36">
        <f>IFERROR(IF(Y119=0,"",ROUNDUP(Y119/H119,0)*0.01898),"")</f>
        <v>3.1316999999999999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1409.0681481481481</v>
      </c>
      <c r="BN119" s="64">
        <f>IFERROR(Y119*I119/H119,"0")</f>
        <v>1417.02</v>
      </c>
      <c r="BO119" s="64">
        <f>IFERROR(1/J119*(X119/H119),"0")</f>
        <v>2.5636574074074074</v>
      </c>
      <c r="BP119" s="64">
        <f>IFERROR(1/J119*(Y119/H119),"0")</f>
        <v>2.578125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115</v>
      </c>
      <c r="Y121" s="642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125.73333333333333</v>
      </c>
      <c r="BN121" s="64">
        <f>IFERROR(Y121*I121/H121,"0")</f>
        <v>126.93600000000001</v>
      </c>
      <c r="BO121" s="64">
        <f>IFERROR(1/J121*(X121/H121),"0")</f>
        <v>0.23402523402523401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206.66666666666666</v>
      </c>
      <c r="Y123" s="643">
        <f>IFERROR(Y119/H119,"0")+IFERROR(Y120/H120,"0")+IFERROR(Y121/H121,"0")+IFERROR(Y122/H122,"0")</f>
        <v>208</v>
      </c>
      <c r="Z123" s="643">
        <f>IFERROR(IF(Z119="",0,Z119),"0")+IFERROR(IF(Z120="",0,Z120),"0")+IFERROR(IF(Z121="",0,Z121),"0")+IFERROR(IF(Z122="",0,Z122),"0")</f>
        <v>3.4116299999999997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1444</v>
      </c>
      <c r="Y124" s="643">
        <f>IFERROR(SUM(Y119:Y122),"0")</f>
        <v>1452.6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36</v>
      </c>
      <c r="Y126" s="642">
        <f>IFERROR(IF(X126="",0,CEILING((X126/$H126),1)*$H126),"")</f>
        <v>37.619999999999997</v>
      </c>
      <c r="Z126" s="36">
        <f>IFERROR(IF(Y126=0,"",ROUNDUP(Y126/H126,0)*0.00651),"")</f>
        <v>0.12369000000000001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40.690909090909088</v>
      </c>
      <c r="BN126" s="64">
        <f>IFERROR(Y126*I126/H126,"0")</f>
        <v>42.521999999999998</v>
      </c>
      <c r="BO126" s="64">
        <f>IFERROR(1/J126*(X126/H126),"0")</f>
        <v>9.9900099900099917E-2</v>
      </c>
      <c r="BP126" s="64">
        <f>IFERROR(1/J126*(Y126/H126),"0")</f>
        <v>0.1043956043956044</v>
      </c>
    </row>
    <row r="127" spans="1:68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18.181818181818183</v>
      </c>
      <c r="Y127" s="643">
        <f>IFERROR(Y126/H126,"0")</f>
        <v>19</v>
      </c>
      <c r="Z127" s="643">
        <f>IFERROR(IF(Z126="",0,Z126),"0")</f>
        <v>0.12369000000000001</v>
      </c>
      <c r="AA127" s="644"/>
      <c r="AB127" s="644"/>
      <c r="AC127" s="644"/>
    </row>
    <row r="128" spans="1:68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36</v>
      </c>
      <c r="Y128" s="643">
        <f>IFERROR(SUM(Y126:Y126),"0")</f>
        <v>37.619999999999997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14</v>
      </c>
      <c r="Y136" s="642">
        <f>IFERROR(IF(X136="",0,CEILING((X136/$H136),1)*$H136),"")</f>
        <v>14</v>
      </c>
      <c r="Z136" s="36">
        <f>IFERROR(IF(Y136=0,"",ROUNDUP(Y136/H136,0)*0.00651),"")</f>
        <v>3.2550000000000003E-2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15.34</v>
      </c>
      <c r="BN136" s="64">
        <f>IFERROR(Y136*I136/H136,"0")</f>
        <v>15.34</v>
      </c>
      <c r="BO136" s="64">
        <f>IFERROR(1/J136*(X136/H136),"0")</f>
        <v>2.7472527472527476E-2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5</v>
      </c>
      <c r="Y138" s="643">
        <f>IFERROR(Y136/H136,"0")+IFERROR(Y137/H137,"0")</f>
        <v>5</v>
      </c>
      <c r="Z138" s="643">
        <f>IFERROR(IF(Z136="",0,Z136),"0")+IFERROR(IF(Z137="",0,Z137),"0")</f>
        <v>3.2550000000000003E-2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14</v>
      </c>
      <c r="Y139" s="643">
        <f>IFERROR(SUM(Y136:Y137),"0")</f>
        <v>14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5</v>
      </c>
      <c r="Y161" s="642">
        <f>IFERROR(IF(X161="",0,CEILING((X161/$H161),1)*$H161),"")</f>
        <v>6</v>
      </c>
      <c r="Z161" s="36">
        <f>IFERROR(IF(Y161=0,"",ROUNDUP(Y161/H161,0)*0.01196),"")</f>
        <v>1.196E-2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5.291666666666667</v>
      </c>
      <c r="BN161" s="64">
        <f>IFERROR(Y161*I161/H161,"0")</f>
        <v>6.3499999999999988</v>
      </c>
      <c r="BO161" s="64">
        <f>IFERROR(1/J161*(X161/H161),"0")</f>
        <v>8.0128205128205138E-3</v>
      </c>
      <c r="BP161" s="64">
        <f>IFERROR(1/J161*(Y161/H161),"0")</f>
        <v>9.6153846153846159E-3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0.83333333333333337</v>
      </c>
      <c r="Y164" s="643">
        <f>IFERROR(Y161/H161,"0")+IFERROR(Y162/H162,"0")+IFERROR(Y163/H163,"0")</f>
        <v>1</v>
      </c>
      <c r="Z164" s="643">
        <f>IFERROR(IF(Z161="",0,Z161),"0")+IFERROR(IF(Z162="",0,Z162),"0")+IFERROR(IF(Z163="",0,Z163),"0")</f>
        <v>1.196E-2</v>
      </c>
      <c r="AA164" s="644"/>
      <c r="AB164" s="644"/>
      <c r="AC164" s="644"/>
    </row>
    <row r="165" spans="1:68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5</v>
      </c>
      <c r="Y165" s="643">
        <f>IFERROR(SUM(Y161:Y163),"0")</f>
        <v>6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50</v>
      </c>
      <c r="Y172" s="642">
        <f t="shared" ref="Y172:Y183" si="21">IFERROR(IF(X172="",0,CEILING((X172/$H172),1)*$H172),"")</f>
        <v>52.5</v>
      </c>
      <c r="Z172" s="36">
        <f>IFERROR(IF(Y172=0,"",ROUNDUP(Y172/H172,0)*0.00902),"")</f>
        <v>0.1353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52.714285714285715</v>
      </c>
      <c r="BN172" s="64">
        <f t="shared" ref="BN172:BN183" si="23">IFERROR(Y172*I172/H172,"0")</f>
        <v>55.35</v>
      </c>
      <c r="BO172" s="64">
        <f t="shared" ref="BO172:BO183" si="24">IFERROR(1/J172*(X172/H172),"0")</f>
        <v>0.10822510822510824</v>
      </c>
      <c r="BP172" s="64">
        <f t="shared" ref="BP172:BP183" si="25">IFERROR(1/J172*(Y172/H172),"0")</f>
        <v>0.11363636363636365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191</v>
      </c>
      <c r="Y174" s="642">
        <f t="shared" si="21"/>
        <v>192.5</v>
      </c>
      <c r="Z174" s="36">
        <f>IFERROR(IF(Y174=0,"",ROUNDUP(Y174/H174,0)*0.00902),"")</f>
        <v>0.49609999999999999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201.36857142857141</v>
      </c>
      <c r="BN174" s="64">
        <f t="shared" si="23"/>
        <v>202.95000000000002</v>
      </c>
      <c r="BO174" s="64">
        <f t="shared" si="24"/>
        <v>0.41341991341991341</v>
      </c>
      <c r="BP174" s="64">
        <f t="shared" si="25"/>
        <v>0.41666666666666669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106</v>
      </c>
      <c r="Y176" s="642">
        <f t="shared" si="21"/>
        <v>108.5</v>
      </c>
      <c r="Z176" s="36">
        <f>IFERROR(IF(Y176=0,"",ROUNDUP(Y176/H176,0)*0.00902),"")</f>
        <v>0.27961999999999998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111.75428571428571</v>
      </c>
      <c r="BN176" s="64">
        <f t="shared" si="23"/>
        <v>114.39</v>
      </c>
      <c r="BO176" s="64">
        <f t="shared" si="24"/>
        <v>0.22943722943722944</v>
      </c>
      <c r="BP176" s="64">
        <f t="shared" si="25"/>
        <v>0.23484848484848486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71</v>
      </c>
      <c r="Y181" s="642">
        <f t="shared" si="21"/>
        <v>72.239999999999995</v>
      </c>
      <c r="Z181" s="36">
        <f>IFERROR(IF(Y181=0,"",ROUNDUP(Y181/H181,0)*0.00502),"")</f>
        <v>0.21586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75.226190476190482</v>
      </c>
      <c r="BN181" s="64">
        <f t="shared" si="23"/>
        <v>76.540000000000006</v>
      </c>
      <c r="BO181" s="64">
        <f t="shared" si="24"/>
        <v>0.18060643060643064</v>
      </c>
      <c r="BP181" s="64">
        <f t="shared" si="25"/>
        <v>0.18376068376068377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141.4047619047619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144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1.1268799999999999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418</v>
      </c>
      <c r="Y185" s="643">
        <f>IFERROR(SUM(Y172:Y183),"0")</f>
        <v>425.74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26</v>
      </c>
      <c r="Y218" s="642">
        <f t="shared" ref="Y218:Y232" si="32">IFERROR(IF(X218="",0,CEILING((X218/$H218),1)*$H218),"")</f>
        <v>29.400000000000002</v>
      </c>
      <c r="Z218" s="36">
        <f>IFERROR(IF(Y218=0,"",ROUNDUP(Y218/H218,0)*0.00902),"")</f>
        <v>6.3140000000000002E-2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27.547619047619047</v>
      </c>
      <c r="BN218" s="64">
        <f t="shared" ref="BN218:BN232" si="34">IFERROR(Y218*I218/H218,"0")</f>
        <v>31.150000000000002</v>
      </c>
      <c r="BO218" s="64">
        <f t="shared" ref="BO218:BO232" si="35">IFERROR(1/J218*(X218/H218),"0")</f>
        <v>4.6897546897546896E-2</v>
      </c>
      <c r="BP218" s="64">
        <f t="shared" ref="BP218:BP232" si="36">IFERROR(1/J218*(Y218/H218),"0")</f>
        <v>5.3030303030303032E-2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40</v>
      </c>
      <c r="Y220" s="642">
        <f t="shared" si="32"/>
        <v>42</v>
      </c>
      <c r="Z220" s="36">
        <f>IFERROR(IF(Y220=0,"",ROUNDUP(Y220/H220,0)*0.00902),"")</f>
        <v>9.0200000000000002E-2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41.809523809523803</v>
      </c>
      <c r="BN220" s="64">
        <f t="shared" si="34"/>
        <v>43.9</v>
      </c>
      <c r="BO220" s="64">
        <f t="shared" si="35"/>
        <v>7.2150072150072145E-2</v>
      </c>
      <c r="BP220" s="64">
        <f t="shared" si="36"/>
        <v>7.575757575757576E-2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42</v>
      </c>
      <c r="Y222" s="642">
        <f t="shared" si="32"/>
        <v>42</v>
      </c>
      <c r="Z222" s="36">
        <f t="shared" ref="Z222:Z227" si="37">IFERROR(IF(Y222=0,"",ROUNDUP(Y222/H222,0)*0.00502),"")</f>
        <v>0.1004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44.599999999999994</v>
      </c>
      <c r="BN222" s="64">
        <f t="shared" si="34"/>
        <v>44.599999999999994</v>
      </c>
      <c r="BO222" s="64">
        <f t="shared" si="35"/>
        <v>8.5470085470085472E-2</v>
      </c>
      <c r="BP222" s="64">
        <f t="shared" si="36"/>
        <v>8.5470085470085472E-2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6</v>
      </c>
      <c r="Y227" s="642">
        <f t="shared" si="32"/>
        <v>7.2</v>
      </c>
      <c r="Z227" s="36">
        <f t="shared" si="37"/>
        <v>2.0080000000000001E-2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6.4333333333333336</v>
      </c>
      <c r="BN227" s="64">
        <f t="shared" si="34"/>
        <v>7.7199999999999989</v>
      </c>
      <c r="BO227" s="64">
        <f t="shared" si="35"/>
        <v>1.4245014245014245E-2</v>
      </c>
      <c r="BP227" s="64">
        <f t="shared" si="36"/>
        <v>1.7094017094017096E-2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134</v>
      </c>
      <c r="Y229" s="642">
        <f t="shared" si="32"/>
        <v>134.4</v>
      </c>
      <c r="Z229" s="36">
        <f>IFERROR(IF(Y229=0,"",ROUNDUP(Y229/H229,0)*0.00502),"")</f>
        <v>0.32128000000000001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140.38095238095238</v>
      </c>
      <c r="BN229" s="64">
        <f t="shared" si="34"/>
        <v>140.80000000000001</v>
      </c>
      <c r="BO229" s="64">
        <f t="shared" si="35"/>
        <v>0.27269027269027274</v>
      </c>
      <c r="BP229" s="64">
        <f t="shared" si="36"/>
        <v>0.27350427350427353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102.85714285714286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105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0.59509999999999996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248</v>
      </c>
      <c r="Y234" s="643">
        <f>IFERROR(SUM(Y218:Y232),"0")</f>
        <v>255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11</v>
      </c>
      <c r="Y250" s="642">
        <f>IFERROR(IF(X250="",0,CEILING((X250/$H250),1)*$H250),"")</f>
        <v>11.34</v>
      </c>
      <c r="Z250" s="36">
        <f>IFERROR(IF(Y250=0,"",ROUNDUP(Y250/H250,0)*0.0059),"")</f>
        <v>5.3100000000000001E-2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12.658730158730158</v>
      </c>
      <c r="BN250" s="64">
        <f>IFERROR(Y250*I250/H250,"0")</f>
        <v>13.049999999999999</v>
      </c>
      <c r="BO250" s="64">
        <f>IFERROR(1/J250*(X250/H250),"0")</f>
        <v>4.0417401528512635E-2</v>
      </c>
      <c r="BP250" s="64">
        <f>IFERROR(1/J250*(Y250/H250),"0")</f>
        <v>4.1666666666666664E-2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8.7301587301587293</v>
      </c>
      <c r="Y251" s="643">
        <f>IFERROR(Y248/H248,"0")+IFERROR(Y249/H249,"0")+IFERROR(Y250/H250,"0")</f>
        <v>9</v>
      </c>
      <c r="Z251" s="643">
        <f>IFERROR(IF(Z248="",0,Z248),"0")+IFERROR(IF(Z249="",0,Z249),"0")+IFERROR(IF(Z250="",0,Z250),"0")</f>
        <v>5.3100000000000001E-2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11</v>
      </c>
      <c r="Y252" s="643">
        <f>IFERROR(SUM(Y248:Y250),"0")</f>
        <v>11.34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200</v>
      </c>
      <c r="Y269" s="642">
        <f t="shared" ref="Y269:Y276" si="43">IFERROR(IF(X269="",0,CEILING((X269/$H269),1)*$H269),"")</f>
        <v>205.20000000000002</v>
      </c>
      <c r="Z269" s="36">
        <f>IFERROR(IF(Y269=0,"",ROUNDUP(Y269/H269,0)*0.00902),"")</f>
        <v>0.34276000000000001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207.03703703703701</v>
      </c>
      <c r="BN269" s="64">
        <f t="shared" ref="BN269:BN276" si="45">IFERROR(Y269*I269/H269,"0")</f>
        <v>212.42</v>
      </c>
      <c r="BO269" s="64">
        <f t="shared" ref="BO269:BO276" si="46">IFERROR(1/J269*(X269/H269),"0")</f>
        <v>0.28058361391694725</v>
      </c>
      <c r="BP269" s="64">
        <f t="shared" ref="BP269:BP276" si="47">IFERROR(1/J269*(Y269/H269),"0")</f>
        <v>0.2878787878787879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106</v>
      </c>
      <c r="Y271" s="642">
        <f t="shared" si="43"/>
        <v>108</v>
      </c>
      <c r="Z271" s="36">
        <f>IFERROR(IF(Y271=0,"",ROUNDUP(Y271/H271,0)*0.00902),"")</f>
        <v>0.1804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109.72962962962961</v>
      </c>
      <c r="BN271" s="64">
        <f t="shared" si="45"/>
        <v>111.8</v>
      </c>
      <c r="BO271" s="64">
        <f t="shared" si="46"/>
        <v>0.14870931537598206</v>
      </c>
      <c r="BP271" s="64">
        <f t="shared" si="47"/>
        <v>0.15151515151515152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9</v>
      </c>
      <c r="Y273" s="642">
        <f t="shared" si="43"/>
        <v>9</v>
      </c>
      <c r="Z273" s="36">
        <f>IFERROR(IF(Y273=0,"",ROUNDUP(Y273/H273,0)*0.00502),"")</f>
        <v>2.5100000000000001E-2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9.65</v>
      </c>
      <c r="BN273" s="64">
        <f t="shared" si="45"/>
        <v>9.65</v>
      </c>
      <c r="BO273" s="64">
        <f t="shared" si="46"/>
        <v>2.1367521367521368E-2</v>
      </c>
      <c r="BP273" s="64">
        <f t="shared" si="47"/>
        <v>2.1367521367521368E-2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15</v>
      </c>
      <c r="Y274" s="642">
        <f t="shared" si="4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15.833333333333332</v>
      </c>
      <c r="BN274" s="64">
        <f t="shared" si="45"/>
        <v>17.099999999999998</v>
      </c>
      <c r="BO274" s="64">
        <f t="shared" si="46"/>
        <v>3.561253561253562E-2</v>
      </c>
      <c r="BP274" s="64">
        <f t="shared" si="47"/>
        <v>3.8461538461538464E-2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30</v>
      </c>
      <c r="Y276" s="642">
        <f t="shared" si="43"/>
        <v>30.6</v>
      </c>
      <c r="Z276" s="36">
        <f>IFERROR(IF(Y276=0,"",ROUNDUP(Y276/H276,0)*0.00502),"")</f>
        <v>8.5339999999999999E-2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31.666666666666664</v>
      </c>
      <c r="BN276" s="64">
        <f t="shared" si="45"/>
        <v>32.299999999999997</v>
      </c>
      <c r="BO276" s="64">
        <f t="shared" si="46"/>
        <v>7.122507122507124E-2</v>
      </c>
      <c r="BP276" s="64">
        <f t="shared" si="47"/>
        <v>7.2649572649572655E-2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123.70370370370371</v>
      </c>
      <c r="Y277" s="643">
        <f>IFERROR(Y269/H269,"0")+IFERROR(Y270/H270,"0")+IFERROR(Y271/H271,"0")+IFERROR(Y272/H272,"0")+IFERROR(Y273/H273,"0")+IFERROR(Y274/H274,"0")+IFERROR(Y275/H275,"0")+IFERROR(Y276/H276,"0")</f>
        <v>127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1.0215400000000001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560</v>
      </c>
      <c r="Y278" s="643">
        <f>IFERROR(SUM(Y269:Y276),"0")</f>
        <v>574.20000000000005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200</v>
      </c>
      <c r="Y280" s="642">
        <f t="shared" ref="Y280:Y291" si="48">IFERROR(IF(X280="",0,CEILING((X280/$H280),1)*$H280),"")</f>
        <v>202.5</v>
      </c>
      <c r="Z280" s="36">
        <f>IFERROR(IF(Y280=0,"",ROUNDUP(Y280/H280,0)*0.01898),"")</f>
        <v>0.47450000000000003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212.19753086419755</v>
      </c>
      <c r="BN280" s="64">
        <f t="shared" ref="BN280:BN291" si="50">IFERROR(Y280*I280/H280,"0")</f>
        <v>214.85</v>
      </c>
      <c r="BO280" s="64">
        <f t="shared" ref="BO280:BO291" si="51">IFERROR(1/J280*(X280/H280),"0")</f>
        <v>0.38580246913580246</v>
      </c>
      <c r="BP280" s="64">
        <f t="shared" ref="BP280:BP291" si="52">IFERROR(1/J280*(Y280/H280),"0")</f>
        <v>0.390625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100</v>
      </c>
      <c r="Y281" s="642">
        <f t="shared" si="48"/>
        <v>105.3</v>
      </c>
      <c r="Z281" s="36">
        <f>IFERROR(IF(Y281=0,"",ROUNDUP(Y281/H281,0)*0.01898),"")</f>
        <v>0.24674000000000001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105.87654320987654</v>
      </c>
      <c r="BN281" s="64">
        <f t="shared" si="50"/>
        <v>111.48800000000001</v>
      </c>
      <c r="BO281" s="64">
        <f t="shared" si="51"/>
        <v>0.19290123456790123</v>
      </c>
      <c r="BP281" s="64">
        <f t="shared" si="52"/>
        <v>0.203125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60</v>
      </c>
      <c r="Y283" s="642">
        <f t="shared" si="48"/>
        <v>60</v>
      </c>
      <c r="Z283" s="36">
        <f>IFERROR(IF(Y283=0,"",ROUNDUP(Y283/H283,0)*0.00651),"")</f>
        <v>0.16275000000000001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66.75</v>
      </c>
      <c r="BN283" s="64">
        <f t="shared" si="50"/>
        <v>66.75</v>
      </c>
      <c r="BO283" s="64">
        <f t="shared" si="51"/>
        <v>0.13736263736263737</v>
      </c>
      <c r="BP283" s="64">
        <f t="shared" si="52"/>
        <v>0.13736263736263737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510</v>
      </c>
      <c r="Y286" s="642">
        <f t="shared" si="48"/>
        <v>511.2</v>
      </c>
      <c r="Z286" s="36">
        <f>IFERROR(IF(Y286=0,"",ROUNDUP(Y286/H286,0)*0.00651),"")</f>
        <v>1.38663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563.55000000000007</v>
      </c>
      <c r="BN286" s="64">
        <f t="shared" si="50"/>
        <v>564.87600000000009</v>
      </c>
      <c r="BO286" s="64">
        <f t="shared" si="51"/>
        <v>1.1675824175824177</v>
      </c>
      <c r="BP286" s="64">
        <f t="shared" si="52"/>
        <v>1.1703296703296704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44</v>
      </c>
      <c r="Y288" s="642">
        <f t="shared" si="48"/>
        <v>45.6</v>
      </c>
      <c r="Z288" s="36">
        <f>IFERROR(IF(Y288=0,"",ROUNDUP(Y288/H288,0)*0.00651),"")</f>
        <v>0.12369000000000001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48.620000000000005</v>
      </c>
      <c r="BN288" s="64">
        <f t="shared" si="50"/>
        <v>50.388000000000005</v>
      </c>
      <c r="BO288" s="64">
        <f t="shared" si="51"/>
        <v>0.10073260073260075</v>
      </c>
      <c r="BP288" s="64">
        <f t="shared" si="52"/>
        <v>0.1043956043956044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20</v>
      </c>
      <c r="Y289" s="642">
        <f t="shared" si="48"/>
        <v>21.599999999999998</v>
      </c>
      <c r="Z289" s="36">
        <f>IFERROR(IF(Y289=0,"",ROUNDUP(Y289/H289,0)*0.00651),"")</f>
        <v>5.8590000000000003E-2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22.100000000000005</v>
      </c>
      <c r="BN289" s="64">
        <f t="shared" si="50"/>
        <v>23.868000000000002</v>
      </c>
      <c r="BO289" s="64">
        <f t="shared" si="51"/>
        <v>4.5787545787545791E-2</v>
      </c>
      <c r="BP289" s="64">
        <f t="shared" si="52"/>
        <v>4.9450549450549455E-2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43</v>
      </c>
      <c r="Y290" s="642">
        <f t="shared" si="48"/>
        <v>43.199999999999996</v>
      </c>
      <c r="Z290" s="36">
        <f>IFERROR(IF(Y290=0,"",ROUNDUP(Y290/H290,0)*0.00651),"")</f>
        <v>0.11718000000000001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47.622500000000002</v>
      </c>
      <c r="BN290" s="64">
        <f t="shared" si="50"/>
        <v>47.843999999999994</v>
      </c>
      <c r="BO290" s="64">
        <f t="shared" si="51"/>
        <v>9.8443223443223454E-2</v>
      </c>
      <c r="BP290" s="64">
        <f t="shared" si="52"/>
        <v>9.8901098901098911E-2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319.12037037037038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322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2.5700799999999999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977</v>
      </c>
      <c r="Y293" s="643">
        <f>IFERROR(SUM(Y280:Y291),"0")</f>
        <v>989.40000000000009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5</v>
      </c>
      <c r="Y307" s="642">
        <f t="shared" si="53"/>
        <v>8</v>
      </c>
      <c r="Z307" s="36">
        <f>IFERROR(IF(Y307=0,"",ROUNDUP(Y307/H307,0)*0.00902),"")</f>
        <v>1.804E-2</v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5.2375000000000007</v>
      </c>
      <c r="BN307" s="64">
        <f t="shared" si="55"/>
        <v>8.3800000000000008</v>
      </c>
      <c r="BO307" s="64">
        <f t="shared" si="56"/>
        <v>9.46969696969697E-3</v>
      </c>
      <c r="BP307" s="64">
        <f t="shared" si="57"/>
        <v>1.5151515151515152E-2</v>
      </c>
    </row>
    <row r="308" spans="1:68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1.25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44"/>
      <c r="AB308" s="644"/>
      <c r="AC308" s="644"/>
    </row>
    <row r="309" spans="1:68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5</v>
      </c>
      <c r="Y309" s="643">
        <f>IFERROR(SUM(Y301:Y307),"0")</f>
        <v>8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38</v>
      </c>
      <c r="Y336" s="642">
        <f>IFERROR(IF(X336="",0,CEILING((X336/$H336),1)*$H336),"")</f>
        <v>38.4</v>
      </c>
      <c r="Z336" s="36">
        <f>IFERROR(IF(Y336=0,"",ROUNDUP(Y336/H336,0)*0.00651),"")</f>
        <v>0.10416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41.990000000000009</v>
      </c>
      <c r="BN336" s="64">
        <f>IFERROR(Y336*I336/H336,"0")</f>
        <v>42.432000000000002</v>
      </c>
      <c r="BO336" s="64">
        <f>IFERROR(1/J336*(X336/H336),"0")</f>
        <v>8.6996336996337006E-2</v>
      </c>
      <c r="BP336" s="64">
        <f>IFERROR(1/J336*(Y336/H336),"0")</f>
        <v>8.7912087912087919E-2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51</v>
      </c>
      <c r="Y337" s="642">
        <f>IFERROR(IF(X337="",0,CEILING((X337/$H337),1)*$H337),"")</f>
        <v>52.8</v>
      </c>
      <c r="Z337" s="36">
        <f>IFERROR(IF(Y337=0,"",ROUNDUP(Y337/H337,0)*0.00651),"")</f>
        <v>0.14322000000000001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54.82500000000001</v>
      </c>
      <c r="BN337" s="64">
        <f>IFERROR(Y337*I337/H337,"0")</f>
        <v>56.76</v>
      </c>
      <c r="BO337" s="64">
        <f>IFERROR(1/J337*(X337/H337),"0")</f>
        <v>0.11675824175824177</v>
      </c>
      <c r="BP337" s="64">
        <f>IFERROR(1/J337*(Y337/H337),"0")</f>
        <v>0.12087912087912089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37.083333333333336</v>
      </c>
      <c r="Y338" s="643">
        <f>IFERROR(Y335/H335,"0")+IFERROR(Y336/H336,"0")+IFERROR(Y337/H337,"0")</f>
        <v>38</v>
      </c>
      <c r="Z338" s="643">
        <f>IFERROR(IF(Z335="",0,Z335),"0")+IFERROR(IF(Z336="",0,Z336),"0")+IFERROR(IF(Z337="",0,Z337),"0")</f>
        <v>0.24738000000000002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89</v>
      </c>
      <c r="Y339" s="643">
        <f>IFERROR(SUM(Y335:Y337),"0")</f>
        <v>91.199999999999989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200</v>
      </c>
      <c r="Y357" s="642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210.51282051282055</v>
      </c>
      <c r="BN357" s="64">
        <f>IFERROR(Y357*I357/H357,"0")</f>
        <v>213.46</v>
      </c>
      <c r="BO357" s="64">
        <f>IFERROR(1/J357*(X357/H357),"0")</f>
        <v>0.40064102564102566</v>
      </c>
      <c r="BP357" s="64">
        <f>IFERROR(1/J357*(Y357/H357),"0")</f>
        <v>0.40625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11</v>
      </c>
      <c r="Y358" s="642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11.578205128205129</v>
      </c>
      <c r="BN358" s="64">
        <f>IFERROR(Y358*I358/H358,"0")</f>
        <v>16.420000000000002</v>
      </c>
      <c r="BO358" s="64">
        <f>IFERROR(1/J358*(X358/H358),"0")</f>
        <v>2.2035256410256412E-2</v>
      </c>
      <c r="BP358" s="64">
        <f>IFERROR(1/J358*(Y358/H358),"0")</f>
        <v>3.125E-2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27.051282051282051</v>
      </c>
      <c r="Y359" s="643">
        <f>IFERROR(Y356/H356,"0")+IFERROR(Y357/H357,"0")+IFERROR(Y358/H358,"0")</f>
        <v>28</v>
      </c>
      <c r="Z359" s="643">
        <f>IFERROR(IF(Z356="",0,Z356),"0")+IFERROR(IF(Z357="",0,Z357),"0")+IFERROR(IF(Z358="",0,Z358),"0")</f>
        <v>0.53144000000000002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211</v>
      </c>
      <c r="Y360" s="643">
        <f>IFERROR(SUM(Y356:Y358),"0")</f>
        <v>218.39999999999998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13</v>
      </c>
      <c r="Y366" s="642">
        <f t="shared" si="58"/>
        <v>21.6</v>
      </c>
      <c r="Z366" s="36">
        <f>IFERROR(IF(Y366=0,"",ROUNDUP(Y366/H366,0)*0.01898),"")</f>
        <v>3.7960000000000001E-2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13.493518518518519</v>
      </c>
      <c r="BN366" s="64">
        <f t="shared" si="60"/>
        <v>22.42</v>
      </c>
      <c r="BO366" s="64">
        <f t="shared" si="61"/>
        <v>1.8807870370370371E-2</v>
      </c>
      <c r="BP366" s="64">
        <f t="shared" si="62"/>
        <v>3.125E-2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1.2037037037037037</v>
      </c>
      <c r="Y369" s="643">
        <f>IFERROR(Y363/H363,"0")+IFERROR(Y364/H364,"0")+IFERROR(Y365/H365,"0")+IFERROR(Y366/H366,"0")+IFERROR(Y367/H367,"0")+IFERROR(Y368/H368,"0")</f>
        <v>2</v>
      </c>
      <c r="Z369" s="643">
        <f>IFERROR(IF(Z363="",0,Z363),"0")+IFERROR(IF(Z364="",0,Z364),"0")+IFERROR(IF(Z365="",0,Z365),"0")+IFERROR(IF(Z366="",0,Z366),"0")+IFERROR(IF(Z367="",0,Z367),"0")+IFERROR(IF(Z368="",0,Z368),"0")</f>
        <v>3.7960000000000001E-2</v>
      </c>
      <c r="AA369" s="644"/>
      <c r="AB369" s="644"/>
      <c r="AC369" s="644"/>
    </row>
    <row r="370" spans="1:68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13</v>
      </c>
      <c r="Y370" s="643">
        <f>IFERROR(SUM(Y363:Y368),"0")</f>
        <v>21.6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5</v>
      </c>
      <c r="Y378" s="642">
        <f t="shared" si="63"/>
        <v>5.4</v>
      </c>
      <c r="Z378" s="36">
        <f>IFERROR(IF(Y378=0,"",ROUNDUP(Y378/H378,0)*0.00651),"")</f>
        <v>1.9529999999999999E-2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5.6333333333333337</v>
      </c>
      <c r="BN378" s="64">
        <f t="shared" si="65"/>
        <v>6.0839999999999996</v>
      </c>
      <c r="BO378" s="64">
        <f t="shared" si="66"/>
        <v>1.5262515262515264E-2</v>
      </c>
      <c r="BP378" s="64">
        <f t="shared" si="67"/>
        <v>1.6483516483516484E-2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2.7777777777777777</v>
      </c>
      <c r="Y379" s="643">
        <f>IFERROR(Y372/H372,"0")+IFERROR(Y373/H373,"0")+IFERROR(Y374/H374,"0")+IFERROR(Y375/H375,"0")+IFERROR(Y376/H376,"0")+IFERROR(Y377/H377,"0")+IFERROR(Y378/H378,"0")</f>
        <v>3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1.9529999999999999E-2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5</v>
      </c>
      <c r="Y380" s="643">
        <f>IFERROR(SUM(Y372:Y378),"0")</f>
        <v>5.4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553</v>
      </c>
      <c r="Y390" s="642">
        <f>IFERROR(IF(X390="",0,CEILING((X390/$H390),1)*$H390),"")</f>
        <v>553.79999999999995</v>
      </c>
      <c r="Z390" s="36">
        <f>IFERROR(IF(Y390=0,"",ROUNDUP(Y390/H390,0)*0.01898),"")</f>
        <v>1.34758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588.02333333333343</v>
      </c>
      <c r="BN390" s="64">
        <f>IFERROR(Y390*I390/H390,"0")</f>
        <v>588.87400000000002</v>
      </c>
      <c r="BO390" s="64">
        <f>IFERROR(1/J390*(X390/H390),"0")</f>
        <v>1.1077724358974359</v>
      </c>
      <c r="BP390" s="64">
        <f>IFERROR(1/J390*(Y390/H390),"0")</f>
        <v>1.109375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70.897435897435898</v>
      </c>
      <c r="Y392" s="643">
        <f>IFERROR(Y389/H389,"0")+IFERROR(Y390/H390,"0")+IFERROR(Y391/H391,"0")</f>
        <v>71</v>
      </c>
      <c r="Z392" s="643">
        <f>IFERROR(IF(Z389="",0,Z389),"0")+IFERROR(IF(Z390="",0,Z390),"0")+IFERROR(IF(Z391="",0,Z391),"0")</f>
        <v>1.34758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553</v>
      </c>
      <c r="Y393" s="643">
        <f>IFERROR(SUM(Y389:Y391),"0")</f>
        <v>553.79999999999995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10</v>
      </c>
      <c r="Y398" s="642">
        <f>IFERROR(IF(X398="",0,CEILING((X398/$H398),1)*$H398),"")</f>
        <v>10.199999999999999</v>
      </c>
      <c r="Z398" s="36">
        <f>IFERROR(IF(Y398=0,"",ROUNDUP(Y398/H398,0)*0.00651),"")</f>
        <v>2.6040000000000001E-2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11.294117647058822</v>
      </c>
      <c r="BN398" s="64">
        <f>IFERROR(Y398*I398/H398,"0")</f>
        <v>11.52</v>
      </c>
      <c r="BO398" s="64">
        <f>IFERROR(1/J398*(X398/H398),"0")</f>
        <v>2.1547080370609786E-2</v>
      </c>
      <c r="BP398" s="64">
        <f>IFERROR(1/J398*(Y398/H398),"0")</f>
        <v>2.197802197802198E-2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3.9215686274509807</v>
      </c>
      <c r="Y399" s="643">
        <f>IFERROR(Y395/H395,"0")+IFERROR(Y396/H396,"0")+IFERROR(Y397/H397,"0")+IFERROR(Y398/H398,"0")</f>
        <v>4</v>
      </c>
      <c r="Z399" s="643">
        <f>IFERROR(IF(Z395="",0,Z395),"0")+IFERROR(IF(Z396="",0,Z396),"0")+IFERROR(IF(Z397="",0,Z397),"0")+IFERROR(IF(Z398="",0,Z398),"0")</f>
        <v>2.6040000000000001E-2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10</v>
      </c>
      <c r="Y400" s="643">
        <f>IFERROR(SUM(Y395:Y398),"0")</f>
        <v>10.199999999999999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5</v>
      </c>
      <c r="Y402" s="642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5.6000000000000005</v>
      </c>
      <c r="BN402" s="64">
        <f>IFERROR(Y402*I402/H402,"0")</f>
        <v>6.7200000000000006</v>
      </c>
      <c r="BO402" s="64">
        <f>IFERROR(1/J402*(X402/H402),"0")</f>
        <v>1.0504201680672268E-2</v>
      </c>
      <c r="BP402" s="64">
        <f>IFERROR(1/J402*(Y402/H402),"0")</f>
        <v>1.2605042016806723E-2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5</v>
      </c>
      <c r="Y403" s="642">
        <f>IFERROR(IF(X403="",0,CEILING((X403/$H403),1)*$H403),"")</f>
        <v>6</v>
      </c>
      <c r="Z403" s="36">
        <f>IFERROR(IF(Y403=0,"",ROUNDUP(Y403/H403,0)*0.00474),"")</f>
        <v>1.422E-2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5.6000000000000005</v>
      </c>
      <c r="BN403" s="64">
        <f>IFERROR(Y403*I403/H403,"0")</f>
        <v>6.7200000000000006</v>
      </c>
      <c r="BO403" s="64">
        <f>IFERROR(1/J403*(X403/H403),"0")</f>
        <v>1.0504201680672268E-2</v>
      </c>
      <c r="BP403" s="64">
        <f>IFERROR(1/J403*(Y403/H403),"0")</f>
        <v>1.2605042016806723E-2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20</v>
      </c>
      <c r="Y404" s="642">
        <f>IFERROR(IF(X404="",0,CEILING((X404/$H404),1)*$H404),"")</f>
        <v>20</v>
      </c>
      <c r="Z404" s="36">
        <f>IFERROR(IF(Y404=0,"",ROUNDUP(Y404/H404,0)*0.00474),"")</f>
        <v>4.7400000000000005E-2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22.400000000000002</v>
      </c>
      <c r="BN404" s="64">
        <f>IFERROR(Y404*I404/H404,"0")</f>
        <v>22.400000000000002</v>
      </c>
      <c r="BO404" s="64">
        <f>IFERROR(1/J404*(X404/H404),"0")</f>
        <v>4.2016806722689072E-2</v>
      </c>
      <c r="BP404" s="64">
        <f>IFERROR(1/J404*(Y404/H404),"0")</f>
        <v>4.2016806722689072E-2</v>
      </c>
    </row>
    <row r="405" spans="1:68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15</v>
      </c>
      <c r="Y405" s="643">
        <f>IFERROR(Y402/H402,"0")+IFERROR(Y403/H403,"0")+IFERROR(Y404/H404,"0")</f>
        <v>16</v>
      </c>
      <c r="Z405" s="643">
        <f>IFERROR(IF(Z402="",0,Z402),"0")+IFERROR(IF(Z403="",0,Z403),"0")+IFERROR(IF(Z404="",0,Z404),"0")</f>
        <v>7.5840000000000005E-2</v>
      </c>
      <c r="AA405" s="644"/>
      <c r="AB405" s="644"/>
      <c r="AC405" s="644"/>
    </row>
    <row r="406" spans="1:68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30</v>
      </c>
      <c r="Y406" s="643">
        <f>IFERROR(SUM(Y402:Y404),"0")</f>
        <v>32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35</v>
      </c>
      <c r="Y423" s="642">
        <f>IFERROR(IF(X423="",0,CEILING((X423/$H423),1)*$H423),"")</f>
        <v>35.700000000000003</v>
      </c>
      <c r="Z423" s="36">
        <f>IFERROR(IF(Y423=0,"",ROUNDUP(Y423/H423,0)*0.00651),"")</f>
        <v>0.11067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38.999999999999993</v>
      </c>
      <c r="BN423" s="64">
        <f>IFERROR(Y423*I423/H423,"0")</f>
        <v>39.779999999999994</v>
      </c>
      <c r="BO423" s="64">
        <f>IFERROR(1/J423*(X423/H423),"0")</f>
        <v>9.1575091575091569E-2</v>
      </c>
      <c r="BP423" s="64">
        <f>IFERROR(1/J423*(Y423/H423),"0")</f>
        <v>9.3406593406593408E-2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16.666666666666664</v>
      </c>
      <c r="Y424" s="643">
        <f>IFERROR(Y421/H421,"0")+IFERROR(Y422/H422,"0")+IFERROR(Y423/H423,"0")</f>
        <v>17</v>
      </c>
      <c r="Z424" s="643">
        <f>IFERROR(IF(Z421="",0,Z421),"0")+IFERROR(IF(Z422="",0,Z422),"0")+IFERROR(IF(Z423="",0,Z423),"0")</f>
        <v>0.11067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35</v>
      </c>
      <c r="Y425" s="643">
        <f>IFERROR(SUM(Y421:Y423),"0")</f>
        <v>35.700000000000003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43</v>
      </c>
      <c r="Y429" s="642">
        <f t="shared" ref="Y429:Y436" si="68">IFERROR(IF(X429="",0,CEILING((X429/$H429),1)*$H429),"")</f>
        <v>45</v>
      </c>
      <c r="Z429" s="36">
        <f>IFERROR(IF(Y429=0,"",ROUNDUP(Y429/H429,0)*0.02175),"")</f>
        <v>6.5250000000000002E-2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44.347333333333339</v>
      </c>
      <c r="BN429" s="64">
        <f t="shared" ref="BN429:BN436" si="70">IFERROR(Y429*I429/H429,"0")</f>
        <v>46.41</v>
      </c>
      <c r="BO429" s="64">
        <f t="shared" ref="BO429:BO436" si="71">IFERROR(1/J429*(X429/H429),"0")</f>
        <v>5.9722222222222218E-2</v>
      </c>
      <c r="BP429" s="64">
        <f t="shared" ref="BP429:BP436" si="72">IFERROR(1/J429*(Y429/H429),"0")</f>
        <v>6.25E-2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765</v>
      </c>
      <c r="Y430" s="642">
        <f t="shared" si="68"/>
        <v>765</v>
      </c>
      <c r="Z430" s="36">
        <f>IFERROR(IF(Y430=0,"",ROUNDUP(Y430/H430,0)*0.02175),"")</f>
        <v>1.1092499999999998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788.97</v>
      </c>
      <c r="BN430" s="64">
        <f t="shared" si="70"/>
        <v>788.97</v>
      </c>
      <c r="BO430" s="64">
        <f t="shared" si="71"/>
        <v>1.0625</v>
      </c>
      <c r="BP430" s="64">
        <f t="shared" si="72"/>
        <v>1.0625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298</v>
      </c>
      <c r="Y431" s="642">
        <f t="shared" si="68"/>
        <v>300</v>
      </c>
      <c r="Z431" s="36">
        <f>IFERROR(IF(Y431=0,"",ROUNDUP(Y431/H431,0)*0.02175),"")</f>
        <v>0.43499999999999994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307.33733333333333</v>
      </c>
      <c r="BN431" s="64">
        <f t="shared" si="70"/>
        <v>309.39999999999998</v>
      </c>
      <c r="BO431" s="64">
        <f t="shared" si="71"/>
        <v>0.41388888888888886</v>
      </c>
      <c r="BP431" s="64">
        <f t="shared" si="72"/>
        <v>0.41666666666666663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765</v>
      </c>
      <c r="Y432" s="642">
        <f t="shared" si="68"/>
        <v>765</v>
      </c>
      <c r="Z432" s="36">
        <f>IFERROR(IF(Y432=0,"",ROUNDUP(Y432/H432,0)*0.02175),"")</f>
        <v>1.1092499999999998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788.97</v>
      </c>
      <c r="BN432" s="64">
        <f t="shared" si="70"/>
        <v>788.97</v>
      </c>
      <c r="BO432" s="64">
        <f t="shared" si="71"/>
        <v>1.0625</v>
      </c>
      <c r="BP432" s="64">
        <f t="shared" si="72"/>
        <v>1.0625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90</v>
      </c>
      <c r="Y433" s="642">
        <f t="shared" si="68"/>
        <v>90</v>
      </c>
      <c r="Z433" s="36">
        <f>IFERROR(IF(Y433=0,"",ROUNDUP(Y433/H433,0)*0.02175),"")</f>
        <v>0.1305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92.82</v>
      </c>
      <c r="BN433" s="64">
        <f t="shared" si="70"/>
        <v>92.82</v>
      </c>
      <c r="BO433" s="64">
        <f t="shared" si="71"/>
        <v>0.125</v>
      </c>
      <c r="BP433" s="64">
        <f t="shared" si="72"/>
        <v>0.125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130.73333333333335</v>
      </c>
      <c r="Y437" s="643">
        <f>IFERROR(Y429/H429,"0")+IFERROR(Y430/H430,"0")+IFERROR(Y431/H431,"0")+IFERROR(Y432/H432,"0")+IFERROR(Y433/H433,"0")+IFERROR(Y434/H434,"0")+IFERROR(Y435/H435,"0")+IFERROR(Y436/H436,"0")</f>
        <v>131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2.8492499999999996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1961</v>
      </c>
      <c r="Y438" s="643">
        <f>IFERROR(SUM(Y429:Y436),"0")</f>
        <v>1965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595</v>
      </c>
      <c r="Y440" s="642">
        <f>IFERROR(IF(X440="",0,CEILING((X440/$H440),1)*$H440),"")</f>
        <v>600</v>
      </c>
      <c r="Z440" s="36">
        <f>IFERROR(IF(Y440=0,"",ROUNDUP(Y440/H440,0)*0.02175),"")</f>
        <v>0.86999999999999988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613.64333333333332</v>
      </c>
      <c r="BN440" s="64">
        <f>IFERROR(Y440*I440/H440,"0")</f>
        <v>618.79999999999995</v>
      </c>
      <c r="BO440" s="64">
        <f>IFERROR(1/J440*(X440/H440),"0")</f>
        <v>0.82638888888888884</v>
      </c>
      <c r="BP440" s="64">
        <f>IFERROR(1/J440*(Y440/H440),"0")</f>
        <v>0.83333333333333326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29</v>
      </c>
      <c r="Y441" s="642">
        <f>IFERROR(IF(X441="",0,CEILING((X441/$H441),1)*$H441),"")</f>
        <v>30</v>
      </c>
      <c r="Z441" s="36">
        <f>IFERROR(IF(Y441=0,"",ROUNDUP(Y441/H441,0)*0.02175),"")</f>
        <v>4.3499999999999997E-2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29.908666666666665</v>
      </c>
      <c r="BN441" s="64">
        <f>IFERROR(Y441*I441/H441,"0")</f>
        <v>30.94</v>
      </c>
      <c r="BO441" s="64">
        <f>IFERROR(1/J441*(X441/H441),"0")</f>
        <v>4.0277777777777773E-2</v>
      </c>
      <c r="BP441" s="64">
        <f>IFERROR(1/J441*(Y441/H441),"0")</f>
        <v>4.1666666666666664E-2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41.599999999999994</v>
      </c>
      <c r="Y443" s="643">
        <f>IFERROR(Y440/H440,"0")+IFERROR(Y441/H441,"0")+IFERROR(Y442/H442,"0")</f>
        <v>42</v>
      </c>
      <c r="Z443" s="643">
        <f>IFERROR(IF(Z440="",0,Z440),"0")+IFERROR(IF(Z441="",0,Z441),"0")+IFERROR(IF(Z442="",0,Z442),"0")</f>
        <v>0.91349999999999987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624</v>
      </c>
      <c r="Y444" s="643">
        <f>IFERROR(SUM(Y440:Y442),"0")</f>
        <v>630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850</v>
      </c>
      <c r="Y467" s="642">
        <f>IFERROR(IF(X467="",0,CEILING((X467/$H467),1)*$H467),"")</f>
        <v>855</v>
      </c>
      <c r="Z467" s="36">
        <f>IFERROR(IF(Y467=0,"",ROUNDUP(Y467/H467,0)*0.01898),"")</f>
        <v>1.8030999999999999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896.65555555555557</v>
      </c>
      <c r="BN467" s="64">
        <f>IFERROR(Y467*I467/H467,"0")</f>
        <v>901.93</v>
      </c>
      <c r="BO467" s="64">
        <f>IFERROR(1/J467*(X467/H467),"0")</f>
        <v>1.4756944444444444</v>
      </c>
      <c r="BP467" s="64">
        <f>IFERROR(1/J467*(Y467/H467),"0")</f>
        <v>1.484375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40</v>
      </c>
      <c r="Y468" s="642">
        <f>IFERROR(IF(X468="",0,CEILING((X468/$H468),1)*$H468),"")</f>
        <v>40.799999999999997</v>
      </c>
      <c r="Z468" s="36">
        <f>IFERROR(IF(Y468=0,"",ROUNDUP(Y468/H468,0)*0.00651),"")</f>
        <v>0.11067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44.400000000000006</v>
      </c>
      <c r="BN468" s="64">
        <f>IFERROR(Y468*I468/H468,"0")</f>
        <v>45.287999999999997</v>
      </c>
      <c r="BO468" s="64">
        <f>IFERROR(1/J468*(X468/H468),"0")</f>
        <v>9.1575091575091583E-2</v>
      </c>
      <c r="BP468" s="64">
        <f>IFERROR(1/J468*(Y468/H468),"0")</f>
        <v>9.3406593406593408E-2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111.11111111111111</v>
      </c>
      <c r="Y470" s="643">
        <f>IFERROR(Y467/H467,"0")+IFERROR(Y468/H468,"0")+IFERROR(Y469/H469,"0")</f>
        <v>112</v>
      </c>
      <c r="Z470" s="643">
        <f>IFERROR(IF(Z467="",0,Z467),"0")+IFERROR(IF(Z468="",0,Z468),"0")+IFERROR(IF(Z469="",0,Z469),"0")</f>
        <v>1.91377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890</v>
      </c>
      <c r="Y471" s="643">
        <f>IFERROR(SUM(Y467:Y469),"0")</f>
        <v>895.8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349</v>
      </c>
      <c r="Y505" s="642">
        <f t="shared" si="78"/>
        <v>353.76</v>
      </c>
      <c r="Z505" s="36">
        <f t="shared" si="79"/>
        <v>0.80132000000000003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372.13446969696963</v>
      </c>
      <c r="BN505" s="64">
        <f t="shared" si="81"/>
        <v>377.21</v>
      </c>
      <c r="BO505" s="64">
        <f t="shared" si="82"/>
        <v>0.63556235431235431</v>
      </c>
      <c r="BP505" s="64">
        <f t="shared" si="83"/>
        <v>0.64423076923076927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850</v>
      </c>
      <c r="Y507" s="642">
        <f t="shared" si="78"/>
        <v>850.08</v>
      </c>
      <c r="Z507" s="36">
        <f t="shared" si="79"/>
        <v>1.9255599999999999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906.34469696969688</v>
      </c>
      <c r="BN507" s="64">
        <f t="shared" si="81"/>
        <v>906.43</v>
      </c>
      <c r="BO507" s="64">
        <f t="shared" si="82"/>
        <v>1.5479312354312353</v>
      </c>
      <c r="BP507" s="64">
        <f t="shared" si="83"/>
        <v>1.5480769230769231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227.08333333333331</v>
      </c>
      <c r="Y511" s="643">
        <f>IFERROR(Y502/H502,"0")+IFERROR(Y503/H503,"0")+IFERROR(Y504/H504,"0")+IFERROR(Y505/H505,"0")+IFERROR(Y506/H506,"0")+IFERROR(Y507/H507,"0")+IFERROR(Y508/H508,"0")+IFERROR(Y509/H509,"0")+IFERROR(Y510/H510,"0")</f>
        <v>228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2.72688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1199</v>
      </c>
      <c r="Y512" s="643">
        <f>IFERROR(SUM(Y502:Y510),"0")</f>
        <v>1203.8400000000001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1539</v>
      </c>
      <c r="Y514" s="642">
        <f>IFERROR(IF(X514="",0,CEILING((X514/$H514),1)*$H514),"")</f>
        <v>1541.76</v>
      </c>
      <c r="Z514" s="36">
        <f>IFERROR(IF(Y514=0,"",ROUNDUP(Y514/H514,0)*0.01196),"")</f>
        <v>3.4923199999999999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1641.0170454545453</v>
      </c>
      <c r="BN514" s="64">
        <f>IFERROR(Y514*I514/H514,"0")</f>
        <v>1643.9599999999998</v>
      </c>
      <c r="BO514" s="64">
        <f>IFERROR(1/J514*(X514/H514),"0")</f>
        <v>2.8026660839160837</v>
      </c>
      <c r="BP514" s="64">
        <f>IFERROR(1/J514*(Y514/H514),"0")</f>
        <v>2.8076923076923079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291.47727272727269</v>
      </c>
      <c r="Y517" s="643">
        <f>IFERROR(Y514/H514,"0")+IFERROR(Y515/H515,"0")+IFERROR(Y516/H516,"0")</f>
        <v>292</v>
      </c>
      <c r="Z517" s="643">
        <f>IFERROR(IF(Z514="",0,Z514),"0")+IFERROR(IF(Z515="",0,Z515),"0")+IFERROR(IF(Z516="",0,Z516),"0")</f>
        <v>3.4923199999999999</v>
      </c>
      <c r="AA517" s="644"/>
      <c r="AB517" s="644"/>
      <c r="AC517" s="644"/>
    </row>
    <row r="518" spans="1:68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1539</v>
      </c>
      <c r="Y518" s="643">
        <f>IFERROR(SUM(Y514:Y516),"0")</f>
        <v>1541.76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404</v>
      </c>
      <c r="Y521" s="642">
        <f t="shared" si="84"/>
        <v>406.56</v>
      </c>
      <c r="Z521" s="36">
        <f>IFERROR(IF(Y521=0,"",ROUNDUP(Y521/H521,0)*0.01196),"")</f>
        <v>0.92091999999999996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430.780303030303</v>
      </c>
      <c r="BN521" s="64">
        <f t="shared" si="86"/>
        <v>433.51</v>
      </c>
      <c r="BO521" s="64">
        <f t="shared" si="87"/>
        <v>0.7357226107226108</v>
      </c>
      <c r="BP521" s="64">
        <f t="shared" si="88"/>
        <v>0.74038461538461542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973</v>
      </c>
      <c r="Y522" s="642">
        <f t="shared" si="84"/>
        <v>976.80000000000007</v>
      </c>
      <c r="Z522" s="36">
        <f>IFERROR(IF(Y522=0,"",ROUNDUP(Y522/H522,0)*0.01196),"")</f>
        <v>2.2126000000000001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1037.498106060606</v>
      </c>
      <c r="BN522" s="64">
        <f t="shared" si="86"/>
        <v>1041.55</v>
      </c>
      <c r="BO522" s="64">
        <f t="shared" si="87"/>
        <v>1.7719259906759908</v>
      </c>
      <c r="BP522" s="64">
        <f t="shared" si="88"/>
        <v>1.778846153846154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260.79545454545456</v>
      </c>
      <c r="Y527" s="643">
        <f>IFERROR(Y520/H520,"0")+IFERROR(Y521/H521,"0")+IFERROR(Y522/H522,"0")+IFERROR(Y523/H523,"0")+IFERROR(Y524/H524,"0")+IFERROR(Y525/H525,"0")+IFERROR(Y526/H526,"0")</f>
        <v>262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3.1335199999999999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1377</v>
      </c>
      <c r="Y528" s="643">
        <f>IFERROR(SUM(Y520:Y526),"0")</f>
        <v>1383.3600000000001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14839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15001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15679.174422234444</v>
      </c>
      <c r="Y559" s="643">
        <f>IFERROR(SUM(BN22:BN555),"0")</f>
        <v>15849.688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27</v>
      </c>
      <c r="Y560" s="38">
        <f>ROUNDUP(SUM(BP22:BP555),0)</f>
        <v>27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16354.174422234444</v>
      </c>
      <c r="Y561" s="643">
        <f>GrossWeightTotalR+PalletQtyTotalR*25</f>
        <v>16524.688000000002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2472.2341557317045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2501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31.655169999999995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766.80000000000007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430.8</v>
      </c>
      <c r="F568" s="46">
        <f>IFERROR(Y85*1,"0")+IFERROR(Y86*1,"0")+IFERROR(Y87*1,"0")+IFERROR(Y88*1,"0")+IFERROR(Y89*1,"0")+IFERROR(Y90*1,"0")+IFERROR(Y94*1,"0")+IFERROR(Y95*1,"0")+IFERROR(Y96*1,"0")+IFERROR(Y97*1,"0")</f>
        <v>1155.5999999999999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1771.0199999999998</v>
      </c>
      <c r="H568" s="46">
        <f>IFERROR(Y131*1,"0")+IFERROR(Y132*1,"0")+IFERROR(Y136*1,"0")+IFERROR(Y137*1,"0")+IFERROR(Y141*1,"0")+IFERROR(Y142*1,"0")</f>
        <v>14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431.74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271.38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1563.6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91.199999999999989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218.39999999999998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623</v>
      </c>
      <c r="U568" s="46">
        <f>IFERROR(Y415*1,"0")+IFERROR(Y416*1,"0")</f>
        <v>0</v>
      </c>
      <c r="V568" s="46">
        <f>IFERROR(Y421*1,"0")+IFERROR(Y422*1,"0")+IFERROR(Y423*1,"0")</f>
        <v>35.700000000000003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2595</v>
      </c>
      <c r="X568" s="46">
        <f>IFERROR(Y458*1,"0")+IFERROR(Y459*1,"0")+IFERROR(Y463*1,"0")+IFERROR(Y467*1,"0")+IFERROR(Y468*1,"0")+IFERROR(Y469*1,"0")</f>
        <v>895.8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4128.96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199,00"/>
        <filter val="1 329,00"/>
        <filter val="1 377,00"/>
        <filter val="1 444,00"/>
        <filter val="1 539,00"/>
        <filter val="1 961,00"/>
        <filter val="1,20"/>
        <filter val="1,25"/>
        <filter val="10,00"/>
        <filter val="10,09"/>
        <filter val="100,00"/>
        <filter val="102,86"/>
        <filter val="106,00"/>
        <filter val="109,00"/>
        <filter val="11,00"/>
        <filter val="111,11"/>
        <filter val="115,00"/>
        <filter val="123,70"/>
        <filter val="13,00"/>
        <filter val="130,73"/>
        <filter val="134,00"/>
        <filter val="135,00"/>
        <filter val="14 839,00"/>
        <filter val="14,00"/>
        <filter val="14,17"/>
        <filter val="141,00"/>
        <filter val="141,40"/>
        <filter val="15 679,17"/>
        <filter val="15,00"/>
        <filter val="15,64"/>
        <filter val="151,98"/>
        <filter val="153,00"/>
        <filter val="16 354,17"/>
        <filter val="16,20"/>
        <filter val="16,67"/>
        <filter val="17,69"/>
        <filter val="170,00"/>
        <filter val="175,00"/>
        <filter val="18,18"/>
        <filter val="191,00"/>
        <filter val="2 472,23"/>
        <filter val="2,78"/>
        <filter val="20,00"/>
        <filter val="200,00"/>
        <filter val="206,67"/>
        <filter val="211,00"/>
        <filter val="227,08"/>
        <filter val="248,00"/>
        <filter val="26,00"/>
        <filter val="260,80"/>
        <filter val="27"/>
        <filter val="27,05"/>
        <filter val="29,00"/>
        <filter val="291,48"/>
        <filter val="298,00"/>
        <filter val="3,17"/>
        <filter val="3,92"/>
        <filter val="30,00"/>
        <filter val="319,12"/>
        <filter val="349,00"/>
        <filter val="35,00"/>
        <filter val="36,00"/>
        <filter val="37,08"/>
        <filter val="38,00"/>
        <filter val="4,00"/>
        <filter val="40,00"/>
        <filter val="404,00"/>
        <filter val="41,60"/>
        <filter val="418,00"/>
        <filter val="42,00"/>
        <filter val="43,00"/>
        <filter val="44,00"/>
        <filter val="5,00"/>
        <filter val="50,00"/>
        <filter val="51,00"/>
        <filter val="510,00"/>
        <filter val="553,00"/>
        <filter val="560,00"/>
        <filter val="57,00"/>
        <filter val="595,00"/>
        <filter val="6,00"/>
        <filter val="60,00"/>
        <filter val="624,00"/>
        <filter val="7,31"/>
        <filter val="70,83"/>
        <filter val="70,90"/>
        <filter val="71,00"/>
        <filter val="765,00"/>
        <filter val="8,73"/>
        <filter val="826,00"/>
        <filter val="850,00"/>
        <filter val="89,00"/>
        <filter val="890,00"/>
        <filter val="9,00"/>
        <filter val="90,00"/>
        <filter val="961,00"/>
        <filter val="973,00"/>
        <filter val="977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