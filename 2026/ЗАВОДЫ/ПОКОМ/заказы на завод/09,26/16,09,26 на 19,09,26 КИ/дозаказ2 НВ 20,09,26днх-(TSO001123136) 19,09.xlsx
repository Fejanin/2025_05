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19476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P323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Y252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N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Z211" i="2"/>
  <c r="Z212" i="2" s="1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N190" i="2"/>
  <c r="BM190" i="2"/>
  <c r="Z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P107" i="2"/>
  <c r="BO107" i="2"/>
  <c r="BN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Z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227" i="2" l="1"/>
  <c r="Z460" i="2"/>
  <c r="Z461" i="2" s="1"/>
  <c r="BP104" i="2"/>
  <c r="BN227" i="2"/>
  <c r="BP460" i="2"/>
  <c r="BN112" i="2"/>
  <c r="Z354" i="2"/>
  <c r="Z370" i="2"/>
  <c r="BN399" i="2"/>
  <c r="BN67" i="2"/>
  <c r="BP308" i="2"/>
  <c r="BP67" i="2"/>
  <c r="Z286" i="2"/>
  <c r="BN168" i="2"/>
  <c r="BP393" i="2"/>
  <c r="BN121" i="2"/>
  <c r="Y415" i="2"/>
  <c r="Z372" i="2"/>
  <c r="BN189" i="2"/>
  <c r="BP503" i="2"/>
  <c r="Z233" i="2"/>
  <c r="BP287" i="2"/>
  <c r="BP189" i="2"/>
  <c r="Z89" i="2"/>
  <c r="Z267" i="2"/>
  <c r="BN89" i="2"/>
  <c r="BN267" i="2"/>
  <c r="Y452" i="2"/>
  <c r="Z137" i="2"/>
  <c r="Z388" i="2"/>
  <c r="Z437" i="2"/>
  <c r="Z56" i="2"/>
  <c r="BP112" i="2"/>
  <c r="BN430" i="2"/>
  <c r="Z68" i="2"/>
  <c r="Z127" i="2"/>
  <c r="Z128" i="2" s="1"/>
  <c r="BN137" i="2"/>
  <c r="BN226" i="2"/>
  <c r="Z300" i="2"/>
  <c r="BN388" i="2"/>
  <c r="Z455" i="2"/>
  <c r="BP473" i="2"/>
  <c r="BP173" i="2"/>
  <c r="BN178" i="2"/>
  <c r="BP251" i="2"/>
  <c r="Z374" i="2"/>
  <c r="BP430" i="2"/>
  <c r="Z445" i="2"/>
  <c r="Z113" i="2"/>
  <c r="BN127" i="2"/>
  <c r="BP226" i="2"/>
  <c r="BP262" i="2"/>
  <c r="Y446" i="2"/>
  <c r="Z40" i="2"/>
  <c r="Z234" i="2"/>
  <c r="Z399" i="2"/>
  <c r="BN277" i="2"/>
  <c r="BN392" i="2"/>
  <c r="BP88" i="2"/>
  <c r="Y213" i="2"/>
  <c r="Z224" i="2"/>
  <c r="BP234" i="2"/>
  <c r="BP270" i="2"/>
  <c r="BP277" i="2"/>
  <c r="BN142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69" i="2" s="1"/>
  <c r="Z72" i="2"/>
  <c r="Z78" i="2"/>
  <c r="Z81" i="2" s="1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Z334" i="2" s="1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Z32" i="2" s="1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Z376" i="2" s="1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Z62" i="2" s="1"/>
  <c r="BP65" i="2"/>
  <c r="Y82" i="2"/>
  <c r="Z142" i="2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343" i="2" l="1"/>
  <c r="Z154" i="2"/>
  <c r="X557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<sst xmlns="http://schemas.openxmlformats.org/spreadsheetml/2006/main" count="4298" uniqueCount="916">
  <si>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</si>
  <si>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</si>
  <si>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</si>
  <si>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</si>
  <si>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</si>
  <si>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</si>
  <si>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</si>
  <si>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</si>
  <si>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</si>
  <si>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</si>
  <si>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</si>
  <si>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</si>
  <si>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</si>
  <si>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</si>
  <si>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</si>
  <si>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</si>
  <si>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</si>
  <si>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</si>
  <si>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</si>
  <si>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</si>
  <si>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</si>
  <si>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</si>
  <si>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</si>
  <si>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</si>
  <si>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</si>
  <si>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</si>
  <si>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</si>
  <si>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</si>
  <si>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</si>
  <si>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</si>
  <si>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</si>
  <si>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</si>
  <si>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</si>
  <si>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</si>
  <si>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</si>
  <si>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</si>
  <si>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</si>
  <si>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</si>
  <si>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</si>
  <si>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</si>
  <si>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</si>
  <si>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</si>
  <si>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</si>
  <si>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</si>
  <si>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</si>
  <si>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</si>
  <si>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</si>
  <si>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</si>
  <si>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</si>
  <si>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</si>
  <si>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</si>
  <si>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</si>
  <si>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</si>
  <si>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</si>
  <si>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</si>
  <si>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</si>
  <si>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</si>
  <si>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</si>
  <si>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</si>
  <si>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</si>
  <si>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</si>
  <si>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</si>
  <si>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</si>
  <si>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</si>
  <si>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</si>
  <si>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</si>
  <si>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</si>
  <si>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</si>
  <si>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</si>
  <si>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</si>
  <si>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</si>
  <si>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</si>
  <si>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</si>
  <si>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</si>
  <si>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</si>
  <si>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</si>
  <si>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</si>
  <si>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</si>
  <si>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</si>
  <si>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</si>
  <si>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</si>
  <si>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</si>
  <si>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</si>
  <si>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</si>
  <si>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</si>
  <si>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</si>
  <si>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</si>
  <si>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</si>
  <si>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</si>
  <si>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</si>
  <si>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</si>
  <si>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</si>
  <si>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</si>
  <si>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</si>
  <si>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</si>
  <si>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</si>
  <si>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</si>
  <si>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</si>
  <si>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</si>
  <si>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</si>
  <si>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</si>
  <si>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</si>
  <si>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</si>
  <si>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</si>
  <si>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</si>
  <si>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</si>
  <si>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</si>
  <si>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</si>
  <si>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</si>
  <si>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</si>
  <si>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</si>
  <si>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</si>
  <si>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</si>
  <si>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</si>
  <si>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</si>
  <si>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</si>
  <si>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</si>
  <si>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</si>
  <si>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</si>
  <si>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</si>
  <si>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</si>
  <si>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</si>
  <si>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</si>
  <si>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</si>
  <si>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</si>
  <si>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</si>
  <si>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</si>
  <si>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</si>
  <si>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</si>
  <si>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</si>
  <si>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</si>
  <si>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</si>
  <si>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</si>
  <si>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</si>
  <si>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</si>
  <si>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</si>
  <si>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</si>
  <si>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</si>
  <si>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</si>
  <si>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</si>
  <si>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</si>
  <si>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</si>
  <si>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</si>
  <si>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</si>
  <si>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</si>
  <si>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</si>
  <si>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</si>
  <si>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</si>
  <si>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</si>
  <si>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</si>
  <si>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</si>
  <si>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</si>
  <si>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</si>
  <si>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</si>
  <si>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</si>
  <si>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</si>
  <si>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</si>
  <si>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</si>
  <si>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</si>
  <si>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</si>
  <si>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</si>
  <si>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</si>
  <si>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</si>
  <si>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</si>
  <si>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</si>
  <si>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</si>
  <si>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</si>
  <si>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</si>
  <si>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</si>
  <si>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</si>
  <si>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</si>
  <si>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</si>
  <si>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</si>
  <si>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</si>
  <si>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</si>
  <si>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</si>
  <si>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</si>
  <si>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</si>
  <si>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</si>
  <si>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</si>
  <si>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</si>
  <si>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</si>
  <si>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</si>
  <si>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</si>
  <si>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</si>
  <si>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</si>
  <si>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</si>
  <si>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</si>
  <si>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</si>
  <si>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</si>
  <si>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</si>
  <si>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</si>
  <si>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</si>
  <si>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</si>
  <si>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</si>
  <si>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</si>
  <si>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</si>
  <si>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</si>
  <si>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</si>
  <si>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</si>
  <si>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</si>
  <si>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</si>
  <si>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</si>
  <si>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</si>
  <si>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</si>
  <si>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</si>
  <si>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</si>
  <si>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</si>
  <si>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</si>
  <si>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</si>
  <si>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</si>
  <si>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</si>
  <si>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</si>
  <si>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</si>
  <si>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</si>
  <si>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</si>
  <si>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</si>
  <si>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</si>
  <si>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</si>
  <si>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</si>
  <si>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</si>
  <si>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</si>
  <si>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</si>
  <si>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</si>
  <si>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</si>
  <si>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</si>
  <si>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</si>
  <si>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</si>
  <si>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</si>
  <si>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</si>
  <si>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</si>
  <si>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</si>
  <si>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</si>
  <si>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</si>
  <si>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</si>
  <si>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</si>
  <si>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</si>
  <si>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</si>
  <si>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</si>
  <si>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</si>
  <si>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</si>
  <si>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</si>
  <si>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</si>
  <si>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</si>
  <si>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</si>
  <si>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</si>
  <si>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</si>
  <si>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</si>
  <si>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</si>
  <si>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</si>
  <si>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</si>
  <si>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</si>
  <si>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</si>
  <si>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</si>
  <si>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</si>
  <si>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</si>
  <si>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</si>
  <si>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</si>
  <si>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</si>
  <si>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</si>
  <si>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</si>
  <si>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</si>
  <si>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</si>
  <si>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</si>
  <si>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</si>
  <si>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</si>
  <si>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</si>
  <si>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</si>
  <si>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</si>
  <si>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</si>
  <si>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</si>
  <si>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</si>
  <si>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</si>
  <si>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</si>
  <si>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</si>
  <si>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</si>
  <si>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</si>
  <si>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</si>
  <si>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</si>
  <si>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</si>
  <si>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</si>
  <si>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</si>
  <si>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</si>
  <si>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</si>
  <si>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</si>
  <si>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</si>
  <si>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</si>
  <si>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</si>
  <si>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</si>
  <si>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</si>
  <si>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</si>
  <si>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</si>
  <si>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</si>
  <si>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</si>
  <si>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</si>
  <si>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</si>
  <si>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</si>
  <si>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</si>
  <si>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</si>
  <si>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</si>
  <si>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</si>
  <si>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</si>
  <si>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</si>
  <si>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</si>
  <si>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</si>
  <si>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</si>
  <si>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</si>
  <si>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</si>
  <si>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</si>
  <si>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</si>
  <si>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</si>
  <si>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</si>
  <si>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</si>
  <si>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</si>
  <si>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</si>
  <si>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</si>
  <si>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</si>
  <si>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</si>
  <si>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</si>
  <si>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</si>
  <si>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</si>
  <si>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</si>
  <si>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</si>
  <si>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</si>
  <si>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</si>
  <si>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</si>
  <si>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</si>
  <si>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</si>
  <si>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</si>
  <si>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</si>
  <si>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</si>
  <si>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</si>
  <si>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</si>
  <si>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</si>
  <si>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</si>
  <si>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</si>
  <si>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</si>
  <si>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</si>
  <si>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</si>
  <si>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</si>
  <si>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</si>
  <si>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</si>
  <si>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</si>
  <si>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</si>
  <si>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</si>
  <si>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</si>
  <si>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</si>
  <si>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</si>
  <si>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</si>
  <si>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</si>
  <si>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</si>
  <si>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</si>
  <si>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</si>
  <si>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</si>
  <si>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</si>
  <si>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</si>
  <si>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</si>
  <si>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</si>
  <si>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</si>
  <si>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</si>
  <si>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</si>
  <si>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</si>
  <si>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</si>
  <si>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</si>
  <si>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</si>
  <si>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</si>
  <si>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</si>
  <si>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</si>
  <si>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</si>
  <si>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</si>
  <si>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</si>
  <si>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</si>
  <si>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</si>
  <si>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</si>
  <si>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</si>
  <si>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</si>
  <si>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</si>
  <si>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</si>
  <si>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</si>
  <si>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</si>
  <si>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</si>
  <si>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</si>
  <si>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</si>
  <si>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</si>
  <si>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</si>
  <si>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</si>
  <si>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</si>
  <si>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</si>
  <si>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</si>
  <si>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</si>
  <si>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</si>
  <si>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</si>
  <si>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</si>
  <si>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</si>
  <si>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</si>
  <si>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</si>
  <si>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</si>
  <si>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</si>
  <si>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</si>
  <si>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</si>
  <si>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</si>
  <si>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</si>
  <si>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</si>
  <si>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</si>
  <si>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</si>
  <si>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</si>
  <si>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</si>
  <si>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</si>
  <si>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</si>
  <si>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</si>
  <si>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</si>
  <si>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</si>
  <si>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</si>
  <si>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</si>
  <si>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</si>
  <si>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</si>
  <si>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</si>
  <si>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</si>
  <si>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</si>
  <si>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</si>
  <si>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</si>
  <si>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</si>
  <si>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</si>
  <si>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</si>
  <si>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</si>
  <si>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</si>
  <si>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</si>
  <si>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</si>
  <si>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</si>
  <si>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</si>
  <si>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</si>
  <si>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</si>
  <si>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</si>
  <si>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</si>
  <si>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</si>
  <si>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</si>
  <si>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</si>
  <si>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</si>
  <si>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</si>
  <si>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</si>
  <si>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</si>
  <si>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</si>
  <si>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</si>
  <si>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</si>
  <si>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</si>
  <si>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</si>
  <si>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</si>
  <si>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</si>
  <si>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</si>
  <si>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</si>
  <si>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</si>
  <si>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</si>
  <si>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</si>
  <si>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</si>
  <si>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</si>
  <si>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</si>
  <si>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</si>
  <si>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</si>
  <si>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</si>
  <si>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</si>
  <si>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</si>
  <si>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</si>
  <si>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</si>
  <si>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</si>
  <si>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</si>
  <si>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</si>
  <si>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</si>
  <si>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</si>
  <si>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</si>
  <si>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</si>
  <si>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</si>
  <si>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</si>
  <si>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</si>
  <si>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</si>
  <si>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</si>
  <si>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</si>
  <si>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</si>
  <si>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</si>
  <si>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</si>
  <si>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</si>
  <si>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</si>
  <si>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</si>
  <si>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</si>
  <si>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</si>
  <si>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</si>
  <si>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</si>
  <si>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</si>
  <si>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</si>
  <si>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</si>
  <si>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</si>
  <si>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</si>
  <si>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</si>
  <si>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</si>
  <si>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</si>
  <si>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</si>
  <si>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</si>
  <si>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</si>
  <si>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</si>
  <si>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</si>
  <si>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</si>
  <si>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</si>
  <si>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</si>
  <si>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</si>
  <si>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</si>
  <si>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</si>
  <si>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</si>
  <si>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</si>
  <si>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</si>
  <si>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</si>
  <si>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</si>
  <si>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</si>
  <si>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</si>
  <si>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</si>
  <si>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</si>
  <si>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</si>
  <si>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</si>
  <si>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</si>
  <si>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</si>
  <si>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</si>
  <si>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</si>
  <si>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</si>
  <si>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</si>
  <si>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</si>
  <si>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</si>
  <si>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</si>
  <si>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</si>
  <si>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</si>
  <si>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</si>
  <si>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</si>
  <si>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</si>
  <si>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</si>
  <si>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</si>
  <si>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</si>
  <si>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</si>
  <si>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</si>
  <si>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</si>
  <si>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</si>
  <si>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</si>
  <si>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</si>
  <si>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</si>
  <si>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</si>
  <si>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</si>
  <si>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</si>
  <si>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</si>
  <si>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</si>
  <si>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</si>
  <si>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</si>
  <si>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</si>
  <si>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</si>
  <si>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</si>
  <si>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</si>
  <si>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</si>
  <si>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</si>
  <si>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</si>
  <si>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</si>
  <si>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</si>
  <si>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</si>
  <si>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</si>
  <si>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</si>
  <si>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</si>
  <si>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</si>
  <si>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</si>
  <si>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</si>
  <si>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</si>
  <si>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</si>
  <si>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</si>
  <si>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</si>
  <si>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</si>
  <si>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</si>
  <si>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</si>
  <si>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</si>
  <si>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</si>
  <si>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</si>
  <si>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</si>
  <si>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</si>
  <si>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</si>
  <si>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</si>
  <si>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</si>
  <si>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</si>
  <si>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</si>
  <si>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</si>
  <si>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</si>
  <si>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</si>
  <si>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</si>
  <si>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</si>
  <si>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</si>
  <si>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</si>
  <si>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</si>
  <si>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</si>
  <si>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</si>
  <si>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</si>
  <si>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</si>
  <si>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</si>
  <si>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</si>
  <si>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</si>
  <si>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</si>
  <si>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</si>
  <si>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</si>
  <si>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</si>
  <si>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</si>
  <si>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</si>
  <si>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</si>
  <si>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</si>
  <si>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</si>
  <si>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</si>
  <si>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</si>
  <si>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</si>
  <si>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</si>
  <si>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</si>
  <si>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</si>
  <si>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</si>
  <si>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</si>
  <si>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</si>
  <si>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</si>
  <si>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</si>
  <si>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</si>
  <si>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</si>
  <si>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</si>
  <si>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</si>
  <si>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</si>
  <si>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</si>
  <si>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</si>
  <si>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</si>
  <si>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</si>
  <si>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</si>
  <si>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</si>
  <si>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</si>
  <si>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</si>
  <si>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</si>
  <si>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</si>
  <si>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</si>
  <si>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</si>
  <si>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</si>
  <si>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</si>
  <si>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</si>
  <si>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</si>
  <si>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</si>
  <si>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</si>
  <si>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</si>
  <si>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</si>
  <si>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</si>
  <si>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</si>
  <si>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</si>
  <si>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</si>
  <si>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</si>
  <si>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</si>
  <si>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</si>
  <si>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</si>
  <si>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</si>
  <si>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</si>
  <si>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</si>
  <si>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</si>
  <si>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</si>
  <si>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</si>
  <si>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</si>
  <si>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</si>
  <si>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</si>
  <si>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</si>
  <si>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</si>
  <si>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</si>
  <si>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</si>
  <si>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</si>
  <si>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</si>
  <si>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</si>
  <si>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</si>
  <si>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</si>
  <si>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</si>
  <si>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</si>
  <si>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</si>
  <si>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</si>
  <si>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</si>
  <si>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</si>
  <si>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</si>
  <si>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</si>
  <si>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</si>
  <si>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</si>
  <si>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</si>
  <si>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</si>
  <si>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</si>
  <si>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</si>
  <si>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</si>
  <si>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</si>
  <si>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</si>
  <si>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</si>
  <si>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</si>
  <si>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</si>
  <si>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</si>
  <si>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</si>
  <si>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</si>
  <si>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</si>
  <si>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</si>
  <si>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</si>
  <si>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</si>
  <si>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</si>
  <si>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</si>
  <si>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</si>
  <si>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</si>
  <si>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</si>
  <si>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</si>
  <si>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</si>
  <si>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</si>
  <si>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</si>
  <si>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</si>
  <si>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</si>
  <si>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</si>
  <si>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</si>
  <si>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</si>
  <si>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</si>
  <si>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</si>
  <si>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</si>
  <si>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</si>
  <si>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</si>
  <si>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</si>
  <si>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</si>
  <si>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</si>
  <si>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</si>
  <si>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</si>
  <si>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</si>
  <si>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</si>
  <si>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</si>
  <si>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</si>
  <si>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</si>
  <si>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</si>
  <si>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</si>
  <si>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</si>
  <si>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</si>
  <si>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</si>
  <si>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</si>
  <si>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</si>
  <si>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</si>
  <si>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</si>
  <si>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</si>
  <si>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</si>
  <si>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</si>
  <si>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</si>
  <si>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</si>
  <si>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</si>
  <si>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</si>
  <si>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</si>
  <si>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</si>
  <si>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</si>
  <si>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</si>
  <si>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</si>
  <si>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</si>
  <si>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</si>
  <si>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</si>
  <si>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</si>
  <si>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</si>
  <si>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</si>
  <si>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</si>
  <si>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</si>
  <si>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</si>
  <si>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</si>
  <si>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</si>
  <si>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</si>
  <si>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</si>
  <si>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</si>
  <si>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</si>
  <si>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</si>
  <si>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</si>
  <si>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</si>
  <si>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</si>
  <si>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</si>
  <si>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</si>
  <si>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</si>
  <si>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</si>
  <si>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</si>
  <si>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</si>
  <si>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</si>
  <si>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</si>
  <si>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</si>
  <si>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</si>
  <si>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</si>
  <si>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</si>
  <si>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</si>
  <si>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</si>
  <si>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</si>
  <si>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</si>
  <si>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</si>
  <si>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</si>
  <si>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</si>
  <si>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</si>
  <si>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</si>
  <si>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</si>
  <si>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</si>
  <si>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</si>
  <si>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</si>
  <si>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</si>
  <si>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</si>
  <si>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</si>
  <si>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</si>
  <si>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</si>
  <si>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</si>
  <si>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</si>
  <si>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</si>
  <si>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</si>
  <si>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</si>
  <si>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</si>
  <si>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</si>
  <si>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</si>
  <si>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</si>
  <si>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</si>
  <si>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</si>
  <si>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</si>
  <si>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</si>
  <si>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</si>
  <si>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</si>
  <si>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</si>
  <si>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</si>
  <si>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</si>
  <si>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</si>
  <si>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</si>
  <si>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</si>
  <si>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</si>
  <si>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</si>
  <si>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</si>
  <si>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</si>
  <si>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</si>
  <si>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</si>
  <si>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</si>
  <si>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</si>
  <si>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</si>
  <si>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</si>
  <si>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</si>
  <si>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</si>
  <si>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</si>
  <si>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</si>
  <si>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</si>
  <si>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</si>
  <si>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</si>
  <si>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</si>
  <si>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</si>
  <si>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</si>
  <si>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</si>
  <si>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</si>
  <si>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</si>
  <si>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</si>
  <si>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</si>
  <si>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</si>
  <si>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</si>
  <si>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</si>
  <si>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</si>
  <si>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</si>
  <si>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</si>
  <si>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</si>
  <si>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</si>
  <si>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</si>
  <si>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</si>
  <si>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</si>
  <si>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</si>
  <si>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</si>
  <si>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</si>
  <si>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</si>
  <si>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</si>
  <si>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</si>
  <si>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</si>
  <si>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</si>
  <si>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</si>
  <si>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</si>
  <si>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</si>
  <si>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</si>
  <si>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</si>
  <si>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</si>
  <si>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</si>
  <si>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</si>
  <si>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</si>
  <si>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</si>
  <si>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</si>
  <si>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</si>
  <si>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</si>
  <si>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</si>
  <si>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</si>
  <si>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</si>
  <si>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</si>
  <si>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</si>
  <si>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</si>
  <si>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</si>
  <si>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</si>
  <si>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</si>
  <si>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</si>
  <si>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</si>
  <si>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</si>
  <si>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</si>
  <si>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</si>
  <si>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</si>
  <si>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</si>
  <si>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</si>
  <si>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</si>
  <si>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</si>
  <si>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</si>
  <si>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</si>
  <si>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</si>
  <si>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</si>
  <si>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</si>
  <si>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</si>
  <si>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</si>
  <si>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</si>
  <si>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</si>
  <si>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</si>
  <si>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</si>
  <si>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</si>
  <si>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</si>
  <si>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</si>
  <si>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</si>
  <si>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</si>
  <si>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</si>
  <si>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</si>
  <si>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</si>
  <si>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</si>
  <si>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</si>
  <si>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</si>
  <si>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</si>
  <si>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</si>
  <si>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</si>
  <si>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TSO001123136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</si>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</sst>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4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643" t="s">
        <v>26</v>
      </c>
      <c r="E1" s="643"/>
      <c r="F1" s="643"/>
      <c r="G1" s="14" t="s">
        <v>66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67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914</v>
      </c>
      <c r="I5" s="648"/>
      <c r="J5" s="648"/>
      <c r="K5" s="648"/>
      <c r="L5" s="648"/>
      <c r="M5" s="648"/>
      <c r="N5" s="69"/>
      <c r="P5" s="26" t="s">
        <v>4</v>
      </c>
      <c r="Q5" s="650">
        <v>46285</v>
      </c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5">
      <c r="A6" s="647" t="s">
        <v>1</v>
      </c>
      <c r="B6" s="647"/>
      <c r="C6" s="647"/>
      <c r="D6" s="655" t="s">
        <v>887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Воскресенье</v>
      </c>
      <c r="R6" s="656"/>
      <c r="T6" s="657" t="s">
        <v>5</v>
      </c>
      <c r="U6" s="658"/>
      <c r="V6" s="659" t="s">
        <v>69</v>
      </c>
      <c r="W6" s="660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665" t="str">
        <f>IFERROR(VLOOKUP(DeliveryAddress,Table,3,0),1)</f>
        <v>5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5">
      <c r="A8" s="668" t="s">
        <v>57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0.45833333333333331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" customHeight="1" x14ac:dyDescent="0.25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70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915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5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60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77"/>
      <c r="BD17" s="76" t="s">
        <v>61</v>
      </c>
    </row>
    <row r="18" spans="1:68" ht="14.25" customHeight="1" x14ac:dyDescent="0.25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5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85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85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711" t="s">
        <v>119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120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121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136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121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5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5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156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5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5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85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5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5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174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5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5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121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5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5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85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5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5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205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5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5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156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5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5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85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5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5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174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5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5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249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5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5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76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5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5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5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5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262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85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5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5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277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5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5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119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121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5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5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156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5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5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76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5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5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85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5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5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338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5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5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5">
      <c r="A197" s="711" t="s">
        <v>343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344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121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5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5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365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156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5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5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76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5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5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85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5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5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277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5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5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436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5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5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439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121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5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5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156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5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5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76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5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5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85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5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5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174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5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5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507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121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5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5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156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5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5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529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5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5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338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5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5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536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121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888" t="s">
        <v>539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5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5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557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85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5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5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566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76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5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5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85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5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5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587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121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5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5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596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121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907" t="s">
        <v>599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5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5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76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5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5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85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5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5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174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5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5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277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5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5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665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5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5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674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5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5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683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85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5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5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690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85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5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5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5">
      <c r="A423" s="711" t="s">
        <v>700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701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121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705</v>
      </c>
      <c r="B427" s="60" t="s">
        <v>706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300</v>
      </c>
      <c r="Y428" s="53">
        <f t="shared" si="68"/>
        <v>300</v>
      </c>
      <c r="Z428" s="39">
        <f>IFERROR(IF(Y428=0,"",ROUNDUP(Y428/H428,0)*0.02175),"")</f>
        <v>0.43499999999999994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309.39999999999998</v>
      </c>
      <c r="BN428" s="75">
        <f t="shared" si="70"/>
        <v>309.39999999999998</v>
      </c>
      <c r="BO428" s="75">
        <f t="shared" si="71"/>
        <v>0.41666666666666663</v>
      </c>
      <c r="BP428" s="75">
        <f t="shared" si="72"/>
        <v>0.41666666666666663</v>
      </c>
    </row>
    <row r="429" spans="1:68" ht="27" customHeight="1" x14ac:dyDescent="0.25">
      <c r="A429" s="60" t="s">
        <v>711</v>
      </c>
      <c r="B429" s="60" t="s">
        <v>712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600</v>
      </c>
      <c r="Y429" s="53">
        <f t="shared" si="68"/>
        <v>600</v>
      </c>
      <c r="Z429" s="39">
        <f>IFERROR(IF(Y429=0,"",ROUNDUP(Y429/H429,0)*0.02175),"")</f>
        <v>0.86999999999999988</v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618.79999999999995</v>
      </c>
      <c r="BN429" s="75">
        <f t="shared" si="70"/>
        <v>618.79999999999995</v>
      </c>
      <c r="BO429" s="75">
        <f t="shared" si="71"/>
        <v>0.83333333333333326</v>
      </c>
      <c r="BP429" s="75">
        <f t="shared" si="72"/>
        <v>0.83333333333333326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5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60</v>
      </c>
      <c r="Y434" s="41">
        <f>IFERROR(Y426/H426,"0")+IFERROR(Y427/H427,"0")+IFERROR(Y428/H428,"0")+IFERROR(Y429/H429,"0")+IFERROR(Y430/H430,"0")+IFERROR(Y431/H431,"0")+IFERROR(Y432/H432,"0")+IFERROR(Y433/H433,"0")</f>
        <v>60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1.3049999999999997</v>
      </c>
      <c r="AA434" s="64"/>
      <c r="AB434" s="64"/>
      <c r="AC434" s="64"/>
    </row>
    <row r="435" spans="1:68" x14ac:dyDescent="0.25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900</v>
      </c>
      <c r="Y435" s="41">
        <f>IFERROR(SUM(Y426:Y433),"0")</f>
        <v>900</v>
      </c>
      <c r="Z435" s="40"/>
      <c r="AA435" s="64"/>
      <c r="AB435" s="64"/>
      <c r="AC435" s="64"/>
    </row>
    <row r="436" spans="1:68" ht="14.25" hidden="1" customHeight="1" x14ac:dyDescent="0.25">
      <c r="A436" s="713" t="s">
        <v>156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726</v>
      </c>
      <c r="B437" s="60" t="s">
        <v>727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5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5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85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5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5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5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750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121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5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5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76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5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5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85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5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5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5">
      <c r="A469" s="711" t="s">
        <v>766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767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5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5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85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5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5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790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156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5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76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5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5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5">
      <c r="A496" s="711" t="s">
        <v>802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802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121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5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5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156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5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5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76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5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5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5">
      <c r="A526" s="711" t="s">
        <v>849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849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5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5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156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5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5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76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5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5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85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5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5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174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5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868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156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5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5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900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900</v>
      </c>
      <c r="Z554" s="40"/>
      <c r="AA554" s="64"/>
      <c r="AB554" s="64"/>
      <c r="AC554" s="64"/>
    </row>
    <row r="555" spans="1:68" x14ac:dyDescent="0.25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928.19999999999993</v>
      </c>
      <c r="Y555" s="41">
        <f>IFERROR(SUM(BN22:BN551),"0")</f>
        <v>928.19999999999993</v>
      </c>
      <c r="Z555" s="40"/>
      <c r="AA555" s="64"/>
      <c r="AB555" s="64"/>
      <c r="AC555" s="64"/>
    </row>
    <row r="556" spans="1:68" x14ac:dyDescent="0.25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5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978.19999999999993</v>
      </c>
      <c r="Y557" s="41">
        <f>GrossWeightTotalR+PalletQtyTotalR*25</f>
        <v>978.19999999999993</v>
      </c>
      <c r="Z557" s="40"/>
      <c r="AA557" s="64"/>
      <c r="AB557" s="64"/>
      <c r="AC557" s="64"/>
    </row>
    <row r="558" spans="1:68" x14ac:dyDescent="0.25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60</v>
      </c>
      <c r="Z558" s="40"/>
      <c r="AA558" s="64"/>
      <c r="AB558" s="64"/>
      <c r="AC558" s="64"/>
    </row>
    <row r="559" spans="1:68" ht="15.6" hidden="1" x14ac:dyDescent="0.25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1.3049999999999997</v>
      </c>
      <c r="AA559" s="64"/>
      <c r="AB559" s="64"/>
      <c r="AC559" s="64"/>
    </row>
    <row r="560" spans="1:68" ht="13.8" thickBot="1" x14ac:dyDescent="0.3"/>
    <row r="561" spans="1:32" ht="28.8" thickTop="1" thickBot="1" x14ac:dyDescent="0.3">
      <c r="A561" s="44" t="s">
        <v>9</v>
      </c>
      <c r="B561" s="80" t="s">
        <v>75</v>
      </c>
      <c r="C561" s="80" t="s">
        <v>45</v>
      </c>
      <c r="D561" s="1007" t="s">
        <v>119</v>
      </c>
      <c r="E561" s="1007" t="s">
        <v>119</v>
      </c>
      <c r="F561" s="1007" t="s">
        <v>119</v>
      </c>
      <c r="G561" s="1007" t="s">
        <v>119</v>
      </c>
      <c r="H561" s="1007" t="s">
        <v>119</v>
      </c>
      <c r="I561" s="1007" t="s">
        <v>119</v>
      </c>
      <c r="J561" s="1007" t="s">
        <v>119</v>
      </c>
      <c r="K561" s="1007" t="s">
        <v>343</v>
      </c>
      <c r="L561" s="1007" t="s">
        <v>343</v>
      </c>
      <c r="M561" s="1007" t="s">
        <v>343</v>
      </c>
      <c r="N561" s="1008"/>
      <c r="O561" s="1007" t="s">
        <v>343</v>
      </c>
      <c r="P561" s="1007" t="s">
        <v>343</v>
      </c>
      <c r="Q561" s="1007" t="s">
        <v>343</v>
      </c>
      <c r="R561" s="1007" t="s">
        <v>343</v>
      </c>
      <c r="S561" s="1007" t="s">
        <v>343</v>
      </c>
      <c r="T561" s="1007" t="s">
        <v>343</v>
      </c>
      <c r="U561" s="1007" t="s">
        <v>343</v>
      </c>
      <c r="V561" s="1007" t="s">
        <v>343</v>
      </c>
      <c r="W561" s="1007" t="s">
        <v>700</v>
      </c>
      <c r="X561" s="1007" t="s">
        <v>700</v>
      </c>
      <c r="Y561" s="1007" t="s">
        <v>766</v>
      </c>
      <c r="Z561" s="1007" t="s">
        <v>766</v>
      </c>
      <c r="AA561" s="80" t="s">
        <v>802</v>
      </c>
      <c r="AB561" s="1007" t="s">
        <v>849</v>
      </c>
      <c r="AC561" s="1007" t="s">
        <v>849</v>
      </c>
      <c r="AF561" s="1"/>
    </row>
    <row r="562" spans="1:32" ht="14.25" customHeight="1" thickTop="1" x14ac:dyDescent="0.25">
      <c r="A562" s="1009" t="s">
        <v>10</v>
      </c>
      <c r="B562" s="1007" t="s">
        <v>75</v>
      </c>
      <c r="C562" s="1007" t="s">
        <v>103</v>
      </c>
      <c r="D562" s="1007" t="s">
        <v>120</v>
      </c>
      <c r="E562" s="1007" t="s">
        <v>136</v>
      </c>
      <c r="F562" s="1007" t="s">
        <v>182</v>
      </c>
      <c r="G562" s="1007" t="s">
        <v>205</v>
      </c>
      <c r="H562" s="1007" t="s">
        <v>249</v>
      </c>
      <c r="I562" s="1007" t="s">
        <v>262</v>
      </c>
      <c r="J562" s="1007" t="s">
        <v>119</v>
      </c>
      <c r="K562" s="1007" t="s">
        <v>344</v>
      </c>
      <c r="L562" s="1007" t="s">
        <v>365</v>
      </c>
      <c r="M562" s="1007" t="s">
        <v>439</v>
      </c>
      <c r="N562" s="1"/>
      <c r="O562" s="1007" t="s">
        <v>507</v>
      </c>
      <c r="P562" s="1007" t="s">
        <v>536</v>
      </c>
      <c r="Q562" s="1007" t="s">
        <v>557</v>
      </c>
      <c r="R562" s="1007" t="s">
        <v>566</v>
      </c>
      <c r="S562" s="1007" t="s">
        <v>587</v>
      </c>
      <c r="T562" s="1007" t="s">
        <v>596</v>
      </c>
      <c r="U562" s="1007" t="s">
        <v>683</v>
      </c>
      <c r="V562" s="1007" t="s">
        <v>690</v>
      </c>
      <c r="W562" s="1007" t="s">
        <v>701</v>
      </c>
      <c r="X562" s="1007" t="s">
        <v>750</v>
      </c>
      <c r="Y562" s="1007" t="s">
        <v>767</v>
      </c>
      <c r="Z562" s="1007" t="s">
        <v>790</v>
      </c>
      <c r="AA562" s="1007" t="s">
        <v>802</v>
      </c>
      <c r="AB562" s="1007" t="s">
        <v>849</v>
      </c>
      <c r="AC562" s="1007" t="s">
        <v>868</v>
      </c>
      <c r="AF562" s="1"/>
    </row>
    <row r="563" spans="1:32" ht="13.8" thickBot="1" x14ac:dyDescent="0.3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5" thickTop="1" thickBot="1" x14ac:dyDescent="0.3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300,00"/>
        <filter val="60,00"/>
        <filter val="600,00"/>
        <filter val="900,00"/>
        <filter val="928,20"/>
        <filter val="978,2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872</v>
      </c>
      <c r="H1" s="9"/>
    </row>
    <row r="3" spans="2:8" x14ac:dyDescent="0.25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5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5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5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5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5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5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5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5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5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5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5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5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5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5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5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5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5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5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5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5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2026-09-20T06:50:25Z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