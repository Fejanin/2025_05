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ECB958-4477-4E52-96ED-2920E0A4CBF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393" i="2" l="1"/>
  <c r="BP275" i="2"/>
  <c r="BN80" i="2"/>
  <c r="BN60" i="2"/>
  <c r="BN86" i="2"/>
  <c r="Y249" i="2"/>
  <c r="BN157" i="2"/>
  <c r="BN277" i="2"/>
  <c r="Y447" i="2"/>
  <c r="BP385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140" i="2"/>
  <c r="Z134" i="2"/>
  <c r="Z264" i="2"/>
  <c r="Z90" i="2"/>
  <c r="Z51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<sst xmlns="http://schemas.openxmlformats.org/spreadsheetml/2006/main" count="4310" uniqueCount="900">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</sst>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46284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Суббота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0.45833333333333331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150</v>
      </c>
      <c r="Y433" s="53">
        <f t="shared" si="68"/>
        <v>150</v>
      </c>
      <c r="Z433" s="39">
        <f>IFERROR(IF(Y433=0,"",ROUNDUP(Y433/H433,0)*0.02175),"")</f>
        <v>0.21749999999999997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154.69999999999999</v>
      </c>
      <c r="BN433" s="75">
        <f t="shared" si="70"/>
        <v>154.69999999999999</v>
      </c>
      <c r="BO433" s="75">
        <f t="shared" si="71"/>
        <v>0.20833333333333331</v>
      </c>
      <c r="BP433" s="75">
        <f t="shared" si="72"/>
        <v>0.20833333333333331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150</v>
      </c>
      <c r="Y434" s="53">
        <f t="shared" si="68"/>
        <v>150</v>
      </c>
      <c r="Z434" s="39">
        <f>IFERROR(IF(Y434=0,"",ROUNDUP(Y434/H434,0)*0.02175),"")</f>
        <v>0.21749999999999997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154.69999999999999</v>
      </c>
      <c r="BN434" s="75">
        <f t="shared" si="70"/>
        <v>154.69999999999999</v>
      </c>
      <c r="BO434" s="75">
        <f t="shared" si="71"/>
        <v>0.20833333333333331</v>
      </c>
      <c r="BP434" s="75">
        <f t="shared" si="72"/>
        <v>0.20833333333333331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150</v>
      </c>
      <c r="Y435" s="53">
        <f t="shared" si="68"/>
        <v>150</v>
      </c>
      <c r="Z435" s="39">
        <f>IFERROR(IF(Y435=0,"",ROUNDUP(Y435/H435,0)*0.02175),"")</f>
        <v>0.21749999999999997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154.69999999999999</v>
      </c>
      <c r="BN435" s="75">
        <f t="shared" si="70"/>
        <v>154.69999999999999</v>
      </c>
      <c r="BO435" s="75">
        <f t="shared" si="71"/>
        <v>0.20833333333333331</v>
      </c>
      <c r="BP435" s="75">
        <f t="shared" si="72"/>
        <v>0.20833333333333331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100</v>
      </c>
      <c r="Y436" s="53">
        <f t="shared" si="68"/>
        <v>105</v>
      </c>
      <c r="Z436" s="39">
        <f>IFERROR(IF(Y436=0,"",ROUNDUP(Y436/H436,0)*0.02175),"")</f>
        <v>0.15225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103.13333333333334</v>
      </c>
      <c r="BN436" s="75">
        <f t="shared" si="70"/>
        <v>108.29</v>
      </c>
      <c r="BO436" s="75">
        <f t="shared" si="71"/>
        <v>0.1388888888888889</v>
      </c>
      <c r="BP436" s="75">
        <f t="shared" si="72"/>
        <v>0.14583333333333331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36.666666666666664</v>
      </c>
      <c r="Y440" s="41">
        <f>IFERROR(Y432/H432,"0")+IFERROR(Y433/H433,"0")+IFERROR(Y434/H434,"0")+IFERROR(Y435/H435,"0")+IFERROR(Y436/H436,"0")+IFERROR(Y437/H437,"0")+IFERROR(Y438/H438,"0")+IFERROR(Y439/H439,"0")</f>
        <v>37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0.80474999999999985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550</v>
      </c>
      <c r="Y441" s="41">
        <f>IFERROR(SUM(Y432:Y439),"0")</f>
        <v>555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150</v>
      </c>
      <c r="Y443" s="53">
        <f>IFERROR(IF(X443="",0,CEILING((X443/$H443),1)*$H443),"")</f>
        <v>150</v>
      </c>
      <c r="Z443" s="39">
        <f>IFERROR(IF(Y443=0,"",ROUNDUP(Y443/H443,0)*0.02175),"")</f>
        <v>0.21749999999999997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154.69999999999999</v>
      </c>
      <c r="BN443" s="75">
        <f>IFERROR(Y443*I443/H443,"0")</f>
        <v>154.69999999999999</v>
      </c>
      <c r="BO443" s="75">
        <f>IFERROR(1/J443*(X443/H443),"0")</f>
        <v>0.20833333333333331</v>
      </c>
      <c r="BP443" s="75">
        <f>IFERROR(1/J443*(Y443/H443),"0")</f>
        <v>0.20833333333333331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10</v>
      </c>
      <c r="Y446" s="41">
        <f>IFERROR(Y443/H443,"0")+IFERROR(Y444/H444,"0")+IFERROR(Y445/H445,"0")</f>
        <v>10</v>
      </c>
      <c r="Z446" s="41">
        <f>IFERROR(IF(Z443="",0,Z443),"0")+IFERROR(IF(Z444="",0,Z444),"0")+IFERROR(IF(Z445="",0,Z445),"0")</f>
        <v>0.21749999999999997</v>
      </c>
      <c r="AA446" s="64"/>
      <c r="AB446" s="64"/>
      <c r="AC446" s="64"/>
    </row>
    <row r="447" spans="1:68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150</v>
      </c>
      <c r="Y447" s="41">
        <f>IFERROR(SUM(Y443:Y445),"0")</f>
        <v>150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700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705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721.93333333333339</v>
      </c>
      <c r="Y561" s="41">
        <f>IFERROR(SUM(BN22:BN557),"0")</f>
        <v>727.08999999999992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1</v>
      </c>
      <c r="Y562" s="42">
        <f>ROUNDUP(SUM(BP22:BP557),0)</f>
        <v>1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746.93333333333339</v>
      </c>
      <c r="Y563" s="41">
        <f>GrossWeightTotalR+PalletQtyTotalR*25</f>
        <v>752.08999999999992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46.666666666666664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47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1.0222499999999999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705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,00"/>
        <filter val="100,00"/>
        <filter val="150,00"/>
        <filter val="36,67"/>
        <filter val="46,67"/>
        <filter val="550,00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