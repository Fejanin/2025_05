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84CC51-8A0E-4C2F-A3A7-9DFA05976C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27" i="2" l="1"/>
  <c r="Z59" i="2"/>
  <c r="BN59" i="2"/>
  <c r="Z95" i="2"/>
  <c r="BN95" i="2"/>
  <c r="BP98" i="2"/>
  <c r="G570" i="2"/>
  <c r="BP114" i="2"/>
  <c r="Y241" i="2"/>
  <c r="Z291" i="2"/>
  <c r="BN291" i="2"/>
  <c r="Y315" i="2"/>
  <c r="Y341" i="2"/>
  <c r="Z379" i="2"/>
  <c r="BN30" i="2"/>
  <c r="BN23" i="2"/>
  <c r="BP31" i="2"/>
  <c r="Z31" i="2"/>
  <c r="Z37" i="2"/>
  <c r="BP39" i="2"/>
  <c r="BN40" i="2"/>
  <c r="Z48" i="2"/>
  <c r="Z49" i="2"/>
  <c r="BN49" i="2"/>
  <c r="Z56" i="2"/>
  <c r="BP58" i="2"/>
  <c r="Z67" i="2"/>
  <c r="BN77" i="2"/>
  <c r="BN115" i="2"/>
  <c r="BN125" i="2"/>
  <c r="BN128" i="2"/>
  <c r="BN133" i="2"/>
  <c r="Y135" i="2"/>
  <c r="BP139" i="2"/>
  <c r="BN143" i="2"/>
  <c r="BN157" i="2"/>
  <c r="BN181" i="2"/>
  <c r="Z183" i="2"/>
  <c r="Z184" i="2"/>
  <c r="BN184" i="2"/>
  <c r="BN229" i="2"/>
  <c r="BN238" i="2"/>
  <c r="BN246" i="2"/>
  <c r="BN252" i="2"/>
  <c r="Y280" i="2"/>
  <c r="BN289" i="2"/>
  <c r="BN293" i="2"/>
  <c r="BN306" i="2"/>
  <c r="BN322" i="2"/>
  <c r="BN331" i="2"/>
  <c r="BN367" i="2"/>
  <c r="BN375" i="2"/>
  <c r="BN392" i="2"/>
  <c r="Y396" i="2"/>
  <c r="BN401" i="2"/>
  <c r="BN411" i="2"/>
  <c r="BN425" i="2"/>
  <c r="BN437" i="2"/>
  <c r="BN461" i="2"/>
  <c r="BN480" i="2"/>
  <c r="BN513" i="2"/>
  <c r="BN525" i="2"/>
  <c r="BP37" i="2"/>
  <c r="BP48" i="2"/>
  <c r="BN60" i="2"/>
  <c r="Z64" i="2"/>
  <c r="BN64" i="2"/>
  <c r="Y81" i="2"/>
  <c r="BN80" i="2"/>
  <c r="BP85" i="2"/>
  <c r="BN86" i="2"/>
  <c r="BN93" i="2"/>
  <c r="Z106" i="2"/>
  <c r="BN106" i="2"/>
  <c r="BN107" i="2"/>
  <c r="BN116" i="2"/>
  <c r="Z126" i="2"/>
  <c r="Z139" i="2"/>
  <c r="Z169" i="2"/>
  <c r="BN169" i="2"/>
  <c r="BN187" i="2"/>
  <c r="Z195" i="2"/>
  <c r="BN195" i="2"/>
  <c r="Y198" i="2"/>
  <c r="BN211" i="2"/>
  <c r="Z215" i="2"/>
  <c r="BN232" i="2"/>
  <c r="Z236" i="2"/>
  <c r="BN236" i="2"/>
  <c r="BN244" i="2"/>
  <c r="BN257" i="2"/>
  <c r="BP262" i="2"/>
  <c r="BN263" i="2"/>
  <c r="Z272" i="2"/>
  <c r="BN272" i="2"/>
  <c r="BP275" i="2"/>
  <c r="BN277" i="2"/>
  <c r="Z279" i="2"/>
  <c r="BN279" i="2"/>
  <c r="Z283" i="2"/>
  <c r="BN283" i="2"/>
  <c r="BN285" i="2"/>
  <c r="Y300" i="2"/>
  <c r="BN314" i="2"/>
  <c r="BP324" i="2"/>
  <c r="BN347" i="2"/>
  <c r="Z349" i="2"/>
  <c r="BN349" i="2"/>
  <c r="BN360" i="2"/>
  <c r="BN371" i="2"/>
  <c r="BP385" i="2"/>
  <c r="BN387" i="2"/>
  <c r="BN393" i="2"/>
  <c r="BN426" i="2"/>
  <c r="BN438" i="2"/>
  <c r="BP450" i="2"/>
  <c r="BN456" i="2"/>
  <c r="BN462" i="2"/>
  <c r="BN482" i="2"/>
  <c r="BN506" i="2"/>
  <c r="BP510" i="2"/>
  <c r="BN511" i="2"/>
  <c r="Y521" i="2"/>
  <c r="BN517" i="2"/>
  <c r="Z519" i="2"/>
  <c r="BN527" i="2"/>
  <c r="BP535" i="2"/>
  <c r="Z551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95" i="2" l="1"/>
  <c r="Z402" i="2"/>
  <c r="Z489" i="2"/>
  <c r="Z119" i="2"/>
  <c r="Z81" i="2"/>
  <c r="Z269" i="2"/>
  <c r="Z264" i="2"/>
  <c r="Z341" i="2"/>
  <c r="Z161" i="2"/>
  <c r="Z520" i="2"/>
  <c r="Z382" i="2"/>
  <c r="Z463" i="2"/>
  <c r="Z140" i="2"/>
  <c r="Z68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<sst xmlns="http://schemas.openxmlformats.org/spreadsheetml/2006/main" count="4310" uniqueCount="900">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</sst>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898</v>
      </c>
      <c r="I5" s="1001"/>
      <c r="J5" s="1001"/>
      <c r="K5" s="1001"/>
      <c r="L5" s="1001"/>
      <c r="M5" s="1001"/>
      <c r="N5" s="72"/>
      <c r="P5" s="27" t="s">
        <v>4</v>
      </c>
      <c r="Q5" s="1003">
        <v>46273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0.375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899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600</v>
      </c>
      <c r="Y435" s="55">
        <f t="shared" si="68"/>
        <v>600</v>
      </c>
      <c r="Z435" s="41">
        <f>IFERROR(IF(Y435=0,"",ROUNDUP(Y435/H435,0)*0.02175),"")</f>
        <v>0.86999999999999988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618.79999999999995</v>
      </c>
      <c r="BN435" s="78">
        <f t="shared" si="70"/>
        <v>618.79999999999995</v>
      </c>
      <c r="BO435" s="78">
        <f t="shared" si="71"/>
        <v>0.83333333333333326</v>
      </c>
      <c r="BP435" s="78">
        <f t="shared" si="72"/>
        <v>0.83333333333333326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68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309.39999999999998</v>
      </c>
      <c r="BN436" s="78">
        <f t="shared" si="70"/>
        <v>309.39999999999998</v>
      </c>
      <c r="BO436" s="78">
        <f t="shared" si="71"/>
        <v>0.41666666666666663</v>
      </c>
      <c r="BP436" s="78">
        <f t="shared" si="72"/>
        <v>0.41666666666666663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140</v>
      </c>
      <c r="Y440" s="43">
        <f>IFERROR(Y432/H432,"0")+IFERROR(Y433/H433,"0")+IFERROR(Y434/H434,"0")+IFERROR(Y435/H435,"0")+IFERROR(Y436/H436,"0")+IFERROR(Y437/H437,"0")+IFERROR(Y438/H438,"0")+IFERROR(Y439/H439,"0")</f>
        <v>140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3.0449999999999995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2100</v>
      </c>
      <c r="Y441" s="43">
        <f>IFERROR(SUM(Y432:Y439),"0")</f>
        <v>2100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600</v>
      </c>
      <c r="Y443" s="55">
        <f>IFERROR(IF(X443="",0,CEILING((X443/$H443),1)*$H443),"")</f>
        <v>600</v>
      </c>
      <c r="Z443" s="41">
        <f>IFERROR(IF(Y443=0,"",ROUNDUP(Y443/H443,0)*0.02175),"")</f>
        <v>0.86999999999999988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618.79999999999995</v>
      </c>
      <c r="BN443" s="78">
        <f>IFERROR(Y443*I443/H443,"0")</f>
        <v>618.79999999999995</v>
      </c>
      <c r="BO443" s="78">
        <f>IFERROR(1/J443*(X443/H443),"0")</f>
        <v>0.83333333333333326</v>
      </c>
      <c r="BP443" s="78">
        <f>IFERROR(1/J443*(Y443/H443),"0")</f>
        <v>0.83333333333333326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40</v>
      </c>
      <c r="Y446" s="43">
        <f>IFERROR(Y443/H443,"0")+IFERROR(Y444/H444,"0")+IFERROR(Y445/H445,"0")</f>
        <v>40</v>
      </c>
      <c r="Z446" s="43">
        <f>IFERROR(IF(Z443="",0,Z443),"0")+IFERROR(IF(Z444="",0,Z444),"0")+IFERROR(IF(Z445="",0,Z445),"0")</f>
        <v>0.86999999999999988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600</v>
      </c>
      <c r="Y447" s="43">
        <f>IFERROR(SUM(Y443:Y445),"0")</f>
        <v>600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2700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2700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2784.5999999999995</v>
      </c>
      <c r="Y561" s="43">
        <f>IFERROR(SUM(BN22:BN557),"0")</f>
        <v>2784.5999999999995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2884.5999999999995</v>
      </c>
      <c r="Y563" s="43">
        <f>GrossWeightTotalR+PalletQtyTotalR*25</f>
        <v>2884.5999999999995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180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180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3.9149999999999991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2700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0,00"/>
        <filter val="180,00"/>
        <filter val="2 100,00"/>
        <filter val="2 700,00"/>
        <filter val="2 784,60"/>
        <filter val="2 884,60"/>
        <filter val="300,00"/>
        <filter val="4"/>
        <filter val="40,00"/>
        <filter val="6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