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EC9C27-4BEC-489C-8E1A-2714F15543D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N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N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N477" i="1"/>
  <c r="BM477" i="1"/>
  <c r="Y477" i="1"/>
  <c r="BP477" i="1" s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BO473" i="1"/>
  <c r="BN473" i="1"/>
  <c r="BM473" i="1"/>
  <c r="Y473" i="1"/>
  <c r="BP473" i="1" s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N455" i="1"/>
  <c r="BM455" i="1"/>
  <c r="Y455" i="1"/>
  <c r="BP455" i="1" s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N426" i="1" s="1"/>
  <c r="P426" i="1"/>
  <c r="X422" i="1"/>
  <c r="X421" i="1"/>
  <c r="BO420" i="1"/>
  <c r="BM420" i="1"/>
  <c r="Y420" i="1"/>
  <c r="P420" i="1"/>
  <c r="BO419" i="1"/>
  <c r="BM419" i="1"/>
  <c r="Y419" i="1"/>
  <c r="Y421" i="1" s="1"/>
  <c r="P419" i="1"/>
  <c r="BP418" i="1"/>
  <c r="BO418" i="1"/>
  <c r="BN418" i="1"/>
  <c r="BM418" i="1"/>
  <c r="Z418" i="1"/>
  <c r="Y418" i="1"/>
  <c r="P418" i="1"/>
  <c r="X415" i="1"/>
  <c r="Y414" i="1"/>
  <c r="X414" i="1"/>
  <c r="BO413" i="1"/>
  <c r="BN413" i="1"/>
  <c r="BM413" i="1"/>
  <c r="Y413" i="1"/>
  <c r="BP413" i="1" s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Y409" i="1" s="1"/>
  <c r="P405" i="1"/>
  <c r="X403" i="1"/>
  <c r="X402" i="1"/>
  <c r="BO401" i="1"/>
  <c r="BM401" i="1"/>
  <c r="Y401" i="1"/>
  <c r="P401" i="1"/>
  <c r="BO400" i="1"/>
  <c r="BN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Y397" i="1" s="1"/>
  <c r="P393" i="1"/>
  <c r="BO392" i="1"/>
  <c r="BN392" i="1"/>
  <c r="BM392" i="1"/>
  <c r="Y392" i="1"/>
  <c r="BP392" i="1" s="1"/>
  <c r="P392" i="1"/>
  <c r="X390" i="1"/>
  <c r="Y389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N382" i="1"/>
  <c r="BM382" i="1"/>
  <c r="Y382" i="1"/>
  <c r="BP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N374" i="1"/>
  <c r="BM374" i="1"/>
  <c r="Y374" i="1"/>
  <c r="BP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N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N362" i="1"/>
  <c r="BM362" i="1"/>
  <c r="Y362" i="1"/>
  <c r="BP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X356" i="1"/>
  <c r="X355" i="1"/>
  <c r="BO354" i="1"/>
  <c r="BM354" i="1"/>
  <c r="Y354" i="1"/>
  <c r="P354" i="1"/>
  <c r="BO353" i="1"/>
  <c r="BM353" i="1"/>
  <c r="Y353" i="1"/>
  <c r="P353" i="1"/>
  <c r="BO352" i="1"/>
  <c r="BN352" i="1"/>
  <c r="BM352" i="1"/>
  <c r="Y352" i="1"/>
  <c r="BP352" i="1" s="1"/>
  <c r="P352" i="1"/>
  <c r="X349" i="1"/>
  <c r="X348" i="1"/>
  <c r="BP347" i="1"/>
  <c r="BO347" i="1"/>
  <c r="BM347" i="1"/>
  <c r="Z347" i="1"/>
  <c r="Y347" i="1"/>
  <c r="BN347" i="1" s="1"/>
  <c r="P347" i="1"/>
  <c r="BO346" i="1"/>
  <c r="BM346" i="1"/>
  <c r="Y346" i="1"/>
  <c r="Y348" i="1" s="1"/>
  <c r="P346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O326" i="1"/>
  <c r="BM326" i="1"/>
  <c r="Y326" i="1"/>
  <c r="P326" i="1"/>
  <c r="BP325" i="1"/>
  <c r="BO325" i="1"/>
  <c r="BM325" i="1"/>
  <c r="Z325" i="1"/>
  <c r="Y325" i="1"/>
  <c r="BN325" i="1" s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BN321" i="1" s="1"/>
  <c r="X318" i="1"/>
  <c r="X317" i="1"/>
  <c r="BO316" i="1"/>
  <c r="BM316" i="1"/>
  <c r="Y316" i="1"/>
  <c r="P316" i="1"/>
  <c r="X314" i="1"/>
  <c r="X313" i="1"/>
  <c r="BO312" i="1"/>
  <c r="BM312" i="1"/>
  <c r="Y312" i="1"/>
  <c r="P312" i="1"/>
  <c r="X310" i="1"/>
  <c r="X309" i="1"/>
  <c r="BO308" i="1"/>
  <c r="BM308" i="1"/>
  <c r="Y308" i="1"/>
  <c r="P308" i="1"/>
  <c r="X306" i="1"/>
  <c r="X305" i="1"/>
  <c r="BO304" i="1"/>
  <c r="BM304" i="1"/>
  <c r="Y304" i="1"/>
  <c r="P304" i="1"/>
  <c r="BO303" i="1"/>
  <c r="BN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BN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Z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5" i="1"/>
  <c r="X274" i="1"/>
  <c r="BO273" i="1"/>
  <c r="BN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O269" i="1"/>
  <c r="BN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O261" i="1"/>
  <c r="BN261" i="1"/>
  <c r="BM261" i="1"/>
  <c r="Y261" i="1"/>
  <c r="BP261" i="1" s="1"/>
  <c r="P261" i="1"/>
  <c r="X259" i="1"/>
  <c r="X258" i="1"/>
  <c r="BP257" i="1"/>
  <c r="BO257" i="1"/>
  <c r="BM257" i="1"/>
  <c r="Z257" i="1"/>
  <c r="Y257" i="1"/>
  <c r="BN257" i="1" s="1"/>
  <c r="P257" i="1"/>
  <c r="BO256" i="1"/>
  <c r="BM256" i="1"/>
  <c r="Y256" i="1"/>
  <c r="Y258" i="1" s="1"/>
  <c r="P256" i="1"/>
  <c r="X253" i="1"/>
  <c r="X252" i="1"/>
  <c r="BO251" i="1"/>
  <c r="BM251" i="1"/>
  <c r="Y251" i="1"/>
  <c r="P251" i="1"/>
  <c r="X249" i="1"/>
  <c r="X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BO240" i="1"/>
  <c r="BN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M236" i="1"/>
  <c r="Z236" i="1"/>
  <c r="Y236" i="1"/>
  <c r="BN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1" i="1"/>
  <c r="X230" i="1"/>
  <c r="BO229" i="1"/>
  <c r="BM229" i="1"/>
  <c r="Y229" i="1"/>
  <c r="P229" i="1"/>
  <c r="BO228" i="1"/>
  <c r="BN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N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N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P211" i="1"/>
  <c r="X208" i="1"/>
  <c r="X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N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M189" i="1"/>
  <c r="Z189" i="1"/>
  <c r="Y189" i="1"/>
  <c r="BN189" i="1" s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N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N173" i="1" s="1"/>
  <c r="P173" i="1"/>
  <c r="X171" i="1"/>
  <c r="X170" i="1"/>
  <c r="BO169" i="1"/>
  <c r="BM169" i="1"/>
  <c r="Y169" i="1"/>
  <c r="BP169" i="1" s="1"/>
  <c r="P169" i="1"/>
  <c r="BO168" i="1"/>
  <c r="BM168" i="1"/>
  <c r="Y168" i="1"/>
  <c r="Y171" i="1" s="1"/>
  <c r="P168" i="1"/>
  <c r="X166" i="1"/>
  <c r="X165" i="1"/>
  <c r="BO164" i="1"/>
  <c r="BM164" i="1"/>
  <c r="Y164" i="1"/>
  <c r="BP164" i="1" s="1"/>
  <c r="P164" i="1"/>
  <c r="BO163" i="1"/>
  <c r="BN163" i="1"/>
  <c r="BM163" i="1"/>
  <c r="Y163" i="1"/>
  <c r="BP163" i="1" s="1"/>
  <c r="P163" i="1"/>
  <c r="BO162" i="1"/>
  <c r="BM162" i="1"/>
  <c r="Y162" i="1"/>
  <c r="P162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N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X145" i="1"/>
  <c r="X144" i="1"/>
  <c r="BO143" i="1"/>
  <c r="BN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N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N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N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N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N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N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BN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N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M41" i="1"/>
  <c r="Z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M29" i="1"/>
  <c r="Z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N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X554" i="1" l="1"/>
  <c r="Z37" i="1"/>
  <c r="E564" i="1"/>
  <c r="Y97" i="1"/>
  <c r="Z173" i="1"/>
  <c r="BP173" i="1"/>
  <c r="Z220" i="1"/>
  <c r="BP220" i="1"/>
  <c r="Z288" i="1"/>
  <c r="BP288" i="1"/>
  <c r="Z321" i="1"/>
  <c r="BP321" i="1"/>
  <c r="Z426" i="1"/>
  <c r="BP426" i="1"/>
  <c r="Z438" i="1"/>
  <c r="BP438" i="1"/>
  <c r="Z522" i="1"/>
  <c r="BP522" i="1"/>
  <c r="BP49" i="1"/>
  <c r="Z78" i="1"/>
  <c r="BP78" i="1"/>
  <c r="Z89" i="1"/>
  <c r="Z58" i="1"/>
  <c r="Z85" i="1"/>
  <c r="Z95" i="1"/>
  <c r="G564" i="1"/>
  <c r="Z108" i="1"/>
  <c r="Y118" i="1"/>
  <c r="Z143" i="1"/>
  <c r="Z163" i="1"/>
  <c r="Z216" i="1"/>
  <c r="Z261" i="1"/>
  <c r="Z273" i="1"/>
  <c r="Z284" i="1"/>
  <c r="Z352" i="1"/>
  <c r="Z362" i="1"/>
  <c r="Z374" i="1"/>
  <c r="Z392" i="1"/>
  <c r="Z413" i="1"/>
  <c r="Z455" i="1"/>
  <c r="Z477" i="1"/>
  <c r="Z518" i="1"/>
  <c r="BP37" i="1"/>
  <c r="Z49" i="1"/>
  <c r="BP89" i="1"/>
  <c r="X555" i="1"/>
  <c r="Z23" i="1"/>
  <c r="Z66" i="1"/>
  <c r="Z104" i="1"/>
  <c r="Z114" i="1"/>
  <c r="Z133" i="1"/>
  <c r="Z150" i="1"/>
  <c r="Z181" i="1"/>
  <c r="Z203" i="1"/>
  <c r="Z228" i="1"/>
  <c r="Z240" i="1"/>
  <c r="Z269" i="1"/>
  <c r="Z279" i="1"/>
  <c r="Z303" i="1"/>
  <c r="Z339" i="1"/>
  <c r="Z370" i="1"/>
  <c r="Z382" i="1"/>
  <c r="Z400" i="1"/>
  <c r="Z473" i="1"/>
  <c r="Z492" i="1"/>
  <c r="Z506" i="1"/>
  <c r="BP286" i="1"/>
  <c r="BN286" i="1"/>
  <c r="Z286" i="1"/>
  <c r="BP301" i="1"/>
  <c r="BN301" i="1"/>
  <c r="Z301" i="1"/>
  <c r="BP332" i="1"/>
  <c r="BN332" i="1"/>
  <c r="Z332" i="1"/>
  <c r="BP354" i="1"/>
  <c r="BN354" i="1"/>
  <c r="Z354" i="1"/>
  <c r="BP364" i="1"/>
  <c r="BN364" i="1"/>
  <c r="Z364" i="1"/>
  <c r="BP380" i="1"/>
  <c r="BN380" i="1"/>
  <c r="Z380" i="1"/>
  <c r="BP394" i="1"/>
  <c r="BN394" i="1"/>
  <c r="Z394" i="1"/>
  <c r="BP420" i="1"/>
  <c r="BN420" i="1"/>
  <c r="Z420" i="1"/>
  <c r="BP432" i="1"/>
  <c r="BN432" i="1"/>
  <c r="Z432" i="1"/>
  <c r="BP465" i="1"/>
  <c r="BN465" i="1"/>
  <c r="Z465" i="1"/>
  <c r="BP481" i="1"/>
  <c r="BN481" i="1"/>
  <c r="Z481" i="1"/>
  <c r="BP504" i="1"/>
  <c r="BN504" i="1"/>
  <c r="Z504" i="1"/>
  <c r="BP520" i="1"/>
  <c r="BN520" i="1"/>
  <c r="Z520" i="1"/>
  <c r="B564" i="1"/>
  <c r="X556" i="1"/>
  <c r="X557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3" i="1"/>
  <c r="BN93" i="1"/>
  <c r="BP93" i="1"/>
  <c r="Z102" i="1"/>
  <c r="BN102" i="1"/>
  <c r="Z106" i="1"/>
  <c r="BN106" i="1"/>
  <c r="Z112" i="1"/>
  <c r="BN112" i="1"/>
  <c r="BP112" i="1"/>
  <c r="Z116" i="1"/>
  <c r="BN116" i="1"/>
  <c r="Y124" i="1"/>
  <c r="Z122" i="1"/>
  <c r="BN122" i="1"/>
  <c r="H564" i="1"/>
  <c r="Z137" i="1"/>
  <c r="BN137" i="1"/>
  <c r="BP137" i="1"/>
  <c r="Z148" i="1"/>
  <c r="BN148" i="1"/>
  <c r="Z152" i="1"/>
  <c r="BN152" i="1"/>
  <c r="J564" i="1"/>
  <c r="Z169" i="1"/>
  <c r="BN169" i="1"/>
  <c r="Z175" i="1"/>
  <c r="BN175" i="1"/>
  <c r="Z179" i="1"/>
  <c r="BN179" i="1"/>
  <c r="Z183" i="1"/>
  <c r="BN183" i="1"/>
  <c r="Z201" i="1"/>
  <c r="BN201" i="1"/>
  <c r="Z205" i="1"/>
  <c r="BN205" i="1"/>
  <c r="Z218" i="1"/>
  <c r="BN218" i="1"/>
  <c r="Z222" i="1"/>
  <c r="BN222" i="1"/>
  <c r="Z226" i="1"/>
  <c r="BN226" i="1"/>
  <c r="Z234" i="1"/>
  <c r="BN234" i="1"/>
  <c r="Z238" i="1"/>
  <c r="BN238" i="1"/>
  <c r="Z246" i="1"/>
  <c r="BN246" i="1"/>
  <c r="Z267" i="1"/>
  <c r="BN267" i="1"/>
  <c r="Z271" i="1"/>
  <c r="BN271" i="1"/>
  <c r="Z277" i="1"/>
  <c r="BN277" i="1"/>
  <c r="Z281" i="1"/>
  <c r="BN281" i="1"/>
  <c r="Y294" i="1"/>
  <c r="BP292" i="1"/>
  <c r="BN292" i="1"/>
  <c r="Z292" i="1"/>
  <c r="BP323" i="1"/>
  <c r="BN323" i="1"/>
  <c r="Z323" i="1"/>
  <c r="BP341" i="1"/>
  <c r="BN341" i="1"/>
  <c r="Z341" i="1"/>
  <c r="BP360" i="1"/>
  <c r="BN360" i="1"/>
  <c r="Z360" i="1"/>
  <c r="BP372" i="1"/>
  <c r="BN372" i="1"/>
  <c r="Z372" i="1"/>
  <c r="Y390" i="1"/>
  <c r="BP386" i="1"/>
  <c r="BN386" i="1"/>
  <c r="Z386" i="1"/>
  <c r="BP406" i="1"/>
  <c r="BN406" i="1"/>
  <c r="Z406" i="1"/>
  <c r="BP428" i="1"/>
  <c r="BN428" i="1"/>
  <c r="Z428" i="1"/>
  <c r="BP444" i="1"/>
  <c r="BN444" i="1"/>
  <c r="Z444" i="1"/>
  <c r="BP475" i="1"/>
  <c r="BN475" i="1"/>
  <c r="Z475" i="1"/>
  <c r="BP500" i="1"/>
  <c r="BN500" i="1"/>
  <c r="Z500" i="1"/>
  <c r="BP512" i="1"/>
  <c r="BN512" i="1"/>
  <c r="Z512" i="1"/>
  <c r="BP546" i="1"/>
  <c r="BN546" i="1"/>
  <c r="Z546" i="1"/>
  <c r="AC564" i="1"/>
  <c r="Y552" i="1"/>
  <c r="BP551" i="1"/>
  <c r="BN551" i="1"/>
  <c r="Z551" i="1"/>
  <c r="Z552" i="1" s="1"/>
  <c r="H9" i="1"/>
  <c r="A10" i="1"/>
  <c r="Y24" i="1"/>
  <c r="Y32" i="1"/>
  <c r="Y42" i="1"/>
  <c r="Y52" i="1"/>
  <c r="Y63" i="1"/>
  <c r="Y69" i="1"/>
  <c r="Y75" i="1"/>
  <c r="Y81" i="1"/>
  <c r="Y90" i="1"/>
  <c r="Y98" i="1"/>
  <c r="Y109" i="1"/>
  <c r="Y117" i="1"/>
  <c r="Y125" i="1"/>
  <c r="Y129" i="1"/>
  <c r="Y134" i="1"/>
  <c r="Y140" i="1"/>
  <c r="Y144" i="1"/>
  <c r="Y155" i="1"/>
  <c r="Y159" i="1"/>
  <c r="Y166" i="1"/>
  <c r="Y170" i="1"/>
  <c r="BP180" i="1"/>
  <c r="BN180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K564" i="1"/>
  <c r="Y207" i="1"/>
  <c r="BP200" i="1"/>
  <c r="BN200" i="1"/>
  <c r="Z200" i="1"/>
  <c r="BP204" i="1"/>
  <c r="BN204" i="1"/>
  <c r="Z204" i="1"/>
  <c r="BP217" i="1"/>
  <c r="BN217" i="1"/>
  <c r="Z217" i="1"/>
  <c r="BP221" i="1"/>
  <c r="BN221" i="1"/>
  <c r="Z221" i="1"/>
  <c r="BP225" i="1"/>
  <c r="BN225" i="1"/>
  <c r="Z225" i="1"/>
  <c r="BP229" i="1"/>
  <c r="BN229" i="1"/>
  <c r="Z229" i="1"/>
  <c r="Y231" i="1"/>
  <c r="Y242" i="1"/>
  <c r="BP233" i="1"/>
  <c r="BN233" i="1"/>
  <c r="Z233" i="1"/>
  <c r="BP237" i="1"/>
  <c r="BN237" i="1"/>
  <c r="Z237" i="1"/>
  <c r="BP241" i="1"/>
  <c r="BN241" i="1"/>
  <c r="Z241" i="1"/>
  <c r="Y243" i="1"/>
  <c r="Y248" i="1"/>
  <c r="BP245" i="1"/>
  <c r="BN245" i="1"/>
  <c r="Z245" i="1"/>
  <c r="BP262" i="1"/>
  <c r="BN262" i="1"/>
  <c r="Z262" i="1"/>
  <c r="Z263" i="1" s="1"/>
  <c r="Y264" i="1"/>
  <c r="Y275" i="1"/>
  <c r="BP266" i="1"/>
  <c r="BN266" i="1"/>
  <c r="Z266" i="1"/>
  <c r="BP270" i="1"/>
  <c r="BN270" i="1"/>
  <c r="Z270" i="1"/>
  <c r="Y274" i="1"/>
  <c r="BP278" i="1"/>
  <c r="BN278" i="1"/>
  <c r="Z278" i="1"/>
  <c r="BP282" i="1"/>
  <c r="BN282" i="1"/>
  <c r="Z282" i="1"/>
  <c r="BP300" i="1"/>
  <c r="BN300" i="1"/>
  <c r="Z300" i="1"/>
  <c r="BP304" i="1"/>
  <c r="BN304" i="1"/>
  <c r="Z304" i="1"/>
  <c r="Y306" i="1"/>
  <c r="Y309" i="1"/>
  <c r="BP308" i="1"/>
  <c r="BN308" i="1"/>
  <c r="Z308" i="1"/>
  <c r="Z309" i="1" s="1"/>
  <c r="Y310" i="1"/>
  <c r="Y313" i="1"/>
  <c r="BP312" i="1"/>
  <c r="BN312" i="1"/>
  <c r="Z312" i="1"/>
  <c r="Z313" i="1" s="1"/>
  <c r="Y314" i="1"/>
  <c r="Y317" i="1"/>
  <c r="BP316" i="1"/>
  <c r="BN316" i="1"/>
  <c r="Z316" i="1"/>
  <c r="Z317" i="1" s="1"/>
  <c r="Y318" i="1"/>
  <c r="BP322" i="1"/>
  <c r="BN322" i="1"/>
  <c r="Z322" i="1"/>
  <c r="P564" i="1"/>
  <c r="BP326" i="1"/>
  <c r="BN326" i="1"/>
  <c r="Z326" i="1"/>
  <c r="Y328" i="1"/>
  <c r="Q564" i="1"/>
  <c r="Y334" i="1"/>
  <c r="BP331" i="1"/>
  <c r="BN331" i="1"/>
  <c r="Z331" i="1"/>
  <c r="Y335" i="1"/>
  <c r="BP340" i="1"/>
  <c r="BN340" i="1"/>
  <c r="Z340" i="1"/>
  <c r="BP353" i="1"/>
  <c r="BN353" i="1"/>
  <c r="Z353" i="1"/>
  <c r="Z355" i="1" s="1"/>
  <c r="Y355" i="1"/>
  <c r="F9" i="1"/>
  <c r="J9" i="1"/>
  <c r="Z22" i="1"/>
  <c r="Z24" i="1" s="1"/>
  <c r="BN22" i="1"/>
  <c r="BP22" i="1"/>
  <c r="X558" i="1"/>
  <c r="Y25" i="1"/>
  <c r="Z28" i="1"/>
  <c r="BN28" i="1"/>
  <c r="Z30" i="1"/>
  <c r="BN30" i="1"/>
  <c r="C564" i="1"/>
  <c r="Z38" i="1"/>
  <c r="BN38" i="1"/>
  <c r="Z40" i="1"/>
  <c r="BN40" i="1"/>
  <c r="Y43" i="1"/>
  <c r="D564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Z79" i="1"/>
  <c r="Z81" i="1" s="1"/>
  <c r="BN79" i="1"/>
  <c r="F564" i="1"/>
  <c r="Z86" i="1"/>
  <c r="BN86" i="1"/>
  <c r="Z88" i="1"/>
  <c r="BN88" i="1"/>
  <c r="Y91" i="1"/>
  <c r="Z94" i="1"/>
  <c r="BN94" i="1"/>
  <c r="Z96" i="1"/>
  <c r="BN96" i="1"/>
  <c r="Z101" i="1"/>
  <c r="BN101" i="1"/>
  <c r="BP101" i="1"/>
  <c r="Z103" i="1"/>
  <c r="BN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64" i="1"/>
  <c r="Z149" i="1"/>
  <c r="BN149" i="1"/>
  <c r="Z151" i="1"/>
  <c r="BN151" i="1"/>
  <c r="Z153" i="1"/>
  <c r="BN153" i="1"/>
  <c r="Y154" i="1"/>
  <c r="Z157" i="1"/>
  <c r="Z158" i="1" s="1"/>
  <c r="BN157" i="1"/>
  <c r="BP157" i="1"/>
  <c r="Z162" i="1"/>
  <c r="Z165" i="1" s="1"/>
  <c r="BN162" i="1"/>
  <c r="BP162" i="1"/>
  <c r="Z164" i="1"/>
  <c r="BN164" i="1"/>
  <c r="Y165" i="1"/>
  <c r="Z168" i="1"/>
  <c r="Z170" i="1" s="1"/>
  <c r="BN168" i="1"/>
  <c r="BP168" i="1"/>
  <c r="Y185" i="1"/>
  <c r="Z174" i="1"/>
  <c r="BN174" i="1"/>
  <c r="Z176" i="1"/>
  <c r="BN176" i="1"/>
  <c r="Z178" i="1"/>
  <c r="BN178" i="1"/>
  <c r="Z180" i="1"/>
  <c r="BP184" i="1"/>
  <c r="BN184" i="1"/>
  <c r="Z184" i="1"/>
  <c r="Y186" i="1"/>
  <c r="Y191" i="1"/>
  <c r="BP188" i="1"/>
  <c r="BN188" i="1"/>
  <c r="Z188" i="1"/>
  <c r="Z191" i="1" s="1"/>
  <c r="BP202" i="1"/>
  <c r="BN202" i="1"/>
  <c r="Z202" i="1"/>
  <c r="BP206" i="1"/>
  <c r="BN206" i="1"/>
  <c r="Z206" i="1"/>
  <c r="Y208" i="1"/>
  <c r="L564" i="1"/>
  <c r="Y212" i="1"/>
  <c r="BP211" i="1"/>
  <c r="BN211" i="1"/>
  <c r="Z211" i="1"/>
  <c r="Z212" i="1" s="1"/>
  <c r="Y213" i="1"/>
  <c r="Y230" i="1"/>
  <c r="BP215" i="1"/>
  <c r="BN215" i="1"/>
  <c r="Z215" i="1"/>
  <c r="BP219" i="1"/>
  <c r="BN219" i="1"/>
  <c r="Z219" i="1"/>
  <c r="BP223" i="1"/>
  <c r="BN223" i="1"/>
  <c r="Z223" i="1"/>
  <c r="BP227" i="1"/>
  <c r="BN227" i="1"/>
  <c r="Z227" i="1"/>
  <c r="BP235" i="1"/>
  <c r="BN235" i="1"/>
  <c r="Z235" i="1"/>
  <c r="BP239" i="1"/>
  <c r="BN239" i="1"/>
  <c r="Z239" i="1"/>
  <c r="BP247" i="1"/>
  <c r="BN247" i="1"/>
  <c r="Z247" i="1"/>
  <c r="Y249" i="1"/>
  <c r="Y252" i="1"/>
  <c r="BP251" i="1"/>
  <c r="BN251" i="1"/>
  <c r="Z251" i="1"/>
  <c r="Z252" i="1" s="1"/>
  <c r="Y253" i="1"/>
  <c r="M564" i="1"/>
  <c r="Y259" i="1"/>
  <c r="BP256" i="1"/>
  <c r="BN256" i="1"/>
  <c r="Z256" i="1"/>
  <c r="Z258" i="1" s="1"/>
  <c r="Y263" i="1"/>
  <c r="BP268" i="1"/>
  <c r="BN268" i="1"/>
  <c r="Z268" i="1"/>
  <c r="BP272" i="1"/>
  <c r="BN272" i="1"/>
  <c r="Z272" i="1"/>
  <c r="BP280" i="1"/>
  <c r="BN280" i="1"/>
  <c r="Z280" i="1"/>
  <c r="BP287" i="1"/>
  <c r="BN287" i="1"/>
  <c r="Z287" i="1"/>
  <c r="BP361" i="1"/>
  <c r="BN361" i="1"/>
  <c r="Z361" i="1"/>
  <c r="BP365" i="1"/>
  <c r="BN365" i="1"/>
  <c r="Z365" i="1"/>
  <c r="Y367" i="1"/>
  <c r="Y376" i="1"/>
  <c r="BP369" i="1"/>
  <c r="BN369" i="1"/>
  <c r="Z369" i="1"/>
  <c r="Y377" i="1"/>
  <c r="BP373" i="1"/>
  <c r="BN373" i="1"/>
  <c r="Z373" i="1"/>
  <c r="Y290" i="1"/>
  <c r="BP283" i="1"/>
  <c r="BN283" i="1"/>
  <c r="BP285" i="1"/>
  <c r="BN285" i="1"/>
  <c r="Z285" i="1"/>
  <c r="Y289" i="1"/>
  <c r="BP293" i="1"/>
  <c r="BN293" i="1"/>
  <c r="Z293" i="1"/>
  <c r="Z294" i="1" s="1"/>
  <c r="Y295" i="1"/>
  <c r="O564" i="1"/>
  <c r="Y305" i="1"/>
  <c r="BP298" i="1"/>
  <c r="BN298" i="1"/>
  <c r="Z298" i="1"/>
  <c r="BP302" i="1"/>
  <c r="BN302" i="1"/>
  <c r="Z302" i="1"/>
  <c r="Y327" i="1"/>
  <c r="BP324" i="1"/>
  <c r="BN324" i="1"/>
  <c r="Z324" i="1"/>
  <c r="BP333" i="1"/>
  <c r="BN333" i="1"/>
  <c r="Z333" i="1"/>
  <c r="R564" i="1"/>
  <c r="Y343" i="1"/>
  <c r="BP338" i="1"/>
  <c r="BN338" i="1"/>
  <c r="Z338" i="1"/>
  <c r="BP342" i="1"/>
  <c r="BN342" i="1"/>
  <c r="Z342" i="1"/>
  <c r="Y344" i="1"/>
  <c r="Y349" i="1"/>
  <c r="BP346" i="1"/>
  <c r="BN346" i="1"/>
  <c r="Z346" i="1"/>
  <c r="Z348" i="1" s="1"/>
  <c r="T564" i="1"/>
  <c r="Y366" i="1"/>
  <c r="BP359" i="1"/>
  <c r="BN359" i="1"/>
  <c r="Z359" i="1"/>
  <c r="Z366" i="1" s="1"/>
  <c r="BP363" i="1"/>
  <c r="BN363" i="1"/>
  <c r="Z363" i="1"/>
  <c r="BP371" i="1"/>
  <c r="BN371" i="1"/>
  <c r="Z371" i="1"/>
  <c r="BP375" i="1"/>
  <c r="BN375" i="1"/>
  <c r="Z375" i="1"/>
  <c r="Y384" i="1"/>
  <c r="BP379" i="1"/>
  <c r="BN379" i="1"/>
  <c r="Z379" i="1"/>
  <c r="Y383" i="1"/>
  <c r="BP387" i="1"/>
  <c r="BN387" i="1"/>
  <c r="Z387" i="1"/>
  <c r="Y396" i="1"/>
  <c r="BP395" i="1"/>
  <c r="BN395" i="1"/>
  <c r="Z395" i="1"/>
  <c r="Y402" i="1"/>
  <c r="BP399" i="1"/>
  <c r="BN399" i="1"/>
  <c r="Z399" i="1"/>
  <c r="BP407" i="1"/>
  <c r="BN407" i="1"/>
  <c r="Z407" i="1"/>
  <c r="U564" i="1"/>
  <c r="Y415" i="1"/>
  <c r="BP412" i="1"/>
  <c r="BN412" i="1"/>
  <c r="Z412" i="1"/>
  <c r="Z414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BP381" i="1"/>
  <c r="BN381" i="1"/>
  <c r="Z381" i="1"/>
  <c r="BP393" i="1"/>
  <c r="BN393" i="1"/>
  <c r="Z393" i="1"/>
  <c r="Z396" i="1" s="1"/>
  <c r="BP401" i="1"/>
  <c r="BN401" i="1"/>
  <c r="Z401" i="1"/>
  <c r="Y403" i="1"/>
  <c r="Y408" i="1"/>
  <c r="BP405" i="1"/>
  <c r="BN405" i="1"/>
  <c r="Z405" i="1"/>
  <c r="Z408" i="1" s="1"/>
  <c r="BP419" i="1"/>
  <c r="BN419" i="1"/>
  <c r="Z419" i="1"/>
  <c r="Z421" i="1" s="1"/>
  <c r="BP429" i="1"/>
  <c r="BN429" i="1"/>
  <c r="Z429" i="1"/>
  <c r="S564" i="1"/>
  <c r="Y356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305" i="1" l="1"/>
  <c r="Z434" i="1"/>
  <c r="Z185" i="1"/>
  <c r="Z154" i="1"/>
  <c r="Z90" i="1"/>
  <c r="Z32" i="1"/>
  <c r="Z327" i="1"/>
  <c r="Z289" i="1"/>
  <c r="Z514" i="1"/>
  <c r="Z483" i="1"/>
  <c r="Z389" i="1"/>
  <c r="Z124" i="1"/>
  <c r="Z117" i="1"/>
  <c r="Z97" i="1"/>
  <c r="Z75" i="1"/>
  <c r="Z51" i="1"/>
  <c r="Z42" i="1"/>
  <c r="Z494" i="1"/>
  <c r="Z402" i="1"/>
  <c r="Z62" i="1"/>
  <c r="Y555" i="1"/>
  <c r="Z242" i="1"/>
  <c r="Z207" i="1"/>
  <c r="Z508" i="1"/>
  <c r="Z478" i="1"/>
  <c r="Z524" i="1"/>
  <c r="Z467" i="1"/>
  <c r="Z446" i="1"/>
  <c r="Z383" i="1"/>
  <c r="Z343" i="1"/>
  <c r="Z376" i="1"/>
  <c r="Z230" i="1"/>
  <c r="Z109" i="1"/>
  <c r="Y554" i="1"/>
  <c r="Y556" i="1"/>
  <c r="Z334" i="1"/>
  <c r="Z274" i="1"/>
  <c r="Z248" i="1"/>
  <c r="Y558" i="1"/>
  <c r="Z559" i="1" l="1"/>
  <c r="Y557" i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<sst xmlns="http://schemas.openxmlformats.org/spreadsheetml/2006/main" count="2533" uniqueCount="915">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</sst>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7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84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1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52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73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7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56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940" t="s">
        <v>0</v>
      </c>
      <c r="E1" s="678"/>
      <c r="F1" s="678"/>
      <c r="G1" s="12" t="s">
        <v>1</v>
      </c>
      <c r="H1" s="940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989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886" t="s">
        <v>8</v>
      </c>
      <c r="B5" s="675"/>
      <c r="C5" s="676"/>
      <c r="D5" s="708"/>
      <c r="E5" s="710"/>
      <c r="F5" s="704" t="s">
        <v>9</v>
      </c>
      <c r="G5" s="676"/>
      <c r="H5" s="708" t="s">
        <v>914</v>
      </c>
      <c r="I5" s="709"/>
      <c r="J5" s="709"/>
      <c r="K5" s="709"/>
      <c r="L5" s="709"/>
      <c r="M5" s="710"/>
      <c r="N5" s="58"/>
      <c r="P5" s="24" t="s">
        <v>10</v>
      </c>
      <c r="Q5" s="699">
        <v>46287</v>
      </c>
      <c r="R5" s="700"/>
      <c r="T5" s="855" t="s">
        <v>11</v>
      </c>
      <c r="U5" s="848"/>
      <c r="V5" s="856" t="s">
        <v>12</v>
      </c>
      <c r="W5" s="700"/>
      <c r="AB5" s="51"/>
      <c r="AC5" s="51"/>
      <c r="AD5" s="51"/>
      <c r="AE5" s="51"/>
    </row>
    <row r="6" spans="1:32" s="636" customFormat="1" ht="24" customHeight="1" x14ac:dyDescent="0.2">
      <c r="A6" s="886" t="s">
        <v>13</v>
      </c>
      <c r="B6" s="675"/>
      <c r="C6" s="676"/>
      <c r="D6" s="778" t="s">
        <v>887</v>
      </c>
      <c r="E6" s="779"/>
      <c r="F6" s="779"/>
      <c r="G6" s="779"/>
      <c r="H6" s="779"/>
      <c r="I6" s="779"/>
      <c r="J6" s="779"/>
      <c r="K6" s="779"/>
      <c r="L6" s="779"/>
      <c r="M6" s="700"/>
      <c r="N6" s="59"/>
      <c r="P6" s="24" t="s">
        <v>14</v>
      </c>
      <c r="Q6" s="787" t="str">
        <f>IF(Q5=0," ",CHOOSE(WEEKDAY(Q5,2),"Понедельник","Вторник","Среда","Четверг","Пятница","Суббота","Воскресенье"))</f>
        <v>Вторник</v>
      </c>
      <c r="R6" s="656"/>
      <c r="T6" s="847" t="s">
        <v>15</v>
      </c>
      <c r="U6" s="848"/>
      <c r="V6" s="788" t="s">
        <v>16</v>
      </c>
      <c r="W6" s="789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892" t="str">
        <f>IFERROR(VLOOKUP(DeliveryAddress,Table,3,0),1)</f>
        <v>5</v>
      </c>
      <c r="E7" s="893"/>
      <c r="F7" s="893"/>
      <c r="G7" s="893"/>
      <c r="H7" s="893"/>
      <c r="I7" s="893"/>
      <c r="J7" s="893"/>
      <c r="K7" s="893"/>
      <c r="L7" s="893"/>
      <c r="M7" s="861"/>
      <c r="N7" s="60"/>
      <c r="P7" s="24"/>
      <c r="Q7" s="42"/>
      <c r="R7" s="42"/>
      <c r="T7" s="646"/>
      <c r="U7" s="848"/>
      <c r="V7" s="790"/>
      <c r="W7" s="791"/>
      <c r="AB7" s="51"/>
      <c r="AC7" s="51"/>
      <c r="AD7" s="51"/>
      <c r="AE7" s="51"/>
    </row>
    <row r="8" spans="1:32" s="636" customFormat="1" ht="25.5" customHeight="1" x14ac:dyDescent="0.2">
      <c r="A8" s="668" t="s">
        <v>17</v>
      </c>
      <c r="B8" s="653"/>
      <c r="C8" s="654"/>
      <c r="D8" s="889"/>
      <c r="E8" s="890"/>
      <c r="F8" s="890"/>
      <c r="G8" s="890"/>
      <c r="H8" s="890"/>
      <c r="I8" s="890"/>
      <c r="J8" s="890"/>
      <c r="K8" s="890"/>
      <c r="L8" s="890"/>
      <c r="M8" s="891"/>
      <c r="N8" s="61"/>
      <c r="P8" s="24" t="s">
        <v>18</v>
      </c>
      <c r="Q8" s="860">
        <v>0.41666666666666669</v>
      </c>
      <c r="R8" s="861"/>
      <c r="T8" s="646"/>
      <c r="U8" s="848"/>
      <c r="V8" s="790"/>
      <c r="W8" s="791"/>
      <c r="AB8" s="51"/>
      <c r="AC8" s="51"/>
      <c r="AD8" s="51"/>
      <c r="AE8" s="51"/>
    </row>
    <row r="9" spans="1:32" s="636" customFormat="1" ht="39.950000000000003" customHeight="1" x14ac:dyDescent="0.2">
      <c r="A9" s="6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29"/>
      <c r="E9" s="673"/>
      <c r="F9" s="6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37"/>
      <c r="P9" s="26" t="s">
        <v>19</v>
      </c>
      <c r="Q9" s="916"/>
      <c r="R9" s="706"/>
      <c r="T9" s="646"/>
      <c r="U9" s="848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6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29"/>
      <c r="E10" s="673"/>
      <c r="F10" s="6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02" t="str">
        <f>IFERROR(VLOOKUP($D$10,Proxy,2,FALSE),"")</f>
        <v/>
      </c>
      <c r="I10" s="646"/>
      <c r="J10" s="646"/>
      <c r="K10" s="646"/>
      <c r="L10" s="646"/>
      <c r="M10" s="646"/>
      <c r="N10" s="635"/>
      <c r="P10" s="26" t="s">
        <v>20</v>
      </c>
      <c r="Q10" s="849"/>
      <c r="R10" s="850"/>
      <c r="U10" s="24" t="s">
        <v>21</v>
      </c>
      <c r="V10" s="983" t="s">
        <v>22</v>
      </c>
      <c r="W10" s="789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9"/>
      <c r="R11" s="700"/>
      <c r="U11" s="24" t="s">
        <v>25</v>
      </c>
      <c r="V11" s="705" t="s">
        <v>26</v>
      </c>
      <c r="W11" s="706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674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860"/>
      <c r="R12" s="861"/>
      <c r="S12" s="23"/>
      <c r="U12" s="24"/>
      <c r="V12" s="678"/>
      <c r="W12" s="646"/>
      <c r="AB12" s="51"/>
      <c r="AC12" s="51"/>
      <c r="AD12" s="51"/>
      <c r="AE12" s="51"/>
    </row>
    <row r="13" spans="1:32" s="636" customFormat="1" ht="23.25" customHeight="1" x14ac:dyDescent="0.2">
      <c r="A13" s="674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705"/>
      <c r="R13" s="70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674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28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677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79"/>
      <c r="Q16" s="679"/>
      <c r="R16" s="679"/>
      <c r="S16" s="679"/>
      <c r="T16" s="6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3" t="s">
        <v>34</v>
      </c>
      <c r="B17" s="663" t="s">
        <v>35</v>
      </c>
      <c r="C17" s="898" t="s">
        <v>36</v>
      </c>
      <c r="D17" s="663" t="s">
        <v>37</v>
      </c>
      <c r="E17" s="664"/>
      <c r="F17" s="663" t="s">
        <v>38</v>
      </c>
      <c r="G17" s="663" t="s">
        <v>39</v>
      </c>
      <c r="H17" s="663" t="s">
        <v>40</v>
      </c>
      <c r="I17" s="663" t="s">
        <v>41</v>
      </c>
      <c r="J17" s="663" t="s">
        <v>42</v>
      </c>
      <c r="K17" s="663" t="s">
        <v>43</v>
      </c>
      <c r="L17" s="663" t="s">
        <v>44</v>
      </c>
      <c r="M17" s="663" t="s">
        <v>45</v>
      </c>
      <c r="N17" s="663" t="s">
        <v>46</v>
      </c>
      <c r="O17" s="663" t="s">
        <v>47</v>
      </c>
      <c r="P17" s="663" t="s">
        <v>48</v>
      </c>
      <c r="Q17" s="903"/>
      <c r="R17" s="903"/>
      <c r="S17" s="903"/>
      <c r="T17" s="664"/>
      <c r="U17" s="685" t="s">
        <v>49</v>
      </c>
      <c r="V17" s="676"/>
      <c r="W17" s="663" t="s">
        <v>50</v>
      </c>
      <c r="X17" s="663" t="s">
        <v>51</v>
      </c>
      <c r="Y17" s="686" t="s">
        <v>52</v>
      </c>
      <c r="Z17" s="808" t="s">
        <v>53</v>
      </c>
      <c r="AA17" s="711" t="s">
        <v>54</v>
      </c>
      <c r="AB17" s="711" t="s">
        <v>55</v>
      </c>
      <c r="AC17" s="711" t="s">
        <v>56</v>
      </c>
      <c r="AD17" s="711" t="s">
        <v>57</v>
      </c>
      <c r="AE17" s="712"/>
      <c r="AF17" s="713"/>
      <c r="AG17" s="66"/>
      <c r="BD17" s="65" t="s">
        <v>58</v>
      </c>
    </row>
    <row r="18" spans="1:68" ht="14.25" customHeight="1" x14ac:dyDescent="0.2">
      <c r="A18" s="667"/>
      <c r="B18" s="667"/>
      <c r="C18" s="667"/>
      <c r="D18" s="665"/>
      <c r="E18" s="666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5"/>
      <c r="Q18" s="904"/>
      <c r="R18" s="904"/>
      <c r="S18" s="904"/>
      <c r="T18" s="666"/>
      <c r="U18" s="67" t="s">
        <v>59</v>
      </c>
      <c r="V18" s="67" t="s">
        <v>60</v>
      </c>
      <c r="W18" s="667"/>
      <c r="X18" s="667"/>
      <c r="Y18" s="687"/>
      <c r="Z18" s="809"/>
      <c r="AA18" s="803"/>
      <c r="AB18" s="803"/>
      <c r="AC18" s="803"/>
      <c r="AD18" s="714"/>
      <c r="AE18" s="715"/>
      <c r="AF18" s="716"/>
      <c r="AG18" s="66"/>
      <c r="BD18" s="65"/>
    </row>
    <row r="19" spans="1:68" ht="27.75" hidden="1" customHeight="1" x14ac:dyDescent="0.2">
      <c r="A19" s="757" t="s">
        <v>61</v>
      </c>
      <c r="B19" s="758"/>
      <c r="C19" s="758"/>
      <c r="D19" s="758"/>
      <c r="E19" s="758"/>
      <c r="F19" s="758"/>
      <c r="G19" s="758"/>
      <c r="H19" s="758"/>
      <c r="I19" s="758"/>
      <c r="J19" s="758"/>
      <c r="K19" s="758"/>
      <c r="L19" s="758"/>
      <c r="M19" s="758"/>
      <c r="N19" s="758"/>
      <c r="O19" s="758"/>
      <c r="P19" s="758"/>
      <c r="Q19" s="758"/>
      <c r="R19" s="758"/>
      <c r="S19" s="758"/>
      <c r="T19" s="758"/>
      <c r="U19" s="758"/>
      <c r="V19" s="758"/>
      <c r="W19" s="758"/>
      <c r="X19" s="758"/>
      <c r="Y19" s="758"/>
      <c r="Z19" s="758"/>
      <c r="AA19" s="48"/>
      <c r="AB19" s="48"/>
      <c r="AC19" s="48"/>
    </row>
    <row r="20" spans="1:68" ht="16.5" hidden="1" customHeight="1" x14ac:dyDescent="0.25">
      <c r="A20" s="648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33"/>
      <c r="AB20" s="633"/>
      <c r="AC20" s="633"/>
    </row>
    <row r="21" spans="1:68" ht="14.25" hidden="1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5">
        <v>4680115886643</v>
      </c>
      <c r="E22" s="656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5">
        <v>4680115889071</v>
      </c>
      <c r="E23" s="656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68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59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59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5">
        <v>4680115885912</v>
      </c>
      <c r="E27" s="656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5">
        <v>4607091388237</v>
      </c>
      <c r="E28" s="656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5">
        <v>4680115887350</v>
      </c>
      <c r="E29" s="656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5">
        <v>4680115885905</v>
      </c>
      <c r="E30" s="656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5">
        <v>4680115887619</v>
      </c>
      <c r="E31" s="656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8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59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59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757" t="s">
        <v>92</v>
      </c>
      <c r="B34" s="758"/>
      <c r="C34" s="758"/>
      <c r="D34" s="758"/>
      <c r="E34" s="758"/>
      <c r="F34" s="758"/>
      <c r="G34" s="758"/>
      <c r="H34" s="758"/>
      <c r="I34" s="758"/>
      <c r="J34" s="758"/>
      <c r="K34" s="758"/>
      <c r="L34" s="758"/>
      <c r="M34" s="758"/>
      <c r="N34" s="758"/>
      <c r="O34" s="758"/>
      <c r="P34" s="758"/>
      <c r="Q34" s="758"/>
      <c r="R34" s="758"/>
      <c r="S34" s="758"/>
      <c r="T34" s="758"/>
      <c r="U34" s="758"/>
      <c r="V34" s="758"/>
      <c r="W34" s="758"/>
      <c r="X34" s="758"/>
      <c r="Y34" s="758"/>
      <c r="Z34" s="758"/>
      <c r="AA34" s="48"/>
      <c r="AB34" s="48"/>
      <c r="AC34" s="48"/>
    </row>
    <row r="35" spans="1:68" ht="16.5" hidden="1" customHeight="1" x14ac:dyDescent="0.25">
      <c r="A35" s="648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33"/>
      <c r="AB35" s="633"/>
      <c r="AC35" s="633"/>
    </row>
    <row r="36" spans="1:68" ht="14.25" hidden="1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5">
        <v>4680115889354</v>
      </c>
      <c r="E37" s="656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5">
        <v>4680115888463</v>
      </c>
      <c r="E38" s="656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5">
        <v>4680115889590</v>
      </c>
      <c r="E39" s="656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5">
        <v>4680115888272</v>
      </c>
      <c r="E40" s="656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5">
        <v>4680115888364</v>
      </c>
      <c r="E41" s="656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8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59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59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757" t="s">
        <v>109</v>
      </c>
      <c r="B44" s="758"/>
      <c r="C44" s="758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58"/>
      <c r="U44" s="758"/>
      <c r="V44" s="758"/>
      <c r="W44" s="758"/>
      <c r="X44" s="758"/>
      <c r="Y44" s="758"/>
      <c r="Z44" s="758"/>
      <c r="AA44" s="48"/>
      <c r="AB44" s="48"/>
      <c r="AC44" s="48"/>
    </row>
    <row r="45" spans="1:68" ht="16.5" hidden="1" customHeight="1" x14ac:dyDescent="0.25">
      <c r="A45" s="648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33"/>
      <c r="AB45" s="633"/>
      <c r="AC45" s="633"/>
    </row>
    <row r="46" spans="1:68" ht="14.25" hidden="1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5">
        <v>4607091385670</v>
      </c>
      <c r="E47" s="656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4"/>
      <c r="V47" s="34"/>
      <c r="W47" s="35" t="s">
        <v>67</v>
      </c>
      <c r="X47" s="639">
        <v>543</v>
      </c>
      <c r="Y47" s="640">
        <f>IFERROR(IF(X47="",0,CEILING((X47/$H47),1)*$H47),"")</f>
        <v>550.80000000000007</v>
      </c>
      <c r="Z47" s="36">
        <f>IFERROR(IF(Y47=0,"",ROUNDUP(Y47/H47,0)*0.01898),"")</f>
        <v>0.96798000000000006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563.61388888888894</v>
      </c>
      <c r="BN47" s="64">
        <f>IFERROR(Y47*I47/H47,"0")</f>
        <v>571.71000000000015</v>
      </c>
      <c r="BO47" s="64">
        <f>IFERROR(1/J47*(X47/H47),"0")</f>
        <v>0.78559027777777768</v>
      </c>
      <c r="BP47" s="64">
        <f>IFERROR(1/J47*(Y47/H47),"0")</f>
        <v>0.796875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5">
        <v>4680115887725</v>
      </c>
      <c r="E48" s="656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5">
        <v>4607091385687</v>
      </c>
      <c r="E49" s="656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5">
        <v>4680115882539</v>
      </c>
      <c r="E50" s="656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4"/>
      <c r="V50" s="34"/>
      <c r="W50" s="35" t="s">
        <v>67</v>
      </c>
      <c r="X50" s="639">
        <v>0</v>
      </c>
      <c r="Y50" s="64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8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59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50.277777777777771</v>
      </c>
      <c r="Y51" s="641">
        <f>IFERROR(Y47/H47,"0")+IFERROR(Y48/H48,"0")+IFERROR(Y49/H49,"0")+IFERROR(Y50/H50,"0")</f>
        <v>51</v>
      </c>
      <c r="Z51" s="641">
        <f>IFERROR(IF(Z47="",0,Z47),"0")+IFERROR(IF(Z48="",0,Z48),"0")+IFERROR(IF(Z49="",0,Z49),"0")+IFERROR(IF(Z50="",0,Z50),"0")</f>
        <v>0.96798000000000006</v>
      </c>
      <c r="AA51" s="642"/>
      <c r="AB51" s="642"/>
      <c r="AC51" s="642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59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543</v>
      </c>
      <c r="Y52" s="641">
        <f>IFERROR(SUM(Y47:Y50),"0")</f>
        <v>550.80000000000007</v>
      </c>
      <c r="Z52" s="37"/>
      <c r="AA52" s="642"/>
      <c r="AB52" s="642"/>
      <c r="AC52" s="642"/>
    </row>
    <row r="53" spans="1:68" ht="16.5" hidden="1" customHeight="1" x14ac:dyDescent="0.25">
      <c r="A53" s="648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33"/>
      <c r="AB53" s="633"/>
      <c r="AC53" s="633"/>
    </row>
    <row r="54" spans="1:68" ht="14.25" hidden="1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34"/>
      <c r="AB54" s="634"/>
      <c r="AC54" s="634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5">
        <v>4680115885882</v>
      </c>
      <c r="E55" s="656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4"/>
      <c r="V55" s="34"/>
      <c r="W55" s="35" t="s">
        <v>67</v>
      </c>
      <c r="X55" s="639">
        <v>0</v>
      </c>
      <c r="Y55" s="640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5">
        <v>4680115881426</v>
      </c>
      <c r="E56" s="656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4"/>
      <c r="V56" s="34"/>
      <c r="W56" s="35" t="s">
        <v>67</v>
      </c>
      <c r="X56" s="639">
        <v>130</v>
      </c>
      <c r="Y56" s="640">
        <f t="shared" si="0"/>
        <v>140.4</v>
      </c>
      <c r="Z56" s="36">
        <f>IFERROR(IF(Y56=0,"",ROUNDUP(Y56/H56,0)*0.01898),"")</f>
        <v>0.24674000000000001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134.93518518518519</v>
      </c>
      <c r="BN56" s="64">
        <f t="shared" si="2"/>
        <v>145.73000000000002</v>
      </c>
      <c r="BO56" s="64">
        <f t="shared" si="3"/>
        <v>0.18807870370370369</v>
      </c>
      <c r="BP56" s="64">
        <f t="shared" si="4"/>
        <v>0.203125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5">
        <v>4680115880283</v>
      </c>
      <c r="E57" s="656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7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5">
        <v>4680115881525</v>
      </c>
      <c r="E58" s="656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67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4"/>
      <c r="V58" s="34"/>
      <c r="W58" s="35" t="s">
        <v>67</v>
      </c>
      <c r="X58" s="639">
        <v>0</v>
      </c>
      <c r="Y58" s="640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5">
        <v>4680115881525</v>
      </c>
      <c r="E59" s="656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5">
        <v>4680115885899</v>
      </c>
      <c r="E60" s="656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6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5">
        <v>4680115881419</v>
      </c>
      <c r="E61" s="656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9">
        <v>86</v>
      </c>
      <c r="Y61" s="640">
        <f t="shared" si="0"/>
        <v>90</v>
      </c>
      <c r="Z61" s="36">
        <f>IFERROR(IF(Y61=0,"",ROUNDUP(Y61/H61,0)*0.00902),"")</f>
        <v>0.1804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89.631111111111125</v>
      </c>
      <c r="BN61" s="64">
        <f t="shared" si="2"/>
        <v>93.800000000000011</v>
      </c>
      <c r="BO61" s="64">
        <f t="shared" si="3"/>
        <v>0.14478114478114479</v>
      </c>
      <c r="BP61" s="64">
        <f t="shared" si="4"/>
        <v>0.15151515151515152</v>
      </c>
    </row>
    <row r="62" spans="1:68" x14ac:dyDescent="0.2">
      <c r="A62" s="658"/>
      <c r="B62" s="646"/>
      <c r="C62" s="646"/>
      <c r="D62" s="646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59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31.148148148148145</v>
      </c>
      <c r="Y62" s="641">
        <f>IFERROR(Y55/H55,"0")+IFERROR(Y56/H56,"0")+IFERROR(Y57/H57,"0")+IFERROR(Y58/H58,"0")+IFERROR(Y59/H59,"0")+IFERROR(Y60/H60,"0")+IFERROR(Y61/H61,"0")</f>
        <v>33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0.42714000000000002</v>
      </c>
      <c r="AA62" s="642"/>
      <c r="AB62" s="642"/>
      <c r="AC62" s="642"/>
    </row>
    <row r="63" spans="1:68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59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216</v>
      </c>
      <c r="Y63" s="641">
        <f>IFERROR(SUM(Y55:Y61),"0")</f>
        <v>230.4</v>
      </c>
      <c r="Z63" s="37"/>
      <c r="AA63" s="642"/>
      <c r="AB63" s="642"/>
      <c r="AC63" s="642"/>
    </row>
    <row r="64" spans="1:68" ht="14.25" hidden="1" customHeight="1" x14ac:dyDescent="0.25">
      <c r="A64" s="645" t="s">
        <v>146</v>
      </c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646"/>
      <c r="Q64" s="646"/>
      <c r="R64" s="646"/>
      <c r="S64" s="646"/>
      <c r="T64" s="646"/>
      <c r="U64" s="646"/>
      <c r="V64" s="646"/>
      <c r="W64" s="646"/>
      <c r="X64" s="646"/>
      <c r="Y64" s="646"/>
      <c r="Z64" s="646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5">
        <v>4680115881440</v>
      </c>
      <c r="E65" s="656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9">
        <v>77</v>
      </c>
      <c r="Y65" s="640">
        <f>IFERROR(IF(X65="",0,CEILING((X65/$H65),1)*$H65),"")</f>
        <v>86.4</v>
      </c>
      <c r="Z65" s="36">
        <f>IFERROR(IF(Y65=0,"",ROUNDUP(Y65/H65,0)*0.01898),"")</f>
        <v>0.15184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79.923148148148144</v>
      </c>
      <c r="BN65" s="64">
        <f>IFERROR(Y65*I65/H65,"0")</f>
        <v>89.68</v>
      </c>
      <c r="BO65" s="64">
        <f>IFERROR(1/J65*(X65/H65),"0")</f>
        <v>0.11140046296296295</v>
      </c>
      <c r="BP65" s="64">
        <f>IFERROR(1/J65*(Y65/H65),"0")</f>
        <v>0.125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5">
        <v>4680115885950</v>
      </c>
      <c r="E66" s="656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5">
        <v>4680115887688</v>
      </c>
      <c r="E67" s="656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71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5">
        <v>4680115881433</v>
      </c>
      <c r="E68" s="656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7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8"/>
      <c r="B69" s="646"/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59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7.1296296296296289</v>
      </c>
      <c r="Y69" s="641">
        <f>IFERROR(Y65/H65,"0")+IFERROR(Y66/H66,"0")+IFERROR(Y67/H67,"0")+IFERROR(Y68/H68,"0")</f>
        <v>8</v>
      </c>
      <c r="Z69" s="641">
        <f>IFERROR(IF(Z65="",0,Z65),"0")+IFERROR(IF(Z66="",0,Z66),"0")+IFERROR(IF(Z67="",0,Z67),"0")+IFERROR(IF(Z68="",0,Z68),"0")</f>
        <v>0.15184</v>
      </c>
      <c r="AA69" s="642"/>
      <c r="AB69" s="642"/>
      <c r="AC69" s="642"/>
    </row>
    <row r="70" spans="1:68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59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77</v>
      </c>
      <c r="Y70" s="641">
        <f>IFERROR(SUM(Y65:Y68),"0")</f>
        <v>86.4</v>
      </c>
      <c r="Z70" s="37"/>
      <c r="AA70" s="642"/>
      <c r="AB70" s="642"/>
      <c r="AC70" s="642"/>
    </row>
    <row r="71" spans="1:68" ht="14.25" hidden="1" customHeight="1" x14ac:dyDescent="0.25">
      <c r="A71" s="645" t="s">
        <v>74</v>
      </c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46"/>
      <c r="Q71" s="646"/>
      <c r="R71" s="646"/>
      <c r="S71" s="646"/>
      <c r="T71" s="646"/>
      <c r="U71" s="646"/>
      <c r="V71" s="646"/>
      <c r="W71" s="646"/>
      <c r="X71" s="646"/>
      <c r="Y71" s="646"/>
      <c r="Z71" s="646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5">
        <v>4680115884311</v>
      </c>
      <c r="E72" s="656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5">
        <v>4680115884403</v>
      </c>
      <c r="E73" s="656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5">
        <v>4680115884403</v>
      </c>
      <c r="E74" s="656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8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59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59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34"/>
      <c r="AB77" s="634"/>
      <c r="AC77" s="634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5">
        <v>4680115881532</v>
      </c>
      <c r="E78" s="656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91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9">
        <v>0</v>
      </c>
      <c r="Y78" s="64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5">
        <v>4680115881532</v>
      </c>
      <c r="E79" s="656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10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5">
        <v>4680115881464</v>
      </c>
      <c r="E80" s="656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0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8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59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0</v>
      </c>
      <c r="Y81" s="641">
        <f>IFERROR(Y78/H78,"0")+IFERROR(Y79/H79,"0")+IFERROR(Y80/H80,"0")</f>
        <v>0</v>
      </c>
      <c r="Z81" s="641">
        <f>IFERROR(IF(Z78="",0,Z78),"0")+IFERROR(IF(Z79="",0,Z79),"0")+IFERROR(IF(Z80="",0,Z80),"0")</f>
        <v>0</v>
      </c>
      <c r="AA81" s="642"/>
      <c r="AB81" s="642"/>
      <c r="AC81" s="642"/>
    </row>
    <row r="82" spans="1:68" hidden="1" x14ac:dyDescent="0.2">
      <c r="A82" s="646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59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0</v>
      </c>
      <c r="Y82" s="641">
        <f>IFERROR(SUM(Y78:Y80),"0")</f>
        <v>0</v>
      </c>
      <c r="Z82" s="37"/>
      <c r="AA82" s="642"/>
      <c r="AB82" s="642"/>
      <c r="AC82" s="642"/>
    </row>
    <row r="83" spans="1:68" ht="16.5" hidden="1" customHeight="1" x14ac:dyDescent="0.25">
      <c r="A83" s="648" t="s">
        <v>172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33"/>
      <c r="AB83" s="633"/>
      <c r="AC83" s="633"/>
    </row>
    <row r="84" spans="1:68" ht="14.25" hidden="1" customHeight="1" x14ac:dyDescent="0.25">
      <c r="A84" s="645" t="s">
        <v>111</v>
      </c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646"/>
      <c r="Q84" s="646"/>
      <c r="R84" s="646"/>
      <c r="S84" s="646"/>
      <c r="T84" s="646"/>
      <c r="U84" s="646"/>
      <c r="V84" s="646"/>
      <c r="W84" s="646"/>
      <c r="X84" s="646"/>
      <c r="Y84" s="646"/>
      <c r="Z84" s="646"/>
      <c r="AA84" s="634"/>
      <c r="AB84" s="634"/>
      <c r="AC84" s="634"/>
    </row>
    <row r="85" spans="1:68" ht="27" hidden="1" customHeight="1" x14ac:dyDescent="0.25">
      <c r="A85" s="54" t="s">
        <v>173</v>
      </c>
      <c r="B85" s="54" t="s">
        <v>174</v>
      </c>
      <c r="C85" s="31">
        <v>4301011468</v>
      </c>
      <c r="D85" s="655">
        <v>4680115881327</v>
      </c>
      <c r="E85" s="656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4"/>
      <c r="V85" s="34"/>
      <c r="W85" s="35" t="s">
        <v>67</v>
      </c>
      <c r="X85" s="639">
        <v>0</v>
      </c>
      <c r="Y85" s="6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55">
        <v>4680115887732</v>
      </c>
      <c r="E86" s="656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10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4"/>
      <c r="V86" s="34"/>
      <c r="W86" s="35" t="s">
        <v>67</v>
      </c>
      <c r="X86" s="639">
        <v>13</v>
      </c>
      <c r="Y86" s="640">
        <f>IFERROR(IF(X86="",0,CEILING((X86/$H86),1)*$H86),"")</f>
        <v>13.6</v>
      </c>
      <c r="Z86" s="36">
        <f>IFERROR(IF(Y86=0,"",ROUNDUP(Y86/H86,0)*0.00726),"")</f>
        <v>5.808E-2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13.764705882352942</v>
      </c>
      <c r="BN86" s="64">
        <f>IFERROR(Y86*I86/H86,"0")</f>
        <v>14.4</v>
      </c>
      <c r="BO86" s="64">
        <f>IFERROR(1/J86*(X86/H86),"0")</f>
        <v>3.9828431372549017E-2</v>
      </c>
      <c r="BP86" s="64">
        <f>IFERROR(1/J86*(Y86/H86),"0")</f>
        <v>4.1666666666666664E-2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5">
        <v>4680115887732</v>
      </c>
      <c r="E87" s="656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5">
        <v>4680115881518</v>
      </c>
      <c r="E88" s="656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55">
        <v>4680115881303</v>
      </c>
      <c r="E89" s="656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0"/>
      <c r="R89" s="650"/>
      <c r="S89" s="650"/>
      <c r="T89" s="651"/>
      <c r="U89" s="34"/>
      <c r="V89" s="34"/>
      <c r="W89" s="35" t="s">
        <v>67</v>
      </c>
      <c r="X89" s="639">
        <v>93</v>
      </c>
      <c r="Y89" s="640">
        <f>IFERROR(IF(X89="",0,CEILING((X89/$H89),1)*$H89),"")</f>
        <v>94.5</v>
      </c>
      <c r="Z89" s="36">
        <f>IFERROR(IF(Y89=0,"",ROUNDUP(Y89/H89,0)*0.00902),"")</f>
        <v>0.18942000000000001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96.926666666666677</v>
      </c>
      <c r="BN89" s="64">
        <f>IFERROR(Y89*I89/H89,"0")</f>
        <v>98.490000000000009</v>
      </c>
      <c r="BO89" s="64">
        <f>IFERROR(1/J89*(X89/H89),"0")</f>
        <v>0.15656565656565657</v>
      </c>
      <c r="BP89" s="64">
        <f>IFERROR(1/J89*(Y89/H89),"0")</f>
        <v>0.15909090909090909</v>
      </c>
    </row>
    <row r="90" spans="1:68" x14ac:dyDescent="0.2">
      <c r="A90" s="658"/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59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28.313725490196081</v>
      </c>
      <c r="Y90" s="641">
        <f>IFERROR(Y85/H85,"0")+IFERROR(Y86/H86,"0")+IFERROR(Y87/H87,"0")+IFERROR(Y88/H88,"0")+IFERROR(Y89/H89,"0")</f>
        <v>29</v>
      </c>
      <c r="Z90" s="641">
        <f>IFERROR(IF(Z85="",0,Z85),"0")+IFERROR(IF(Z86="",0,Z86),"0")+IFERROR(IF(Z87="",0,Z87),"0")+IFERROR(IF(Z88="",0,Z88),"0")+IFERROR(IF(Z89="",0,Z89),"0")</f>
        <v>0.2475</v>
      </c>
      <c r="AA90" s="642"/>
      <c r="AB90" s="642"/>
      <c r="AC90" s="642"/>
    </row>
    <row r="91" spans="1:68" x14ac:dyDescent="0.2">
      <c r="A91" s="646"/>
      <c r="B91" s="646"/>
      <c r="C91" s="646"/>
      <c r="D91" s="646"/>
      <c r="E91" s="646"/>
      <c r="F91" s="646"/>
      <c r="G91" s="646"/>
      <c r="H91" s="646"/>
      <c r="I91" s="646"/>
      <c r="J91" s="646"/>
      <c r="K91" s="646"/>
      <c r="L91" s="646"/>
      <c r="M91" s="646"/>
      <c r="N91" s="646"/>
      <c r="O91" s="659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106</v>
      </c>
      <c r="Y91" s="641">
        <f>IFERROR(SUM(Y85:Y89),"0")</f>
        <v>108.1</v>
      </c>
      <c r="Z91" s="37"/>
      <c r="AA91" s="642"/>
      <c r="AB91" s="642"/>
      <c r="AC91" s="642"/>
    </row>
    <row r="92" spans="1:68" ht="14.25" hidden="1" customHeight="1" x14ac:dyDescent="0.25">
      <c r="A92" s="645" t="s">
        <v>74</v>
      </c>
      <c r="B92" s="646"/>
      <c r="C92" s="646"/>
      <c r="D92" s="646"/>
      <c r="E92" s="646"/>
      <c r="F92" s="646"/>
      <c r="G92" s="646"/>
      <c r="H92" s="646"/>
      <c r="I92" s="646"/>
      <c r="J92" s="646"/>
      <c r="K92" s="646"/>
      <c r="L92" s="646"/>
      <c r="M92" s="646"/>
      <c r="N92" s="646"/>
      <c r="O92" s="646"/>
      <c r="P92" s="646"/>
      <c r="Q92" s="646"/>
      <c r="R92" s="646"/>
      <c r="S92" s="646"/>
      <c r="T92" s="646"/>
      <c r="U92" s="646"/>
      <c r="V92" s="646"/>
      <c r="W92" s="646"/>
      <c r="X92" s="646"/>
      <c r="Y92" s="646"/>
      <c r="Z92" s="646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55">
        <v>4607091386967</v>
      </c>
      <c r="E93" s="656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9">
        <v>303</v>
      </c>
      <c r="Y93" s="640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321.47925925925927</v>
      </c>
      <c r="BN93" s="64">
        <f>IFERROR(Y93*I93/H93,"0")</f>
        <v>326.572</v>
      </c>
      <c r="BO93" s="64">
        <f>IFERROR(1/J93*(X93/H93),"0")</f>
        <v>0.58449074074074081</v>
      </c>
      <c r="BP93" s="64">
        <f>IFERROR(1/J93*(Y93/H93),"0")</f>
        <v>0.59375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55">
        <v>4680115884953</v>
      </c>
      <c r="E94" s="656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9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4301052094</v>
      </c>
      <c r="D95" s="655">
        <v>4607091385731</v>
      </c>
      <c r="E95" s="656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9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0"/>
      <c r="R95" s="650"/>
      <c r="S95" s="650"/>
      <c r="T95" s="651"/>
      <c r="U95" s="34"/>
      <c r="V95" s="34"/>
      <c r="W95" s="35" t="s">
        <v>67</v>
      </c>
      <c r="X95" s="639">
        <v>957</v>
      </c>
      <c r="Y95" s="640">
        <f>IFERROR(IF(X95="",0,CEILING((X95/$H95),1)*$H95),"")</f>
        <v>958.50000000000011</v>
      </c>
      <c r="Z95" s="36">
        <f>IFERROR(IF(Y95=0,"",ROUNDUP(Y95/H95,0)*0.00651),"")</f>
        <v>2.3110500000000003</v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1046.32</v>
      </c>
      <c r="BN95" s="64">
        <f>IFERROR(Y95*I95/H95,"0")</f>
        <v>1047.96</v>
      </c>
      <c r="BO95" s="64">
        <f>IFERROR(1/J95*(X95/H95),"0")</f>
        <v>1.9474969474969475</v>
      </c>
      <c r="BP95" s="64">
        <f>IFERROR(1/J95*(Y95/H95),"0")</f>
        <v>1.9505494505494507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55">
        <v>4680115880894</v>
      </c>
      <c r="E96" s="656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7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0"/>
      <c r="R96" s="650"/>
      <c r="S96" s="650"/>
      <c r="T96" s="651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8"/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59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391.85185185185179</v>
      </c>
      <c r="Y97" s="641">
        <f>IFERROR(Y93/H93,"0")+IFERROR(Y94/H94,"0")+IFERROR(Y95/H95,"0")+IFERROR(Y96/H96,"0")</f>
        <v>393</v>
      </c>
      <c r="Z97" s="641">
        <f>IFERROR(IF(Z93="",0,Z93),"0")+IFERROR(IF(Z94="",0,Z94),"0")+IFERROR(IF(Z95="",0,Z95),"0")+IFERROR(IF(Z96="",0,Z96),"0")</f>
        <v>3.0322900000000002</v>
      </c>
      <c r="AA97" s="642"/>
      <c r="AB97" s="642"/>
      <c r="AC97" s="642"/>
    </row>
    <row r="98" spans="1:68" x14ac:dyDescent="0.2">
      <c r="A98" s="646"/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59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1260</v>
      </c>
      <c r="Y98" s="641">
        <f>IFERROR(SUM(Y93:Y96),"0")</f>
        <v>1266.3000000000002</v>
      </c>
      <c r="Z98" s="37"/>
      <c r="AA98" s="642"/>
      <c r="AB98" s="642"/>
      <c r="AC98" s="642"/>
    </row>
    <row r="99" spans="1:68" ht="16.5" hidden="1" customHeight="1" x14ac:dyDescent="0.25">
      <c r="A99" s="648" t="s">
        <v>195</v>
      </c>
      <c r="B99" s="646"/>
      <c r="C99" s="646"/>
      <c r="D99" s="646"/>
      <c r="E99" s="646"/>
      <c r="F99" s="646"/>
      <c r="G99" s="646"/>
      <c r="H99" s="646"/>
      <c r="I99" s="646"/>
      <c r="J99" s="646"/>
      <c r="K99" s="646"/>
      <c r="L99" s="646"/>
      <c r="M99" s="646"/>
      <c r="N99" s="646"/>
      <c r="O99" s="646"/>
      <c r="P99" s="646"/>
      <c r="Q99" s="646"/>
      <c r="R99" s="646"/>
      <c r="S99" s="646"/>
      <c r="T99" s="646"/>
      <c r="U99" s="646"/>
      <c r="V99" s="646"/>
      <c r="W99" s="646"/>
      <c r="X99" s="646"/>
      <c r="Y99" s="646"/>
      <c r="Z99" s="646"/>
      <c r="AA99" s="633"/>
      <c r="AB99" s="633"/>
      <c r="AC99" s="633"/>
    </row>
    <row r="100" spans="1:68" ht="14.25" hidden="1" customHeight="1" x14ac:dyDescent="0.25">
      <c r="A100" s="645" t="s">
        <v>111</v>
      </c>
      <c r="B100" s="646"/>
      <c r="C100" s="646"/>
      <c r="D100" s="646"/>
      <c r="E100" s="646"/>
      <c r="F100" s="646"/>
      <c r="G100" s="646"/>
      <c r="H100" s="646"/>
      <c r="I100" s="646"/>
      <c r="J100" s="646"/>
      <c r="K100" s="646"/>
      <c r="L100" s="646"/>
      <c r="M100" s="646"/>
      <c r="N100" s="646"/>
      <c r="O100" s="646"/>
      <c r="P100" s="646"/>
      <c r="Q100" s="646"/>
      <c r="R100" s="646"/>
      <c r="S100" s="646"/>
      <c r="T100" s="646"/>
      <c r="U100" s="646"/>
      <c r="V100" s="646"/>
      <c r="W100" s="646"/>
      <c r="X100" s="646"/>
      <c r="Y100" s="646"/>
      <c r="Z100" s="646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55">
        <v>4680115882133</v>
      </c>
      <c r="E101" s="656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7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9">
        <v>483</v>
      </c>
      <c r="Y101" s="640">
        <f t="shared" ref="Y101:Y108" si="5">IFERROR(IF(X101="",0,CEILING((X101/$H101),1)*$H101),"")</f>
        <v>486.00000000000006</v>
      </c>
      <c r="Z101" s="36">
        <f>IFERROR(IF(Y101=0,"",ROUNDUP(Y101/H101,0)*0.01898),"")</f>
        <v>0.85409999999999997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501.33611111111111</v>
      </c>
      <c r="BN101" s="64">
        <f t="shared" ref="BN101:BN108" si="7">IFERROR(Y101*I101/H101,"0")</f>
        <v>504.4500000000001</v>
      </c>
      <c r="BO101" s="64">
        <f t="shared" ref="BO101:BO108" si="8">IFERROR(1/J101*(X101/H101),"0")</f>
        <v>0.69878472222222221</v>
      </c>
      <c r="BP101" s="64">
        <f t="shared" ref="BP101:BP108" si="9">IFERROR(1/J101*(Y101/H101),"0")</f>
        <v>0.703125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55">
        <v>4680115882133</v>
      </c>
      <c r="E102" s="656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77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0"/>
      <c r="R102" s="650"/>
      <c r="S102" s="650"/>
      <c r="T102" s="651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4301012379</v>
      </c>
      <c r="D103" s="655">
        <v>4680115887718</v>
      </c>
      <c r="E103" s="656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93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4"/>
      <c r="V103" s="34"/>
      <c r="W103" s="35" t="s">
        <v>67</v>
      </c>
      <c r="X103" s="639">
        <v>0</v>
      </c>
      <c r="Y103" s="640">
        <f t="shared" si="5"/>
        <v>0</v>
      </c>
      <c r="Z103" s="36" t="str">
        <f>IFERROR(IF(Y103=0,"",ROUNDUP(Y103/H103,0)*0.00726),"")</f>
        <v/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55">
        <v>4680115880269</v>
      </c>
      <c r="E104" s="656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55">
        <v>4680115880429</v>
      </c>
      <c r="E105" s="656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73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4"/>
      <c r="V105" s="34"/>
      <c r="W105" s="35" t="s">
        <v>67</v>
      </c>
      <c r="X105" s="639">
        <v>258</v>
      </c>
      <c r="Y105" s="640">
        <f t="shared" si="5"/>
        <v>261</v>
      </c>
      <c r="Z105" s="36">
        <f>IFERROR(IF(Y105=0,"",ROUNDUP(Y105/H105,0)*0.00902),"")</f>
        <v>0.52316000000000007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268.89333333333337</v>
      </c>
      <c r="BN105" s="64">
        <f t="shared" si="7"/>
        <v>272.02000000000004</v>
      </c>
      <c r="BO105" s="64">
        <f t="shared" si="8"/>
        <v>0.43434343434343436</v>
      </c>
      <c r="BP105" s="64">
        <f t="shared" si="9"/>
        <v>0.43939393939393939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5">
        <v>4680115881457</v>
      </c>
      <c r="E106" s="656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76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5">
        <v>4680115881457</v>
      </c>
      <c r="E107" s="656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74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55">
        <v>4680115889477</v>
      </c>
      <c r="E108" s="656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0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8"/>
      <c r="B109" s="646"/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59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102.05555555555556</v>
      </c>
      <c r="Y109" s="641">
        <f>IFERROR(Y101/H101,"0")+IFERROR(Y102/H102,"0")+IFERROR(Y103/H103,"0")+IFERROR(Y104/H104,"0")+IFERROR(Y105/H105,"0")+IFERROR(Y106/H106,"0")+IFERROR(Y107/H107,"0")+IFERROR(Y108/H108,"0")</f>
        <v>103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1.3772600000000002</v>
      </c>
      <c r="AA109" s="642"/>
      <c r="AB109" s="642"/>
      <c r="AC109" s="642"/>
    </row>
    <row r="110" spans="1:68" x14ac:dyDescent="0.2">
      <c r="A110" s="646"/>
      <c r="B110" s="646"/>
      <c r="C110" s="646"/>
      <c r="D110" s="646"/>
      <c r="E110" s="646"/>
      <c r="F110" s="646"/>
      <c r="G110" s="646"/>
      <c r="H110" s="646"/>
      <c r="I110" s="646"/>
      <c r="J110" s="646"/>
      <c r="K110" s="646"/>
      <c r="L110" s="646"/>
      <c r="M110" s="646"/>
      <c r="N110" s="646"/>
      <c r="O110" s="659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741</v>
      </c>
      <c r="Y110" s="641">
        <f>IFERROR(SUM(Y101:Y108),"0")</f>
        <v>747</v>
      </c>
      <c r="Z110" s="37"/>
      <c r="AA110" s="642"/>
      <c r="AB110" s="642"/>
      <c r="AC110" s="642"/>
    </row>
    <row r="111" spans="1:68" ht="14.25" hidden="1" customHeight="1" x14ac:dyDescent="0.25">
      <c r="A111" s="645" t="s">
        <v>146</v>
      </c>
      <c r="B111" s="646"/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  <c r="R111" s="646"/>
      <c r="S111" s="646"/>
      <c r="T111" s="646"/>
      <c r="U111" s="646"/>
      <c r="V111" s="646"/>
      <c r="W111" s="646"/>
      <c r="X111" s="646"/>
      <c r="Y111" s="646"/>
      <c r="Z111" s="646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55">
        <v>4680115881488</v>
      </c>
      <c r="E112" s="656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7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9">
        <v>83</v>
      </c>
      <c r="Y112" s="640">
        <f>IFERROR(IF(X112="",0,CEILING((X112/$H112),1)*$H112),"")</f>
        <v>86.4</v>
      </c>
      <c r="Z112" s="36">
        <f>IFERROR(IF(Y112=0,"",ROUNDUP(Y112/H112,0)*0.01898),"")</f>
        <v>0.15184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86.150925925925932</v>
      </c>
      <c r="BN112" s="64">
        <f>IFERROR(Y112*I112/H112,"0")</f>
        <v>89.68</v>
      </c>
      <c r="BO112" s="64">
        <f>IFERROR(1/J112*(X112/H112),"0")</f>
        <v>0.12008101851851852</v>
      </c>
      <c r="BP112" s="64">
        <f>IFERROR(1/J112*(Y112/H112),"0")</f>
        <v>0.125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4301020186</v>
      </c>
      <c r="D113" s="655">
        <v>4680115887664</v>
      </c>
      <c r="E113" s="656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90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4"/>
      <c r="V113" s="34"/>
      <c r="W113" s="35" t="s">
        <v>67</v>
      </c>
      <c r="X113" s="639">
        <v>0</v>
      </c>
      <c r="Y113" s="640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55">
        <v>4680115887664</v>
      </c>
      <c r="E114" s="656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0"/>
      <c r="R114" s="650"/>
      <c r="S114" s="650"/>
      <c r="T114" s="651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55">
        <v>4680115882775</v>
      </c>
      <c r="E115" s="656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0"/>
      <c r="R115" s="650"/>
      <c r="S115" s="650"/>
      <c r="T115" s="651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4301020392</v>
      </c>
      <c r="D116" s="655">
        <v>4680115880658</v>
      </c>
      <c r="E116" s="656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9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9">
        <v>0</v>
      </c>
      <c r="Y116" s="64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8"/>
      <c r="B117" s="646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646"/>
      <c r="N117" s="646"/>
      <c r="O117" s="659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7.6851851851851851</v>
      </c>
      <c r="Y117" s="641">
        <f>IFERROR(Y112/H112,"0")+IFERROR(Y113/H113,"0")+IFERROR(Y114/H114,"0")+IFERROR(Y115/H115,"0")+IFERROR(Y116/H116,"0")</f>
        <v>8</v>
      </c>
      <c r="Z117" s="641">
        <f>IFERROR(IF(Z112="",0,Z112),"0")+IFERROR(IF(Z113="",0,Z113),"0")+IFERROR(IF(Z114="",0,Z114),"0")+IFERROR(IF(Z115="",0,Z115),"0")+IFERROR(IF(Z116="",0,Z116),"0")</f>
        <v>0.15184</v>
      </c>
      <c r="AA117" s="642"/>
      <c r="AB117" s="642"/>
      <c r="AC117" s="642"/>
    </row>
    <row r="118" spans="1:68" x14ac:dyDescent="0.2">
      <c r="A118" s="646"/>
      <c r="B118" s="646"/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46"/>
      <c r="O118" s="659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83</v>
      </c>
      <c r="Y118" s="641">
        <f>IFERROR(SUM(Y112:Y116),"0")</f>
        <v>86.4</v>
      </c>
      <c r="Z118" s="37"/>
      <c r="AA118" s="642"/>
      <c r="AB118" s="642"/>
      <c r="AC118" s="642"/>
    </row>
    <row r="119" spans="1:68" ht="14.25" hidden="1" customHeight="1" x14ac:dyDescent="0.25">
      <c r="A119" s="645" t="s">
        <v>74</v>
      </c>
      <c r="B119" s="646"/>
      <c r="C119" s="646"/>
      <c r="D119" s="646"/>
      <c r="E119" s="646"/>
      <c r="F119" s="646"/>
      <c r="G119" s="646"/>
      <c r="H119" s="646"/>
      <c r="I119" s="646"/>
      <c r="J119" s="646"/>
      <c r="K119" s="646"/>
      <c r="L119" s="646"/>
      <c r="M119" s="646"/>
      <c r="N119" s="646"/>
      <c r="O119" s="646"/>
      <c r="P119" s="646"/>
      <c r="Q119" s="646"/>
      <c r="R119" s="646"/>
      <c r="S119" s="646"/>
      <c r="T119" s="646"/>
      <c r="U119" s="646"/>
      <c r="V119" s="646"/>
      <c r="W119" s="646"/>
      <c r="X119" s="646"/>
      <c r="Y119" s="646"/>
      <c r="Z119" s="646"/>
      <c r="AA119" s="634"/>
      <c r="AB119" s="634"/>
      <c r="AC119" s="634"/>
    </row>
    <row r="120" spans="1:68" ht="27" customHeight="1" x14ac:dyDescent="0.25">
      <c r="A120" s="54" t="s">
        <v>226</v>
      </c>
      <c r="B120" s="54" t="s">
        <v>227</v>
      </c>
      <c r="C120" s="31">
        <v>4301052088</v>
      </c>
      <c r="D120" s="655">
        <v>4607091385168</v>
      </c>
      <c r="E120" s="656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9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9">
        <v>1401</v>
      </c>
      <c r="Y120" s="640">
        <f>IFERROR(IF(X120="",0,CEILING((X120/$H120),1)*$H120),"")</f>
        <v>1401.3</v>
      </c>
      <c r="Z120" s="36">
        <f>IFERROR(IF(Y120=0,"",ROUNDUP(Y120/H120,0)*0.01898),"")</f>
        <v>3.2835399999999999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1485.4059259259259</v>
      </c>
      <c r="BN120" s="64">
        <f>IFERROR(Y120*I120/H120,"0")</f>
        <v>1485.7239999999999</v>
      </c>
      <c r="BO120" s="64">
        <f>IFERROR(1/J120*(X120/H120),"0")</f>
        <v>2.7025462962962963</v>
      </c>
      <c r="BP120" s="64">
        <f>IFERROR(1/J120*(Y120/H120),"0")</f>
        <v>2.703125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55">
        <v>4607091383256</v>
      </c>
      <c r="E121" s="656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7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0"/>
      <c r="R121" s="650"/>
      <c r="S121" s="650"/>
      <c r="T121" s="651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55">
        <v>4607091385748</v>
      </c>
      <c r="E122" s="656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7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0"/>
      <c r="R122" s="650"/>
      <c r="S122" s="650"/>
      <c r="T122" s="651"/>
      <c r="U122" s="34"/>
      <c r="V122" s="34"/>
      <c r="W122" s="35" t="s">
        <v>67</v>
      </c>
      <c r="X122" s="639">
        <v>1250</v>
      </c>
      <c r="Y122" s="640">
        <f>IFERROR(IF(X122="",0,CEILING((X122/$H122),1)*$H122),"")</f>
        <v>1250.1000000000001</v>
      </c>
      <c r="Z122" s="36">
        <f>IFERROR(IF(Y122=0,"",ROUNDUP(Y122/H122,0)*0.00651),"")</f>
        <v>3.0141300000000002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1366.6666666666665</v>
      </c>
      <c r="BN122" s="64">
        <f>IFERROR(Y122*I122/H122,"0")</f>
        <v>1366.7760000000001</v>
      </c>
      <c r="BO122" s="64">
        <f>IFERROR(1/J122*(X122/H122),"0")</f>
        <v>2.5437525437525439</v>
      </c>
      <c r="BP122" s="64">
        <f>IFERROR(1/J122*(Y122/H122),"0")</f>
        <v>2.5439560439560442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55">
        <v>4680115884533</v>
      </c>
      <c r="E123" s="656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76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0"/>
      <c r="R123" s="650"/>
      <c r="S123" s="650"/>
      <c r="T123" s="651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8"/>
      <c r="B124" s="646"/>
      <c r="C124" s="646"/>
      <c r="D124" s="646"/>
      <c r="E124" s="646"/>
      <c r="F124" s="646"/>
      <c r="G124" s="646"/>
      <c r="H124" s="646"/>
      <c r="I124" s="646"/>
      <c r="J124" s="646"/>
      <c r="K124" s="646"/>
      <c r="L124" s="646"/>
      <c r="M124" s="646"/>
      <c r="N124" s="646"/>
      <c r="O124" s="659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635.92592592592587</v>
      </c>
      <c r="Y124" s="641">
        <f>IFERROR(Y120/H120,"0")+IFERROR(Y121/H121,"0")+IFERROR(Y122/H122,"0")+IFERROR(Y123/H123,"0")</f>
        <v>636</v>
      </c>
      <c r="Z124" s="641">
        <f>IFERROR(IF(Z120="",0,Z120),"0")+IFERROR(IF(Z121="",0,Z121),"0")+IFERROR(IF(Z122="",0,Z122),"0")+IFERROR(IF(Z123="",0,Z123),"0")</f>
        <v>6.2976700000000001</v>
      </c>
      <c r="AA124" s="642"/>
      <c r="AB124" s="642"/>
      <c r="AC124" s="642"/>
    </row>
    <row r="125" spans="1:68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59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2651</v>
      </c>
      <c r="Y125" s="641">
        <f>IFERROR(SUM(Y120:Y123),"0")</f>
        <v>2651.4</v>
      </c>
      <c r="Z125" s="37"/>
      <c r="AA125" s="642"/>
      <c r="AB125" s="642"/>
      <c r="AC125" s="642"/>
    </row>
    <row r="126" spans="1:68" ht="14.25" hidden="1" customHeight="1" x14ac:dyDescent="0.25">
      <c r="A126" s="645" t="s">
        <v>164</v>
      </c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46"/>
      <c r="Q126" s="646"/>
      <c r="R126" s="646"/>
      <c r="S126" s="646"/>
      <c r="T126" s="646"/>
      <c r="U126" s="646"/>
      <c r="V126" s="646"/>
      <c r="W126" s="646"/>
      <c r="X126" s="646"/>
      <c r="Y126" s="646"/>
      <c r="Z126" s="646"/>
      <c r="AA126" s="634"/>
      <c r="AB126" s="634"/>
      <c r="AC126" s="634"/>
    </row>
    <row r="127" spans="1:68" ht="16.5" customHeight="1" x14ac:dyDescent="0.25">
      <c r="A127" s="54" t="s">
        <v>236</v>
      </c>
      <c r="B127" s="54" t="s">
        <v>237</v>
      </c>
      <c r="C127" s="31">
        <v>4301060525</v>
      </c>
      <c r="D127" s="655">
        <v>4680115880238</v>
      </c>
      <c r="E127" s="656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2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9">
        <v>93</v>
      </c>
      <c r="Y127" s="640">
        <f>IFERROR(IF(X127="",0,CEILING((X127/$H127),1)*$H127),"")</f>
        <v>93.06</v>
      </c>
      <c r="Z127" s="36">
        <f>IFERROR(IF(Y127=0,"",ROUNDUP(Y127/H127,0)*0.00651),"")</f>
        <v>0.30597000000000002</v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105.11818181818181</v>
      </c>
      <c r="BN127" s="64">
        <f>IFERROR(Y127*I127/H127,"0")</f>
        <v>105.18600000000001</v>
      </c>
      <c r="BO127" s="64">
        <f>IFERROR(1/J127*(X127/H127),"0")</f>
        <v>0.25807525807525811</v>
      </c>
      <c r="BP127" s="64">
        <f>IFERROR(1/J127*(Y127/H127),"0")</f>
        <v>0.25824175824175827</v>
      </c>
    </row>
    <row r="128" spans="1:68" x14ac:dyDescent="0.2">
      <c r="A128" s="658"/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59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46.969696969696969</v>
      </c>
      <c r="Y128" s="641">
        <f>IFERROR(Y127/H127,"0")</f>
        <v>47</v>
      </c>
      <c r="Z128" s="641">
        <f>IFERROR(IF(Z127="",0,Z127),"0")</f>
        <v>0.30597000000000002</v>
      </c>
      <c r="AA128" s="642"/>
      <c r="AB128" s="642"/>
      <c r="AC128" s="642"/>
    </row>
    <row r="129" spans="1:68" x14ac:dyDescent="0.2">
      <c r="A129" s="646"/>
      <c r="B129" s="646"/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59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93</v>
      </c>
      <c r="Y129" s="641">
        <f>IFERROR(SUM(Y127:Y127),"0")</f>
        <v>93.06</v>
      </c>
      <c r="Z129" s="37"/>
      <c r="AA129" s="642"/>
      <c r="AB129" s="642"/>
      <c r="AC129" s="642"/>
    </row>
    <row r="130" spans="1:68" ht="16.5" hidden="1" customHeight="1" x14ac:dyDescent="0.25">
      <c r="A130" s="648" t="s">
        <v>239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33"/>
      <c r="AB130" s="633"/>
      <c r="AC130" s="633"/>
    </row>
    <row r="131" spans="1:68" ht="14.25" hidden="1" customHeight="1" x14ac:dyDescent="0.25">
      <c r="A131" s="645" t="s">
        <v>111</v>
      </c>
      <c r="B131" s="646"/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46"/>
      <c r="Q131" s="646"/>
      <c r="R131" s="646"/>
      <c r="S131" s="646"/>
      <c r="T131" s="646"/>
      <c r="U131" s="646"/>
      <c r="V131" s="646"/>
      <c r="W131" s="646"/>
      <c r="X131" s="646"/>
      <c r="Y131" s="646"/>
      <c r="Z131" s="646"/>
      <c r="AA131" s="634"/>
      <c r="AB131" s="634"/>
      <c r="AC131" s="634"/>
    </row>
    <row r="132" spans="1:68" ht="27" hidden="1" customHeight="1" x14ac:dyDescent="0.25">
      <c r="A132" s="54" t="s">
        <v>240</v>
      </c>
      <c r="B132" s="54" t="s">
        <v>241</v>
      </c>
      <c r="C132" s="31">
        <v>4301011562</v>
      </c>
      <c r="D132" s="655">
        <v>4680115882577</v>
      </c>
      <c r="E132" s="656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0"/>
      <c r="R132" s="650"/>
      <c r="S132" s="650"/>
      <c r="T132" s="651"/>
      <c r="U132" s="34"/>
      <c r="V132" s="34"/>
      <c r="W132" s="35" t="s">
        <v>67</v>
      </c>
      <c r="X132" s="639">
        <v>0</v>
      </c>
      <c r="Y132" s="64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55">
        <v>4680115882577</v>
      </c>
      <c r="E133" s="656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7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0"/>
      <c r="R133" s="650"/>
      <c r="S133" s="650"/>
      <c r="T133" s="651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8"/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59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0</v>
      </c>
      <c r="Y134" s="641">
        <f>IFERROR(Y132/H132,"0")+IFERROR(Y133/H133,"0")</f>
        <v>0</v>
      </c>
      <c r="Z134" s="641">
        <f>IFERROR(IF(Z132="",0,Z132),"0")+IFERROR(IF(Z133="",0,Z133),"0")</f>
        <v>0</v>
      </c>
      <c r="AA134" s="642"/>
      <c r="AB134" s="642"/>
      <c r="AC134" s="642"/>
    </row>
    <row r="135" spans="1:68" hidden="1" x14ac:dyDescent="0.2">
      <c r="A135" s="646"/>
      <c r="B135" s="646"/>
      <c r="C135" s="646"/>
      <c r="D135" s="646"/>
      <c r="E135" s="646"/>
      <c r="F135" s="646"/>
      <c r="G135" s="646"/>
      <c r="H135" s="646"/>
      <c r="I135" s="646"/>
      <c r="J135" s="646"/>
      <c r="K135" s="646"/>
      <c r="L135" s="646"/>
      <c r="M135" s="646"/>
      <c r="N135" s="646"/>
      <c r="O135" s="659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0</v>
      </c>
      <c r="Y135" s="641">
        <f>IFERROR(SUM(Y132:Y133),"0")</f>
        <v>0</v>
      </c>
      <c r="Z135" s="37"/>
      <c r="AA135" s="642"/>
      <c r="AB135" s="642"/>
      <c r="AC135" s="642"/>
    </row>
    <row r="136" spans="1:68" ht="14.25" hidden="1" customHeight="1" x14ac:dyDescent="0.25">
      <c r="A136" s="645" t="s">
        <v>62</v>
      </c>
      <c r="B136" s="646"/>
      <c r="C136" s="646"/>
      <c r="D136" s="646"/>
      <c r="E136" s="646"/>
      <c r="F136" s="646"/>
      <c r="G136" s="646"/>
      <c r="H136" s="646"/>
      <c r="I136" s="646"/>
      <c r="J136" s="646"/>
      <c r="K136" s="646"/>
      <c r="L136" s="646"/>
      <c r="M136" s="646"/>
      <c r="N136" s="646"/>
      <c r="O136" s="646"/>
      <c r="P136" s="646"/>
      <c r="Q136" s="646"/>
      <c r="R136" s="646"/>
      <c r="S136" s="646"/>
      <c r="T136" s="646"/>
      <c r="U136" s="646"/>
      <c r="V136" s="646"/>
      <c r="W136" s="646"/>
      <c r="X136" s="646"/>
      <c r="Y136" s="646"/>
      <c r="Z136" s="646"/>
      <c r="AA136" s="634"/>
      <c r="AB136" s="634"/>
      <c r="AC136" s="634"/>
    </row>
    <row r="137" spans="1:68" ht="27" hidden="1" customHeight="1" x14ac:dyDescent="0.25">
      <c r="A137" s="54" t="s">
        <v>245</v>
      </c>
      <c r="B137" s="54" t="s">
        <v>246</v>
      </c>
      <c r="C137" s="31">
        <v>4301031234</v>
      </c>
      <c r="D137" s="655">
        <v>4680115883444</v>
      </c>
      <c r="E137" s="656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4"/>
      <c r="V137" s="34"/>
      <c r="W137" s="35" t="s">
        <v>67</v>
      </c>
      <c r="X137" s="639">
        <v>0</v>
      </c>
      <c r="Y137" s="64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55">
        <v>4680115883444</v>
      </c>
      <c r="E138" s="656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10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0"/>
      <c r="R138" s="650"/>
      <c r="S138" s="650"/>
      <c r="T138" s="651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8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59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0</v>
      </c>
      <c r="Y139" s="641">
        <f>IFERROR(Y137/H137,"0")+IFERROR(Y138/H138,"0")</f>
        <v>0</v>
      </c>
      <c r="Z139" s="641">
        <f>IFERROR(IF(Z137="",0,Z137),"0")+IFERROR(IF(Z138="",0,Z138),"0")</f>
        <v>0</v>
      </c>
      <c r="AA139" s="642"/>
      <c r="AB139" s="642"/>
      <c r="AC139" s="642"/>
    </row>
    <row r="140" spans="1:68" hidden="1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59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0</v>
      </c>
      <c r="Y140" s="641">
        <f>IFERROR(SUM(Y137:Y138),"0")</f>
        <v>0</v>
      </c>
      <c r="Z140" s="37"/>
      <c r="AA140" s="642"/>
      <c r="AB140" s="642"/>
      <c r="AC140" s="642"/>
    </row>
    <row r="141" spans="1:68" ht="14.25" hidden="1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34"/>
      <c r="AB141" s="634"/>
      <c r="AC141" s="634"/>
    </row>
    <row r="142" spans="1:68" ht="16.5" hidden="1" customHeight="1" x14ac:dyDescent="0.25">
      <c r="A142" s="54" t="s">
        <v>249</v>
      </c>
      <c r="B142" s="54" t="s">
        <v>250</v>
      </c>
      <c r="C142" s="31">
        <v>4301051476</v>
      </c>
      <c r="D142" s="655">
        <v>4680115882584</v>
      </c>
      <c r="E142" s="656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9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0"/>
      <c r="R142" s="650"/>
      <c r="S142" s="650"/>
      <c r="T142" s="651"/>
      <c r="U142" s="34"/>
      <c r="V142" s="34"/>
      <c r="W142" s="35" t="s">
        <v>67</v>
      </c>
      <c r="X142" s="639">
        <v>0</v>
      </c>
      <c r="Y142" s="6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55">
        <v>4680115882584</v>
      </c>
      <c r="E143" s="656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0"/>
      <c r="R143" s="650"/>
      <c r="S143" s="650"/>
      <c r="T143" s="651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58"/>
      <c r="B144" s="646"/>
      <c r="C144" s="646"/>
      <c r="D144" s="646"/>
      <c r="E144" s="646"/>
      <c r="F144" s="646"/>
      <c r="G144" s="646"/>
      <c r="H144" s="646"/>
      <c r="I144" s="646"/>
      <c r="J144" s="646"/>
      <c r="K144" s="646"/>
      <c r="L144" s="646"/>
      <c r="M144" s="646"/>
      <c r="N144" s="646"/>
      <c r="O144" s="659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0</v>
      </c>
      <c r="Y144" s="641">
        <f>IFERROR(Y142/H142,"0")+IFERROR(Y143/H143,"0")</f>
        <v>0</v>
      </c>
      <c r="Z144" s="641">
        <f>IFERROR(IF(Z142="",0,Z142),"0")+IFERROR(IF(Z143="",0,Z143),"0")</f>
        <v>0</v>
      </c>
      <c r="AA144" s="642"/>
      <c r="AB144" s="642"/>
      <c r="AC144" s="642"/>
    </row>
    <row r="145" spans="1:68" hidden="1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59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0</v>
      </c>
      <c r="Y145" s="641">
        <f>IFERROR(SUM(Y142:Y143),"0")</f>
        <v>0</v>
      </c>
      <c r="Z145" s="37"/>
      <c r="AA145" s="642"/>
      <c r="AB145" s="642"/>
      <c r="AC145" s="642"/>
    </row>
    <row r="146" spans="1:68" ht="16.5" hidden="1" customHeight="1" x14ac:dyDescent="0.25">
      <c r="A146" s="648" t="s">
        <v>252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33"/>
      <c r="AB146" s="633"/>
      <c r="AC146" s="633"/>
    </row>
    <row r="147" spans="1:68" ht="14.25" hidden="1" customHeight="1" x14ac:dyDescent="0.25">
      <c r="A147" s="645" t="s">
        <v>74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55">
        <v>4680115888203</v>
      </c>
      <c r="E148" s="656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100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0"/>
      <c r="R148" s="650"/>
      <c r="S148" s="650"/>
      <c r="T148" s="651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55">
        <v>4680115888180</v>
      </c>
      <c r="E149" s="656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55">
        <v>4680115888180</v>
      </c>
      <c r="E150" s="656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0"/>
      <c r="R150" s="650"/>
      <c r="S150" s="650"/>
      <c r="T150" s="651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55">
        <v>4680115888197</v>
      </c>
      <c r="E151" s="656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0"/>
      <c r="R151" s="650"/>
      <c r="S151" s="650"/>
      <c r="T151" s="651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55">
        <v>4680115888210</v>
      </c>
      <c r="E152" s="656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55">
        <v>4680115888210</v>
      </c>
      <c r="E153" s="656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8"/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59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6"/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59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5" t="s">
        <v>267</v>
      </c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6"/>
      <c r="P156" s="646"/>
      <c r="Q156" s="646"/>
      <c r="R156" s="646"/>
      <c r="S156" s="646"/>
      <c r="T156" s="646"/>
      <c r="U156" s="646"/>
      <c r="V156" s="646"/>
      <c r="W156" s="646"/>
      <c r="X156" s="646"/>
      <c r="Y156" s="646"/>
      <c r="Z156" s="646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55">
        <v>4680115889132</v>
      </c>
      <c r="E157" s="656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10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0"/>
      <c r="R157" s="650"/>
      <c r="S157" s="650"/>
      <c r="T157" s="651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8"/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59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6"/>
      <c r="B159" s="646"/>
      <c r="C159" s="646"/>
      <c r="D159" s="646"/>
      <c r="E159" s="646"/>
      <c r="F159" s="646"/>
      <c r="G159" s="646"/>
      <c r="H159" s="646"/>
      <c r="I159" s="646"/>
      <c r="J159" s="646"/>
      <c r="K159" s="646"/>
      <c r="L159" s="646"/>
      <c r="M159" s="646"/>
      <c r="N159" s="646"/>
      <c r="O159" s="659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48" t="s">
        <v>109</v>
      </c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6"/>
      <c r="P160" s="646"/>
      <c r="Q160" s="646"/>
      <c r="R160" s="646"/>
      <c r="S160" s="646"/>
      <c r="T160" s="646"/>
      <c r="U160" s="646"/>
      <c r="V160" s="646"/>
      <c r="W160" s="646"/>
      <c r="X160" s="646"/>
      <c r="Y160" s="646"/>
      <c r="Z160" s="646"/>
      <c r="AA160" s="633"/>
      <c r="AB160" s="633"/>
      <c r="AC160" s="633"/>
    </row>
    <row r="161" spans="1:68" ht="14.25" hidden="1" customHeight="1" x14ac:dyDescent="0.25">
      <c r="A161" s="645" t="s">
        <v>111</v>
      </c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6"/>
      <c r="P161" s="646"/>
      <c r="Q161" s="646"/>
      <c r="R161" s="646"/>
      <c r="S161" s="646"/>
      <c r="T161" s="646"/>
      <c r="U161" s="646"/>
      <c r="V161" s="646"/>
      <c r="W161" s="646"/>
      <c r="X161" s="646"/>
      <c r="Y161" s="646"/>
      <c r="Z161" s="646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55">
        <v>4680115887374</v>
      </c>
      <c r="E162" s="656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7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0"/>
      <c r="R162" s="650"/>
      <c r="S162" s="650"/>
      <c r="T162" s="651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55">
        <v>4607091384604</v>
      </c>
      <c r="E163" s="656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9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0"/>
      <c r="R163" s="650"/>
      <c r="S163" s="650"/>
      <c r="T163" s="651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55">
        <v>4680115888876</v>
      </c>
      <c r="E164" s="656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7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8"/>
      <c r="B165" s="646"/>
      <c r="C165" s="646"/>
      <c r="D165" s="646"/>
      <c r="E165" s="646"/>
      <c r="F165" s="646"/>
      <c r="G165" s="646"/>
      <c r="H165" s="646"/>
      <c r="I165" s="646"/>
      <c r="J165" s="646"/>
      <c r="K165" s="646"/>
      <c r="L165" s="646"/>
      <c r="M165" s="646"/>
      <c r="N165" s="646"/>
      <c r="O165" s="659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6"/>
      <c r="B166" s="646"/>
      <c r="C166" s="646"/>
      <c r="D166" s="646"/>
      <c r="E166" s="646"/>
      <c r="F166" s="646"/>
      <c r="G166" s="646"/>
      <c r="H166" s="646"/>
      <c r="I166" s="646"/>
      <c r="J166" s="646"/>
      <c r="K166" s="646"/>
      <c r="L166" s="646"/>
      <c r="M166" s="646"/>
      <c r="N166" s="646"/>
      <c r="O166" s="659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5" t="s">
        <v>146</v>
      </c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6"/>
      <c r="P167" s="646"/>
      <c r="Q167" s="646"/>
      <c r="R167" s="646"/>
      <c r="S167" s="646"/>
      <c r="T167" s="646"/>
      <c r="U167" s="646"/>
      <c r="V167" s="646"/>
      <c r="W167" s="646"/>
      <c r="X167" s="646"/>
      <c r="Y167" s="646"/>
      <c r="Z167" s="646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55">
        <v>4680115887695</v>
      </c>
      <c r="E168" s="656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93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0"/>
      <c r="R168" s="650"/>
      <c r="S168" s="650"/>
      <c r="T168" s="651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55">
        <v>4680115889491</v>
      </c>
      <c r="E169" s="656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9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0"/>
      <c r="R169" s="650"/>
      <c r="S169" s="650"/>
      <c r="T169" s="651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8"/>
      <c r="B170" s="646"/>
      <c r="C170" s="646"/>
      <c r="D170" s="646"/>
      <c r="E170" s="646"/>
      <c r="F170" s="646"/>
      <c r="G170" s="646"/>
      <c r="H170" s="646"/>
      <c r="I170" s="646"/>
      <c r="J170" s="646"/>
      <c r="K170" s="646"/>
      <c r="L170" s="646"/>
      <c r="M170" s="646"/>
      <c r="N170" s="646"/>
      <c r="O170" s="659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6"/>
      <c r="B171" s="646"/>
      <c r="C171" s="646"/>
      <c r="D171" s="646"/>
      <c r="E171" s="646"/>
      <c r="F171" s="646"/>
      <c r="G171" s="646"/>
      <c r="H171" s="646"/>
      <c r="I171" s="646"/>
      <c r="J171" s="646"/>
      <c r="K171" s="646"/>
      <c r="L171" s="646"/>
      <c r="M171" s="646"/>
      <c r="N171" s="646"/>
      <c r="O171" s="659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5" t="s">
        <v>62</v>
      </c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6"/>
      <c r="P172" s="646"/>
      <c r="Q172" s="646"/>
      <c r="R172" s="646"/>
      <c r="S172" s="646"/>
      <c r="T172" s="646"/>
      <c r="U172" s="646"/>
      <c r="V172" s="646"/>
      <c r="W172" s="646"/>
      <c r="X172" s="646"/>
      <c r="Y172" s="646"/>
      <c r="Z172" s="646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55">
        <v>4680115887428</v>
      </c>
      <c r="E173" s="656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97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0"/>
      <c r="R173" s="650"/>
      <c r="S173" s="650"/>
      <c r="T173" s="651"/>
      <c r="U173" s="34"/>
      <c r="V173" s="34"/>
      <c r="W173" s="35" t="s">
        <v>67</v>
      </c>
      <c r="X173" s="639">
        <v>20</v>
      </c>
      <c r="Y173" s="640">
        <f t="shared" ref="Y173:Y184" si="16">IFERROR(IF(X173="",0,CEILING((X173/$H173),1)*$H173),"")</f>
        <v>21</v>
      </c>
      <c r="Z173" s="36">
        <f>IFERROR(IF(Y173=0,"",ROUNDUP(Y173/H173,0)*0.00902),"")</f>
        <v>5.4120000000000001E-2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21.085714285714285</v>
      </c>
      <c r="BN173" s="64">
        <f t="shared" ref="BN173:BN184" si="18">IFERROR(Y173*I173/H173,"0")</f>
        <v>22.139999999999997</v>
      </c>
      <c r="BO173" s="64">
        <f t="shared" ref="BO173:BO184" si="19">IFERROR(1/J173*(X173/H173),"0")</f>
        <v>4.3290043290043295E-2</v>
      </c>
      <c r="BP173" s="64">
        <f t="shared" ref="BP173:BP184" si="20">IFERROR(1/J173*(Y173/H173),"0")</f>
        <v>4.5454545454545456E-2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55">
        <v>4680115889170</v>
      </c>
      <c r="E174" s="656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68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0"/>
      <c r="R174" s="650"/>
      <c r="S174" s="650"/>
      <c r="T174" s="651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4301031498</v>
      </c>
      <c r="D175" s="655">
        <v>4680115887398</v>
      </c>
      <c r="E175" s="656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8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4"/>
      <c r="V175" s="34"/>
      <c r="W175" s="35" t="s">
        <v>67</v>
      </c>
      <c r="X175" s="639">
        <v>0</v>
      </c>
      <c r="Y175" s="640">
        <f t="shared" si="16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55">
        <v>4680115887398</v>
      </c>
      <c r="E176" s="656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7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4301031520</v>
      </c>
      <c r="D177" s="655">
        <v>4680115887336</v>
      </c>
      <c r="E177" s="656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9">
        <v>0</v>
      </c>
      <c r="Y177" s="640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16.5" hidden="1" customHeight="1" x14ac:dyDescent="0.25">
      <c r="A178" s="54" t="s">
        <v>303</v>
      </c>
      <c r="B178" s="54" t="s">
        <v>304</v>
      </c>
      <c r="C178" s="31">
        <v>4301032049</v>
      </c>
      <c r="D178" s="655">
        <v>4680115887787</v>
      </c>
      <c r="E178" s="656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73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9">
        <v>0</v>
      </c>
      <c r="Y178" s="640">
        <f t="shared" si="16"/>
        <v>0</v>
      </c>
      <c r="Z178" s="36" t="str">
        <f>IFERROR(IF(Y178=0,"",ROUNDUP(Y178/H178,0)*0.00417),"")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55">
        <v>4680115887787</v>
      </c>
      <c r="E179" s="656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4301031448</v>
      </c>
      <c r="D180" s="655">
        <v>4680115887503</v>
      </c>
      <c r="E180" s="656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9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9">
        <v>0</v>
      </c>
      <c r="Y180" s="640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4301031389</v>
      </c>
      <c r="D181" s="655">
        <v>4680115887763</v>
      </c>
      <c r="E181" s="656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9">
        <v>0</v>
      </c>
      <c r="Y181" s="640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55">
        <v>4680115887480</v>
      </c>
      <c r="E182" s="656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90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55">
        <v>4680115888067</v>
      </c>
      <c r="E183" s="656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73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4301031519</v>
      </c>
      <c r="D184" s="655">
        <v>4680115887435</v>
      </c>
      <c r="E184" s="656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9">
        <v>0</v>
      </c>
      <c r="Y184" s="640">
        <f t="shared" si="16"/>
        <v>0</v>
      </c>
      <c r="Z184" s="36" t="str">
        <f>IFERROR(IF(Y184=0,"",ROUNDUP(Y184/H184,0)*0.00502),"")</f>
        <v/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x14ac:dyDescent="0.2">
      <c r="A185" s="658"/>
      <c r="B185" s="646"/>
      <c r="C185" s="646"/>
      <c r="D185" s="646"/>
      <c r="E185" s="646"/>
      <c r="F185" s="646"/>
      <c r="G185" s="646"/>
      <c r="H185" s="646"/>
      <c r="I185" s="646"/>
      <c r="J185" s="646"/>
      <c r="K185" s="646"/>
      <c r="L185" s="646"/>
      <c r="M185" s="646"/>
      <c r="N185" s="646"/>
      <c r="O185" s="659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5.7142857142857144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6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5.4120000000000001E-2</v>
      </c>
      <c r="AA185" s="642"/>
      <c r="AB185" s="642"/>
      <c r="AC185" s="642"/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59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20</v>
      </c>
      <c r="Y186" s="641">
        <f>IFERROR(SUM(Y173:Y184),"0")</f>
        <v>21</v>
      </c>
      <c r="Z186" s="37"/>
      <c r="AA186" s="642"/>
      <c r="AB186" s="642"/>
      <c r="AC186" s="642"/>
    </row>
    <row r="187" spans="1:68" ht="14.25" hidden="1" customHeight="1" x14ac:dyDescent="0.25">
      <c r="A187" s="645" t="s">
        <v>74</v>
      </c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6"/>
      <c r="P187" s="646"/>
      <c r="Q187" s="646"/>
      <c r="R187" s="646"/>
      <c r="S187" s="646"/>
      <c r="T187" s="646"/>
      <c r="U187" s="646"/>
      <c r="V187" s="646"/>
      <c r="W187" s="646"/>
      <c r="X187" s="646"/>
      <c r="Y187" s="646"/>
      <c r="Z187" s="646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55">
        <v>4680115888395</v>
      </c>
      <c r="E188" s="656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7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0"/>
      <c r="R188" s="650"/>
      <c r="S188" s="650"/>
      <c r="T188" s="651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55">
        <v>4680115888371</v>
      </c>
      <c r="E189" s="656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0"/>
      <c r="R189" s="650"/>
      <c r="S189" s="650"/>
      <c r="T189" s="651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55">
        <v>4680115887459</v>
      </c>
      <c r="E190" s="656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7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8"/>
      <c r="B191" s="646"/>
      <c r="C191" s="646"/>
      <c r="D191" s="646"/>
      <c r="E191" s="646"/>
      <c r="F191" s="646"/>
      <c r="G191" s="646"/>
      <c r="H191" s="646"/>
      <c r="I191" s="646"/>
      <c r="J191" s="646"/>
      <c r="K191" s="646"/>
      <c r="L191" s="646"/>
      <c r="M191" s="646"/>
      <c r="N191" s="646"/>
      <c r="O191" s="659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59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5" t="s">
        <v>328</v>
      </c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6"/>
      <c r="P193" s="646"/>
      <c r="Q193" s="646"/>
      <c r="R193" s="646"/>
      <c r="S193" s="646"/>
      <c r="T193" s="646"/>
      <c r="U193" s="646"/>
      <c r="V193" s="646"/>
      <c r="W193" s="646"/>
      <c r="X193" s="646"/>
      <c r="Y193" s="646"/>
      <c r="Z193" s="646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55">
        <v>4680115889033</v>
      </c>
      <c r="E194" s="656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9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0"/>
      <c r="R194" s="650"/>
      <c r="S194" s="650"/>
      <c r="T194" s="651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8"/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59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6"/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59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757" t="s">
        <v>333</v>
      </c>
      <c r="B197" s="758"/>
      <c r="C197" s="758"/>
      <c r="D197" s="758"/>
      <c r="E197" s="758"/>
      <c r="F197" s="758"/>
      <c r="G197" s="758"/>
      <c r="H197" s="758"/>
      <c r="I197" s="758"/>
      <c r="J197" s="758"/>
      <c r="K197" s="758"/>
      <c r="L197" s="758"/>
      <c r="M197" s="758"/>
      <c r="N197" s="758"/>
      <c r="O197" s="758"/>
      <c r="P197" s="758"/>
      <c r="Q197" s="758"/>
      <c r="R197" s="758"/>
      <c r="S197" s="758"/>
      <c r="T197" s="758"/>
      <c r="U197" s="758"/>
      <c r="V197" s="758"/>
      <c r="W197" s="758"/>
      <c r="X197" s="758"/>
      <c r="Y197" s="758"/>
      <c r="Z197" s="758"/>
      <c r="AA197" s="48"/>
      <c r="AB197" s="48"/>
      <c r="AC197" s="48"/>
    </row>
    <row r="198" spans="1:68" ht="16.5" hidden="1" customHeight="1" x14ac:dyDescent="0.25">
      <c r="A198" s="648" t="s">
        <v>334</v>
      </c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6"/>
      <c r="P198" s="646"/>
      <c r="Q198" s="646"/>
      <c r="R198" s="646"/>
      <c r="S198" s="646"/>
      <c r="T198" s="646"/>
      <c r="U198" s="646"/>
      <c r="V198" s="646"/>
      <c r="W198" s="646"/>
      <c r="X198" s="646"/>
      <c r="Y198" s="646"/>
      <c r="Z198" s="646"/>
      <c r="AA198" s="633"/>
      <c r="AB198" s="633"/>
      <c r="AC198" s="633"/>
    </row>
    <row r="199" spans="1:68" ht="14.25" hidden="1" customHeight="1" x14ac:dyDescent="0.25">
      <c r="A199" s="645" t="s">
        <v>111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55">
        <v>4607091383423</v>
      </c>
      <c r="E200" s="656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10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0"/>
      <c r="R200" s="650"/>
      <c r="S200" s="650"/>
      <c r="T200" s="651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55">
        <v>4680115888760</v>
      </c>
      <c r="E201" s="656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70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0"/>
      <c r="R201" s="650"/>
      <c r="S201" s="650"/>
      <c r="T201" s="651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55">
        <v>4680115888807</v>
      </c>
      <c r="E202" s="656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67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0"/>
      <c r="R202" s="650"/>
      <c r="S202" s="650"/>
      <c r="T202" s="651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55">
        <v>4680115888852</v>
      </c>
      <c r="E203" s="656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0"/>
      <c r="R203" s="650"/>
      <c r="S203" s="650"/>
      <c r="T203" s="651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55">
        <v>4680115886957</v>
      </c>
      <c r="E204" s="656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0"/>
      <c r="R204" s="650"/>
      <c r="S204" s="650"/>
      <c r="T204" s="651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55">
        <v>4680115885660</v>
      </c>
      <c r="E205" s="656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9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0"/>
      <c r="R205" s="650"/>
      <c r="S205" s="650"/>
      <c r="T205" s="651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55">
        <v>4680115886773</v>
      </c>
      <c r="E206" s="656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8"/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59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6"/>
      <c r="B208" s="646"/>
      <c r="C208" s="646"/>
      <c r="D208" s="646"/>
      <c r="E208" s="646"/>
      <c r="F208" s="646"/>
      <c r="G208" s="646"/>
      <c r="H208" s="646"/>
      <c r="I208" s="646"/>
      <c r="J208" s="646"/>
      <c r="K208" s="646"/>
      <c r="L208" s="646"/>
      <c r="M208" s="646"/>
      <c r="N208" s="646"/>
      <c r="O208" s="659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48" t="s">
        <v>355</v>
      </c>
      <c r="B209" s="646"/>
      <c r="C209" s="646"/>
      <c r="D209" s="646"/>
      <c r="E209" s="646"/>
      <c r="F209" s="646"/>
      <c r="G209" s="646"/>
      <c r="H209" s="646"/>
      <c r="I209" s="646"/>
      <c r="J209" s="646"/>
      <c r="K209" s="646"/>
      <c r="L209" s="646"/>
      <c r="M209" s="646"/>
      <c r="N209" s="646"/>
      <c r="O209" s="646"/>
      <c r="P209" s="646"/>
      <c r="Q209" s="646"/>
      <c r="R209" s="646"/>
      <c r="S209" s="646"/>
      <c r="T209" s="646"/>
      <c r="U209" s="646"/>
      <c r="V209" s="646"/>
      <c r="W209" s="646"/>
      <c r="X209" s="646"/>
      <c r="Y209" s="646"/>
      <c r="Z209" s="646"/>
      <c r="AA209" s="633"/>
      <c r="AB209" s="633"/>
      <c r="AC209" s="633"/>
    </row>
    <row r="210" spans="1:68" ht="14.25" hidden="1" customHeight="1" x14ac:dyDescent="0.25">
      <c r="A210" s="645" t="s">
        <v>146</v>
      </c>
      <c r="B210" s="646"/>
      <c r="C210" s="646"/>
      <c r="D210" s="646"/>
      <c r="E210" s="646"/>
      <c r="F210" s="646"/>
      <c r="G210" s="646"/>
      <c r="H210" s="646"/>
      <c r="I210" s="646"/>
      <c r="J210" s="646"/>
      <c r="K210" s="646"/>
      <c r="L210" s="646"/>
      <c r="M210" s="646"/>
      <c r="N210" s="646"/>
      <c r="O210" s="646"/>
      <c r="P210" s="646"/>
      <c r="Q210" s="646"/>
      <c r="R210" s="646"/>
      <c r="S210" s="646"/>
      <c r="T210" s="646"/>
      <c r="U210" s="646"/>
      <c r="V210" s="646"/>
      <c r="W210" s="646"/>
      <c r="X210" s="646"/>
      <c r="Y210" s="646"/>
      <c r="Z210" s="646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55">
        <v>4680115886223</v>
      </c>
      <c r="E211" s="656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7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8"/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59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59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5" t="s">
        <v>62</v>
      </c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6"/>
      <c r="P214" s="646"/>
      <c r="Q214" s="646"/>
      <c r="R214" s="646"/>
      <c r="S214" s="646"/>
      <c r="T214" s="646"/>
      <c r="U214" s="646"/>
      <c r="V214" s="646"/>
      <c r="W214" s="646"/>
      <c r="X214" s="646"/>
      <c r="Y214" s="646"/>
      <c r="Z214" s="646"/>
      <c r="AA214" s="634"/>
      <c r="AB214" s="634"/>
      <c r="AC214" s="634"/>
    </row>
    <row r="215" spans="1:68" ht="27" hidden="1" customHeight="1" x14ac:dyDescent="0.25">
      <c r="A215" s="54" t="s">
        <v>359</v>
      </c>
      <c r="B215" s="54" t="s">
        <v>360</v>
      </c>
      <c r="C215" s="31">
        <v>4301031191</v>
      </c>
      <c r="D215" s="655">
        <v>4680115880993</v>
      </c>
      <c r="E215" s="656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9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0"/>
      <c r="R215" s="650"/>
      <c r="S215" s="650"/>
      <c r="T215" s="651"/>
      <c r="U215" s="34"/>
      <c r="V215" s="34"/>
      <c r="W215" s="35" t="s">
        <v>67</v>
      </c>
      <c r="X215" s="639">
        <v>0</v>
      </c>
      <c r="Y215" s="640">
        <f t="shared" ref="Y215:Y229" si="27">IFERROR(IF(X215="",0,CEILING((X215/$H215),1)*$H215),"")</f>
        <v>0</v>
      </c>
      <c r="Z215" s="36" t="str">
        <f>IFERROR(IF(Y215=0,"",ROUNDUP(Y215/H215,0)*0.00902),"")</f>
        <v/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0</v>
      </c>
      <c r="BN215" s="64">
        <f t="shared" ref="BN215:BN229" si="29">IFERROR(Y215*I215/H215,"0")</f>
        <v>0</v>
      </c>
      <c r="BO215" s="64">
        <f t="shared" ref="BO215:BO229" si="30">IFERROR(1/J215*(X215/H215),"0")</f>
        <v>0</v>
      </c>
      <c r="BP215" s="64">
        <f t="shared" ref="BP215:BP229" si="31">IFERROR(1/J215*(Y215/H215),"0")</f>
        <v>0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55">
        <v>4680115881761</v>
      </c>
      <c r="E216" s="656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0"/>
      <c r="R216" s="650"/>
      <c r="S216" s="650"/>
      <c r="T216" s="651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4301031201</v>
      </c>
      <c r="D217" s="655">
        <v>4680115881563</v>
      </c>
      <c r="E217" s="656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0"/>
      <c r="R217" s="650"/>
      <c r="S217" s="650"/>
      <c r="T217" s="651"/>
      <c r="U217" s="34"/>
      <c r="V217" s="34"/>
      <c r="W217" s="35" t="s">
        <v>67</v>
      </c>
      <c r="X217" s="639">
        <v>0</v>
      </c>
      <c r="Y217" s="640">
        <f t="shared" si="27"/>
        <v>0</v>
      </c>
      <c r="Z217" s="36" t="str">
        <f>IFERROR(IF(Y217=0,"",ROUNDUP(Y217/H217,0)*0.00902),"")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0</v>
      </c>
      <c r="BN217" s="64">
        <f t="shared" si="29"/>
        <v>0</v>
      </c>
      <c r="BO217" s="64">
        <f t="shared" si="30"/>
        <v>0</v>
      </c>
      <c r="BP217" s="64">
        <f t="shared" si="31"/>
        <v>0</v>
      </c>
    </row>
    <row r="218" spans="1:68" ht="37.5" hidden="1" customHeight="1" x14ac:dyDescent="0.25">
      <c r="A218" s="54" t="s">
        <v>368</v>
      </c>
      <c r="B218" s="54" t="s">
        <v>369</v>
      </c>
      <c r="C218" s="31">
        <v>4301031447</v>
      </c>
      <c r="D218" s="655">
        <v>4680115887565</v>
      </c>
      <c r="E218" s="656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6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0"/>
      <c r="R218" s="650"/>
      <c r="S218" s="650"/>
      <c r="T218" s="651"/>
      <c r="U218" s="34"/>
      <c r="V218" s="34"/>
      <c r="W218" s="35" t="s">
        <v>67</v>
      </c>
      <c r="X218" s="639">
        <v>0</v>
      </c>
      <c r="Y218" s="640">
        <f t="shared" si="27"/>
        <v>0</v>
      </c>
      <c r="Z218" s="36" t="str">
        <f>IFERROR(IF(Y218=0,"",ROUNDUP(Y218/H218,0)*0.00556),"")</f>
        <v/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0</v>
      </c>
      <c r="BN218" s="64">
        <f t="shared" si="29"/>
        <v>0</v>
      </c>
      <c r="BO218" s="64">
        <f t="shared" si="30"/>
        <v>0</v>
      </c>
      <c r="BP218" s="64">
        <f t="shared" si="31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4301031199</v>
      </c>
      <c r="D219" s="655">
        <v>4680115880986</v>
      </c>
      <c r="E219" s="656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0"/>
      <c r="R219" s="650"/>
      <c r="S219" s="650"/>
      <c r="T219" s="651"/>
      <c r="U219" s="34"/>
      <c r="V219" s="34"/>
      <c r="W219" s="35" t="s">
        <v>67</v>
      </c>
      <c r="X219" s="639">
        <v>0</v>
      </c>
      <c r="Y219" s="640">
        <f t="shared" si="27"/>
        <v>0</v>
      </c>
      <c r="Z219" s="36" t="str">
        <f t="shared" ref="Z219:Z224" si="32">IFERROR(IF(Y219=0,"",ROUNDUP(Y219/H219,0)*0.00502),"")</f>
        <v/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0</v>
      </c>
      <c r="BN219" s="64">
        <f t="shared" si="29"/>
        <v>0</v>
      </c>
      <c r="BO219" s="64">
        <f t="shared" si="30"/>
        <v>0</v>
      </c>
      <c r="BP219" s="64">
        <f t="shared" si="31"/>
        <v>0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55">
        <v>4680115887213</v>
      </c>
      <c r="E220" s="656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10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0"/>
      <c r="R220" s="650"/>
      <c r="S220" s="650"/>
      <c r="T220" s="651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55">
        <v>4680115881785</v>
      </c>
      <c r="E221" s="656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55">
        <v>4680115888432</v>
      </c>
      <c r="E222" s="656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79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55">
        <v>4680115888104</v>
      </c>
      <c r="E223" s="656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hidden="1" customHeight="1" x14ac:dyDescent="0.25">
      <c r="A224" s="54" t="s">
        <v>384</v>
      </c>
      <c r="B224" s="54" t="s">
        <v>385</v>
      </c>
      <c r="C224" s="31">
        <v>4301031503</v>
      </c>
      <c r="D224" s="655">
        <v>4680115886537</v>
      </c>
      <c r="E224" s="656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10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0"/>
      <c r="R224" s="650"/>
      <c r="S224" s="650"/>
      <c r="T224" s="651"/>
      <c r="U224" s="34"/>
      <c r="V224" s="34"/>
      <c r="W224" s="35" t="s">
        <v>67</v>
      </c>
      <c r="X224" s="639">
        <v>0</v>
      </c>
      <c r="Y224" s="640">
        <f t="shared" si="27"/>
        <v>0</v>
      </c>
      <c r="Z224" s="36" t="str">
        <f t="shared" si="32"/>
        <v/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387</v>
      </c>
      <c r="B225" s="54" t="s">
        <v>388</v>
      </c>
      <c r="C225" s="31">
        <v>4301031279</v>
      </c>
      <c r="D225" s="655">
        <v>4680115887596</v>
      </c>
      <c r="E225" s="656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101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9">
        <v>0</v>
      </c>
      <c r="Y225" s="640">
        <f t="shared" si="27"/>
        <v>0</v>
      </c>
      <c r="Z225" s="36" t="str">
        <f>IFERROR(IF(Y225=0,"",ROUNDUP(Y225/H225,0)*0.00417),"")</f>
        <v/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37.5" hidden="1" customHeight="1" x14ac:dyDescent="0.25">
      <c r="A226" s="54" t="s">
        <v>390</v>
      </c>
      <c r="B226" s="54" t="s">
        <v>391</v>
      </c>
      <c r="C226" s="31">
        <v>4301031202</v>
      </c>
      <c r="D226" s="655">
        <v>4680115881679</v>
      </c>
      <c r="E226" s="656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9">
        <v>0</v>
      </c>
      <c r="Y226" s="640">
        <f t="shared" si="27"/>
        <v>0</v>
      </c>
      <c r="Z226" s="36" t="str">
        <f>IFERROR(IF(Y226=0,"",ROUNDUP(Y226/H226,0)*0.00502),"")</f>
        <v/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55">
        <v>4680115880191</v>
      </c>
      <c r="E227" s="656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0"/>
      <c r="R227" s="650"/>
      <c r="S227" s="650"/>
      <c r="T227" s="651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55">
        <v>4680115880191</v>
      </c>
      <c r="E228" s="656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72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55">
        <v>4680115883963</v>
      </c>
      <c r="E229" s="656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idden="1" x14ac:dyDescent="0.2">
      <c r="A230" s="658"/>
      <c r="B230" s="646"/>
      <c r="C230" s="646"/>
      <c r="D230" s="646"/>
      <c r="E230" s="646"/>
      <c r="F230" s="646"/>
      <c r="G230" s="646"/>
      <c r="H230" s="646"/>
      <c r="I230" s="646"/>
      <c r="J230" s="646"/>
      <c r="K230" s="646"/>
      <c r="L230" s="646"/>
      <c r="M230" s="646"/>
      <c r="N230" s="646"/>
      <c r="O230" s="659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2"/>
      <c r="AB230" s="642"/>
      <c r="AC230" s="642"/>
    </row>
    <row r="231" spans="1:68" hidden="1" x14ac:dyDescent="0.2">
      <c r="A231" s="646"/>
      <c r="B231" s="646"/>
      <c r="C231" s="646"/>
      <c r="D231" s="646"/>
      <c r="E231" s="646"/>
      <c r="F231" s="646"/>
      <c r="G231" s="646"/>
      <c r="H231" s="646"/>
      <c r="I231" s="646"/>
      <c r="J231" s="646"/>
      <c r="K231" s="646"/>
      <c r="L231" s="646"/>
      <c r="M231" s="646"/>
      <c r="N231" s="646"/>
      <c r="O231" s="659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0</v>
      </c>
      <c r="Y231" s="641">
        <f>IFERROR(SUM(Y215:Y229),"0")</f>
        <v>0</v>
      </c>
      <c r="Z231" s="37"/>
      <c r="AA231" s="642"/>
      <c r="AB231" s="642"/>
      <c r="AC231" s="642"/>
    </row>
    <row r="232" spans="1:68" ht="14.25" hidden="1" customHeight="1" x14ac:dyDescent="0.25">
      <c r="A232" s="645" t="s">
        <v>74</v>
      </c>
      <c r="B232" s="646"/>
      <c r="C232" s="646"/>
      <c r="D232" s="646"/>
      <c r="E232" s="646"/>
      <c r="F232" s="646"/>
      <c r="G232" s="646"/>
      <c r="H232" s="646"/>
      <c r="I232" s="646"/>
      <c r="J232" s="646"/>
      <c r="K232" s="646"/>
      <c r="L232" s="646"/>
      <c r="M232" s="646"/>
      <c r="N232" s="646"/>
      <c r="O232" s="646"/>
      <c r="P232" s="646"/>
      <c r="Q232" s="646"/>
      <c r="R232" s="646"/>
      <c r="S232" s="646"/>
      <c r="T232" s="646"/>
      <c r="U232" s="646"/>
      <c r="V232" s="646"/>
      <c r="W232" s="646"/>
      <c r="X232" s="646"/>
      <c r="Y232" s="646"/>
      <c r="Z232" s="646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55">
        <v>4680115888692</v>
      </c>
      <c r="E233" s="656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0"/>
      <c r="R233" s="650"/>
      <c r="S233" s="650"/>
      <c r="T233" s="651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55">
        <v>4680115888692</v>
      </c>
      <c r="E234" s="656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97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0"/>
      <c r="R234" s="650"/>
      <c r="S234" s="650"/>
      <c r="T234" s="651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55">
        <v>4680115888722</v>
      </c>
      <c r="E235" s="656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4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0"/>
      <c r="R235" s="650"/>
      <c r="S235" s="650"/>
      <c r="T235" s="651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55">
        <v>4680115888722</v>
      </c>
      <c r="E236" s="656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89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55">
        <v>4680115888951</v>
      </c>
      <c r="E237" s="656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55">
        <v>4680115888951</v>
      </c>
      <c r="E238" s="656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2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55">
        <v>4680115888975</v>
      </c>
      <c r="E239" s="656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55">
        <v>4680115888982</v>
      </c>
      <c r="E240" s="656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98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55">
        <v>4680115888982</v>
      </c>
      <c r="E241" s="656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77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0"/>
      <c r="R241" s="650"/>
      <c r="S241" s="650"/>
      <c r="T241" s="651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8"/>
      <c r="B242" s="646"/>
      <c r="C242" s="646"/>
      <c r="D242" s="646"/>
      <c r="E242" s="646"/>
      <c r="F242" s="646"/>
      <c r="G242" s="646"/>
      <c r="H242" s="646"/>
      <c r="I242" s="646"/>
      <c r="J242" s="646"/>
      <c r="K242" s="646"/>
      <c r="L242" s="646"/>
      <c r="M242" s="646"/>
      <c r="N242" s="646"/>
      <c r="O242" s="659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59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5" t="s">
        <v>267</v>
      </c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6"/>
      <c r="P244" s="646"/>
      <c r="Q244" s="646"/>
      <c r="R244" s="646"/>
      <c r="S244" s="646"/>
      <c r="T244" s="646"/>
      <c r="U244" s="646"/>
      <c r="V244" s="646"/>
      <c r="W244" s="646"/>
      <c r="X244" s="646"/>
      <c r="Y244" s="646"/>
      <c r="Z244" s="646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55">
        <v>4680115886780</v>
      </c>
      <c r="E245" s="656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421</v>
      </c>
      <c r="B246" s="54" t="s">
        <v>422</v>
      </c>
      <c r="C246" s="31">
        <v>4301032051</v>
      </c>
      <c r="D246" s="655">
        <v>4680115886742</v>
      </c>
      <c r="E246" s="656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9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9">
        <v>4</v>
      </c>
      <c r="Y246" s="64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ht="27" hidden="1" customHeight="1" x14ac:dyDescent="0.25">
      <c r="A247" s="54" t="s">
        <v>424</v>
      </c>
      <c r="B247" s="54" t="s">
        <v>425</v>
      </c>
      <c r="C247" s="31">
        <v>4301032052</v>
      </c>
      <c r="D247" s="655">
        <v>4680115886766</v>
      </c>
      <c r="E247" s="656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7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0"/>
      <c r="R247" s="650"/>
      <c r="S247" s="650"/>
      <c r="T247" s="651"/>
      <c r="U247" s="34"/>
      <c r="V247" s="34"/>
      <c r="W247" s="35" t="s">
        <v>67</v>
      </c>
      <c r="X247" s="639">
        <v>0</v>
      </c>
      <c r="Y247" s="6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58"/>
      <c r="B248" s="646"/>
      <c r="C248" s="646"/>
      <c r="D248" s="646"/>
      <c r="E248" s="646"/>
      <c r="F248" s="646"/>
      <c r="G248" s="646"/>
      <c r="H248" s="646"/>
      <c r="I248" s="646"/>
      <c r="J248" s="646"/>
      <c r="K248" s="646"/>
      <c r="L248" s="646"/>
      <c r="M248" s="646"/>
      <c r="N248" s="646"/>
      <c r="O248" s="659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3.1746031746031744</v>
      </c>
      <c r="Y248" s="641">
        <f>IFERROR(Y245/H245,"0")+IFERROR(Y246/H246,"0")+IFERROR(Y247/H247,"0")</f>
        <v>4</v>
      </c>
      <c r="Z248" s="641">
        <f>IFERROR(IF(Z245="",0,Z245),"0")+IFERROR(IF(Z246="",0,Z246),"0")+IFERROR(IF(Z247="",0,Z247),"0")</f>
        <v>2.3599999999999999E-2</v>
      </c>
      <c r="AA248" s="642"/>
      <c r="AB248" s="642"/>
      <c r="AC248" s="642"/>
    </row>
    <row r="249" spans="1:68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59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4</v>
      </c>
      <c r="Y249" s="641">
        <f>IFERROR(SUM(Y245:Y247),"0")</f>
        <v>5.04</v>
      </c>
      <c r="Z249" s="37"/>
      <c r="AA249" s="642"/>
      <c r="AB249" s="642"/>
      <c r="AC249" s="642"/>
    </row>
    <row r="250" spans="1:68" ht="14.25" hidden="1" customHeight="1" x14ac:dyDescent="0.25">
      <c r="A250" s="645" t="s">
        <v>426</v>
      </c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6"/>
      <c r="P250" s="646"/>
      <c r="Q250" s="646"/>
      <c r="R250" s="646"/>
      <c r="S250" s="646"/>
      <c r="T250" s="646"/>
      <c r="U250" s="646"/>
      <c r="V250" s="646"/>
      <c r="W250" s="646"/>
      <c r="X250" s="646"/>
      <c r="Y250" s="646"/>
      <c r="Z250" s="646"/>
      <c r="AA250" s="634"/>
      <c r="AB250" s="634"/>
      <c r="AC250" s="634"/>
    </row>
    <row r="251" spans="1:68" ht="27" hidden="1" customHeight="1" x14ac:dyDescent="0.25">
      <c r="A251" s="54" t="s">
        <v>427</v>
      </c>
      <c r="B251" s="54" t="s">
        <v>428</v>
      </c>
      <c r="C251" s="31">
        <v>4301170013</v>
      </c>
      <c r="D251" s="655">
        <v>4680115886797</v>
      </c>
      <c r="E251" s="656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0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0"/>
      <c r="R251" s="650"/>
      <c r="S251" s="650"/>
      <c r="T251" s="651"/>
      <c r="U251" s="34"/>
      <c r="V251" s="34"/>
      <c r="W251" s="35" t="s">
        <v>67</v>
      </c>
      <c r="X251" s="639">
        <v>0</v>
      </c>
      <c r="Y251" s="640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8"/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59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0</v>
      </c>
      <c r="Y252" s="641">
        <f>IFERROR(Y251/H251,"0")</f>
        <v>0</v>
      </c>
      <c r="Z252" s="641">
        <f>IFERROR(IF(Z251="",0,Z251),"0")</f>
        <v>0</v>
      </c>
      <c r="AA252" s="642"/>
      <c r="AB252" s="642"/>
      <c r="AC252" s="642"/>
    </row>
    <row r="253" spans="1:68" hidden="1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59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0</v>
      </c>
      <c r="Y253" s="641">
        <f>IFERROR(SUM(Y251:Y251),"0")</f>
        <v>0</v>
      </c>
      <c r="Z253" s="37"/>
      <c r="AA253" s="642"/>
      <c r="AB253" s="642"/>
      <c r="AC253" s="642"/>
    </row>
    <row r="254" spans="1:68" ht="16.5" hidden="1" customHeight="1" x14ac:dyDescent="0.25">
      <c r="A254" s="648" t="s">
        <v>429</v>
      </c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6"/>
      <c r="P254" s="646"/>
      <c r="Q254" s="646"/>
      <c r="R254" s="646"/>
      <c r="S254" s="646"/>
      <c r="T254" s="646"/>
      <c r="U254" s="646"/>
      <c r="V254" s="646"/>
      <c r="W254" s="646"/>
      <c r="X254" s="646"/>
      <c r="Y254" s="646"/>
      <c r="Z254" s="646"/>
      <c r="AA254" s="633"/>
      <c r="AB254" s="633"/>
      <c r="AC254" s="633"/>
    </row>
    <row r="255" spans="1:68" ht="14.25" hidden="1" customHeight="1" x14ac:dyDescent="0.25">
      <c r="A255" s="645" t="s">
        <v>111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55">
        <v>4680115881402</v>
      </c>
      <c r="E256" s="656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7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0"/>
      <c r="R256" s="650"/>
      <c r="S256" s="650"/>
      <c r="T256" s="651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55">
        <v>4680115881396</v>
      </c>
      <c r="E257" s="656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80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0"/>
      <c r="R257" s="650"/>
      <c r="S257" s="650"/>
      <c r="T257" s="651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8"/>
      <c r="B258" s="646"/>
      <c r="C258" s="646"/>
      <c r="D258" s="646"/>
      <c r="E258" s="646"/>
      <c r="F258" s="646"/>
      <c r="G258" s="646"/>
      <c r="H258" s="646"/>
      <c r="I258" s="646"/>
      <c r="J258" s="646"/>
      <c r="K258" s="646"/>
      <c r="L258" s="646"/>
      <c r="M258" s="646"/>
      <c r="N258" s="646"/>
      <c r="O258" s="659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59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5" t="s">
        <v>146</v>
      </c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6"/>
      <c r="P260" s="646"/>
      <c r="Q260" s="646"/>
      <c r="R260" s="646"/>
      <c r="S260" s="646"/>
      <c r="T260" s="646"/>
      <c r="U260" s="646"/>
      <c r="V260" s="646"/>
      <c r="W260" s="646"/>
      <c r="X260" s="646"/>
      <c r="Y260" s="646"/>
      <c r="Z260" s="646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55">
        <v>4680115882935</v>
      </c>
      <c r="E261" s="656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0"/>
      <c r="R261" s="650"/>
      <c r="S261" s="650"/>
      <c r="T261" s="651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55">
        <v>4680115880764</v>
      </c>
      <c r="E262" s="656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0"/>
      <c r="R262" s="650"/>
      <c r="S262" s="650"/>
      <c r="T262" s="651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8"/>
      <c r="B263" s="646"/>
      <c r="C263" s="646"/>
      <c r="D263" s="646"/>
      <c r="E263" s="646"/>
      <c r="F263" s="646"/>
      <c r="G263" s="646"/>
      <c r="H263" s="646"/>
      <c r="I263" s="646"/>
      <c r="J263" s="646"/>
      <c r="K263" s="646"/>
      <c r="L263" s="646"/>
      <c r="M263" s="646"/>
      <c r="N263" s="646"/>
      <c r="O263" s="659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59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5" t="s">
        <v>62</v>
      </c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6"/>
      <c r="P265" s="646"/>
      <c r="Q265" s="646"/>
      <c r="R265" s="646"/>
      <c r="S265" s="646"/>
      <c r="T265" s="646"/>
      <c r="U265" s="646"/>
      <c r="V265" s="646"/>
      <c r="W265" s="646"/>
      <c r="X265" s="646"/>
      <c r="Y265" s="646"/>
      <c r="Z265" s="646"/>
      <c r="AA265" s="634"/>
      <c r="AB265" s="634"/>
      <c r="AC265" s="634"/>
    </row>
    <row r="266" spans="1:68" ht="27" hidden="1" customHeight="1" x14ac:dyDescent="0.25">
      <c r="A266" s="54" t="s">
        <v>440</v>
      </c>
      <c r="B266" s="54" t="s">
        <v>441</v>
      </c>
      <c r="C266" s="31">
        <v>4301031224</v>
      </c>
      <c r="D266" s="655">
        <v>4680115882683</v>
      </c>
      <c r="E266" s="656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9">
        <v>0</v>
      </c>
      <c r="Y266" s="640">
        <f t="shared" ref="Y266:Y273" si="38"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0</v>
      </c>
      <c r="BN266" s="64">
        <f t="shared" ref="BN266:BN273" si="40">IFERROR(Y266*I266/H266,"0")</f>
        <v>0</v>
      </c>
      <c r="BO266" s="64">
        <f t="shared" ref="BO266:BO273" si="41">IFERROR(1/J266*(X266/H266),"0")</f>
        <v>0</v>
      </c>
      <c r="BP266" s="64">
        <f t="shared" ref="BP266:BP273" si="42">IFERROR(1/J266*(Y266/H266),"0")</f>
        <v>0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55">
        <v>4680115882690</v>
      </c>
      <c r="E267" s="656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9">
        <v>30</v>
      </c>
      <c r="Y267" s="640">
        <f t="shared" si="38"/>
        <v>32.400000000000006</v>
      </c>
      <c r="Z267" s="36">
        <f>IFERROR(IF(Y267=0,"",ROUNDUP(Y267/H267,0)*0.00902),"")</f>
        <v>5.4120000000000001E-2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31.05555555555555</v>
      </c>
      <c r="BN267" s="64">
        <f t="shared" si="40"/>
        <v>33.54</v>
      </c>
      <c r="BO267" s="64">
        <f t="shared" si="41"/>
        <v>4.208754208754209E-2</v>
      </c>
      <c r="BP267" s="64">
        <f t="shared" si="42"/>
        <v>4.5454545454545463E-2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55">
        <v>4680115882669</v>
      </c>
      <c r="E268" s="656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9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9">
        <v>414</v>
      </c>
      <c r="Y268" s="640">
        <f t="shared" si="38"/>
        <v>415.8</v>
      </c>
      <c r="Z268" s="36">
        <f>IFERROR(IF(Y268=0,"",ROUNDUP(Y268/H268,0)*0.00902),"")</f>
        <v>0.69454000000000005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428.56666666666661</v>
      </c>
      <c r="BN268" s="64">
        <f t="shared" si="40"/>
        <v>430.43</v>
      </c>
      <c r="BO268" s="64">
        <f t="shared" si="41"/>
        <v>0.58080808080808077</v>
      </c>
      <c r="BP268" s="64">
        <f t="shared" si="42"/>
        <v>0.58333333333333337</v>
      </c>
    </row>
    <row r="269" spans="1:68" ht="27" hidden="1" customHeight="1" x14ac:dyDescent="0.25">
      <c r="A269" s="54" t="s">
        <v>449</v>
      </c>
      <c r="B269" s="54" t="s">
        <v>450</v>
      </c>
      <c r="C269" s="31">
        <v>4301031221</v>
      </c>
      <c r="D269" s="655">
        <v>4680115882676</v>
      </c>
      <c r="E269" s="656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9">
        <v>0</v>
      </c>
      <c r="Y269" s="640">
        <f t="shared" si="38"/>
        <v>0</v>
      </c>
      <c r="Z269" s="36" t="str">
        <f>IFERROR(IF(Y269=0,"",ROUNDUP(Y269/H269,0)*0.00902),"")</f>
        <v/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0</v>
      </c>
      <c r="BN269" s="64">
        <f t="shared" si="40"/>
        <v>0</v>
      </c>
      <c r="BO269" s="64">
        <f t="shared" si="41"/>
        <v>0</v>
      </c>
      <c r="BP269" s="64">
        <f t="shared" si="42"/>
        <v>0</v>
      </c>
    </row>
    <row r="270" spans="1:68" ht="27" hidden="1" customHeight="1" x14ac:dyDescent="0.25">
      <c r="A270" s="54" t="s">
        <v>452</v>
      </c>
      <c r="B270" s="54" t="s">
        <v>453</v>
      </c>
      <c r="C270" s="31">
        <v>4301031223</v>
      </c>
      <c r="D270" s="655">
        <v>4680115884014</v>
      </c>
      <c r="E270" s="656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9">
        <v>0</v>
      </c>
      <c r="Y270" s="640">
        <f t="shared" si="38"/>
        <v>0</v>
      </c>
      <c r="Z270" s="36" t="str">
        <f>IFERROR(IF(Y270=0,"",ROUNDUP(Y270/H270,0)*0.00502),"")</f>
        <v/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0</v>
      </c>
      <c r="BN270" s="64">
        <f t="shared" si="40"/>
        <v>0</v>
      </c>
      <c r="BO270" s="64">
        <f t="shared" si="41"/>
        <v>0</v>
      </c>
      <c r="BP270" s="64">
        <f t="shared" si="42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4301031222</v>
      </c>
      <c r="D271" s="655">
        <v>4680115884007</v>
      </c>
      <c r="E271" s="656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7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9">
        <v>0</v>
      </c>
      <c r="Y271" s="640">
        <f t="shared" si="38"/>
        <v>0</v>
      </c>
      <c r="Z271" s="36" t="str">
        <f>IFERROR(IF(Y271=0,"",ROUNDUP(Y271/H271,0)*0.00502),"")</f>
        <v/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0</v>
      </c>
      <c r="BN271" s="64">
        <f t="shared" si="40"/>
        <v>0</v>
      </c>
      <c r="BO271" s="64">
        <f t="shared" si="41"/>
        <v>0</v>
      </c>
      <c r="BP271" s="64">
        <f t="shared" si="42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55">
        <v>4680115884038</v>
      </c>
      <c r="E272" s="656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55">
        <v>4680115884021</v>
      </c>
      <c r="E273" s="656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0"/>
      <c r="R273" s="650"/>
      <c r="S273" s="650"/>
      <c r="T273" s="651"/>
      <c r="U273" s="34"/>
      <c r="V273" s="34"/>
      <c r="W273" s="35" t="s">
        <v>67</v>
      </c>
      <c r="X273" s="639">
        <v>12</v>
      </c>
      <c r="Y273" s="640">
        <f t="shared" si="38"/>
        <v>12.6</v>
      </c>
      <c r="Z273" s="36">
        <f>IFERROR(IF(Y273=0,"",ROUNDUP(Y273/H273,0)*0.00502),"")</f>
        <v>3.5140000000000005E-2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12.666666666666664</v>
      </c>
      <c r="BN273" s="64">
        <f t="shared" si="40"/>
        <v>13.299999999999999</v>
      </c>
      <c r="BO273" s="64">
        <f t="shared" si="41"/>
        <v>2.8490028490028491E-2</v>
      </c>
      <c r="BP273" s="64">
        <f t="shared" si="42"/>
        <v>2.9914529914529919E-2</v>
      </c>
    </row>
    <row r="274" spans="1:68" x14ac:dyDescent="0.2">
      <c r="A274" s="658"/>
      <c r="B274" s="646"/>
      <c r="C274" s="646"/>
      <c r="D274" s="646"/>
      <c r="E274" s="646"/>
      <c r="F274" s="646"/>
      <c r="G274" s="646"/>
      <c r="H274" s="646"/>
      <c r="I274" s="646"/>
      <c r="J274" s="646"/>
      <c r="K274" s="646"/>
      <c r="L274" s="646"/>
      <c r="M274" s="646"/>
      <c r="N274" s="646"/>
      <c r="O274" s="659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88.888888888888886</v>
      </c>
      <c r="Y274" s="641">
        <f>IFERROR(Y266/H266,"0")+IFERROR(Y267/H267,"0")+IFERROR(Y268/H268,"0")+IFERROR(Y269/H269,"0")+IFERROR(Y270/H270,"0")+IFERROR(Y271/H271,"0")+IFERROR(Y272/H272,"0")+IFERROR(Y273/H273,"0")</f>
        <v>90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0.78380000000000005</v>
      </c>
      <c r="AA274" s="642"/>
      <c r="AB274" s="642"/>
      <c r="AC274" s="642"/>
    </row>
    <row r="275" spans="1:68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59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456</v>
      </c>
      <c r="Y275" s="641">
        <f>IFERROR(SUM(Y266:Y273),"0")</f>
        <v>460.80000000000007</v>
      </c>
      <c r="Z275" s="37"/>
      <c r="AA275" s="642"/>
      <c r="AB275" s="642"/>
      <c r="AC275" s="642"/>
    </row>
    <row r="276" spans="1:68" ht="14.25" hidden="1" customHeight="1" x14ac:dyDescent="0.25">
      <c r="A276" s="645" t="s">
        <v>74</v>
      </c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6"/>
      <c r="P276" s="646"/>
      <c r="Q276" s="646"/>
      <c r="R276" s="646"/>
      <c r="S276" s="646"/>
      <c r="T276" s="646"/>
      <c r="U276" s="646"/>
      <c r="V276" s="646"/>
      <c r="W276" s="646"/>
      <c r="X276" s="646"/>
      <c r="Y276" s="646"/>
      <c r="Z276" s="646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55">
        <v>4680115881594</v>
      </c>
      <c r="E277" s="656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55">
        <v>4680115881617</v>
      </c>
      <c r="E278" s="656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9">
        <v>200</v>
      </c>
      <c r="Y278" s="640">
        <f t="shared" si="43"/>
        <v>202.5</v>
      </c>
      <c r="Z278" s="36">
        <f>IFERROR(IF(Y278=0,"",ROUNDUP(Y278/H278,0)*0.01898),"")</f>
        <v>0.47450000000000003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211.75308641975309</v>
      </c>
      <c r="BN278" s="64">
        <f t="shared" si="45"/>
        <v>214.40000000000003</v>
      </c>
      <c r="BO278" s="64">
        <f t="shared" si="46"/>
        <v>0.38580246913580246</v>
      </c>
      <c r="BP278" s="64">
        <f t="shared" si="47"/>
        <v>0.390625</v>
      </c>
    </row>
    <row r="279" spans="1:68" ht="27" hidden="1" customHeight="1" x14ac:dyDescent="0.25">
      <c r="A279" s="54" t="s">
        <v>466</v>
      </c>
      <c r="B279" s="54" t="s">
        <v>467</v>
      </c>
      <c r="C279" s="31">
        <v>4301051656</v>
      </c>
      <c r="D279" s="655">
        <v>4680115880573</v>
      </c>
      <c r="E279" s="656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9">
        <v>0</v>
      </c>
      <c r="Y279" s="640">
        <f t="shared" si="43"/>
        <v>0</v>
      </c>
      <c r="Z279" s="36" t="str">
        <f>IFERROR(IF(Y279=0,"",ROUNDUP(Y279/H279,0)*0.01898),"")</f>
        <v/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4301051407</v>
      </c>
      <c r="D280" s="655">
        <v>4680115882195</v>
      </c>
      <c r="E280" s="656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9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9">
        <v>0</v>
      </c>
      <c r="Y280" s="640">
        <f t="shared" si="43"/>
        <v>0</v>
      </c>
      <c r="Z280" s="36" t="str">
        <f>IFERROR(IF(Y280=0,"",ROUNDUP(Y280/H280,0)*0.00651),"")</f>
        <v/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55">
        <v>4680115882607</v>
      </c>
      <c r="E281" s="656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55">
        <v>4680115882607</v>
      </c>
      <c r="E282" s="656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7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55">
        <v>4680115880092</v>
      </c>
      <c r="E283" s="656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9">
        <v>253</v>
      </c>
      <c r="Y283" s="640">
        <f t="shared" si="43"/>
        <v>254.39999999999998</v>
      </c>
      <c r="Z283" s="36">
        <f>IFERROR(IF(Y283=0,"",ROUNDUP(Y283/H283,0)*0.00651),"")</f>
        <v>0.69006000000000001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279.565</v>
      </c>
      <c r="BN283" s="64">
        <f t="shared" si="45"/>
        <v>281.11199999999997</v>
      </c>
      <c r="BO283" s="64">
        <f t="shared" si="46"/>
        <v>0.57921245421245426</v>
      </c>
      <c r="BP283" s="64">
        <f t="shared" si="47"/>
        <v>0.58241758241758246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55">
        <v>4680115889064</v>
      </c>
      <c r="E284" s="656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92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4301051668</v>
      </c>
      <c r="D285" s="655">
        <v>4680115880221</v>
      </c>
      <c r="E285" s="656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0"/>
      <c r="R285" s="650"/>
      <c r="S285" s="650"/>
      <c r="T285" s="651"/>
      <c r="U285" s="34"/>
      <c r="V285" s="34"/>
      <c r="W285" s="35" t="s">
        <v>67</v>
      </c>
      <c r="X285" s="639">
        <v>257</v>
      </c>
      <c r="Y285" s="640">
        <f t="shared" si="43"/>
        <v>259.2</v>
      </c>
      <c r="Z285" s="36">
        <f>IFERROR(IF(Y285=0,"",ROUNDUP(Y285/H285,0)*0.00651),"")</f>
        <v>0.70308000000000004</v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283.98500000000007</v>
      </c>
      <c r="BN285" s="64">
        <f t="shared" si="45"/>
        <v>286.41600000000005</v>
      </c>
      <c r="BO285" s="64">
        <f t="shared" si="46"/>
        <v>0.5883699633699635</v>
      </c>
      <c r="BP285" s="64">
        <f t="shared" si="47"/>
        <v>0.59340659340659341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55">
        <v>4680115880504</v>
      </c>
      <c r="E286" s="656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0"/>
      <c r="R286" s="650"/>
      <c r="S286" s="650"/>
      <c r="T286" s="651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55">
        <v>4680115882164</v>
      </c>
      <c r="E287" s="656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91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55">
        <v>4680115888340</v>
      </c>
      <c r="E288" s="656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7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0"/>
      <c r="R288" s="650"/>
      <c r="S288" s="650"/>
      <c r="T288" s="651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8"/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59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237.19135802469137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239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1.8676400000000002</v>
      </c>
      <c r="AA289" s="642"/>
      <c r="AB289" s="642"/>
      <c r="AC289" s="642"/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59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710</v>
      </c>
      <c r="Y290" s="641">
        <f>IFERROR(SUM(Y277:Y288),"0")</f>
        <v>716.09999999999991</v>
      </c>
      <c r="Z290" s="37"/>
      <c r="AA290" s="642"/>
      <c r="AB290" s="642"/>
      <c r="AC290" s="642"/>
    </row>
    <row r="291" spans="1:68" ht="14.25" hidden="1" customHeight="1" x14ac:dyDescent="0.25">
      <c r="A291" s="645" t="s">
        <v>164</v>
      </c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6"/>
      <c r="P291" s="646"/>
      <c r="Q291" s="646"/>
      <c r="R291" s="646"/>
      <c r="S291" s="646"/>
      <c r="T291" s="646"/>
      <c r="U291" s="646"/>
      <c r="V291" s="646"/>
      <c r="W291" s="646"/>
      <c r="X291" s="646"/>
      <c r="Y291" s="646"/>
      <c r="Z291" s="646"/>
      <c r="AA291" s="634"/>
      <c r="AB291" s="634"/>
      <c r="AC291" s="634"/>
    </row>
    <row r="292" spans="1:68" ht="27" hidden="1" customHeight="1" x14ac:dyDescent="0.25">
      <c r="A292" s="54" t="s">
        <v>491</v>
      </c>
      <c r="B292" s="54" t="s">
        <v>492</v>
      </c>
      <c r="C292" s="31">
        <v>4301060463</v>
      </c>
      <c r="D292" s="655">
        <v>4680115880818</v>
      </c>
      <c r="E292" s="656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6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9">
        <v>0</v>
      </c>
      <c r="Y292" s="64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4301060389</v>
      </c>
      <c r="D293" s="655">
        <v>4680115880801</v>
      </c>
      <c r="E293" s="656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6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0"/>
      <c r="R293" s="650"/>
      <c r="S293" s="650"/>
      <c r="T293" s="651"/>
      <c r="U293" s="34"/>
      <c r="V293" s="34"/>
      <c r="W293" s="35" t="s">
        <v>67</v>
      </c>
      <c r="X293" s="639">
        <v>0</v>
      </c>
      <c r="Y293" s="640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58"/>
      <c r="B294" s="646"/>
      <c r="C294" s="646"/>
      <c r="D294" s="646"/>
      <c r="E294" s="646"/>
      <c r="F294" s="646"/>
      <c r="G294" s="646"/>
      <c r="H294" s="646"/>
      <c r="I294" s="646"/>
      <c r="J294" s="646"/>
      <c r="K294" s="646"/>
      <c r="L294" s="646"/>
      <c r="M294" s="646"/>
      <c r="N294" s="646"/>
      <c r="O294" s="659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0</v>
      </c>
      <c r="Y294" s="641">
        <f>IFERROR(Y292/H292,"0")+IFERROR(Y293/H293,"0")</f>
        <v>0</v>
      </c>
      <c r="Z294" s="641">
        <f>IFERROR(IF(Z292="",0,Z292),"0")+IFERROR(IF(Z293="",0,Z293),"0")</f>
        <v>0</v>
      </c>
      <c r="AA294" s="642"/>
      <c r="AB294" s="642"/>
      <c r="AC294" s="642"/>
    </row>
    <row r="295" spans="1:68" hidden="1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59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0</v>
      </c>
      <c r="Y295" s="641">
        <f>IFERROR(SUM(Y292:Y293),"0")</f>
        <v>0</v>
      </c>
      <c r="Z295" s="37"/>
      <c r="AA295" s="642"/>
      <c r="AB295" s="642"/>
      <c r="AC295" s="642"/>
    </row>
    <row r="296" spans="1:68" ht="16.5" hidden="1" customHeight="1" x14ac:dyDescent="0.25">
      <c r="A296" s="648" t="s">
        <v>497</v>
      </c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6"/>
      <c r="P296" s="646"/>
      <c r="Q296" s="646"/>
      <c r="R296" s="646"/>
      <c r="S296" s="646"/>
      <c r="T296" s="646"/>
      <c r="U296" s="646"/>
      <c r="V296" s="646"/>
      <c r="W296" s="646"/>
      <c r="X296" s="646"/>
      <c r="Y296" s="646"/>
      <c r="Z296" s="646"/>
      <c r="AA296" s="633"/>
      <c r="AB296" s="633"/>
      <c r="AC296" s="633"/>
    </row>
    <row r="297" spans="1:68" ht="14.25" hidden="1" customHeight="1" x14ac:dyDescent="0.25">
      <c r="A297" s="645" t="s">
        <v>111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34"/>
      <c r="AB297" s="634"/>
      <c r="AC297" s="634"/>
    </row>
    <row r="298" spans="1:68" ht="27" hidden="1" customHeight="1" x14ac:dyDescent="0.25">
      <c r="A298" s="54" t="s">
        <v>498</v>
      </c>
      <c r="B298" s="54" t="s">
        <v>499</v>
      </c>
      <c r="C298" s="31">
        <v>4301011826</v>
      </c>
      <c r="D298" s="655">
        <v>4680115884137</v>
      </c>
      <c r="E298" s="656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9">
        <v>0</v>
      </c>
      <c r="Y298" s="640">
        <f t="shared" ref="Y298:Y304" si="48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0</v>
      </c>
      <c r="BN298" s="64">
        <f t="shared" ref="BN298:BN304" si="50">IFERROR(Y298*I298/H298,"0")</f>
        <v>0</v>
      </c>
      <c r="BO298" s="64">
        <f t="shared" ref="BO298:BO304" si="51">IFERROR(1/J298*(X298/H298),"0")</f>
        <v>0</v>
      </c>
      <c r="BP298" s="64">
        <f t="shared" ref="BP298:BP304" si="52">IFERROR(1/J298*(Y298/H298),"0")</f>
        <v>0</v>
      </c>
    </row>
    <row r="299" spans="1:68" ht="27" hidden="1" customHeight="1" x14ac:dyDescent="0.25">
      <c r="A299" s="54" t="s">
        <v>501</v>
      </c>
      <c r="B299" s="54" t="s">
        <v>502</v>
      </c>
      <c r="C299" s="31">
        <v>4301011724</v>
      </c>
      <c r="D299" s="655">
        <v>4680115884236</v>
      </c>
      <c r="E299" s="656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9">
        <v>0</v>
      </c>
      <c r="Y299" s="640">
        <f t="shared" si="48"/>
        <v>0</v>
      </c>
      <c r="Z299" s="36" t="str">
        <f>IFERROR(IF(Y299=0,"",ROUNDUP(Y299/H299,0)*0.01898),"")</f>
        <v/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0</v>
      </c>
      <c r="BN299" s="64">
        <f t="shared" si="50"/>
        <v>0</v>
      </c>
      <c r="BO299" s="64">
        <f t="shared" si="51"/>
        <v>0</v>
      </c>
      <c r="BP299" s="64">
        <f t="shared" si="52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55">
        <v>4680115884175</v>
      </c>
      <c r="E300" s="656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55">
        <v>4680115884144</v>
      </c>
      <c r="E301" s="656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55">
        <v>4680115886551</v>
      </c>
      <c r="E302" s="656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9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55">
        <v>4680115887282</v>
      </c>
      <c r="E303" s="656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55">
        <v>4680115884205</v>
      </c>
      <c r="E304" s="656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0"/>
      <c r="R304" s="650"/>
      <c r="S304" s="650"/>
      <c r="T304" s="651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hidden="1" x14ac:dyDescent="0.2">
      <c r="A305" s="658"/>
      <c r="B305" s="646"/>
      <c r="C305" s="646"/>
      <c r="D305" s="646"/>
      <c r="E305" s="646"/>
      <c r="F305" s="646"/>
      <c r="G305" s="646"/>
      <c r="H305" s="646"/>
      <c r="I305" s="646"/>
      <c r="J305" s="646"/>
      <c r="K305" s="646"/>
      <c r="L305" s="646"/>
      <c r="M305" s="646"/>
      <c r="N305" s="646"/>
      <c r="O305" s="659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0</v>
      </c>
      <c r="Y305" s="641">
        <f>IFERROR(Y298/H298,"0")+IFERROR(Y299/H299,"0")+IFERROR(Y300/H300,"0")+IFERROR(Y301/H301,"0")+IFERROR(Y302/H302,"0")+IFERROR(Y303/H303,"0")+IFERROR(Y304/H304,"0")</f>
        <v>0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2"/>
      <c r="AB305" s="642"/>
      <c r="AC305" s="642"/>
    </row>
    <row r="306" spans="1:68" hidden="1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59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0</v>
      </c>
      <c r="Y306" s="641">
        <f>IFERROR(SUM(Y298:Y304),"0")</f>
        <v>0</v>
      </c>
      <c r="Z306" s="37"/>
      <c r="AA306" s="642"/>
      <c r="AB306" s="642"/>
      <c r="AC306" s="642"/>
    </row>
    <row r="307" spans="1:68" ht="14.25" hidden="1" customHeight="1" x14ac:dyDescent="0.25">
      <c r="A307" s="645" t="s">
        <v>146</v>
      </c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6"/>
      <c r="P307" s="646"/>
      <c r="Q307" s="646"/>
      <c r="R307" s="646"/>
      <c r="S307" s="646"/>
      <c r="T307" s="646"/>
      <c r="U307" s="646"/>
      <c r="V307" s="646"/>
      <c r="W307" s="646"/>
      <c r="X307" s="646"/>
      <c r="Y307" s="646"/>
      <c r="Z307" s="646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55">
        <v>4680115885981</v>
      </c>
      <c r="E308" s="656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0"/>
      <c r="R308" s="650"/>
      <c r="S308" s="650"/>
      <c r="T308" s="651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8"/>
      <c r="B309" s="646"/>
      <c r="C309" s="646"/>
      <c r="D309" s="646"/>
      <c r="E309" s="646"/>
      <c r="F309" s="646"/>
      <c r="G309" s="646"/>
      <c r="H309" s="646"/>
      <c r="I309" s="646"/>
      <c r="J309" s="646"/>
      <c r="K309" s="646"/>
      <c r="L309" s="646"/>
      <c r="M309" s="646"/>
      <c r="N309" s="646"/>
      <c r="O309" s="659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59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5" t="s">
        <v>519</v>
      </c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6"/>
      <c r="P311" s="646"/>
      <c r="Q311" s="646"/>
      <c r="R311" s="646"/>
      <c r="S311" s="646"/>
      <c r="T311" s="646"/>
      <c r="U311" s="646"/>
      <c r="V311" s="646"/>
      <c r="W311" s="646"/>
      <c r="X311" s="646"/>
      <c r="Y311" s="646"/>
      <c r="Z311" s="646"/>
      <c r="AA311" s="634"/>
      <c r="AB311" s="634"/>
      <c r="AC311" s="634"/>
    </row>
    <row r="312" spans="1:68" ht="27" hidden="1" customHeight="1" x14ac:dyDescent="0.25">
      <c r="A312" s="54" t="s">
        <v>520</v>
      </c>
      <c r="B312" s="54" t="s">
        <v>521</v>
      </c>
      <c r="C312" s="31">
        <v>4301040362</v>
      </c>
      <c r="D312" s="655">
        <v>4680115886803</v>
      </c>
      <c r="E312" s="656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9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0"/>
      <c r="R312" s="650"/>
      <c r="S312" s="650"/>
      <c r="T312" s="651"/>
      <c r="U312" s="34"/>
      <c r="V312" s="34"/>
      <c r="W312" s="35" t="s">
        <v>67</v>
      </c>
      <c r="X312" s="639">
        <v>0</v>
      </c>
      <c r="Y312" s="640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58"/>
      <c r="B313" s="646"/>
      <c r="C313" s="646"/>
      <c r="D313" s="646"/>
      <c r="E313" s="646"/>
      <c r="F313" s="646"/>
      <c r="G313" s="646"/>
      <c r="H313" s="646"/>
      <c r="I313" s="646"/>
      <c r="J313" s="646"/>
      <c r="K313" s="646"/>
      <c r="L313" s="646"/>
      <c r="M313" s="646"/>
      <c r="N313" s="646"/>
      <c r="O313" s="659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</v>
      </c>
      <c r="Y313" s="641">
        <f>IFERROR(Y312/H312,"0")</f>
        <v>0</v>
      </c>
      <c r="Z313" s="641">
        <f>IFERROR(IF(Z312="",0,Z312),"0")</f>
        <v>0</v>
      </c>
      <c r="AA313" s="642"/>
      <c r="AB313" s="642"/>
      <c r="AC313" s="642"/>
    </row>
    <row r="314" spans="1:68" hidden="1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59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0</v>
      </c>
      <c r="Y314" s="641">
        <f>IFERROR(SUM(Y312:Y312),"0")</f>
        <v>0</v>
      </c>
      <c r="Z314" s="37"/>
      <c r="AA314" s="642"/>
      <c r="AB314" s="642"/>
      <c r="AC314" s="642"/>
    </row>
    <row r="315" spans="1:68" ht="14.25" hidden="1" customHeight="1" x14ac:dyDescent="0.25">
      <c r="A315" s="645" t="s">
        <v>328</v>
      </c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6"/>
      <c r="P315" s="646"/>
      <c r="Q315" s="646"/>
      <c r="R315" s="646"/>
      <c r="S315" s="646"/>
      <c r="T315" s="646"/>
      <c r="U315" s="646"/>
      <c r="V315" s="646"/>
      <c r="W315" s="646"/>
      <c r="X315" s="646"/>
      <c r="Y315" s="646"/>
      <c r="Z315" s="646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55">
        <v>4680115886681</v>
      </c>
      <c r="E316" s="656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9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8"/>
      <c r="B317" s="646"/>
      <c r="C317" s="646"/>
      <c r="D317" s="646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59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6"/>
      <c r="B318" s="646"/>
      <c r="C318" s="646"/>
      <c r="D318" s="646"/>
      <c r="E318" s="646"/>
      <c r="F318" s="646"/>
      <c r="G318" s="646"/>
      <c r="H318" s="646"/>
      <c r="I318" s="646"/>
      <c r="J318" s="646"/>
      <c r="K318" s="646"/>
      <c r="L318" s="646"/>
      <c r="M318" s="646"/>
      <c r="N318" s="646"/>
      <c r="O318" s="659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48" t="s">
        <v>526</v>
      </c>
      <c r="B319" s="646"/>
      <c r="C319" s="646"/>
      <c r="D319" s="646"/>
      <c r="E319" s="646"/>
      <c r="F319" s="646"/>
      <c r="G319" s="646"/>
      <c r="H319" s="646"/>
      <c r="I319" s="646"/>
      <c r="J319" s="646"/>
      <c r="K319" s="646"/>
      <c r="L319" s="646"/>
      <c r="M319" s="646"/>
      <c r="N319" s="646"/>
      <c r="O319" s="646"/>
      <c r="P319" s="646"/>
      <c r="Q319" s="646"/>
      <c r="R319" s="646"/>
      <c r="S319" s="646"/>
      <c r="T319" s="646"/>
      <c r="U319" s="646"/>
      <c r="V319" s="646"/>
      <c r="W319" s="646"/>
      <c r="X319" s="646"/>
      <c r="Y319" s="646"/>
      <c r="Z319" s="646"/>
      <c r="AA319" s="633"/>
      <c r="AB319" s="633"/>
      <c r="AC319" s="633"/>
    </row>
    <row r="320" spans="1:68" ht="14.25" hidden="1" customHeight="1" x14ac:dyDescent="0.25">
      <c r="A320" s="645" t="s">
        <v>111</v>
      </c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6"/>
      <c r="P320" s="646"/>
      <c r="Q320" s="646"/>
      <c r="R320" s="646"/>
      <c r="S320" s="646"/>
      <c r="T320" s="646"/>
      <c r="U320" s="646"/>
      <c r="V320" s="646"/>
      <c r="W320" s="646"/>
      <c r="X320" s="646"/>
      <c r="Y320" s="646"/>
      <c r="Z320" s="646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55">
        <v>4680115889637</v>
      </c>
      <c r="E321" s="656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748" t="s">
        <v>529</v>
      </c>
      <c r="Q321" s="650"/>
      <c r="R321" s="650"/>
      <c r="S321" s="650"/>
      <c r="T321" s="651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55">
        <v>4680115885837</v>
      </c>
      <c r="E322" s="656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0"/>
      <c r="R322" s="650"/>
      <c r="S322" s="650"/>
      <c r="T322" s="651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55">
        <v>4680115887237</v>
      </c>
      <c r="E323" s="656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75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55">
        <v>4680115885806</v>
      </c>
      <c r="E324" s="656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55">
        <v>4680115885844</v>
      </c>
      <c r="E325" s="656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55">
        <v>4680115885820</v>
      </c>
      <c r="E326" s="656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9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8"/>
      <c r="B327" s="646"/>
      <c r="C327" s="646"/>
      <c r="D327" s="646"/>
      <c r="E327" s="646"/>
      <c r="F327" s="646"/>
      <c r="G327" s="646"/>
      <c r="H327" s="646"/>
      <c r="I327" s="646"/>
      <c r="J327" s="646"/>
      <c r="K327" s="646"/>
      <c r="L327" s="646"/>
      <c r="M327" s="646"/>
      <c r="N327" s="646"/>
      <c r="O327" s="659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6"/>
      <c r="B328" s="646"/>
      <c r="C328" s="646"/>
      <c r="D328" s="646"/>
      <c r="E328" s="646"/>
      <c r="F328" s="646"/>
      <c r="G328" s="646"/>
      <c r="H328" s="646"/>
      <c r="I328" s="646"/>
      <c r="J328" s="646"/>
      <c r="K328" s="646"/>
      <c r="L328" s="646"/>
      <c r="M328" s="646"/>
      <c r="N328" s="646"/>
      <c r="O328" s="659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48" t="s">
        <v>547</v>
      </c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6"/>
      <c r="P329" s="646"/>
      <c r="Q329" s="646"/>
      <c r="R329" s="646"/>
      <c r="S329" s="646"/>
      <c r="T329" s="646"/>
      <c r="U329" s="646"/>
      <c r="V329" s="646"/>
      <c r="W329" s="646"/>
      <c r="X329" s="646"/>
      <c r="Y329" s="646"/>
      <c r="Z329" s="646"/>
      <c r="AA329" s="633"/>
      <c r="AB329" s="633"/>
      <c r="AC329" s="633"/>
    </row>
    <row r="330" spans="1:68" ht="14.25" hidden="1" customHeight="1" x14ac:dyDescent="0.25">
      <c r="A330" s="645" t="s">
        <v>74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55">
        <v>4680115886186</v>
      </c>
      <c r="E331" s="656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9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0"/>
      <c r="R331" s="650"/>
      <c r="S331" s="650"/>
      <c r="T331" s="651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551</v>
      </c>
      <c r="B332" s="54" t="s">
        <v>552</v>
      </c>
      <c r="C332" s="31">
        <v>4301051795</v>
      </c>
      <c r="D332" s="655">
        <v>4680115881228</v>
      </c>
      <c r="E332" s="656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0"/>
      <c r="R332" s="650"/>
      <c r="S332" s="650"/>
      <c r="T332" s="651"/>
      <c r="U332" s="34"/>
      <c r="V332" s="34"/>
      <c r="W332" s="35" t="s">
        <v>67</v>
      </c>
      <c r="X332" s="639">
        <v>0</v>
      </c>
      <c r="Y332" s="64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55">
        <v>4680115881211</v>
      </c>
      <c r="E333" s="656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0"/>
      <c r="R333" s="650"/>
      <c r="S333" s="650"/>
      <c r="T333" s="651"/>
      <c r="U333" s="34"/>
      <c r="V333" s="34"/>
      <c r="W333" s="35" t="s">
        <v>67</v>
      </c>
      <c r="X333" s="639">
        <v>20</v>
      </c>
      <c r="Y333" s="64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58"/>
      <c r="B334" s="646"/>
      <c r="C334" s="646"/>
      <c r="D334" s="646"/>
      <c r="E334" s="646"/>
      <c r="F334" s="646"/>
      <c r="G334" s="646"/>
      <c r="H334" s="646"/>
      <c r="I334" s="646"/>
      <c r="J334" s="646"/>
      <c r="K334" s="646"/>
      <c r="L334" s="646"/>
      <c r="M334" s="646"/>
      <c r="N334" s="646"/>
      <c r="O334" s="659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8.3333333333333339</v>
      </c>
      <c r="Y334" s="641">
        <f>IFERROR(Y331/H331,"0")+IFERROR(Y332/H332,"0")+IFERROR(Y333/H333,"0")</f>
        <v>9</v>
      </c>
      <c r="Z334" s="641">
        <f>IFERROR(IF(Z331="",0,Z331),"0")+IFERROR(IF(Z332="",0,Z332),"0")+IFERROR(IF(Z333="",0,Z333),"0")</f>
        <v>5.8590000000000003E-2</v>
      </c>
      <c r="AA334" s="642"/>
      <c r="AB334" s="642"/>
      <c r="AC334" s="642"/>
    </row>
    <row r="335" spans="1:68" x14ac:dyDescent="0.2">
      <c r="A335" s="646"/>
      <c r="B335" s="646"/>
      <c r="C335" s="646"/>
      <c r="D335" s="646"/>
      <c r="E335" s="646"/>
      <c r="F335" s="646"/>
      <c r="G335" s="646"/>
      <c r="H335" s="646"/>
      <c r="I335" s="646"/>
      <c r="J335" s="646"/>
      <c r="K335" s="646"/>
      <c r="L335" s="646"/>
      <c r="M335" s="646"/>
      <c r="N335" s="646"/>
      <c r="O335" s="659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20</v>
      </c>
      <c r="Y335" s="641">
        <f>IFERROR(SUM(Y331:Y333),"0")</f>
        <v>21.599999999999998</v>
      </c>
      <c r="Z335" s="37"/>
      <c r="AA335" s="642"/>
      <c r="AB335" s="642"/>
      <c r="AC335" s="642"/>
    </row>
    <row r="336" spans="1:68" ht="16.5" hidden="1" customHeight="1" x14ac:dyDescent="0.25">
      <c r="A336" s="648" t="s">
        <v>556</v>
      </c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6"/>
      <c r="P336" s="646"/>
      <c r="Q336" s="646"/>
      <c r="R336" s="646"/>
      <c r="S336" s="646"/>
      <c r="T336" s="646"/>
      <c r="U336" s="646"/>
      <c r="V336" s="646"/>
      <c r="W336" s="646"/>
      <c r="X336" s="646"/>
      <c r="Y336" s="646"/>
      <c r="Z336" s="646"/>
      <c r="AA336" s="633"/>
      <c r="AB336" s="633"/>
      <c r="AC336" s="633"/>
    </row>
    <row r="337" spans="1:68" ht="14.25" hidden="1" customHeight="1" x14ac:dyDescent="0.25">
      <c r="A337" s="645" t="s">
        <v>62</v>
      </c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6"/>
      <c r="P337" s="646"/>
      <c r="Q337" s="646"/>
      <c r="R337" s="646"/>
      <c r="S337" s="646"/>
      <c r="T337" s="646"/>
      <c r="U337" s="646"/>
      <c r="V337" s="646"/>
      <c r="W337" s="646"/>
      <c r="X337" s="646"/>
      <c r="Y337" s="646"/>
      <c r="Z337" s="646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55">
        <v>4680115888319</v>
      </c>
      <c r="E338" s="656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6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0"/>
      <c r="R338" s="650"/>
      <c r="S338" s="650"/>
      <c r="T338" s="651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55">
        <v>4680115884700</v>
      </c>
      <c r="E339" s="656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9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0"/>
      <c r="R339" s="650"/>
      <c r="S339" s="650"/>
      <c r="T339" s="651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55">
        <v>4680115880344</v>
      </c>
      <c r="E340" s="656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0"/>
      <c r="R340" s="650"/>
      <c r="S340" s="650"/>
      <c r="T340" s="651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55">
        <v>4680115886919</v>
      </c>
      <c r="E341" s="656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74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55">
        <v>4680115883970</v>
      </c>
      <c r="E342" s="656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1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8"/>
      <c r="B343" s="646"/>
      <c r="C343" s="646"/>
      <c r="D343" s="646"/>
      <c r="E343" s="646"/>
      <c r="F343" s="646"/>
      <c r="G343" s="646"/>
      <c r="H343" s="646"/>
      <c r="I343" s="646"/>
      <c r="J343" s="646"/>
      <c r="K343" s="646"/>
      <c r="L343" s="646"/>
      <c r="M343" s="646"/>
      <c r="N343" s="646"/>
      <c r="O343" s="659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6"/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59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5" t="s">
        <v>74</v>
      </c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6"/>
      <c r="P345" s="646"/>
      <c r="Q345" s="646"/>
      <c r="R345" s="646"/>
      <c r="S345" s="646"/>
      <c r="T345" s="646"/>
      <c r="U345" s="646"/>
      <c r="V345" s="646"/>
      <c r="W345" s="646"/>
      <c r="X345" s="646"/>
      <c r="Y345" s="646"/>
      <c r="Z345" s="646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55">
        <v>4680115884618</v>
      </c>
      <c r="E346" s="656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0"/>
      <c r="R346" s="650"/>
      <c r="S346" s="650"/>
      <c r="T346" s="651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55">
        <v>4680115887114</v>
      </c>
      <c r="E347" s="656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72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0"/>
      <c r="R347" s="650"/>
      <c r="S347" s="650"/>
      <c r="T347" s="651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8"/>
      <c r="B348" s="646"/>
      <c r="C348" s="646"/>
      <c r="D348" s="646"/>
      <c r="E348" s="646"/>
      <c r="F348" s="646"/>
      <c r="G348" s="646"/>
      <c r="H348" s="646"/>
      <c r="I348" s="646"/>
      <c r="J348" s="646"/>
      <c r="K348" s="646"/>
      <c r="L348" s="646"/>
      <c r="M348" s="646"/>
      <c r="N348" s="646"/>
      <c r="O348" s="659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6"/>
      <c r="B349" s="646"/>
      <c r="C349" s="646"/>
      <c r="D349" s="646"/>
      <c r="E349" s="646"/>
      <c r="F349" s="646"/>
      <c r="G349" s="646"/>
      <c r="H349" s="646"/>
      <c r="I349" s="646"/>
      <c r="J349" s="646"/>
      <c r="K349" s="646"/>
      <c r="L349" s="646"/>
      <c r="M349" s="646"/>
      <c r="N349" s="646"/>
      <c r="O349" s="659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48" t="s">
        <v>577</v>
      </c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6"/>
      <c r="P350" s="646"/>
      <c r="Q350" s="646"/>
      <c r="R350" s="646"/>
      <c r="S350" s="646"/>
      <c r="T350" s="646"/>
      <c r="U350" s="646"/>
      <c r="V350" s="646"/>
      <c r="W350" s="646"/>
      <c r="X350" s="646"/>
      <c r="Y350" s="646"/>
      <c r="Z350" s="646"/>
      <c r="AA350" s="633"/>
      <c r="AB350" s="633"/>
      <c r="AC350" s="633"/>
    </row>
    <row r="351" spans="1:68" ht="14.25" hidden="1" customHeight="1" x14ac:dyDescent="0.25">
      <c r="A351" s="645" t="s">
        <v>111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34"/>
      <c r="AB351" s="634"/>
      <c r="AC351" s="634"/>
    </row>
    <row r="352" spans="1:68" ht="27" hidden="1" customHeight="1" x14ac:dyDescent="0.25">
      <c r="A352" s="54" t="s">
        <v>578</v>
      </c>
      <c r="B352" s="54" t="s">
        <v>579</v>
      </c>
      <c r="C352" s="31">
        <v>4301012324</v>
      </c>
      <c r="D352" s="655">
        <v>4680115887947</v>
      </c>
      <c r="E352" s="656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9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0"/>
      <c r="R352" s="650"/>
      <c r="S352" s="650"/>
      <c r="T352" s="651"/>
      <c r="U352" s="34"/>
      <c r="V352" s="34"/>
      <c r="W352" s="35" t="s">
        <v>67</v>
      </c>
      <c r="X352" s="639">
        <v>0</v>
      </c>
      <c r="Y352" s="64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55">
        <v>4680115887978</v>
      </c>
      <c r="E353" s="656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0"/>
      <c r="R353" s="650"/>
      <c r="S353" s="650"/>
      <c r="T353" s="651"/>
      <c r="U353" s="34"/>
      <c r="V353" s="34"/>
      <c r="W353" s="35" t="s">
        <v>67</v>
      </c>
      <c r="X353" s="639">
        <v>144</v>
      </c>
      <c r="Y353" s="640">
        <f>IFERROR(IF(X353="",0,CEILING((X353/$H353),1)*$H353),"")</f>
        <v>148.19999999999999</v>
      </c>
      <c r="Z353" s="36">
        <f>IFERROR(IF(Y353=0,"",ROUNDUP(Y353/H353,0)*0.01898),"")</f>
        <v>0.36062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151.56923076923081</v>
      </c>
      <c r="BN353" s="64">
        <f>IFERROR(Y353*I353/H353,"0")</f>
        <v>155.99</v>
      </c>
      <c r="BO353" s="64">
        <f>IFERROR(1/J353*(X353/H353),"0")</f>
        <v>0.28846153846153849</v>
      </c>
      <c r="BP353" s="64">
        <f>IFERROR(1/J353*(Y353/H353),"0")</f>
        <v>0.296875</v>
      </c>
    </row>
    <row r="354" spans="1:68" ht="27" hidden="1" customHeight="1" x14ac:dyDescent="0.25">
      <c r="A354" s="54" t="s">
        <v>583</v>
      </c>
      <c r="B354" s="54" t="s">
        <v>584</v>
      </c>
      <c r="C354" s="31">
        <v>4301012327</v>
      </c>
      <c r="D354" s="655">
        <v>4680115887992</v>
      </c>
      <c r="E354" s="656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0"/>
      <c r="R354" s="650"/>
      <c r="S354" s="650"/>
      <c r="T354" s="651"/>
      <c r="U354" s="34"/>
      <c r="V354" s="34"/>
      <c r="W354" s="35" t="s">
        <v>67</v>
      </c>
      <c r="X354" s="639">
        <v>0</v>
      </c>
      <c r="Y354" s="64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58"/>
      <c r="B355" s="646"/>
      <c r="C355" s="646"/>
      <c r="D355" s="646"/>
      <c r="E355" s="646"/>
      <c r="F355" s="646"/>
      <c r="G355" s="646"/>
      <c r="H355" s="646"/>
      <c r="I355" s="646"/>
      <c r="J355" s="646"/>
      <c r="K355" s="646"/>
      <c r="L355" s="646"/>
      <c r="M355" s="646"/>
      <c r="N355" s="646"/>
      <c r="O355" s="659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18.461538461538463</v>
      </c>
      <c r="Y355" s="641">
        <f>IFERROR(Y352/H352,"0")+IFERROR(Y353/H353,"0")+IFERROR(Y354/H354,"0")</f>
        <v>19</v>
      </c>
      <c r="Z355" s="641">
        <f>IFERROR(IF(Z352="",0,Z352),"0")+IFERROR(IF(Z353="",0,Z353),"0")+IFERROR(IF(Z354="",0,Z354),"0")</f>
        <v>0.36062</v>
      </c>
      <c r="AA355" s="642"/>
      <c r="AB355" s="642"/>
      <c r="AC355" s="642"/>
    </row>
    <row r="356" spans="1:68" x14ac:dyDescent="0.2">
      <c r="A356" s="646"/>
      <c r="B356" s="646"/>
      <c r="C356" s="646"/>
      <c r="D356" s="646"/>
      <c r="E356" s="646"/>
      <c r="F356" s="646"/>
      <c r="G356" s="646"/>
      <c r="H356" s="646"/>
      <c r="I356" s="646"/>
      <c r="J356" s="646"/>
      <c r="K356" s="646"/>
      <c r="L356" s="646"/>
      <c r="M356" s="646"/>
      <c r="N356" s="646"/>
      <c r="O356" s="659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144</v>
      </c>
      <c r="Y356" s="641">
        <f>IFERROR(SUM(Y352:Y354),"0")</f>
        <v>148.19999999999999</v>
      </c>
      <c r="Z356" s="37"/>
      <c r="AA356" s="642"/>
      <c r="AB356" s="642"/>
      <c r="AC356" s="642"/>
    </row>
    <row r="357" spans="1:68" ht="16.5" hidden="1" customHeight="1" x14ac:dyDescent="0.25">
      <c r="A357" s="648" t="s">
        <v>586</v>
      </c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6"/>
      <c r="P357" s="646"/>
      <c r="Q357" s="646"/>
      <c r="R357" s="646"/>
      <c r="S357" s="646"/>
      <c r="T357" s="646"/>
      <c r="U357" s="646"/>
      <c r="V357" s="646"/>
      <c r="W357" s="646"/>
      <c r="X357" s="646"/>
      <c r="Y357" s="646"/>
      <c r="Z357" s="646"/>
      <c r="AA357" s="633"/>
      <c r="AB357" s="633"/>
      <c r="AC357" s="633"/>
    </row>
    <row r="358" spans="1:68" ht="14.25" hidden="1" customHeight="1" x14ac:dyDescent="0.25">
      <c r="A358" s="645" t="s">
        <v>111</v>
      </c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6"/>
      <c r="P358" s="646"/>
      <c r="Q358" s="646"/>
      <c r="R358" s="646"/>
      <c r="S358" s="646"/>
      <c r="T358" s="646"/>
      <c r="U358" s="646"/>
      <c r="V358" s="646"/>
      <c r="W358" s="646"/>
      <c r="X358" s="646"/>
      <c r="Y358" s="646"/>
      <c r="Z358" s="646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55">
        <v>4680115889880</v>
      </c>
      <c r="E359" s="656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756" t="s">
        <v>589</v>
      </c>
      <c r="Q359" s="650"/>
      <c r="R359" s="650"/>
      <c r="S359" s="650"/>
      <c r="T359" s="651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55">
        <v>4680115889293</v>
      </c>
      <c r="E360" s="656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69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0"/>
      <c r="R360" s="650"/>
      <c r="S360" s="650"/>
      <c r="T360" s="651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55">
        <v>4680115887190</v>
      </c>
      <c r="E361" s="656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0"/>
      <c r="R361" s="650"/>
      <c r="S361" s="650"/>
      <c r="T361" s="651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hidden="1" customHeight="1" x14ac:dyDescent="0.25">
      <c r="A362" s="54" t="s">
        <v>596</v>
      </c>
      <c r="B362" s="54" t="s">
        <v>597</v>
      </c>
      <c r="C362" s="31">
        <v>4301012233</v>
      </c>
      <c r="D362" s="655">
        <v>4680115887138</v>
      </c>
      <c r="E362" s="656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0"/>
      <c r="R362" s="650"/>
      <c r="S362" s="650"/>
      <c r="T362" s="651"/>
      <c r="U362" s="34"/>
      <c r="V362" s="34"/>
      <c r="W362" s="35" t="s">
        <v>67</v>
      </c>
      <c r="X362" s="639">
        <v>0</v>
      </c>
      <c r="Y362" s="640">
        <f t="shared" si="58"/>
        <v>0</v>
      </c>
      <c r="Z362" s="36" t="str">
        <f>IFERROR(IF(Y362=0,"",ROUNDUP(Y362/H362,0)*0.01898),"")</f>
        <v/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0</v>
      </c>
      <c r="BN362" s="64">
        <f t="shared" si="60"/>
        <v>0</v>
      </c>
      <c r="BO362" s="64">
        <f t="shared" si="61"/>
        <v>0</v>
      </c>
      <c r="BP362" s="64">
        <f t="shared" si="62"/>
        <v>0</v>
      </c>
    </row>
    <row r="363" spans="1:68" ht="27" hidden="1" customHeight="1" x14ac:dyDescent="0.25">
      <c r="A363" s="54" t="s">
        <v>599</v>
      </c>
      <c r="B363" s="54" t="s">
        <v>600</v>
      </c>
      <c r="C363" s="31">
        <v>4301012016</v>
      </c>
      <c r="D363" s="655">
        <v>4680115885554</v>
      </c>
      <c r="E363" s="656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0"/>
      <c r="R363" s="650"/>
      <c r="S363" s="650"/>
      <c r="T363" s="651"/>
      <c r="U363" s="34"/>
      <c r="V363" s="34"/>
      <c r="W363" s="35" t="s">
        <v>67</v>
      </c>
      <c r="X363" s="639">
        <v>0</v>
      </c>
      <c r="Y363" s="640">
        <f t="shared" si="58"/>
        <v>0</v>
      </c>
      <c r="Z363" s="36" t="str">
        <f>IFERROR(IF(Y363=0,"",ROUNDUP(Y363/H363,0)*0.01898),"")</f>
        <v/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0</v>
      </c>
      <c r="BN363" s="64">
        <f t="shared" si="60"/>
        <v>0</v>
      </c>
      <c r="BO363" s="64">
        <f t="shared" si="61"/>
        <v>0</v>
      </c>
      <c r="BP363" s="64">
        <f t="shared" si="62"/>
        <v>0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55">
        <v>4680115887220</v>
      </c>
      <c r="E364" s="656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55">
        <v>4680115885608</v>
      </c>
      <c r="E365" s="656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6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idden="1" x14ac:dyDescent="0.2">
      <c r="A366" s="658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59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0</v>
      </c>
      <c r="Y366" s="641">
        <f>IFERROR(Y359/H359,"0")+IFERROR(Y360/H360,"0")+IFERROR(Y361/H361,"0")+IFERROR(Y362/H362,"0")+IFERROR(Y363/H363,"0")+IFERROR(Y364/H364,"0")+IFERROR(Y365/H365,"0")</f>
        <v>0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2"/>
      <c r="AB366" s="642"/>
      <c r="AC366" s="642"/>
    </row>
    <row r="367" spans="1:68" hidden="1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59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0</v>
      </c>
      <c r="Y367" s="641">
        <f>IFERROR(SUM(Y359:Y365),"0")</f>
        <v>0</v>
      </c>
      <c r="Z367" s="37"/>
      <c r="AA367" s="642"/>
      <c r="AB367" s="642"/>
      <c r="AC367" s="642"/>
    </row>
    <row r="368" spans="1:68" ht="14.25" hidden="1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55">
        <v>4607091387193</v>
      </c>
      <c r="E369" s="656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0"/>
      <c r="R369" s="650"/>
      <c r="S369" s="650"/>
      <c r="T369" s="651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55">
        <v>4607091387230</v>
      </c>
      <c r="E370" s="656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7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0"/>
      <c r="R370" s="650"/>
      <c r="S370" s="650"/>
      <c r="T370" s="651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55">
        <v>4607091387292</v>
      </c>
      <c r="E371" s="656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0"/>
      <c r="R371" s="650"/>
      <c r="S371" s="650"/>
      <c r="T371" s="651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55">
        <v>4607091387285</v>
      </c>
      <c r="E372" s="656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0"/>
      <c r="R372" s="650"/>
      <c r="S372" s="650"/>
      <c r="T372" s="651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55">
        <v>4607091389845</v>
      </c>
      <c r="E373" s="656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0"/>
      <c r="R373" s="650"/>
      <c r="S373" s="650"/>
      <c r="T373" s="651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55">
        <v>4680115887442</v>
      </c>
      <c r="E374" s="656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623</v>
      </c>
      <c r="B375" s="54" t="s">
        <v>624</v>
      </c>
      <c r="C375" s="31">
        <v>4301031066</v>
      </c>
      <c r="D375" s="655">
        <v>4607091383836</v>
      </c>
      <c r="E375" s="656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0"/>
      <c r="R375" s="650"/>
      <c r="S375" s="650"/>
      <c r="T375" s="651"/>
      <c r="U375" s="34"/>
      <c r="V375" s="34"/>
      <c r="W375" s="35" t="s">
        <v>67</v>
      </c>
      <c r="X375" s="639">
        <v>0</v>
      </c>
      <c r="Y375" s="640">
        <f t="shared" si="63"/>
        <v>0</v>
      </c>
      <c r="Z375" s="36" t="str">
        <f>IFERROR(IF(Y375=0,"",ROUNDUP(Y375/H375,0)*0.00651),"")</f>
        <v/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idden="1" x14ac:dyDescent="0.2">
      <c r="A376" s="658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59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0</v>
      </c>
      <c r="Y376" s="641">
        <f>IFERROR(Y369/H369,"0")+IFERROR(Y370/H370,"0")+IFERROR(Y371/H371,"0")+IFERROR(Y372/H372,"0")+IFERROR(Y373/H373,"0")+IFERROR(Y374/H374,"0")+IFERROR(Y375/H375,"0")</f>
        <v>0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2"/>
      <c r="AB376" s="642"/>
      <c r="AC376" s="642"/>
    </row>
    <row r="377" spans="1:68" hidden="1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59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0</v>
      </c>
      <c r="Y377" s="641">
        <f>IFERROR(SUM(Y369:Y375),"0")</f>
        <v>0</v>
      </c>
      <c r="Z377" s="37"/>
      <c r="AA377" s="642"/>
      <c r="AB377" s="642"/>
      <c r="AC377" s="642"/>
    </row>
    <row r="378" spans="1:68" ht="14.25" hidden="1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55">
        <v>4607091387766</v>
      </c>
      <c r="E379" s="656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0"/>
      <c r="R379" s="650"/>
      <c r="S379" s="650"/>
      <c r="T379" s="651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55">
        <v>4607091387957</v>
      </c>
      <c r="E380" s="656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0"/>
      <c r="R380" s="650"/>
      <c r="S380" s="650"/>
      <c r="T380" s="651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55">
        <v>4607091387964</v>
      </c>
      <c r="E381" s="656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55">
        <v>4680115884588</v>
      </c>
      <c r="E382" s="656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10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0"/>
      <c r="R382" s="650"/>
      <c r="S382" s="650"/>
      <c r="T382" s="651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8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59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59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34"/>
      <c r="AB385" s="634"/>
      <c r="AC385" s="634"/>
    </row>
    <row r="386" spans="1:68" ht="27" hidden="1" customHeight="1" x14ac:dyDescent="0.25">
      <c r="A386" s="54" t="s">
        <v>637</v>
      </c>
      <c r="B386" s="54" t="s">
        <v>638</v>
      </c>
      <c r="C386" s="31">
        <v>4301060387</v>
      </c>
      <c r="D386" s="655">
        <v>4607091380880</v>
      </c>
      <c r="E386" s="656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9">
        <v>0</v>
      </c>
      <c r="Y386" s="64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55">
        <v>4607091384482</v>
      </c>
      <c r="E387" s="656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0"/>
      <c r="R387" s="650"/>
      <c r="S387" s="650"/>
      <c r="T387" s="651"/>
      <c r="U387" s="34"/>
      <c r="V387" s="34"/>
      <c r="W387" s="35" t="s">
        <v>67</v>
      </c>
      <c r="X387" s="639">
        <v>248</v>
      </c>
      <c r="Y387" s="640">
        <f>IFERROR(IF(X387="",0,CEILING((X387/$H387),1)*$H387),"")</f>
        <v>249.6</v>
      </c>
      <c r="Z387" s="36">
        <f>IFERROR(IF(Y387=0,"",ROUNDUP(Y387/H387,0)*0.01898),"")</f>
        <v>0.60736000000000001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263.70666666666671</v>
      </c>
      <c r="BN387" s="64">
        <f>IFERROR(Y387*I387/H387,"0")</f>
        <v>265.40800000000002</v>
      </c>
      <c r="BO387" s="64">
        <f>IFERROR(1/J387*(X387/H387),"0")</f>
        <v>0.49679487179487181</v>
      </c>
      <c r="BP387" s="64">
        <f>IFERROR(1/J387*(Y387/H387),"0")</f>
        <v>0.5</v>
      </c>
    </row>
    <row r="388" spans="1:68" ht="27" hidden="1" customHeight="1" x14ac:dyDescent="0.25">
      <c r="A388" s="54" t="s">
        <v>643</v>
      </c>
      <c r="B388" s="54" t="s">
        <v>644</v>
      </c>
      <c r="C388" s="31">
        <v>4301060484</v>
      </c>
      <c r="D388" s="655">
        <v>4607091380897</v>
      </c>
      <c r="E388" s="656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0"/>
      <c r="R388" s="650"/>
      <c r="S388" s="650"/>
      <c r="T388" s="651"/>
      <c r="U388" s="34"/>
      <c r="V388" s="34"/>
      <c r="W388" s="35" t="s">
        <v>67</v>
      </c>
      <c r="X388" s="639">
        <v>0</v>
      </c>
      <c r="Y388" s="640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58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59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31.794871794871796</v>
      </c>
      <c r="Y389" s="641">
        <f>IFERROR(Y386/H386,"0")+IFERROR(Y387/H387,"0")+IFERROR(Y388/H388,"0")</f>
        <v>32</v>
      </c>
      <c r="Z389" s="641">
        <f>IFERROR(IF(Z386="",0,Z386),"0")+IFERROR(IF(Z387="",0,Z387),"0")+IFERROR(IF(Z388="",0,Z388),"0")</f>
        <v>0.60736000000000001</v>
      </c>
      <c r="AA389" s="642"/>
      <c r="AB389" s="642"/>
      <c r="AC389" s="642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59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248</v>
      </c>
      <c r="Y390" s="641">
        <f>IFERROR(SUM(Y386:Y388),"0")</f>
        <v>249.6</v>
      </c>
      <c r="Z390" s="37"/>
      <c r="AA390" s="642"/>
      <c r="AB390" s="642"/>
      <c r="AC390" s="642"/>
    </row>
    <row r="391" spans="1:68" ht="14.25" hidden="1" customHeight="1" x14ac:dyDescent="0.25">
      <c r="A391" s="645" t="s">
        <v>267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55">
        <v>4607091388381</v>
      </c>
      <c r="E392" s="656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649</v>
      </c>
      <c r="B393" s="54" t="s">
        <v>650</v>
      </c>
      <c r="C393" s="31">
        <v>4301030232</v>
      </c>
      <c r="D393" s="655">
        <v>4607091388374</v>
      </c>
      <c r="E393" s="656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9">
        <v>0</v>
      </c>
      <c r="Y393" s="640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651</v>
      </c>
      <c r="B394" s="54" t="s">
        <v>652</v>
      </c>
      <c r="C394" s="31">
        <v>4301032015</v>
      </c>
      <c r="D394" s="655">
        <v>4607091383102</v>
      </c>
      <c r="E394" s="656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9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0"/>
      <c r="R394" s="650"/>
      <c r="S394" s="650"/>
      <c r="T394" s="651"/>
      <c r="U394" s="34"/>
      <c r="V394" s="34"/>
      <c r="W394" s="35" t="s">
        <v>67</v>
      </c>
      <c r="X394" s="639">
        <v>15</v>
      </c>
      <c r="Y394" s="640">
        <f>IFERROR(IF(X394="",0,CEILING((X394/$H394),1)*$H394),"")</f>
        <v>15.299999999999999</v>
      </c>
      <c r="Z394" s="36">
        <f>IFERROR(IF(Y394=0,"",ROUNDUP(Y394/H394,0)*0.00651),"")</f>
        <v>3.9059999999999997E-2</v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17.382352941176475</v>
      </c>
      <c r="BN394" s="64">
        <f>IFERROR(Y394*I394/H394,"0")</f>
        <v>17.73</v>
      </c>
      <c r="BO394" s="64">
        <f>IFERROR(1/J394*(X394/H394),"0")</f>
        <v>3.2320620555914677E-2</v>
      </c>
      <c r="BP394" s="64">
        <f>IFERROR(1/J394*(Y394/H394),"0")</f>
        <v>3.2967032967032968E-2</v>
      </c>
    </row>
    <row r="395" spans="1:68" ht="27" customHeight="1" x14ac:dyDescent="0.25">
      <c r="A395" s="54" t="s">
        <v>653</v>
      </c>
      <c r="B395" s="54" t="s">
        <v>654</v>
      </c>
      <c r="C395" s="31">
        <v>4301030233</v>
      </c>
      <c r="D395" s="655">
        <v>4607091388404</v>
      </c>
      <c r="E395" s="656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0"/>
      <c r="R395" s="650"/>
      <c r="S395" s="650"/>
      <c r="T395" s="651"/>
      <c r="U395" s="34"/>
      <c r="V395" s="34"/>
      <c r="W395" s="35" t="s">
        <v>67</v>
      </c>
      <c r="X395" s="639">
        <v>24</v>
      </c>
      <c r="Y395" s="640">
        <f>IFERROR(IF(X395="",0,CEILING((X395/$H395),1)*$H395),"")</f>
        <v>25.5</v>
      </c>
      <c r="Z395" s="36">
        <f>IFERROR(IF(Y395=0,"",ROUNDUP(Y395/H395,0)*0.00651),"")</f>
        <v>6.5100000000000005E-2</v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27.10588235294118</v>
      </c>
      <c r="BN395" s="64">
        <f>IFERROR(Y395*I395/H395,"0")</f>
        <v>28.8</v>
      </c>
      <c r="BO395" s="64">
        <f>IFERROR(1/J395*(X395/H395),"0")</f>
        <v>5.1712992889463481E-2</v>
      </c>
      <c r="BP395" s="64">
        <f>IFERROR(1/J395*(Y395/H395),"0")</f>
        <v>5.4945054945054951E-2</v>
      </c>
    </row>
    <row r="396" spans="1:68" x14ac:dyDescent="0.2">
      <c r="A396" s="658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59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15.294117647058824</v>
      </c>
      <c r="Y396" s="641">
        <f>IFERROR(Y392/H392,"0")+IFERROR(Y393/H393,"0")+IFERROR(Y394/H394,"0")+IFERROR(Y395/H395,"0")</f>
        <v>16</v>
      </c>
      <c r="Z396" s="641">
        <f>IFERROR(IF(Z392="",0,Z392),"0")+IFERROR(IF(Z393="",0,Z393),"0")+IFERROR(IF(Z394="",0,Z394),"0")+IFERROR(IF(Z395="",0,Z395),"0")</f>
        <v>0.10416</v>
      </c>
      <c r="AA396" s="642"/>
      <c r="AB396" s="642"/>
      <c r="AC396" s="642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59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39</v>
      </c>
      <c r="Y397" s="641">
        <f>IFERROR(SUM(Y392:Y395),"0")</f>
        <v>40.799999999999997</v>
      </c>
      <c r="Z397" s="37"/>
      <c r="AA397" s="642"/>
      <c r="AB397" s="642"/>
      <c r="AC397" s="642"/>
    </row>
    <row r="398" spans="1:68" ht="14.25" hidden="1" customHeight="1" x14ac:dyDescent="0.25">
      <c r="A398" s="645" t="s">
        <v>655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34"/>
      <c r="AB398" s="634"/>
      <c r="AC398" s="634"/>
    </row>
    <row r="399" spans="1:68" ht="16.5" hidden="1" customHeight="1" x14ac:dyDescent="0.25">
      <c r="A399" s="54" t="s">
        <v>656</v>
      </c>
      <c r="B399" s="54" t="s">
        <v>657</v>
      </c>
      <c r="C399" s="31">
        <v>4301180007</v>
      </c>
      <c r="D399" s="655">
        <v>4680115881808</v>
      </c>
      <c r="E399" s="656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7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9">
        <v>0</v>
      </c>
      <c r="Y399" s="64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660</v>
      </c>
      <c r="B400" s="54" t="s">
        <v>661</v>
      </c>
      <c r="C400" s="31">
        <v>4301180006</v>
      </c>
      <c r="D400" s="655">
        <v>4680115881822</v>
      </c>
      <c r="E400" s="656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9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9">
        <v>0</v>
      </c>
      <c r="Y400" s="640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662</v>
      </c>
      <c r="B401" s="54" t="s">
        <v>663</v>
      </c>
      <c r="C401" s="31">
        <v>4301180001</v>
      </c>
      <c r="D401" s="655">
        <v>4680115880016</v>
      </c>
      <c r="E401" s="656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0"/>
      <c r="R401" s="650"/>
      <c r="S401" s="650"/>
      <c r="T401" s="651"/>
      <c r="U401" s="34"/>
      <c r="V401" s="34"/>
      <c r="W401" s="35" t="s">
        <v>67</v>
      </c>
      <c r="X401" s="639">
        <v>0</v>
      </c>
      <c r="Y401" s="640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8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59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0</v>
      </c>
      <c r="Y402" s="641">
        <f>IFERROR(Y399/H399,"0")+IFERROR(Y400/H400,"0")+IFERROR(Y401/H401,"0")</f>
        <v>0</v>
      </c>
      <c r="Z402" s="641">
        <f>IFERROR(IF(Z399="",0,Z399),"0")+IFERROR(IF(Z400="",0,Z400),"0")+IFERROR(IF(Z401="",0,Z401),"0")</f>
        <v>0</v>
      </c>
      <c r="AA402" s="642"/>
      <c r="AB402" s="642"/>
      <c r="AC402" s="642"/>
    </row>
    <row r="403" spans="1:68" hidden="1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59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0</v>
      </c>
      <c r="Y403" s="641">
        <f>IFERROR(SUM(Y399:Y401),"0")</f>
        <v>0</v>
      </c>
      <c r="Z403" s="37"/>
      <c r="AA403" s="642"/>
      <c r="AB403" s="642"/>
      <c r="AC403" s="642"/>
    </row>
    <row r="404" spans="1:68" ht="14.25" hidden="1" customHeight="1" x14ac:dyDescent="0.25">
      <c r="A404" s="645" t="s">
        <v>664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55">
        <v>4680115888678</v>
      </c>
      <c r="E405" s="656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96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0"/>
      <c r="R405" s="650"/>
      <c r="S405" s="650"/>
      <c r="T405" s="651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55">
        <v>4680115888654</v>
      </c>
      <c r="E406" s="656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88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0"/>
      <c r="R406" s="650"/>
      <c r="S406" s="650"/>
      <c r="T406" s="651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55">
        <v>4680115888753</v>
      </c>
      <c r="E407" s="656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0"/>
      <c r="R407" s="650"/>
      <c r="S407" s="650"/>
      <c r="T407" s="651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8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59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59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48" t="s">
        <v>673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33"/>
      <c r="AB410" s="633"/>
      <c r="AC410" s="633"/>
    </row>
    <row r="411" spans="1:68" ht="14.25" hidden="1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55">
        <v>4680115889415</v>
      </c>
      <c r="E412" s="656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55">
        <v>4680115889422</v>
      </c>
      <c r="E413" s="656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6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0"/>
      <c r="R413" s="650"/>
      <c r="S413" s="650"/>
      <c r="T413" s="651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8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59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59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48" t="s">
        <v>680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33"/>
      <c r="AB416" s="633"/>
      <c r="AC416" s="633"/>
    </row>
    <row r="417" spans="1:68" ht="14.25" hidden="1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55">
        <v>4607091387919</v>
      </c>
      <c r="E418" s="656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0"/>
      <c r="R418" s="650"/>
      <c r="S418" s="650"/>
      <c r="T418" s="651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4301051461</v>
      </c>
      <c r="D419" s="655">
        <v>4680115883604</v>
      </c>
      <c r="E419" s="656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9">
        <v>7</v>
      </c>
      <c r="Y419" s="640">
        <f>IFERROR(IF(X419="",0,CEILING((X419/$H419),1)*$H419),"")</f>
        <v>8.4</v>
      </c>
      <c r="Z419" s="36">
        <f>IFERROR(IF(Y419=0,"",ROUNDUP(Y419/H419,0)*0.00651),"")</f>
        <v>2.6040000000000001E-2</v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7.839999999999999</v>
      </c>
      <c r="BN419" s="64">
        <f>IFERROR(Y419*I419/H419,"0")</f>
        <v>9.4079999999999995</v>
      </c>
      <c r="BO419" s="64">
        <f>IFERROR(1/J419*(X419/H419),"0")</f>
        <v>1.8315018315018316E-2</v>
      </c>
      <c r="BP419" s="64">
        <f>IFERROR(1/J419*(Y419/H419),"0")</f>
        <v>2.197802197802198E-2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55">
        <v>4680115883567</v>
      </c>
      <c r="E420" s="656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0"/>
      <c r="R420" s="650"/>
      <c r="S420" s="650"/>
      <c r="T420" s="651"/>
      <c r="U420" s="34"/>
      <c r="V420" s="34"/>
      <c r="W420" s="35" t="s">
        <v>67</v>
      </c>
      <c r="X420" s="639">
        <v>18</v>
      </c>
      <c r="Y420" s="640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58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59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11.904761904761905</v>
      </c>
      <c r="Y421" s="641">
        <f>IFERROR(Y418/H418,"0")+IFERROR(Y419/H419,"0")+IFERROR(Y420/H420,"0")</f>
        <v>13</v>
      </c>
      <c r="Z421" s="641">
        <f>IFERROR(IF(Z418="",0,Z418),"0")+IFERROR(IF(Z419="",0,Z419),"0")+IFERROR(IF(Z420="",0,Z420),"0")</f>
        <v>8.4630000000000011E-2</v>
      </c>
      <c r="AA421" s="642"/>
      <c r="AB421" s="642"/>
      <c r="AC421" s="642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59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25</v>
      </c>
      <c r="Y422" s="641">
        <f>IFERROR(SUM(Y418:Y420),"0")</f>
        <v>27.300000000000004</v>
      </c>
      <c r="Z422" s="37"/>
      <c r="AA422" s="642"/>
      <c r="AB422" s="642"/>
      <c r="AC422" s="642"/>
    </row>
    <row r="423" spans="1:68" ht="27.75" hidden="1" customHeight="1" x14ac:dyDescent="0.2">
      <c r="A423" s="757" t="s">
        <v>690</v>
      </c>
      <c r="B423" s="758"/>
      <c r="C423" s="758"/>
      <c r="D423" s="758"/>
      <c r="E423" s="758"/>
      <c r="F423" s="758"/>
      <c r="G423" s="758"/>
      <c r="H423" s="758"/>
      <c r="I423" s="758"/>
      <c r="J423" s="758"/>
      <c r="K423" s="758"/>
      <c r="L423" s="758"/>
      <c r="M423" s="758"/>
      <c r="N423" s="758"/>
      <c r="O423" s="758"/>
      <c r="P423" s="758"/>
      <c r="Q423" s="758"/>
      <c r="R423" s="758"/>
      <c r="S423" s="758"/>
      <c r="T423" s="758"/>
      <c r="U423" s="758"/>
      <c r="V423" s="758"/>
      <c r="W423" s="758"/>
      <c r="X423" s="758"/>
      <c r="Y423" s="758"/>
      <c r="Z423" s="758"/>
      <c r="AA423" s="48"/>
      <c r="AB423" s="48"/>
      <c r="AC423" s="48"/>
    </row>
    <row r="424" spans="1:68" ht="16.5" hidden="1" customHeight="1" x14ac:dyDescent="0.25">
      <c r="A424" s="648" t="s">
        <v>691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33"/>
      <c r="AB424" s="633"/>
      <c r="AC424" s="633"/>
    </row>
    <row r="425" spans="1:68" ht="14.25" hidden="1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55">
        <v>4680115888401</v>
      </c>
      <c r="E426" s="656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0"/>
      <c r="R426" s="650"/>
      <c r="S426" s="650"/>
      <c r="T426" s="651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customHeight="1" x14ac:dyDescent="0.25">
      <c r="A427" s="54" t="s">
        <v>695</v>
      </c>
      <c r="B427" s="54" t="s">
        <v>696</v>
      </c>
      <c r="C427" s="31">
        <v>4301011869</v>
      </c>
      <c r="D427" s="655">
        <v>4680115884847</v>
      </c>
      <c r="E427" s="656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0"/>
      <c r="R427" s="650"/>
      <c r="S427" s="650"/>
      <c r="T427" s="651"/>
      <c r="U427" s="34"/>
      <c r="V427" s="34"/>
      <c r="W427" s="35" t="s">
        <v>67</v>
      </c>
      <c r="X427" s="639">
        <v>1222</v>
      </c>
      <c r="Y427" s="640">
        <f t="shared" si="68"/>
        <v>1230</v>
      </c>
      <c r="Z427" s="36">
        <f>IFERROR(IF(Y427=0,"",ROUNDUP(Y427/H427,0)*0.02175),"")</f>
        <v>1.7834999999999999</v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1260.2893333333334</v>
      </c>
      <c r="BN427" s="64">
        <f t="shared" si="70"/>
        <v>1268.5400000000002</v>
      </c>
      <c r="BO427" s="64">
        <f t="shared" si="71"/>
        <v>1.6972222222222222</v>
      </c>
      <c r="BP427" s="64">
        <f t="shared" si="72"/>
        <v>1.7083333333333333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55">
        <v>4680115884854</v>
      </c>
      <c r="E428" s="656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0"/>
      <c r="R428" s="650"/>
      <c r="S428" s="650"/>
      <c r="T428" s="651"/>
      <c r="U428" s="34"/>
      <c r="V428" s="34"/>
      <c r="W428" s="35" t="s">
        <v>67</v>
      </c>
      <c r="X428" s="639">
        <v>456</v>
      </c>
      <c r="Y428" s="640">
        <f t="shared" si="68"/>
        <v>465</v>
      </c>
      <c r="Z428" s="36">
        <f>IFERROR(IF(Y428=0,"",ROUNDUP(Y428/H428,0)*0.02175),"")</f>
        <v>0.6742499999999999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470.28800000000007</v>
      </c>
      <c r="BN428" s="64">
        <f t="shared" si="70"/>
        <v>479.57</v>
      </c>
      <c r="BO428" s="64">
        <f t="shared" si="71"/>
        <v>0.6333333333333333</v>
      </c>
      <c r="BP428" s="64">
        <f t="shared" si="72"/>
        <v>0.64583333333333326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55">
        <v>4680115884830</v>
      </c>
      <c r="E429" s="656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0"/>
      <c r="R429" s="650"/>
      <c r="S429" s="650"/>
      <c r="T429" s="651"/>
      <c r="U429" s="34"/>
      <c r="V429" s="34"/>
      <c r="W429" s="35" t="s">
        <v>67</v>
      </c>
      <c r="X429" s="639">
        <v>939</v>
      </c>
      <c r="Y429" s="640">
        <f t="shared" si="68"/>
        <v>945</v>
      </c>
      <c r="Z429" s="36">
        <f>IFERROR(IF(Y429=0,"",ROUNDUP(Y429/H429,0)*0.02175),"")</f>
        <v>1.37025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968.42200000000003</v>
      </c>
      <c r="BN429" s="64">
        <f t="shared" si="70"/>
        <v>974.61000000000013</v>
      </c>
      <c r="BO429" s="64">
        <f t="shared" si="71"/>
        <v>1.3041666666666667</v>
      </c>
      <c r="BP429" s="64">
        <f t="shared" si="72"/>
        <v>1.3125</v>
      </c>
    </row>
    <row r="430" spans="1:68" ht="27" customHeight="1" x14ac:dyDescent="0.25">
      <c r="A430" s="54" t="s">
        <v>704</v>
      </c>
      <c r="B430" s="54" t="s">
        <v>705</v>
      </c>
      <c r="C430" s="31">
        <v>4301012356</v>
      </c>
      <c r="D430" s="655">
        <v>4680115889231</v>
      </c>
      <c r="E430" s="656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6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0"/>
      <c r="R430" s="650"/>
      <c r="S430" s="650"/>
      <c r="T430" s="651"/>
      <c r="U430" s="34"/>
      <c r="V430" s="34"/>
      <c r="W430" s="35" t="s">
        <v>67</v>
      </c>
      <c r="X430" s="639">
        <v>500</v>
      </c>
      <c r="Y430" s="640">
        <f t="shared" si="68"/>
        <v>510</v>
      </c>
      <c r="Z430" s="36">
        <f>IFERROR(IF(Y430=0,"",ROUNDUP(Y430/H430,0)*0.02175),"")</f>
        <v>0.73949999999999994</v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515.66666666666663</v>
      </c>
      <c r="BN430" s="64">
        <f t="shared" si="70"/>
        <v>525.98</v>
      </c>
      <c r="BO430" s="64">
        <f t="shared" si="71"/>
        <v>0.69444444444444442</v>
      </c>
      <c r="BP430" s="64">
        <f t="shared" si="72"/>
        <v>0.70833333333333326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55">
        <v>4680115882638</v>
      </c>
      <c r="E431" s="656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9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0"/>
      <c r="R431" s="650"/>
      <c r="S431" s="650"/>
      <c r="T431" s="651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55">
        <v>4680115884922</v>
      </c>
      <c r="E432" s="656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0"/>
      <c r="R432" s="650"/>
      <c r="S432" s="650"/>
      <c r="T432" s="651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55">
        <v>4680115884861</v>
      </c>
      <c r="E433" s="656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0"/>
      <c r="R433" s="650"/>
      <c r="S433" s="650"/>
      <c r="T433" s="651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8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59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207.8</v>
      </c>
      <c r="Y434" s="641">
        <f>IFERROR(Y426/H426,"0")+IFERROR(Y427/H427,"0")+IFERROR(Y428/H428,"0")+IFERROR(Y429/H429,"0")+IFERROR(Y430/H430,"0")+IFERROR(Y431/H431,"0")+IFERROR(Y432/H432,"0")+IFERROR(Y433/H433,"0")</f>
        <v>210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4.5674999999999999</v>
      </c>
      <c r="AA434" s="642"/>
      <c r="AB434" s="642"/>
      <c r="AC434" s="642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59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3117</v>
      </c>
      <c r="Y435" s="641">
        <f>IFERROR(SUM(Y426:Y433),"0")</f>
        <v>3150</v>
      </c>
      <c r="Z435" s="37"/>
      <c r="AA435" s="642"/>
      <c r="AB435" s="642"/>
      <c r="AC435" s="642"/>
    </row>
    <row r="436" spans="1:68" ht="14.25" hidden="1" customHeight="1" x14ac:dyDescent="0.25">
      <c r="A436" s="645" t="s">
        <v>146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55">
        <v>4607091383980</v>
      </c>
      <c r="E437" s="656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0"/>
      <c r="R437" s="650"/>
      <c r="S437" s="650"/>
      <c r="T437" s="651"/>
      <c r="U437" s="34"/>
      <c r="V437" s="34"/>
      <c r="W437" s="35" t="s">
        <v>67</v>
      </c>
      <c r="X437" s="639">
        <v>2375</v>
      </c>
      <c r="Y437" s="640">
        <f>IFERROR(IF(X437="",0,CEILING((X437/$H437),1)*$H437),"")</f>
        <v>2385</v>
      </c>
      <c r="Z437" s="36">
        <f>IFERROR(IF(Y437=0,"",ROUNDUP(Y437/H437,0)*0.02175),"")</f>
        <v>3.4582499999999996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2449.4166666666665</v>
      </c>
      <c r="BN437" s="64">
        <f>IFERROR(Y437*I437/H437,"0")</f>
        <v>2459.7300000000005</v>
      </c>
      <c r="BO437" s="64">
        <f>IFERROR(1/J437*(X437/H437),"0")</f>
        <v>3.2986111111111112</v>
      </c>
      <c r="BP437" s="64">
        <f>IFERROR(1/J437*(Y437/H437),"0")</f>
        <v>3.3125</v>
      </c>
    </row>
    <row r="438" spans="1:68" ht="27" hidden="1" customHeight="1" x14ac:dyDescent="0.25">
      <c r="A438" s="54" t="s">
        <v>719</v>
      </c>
      <c r="B438" s="54" t="s">
        <v>720</v>
      </c>
      <c r="C438" s="31">
        <v>4301020355</v>
      </c>
      <c r="D438" s="655">
        <v>4680115888425</v>
      </c>
      <c r="E438" s="656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10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0"/>
      <c r="R438" s="650"/>
      <c r="S438" s="650"/>
      <c r="T438" s="651"/>
      <c r="U438" s="34"/>
      <c r="V438" s="34"/>
      <c r="W438" s="35" t="s">
        <v>67</v>
      </c>
      <c r="X438" s="639">
        <v>0</v>
      </c>
      <c r="Y438" s="640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55">
        <v>4607091384178</v>
      </c>
      <c r="E439" s="656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8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0"/>
      <c r="R439" s="650"/>
      <c r="S439" s="650"/>
      <c r="T439" s="651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8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59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158.33333333333334</v>
      </c>
      <c r="Y440" s="641">
        <f>IFERROR(Y437/H437,"0")+IFERROR(Y438/H438,"0")+IFERROR(Y439/H439,"0")</f>
        <v>159</v>
      </c>
      <c r="Z440" s="641">
        <f>IFERROR(IF(Z437="",0,Z437),"0")+IFERROR(IF(Z438="",0,Z438),"0")+IFERROR(IF(Z439="",0,Z439),"0")</f>
        <v>3.4582499999999996</v>
      </c>
      <c r="AA440" s="642"/>
      <c r="AB440" s="642"/>
      <c r="AC440" s="642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59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2375</v>
      </c>
      <c r="Y441" s="641">
        <f>IFERROR(SUM(Y437:Y439),"0")</f>
        <v>2385</v>
      </c>
      <c r="Z441" s="37"/>
      <c r="AA441" s="642"/>
      <c r="AB441" s="642"/>
      <c r="AC441" s="642"/>
    </row>
    <row r="442" spans="1:68" ht="14.25" hidden="1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55">
        <v>4607091383928</v>
      </c>
      <c r="E443" s="656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55">
        <v>4607091384260</v>
      </c>
      <c r="E444" s="656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55">
        <v>4680115889538</v>
      </c>
      <c r="E445" s="656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8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8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59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59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55">
        <v>4680115889545</v>
      </c>
      <c r="E449" s="656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0"/>
      <c r="R449" s="650"/>
      <c r="S449" s="650"/>
      <c r="T449" s="651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737</v>
      </c>
      <c r="B450" s="54" t="s">
        <v>738</v>
      </c>
      <c r="C450" s="31">
        <v>4301060524</v>
      </c>
      <c r="D450" s="655">
        <v>4607091384673</v>
      </c>
      <c r="E450" s="656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0"/>
      <c r="R450" s="650"/>
      <c r="S450" s="650"/>
      <c r="T450" s="651"/>
      <c r="U450" s="34"/>
      <c r="V450" s="34"/>
      <c r="W450" s="35" t="s">
        <v>67</v>
      </c>
      <c r="X450" s="639">
        <v>0</v>
      </c>
      <c r="Y450" s="6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8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59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0</v>
      </c>
      <c r="Y451" s="641">
        <f>IFERROR(Y449/H449,"0")+IFERROR(Y450/H450,"0")</f>
        <v>0</v>
      </c>
      <c r="Z451" s="641">
        <f>IFERROR(IF(Z449="",0,Z449),"0")+IFERROR(IF(Z450="",0,Z450),"0")</f>
        <v>0</v>
      </c>
      <c r="AA451" s="642"/>
      <c r="AB451" s="642"/>
      <c r="AC451" s="642"/>
    </row>
    <row r="452" spans="1:68" hidden="1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59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0</v>
      </c>
      <c r="Y452" s="641">
        <f>IFERROR(SUM(Y449:Y450),"0")</f>
        <v>0</v>
      </c>
      <c r="Z452" s="37"/>
      <c r="AA452" s="642"/>
      <c r="AB452" s="642"/>
      <c r="AC452" s="642"/>
    </row>
    <row r="453" spans="1:68" ht="16.5" hidden="1" customHeight="1" x14ac:dyDescent="0.25">
      <c r="A453" s="648" t="s">
        <v>740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33"/>
      <c r="AB453" s="633"/>
      <c r="AC453" s="633"/>
    </row>
    <row r="454" spans="1:68" ht="14.25" hidden="1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55">
        <v>4680115884885</v>
      </c>
      <c r="E455" s="656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10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0"/>
      <c r="R455" s="650"/>
      <c r="S455" s="650"/>
      <c r="T455" s="651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55">
        <v>4680115884908</v>
      </c>
      <c r="E456" s="656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8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59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59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55">
        <v>4607091384802</v>
      </c>
      <c r="E460" s="656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0"/>
      <c r="R460" s="650"/>
      <c r="S460" s="650"/>
      <c r="T460" s="651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8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59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59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55">
        <v>4607091384246</v>
      </c>
      <c r="E464" s="656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4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0"/>
      <c r="R464" s="650"/>
      <c r="S464" s="650"/>
      <c r="T464" s="651"/>
      <c r="U464" s="34"/>
      <c r="V464" s="34"/>
      <c r="W464" s="35" t="s">
        <v>67</v>
      </c>
      <c r="X464" s="639">
        <v>489</v>
      </c>
      <c r="Y464" s="640">
        <f>IFERROR(IF(X464="",0,CEILING((X464/$H464),1)*$H464),"")</f>
        <v>495</v>
      </c>
      <c r="Z464" s="36">
        <f>IFERROR(IF(Y464=0,"",ROUNDUP(Y464/H464,0)*0.01898),"")</f>
        <v>1.0439000000000001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515.84066666666661</v>
      </c>
      <c r="BN464" s="64">
        <f>IFERROR(Y464*I464/H464,"0")</f>
        <v>522.16999999999996</v>
      </c>
      <c r="BO464" s="64">
        <f>IFERROR(1/J464*(X464/H464),"0")</f>
        <v>0.84895833333333337</v>
      </c>
      <c r="BP464" s="64">
        <f>IFERROR(1/J464*(Y464/H464),"0")</f>
        <v>0.859375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55">
        <v>4607091384253</v>
      </c>
      <c r="E465" s="656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0"/>
      <c r="R465" s="650"/>
      <c r="S465" s="650"/>
      <c r="T465" s="651"/>
      <c r="U465" s="34"/>
      <c r="V465" s="34"/>
      <c r="W465" s="35" t="s">
        <v>67</v>
      </c>
      <c r="X465" s="639">
        <v>20</v>
      </c>
      <c r="Y465" s="640">
        <f>IFERROR(IF(X465="",0,CEILING((X465/$H465),1)*$H465),"")</f>
        <v>21.599999999999998</v>
      </c>
      <c r="Z465" s="36">
        <f>IFERROR(IF(Y465=0,"",ROUNDUP(Y465/H465,0)*0.00651),"")</f>
        <v>5.8590000000000003E-2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22.200000000000003</v>
      </c>
      <c r="BN465" s="64">
        <f>IFERROR(Y465*I465/H465,"0")</f>
        <v>23.976000000000003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55">
        <v>4607091384253</v>
      </c>
      <c r="E466" s="656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94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0"/>
      <c r="R466" s="650"/>
      <c r="S466" s="650"/>
      <c r="T466" s="651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8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59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62.666666666666671</v>
      </c>
      <c r="Y467" s="641">
        <f>IFERROR(Y464/H464,"0")+IFERROR(Y465/H465,"0")+IFERROR(Y466/H466,"0")</f>
        <v>64</v>
      </c>
      <c r="Z467" s="641">
        <f>IFERROR(IF(Z464="",0,Z464),"0")+IFERROR(IF(Z465="",0,Z465),"0")+IFERROR(IF(Z466="",0,Z466),"0")</f>
        <v>1.10249</v>
      </c>
      <c r="AA467" s="642"/>
      <c r="AB467" s="642"/>
      <c r="AC467" s="642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59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509</v>
      </c>
      <c r="Y468" s="641">
        <f>IFERROR(SUM(Y464:Y466),"0")</f>
        <v>516.6</v>
      </c>
      <c r="Z468" s="37"/>
      <c r="AA468" s="642"/>
      <c r="AB468" s="642"/>
      <c r="AC468" s="642"/>
    </row>
    <row r="469" spans="1:68" ht="27.75" hidden="1" customHeight="1" x14ac:dyDescent="0.2">
      <c r="A469" s="757" t="s">
        <v>756</v>
      </c>
      <c r="B469" s="758"/>
      <c r="C469" s="758"/>
      <c r="D469" s="758"/>
      <c r="E469" s="758"/>
      <c r="F469" s="758"/>
      <c r="G469" s="758"/>
      <c r="H469" s="758"/>
      <c r="I469" s="758"/>
      <c r="J469" s="758"/>
      <c r="K469" s="758"/>
      <c r="L469" s="758"/>
      <c r="M469" s="758"/>
      <c r="N469" s="758"/>
      <c r="O469" s="758"/>
      <c r="P469" s="758"/>
      <c r="Q469" s="758"/>
      <c r="R469" s="758"/>
      <c r="S469" s="758"/>
      <c r="T469" s="758"/>
      <c r="U469" s="758"/>
      <c r="V469" s="758"/>
      <c r="W469" s="758"/>
      <c r="X469" s="758"/>
      <c r="Y469" s="758"/>
      <c r="Z469" s="758"/>
      <c r="AA469" s="48"/>
      <c r="AB469" s="48"/>
      <c r="AC469" s="48"/>
    </row>
    <row r="470" spans="1:68" ht="16.5" hidden="1" customHeight="1" x14ac:dyDescent="0.25">
      <c r="A470" s="648" t="s">
        <v>757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33"/>
      <c r="AB470" s="633"/>
      <c r="AC470" s="633"/>
    </row>
    <row r="471" spans="1:68" ht="14.25" hidden="1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34"/>
      <c r="AB471" s="634"/>
      <c r="AC471" s="634"/>
    </row>
    <row r="472" spans="1:68" ht="27" hidden="1" customHeight="1" x14ac:dyDescent="0.25">
      <c r="A472" s="54" t="s">
        <v>758</v>
      </c>
      <c r="B472" s="54" t="s">
        <v>759</v>
      </c>
      <c r="C472" s="31">
        <v>4301031405</v>
      </c>
      <c r="D472" s="655">
        <v>4680115886100</v>
      </c>
      <c r="E472" s="656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0"/>
      <c r="R472" s="650"/>
      <c r="S472" s="650"/>
      <c r="T472" s="651"/>
      <c r="U472" s="34"/>
      <c r="V472" s="34"/>
      <c r="W472" s="35" t="s">
        <v>67</v>
      </c>
      <c r="X472" s="639">
        <v>0</v>
      </c>
      <c r="Y472" s="640">
        <f t="shared" ref="Y472:Y477" si="73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0</v>
      </c>
      <c r="BN472" s="64">
        <f t="shared" ref="BN472:BN477" si="75">IFERROR(Y472*I472/H472,"0")</f>
        <v>0</v>
      </c>
      <c r="BO472" s="64">
        <f t="shared" ref="BO472:BO477" si="76">IFERROR(1/J472*(X472/H472),"0")</f>
        <v>0</v>
      </c>
      <c r="BP472" s="64">
        <f t="shared" ref="BP472:BP477" si="77">IFERROR(1/J472*(Y472/H472),"0")</f>
        <v>0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55">
        <v>4680115886124</v>
      </c>
      <c r="E473" s="656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0"/>
      <c r="R473" s="650"/>
      <c r="S473" s="650"/>
      <c r="T473" s="651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55">
        <v>4607091384338</v>
      </c>
      <c r="E474" s="656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3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0"/>
      <c r="R474" s="650"/>
      <c r="S474" s="650"/>
      <c r="T474" s="651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55">
        <v>4680115883161</v>
      </c>
      <c r="E475" s="656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0"/>
      <c r="R475" s="650"/>
      <c r="S475" s="650"/>
      <c r="T475" s="651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55">
        <v>4607091389531</v>
      </c>
      <c r="E476" s="656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0"/>
      <c r="R476" s="650"/>
      <c r="S476" s="650"/>
      <c r="T476" s="651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55">
        <v>4607091384345</v>
      </c>
      <c r="E477" s="656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0"/>
      <c r="R477" s="650"/>
      <c r="S477" s="650"/>
      <c r="T477" s="651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idden="1" x14ac:dyDescent="0.2">
      <c r="A478" s="658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59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0</v>
      </c>
      <c r="Y478" s="641">
        <f>IFERROR(Y472/H472,"0")+IFERROR(Y473/H473,"0")+IFERROR(Y474/H474,"0")+IFERROR(Y475/H475,"0")+IFERROR(Y476/H476,"0")+IFERROR(Y477/H477,"0")</f>
        <v>0</v>
      </c>
      <c r="Z478" s="641">
        <f>IFERROR(IF(Z472="",0,Z472),"0")+IFERROR(IF(Z473="",0,Z473),"0")+IFERROR(IF(Z474="",0,Z474),"0")+IFERROR(IF(Z475="",0,Z475),"0")+IFERROR(IF(Z476="",0,Z476),"0")+IFERROR(IF(Z477="",0,Z477),"0")</f>
        <v>0</v>
      </c>
      <c r="AA478" s="642"/>
      <c r="AB478" s="642"/>
      <c r="AC478" s="642"/>
    </row>
    <row r="479" spans="1:68" hidden="1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59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0</v>
      </c>
      <c r="Y479" s="641">
        <f>IFERROR(SUM(Y472:Y477),"0")</f>
        <v>0</v>
      </c>
      <c r="Z479" s="37"/>
      <c r="AA479" s="642"/>
      <c r="AB479" s="642"/>
      <c r="AC479" s="642"/>
    </row>
    <row r="480" spans="1:68" ht="14.25" hidden="1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55">
        <v>4607091384352</v>
      </c>
      <c r="E481" s="656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0"/>
      <c r="R481" s="650"/>
      <c r="S481" s="650"/>
      <c r="T481" s="651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55">
        <v>4607091389654</v>
      </c>
      <c r="E482" s="656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0"/>
      <c r="R482" s="650"/>
      <c r="S482" s="650"/>
      <c r="T482" s="651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8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59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59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48" t="s">
        <v>780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33"/>
      <c r="AB485" s="633"/>
      <c r="AC485" s="633"/>
    </row>
    <row r="486" spans="1:68" ht="14.25" hidden="1" customHeight="1" x14ac:dyDescent="0.25">
      <c r="A486" s="645" t="s">
        <v>146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55">
        <v>4680115885240</v>
      </c>
      <c r="E487" s="656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1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0"/>
      <c r="R487" s="650"/>
      <c r="S487" s="650"/>
      <c r="T487" s="651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8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59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59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55">
        <v>4680115886094</v>
      </c>
      <c r="E491" s="656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0"/>
      <c r="R491" s="650"/>
      <c r="S491" s="650"/>
      <c r="T491" s="651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55">
        <v>4680115880771</v>
      </c>
      <c r="E492" s="656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0"/>
      <c r="R492" s="650"/>
      <c r="S492" s="650"/>
      <c r="T492" s="651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55">
        <v>4607091389500</v>
      </c>
      <c r="E493" s="656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9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0"/>
      <c r="R493" s="650"/>
      <c r="S493" s="650"/>
      <c r="T493" s="651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8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59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59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757" t="s">
        <v>792</v>
      </c>
      <c r="B496" s="758"/>
      <c r="C496" s="758"/>
      <c r="D496" s="758"/>
      <c r="E496" s="758"/>
      <c r="F496" s="758"/>
      <c r="G496" s="758"/>
      <c r="H496" s="758"/>
      <c r="I496" s="758"/>
      <c r="J496" s="758"/>
      <c r="K496" s="758"/>
      <c r="L496" s="758"/>
      <c r="M496" s="758"/>
      <c r="N496" s="758"/>
      <c r="O496" s="758"/>
      <c r="P496" s="758"/>
      <c r="Q496" s="758"/>
      <c r="R496" s="758"/>
      <c r="S496" s="758"/>
      <c r="T496" s="758"/>
      <c r="U496" s="758"/>
      <c r="V496" s="758"/>
      <c r="W496" s="758"/>
      <c r="X496" s="758"/>
      <c r="Y496" s="758"/>
      <c r="Z496" s="758"/>
      <c r="AA496" s="48"/>
      <c r="AB496" s="48"/>
      <c r="AC496" s="48"/>
    </row>
    <row r="497" spans="1:68" ht="16.5" hidden="1" customHeight="1" x14ac:dyDescent="0.25">
      <c r="A497" s="648" t="s">
        <v>792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33"/>
      <c r="AB497" s="633"/>
      <c r="AC497" s="633"/>
    </row>
    <row r="498" spans="1:68" ht="14.25" hidden="1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34"/>
      <c r="AB498" s="634"/>
      <c r="AC498" s="634"/>
    </row>
    <row r="499" spans="1:68" ht="27" hidden="1" customHeight="1" x14ac:dyDescent="0.25">
      <c r="A499" s="54" t="s">
        <v>793</v>
      </c>
      <c r="B499" s="54" t="s">
        <v>794</v>
      </c>
      <c r="C499" s="31">
        <v>4301011769</v>
      </c>
      <c r="D499" s="655">
        <v>4607091389067</v>
      </c>
      <c r="E499" s="656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0"/>
      <c r="R499" s="650"/>
      <c r="S499" s="650"/>
      <c r="T499" s="651"/>
      <c r="U499" s="34"/>
      <c r="V499" s="34"/>
      <c r="W499" s="35" t="s">
        <v>67</v>
      </c>
      <c r="X499" s="639">
        <v>0</v>
      </c>
      <c r="Y499" s="640">
        <f t="shared" ref="Y499:Y507" si="78">IFERROR(IF(X499="",0,CEILING((X499/$H499),1)*$H499),"")</f>
        <v>0</v>
      </c>
      <c r="Z499" s="36" t="str">
        <f t="shared" ref="Z499:Z504" si="79">IFERROR(IF(Y499=0,"",ROUNDUP(Y499/H499,0)*0.01196),"")</f>
        <v/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0</v>
      </c>
      <c r="BN499" s="64">
        <f t="shared" ref="BN499:BN507" si="81">IFERROR(Y499*I499/H499,"0")</f>
        <v>0</v>
      </c>
      <c r="BO499" s="64">
        <f t="shared" ref="BO499:BO507" si="82">IFERROR(1/J499*(X499/H499),"0")</f>
        <v>0</v>
      </c>
      <c r="BP499" s="64">
        <f t="shared" ref="BP499:BP507" si="83">IFERROR(1/J499*(Y499/H499),"0")</f>
        <v>0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55">
        <v>4680115889576</v>
      </c>
      <c r="E500" s="656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9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0"/>
      <c r="R500" s="650"/>
      <c r="S500" s="650"/>
      <c r="T500" s="651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55">
        <v>4680115885271</v>
      </c>
      <c r="E501" s="656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0"/>
      <c r="R501" s="650"/>
      <c r="S501" s="650"/>
      <c r="T501" s="651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55">
        <v>4680115885226</v>
      </c>
      <c r="E502" s="656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0"/>
      <c r="R502" s="650"/>
      <c r="S502" s="650"/>
      <c r="T502" s="651"/>
      <c r="U502" s="34"/>
      <c r="V502" s="34"/>
      <c r="W502" s="35" t="s">
        <v>67</v>
      </c>
      <c r="X502" s="639">
        <v>1035</v>
      </c>
      <c r="Y502" s="640">
        <f t="shared" si="78"/>
        <v>1040.1600000000001</v>
      </c>
      <c r="Z502" s="36">
        <f t="shared" si="79"/>
        <v>2.3561200000000002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1103.6079545454545</v>
      </c>
      <c r="BN502" s="64">
        <f t="shared" si="81"/>
        <v>1109.1099999999999</v>
      </c>
      <c r="BO502" s="64">
        <f t="shared" si="82"/>
        <v>1.884833916083916</v>
      </c>
      <c r="BP502" s="64">
        <f t="shared" si="83"/>
        <v>1.8942307692307694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55">
        <v>4680115884502</v>
      </c>
      <c r="E503" s="656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0"/>
      <c r="R503" s="650"/>
      <c r="S503" s="650"/>
      <c r="T503" s="651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55">
        <v>4607091389104</v>
      </c>
      <c r="E504" s="656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73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0"/>
      <c r="R504" s="650"/>
      <c r="S504" s="650"/>
      <c r="T504" s="651"/>
      <c r="U504" s="34"/>
      <c r="V504" s="34"/>
      <c r="W504" s="35" t="s">
        <v>67</v>
      </c>
      <c r="X504" s="639">
        <v>1039</v>
      </c>
      <c r="Y504" s="640">
        <f t="shared" si="78"/>
        <v>1040.1600000000001</v>
      </c>
      <c r="Z504" s="36">
        <f t="shared" si="79"/>
        <v>2.3561200000000002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1107.873106060606</v>
      </c>
      <c r="BN504" s="64">
        <f t="shared" si="81"/>
        <v>1109.1099999999999</v>
      </c>
      <c r="BO504" s="64">
        <f t="shared" si="82"/>
        <v>1.8921182983682985</v>
      </c>
      <c r="BP504" s="64">
        <f t="shared" si="83"/>
        <v>1.8942307692307694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55">
        <v>4680115886391</v>
      </c>
      <c r="E505" s="656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0"/>
      <c r="R505" s="650"/>
      <c r="S505" s="650"/>
      <c r="T505" s="651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hidden="1" customHeight="1" x14ac:dyDescent="0.25">
      <c r="A506" s="54" t="s">
        <v>812</v>
      </c>
      <c r="B506" s="54" t="s">
        <v>813</v>
      </c>
      <c r="C506" s="31">
        <v>4301012048</v>
      </c>
      <c r="D506" s="655">
        <v>4680115880603</v>
      </c>
      <c r="E506" s="656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0"/>
      <c r="R506" s="650"/>
      <c r="S506" s="650"/>
      <c r="T506" s="651"/>
      <c r="U506" s="34"/>
      <c r="V506" s="34"/>
      <c r="W506" s="35" t="s">
        <v>67</v>
      </c>
      <c r="X506" s="639">
        <v>0</v>
      </c>
      <c r="Y506" s="640">
        <f t="shared" si="78"/>
        <v>0</v>
      </c>
      <c r="Z506" s="36" t="str">
        <f>IFERROR(IF(Y506=0,"",ROUNDUP(Y506/H506,0)*0.00902),"")</f>
        <v/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55">
        <v>4607091389982</v>
      </c>
      <c r="E507" s="656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0"/>
      <c r="R507" s="650"/>
      <c r="S507" s="650"/>
      <c r="T507" s="651"/>
      <c r="U507" s="34"/>
      <c r="V507" s="34"/>
      <c r="W507" s="35" t="s">
        <v>67</v>
      </c>
      <c r="X507" s="639">
        <v>225</v>
      </c>
      <c r="Y507" s="640">
        <f t="shared" si="78"/>
        <v>225.6</v>
      </c>
      <c r="Z507" s="36">
        <f>IFERROR(IF(Y507=0,"",ROUNDUP(Y507/H507,0)*0.00902),"")</f>
        <v>0.42393999999999998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323.90625</v>
      </c>
      <c r="BN507" s="64">
        <f t="shared" si="81"/>
        <v>324.77</v>
      </c>
      <c r="BO507" s="64">
        <f t="shared" si="82"/>
        <v>0.35511363636363635</v>
      </c>
      <c r="BP507" s="64">
        <f t="shared" si="83"/>
        <v>0.35606060606060608</v>
      </c>
    </row>
    <row r="508" spans="1:68" x14ac:dyDescent="0.2">
      <c r="A508" s="658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59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439.67803030303025</v>
      </c>
      <c r="Y508" s="641">
        <f>IFERROR(Y499/H499,"0")+IFERROR(Y500/H500,"0")+IFERROR(Y501/H501,"0")+IFERROR(Y502/H502,"0")+IFERROR(Y503/H503,"0")+IFERROR(Y504/H504,"0")+IFERROR(Y505/H505,"0")+IFERROR(Y506/H506,"0")+IFERROR(Y507/H507,"0")</f>
        <v>441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5.1361800000000004</v>
      </c>
      <c r="AA508" s="642"/>
      <c r="AB508" s="642"/>
      <c r="AC508" s="642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59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2299</v>
      </c>
      <c r="Y509" s="641">
        <f>IFERROR(SUM(Y499:Y507),"0")</f>
        <v>2305.92</v>
      </c>
      <c r="Z509" s="37"/>
      <c r="AA509" s="642"/>
      <c r="AB509" s="642"/>
      <c r="AC509" s="642"/>
    </row>
    <row r="510" spans="1:68" ht="14.25" hidden="1" customHeight="1" x14ac:dyDescent="0.25">
      <c r="A510" s="645" t="s">
        <v>146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55">
        <v>4607091388930</v>
      </c>
      <c r="E511" s="656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9">
        <v>833</v>
      </c>
      <c r="Y511" s="640">
        <f>IFERROR(IF(X511="",0,CEILING((X511/$H511),1)*$H511),"")</f>
        <v>834.24</v>
      </c>
      <c r="Z511" s="36">
        <f>IFERROR(IF(Y511=0,"",ROUNDUP(Y511/H511,0)*0.01196),"")</f>
        <v>1.88968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888.217803030303</v>
      </c>
      <c r="BN511" s="64">
        <f>IFERROR(Y511*I511/H511,"0")</f>
        <v>889.54</v>
      </c>
      <c r="BO511" s="64">
        <f>IFERROR(1/J511*(X511/H511),"0")</f>
        <v>1.5169726107226107</v>
      </c>
      <c r="BP511" s="64">
        <f>IFERROR(1/J511*(Y511/H511),"0")</f>
        <v>1.5192307692307694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55">
        <v>4680115886407</v>
      </c>
      <c r="E512" s="656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55">
        <v>4680115880054</v>
      </c>
      <c r="E513" s="656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2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9">
        <v>114</v>
      </c>
      <c r="Y513" s="640">
        <f>IFERROR(IF(X513="",0,CEILING((X513/$H513),1)*$H513),"")</f>
        <v>115.19999999999999</v>
      </c>
      <c r="Z513" s="36">
        <f>IFERROR(IF(Y513=0,"",ROUNDUP(Y513/H513,0)*0.00902),"")</f>
        <v>0.21648000000000001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164.11250000000001</v>
      </c>
      <c r="BN513" s="64">
        <f>IFERROR(Y513*I513/H513,"0")</f>
        <v>165.84</v>
      </c>
      <c r="BO513" s="64">
        <f>IFERROR(1/J513*(X513/H513),"0")</f>
        <v>0.17992424242424243</v>
      </c>
      <c r="BP513" s="64">
        <f>IFERROR(1/J513*(Y513/H513),"0")</f>
        <v>0.18181818181818182</v>
      </c>
    </row>
    <row r="514" spans="1:68" x14ac:dyDescent="0.2">
      <c r="A514" s="658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59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181.5151515151515</v>
      </c>
      <c r="Y514" s="641">
        <f>IFERROR(Y511/H511,"0")+IFERROR(Y512/H512,"0")+IFERROR(Y513/H513,"0")</f>
        <v>182</v>
      </c>
      <c r="Z514" s="641">
        <f>IFERROR(IF(Z511="",0,Z511),"0")+IFERROR(IF(Z512="",0,Z512),"0")+IFERROR(IF(Z513="",0,Z513),"0")</f>
        <v>2.10616</v>
      </c>
      <c r="AA514" s="642"/>
      <c r="AB514" s="642"/>
      <c r="AC514" s="642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59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947</v>
      </c>
      <c r="Y515" s="641">
        <f>IFERROR(SUM(Y511:Y513),"0")</f>
        <v>949.44</v>
      </c>
      <c r="Z515" s="37"/>
      <c r="AA515" s="642"/>
      <c r="AB515" s="642"/>
      <c r="AC515" s="642"/>
    </row>
    <row r="516" spans="1:68" ht="14.25" hidden="1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34"/>
      <c r="AB516" s="634"/>
      <c r="AC516" s="634"/>
    </row>
    <row r="517" spans="1:68" ht="27" hidden="1" customHeight="1" x14ac:dyDescent="0.25">
      <c r="A517" s="54" t="s">
        <v>823</v>
      </c>
      <c r="B517" s="54" t="s">
        <v>824</v>
      </c>
      <c r="C517" s="31">
        <v>4301031349</v>
      </c>
      <c r="D517" s="655">
        <v>4680115883116</v>
      </c>
      <c r="E517" s="656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1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9">
        <v>0</v>
      </c>
      <c r="Y517" s="640">
        <f t="shared" ref="Y517:Y523" si="84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0</v>
      </c>
      <c r="BN517" s="64">
        <f t="shared" ref="BN517:BN523" si="86">IFERROR(Y517*I517/H517,"0")</f>
        <v>0</v>
      </c>
      <c r="BO517" s="64">
        <f t="shared" ref="BO517:BO523" si="87">IFERROR(1/J517*(X517/H517),"0")</f>
        <v>0</v>
      </c>
      <c r="BP517" s="64">
        <f t="shared" ref="BP517:BP523" si="88">IFERROR(1/J517*(Y517/H517),"0")</f>
        <v>0</v>
      </c>
    </row>
    <row r="518" spans="1:68" ht="27" customHeight="1" x14ac:dyDescent="0.25">
      <c r="A518" s="54" t="s">
        <v>826</v>
      </c>
      <c r="B518" s="54" t="s">
        <v>827</v>
      </c>
      <c r="C518" s="31">
        <v>4301031350</v>
      </c>
      <c r="D518" s="655">
        <v>4680115883093</v>
      </c>
      <c r="E518" s="656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9">
        <v>277</v>
      </c>
      <c r="Y518" s="640">
        <f t="shared" si="84"/>
        <v>279.84000000000003</v>
      </c>
      <c r="Z518" s="36">
        <f>IFERROR(IF(Y518=0,"",ROUNDUP(Y518/H518,0)*0.01196),"")</f>
        <v>0.63388</v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295.36174242424244</v>
      </c>
      <c r="BN518" s="64">
        <f t="shared" si="86"/>
        <v>298.39000000000004</v>
      </c>
      <c r="BO518" s="64">
        <f t="shared" si="87"/>
        <v>0.50444347319347316</v>
      </c>
      <c r="BP518" s="64">
        <f t="shared" si="88"/>
        <v>0.50961538461538469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55">
        <v>4680115883109</v>
      </c>
      <c r="E519" s="656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5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0"/>
      <c r="R519" s="650"/>
      <c r="S519" s="650"/>
      <c r="T519" s="651"/>
      <c r="U519" s="34"/>
      <c r="V519" s="34"/>
      <c r="W519" s="35" t="s">
        <v>67</v>
      </c>
      <c r="X519" s="639">
        <v>642</v>
      </c>
      <c r="Y519" s="640">
        <f t="shared" si="84"/>
        <v>644.16000000000008</v>
      </c>
      <c r="Z519" s="36">
        <f>IFERROR(IF(Y519=0,"",ROUNDUP(Y519/H519,0)*0.01196),"")</f>
        <v>1.45912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684.55681818181813</v>
      </c>
      <c r="BN519" s="64">
        <f t="shared" si="86"/>
        <v>686.86000000000013</v>
      </c>
      <c r="BO519" s="64">
        <f t="shared" si="87"/>
        <v>1.1691433566433567</v>
      </c>
      <c r="BP519" s="64">
        <f t="shared" si="88"/>
        <v>1.1730769230769234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55">
        <v>4680115882072</v>
      </c>
      <c r="E520" s="656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0"/>
      <c r="R520" s="650"/>
      <c r="S520" s="650"/>
      <c r="T520" s="651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55">
        <v>4680115882102</v>
      </c>
      <c r="E521" s="656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0"/>
      <c r="R521" s="650"/>
      <c r="S521" s="650"/>
      <c r="T521" s="651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55">
        <v>4680115882102</v>
      </c>
      <c r="E522" s="656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0"/>
      <c r="R522" s="650"/>
      <c r="S522" s="650"/>
      <c r="T522" s="651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55">
        <v>4680115882096</v>
      </c>
      <c r="E523" s="656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9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8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59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174.05303030303028</v>
      </c>
      <c r="Y524" s="641">
        <f>IFERROR(Y517/H517,"0")+IFERROR(Y518/H518,"0")+IFERROR(Y519/H519,"0")+IFERROR(Y520/H520,"0")+IFERROR(Y521/H521,"0")+IFERROR(Y522/H522,"0")+IFERROR(Y523/H523,"0")</f>
        <v>175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2.093</v>
      </c>
      <c r="AA524" s="642"/>
      <c r="AB524" s="642"/>
      <c r="AC524" s="642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59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919</v>
      </c>
      <c r="Y525" s="641">
        <f>IFERROR(SUM(Y517:Y523),"0")</f>
        <v>924.00000000000011</v>
      </c>
      <c r="Z525" s="37"/>
      <c r="AA525" s="642"/>
      <c r="AB525" s="642"/>
      <c r="AC525" s="642"/>
    </row>
    <row r="526" spans="1:68" ht="27.75" hidden="1" customHeight="1" x14ac:dyDescent="0.2">
      <c r="A526" s="757" t="s">
        <v>839</v>
      </c>
      <c r="B526" s="758"/>
      <c r="C526" s="758"/>
      <c r="D526" s="758"/>
      <c r="E526" s="758"/>
      <c r="F526" s="758"/>
      <c r="G526" s="758"/>
      <c r="H526" s="758"/>
      <c r="I526" s="758"/>
      <c r="J526" s="758"/>
      <c r="K526" s="758"/>
      <c r="L526" s="758"/>
      <c r="M526" s="758"/>
      <c r="N526" s="758"/>
      <c r="O526" s="758"/>
      <c r="P526" s="758"/>
      <c r="Q526" s="758"/>
      <c r="R526" s="758"/>
      <c r="S526" s="758"/>
      <c r="T526" s="758"/>
      <c r="U526" s="758"/>
      <c r="V526" s="758"/>
      <c r="W526" s="758"/>
      <c r="X526" s="758"/>
      <c r="Y526" s="758"/>
      <c r="Z526" s="758"/>
      <c r="AA526" s="48"/>
      <c r="AB526" s="48"/>
      <c r="AC526" s="48"/>
    </row>
    <row r="527" spans="1:68" ht="16.5" hidden="1" customHeight="1" x14ac:dyDescent="0.25">
      <c r="A527" s="648" t="s">
        <v>839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33"/>
      <c r="AB527" s="633"/>
      <c r="AC527" s="633"/>
    </row>
    <row r="528" spans="1:68" ht="14.25" hidden="1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55">
        <v>4640242180564</v>
      </c>
      <c r="E529" s="656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9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0"/>
      <c r="R529" s="650"/>
      <c r="S529" s="650"/>
      <c r="T529" s="651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8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59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59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5" t="s">
        <v>146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55">
        <v>4640242180519</v>
      </c>
      <c r="E533" s="656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0"/>
      <c r="R533" s="650"/>
      <c r="S533" s="650"/>
      <c r="T533" s="651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8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59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59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55">
        <v>4640242180595</v>
      </c>
      <c r="E537" s="656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4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0"/>
      <c r="R537" s="650"/>
      <c r="S537" s="650"/>
      <c r="T537" s="651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8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59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59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34"/>
      <c r="AB540" s="634"/>
      <c r="AC540" s="634"/>
    </row>
    <row r="541" spans="1:68" ht="27" hidden="1" customHeight="1" x14ac:dyDescent="0.25">
      <c r="A541" s="54" t="s">
        <v>849</v>
      </c>
      <c r="B541" s="54" t="s">
        <v>850</v>
      </c>
      <c r="C541" s="31">
        <v>4301052043</v>
      </c>
      <c r="D541" s="655">
        <v>4640242180533</v>
      </c>
      <c r="E541" s="656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9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0"/>
      <c r="R541" s="650"/>
      <c r="S541" s="650"/>
      <c r="T541" s="651"/>
      <c r="U541" s="34"/>
      <c r="V541" s="34"/>
      <c r="W541" s="35" t="s">
        <v>67</v>
      </c>
      <c r="X541" s="639">
        <v>0</v>
      </c>
      <c r="Y541" s="640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8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59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0</v>
      </c>
      <c r="Y542" s="641">
        <f>IFERROR(Y541/H541,"0")</f>
        <v>0</v>
      </c>
      <c r="Z542" s="641">
        <f>IFERROR(IF(Z541="",0,Z541),"0")</f>
        <v>0</v>
      </c>
      <c r="AA542" s="642"/>
      <c r="AB542" s="642"/>
      <c r="AC542" s="642"/>
    </row>
    <row r="543" spans="1:68" hidden="1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59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0</v>
      </c>
      <c r="Y543" s="641">
        <f>IFERROR(SUM(Y541:Y541),"0")</f>
        <v>0</v>
      </c>
      <c r="Z543" s="37"/>
      <c r="AA543" s="642"/>
      <c r="AB543" s="642"/>
      <c r="AC543" s="642"/>
    </row>
    <row r="544" spans="1:68" ht="14.25" hidden="1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55">
        <v>4640242180120</v>
      </c>
      <c r="E545" s="656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0"/>
      <c r="R545" s="650"/>
      <c r="S545" s="650"/>
      <c r="T545" s="651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55">
        <v>4640242180137</v>
      </c>
      <c r="E546" s="656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9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0"/>
      <c r="R546" s="650"/>
      <c r="S546" s="650"/>
      <c r="T546" s="651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8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59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59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48" t="s">
        <v>858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33"/>
      <c r="AB549" s="633"/>
      <c r="AC549" s="633"/>
    </row>
    <row r="550" spans="1:68" ht="14.25" hidden="1" customHeight="1" x14ac:dyDescent="0.25">
      <c r="A550" s="645" t="s">
        <v>146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55">
        <v>4680115889798</v>
      </c>
      <c r="E551" s="656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5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0"/>
      <c r="R551" s="650"/>
      <c r="S551" s="650"/>
      <c r="T551" s="651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8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59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59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953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848"/>
      <c r="P554" s="759" t="s">
        <v>862</v>
      </c>
      <c r="Q554" s="675"/>
      <c r="R554" s="675"/>
      <c r="S554" s="675"/>
      <c r="T554" s="675"/>
      <c r="U554" s="675"/>
      <c r="V554" s="676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17602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17741.260000000002</v>
      </c>
      <c r="Z554" s="37"/>
      <c r="AA554" s="642"/>
      <c r="AB554" s="642"/>
      <c r="AC554" s="642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848"/>
      <c r="P555" s="759" t="s">
        <v>863</v>
      </c>
      <c r="Q555" s="675"/>
      <c r="R555" s="675"/>
      <c r="S555" s="675"/>
      <c r="T555" s="675"/>
      <c r="U555" s="675"/>
      <c r="V555" s="676"/>
      <c r="W555" s="37" t="s">
        <v>67</v>
      </c>
      <c r="X555" s="641">
        <f>IFERROR(SUM(BM22:BM551),"0")</f>
        <v>18712.366757283209</v>
      </c>
      <c r="Y555" s="641">
        <f>IFERROR(SUM(BN22:BN551),"0")</f>
        <v>18859.128000000004</v>
      </c>
      <c r="Z555" s="37"/>
      <c r="AA555" s="642"/>
      <c r="AB555" s="642"/>
      <c r="AC555" s="642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848"/>
      <c r="P556" s="759" t="s">
        <v>864</v>
      </c>
      <c r="Q556" s="675"/>
      <c r="R556" s="675"/>
      <c r="S556" s="675"/>
      <c r="T556" s="675"/>
      <c r="U556" s="675"/>
      <c r="V556" s="676"/>
      <c r="W556" s="37" t="s">
        <v>865</v>
      </c>
      <c r="X556" s="38">
        <f>ROUNDUP(SUM(BO22:BO551),0)</f>
        <v>30</v>
      </c>
      <c r="Y556" s="38">
        <f>ROUNDUP(SUM(BP22:BP551),0)</f>
        <v>31</v>
      </c>
      <c r="Z556" s="37"/>
      <c r="AA556" s="642"/>
      <c r="AB556" s="642"/>
      <c r="AC556" s="642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848"/>
      <c r="P557" s="759" t="s">
        <v>866</v>
      </c>
      <c r="Q557" s="675"/>
      <c r="R557" s="675"/>
      <c r="S557" s="675"/>
      <c r="T557" s="675"/>
      <c r="U557" s="675"/>
      <c r="V557" s="676"/>
      <c r="W557" s="37" t="s">
        <v>67</v>
      </c>
      <c r="X557" s="641">
        <f>GrossWeightTotal+PalletQtyTotal*25</f>
        <v>19462.366757283209</v>
      </c>
      <c r="Y557" s="641">
        <f>GrossWeightTotalR+PalletQtyTotalR*25</f>
        <v>19634.128000000004</v>
      </c>
      <c r="Z557" s="37"/>
      <c r="AA557" s="642"/>
      <c r="AB557" s="642"/>
      <c r="AC557" s="642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848"/>
      <c r="P558" s="759" t="s">
        <v>867</v>
      </c>
      <c r="Q558" s="675"/>
      <c r="R558" s="675"/>
      <c r="S558" s="675"/>
      <c r="T558" s="675"/>
      <c r="U558" s="675"/>
      <c r="V558" s="676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2946.1614675992132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2967</v>
      </c>
      <c r="Z558" s="37"/>
      <c r="AA558" s="642"/>
      <c r="AB558" s="642"/>
      <c r="AC558" s="642"/>
    </row>
    <row r="559" spans="1:68" ht="15.6" hidden="1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848"/>
      <c r="P559" s="759" t="s">
        <v>868</v>
      </c>
      <c r="Q559" s="675"/>
      <c r="R559" s="675"/>
      <c r="S559" s="675"/>
      <c r="T559" s="675"/>
      <c r="U559" s="675"/>
      <c r="V559" s="676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35.367589999999993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43" t="s">
        <v>109</v>
      </c>
      <c r="E561" s="830"/>
      <c r="F561" s="830"/>
      <c r="G561" s="830"/>
      <c r="H561" s="830"/>
      <c r="I561" s="830"/>
      <c r="J561" s="690"/>
      <c r="K561" s="643" t="s">
        <v>333</v>
      </c>
      <c r="L561" s="830"/>
      <c r="M561" s="830"/>
      <c r="N561" s="830"/>
      <c r="O561" s="830"/>
      <c r="P561" s="830"/>
      <c r="Q561" s="830"/>
      <c r="R561" s="830"/>
      <c r="S561" s="830"/>
      <c r="T561" s="830"/>
      <c r="U561" s="830"/>
      <c r="V561" s="690"/>
      <c r="W561" s="643" t="s">
        <v>690</v>
      </c>
      <c r="X561" s="690"/>
      <c r="Y561" s="643" t="s">
        <v>756</v>
      </c>
      <c r="Z561" s="690"/>
      <c r="AA561" s="631" t="s">
        <v>792</v>
      </c>
      <c r="AB561" s="643" t="s">
        <v>839</v>
      </c>
      <c r="AC561" s="690"/>
      <c r="AF561" s="632"/>
    </row>
    <row r="562" spans="1:32" ht="14.25" customHeight="1" thickTop="1" x14ac:dyDescent="0.2">
      <c r="A562" s="965" t="s">
        <v>871</v>
      </c>
      <c r="B562" s="643" t="s">
        <v>61</v>
      </c>
      <c r="C562" s="643" t="s">
        <v>93</v>
      </c>
      <c r="D562" s="643" t="s">
        <v>110</v>
      </c>
      <c r="E562" s="643" t="s">
        <v>126</v>
      </c>
      <c r="F562" s="643" t="s">
        <v>172</v>
      </c>
      <c r="G562" s="643" t="s">
        <v>195</v>
      </c>
      <c r="H562" s="643" t="s">
        <v>239</v>
      </c>
      <c r="I562" s="643" t="s">
        <v>252</v>
      </c>
      <c r="J562" s="643" t="s">
        <v>109</v>
      </c>
      <c r="K562" s="643" t="s">
        <v>334</v>
      </c>
      <c r="L562" s="643" t="s">
        <v>355</v>
      </c>
      <c r="M562" s="643" t="s">
        <v>429</v>
      </c>
      <c r="N562" s="632"/>
      <c r="O562" s="643" t="s">
        <v>497</v>
      </c>
      <c r="P562" s="643" t="s">
        <v>526</v>
      </c>
      <c r="Q562" s="643" t="s">
        <v>547</v>
      </c>
      <c r="R562" s="643" t="s">
        <v>556</v>
      </c>
      <c r="S562" s="643" t="s">
        <v>577</v>
      </c>
      <c r="T562" s="643" t="s">
        <v>586</v>
      </c>
      <c r="U562" s="643" t="s">
        <v>673</v>
      </c>
      <c r="V562" s="643" t="s">
        <v>680</v>
      </c>
      <c r="W562" s="643" t="s">
        <v>691</v>
      </c>
      <c r="X562" s="643" t="s">
        <v>740</v>
      </c>
      <c r="Y562" s="643" t="s">
        <v>757</v>
      </c>
      <c r="Z562" s="643" t="s">
        <v>780</v>
      </c>
      <c r="AA562" s="643" t="s">
        <v>792</v>
      </c>
      <c r="AB562" s="643" t="s">
        <v>839</v>
      </c>
      <c r="AC562" s="643" t="s">
        <v>858</v>
      </c>
      <c r="AF562" s="632"/>
    </row>
    <row r="563" spans="1:32" ht="13.9" customHeight="1" thickBot="1" x14ac:dyDescent="0.25">
      <c r="A563" s="966"/>
      <c r="B563" s="644"/>
      <c r="C563" s="644"/>
      <c r="D563" s="644"/>
      <c r="E563" s="644"/>
      <c r="F563" s="644"/>
      <c r="G563" s="644"/>
      <c r="H563" s="644"/>
      <c r="I563" s="644"/>
      <c r="J563" s="644"/>
      <c r="K563" s="644"/>
      <c r="L563" s="644"/>
      <c r="M563" s="644"/>
      <c r="N563" s="632"/>
      <c r="O563" s="644"/>
      <c r="P563" s="644"/>
      <c r="Q563" s="644"/>
      <c r="R563" s="644"/>
      <c r="S563" s="644"/>
      <c r="T563" s="644"/>
      <c r="U563" s="644"/>
      <c r="V563" s="644"/>
      <c r="W563" s="644"/>
      <c r="X563" s="644"/>
      <c r="Y563" s="644"/>
      <c r="Z563" s="644"/>
      <c r="AA563" s="644"/>
      <c r="AB563" s="644"/>
      <c r="AC563" s="644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550.80000000000007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316.8</v>
      </c>
      <c r="F564" s="46">
        <f>IFERROR(Y85*1,"0")+IFERROR(Y86*1,"0")+IFERROR(Y87*1,"0")+IFERROR(Y88*1,"0")+IFERROR(Y89*1,"0")+IFERROR(Y93*1,"0")+IFERROR(Y94*1,"0")+IFERROR(Y95*1,"0")+IFERROR(Y96*1,"0")</f>
        <v>1374.4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3577.86</v>
      </c>
      <c r="H564" s="46">
        <f>IFERROR(Y132*1,"0")+IFERROR(Y133*1,"0")+IFERROR(Y137*1,"0")+IFERROR(Y138*1,"0")+IFERROR(Y142*1,"0")+IFERROR(Y143*1,"0")</f>
        <v>0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21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5.04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1176.9000000000001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0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21.599999999999998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148.19999999999999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290.39999999999998</v>
      </c>
      <c r="U564" s="46">
        <f>IFERROR(Y412*1,"0")+IFERROR(Y413*1,"0")</f>
        <v>0</v>
      </c>
      <c r="V564" s="46">
        <f>IFERROR(Y418*1,"0")+IFERROR(Y419*1,"0")+IFERROR(Y420*1,"0")</f>
        <v>27.300000000000004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5535</v>
      </c>
      <c r="X564" s="46">
        <f>IFERROR(Y455*1,"0")+IFERROR(Y456*1,"0")+IFERROR(Y460*1,"0")+IFERROR(Y464*1,"0")+IFERROR(Y465*1,"0")+IFERROR(Y466*1,"0")</f>
        <v>516.6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4179.3599999999997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00"/>
        <filter val="1 039,00"/>
        <filter val="1 222,00"/>
        <filter val="1 250,00"/>
        <filter val="1 260,00"/>
        <filter val="1 401,00"/>
        <filter val="102,06"/>
        <filter val="106,00"/>
        <filter val="11,90"/>
        <filter val="114,00"/>
        <filter val="12,00"/>
        <filter val="13,00"/>
        <filter val="130,00"/>
        <filter val="144,00"/>
        <filter val="15,00"/>
        <filter val="15,29"/>
        <filter val="158,33"/>
        <filter val="17 602,00"/>
        <filter val="174,05"/>
        <filter val="18 712,37"/>
        <filter val="18,00"/>
        <filter val="18,46"/>
        <filter val="181,52"/>
        <filter val="19 462,37"/>
        <filter val="2 299,00"/>
        <filter val="2 375,00"/>
        <filter val="2 651,00"/>
        <filter val="2 946,16"/>
        <filter val="20,00"/>
        <filter val="200,00"/>
        <filter val="207,80"/>
        <filter val="216,00"/>
        <filter val="225,00"/>
        <filter val="237,19"/>
        <filter val="24,00"/>
        <filter val="248,00"/>
        <filter val="25,00"/>
        <filter val="253,00"/>
        <filter val="257,00"/>
        <filter val="258,00"/>
        <filter val="277,00"/>
        <filter val="28,31"/>
        <filter val="3 117,00"/>
        <filter val="3,17"/>
        <filter val="30"/>
        <filter val="30,00"/>
        <filter val="303,00"/>
        <filter val="31,15"/>
        <filter val="31,79"/>
        <filter val="39,00"/>
        <filter val="391,85"/>
        <filter val="4,00"/>
        <filter val="414,00"/>
        <filter val="439,68"/>
        <filter val="456,00"/>
        <filter val="46,97"/>
        <filter val="483,00"/>
        <filter val="489,00"/>
        <filter val="5,71"/>
        <filter val="50,28"/>
        <filter val="500,00"/>
        <filter val="509,00"/>
        <filter val="543,00"/>
        <filter val="62,67"/>
        <filter val="635,93"/>
        <filter val="642,00"/>
        <filter val="7,00"/>
        <filter val="7,13"/>
        <filter val="7,69"/>
        <filter val="710,00"/>
        <filter val="741,00"/>
        <filter val="77,00"/>
        <filter val="8,33"/>
        <filter val="83,00"/>
        <filter val="833,00"/>
        <filter val="86,00"/>
        <filter val="88,89"/>
        <filter val="919,00"/>
        <filter val="93,00"/>
        <filter val="939,00"/>
        <filter val="947,00"/>
        <filter val="957,00"/>
      </filters>
    </filterColumn>
    <filterColumn colId="29" showButton="0"/>
    <filterColumn colId="30" showButton="0"/>
  </autoFilter>
  <mergeCells count="995"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  <mergeCell ref="P435:V435"/>
    <mergeCell ref="D399:E399"/>
    <mergeCell ref="P468:V468"/>
    <mergeCell ref="A141:Z141"/>
    <mergeCell ref="A144:O145"/>
    <mergeCell ref="P225:T225"/>
    <mergeCell ref="D439:E439"/>
    <mergeCell ref="P200:T200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A34:Z34"/>
    <mergeCell ref="A83:Z83"/>
    <mergeCell ref="A276:Z276"/>
    <mergeCell ref="P451:V451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D280:E280"/>
    <mergeCell ref="D551:E551"/>
    <mergeCell ref="D300:E300"/>
    <mergeCell ref="P473:T473"/>
    <mergeCell ref="A291:Z291"/>
    <mergeCell ref="P548:V548"/>
    <mergeCell ref="D365:E365"/>
    <mergeCell ref="P327:V327"/>
    <mergeCell ref="P394:T394"/>
    <mergeCell ref="A451:O452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P33:V33"/>
    <mergeCell ref="P264:V264"/>
    <mergeCell ref="P335:V335"/>
    <mergeCell ref="A396:O397"/>
    <mergeCell ref="A45:Z45"/>
    <mergeCell ref="P462:V462"/>
    <mergeCell ref="P163:T16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P103:T103"/>
    <mergeCell ref="P474:T474"/>
    <mergeCell ref="P268:T268"/>
    <mergeCell ref="P401:T401"/>
    <mergeCell ref="P168:T168"/>
    <mergeCell ref="D211:E211"/>
    <mergeCell ref="A538:O539"/>
    <mergeCell ref="P237:T237"/>
    <mergeCell ref="P31:T31"/>
    <mergeCell ref="P91:V9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A414:O415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A467:O468"/>
    <mergeCell ref="P481:T481"/>
    <mergeCell ref="P189:T189"/>
    <mergeCell ref="P456:T456"/>
    <mergeCell ref="P287:T287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D113:E113"/>
    <mergeCell ref="P180:T180"/>
    <mergeCell ref="P415:V415"/>
    <mergeCell ref="I17:I18"/>
    <mergeCell ref="P281:T281"/>
    <mergeCell ref="P17:T18"/>
    <mergeCell ref="A471:Z471"/>
    <mergeCell ref="P113:T113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6:C6"/>
    <mergeCell ref="Q12:R12"/>
    <mergeCell ref="A26:Z26"/>
    <mergeCell ref="D8:M8"/>
    <mergeCell ref="D7:M7"/>
    <mergeCell ref="P236:T236"/>
    <mergeCell ref="D79:E79"/>
    <mergeCell ref="D9:E9"/>
    <mergeCell ref="P137:T137"/>
    <mergeCell ref="D180:E180"/>
    <mergeCell ref="F9:G9"/>
    <mergeCell ref="A248:O249"/>
    <mergeCell ref="D93:E93"/>
    <mergeCell ref="P277:T277"/>
    <mergeCell ref="D220:E220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69:O70"/>
    <mergeCell ref="P272:T272"/>
    <mergeCell ref="P308:T308"/>
    <mergeCell ref="D106:E106"/>
    <mergeCell ref="P427:T427"/>
    <mergeCell ref="P283:T283"/>
    <mergeCell ref="P122:T122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514:O515"/>
    <mergeCell ref="I562:I563"/>
    <mergeCell ref="K562:K563"/>
    <mergeCell ref="P554:V554"/>
    <mergeCell ref="P545:T545"/>
    <mergeCell ref="P511:T511"/>
    <mergeCell ref="P534:V534"/>
    <mergeCell ref="P525:V525"/>
    <mergeCell ref="P533:T533"/>
    <mergeCell ref="P408:V408"/>
    <mergeCell ref="D325:E325"/>
    <mergeCell ref="A398:Z398"/>
    <mergeCell ref="P450:T450"/>
    <mergeCell ref="D456:E456"/>
    <mergeCell ref="P211:T21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D182:E182"/>
    <mergeCell ref="A14:M14"/>
    <mergeCell ref="A111:Z111"/>
    <mergeCell ref="P153:T153"/>
    <mergeCell ref="P324:T324"/>
    <mergeCell ref="A92:Z92"/>
    <mergeCell ref="A350:Z350"/>
    <mergeCell ref="P313:V313"/>
    <mergeCell ref="P380:T380"/>
    <mergeCell ref="P328:V328"/>
    <mergeCell ref="P213:V213"/>
    <mergeCell ref="A209:Z209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D178:E178"/>
    <mergeCell ref="P88:T88"/>
    <mergeCell ref="P461:V461"/>
    <mergeCell ref="D116:E116"/>
    <mergeCell ref="D352:E352"/>
    <mergeCell ref="T562:T563"/>
    <mergeCell ref="A230:O231"/>
    <mergeCell ref="A119:Z119"/>
    <mergeCell ref="A417:Z417"/>
    <mergeCell ref="D61:E61"/>
    <mergeCell ref="P115:T115"/>
    <mergeCell ref="P231:V231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496:Z496"/>
    <mergeCell ref="D132:E132"/>
    <mergeCell ref="P89:T89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519:E519"/>
    <mergeCell ref="D56:E56"/>
    <mergeCell ref="D127:E127"/>
    <mergeCell ref="P206:T206"/>
    <mergeCell ref="D491:E491"/>
    <mergeCell ref="P233:T233"/>
    <mergeCell ref="P37:T37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P332:T332"/>
    <mergeCell ref="A207:O208"/>
    <mergeCell ref="P388:T388"/>
    <mergeCell ref="D269:E269"/>
    <mergeCell ref="P452:V452"/>
    <mergeCell ref="D465:E465"/>
    <mergeCell ref="A351:Z351"/>
    <mergeCell ref="D273:E273"/>
    <mergeCell ref="A457:O458"/>
    <mergeCell ref="P252:V252"/>
    <mergeCell ref="P366:V366"/>
    <mergeCell ref="A294:O295"/>
    <mergeCell ref="P439:T439"/>
    <mergeCell ref="P262:T262"/>
    <mergeCell ref="D283:E283"/>
    <mergeCell ref="P389:V389"/>
    <mergeCell ref="P419:T419"/>
    <mergeCell ref="P219:T219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512:T512"/>
    <mergeCell ref="P487:T487"/>
    <mergeCell ref="A214:Z214"/>
    <mergeCell ref="A486:Z486"/>
    <mergeCell ref="Q6:R6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R562:R563"/>
    <mergeCell ref="D405:E405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A64:Z64"/>
    <mergeCell ref="P41:T41"/>
    <mergeCell ref="D22:E22"/>
    <mergeCell ref="A62:O63"/>
    <mergeCell ref="P49:T49"/>
    <mergeCell ref="P63:V63"/>
    <mergeCell ref="P52:V52"/>
    <mergeCell ref="D29:E29"/>
    <mergeCell ref="D23:E23"/>
    <mergeCell ref="D59:E59"/>
    <mergeCell ref="D27:E27"/>
    <mergeCell ref="A24:O25"/>
    <mergeCell ref="P65:T65"/>
    <mergeCell ref="A383:O384"/>
    <mergeCell ref="P556:V556"/>
    <mergeCell ref="P430:T430"/>
    <mergeCell ref="P494:V494"/>
    <mergeCell ref="A547:O548"/>
    <mergeCell ref="A134:O135"/>
    <mergeCell ref="P123:T123"/>
    <mergeCell ref="Q562:Q563"/>
    <mergeCell ref="D481:E481"/>
    <mergeCell ref="A508:O509"/>
    <mergeCell ref="D299:E299"/>
    <mergeCell ref="P539:V539"/>
    <mergeCell ref="D370:E370"/>
    <mergeCell ref="D541:E541"/>
    <mergeCell ref="D222:E222"/>
    <mergeCell ref="P333:T333"/>
    <mergeCell ref="P399:T399"/>
    <mergeCell ref="P171:V171"/>
    <mergeCell ref="A167:Z167"/>
    <mergeCell ref="P242:V242"/>
    <mergeCell ref="A232:Z232"/>
    <mergeCell ref="A289:O290"/>
    <mergeCell ref="P188:T188"/>
    <mergeCell ref="A320:Z320"/>
    <mergeCell ref="A494:O495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A81:O82"/>
    <mergeCell ref="D80:E80"/>
    <mergeCell ref="P289:V289"/>
    <mergeCell ref="P422:V422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AD17:AF18"/>
    <mergeCell ref="D101:E101"/>
    <mergeCell ref="Z562:Z563"/>
    <mergeCell ref="P403:V403"/>
    <mergeCell ref="AB562:AB563"/>
    <mergeCell ref="P117:V117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D392:E392"/>
    <mergeCell ref="P57:T57"/>
    <mergeCell ref="D475:E475"/>
    <mergeCell ref="P342:T342"/>
    <mergeCell ref="A408:O409"/>
    <mergeCell ref="A552:O553"/>
    <mergeCell ref="P305:V305"/>
    <mergeCell ref="P228:T228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F5:G5"/>
    <mergeCell ref="V11:W11"/>
    <mergeCell ref="D152:E152"/>
    <mergeCell ref="D323:E323"/>
    <mergeCell ref="Q13:R13"/>
    <mergeCell ref="P97:V97"/>
    <mergeCell ref="P134:V134"/>
    <mergeCell ref="P201:T201"/>
    <mergeCell ref="M17:M18"/>
    <mergeCell ref="O17:O18"/>
    <mergeCell ref="H5:M5"/>
    <mergeCell ref="H17:H1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P433:T433"/>
    <mergeCell ref="P524:V524"/>
    <mergeCell ref="A549:Z549"/>
    <mergeCell ref="D341:E341"/>
    <mergeCell ref="A536:Z536"/>
    <mergeCell ref="P553:V553"/>
    <mergeCell ref="P551:T551"/>
    <mergeCell ref="W561:X561"/>
    <mergeCell ref="A296:Z296"/>
    <mergeCell ref="Y17:Y18"/>
    <mergeCell ref="D331:E331"/>
    <mergeCell ref="D57:E57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P42:V42"/>
    <mergeCell ref="D288:E288"/>
    <mergeCell ref="P59:T59"/>
    <mergeCell ref="G17:G18"/>
    <mergeCell ref="A20:Z20"/>
    <mergeCell ref="A391:Z391"/>
    <mergeCell ref="P176:T176"/>
    <mergeCell ref="P114:T114"/>
    <mergeCell ref="P247:T247"/>
    <mergeCell ref="A337:Z337"/>
    <mergeCell ref="P85:T85"/>
    <mergeCell ref="P60:T60"/>
    <mergeCell ref="P397:V397"/>
    <mergeCell ref="D239:E239"/>
    <mergeCell ref="D95:E95"/>
    <mergeCell ref="P149:T149"/>
    <mergeCell ref="P174:T174"/>
    <mergeCell ref="D266:E266"/>
    <mergeCell ref="P241:T241"/>
    <mergeCell ref="D149:E149"/>
    <mergeCell ref="P258:V258"/>
    <mergeCell ref="A297:Z297"/>
    <mergeCell ref="P102:T102"/>
    <mergeCell ref="P121:T121"/>
    <mergeCell ref="A160:Z160"/>
    <mergeCell ref="P96:T96"/>
    <mergeCell ref="D112:E112"/>
    <mergeCell ref="A90:O91"/>
    <mergeCell ref="P158:V158"/>
    <mergeCell ref="A146:Z146"/>
    <mergeCell ref="P261:T261"/>
    <mergeCell ref="D204:E204"/>
    <mergeCell ref="P217:T21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D105:E105"/>
    <mergeCell ref="N17:N18"/>
    <mergeCell ref="D49:E49"/>
    <mergeCell ref="J9:M9"/>
    <mergeCell ref="A13:M13"/>
    <mergeCell ref="P15:T16"/>
    <mergeCell ref="P23:T23"/>
    <mergeCell ref="D162:E162"/>
    <mergeCell ref="V12:W12"/>
    <mergeCell ref="D262:E262"/>
    <mergeCell ref="P43:V43"/>
    <mergeCell ref="D237:E237"/>
    <mergeCell ref="U17:V17"/>
    <mergeCell ref="H10:M10"/>
    <mergeCell ref="P170:V170"/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