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7E8395-BE6B-4710-9478-AFEBB8F6B2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Z539" i="2" s="1"/>
  <c r="Z540" i="2" s="1"/>
  <c r="P539" i="2"/>
  <c r="X537" i="2"/>
  <c r="X536" i="2"/>
  <c r="BO535" i="2"/>
  <c r="BM535" i="2"/>
  <c r="Y535" i="2"/>
  <c r="Z535" i="2" s="1"/>
  <c r="Z536" i="2" s="1"/>
  <c r="P535" i="2"/>
  <c r="X531" i="2"/>
  <c r="X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P523" i="2"/>
  <c r="X521" i="2"/>
  <c r="X520" i="2"/>
  <c r="BO519" i="2"/>
  <c r="BM519" i="2"/>
  <c r="Y519" i="2"/>
  <c r="P519" i="2"/>
  <c r="BO518" i="2"/>
  <c r="BM518" i="2"/>
  <c r="Y518" i="2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BN499" i="2" s="1"/>
  <c r="P499" i="2"/>
  <c r="BO498" i="2"/>
  <c r="BM498" i="2"/>
  <c r="Y498" i="2"/>
  <c r="Z498" i="2" s="1"/>
  <c r="P498" i="2"/>
  <c r="BO497" i="2"/>
  <c r="BM497" i="2"/>
  <c r="Y497" i="2"/>
  <c r="P497" i="2"/>
  <c r="X495" i="2"/>
  <c r="X494" i="2"/>
  <c r="BO493" i="2"/>
  <c r="BM493" i="2"/>
  <c r="Y493" i="2"/>
  <c r="Z493" i="2" s="1"/>
  <c r="Z494" i="2" s="1"/>
  <c r="P493" i="2"/>
  <c r="X490" i="2"/>
  <c r="X489" i="2"/>
  <c r="BO488" i="2"/>
  <c r="BM488" i="2"/>
  <c r="Y488" i="2"/>
  <c r="P488" i="2"/>
  <c r="BO487" i="2"/>
  <c r="BM487" i="2"/>
  <c r="Y487" i="2"/>
  <c r="BP487" i="2" s="1"/>
  <c r="P487" i="2"/>
  <c r="X485" i="2"/>
  <c r="X484" i="2"/>
  <c r="BO483" i="2"/>
  <c r="BM483" i="2"/>
  <c r="Y483" i="2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Z480" i="2"/>
  <c r="Y480" i="2"/>
  <c r="BN480" i="2" s="1"/>
  <c r="P480" i="2"/>
  <c r="BO479" i="2"/>
  <c r="BM479" i="2"/>
  <c r="Y479" i="2"/>
  <c r="P479" i="2"/>
  <c r="BO478" i="2"/>
  <c r="BM478" i="2"/>
  <c r="Y478" i="2"/>
  <c r="Z478" i="2" s="1"/>
  <c r="P478" i="2"/>
  <c r="X474" i="2"/>
  <c r="X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Z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BP455" i="2" s="1"/>
  <c r="P455" i="2"/>
  <c r="X453" i="2"/>
  <c r="X452" i="2"/>
  <c r="BO451" i="2"/>
  <c r="BM451" i="2"/>
  <c r="Z451" i="2"/>
  <c r="Y451" i="2"/>
  <c r="BN451" i="2" s="1"/>
  <c r="P451" i="2"/>
  <c r="BO450" i="2"/>
  <c r="BM450" i="2"/>
  <c r="Y450" i="2"/>
  <c r="Z450" i="2" s="1"/>
  <c r="P450" i="2"/>
  <c r="BO449" i="2"/>
  <c r="BM449" i="2"/>
  <c r="Y449" i="2"/>
  <c r="P449" i="2"/>
  <c r="X447" i="2"/>
  <c r="X446" i="2"/>
  <c r="BO445" i="2"/>
  <c r="BN445" i="2"/>
  <c r="BM445" i="2"/>
  <c r="Z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Z439" i="2" s="1"/>
  <c r="P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Z407" i="2" s="1"/>
  <c r="P407" i="2"/>
  <c r="BO406" i="2"/>
  <c r="BM406" i="2"/>
  <c r="Y406" i="2"/>
  <c r="BN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BP398" i="2"/>
  <c r="BO398" i="2"/>
  <c r="BN398" i="2"/>
  <c r="BM398" i="2"/>
  <c r="Z398" i="2"/>
  <c r="Y398" i="2"/>
  <c r="P398" i="2"/>
  <c r="X396" i="2"/>
  <c r="X395" i="2"/>
  <c r="BO394" i="2"/>
  <c r="BM394" i="2"/>
  <c r="Y394" i="2"/>
  <c r="P394" i="2"/>
  <c r="BO393" i="2"/>
  <c r="BM393" i="2"/>
  <c r="Y393" i="2"/>
  <c r="Z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P376" i="2"/>
  <c r="BO375" i="2"/>
  <c r="BM375" i="2"/>
  <c r="Y375" i="2"/>
  <c r="P375" i="2"/>
  <c r="X373" i="2"/>
  <c r="X372" i="2"/>
  <c r="BO371" i="2"/>
  <c r="BM371" i="2"/>
  <c r="Y371" i="2"/>
  <c r="BP371" i="2" s="1"/>
  <c r="P371" i="2"/>
  <c r="BO370" i="2"/>
  <c r="BM370" i="2"/>
  <c r="Z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P365" i="2"/>
  <c r="X362" i="2"/>
  <c r="X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Z358" i="2" s="1"/>
  <c r="P358" i="2"/>
  <c r="X355" i="2"/>
  <c r="X354" i="2"/>
  <c r="BO353" i="2"/>
  <c r="BM353" i="2"/>
  <c r="Y353" i="2"/>
  <c r="Z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Z338" i="2" s="1"/>
  <c r="P338" i="2"/>
  <c r="BO337" i="2"/>
  <c r="BM337" i="2"/>
  <c r="Y337" i="2"/>
  <c r="BP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Y333" i="2" s="1"/>
  <c r="P329" i="2"/>
  <c r="BP328" i="2"/>
  <c r="BO328" i="2"/>
  <c r="BN328" i="2"/>
  <c r="BM328" i="2"/>
  <c r="Z328" i="2"/>
  <c r="Y328" i="2"/>
  <c r="P328" i="2"/>
  <c r="BO327" i="2"/>
  <c r="BM327" i="2"/>
  <c r="Y327" i="2"/>
  <c r="Z327" i="2" s="1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Z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Z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P263" i="2"/>
  <c r="BO262" i="2"/>
  <c r="BM262" i="2"/>
  <c r="Y262" i="2"/>
  <c r="Y265" i="2" s="1"/>
  <c r="P262" i="2"/>
  <c r="X259" i="2"/>
  <c r="X258" i="2"/>
  <c r="BP257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BO245" i="2"/>
  <c r="BM245" i="2"/>
  <c r="Y245" i="2"/>
  <c r="P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Y248" i="2" s="1"/>
  <c r="P239" i="2"/>
  <c r="X237" i="2"/>
  <c r="X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2" i="2"/>
  <c r="X201" i="2"/>
  <c r="BP200" i="2"/>
  <c r="BO200" i="2"/>
  <c r="BM200" i="2"/>
  <c r="Y200" i="2"/>
  <c r="BN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P192" i="2"/>
  <c r="BO191" i="2"/>
  <c r="BM191" i="2"/>
  <c r="Y191" i="2"/>
  <c r="Z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Y188" i="2" s="1"/>
  <c r="P176" i="2"/>
  <c r="X174" i="2"/>
  <c r="X173" i="2"/>
  <c r="BP172" i="2"/>
  <c r="BO172" i="2"/>
  <c r="BM172" i="2"/>
  <c r="Y172" i="2"/>
  <c r="BN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Z155" i="2" s="1"/>
  <c r="P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Z145" i="2"/>
  <c r="Y145" i="2"/>
  <c r="BN145" i="2" s="1"/>
  <c r="P145" i="2"/>
  <c r="BO144" i="2"/>
  <c r="BM144" i="2"/>
  <c r="Y144" i="2"/>
  <c r="Z144" i="2" s="1"/>
  <c r="P144" i="2"/>
  <c r="X142" i="2"/>
  <c r="X141" i="2"/>
  <c r="BO140" i="2"/>
  <c r="BM140" i="2"/>
  <c r="Y140" i="2"/>
  <c r="P140" i="2"/>
  <c r="BO139" i="2"/>
  <c r="BM139" i="2"/>
  <c r="Y139" i="2"/>
  <c r="BN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P123" i="2" s="1"/>
  <c r="P123" i="2"/>
  <c r="BO122" i="2"/>
  <c r="BM122" i="2"/>
  <c r="Z122" i="2"/>
  <c r="Y122" i="2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Y119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P97" i="2"/>
  <c r="BO96" i="2"/>
  <c r="BM96" i="2"/>
  <c r="Y96" i="2"/>
  <c r="Y101" i="2" s="1"/>
  <c r="P96" i="2"/>
  <c r="X94" i="2"/>
  <c r="X93" i="2"/>
  <c r="BO92" i="2"/>
  <c r="BM92" i="2"/>
  <c r="Y92" i="2"/>
  <c r="BP92" i="2" s="1"/>
  <c r="P92" i="2"/>
  <c r="BO91" i="2"/>
  <c r="BM91" i="2"/>
  <c r="Y91" i="2"/>
  <c r="BP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Z77" i="2" s="1"/>
  <c r="P77" i="2"/>
  <c r="BO76" i="2"/>
  <c r="BM76" i="2"/>
  <c r="Y76" i="2"/>
  <c r="BN76" i="2" s="1"/>
  <c r="P76" i="2"/>
  <c r="X74" i="2"/>
  <c r="X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N61" i="2" s="1"/>
  <c r="P61" i="2"/>
  <c r="BO60" i="2"/>
  <c r="BM60" i="2"/>
  <c r="Y60" i="2"/>
  <c r="Z60" i="2" s="1"/>
  <c r="P60" i="2"/>
  <c r="BP59" i="2"/>
  <c r="BO59" i="2"/>
  <c r="BN59" i="2"/>
  <c r="BM59" i="2"/>
  <c r="Z59" i="2"/>
  <c r="Y59" i="2"/>
  <c r="P59" i="2"/>
  <c r="BO58" i="2"/>
  <c r="BM58" i="2"/>
  <c r="Y58" i="2"/>
  <c r="BN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X556" i="2" l="1"/>
  <c r="BP50" i="2"/>
  <c r="E566" i="2"/>
  <c r="BP71" i="2"/>
  <c r="BN109" i="2"/>
  <c r="Y161" i="2"/>
  <c r="Z183" i="2"/>
  <c r="BN244" i="2"/>
  <c r="BN345" i="2"/>
  <c r="Z425" i="2"/>
  <c r="BN493" i="2"/>
  <c r="F9" i="2"/>
  <c r="Z528" i="2"/>
  <c r="X558" i="2"/>
  <c r="Z109" i="2"/>
  <c r="J566" i="2"/>
  <c r="BP227" i="2"/>
  <c r="Z244" i="2"/>
  <c r="Z380" i="2"/>
  <c r="Z471" i="2"/>
  <c r="Y473" i="2"/>
  <c r="Z499" i="2"/>
  <c r="Y334" i="2"/>
  <c r="Z23" i="2"/>
  <c r="BN23" i="2"/>
  <c r="X560" i="2"/>
  <c r="Z27" i="2"/>
  <c r="BP38" i="2"/>
  <c r="Z58" i="2"/>
  <c r="Z62" i="2"/>
  <c r="Z83" i="2"/>
  <c r="F566" i="2"/>
  <c r="BP105" i="2"/>
  <c r="Z112" i="2"/>
  <c r="BN112" i="2"/>
  <c r="Z123" i="2"/>
  <c r="BN123" i="2"/>
  <c r="Z139" i="2"/>
  <c r="Z146" i="2"/>
  <c r="Z151" i="2"/>
  <c r="Z166" i="2"/>
  <c r="BN166" i="2"/>
  <c r="Z179" i="2"/>
  <c r="BN179" i="2"/>
  <c r="Z190" i="2"/>
  <c r="BN190" i="2"/>
  <c r="BP206" i="2"/>
  <c r="Z210" i="2"/>
  <c r="BN210" i="2"/>
  <c r="Z222" i="2"/>
  <c r="Z231" i="2"/>
  <c r="BN231" i="2"/>
  <c r="Z241" i="2"/>
  <c r="BN241" i="2"/>
  <c r="Z251" i="2"/>
  <c r="BN251" i="2"/>
  <c r="Z331" i="2"/>
  <c r="Z339" i="2"/>
  <c r="BN339" i="2"/>
  <c r="Z367" i="2"/>
  <c r="Z377" i="2"/>
  <c r="Z385" i="2"/>
  <c r="BP386" i="2"/>
  <c r="Y428" i="2"/>
  <c r="Z426" i="2"/>
  <c r="BN426" i="2"/>
  <c r="Z434" i="2"/>
  <c r="BN434" i="2"/>
  <c r="Y458" i="2"/>
  <c r="Z487" i="2"/>
  <c r="BN487" i="2"/>
  <c r="BP525" i="2"/>
  <c r="BN31" i="2"/>
  <c r="BP39" i="2"/>
  <c r="BN41" i="2"/>
  <c r="BP41" i="2"/>
  <c r="BP47" i="2"/>
  <c r="BP56" i="2"/>
  <c r="BN57" i="2"/>
  <c r="BP68" i="2"/>
  <c r="BP72" i="2"/>
  <c r="BP76" i="2"/>
  <c r="BN77" i="2"/>
  <c r="Y94" i="2"/>
  <c r="BN97" i="2"/>
  <c r="BP97" i="2"/>
  <c r="BP106" i="2"/>
  <c r="BN107" i="2"/>
  <c r="BP116" i="2"/>
  <c r="BN117" i="2"/>
  <c r="BN144" i="2"/>
  <c r="BP154" i="2"/>
  <c r="BN155" i="2"/>
  <c r="BN164" i="2"/>
  <c r="BN167" i="2"/>
  <c r="BP177" i="2"/>
  <c r="BN178" i="2"/>
  <c r="BN185" i="2"/>
  <c r="BP185" i="2"/>
  <c r="BP186" i="2"/>
  <c r="BN186" i="2"/>
  <c r="Z186" i="2"/>
  <c r="BN208" i="2"/>
  <c r="BN211" i="2"/>
  <c r="Y219" i="2"/>
  <c r="BP217" i="2"/>
  <c r="BN228" i="2"/>
  <c r="Z228" i="2"/>
  <c r="BN252" i="2"/>
  <c r="BN263" i="2"/>
  <c r="Z263" i="2"/>
  <c r="BN273" i="2"/>
  <c r="BP273" i="2"/>
  <c r="BP274" i="2"/>
  <c r="BN274" i="2"/>
  <c r="Z274" i="2"/>
  <c r="BN277" i="2"/>
  <c r="Z277" i="2"/>
  <c r="BN289" i="2"/>
  <c r="BP289" i="2"/>
  <c r="BP290" i="2"/>
  <c r="Z290" i="2"/>
  <c r="BN293" i="2"/>
  <c r="Z293" i="2"/>
  <c r="BN310" i="2"/>
  <c r="BP310" i="2"/>
  <c r="Y315" i="2"/>
  <c r="Y316" i="2"/>
  <c r="BN314" i="2"/>
  <c r="BP314" i="2"/>
  <c r="BN337" i="2"/>
  <c r="Y340" i="2"/>
  <c r="Y341" i="2"/>
  <c r="R566" i="2"/>
  <c r="BP344" i="2"/>
  <c r="BN344" i="2"/>
  <c r="Z344" i="2"/>
  <c r="BN376" i="2"/>
  <c r="BP376" i="2"/>
  <c r="BN381" i="2"/>
  <c r="BN387" i="2"/>
  <c r="Z387" i="2"/>
  <c r="BP387" i="2"/>
  <c r="BN407" i="2"/>
  <c r="BP407" i="2"/>
  <c r="BN411" i="2"/>
  <c r="BP411" i="2"/>
  <c r="BP412" i="2"/>
  <c r="Z412" i="2"/>
  <c r="U566" i="2"/>
  <c r="BN418" i="2"/>
  <c r="Z418" i="2"/>
  <c r="BN419" i="2"/>
  <c r="BP419" i="2"/>
  <c r="BP435" i="2"/>
  <c r="BN435" i="2"/>
  <c r="Z435" i="2"/>
  <c r="BN437" i="2"/>
  <c r="Z437" i="2"/>
  <c r="BP437" i="2"/>
  <c r="Y463" i="2"/>
  <c r="BN461" i="2"/>
  <c r="Z461" i="2"/>
  <c r="BN462" i="2"/>
  <c r="BP462" i="2"/>
  <c r="BN466" i="2"/>
  <c r="BN472" i="2"/>
  <c r="BN479" i="2"/>
  <c r="BP479" i="2"/>
  <c r="Y490" i="2"/>
  <c r="Z488" i="2"/>
  <c r="Y501" i="2"/>
  <c r="Y500" i="2"/>
  <c r="BN497" i="2"/>
  <c r="AA566" i="2"/>
  <c r="BP505" i="2"/>
  <c r="BN505" i="2"/>
  <c r="Z505" i="2"/>
  <c r="BN507" i="2"/>
  <c r="BP507" i="2"/>
  <c r="BP508" i="2"/>
  <c r="Z508" i="2"/>
  <c r="BN510" i="2"/>
  <c r="BP510" i="2"/>
  <c r="BN511" i="2"/>
  <c r="Z511" i="2"/>
  <c r="BP511" i="2"/>
  <c r="BP518" i="2"/>
  <c r="Z518" i="2"/>
  <c r="Y530" i="2"/>
  <c r="Z523" i="2"/>
  <c r="A10" i="2"/>
  <c r="X557" i="2"/>
  <c r="BP22" i="2"/>
  <c r="Y24" i="2"/>
  <c r="Y25" i="2"/>
  <c r="BP27" i="2"/>
  <c r="Y33" i="2"/>
  <c r="BN29" i="2"/>
  <c r="BP29" i="2"/>
  <c r="Z39" i="2"/>
  <c r="Z47" i="2"/>
  <c r="Z48" i="2"/>
  <c r="BN48" i="2"/>
  <c r="Z56" i="2"/>
  <c r="BP58" i="2"/>
  <c r="BP61" i="2"/>
  <c r="BP62" i="2"/>
  <c r="BN67" i="2"/>
  <c r="Z68" i="2"/>
  <c r="Z69" i="2"/>
  <c r="BN69" i="2"/>
  <c r="Z72" i="2"/>
  <c r="Z76" i="2"/>
  <c r="Z78" i="2" s="1"/>
  <c r="BN82" i="2"/>
  <c r="BP82" i="2"/>
  <c r="Z88" i="2"/>
  <c r="BN88" i="2"/>
  <c r="BP88" i="2"/>
  <c r="Y93" i="2"/>
  <c r="Z91" i="2"/>
  <c r="BN91" i="2"/>
  <c r="Z98" i="2"/>
  <c r="BN98" i="2"/>
  <c r="G566" i="2"/>
  <c r="Z106" i="2"/>
  <c r="BN108" i="2"/>
  <c r="BP108" i="2"/>
  <c r="BP111" i="2"/>
  <c r="Z116" i="2"/>
  <c r="BN118" i="2"/>
  <c r="BP118" i="2"/>
  <c r="Y127" i="2"/>
  <c r="BP122" i="2"/>
  <c r="BP125" i="2"/>
  <c r="H566" i="2"/>
  <c r="Z135" i="2"/>
  <c r="BN135" i="2"/>
  <c r="Y136" i="2"/>
  <c r="Y137" i="2"/>
  <c r="BP139" i="2"/>
  <c r="Y142" i="2"/>
  <c r="BN140" i="2"/>
  <c r="BP145" i="2"/>
  <c r="I566" i="2"/>
  <c r="BN150" i="2"/>
  <c r="BP150" i="2"/>
  <c r="Z154" i="2"/>
  <c r="BN165" i="2"/>
  <c r="BP165" i="2"/>
  <c r="Z177" i="2"/>
  <c r="Z180" i="2"/>
  <c r="BN180" i="2"/>
  <c r="BN182" i="2"/>
  <c r="BP182" i="2"/>
  <c r="BN192" i="2"/>
  <c r="BP192" i="2"/>
  <c r="BN207" i="2"/>
  <c r="Z207" i="2"/>
  <c r="BN224" i="2"/>
  <c r="BP224" i="2"/>
  <c r="BP225" i="2"/>
  <c r="BN225" i="2"/>
  <c r="Z225" i="2"/>
  <c r="BP228" i="2"/>
  <c r="BN229" i="2"/>
  <c r="BN232" i="2"/>
  <c r="BN239" i="2"/>
  <c r="BN242" i="2"/>
  <c r="Y249" i="2"/>
  <c r="BN246" i="2"/>
  <c r="BP246" i="2"/>
  <c r="BP247" i="2"/>
  <c r="Z247" i="2"/>
  <c r="BP263" i="2"/>
  <c r="Y269" i="2"/>
  <c r="Y270" i="2"/>
  <c r="Z267" i="2"/>
  <c r="BP277" i="2"/>
  <c r="BN279" i="2"/>
  <c r="BP279" i="2"/>
  <c r="BN283" i="2"/>
  <c r="BP283" i="2"/>
  <c r="BP284" i="2"/>
  <c r="BN284" i="2"/>
  <c r="Z284" i="2"/>
  <c r="BN287" i="2"/>
  <c r="Z287" i="2"/>
  <c r="BP293" i="2"/>
  <c r="BN299" i="2"/>
  <c r="BP299" i="2"/>
  <c r="BN304" i="2"/>
  <c r="BP304" i="2"/>
  <c r="BP305" i="2"/>
  <c r="BN305" i="2"/>
  <c r="Z305" i="2"/>
  <c r="BN308" i="2"/>
  <c r="Z308" i="2"/>
  <c r="BN329" i="2"/>
  <c r="BN353" i="2"/>
  <c r="BP353" i="2"/>
  <c r="BN358" i="2"/>
  <c r="BP358" i="2"/>
  <c r="BP359" i="2"/>
  <c r="Z359" i="2"/>
  <c r="Y361" i="2"/>
  <c r="BP399" i="2"/>
  <c r="BN399" i="2"/>
  <c r="Z399" i="2"/>
  <c r="BN401" i="2"/>
  <c r="Z401" i="2"/>
  <c r="BP401" i="2"/>
  <c r="BP547" i="2"/>
  <c r="Z547" i="2"/>
  <c r="BP183" i="2"/>
  <c r="BN184" i="2"/>
  <c r="Y194" i="2"/>
  <c r="Y202" i="2"/>
  <c r="BN209" i="2"/>
  <c r="BP209" i="2"/>
  <c r="Y237" i="2"/>
  <c r="BP222" i="2"/>
  <c r="BN223" i="2"/>
  <c r="BN230" i="2"/>
  <c r="BP230" i="2"/>
  <c r="BN240" i="2"/>
  <c r="BP240" i="2"/>
  <c r="Y281" i="2"/>
  <c r="BN272" i="2"/>
  <c r="BN275" i="2"/>
  <c r="BN285" i="2"/>
  <c r="BN291" i="2"/>
  <c r="BN306" i="2"/>
  <c r="BN318" i="2"/>
  <c r="BP318" i="2"/>
  <c r="BN322" i="2"/>
  <c r="BP322" i="2"/>
  <c r="BN327" i="2"/>
  <c r="BP327" i="2"/>
  <c r="BP331" i="2"/>
  <c r="BN338" i="2"/>
  <c r="BP338" i="2"/>
  <c r="Y350" i="2"/>
  <c r="BN347" i="2"/>
  <c r="BP347" i="2"/>
  <c r="BN366" i="2"/>
  <c r="BP366" i="2"/>
  <c r="BN371" i="2"/>
  <c r="BP392" i="2"/>
  <c r="Y396" i="2"/>
  <c r="Y395" i="2"/>
  <c r="BN392" i="2"/>
  <c r="Z392" i="2"/>
  <c r="BN393" i="2"/>
  <c r="BP393" i="2"/>
  <c r="BP394" i="2"/>
  <c r="BN394" i="2"/>
  <c r="Z394" i="2"/>
  <c r="Y408" i="2"/>
  <c r="Z405" i="2"/>
  <c r="BP438" i="2"/>
  <c r="BN438" i="2"/>
  <c r="Z438" i="2"/>
  <c r="BN439" i="2"/>
  <c r="BP439" i="2"/>
  <c r="Y447" i="2"/>
  <c r="Y446" i="2"/>
  <c r="BN443" i="2"/>
  <c r="BP443" i="2"/>
  <c r="BP444" i="2"/>
  <c r="BN444" i="2"/>
  <c r="Z444" i="2"/>
  <c r="Y453" i="2"/>
  <c r="Y452" i="2"/>
  <c r="BN449" i="2"/>
  <c r="Y457" i="2"/>
  <c r="Z455" i="2"/>
  <c r="BN482" i="2"/>
  <c r="BP482" i="2"/>
  <c r="BP483" i="2"/>
  <c r="Z483" i="2"/>
  <c r="BN513" i="2"/>
  <c r="BN526" i="2"/>
  <c r="BN529" i="2"/>
  <c r="Y540" i="2"/>
  <c r="BN348" i="2"/>
  <c r="BN360" i="2"/>
  <c r="Y372" i="2"/>
  <c r="BN365" i="2"/>
  <c r="BP367" i="2"/>
  <c r="BN369" i="2"/>
  <c r="BP369" i="2"/>
  <c r="Y382" i="2"/>
  <c r="BN375" i="2"/>
  <c r="BP377" i="2"/>
  <c r="BN379" i="2"/>
  <c r="BP379" i="2"/>
  <c r="Y390" i="2"/>
  <c r="Y414" i="2"/>
  <c r="BN413" i="2"/>
  <c r="BP425" i="2"/>
  <c r="BN433" i="2"/>
  <c r="BP433" i="2"/>
  <c r="BN450" i="2"/>
  <c r="BP450" i="2"/>
  <c r="BP451" i="2"/>
  <c r="BN470" i="2"/>
  <c r="BP470" i="2"/>
  <c r="Y566" i="2"/>
  <c r="BP480" i="2"/>
  <c r="BN481" i="2"/>
  <c r="Y484" i="2"/>
  <c r="Y485" i="2"/>
  <c r="Z566" i="2"/>
  <c r="Y494" i="2"/>
  <c r="BN498" i="2"/>
  <c r="BP498" i="2"/>
  <c r="BP499" i="2"/>
  <c r="BN506" i="2"/>
  <c r="BN509" i="2"/>
  <c r="BN517" i="2"/>
  <c r="Y520" i="2"/>
  <c r="BN519" i="2"/>
  <c r="AB566" i="2"/>
  <c r="BN543" i="2"/>
  <c r="X559" i="2"/>
  <c r="Z463" i="2"/>
  <c r="Y43" i="2"/>
  <c r="Z55" i="2"/>
  <c r="BP57" i="2"/>
  <c r="BP67" i="2"/>
  <c r="BP77" i="2"/>
  <c r="Y120" i="2"/>
  <c r="Z129" i="2"/>
  <c r="Z130" i="2" s="1"/>
  <c r="BP144" i="2"/>
  <c r="Z153" i="2"/>
  <c r="BP155" i="2"/>
  <c r="Z176" i="2"/>
  <c r="BP178" i="2"/>
  <c r="Z196" i="2"/>
  <c r="Z197" i="2" s="1"/>
  <c r="Y201" i="2"/>
  <c r="Y213" i="2"/>
  <c r="Z221" i="2"/>
  <c r="BP223" i="2"/>
  <c r="Y254" i="2"/>
  <c r="Z262" i="2"/>
  <c r="Z264" i="2" s="1"/>
  <c r="Z292" i="2"/>
  <c r="BP294" i="2"/>
  <c r="BP352" i="2"/>
  <c r="BP406" i="2"/>
  <c r="Y420" i="2"/>
  <c r="BP432" i="2"/>
  <c r="Y441" i="2"/>
  <c r="Y464" i="2"/>
  <c r="BP512" i="2"/>
  <c r="Y549" i="2"/>
  <c r="K566" i="2"/>
  <c r="BN49" i="2"/>
  <c r="BN70" i="2"/>
  <c r="Y73" i="2"/>
  <c r="BN104" i="2"/>
  <c r="BN124" i="2"/>
  <c r="BN171" i="2"/>
  <c r="BN181" i="2"/>
  <c r="BN191" i="2"/>
  <c r="BN226" i="2"/>
  <c r="Y402" i="2"/>
  <c r="BP517" i="2"/>
  <c r="Z525" i="2"/>
  <c r="BP527" i="2"/>
  <c r="BN539" i="2"/>
  <c r="L566" i="2"/>
  <c r="Z28" i="2"/>
  <c r="Z40" i="2"/>
  <c r="BN55" i="2"/>
  <c r="Z63" i="2"/>
  <c r="Y78" i="2"/>
  <c r="Z96" i="2"/>
  <c r="Z107" i="2"/>
  <c r="Z117" i="2"/>
  <c r="Z119" i="2" s="1"/>
  <c r="BN129" i="2"/>
  <c r="Z140" i="2"/>
  <c r="Z141" i="2" s="1"/>
  <c r="BN153" i="2"/>
  <c r="Y156" i="2"/>
  <c r="Z164" i="2"/>
  <c r="BN176" i="2"/>
  <c r="Z184" i="2"/>
  <c r="BN196" i="2"/>
  <c r="Z208" i="2"/>
  <c r="BN221" i="2"/>
  <c r="Z229" i="2"/>
  <c r="Z239" i="2"/>
  <c r="BN262" i="2"/>
  <c r="Z272" i="2"/>
  <c r="BN292" i="2"/>
  <c r="Y295" i="2"/>
  <c r="Z337" i="2"/>
  <c r="Z348" i="2"/>
  <c r="Y362" i="2"/>
  <c r="Y373" i="2"/>
  <c r="Y383" i="2"/>
  <c r="Y415" i="2"/>
  <c r="Y474" i="2"/>
  <c r="Y521" i="2"/>
  <c r="Y531" i="2"/>
  <c r="Y545" i="2"/>
  <c r="M566" i="2"/>
  <c r="BN37" i="2"/>
  <c r="BN60" i="2"/>
  <c r="BP37" i="2"/>
  <c r="BP49" i="2"/>
  <c r="BP60" i="2"/>
  <c r="BP70" i="2"/>
  <c r="BP104" i="2"/>
  <c r="BP124" i="2"/>
  <c r="BP171" i="2"/>
  <c r="BP181" i="2"/>
  <c r="BP191" i="2"/>
  <c r="Y214" i="2"/>
  <c r="BP226" i="2"/>
  <c r="Y255" i="2"/>
  <c r="BN267" i="2"/>
  <c r="Y280" i="2"/>
  <c r="Y300" i="2"/>
  <c r="Y311" i="2"/>
  <c r="Z318" i="2"/>
  <c r="Z319" i="2" s="1"/>
  <c r="Y323" i="2"/>
  <c r="BP345" i="2"/>
  <c r="Y421" i="2"/>
  <c r="Z443" i="2"/>
  <c r="BN455" i="2"/>
  <c r="Z466" i="2"/>
  <c r="Z467" i="2" s="1"/>
  <c r="BP493" i="2"/>
  <c r="Z513" i="2"/>
  <c r="BP539" i="2"/>
  <c r="Y550" i="2"/>
  <c r="O566" i="2"/>
  <c r="BN40" i="2"/>
  <c r="BP55" i="2"/>
  <c r="BP176" i="2"/>
  <c r="Y187" i="2"/>
  <c r="BP196" i="2"/>
  <c r="BP221" i="2"/>
  <c r="BP262" i="2"/>
  <c r="Y403" i="2"/>
  <c r="P566" i="2"/>
  <c r="Z31" i="2"/>
  <c r="Z99" i="2"/>
  <c r="Y157" i="2"/>
  <c r="Z167" i="2"/>
  <c r="Z211" i="2"/>
  <c r="Z232" i="2"/>
  <c r="Z242" i="2"/>
  <c r="Z252" i="2"/>
  <c r="Y296" i="2"/>
  <c r="Z306" i="2"/>
  <c r="Z329" i="2"/>
  <c r="Z365" i="2"/>
  <c r="Z375" i="2"/>
  <c r="Q566" i="2"/>
  <c r="BN28" i="2"/>
  <c r="BN63" i="2"/>
  <c r="Y74" i="2"/>
  <c r="BN96" i="2"/>
  <c r="BP129" i="2"/>
  <c r="H9" i="2"/>
  <c r="BN47" i="2"/>
  <c r="Y79" i="2"/>
  <c r="Z89" i="2"/>
  <c r="Z110" i="2"/>
  <c r="BN122" i="2"/>
  <c r="Z275" i="2"/>
  <c r="Z285" i="2"/>
  <c r="J9" i="2"/>
  <c r="BP28" i="2"/>
  <c r="Z38" i="2"/>
  <c r="Z50" i="2"/>
  <c r="Z61" i="2"/>
  <c r="Z71" i="2"/>
  <c r="BN83" i="2"/>
  <c r="BP96" i="2"/>
  <c r="Z105" i="2"/>
  <c r="Z125" i="2"/>
  <c r="Y130" i="2"/>
  <c r="BP140" i="2"/>
  <c r="BN151" i="2"/>
  <c r="BP164" i="2"/>
  <c r="Z172" i="2"/>
  <c r="Z173" i="2" s="1"/>
  <c r="Z182" i="2"/>
  <c r="Z192" i="2"/>
  <c r="Z193" i="2" s="1"/>
  <c r="Y197" i="2"/>
  <c r="Z206" i="2"/>
  <c r="Z217" i="2"/>
  <c r="Z218" i="2" s="1"/>
  <c r="Z227" i="2"/>
  <c r="BP239" i="2"/>
  <c r="BN247" i="2"/>
  <c r="Z257" i="2"/>
  <c r="Z258" i="2" s="1"/>
  <c r="BP272" i="2"/>
  <c r="BN290" i="2"/>
  <c r="Y301" i="2"/>
  <c r="Y312" i="2"/>
  <c r="Y324" i="2"/>
  <c r="Z346" i="2"/>
  <c r="BN359" i="2"/>
  <c r="BN370" i="2"/>
  <c r="BN380" i="2"/>
  <c r="Z400" i="2"/>
  <c r="Z402" i="2" s="1"/>
  <c r="BN412" i="2"/>
  <c r="Z424" i="2"/>
  <c r="Z427" i="2" s="1"/>
  <c r="Z436" i="2"/>
  <c r="BP461" i="2"/>
  <c r="BN471" i="2"/>
  <c r="BN483" i="2"/>
  <c r="BN508" i="2"/>
  <c r="BN518" i="2"/>
  <c r="BN528" i="2"/>
  <c r="Z553" i="2"/>
  <c r="Z554" i="2" s="1"/>
  <c r="BN99" i="2"/>
  <c r="BP466" i="2"/>
  <c r="BN478" i="2"/>
  <c r="BN488" i="2"/>
  <c r="BN523" i="2"/>
  <c r="BN535" i="2"/>
  <c r="BN547" i="2"/>
  <c r="S566" i="2"/>
  <c r="BN89" i="2"/>
  <c r="Y64" i="2"/>
  <c r="Z81" i="2"/>
  <c r="Z84" i="2" s="1"/>
  <c r="Z92" i="2"/>
  <c r="Y141" i="2"/>
  <c r="Z159" i="2"/>
  <c r="Z160" i="2" s="1"/>
  <c r="BN21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Y349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Y541" i="2"/>
  <c r="BN553" i="2"/>
  <c r="T566" i="2"/>
  <c r="Z104" i="2"/>
  <c r="BN110" i="2"/>
  <c r="Y113" i="2"/>
  <c r="BP89" i="2"/>
  <c r="Y146" i="2"/>
  <c r="Z314" i="2"/>
  <c r="Z315" i="2" s="1"/>
  <c r="Y319" i="2"/>
  <c r="BP329" i="2"/>
  <c r="Y354" i="2"/>
  <c r="BP365" i="2"/>
  <c r="BP375" i="2"/>
  <c r="BP385" i="2"/>
  <c r="BN405" i="2"/>
  <c r="BP418" i="2"/>
  <c r="Y467" i="2"/>
  <c r="BP478" i="2"/>
  <c r="BP488" i="2"/>
  <c r="Y514" i="2"/>
  <c r="BP523" i="2"/>
  <c r="BP535" i="2"/>
  <c r="B566" i="2"/>
  <c r="Y114" i="2"/>
  <c r="BN159" i="2"/>
  <c r="BN235" i="2"/>
  <c r="BN245" i="2"/>
  <c r="BN268" i="2"/>
  <c r="BN278" i="2"/>
  <c r="BN288" i="2"/>
  <c r="BN298" i="2"/>
  <c r="BN309" i="2"/>
  <c r="BN332" i="2"/>
  <c r="BN368" i="2"/>
  <c r="BN378" i="2"/>
  <c r="BN388" i="2"/>
  <c r="BP424" i="2"/>
  <c r="BN456" i="2"/>
  <c r="BP553" i="2"/>
  <c r="C566" i="2"/>
  <c r="V566" i="2"/>
  <c r="BN92" i="2"/>
  <c r="Y32" i="2"/>
  <c r="Z152" i="2"/>
  <c r="Y168" i="2"/>
  <c r="Z291" i="2"/>
  <c r="Z360" i="2"/>
  <c r="Z361" i="2" s="1"/>
  <c r="Z371" i="2"/>
  <c r="Z381" i="2"/>
  <c r="Z413" i="2"/>
  <c r="Z414" i="2" s="1"/>
  <c r="Z449" i="2"/>
  <c r="Z452" i="2" s="1"/>
  <c r="Z472" i="2"/>
  <c r="Z473" i="2" s="1"/>
  <c r="Y489" i="2"/>
  <c r="Z497" i="2"/>
  <c r="Z500" i="2" s="1"/>
  <c r="Z509" i="2"/>
  <c r="Z519" i="2"/>
  <c r="Z529" i="2"/>
  <c r="Y536" i="2"/>
  <c r="Z543" i="2"/>
  <c r="Z544" i="2" s="1"/>
  <c r="D566" i="2"/>
  <c r="W566" i="2"/>
  <c r="BN81" i="2"/>
  <c r="Y84" i="2"/>
  <c r="Y65" i="2"/>
  <c r="Y100" i="2"/>
  <c r="Z22" i="2"/>
  <c r="Z24" i="2" s="1"/>
  <c r="Y51" i="2"/>
  <c r="BP81" i="2"/>
  <c r="Z90" i="2"/>
  <c r="Z111" i="2"/>
  <c r="Y126" i="2"/>
  <c r="Z134" i="2"/>
  <c r="Y147" i="2"/>
  <c r="BP159" i="2"/>
  <c r="Y173" i="2"/>
  <c r="Y193" i="2"/>
  <c r="Z200" i="2"/>
  <c r="Z201" i="2" s="1"/>
  <c r="Z212" i="2"/>
  <c r="Y218" i="2"/>
  <c r="Z233" i="2"/>
  <c r="Z243" i="2"/>
  <c r="BP245" i="2"/>
  <c r="Z253" i="2"/>
  <c r="Y258" i="2"/>
  <c r="Z276" i="2"/>
  <c r="Z286" i="2"/>
  <c r="Z307" i="2"/>
  <c r="Z330" i="2"/>
  <c r="Y355" i="2"/>
  <c r="Z366" i="2"/>
  <c r="Z376" i="2"/>
  <c r="Z386" i="2"/>
  <c r="Y409" i="2"/>
  <c r="Z419" i="2"/>
  <c r="BP456" i="2"/>
  <c r="Z479" i="2"/>
  <c r="Z484" i="2" s="1"/>
  <c r="Y515" i="2"/>
  <c r="Z524" i="2"/>
  <c r="Z548" i="2"/>
  <c r="Y554" i="2"/>
  <c r="X566" i="2"/>
  <c r="BN152" i="2"/>
  <c r="Y264" i="2"/>
  <c r="Y236" i="2"/>
  <c r="BN243" i="2"/>
  <c r="BN253" i="2"/>
  <c r="BN276" i="2"/>
  <c r="BN286" i="2"/>
  <c r="Z294" i="2"/>
  <c r="BN307" i="2"/>
  <c r="BN330" i="2"/>
  <c r="Z352" i="2"/>
  <c r="Z354" i="2" s="1"/>
  <c r="Y389" i="2"/>
  <c r="Z406" i="2"/>
  <c r="Z432" i="2"/>
  <c r="Z512" i="2"/>
  <c r="BN524" i="2"/>
  <c r="Y537" i="2"/>
  <c r="BN548" i="2"/>
  <c r="BN134" i="2"/>
  <c r="Y169" i="2"/>
  <c r="BN233" i="2"/>
  <c r="Y42" i="2"/>
  <c r="BN116" i="2"/>
  <c r="Z150" i="2"/>
  <c r="Y174" i="2"/>
  <c r="BP413" i="2"/>
  <c r="Y440" i="2"/>
  <c r="BP449" i="2"/>
  <c r="BP472" i="2"/>
  <c r="BP497" i="2"/>
  <c r="BP519" i="2"/>
  <c r="Z527" i="2"/>
  <c r="BP543" i="2"/>
  <c r="Y555" i="2"/>
  <c r="Z42" i="2" l="1"/>
  <c r="Z549" i="2"/>
  <c r="Z113" i="2"/>
  <c r="Z349" i="2"/>
  <c r="Z126" i="2"/>
  <c r="Z73" i="2"/>
  <c r="Z51" i="2"/>
  <c r="Z340" i="2"/>
  <c r="Z168" i="2"/>
  <c r="Z32" i="2"/>
  <c r="Z64" i="2"/>
  <c r="Z395" i="2"/>
  <c r="Z489" i="2"/>
  <c r="Y560" i="2"/>
  <c r="Y558" i="2"/>
  <c r="Z295" i="2"/>
  <c r="Z93" i="2"/>
  <c r="Z333" i="2"/>
  <c r="Z408" i="2"/>
  <c r="Z530" i="2"/>
  <c r="Z420" i="2"/>
  <c r="Z389" i="2"/>
  <c r="Z136" i="2"/>
  <c r="Z520" i="2"/>
  <c r="Z213" i="2"/>
  <c r="Z311" i="2"/>
  <c r="Z254" i="2"/>
  <c r="Y557" i="2"/>
  <c r="Z446" i="2"/>
  <c r="Z100" i="2"/>
  <c r="Y556" i="2"/>
  <c r="Z236" i="2"/>
  <c r="Z440" i="2"/>
  <c r="Z280" i="2"/>
  <c r="Z156" i="2"/>
  <c r="Z514" i="2"/>
  <c r="Z248" i="2"/>
  <c r="Z187" i="2"/>
  <c r="Z382" i="2"/>
  <c r="Z372" i="2"/>
  <c r="Z561" i="2" s="1"/>
  <c r="Y559" i="2" l="1"/>
</calcChain>
</file>

<file path=xl/sharedStrings.xml><?xml version="1.0" encoding="utf-8"?>
<sst xmlns="http://schemas.openxmlformats.org/spreadsheetml/2006/main" count="4322" uniqueCount="913">
  <si>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</si>
  <si>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</si>
  <si>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</si>
  <si>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</si>
  <si>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</si>
  <si>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</si>
  <si>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</si>
  <si>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</si>
  <si>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</si>
  <si>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</si>
  <si>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</si>
  <si>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</si>
  <si>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</si>
  <si>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</si>
  <si>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</si>
  <si>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</si>
  <si>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</si>
  <si>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</si>
  <si>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</si>
  <si>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</si>
  <si>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</si>
  <si>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</si>
  <si>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</si>
  <si>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</si>
  <si>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</si>
  <si>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</si>
  <si>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</si>
  <si>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</si>
  <si>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</si>
  <si>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</si>
  <si>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</si>
  <si>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</si>
  <si>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</si>
  <si>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</si>
  <si>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</si>
  <si>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</si>
  <si>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</si>
  <si>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</si>
  <si>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</si>
  <si>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</si>
  <si>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</si>
  <si>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</si>
  <si>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</si>
  <si>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</si>
  <si>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</si>
  <si>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</si>
  <si>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</si>
  <si>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</si>
  <si>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</si>
  <si>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</si>
  <si>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</si>
  <si>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</si>
  <si>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</si>
  <si>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</si>
  <si>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</si>
  <si>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</si>
  <si>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</si>
  <si>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</si>
  <si>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</si>
  <si>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</si>
  <si>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</si>
  <si>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</si>
  <si>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</si>
  <si>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</si>
  <si>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</si>
  <si>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</si>
  <si>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</si>
  <si>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</si>
  <si>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</si>
  <si>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</si>
  <si>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</si>
  <si>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</si>
  <si>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</si>
  <si>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</si>
  <si>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</si>
  <si>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</si>
  <si>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</si>
  <si>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</si>
  <si>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</si>
  <si>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</si>
  <si>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</si>
  <si>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</si>
  <si>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</si>
  <si>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</si>
  <si>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</si>
  <si>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</si>
  <si>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</si>
  <si>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</si>
  <si>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</si>
  <si>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</si>
  <si>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</si>
  <si>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</si>
  <si>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</si>
  <si>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</si>
  <si>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</si>
  <si>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</si>
  <si>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</si>
  <si>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</si>
  <si>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</si>
  <si>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</si>
  <si>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</si>
  <si>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</si>
  <si>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</si>
  <si>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</si>
  <si>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</si>
  <si>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</si>
  <si>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</si>
  <si>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</si>
  <si>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</si>
  <si>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</si>
  <si>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</si>
  <si>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</si>
  <si>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</si>
  <si>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</si>
  <si>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</si>
  <si>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</si>
  <si>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</si>
  <si>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</si>
  <si>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</si>
  <si>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</si>
  <si>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</si>
  <si>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</si>
  <si>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</si>
  <si>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</si>
  <si>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</si>
  <si>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</si>
  <si>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</si>
  <si>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</si>
  <si>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</si>
  <si>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</si>
  <si>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</si>
  <si>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</si>
  <si>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</si>
  <si>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</si>
  <si>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</si>
  <si>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</si>
  <si>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</si>
  <si>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</si>
  <si>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</si>
  <si>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</si>
  <si>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</si>
  <si>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</si>
  <si>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</si>
  <si>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</si>
  <si>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</si>
  <si>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</si>
  <si>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</si>
  <si>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</si>
  <si>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</si>
  <si>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</si>
  <si>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</si>
  <si>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</si>
  <si>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</si>
  <si>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</si>
  <si>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</si>
  <si>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</si>
  <si>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</si>
  <si>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</si>
  <si>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</si>
  <si>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</si>
  <si>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</si>
  <si>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</si>
  <si>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</si>
  <si>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</si>
  <si>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</si>
  <si>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</si>
  <si>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</si>
  <si>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</si>
  <si>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</si>
  <si>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</si>
  <si>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</si>
  <si>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</si>
  <si>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</si>
  <si>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</si>
  <si>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</si>
  <si>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</si>
  <si>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</si>
  <si>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</si>
  <si>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</si>
  <si>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</si>
  <si>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</si>
  <si>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</si>
  <si>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</si>
  <si>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</si>
  <si>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</si>
  <si>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</si>
  <si>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</si>
  <si>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</si>
  <si>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</si>
  <si>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</si>
  <si>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</si>
  <si>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</si>
  <si>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</si>
  <si>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</si>
  <si>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</si>
  <si>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</si>
  <si>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</si>
  <si>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</si>
  <si>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</si>
  <si>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</si>
  <si>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</si>
  <si>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</si>
  <si>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</si>
  <si>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</si>
  <si>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</si>
  <si>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</si>
  <si>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</si>
  <si>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</si>
  <si>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</si>
  <si>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</si>
  <si>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</si>
  <si>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</si>
  <si>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</si>
  <si>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</si>
  <si>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</si>
  <si>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</si>
  <si>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</si>
  <si>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</si>
  <si>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</si>
  <si>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</si>
  <si>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</si>
  <si>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</si>
  <si>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</si>
  <si>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</si>
  <si>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</si>
  <si>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</si>
  <si>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</si>
  <si>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</si>
  <si>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</si>
  <si>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</si>
  <si>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</si>
  <si>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</si>
  <si>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</si>
  <si>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</si>
  <si>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</si>
  <si>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</si>
  <si>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</si>
  <si>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</si>
  <si>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</si>
  <si>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</si>
  <si>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</si>
  <si>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</si>
  <si>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</si>
  <si>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</si>
  <si>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</si>
  <si>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</si>
  <si>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</si>
  <si>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</si>
  <si>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</si>
  <si>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</si>
  <si>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</si>
  <si>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</si>
  <si>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</si>
  <si>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</si>
  <si>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</si>
  <si>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</si>
  <si>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</si>
  <si>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</si>
  <si>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</si>
  <si>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</si>
  <si>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</si>
  <si>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</si>
  <si>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</si>
  <si>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</si>
  <si>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</si>
  <si>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</si>
  <si>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</si>
  <si>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</si>
  <si>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</si>
  <si>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</si>
  <si>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</si>
  <si>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</si>
  <si>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</si>
  <si>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</si>
  <si>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</si>
  <si>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</si>
  <si>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</si>
  <si>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</si>
  <si>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</si>
  <si>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</si>
  <si>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</si>
  <si>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</si>
  <si>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</si>
  <si>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</si>
  <si>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</si>
  <si>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</si>
  <si>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</si>
  <si>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</si>
  <si>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</si>
  <si>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</si>
  <si>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</si>
  <si>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</si>
  <si>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</si>
  <si>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</si>
  <si>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</si>
  <si>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</si>
  <si>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</si>
  <si>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</si>
  <si>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</si>
  <si>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</si>
  <si>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</si>
  <si>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</si>
  <si>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</si>
  <si>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</si>
  <si>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</si>
  <si>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</si>
  <si>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</si>
  <si>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</si>
  <si>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</si>
  <si>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</si>
  <si>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</si>
  <si>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</si>
  <si>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</si>
  <si>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</si>
  <si>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</si>
  <si>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</si>
  <si>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</si>
  <si>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</si>
  <si>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</si>
  <si>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</si>
  <si>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</si>
  <si>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</si>
  <si>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</si>
  <si>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</si>
  <si>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</si>
  <si>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</si>
  <si>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</si>
  <si>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</si>
  <si>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</si>
  <si>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</si>
  <si>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</si>
  <si>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</si>
  <si>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</si>
  <si>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</si>
  <si>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</si>
  <si>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</si>
  <si>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</si>
  <si>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</si>
  <si>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</si>
  <si>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</si>
  <si>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</si>
  <si>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</si>
  <si>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</si>
  <si>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</si>
  <si>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</si>
  <si>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</si>
  <si>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</si>
  <si>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</si>
  <si>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</si>
  <si>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</si>
  <si>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</si>
  <si>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</si>
  <si>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</si>
  <si>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</si>
  <si>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</si>
  <si>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</si>
  <si>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</si>
  <si>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</si>
  <si>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</si>
  <si>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</si>
  <si>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</si>
  <si>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</si>
  <si>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</si>
  <si>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</si>
  <si>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</si>
  <si>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</si>
  <si>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</si>
  <si>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</si>
  <si>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</si>
  <si>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</si>
  <si>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</si>
  <si>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</si>
  <si>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</si>
  <si>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</si>
  <si>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</si>
  <si>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</si>
  <si>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</si>
  <si>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</si>
  <si>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</si>
  <si>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</si>
  <si>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</si>
  <si>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</si>
  <si>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</si>
  <si>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</si>
  <si>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</si>
  <si>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</si>
  <si>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</si>
  <si>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</si>
  <si>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</si>
  <si>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</si>
  <si>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</si>
  <si>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</si>
  <si>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</si>
  <si>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</si>
  <si>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</si>
  <si>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</si>
  <si>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</si>
  <si>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</si>
  <si>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</si>
  <si>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</si>
  <si>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</si>
  <si>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</si>
  <si>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</si>
  <si>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</si>
  <si>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</si>
  <si>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</si>
  <si>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</si>
  <si>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</si>
  <si>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</si>
  <si>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</si>
  <si>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</si>
  <si>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</si>
  <si>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</si>
  <si>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</si>
  <si>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</si>
  <si>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</si>
  <si>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</si>
  <si>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</si>
  <si>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</si>
  <si>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</si>
  <si>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</si>
  <si>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</si>
  <si>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</si>
  <si>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</si>
  <si>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</si>
  <si>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</si>
  <si>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</si>
  <si>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</si>
  <si>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</si>
  <si>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</si>
  <si>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</si>
  <si>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</si>
  <si>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</si>
  <si>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</si>
  <si>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</si>
  <si>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</si>
  <si>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</si>
  <si>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</si>
  <si>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</si>
  <si>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</si>
  <si>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</si>
  <si>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</si>
  <si>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</si>
  <si>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</si>
  <si>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</si>
  <si>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</si>
  <si>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</si>
  <si>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</si>
  <si>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</si>
  <si>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</si>
  <si>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</si>
  <si>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</si>
  <si>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</si>
  <si>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</si>
  <si>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</si>
  <si>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</si>
  <si>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</si>
  <si>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</si>
  <si>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</si>
  <si>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</si>
  <si>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</si>
  <si>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</si>
  <si>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</si>
  <si>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</si>
  <si>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</si>
  <si>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</si>
  <si>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</si>
  <si>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</si>
  <si>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</si>
  <si>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</si>
  <si>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</si>
  <si>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</si>
  <si>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</si>
  <si>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</si>
  <si>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</si>
  <si>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</si>
  <si>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</si>
  <si>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</si>
  <si>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</si>
  <si>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</si>
  <si>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</si>
  <si>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</si>
  <si>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</si>
  <si>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</si>
  <si>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</si>
  <si>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</si>
  <si>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</si>
  <si>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</si>
  <si>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</si>
  <si>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</si>
  <si>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</si>
  <si>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</si>
  <si>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</si>
  <si>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</si>
  <si>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</si>
  <si>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</si>
  <si>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</si>
  <si>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</si>
  <si>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</si>
  <si>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</si>
  <si>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</si>
  <si>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</si>
  <si>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</si>
  <si>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</si>
  <si>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</si>
  <si>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</si>
  <si>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</si>
  <si>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</si>
  <si>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</si>
  <si>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</si>
  <si>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</si>
  <si>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</si>
  <si>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</si>
  <si>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</si>
  <si>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</si>
  <si>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</si>
  <si>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</si>
  <si>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</si>
  <si>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</si>
  <si>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</si>
  <si>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</si>
  <si>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</si>
  <si>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</si>
  <si>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</si>
  <si>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</si>
  <si>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</si>
  <si>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</si>
  <si>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</si>
  <si>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</si>
  <si>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</si>
  <si>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</si>
  <si>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</si>
  <si>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</si>
  <si>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</si>
  <si>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</si>
  <si>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</si>
  <si>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</si>
  <si>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</si>
  <si>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</si>
  <si>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</si>
  <si>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</si>
  <si>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</si>
  <si>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</si>
  <si>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</si>
  <si>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</si>
  <si>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</si>
  <si>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</si>
  <si>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</si>
  <si>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</si>
  <si>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</si>
  <si>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</si>
  <si>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</si>
  <si>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</si>
  <si>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</si>
  <si>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</si>
  <si>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</si>
  <si>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</si>
  <si>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</si>
  <si>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</si>
  <si>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</si>
  <si>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</si>
  <si>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</si>
  <si>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</si>
  <si>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</si>
  <si>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</si>
  <si>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</si>
  <si>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</si>
  <si>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</si>
  <si>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</si>
  <si>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</si>
  <si>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</si>
  <si>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</si>
  <si>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</si>
  <si>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</si>
  <si>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</si>
  <si>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</si>
  <si>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</si>
  <si>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</si>
  <si>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</si>
  <si>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</si>
  <si>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</si>
  <si>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</si>
  <si>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</si>
  <si>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</si>
  <si>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</si>
  <si>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</si>
  <si>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</si>
  <si>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</si>
  <si>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</si>
  <si>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</si>
  <si>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</si>
  <si>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</si>
  <si>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</si>
  <si>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</si>
  <si>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</si>
  <si>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</si>
  <si>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</si>
  <si>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</si>
  <si>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</si>
  <si>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</si>
  <si>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</si>
  <si>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</si>
  <si>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</si>
  <si>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</si>
  <si>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</si>
  <si>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</si>
  <si>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</si>
  <si>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</si>
  <si>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</si>
  <si>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</si>
  <si>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</si>
  <si>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</si>
  <si>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</si>
  <si>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</si>
  <si>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</si>
  <si>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</si>
  <si>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</si>
  <si>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</si>
  <si>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</si>
  <si>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</si>
  <si>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</si>
  <si>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</si>
  <si>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</si>
  <si>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</si>
  <si>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</si>
  <si>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</si>
  <si>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</si>
  <si>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</si>
  <si>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</si>
  <si>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</si>
  <si>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</si>
  <si>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</si>
  <si>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</si>
  <si>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</si>
  <si>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</si>
  <si>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</si>
  <si>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</si>
  <si>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</si>
  <si>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</si>
  <si>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</si>
  <si>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</si>
  <si>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</si>
  <si>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</si>
  <si>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</si>
  <si>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</si>
  <si>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</si>
  <si>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</si>
  <si>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</si>
  <si>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</si>
  <si>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</si>
  <si>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</si>
  <si>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</si>
  <si>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</si>
  <si>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</si>
  <si>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</si>
  <si>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</si>
  <si>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</si>
  <si>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</si>
  <si>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</si>
  <si>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</si>
  <si>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</si>
  <si>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</si>
  <si>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</si>
  <si>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</si>
  <si>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</si>
  <si>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</si>
  <si>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</si>
  <si>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</si>
  <si>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</si>
  <si>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</si>
  <si>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</si>
  <si>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</si>
  <si>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</si>
  <si>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</si>
  <si>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</si>
  <si>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</si>
  <si>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</si>
  <si>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</si>
  <si>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</si>
  <si>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</si>
  <si>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</si>
  <si>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</si>
  <si>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</si>
  <si>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</si>
  <si>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</si>
  <si>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</si>
  <si>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</si>
  <si>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</si>
  <si>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</si>
  <si>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</si>
  <si>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</si>
  <si>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</si>
  <si>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</si>
  <si>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</si>
  <si>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</si>
  <si>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</si>
  <si>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</si>
  <si>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</si>
  <si>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</si>
  <si>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</si>
  <si>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</si>
  <si>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</si>
  <si>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</si>
  <si>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</si>
  <si>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</si>
  <si>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</si>
  <si>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</si>
  <si>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</si>
  <si>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</si>
  <si>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</si>
  <si>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</si>
  <si>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</si>
  <si>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</si>
  <si>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</si>
  <si>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</si>
  <si>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</si>
  <si>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</si>
  <si>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</si>
  <si>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</si>
  <si>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</si>
  <si>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</si>
  <si>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</si>
  <si>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</si>
  <si>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</si>
  <si>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</si>
  <si>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</si>
  <si>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</si>
  <si>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</si>
  <si>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</si>
  <si>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</si>
  <si>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</si>
  <si>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</si>
  <si>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</si>
  <si>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</si>
  <si>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</si>
  <si>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</si>
  <si>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</si>
  <si>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</si>
  <si>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</si>
  <si>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</si>
  <si>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</si>
  <si>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</si>
  <si>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</si>
  <si>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</si>
  <si>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</si>
  <si>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</si>
  <si>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</si>
  <si>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</si>
  <si>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</si>
  <si>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</si>
  <si>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</si>
  <si>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</si>
  <si>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</si>
  <si>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</si>
  <si>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</si>
  <si>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</si>
  <si>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</si>
  <si>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</si>
  <si>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</si>
  <si>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</si>
  <si>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</si>
  <si>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</si>
  <si>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</si>
  <si>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</si>
  <si>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</si>
  <si>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</si>
  <si>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</si>
  <si>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</si>
  <si>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</si>
  <si>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</si>
  <si>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</si>
  <si>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</si>
  <si>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</si>
  <si>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</si>
  <si>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</si>
  <si>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</si>
  <si>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</si>
  <si>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</si>
  <si>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</si>
  <si>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</si>
  <si>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</si>
  <si>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</si>
  <si>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</si>
  <si>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</si>
  <si>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</si>
  <si>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</si>
  <si>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</si>
  <si>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</si>
  <si>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</si>
  <si>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</si>
  <si>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</si>
  <si>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</si>
  <si>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</si>
  <si>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</si>
  <si>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</si>
  <si>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</si>
  <si>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</si>
  <si>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</si>
  <si>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</si>
  <si>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</si>
  <si>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</si>
  <si>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</si>
  <si>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</si>
  <si>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</si>
  <si>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</si>
  <si>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</si>
  <si>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</si>
  <si>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</si>
  <si>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</si>
  <si>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</si>
  <si>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</si>
  <si>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</si>
  <si>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</si>
  <si>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</si>
  <si>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</si>
  <si>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</si>
  <si>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</si>
  <si>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</si>
  <si>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</si>
  <si>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</si>
  <si>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</si>
  <si>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</si>
  <si>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</si>
  <si>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</si>
  <si>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</si>
  <si>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</si>
  <si>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</si>
  <si>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</si>
  <si>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</si>
  <si>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</si>
  <si>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</si>
  <si>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</si>
  <si>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</si>
  <si>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</si>
  <si>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</si>
  <si>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</si>
  <si>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</si>
  <si>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</si>
  <si>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</si>
  <si>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</si>
  <si>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</si>
  <si>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</si>
  <si>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</si>
  <si>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</si>
  <si>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</si>
  <si>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</si>
  <si>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</si>
  <si>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</si>
  <si>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</si>
  <si>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</si>
  <si>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</si>
  <si>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</si>
  <si>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</si>
  <si>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</si>
  <si>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</si>
  <si>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</si>
  <si>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</si>
  <si>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</si>
  <si>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</si>
  <si>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</si>
  <si>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</si>
  <si>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</si>
  <si>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</si>
  <si>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</si>
  <si>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</si>
  <si>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</si>
  <si>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</si>
  <si>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</si>
  <si>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</si>
  <si>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</si>
  <si>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</si>
  <si>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</si>
  <si>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</si>
  <si>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</si>
  <si>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</si>
  <si>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</si>
  <si>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</si>
  <si>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</si>
  <si>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</si>
  <si>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</si>
  <si>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</si>
  <si>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</si>
  <si>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</si>
  <si>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</si>
  <si>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</si>
  <si>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</si>
  <si>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</si>
  <si>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</si>
  <si>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</si>
  <si>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</si>
  <si>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</si>
  <si>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</si>
  <si>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</si>
  <si>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</si>
  <si>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</si>
  <si>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</si>
  <si>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</si>
  <si>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</si>
  <si>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</si>
  <si>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</si>
  <si>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</si>
  <si>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</si>
  <si>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</si>
  <si>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</si>
  <si>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</si>
  <si>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</si>
  <si>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</si>
  <si>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</si>
  <si>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</si>
  <si>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</si>
  <si>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</si>
  <si>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TSO001124307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</si>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</sst>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11" t="s">
        <v>26</v>
      </c>
      <c r="E1" s="1011"/>
      <c r="F1" s="1011"/>
      <c r="G1" s="14" t="s">
        <v>66</v>
      </c>
      <c r="H1" s="1011" t="s">
        <v>47</v>
      </c>
      <c r="I1" s="1011"/>
      <c r="J1" s="1011"/>
      <c r="K1" s="1011"/>
      <c r="L1" s="1011"/>
      <c r="M1" s="1011"/>
      <c r="N1" s="1011"/>
      <c r="O1" s="1011"/>
      <c r="P1" s="1011"/>
      <c r="Q1" s="1011"/>
      <c r="R1" s="1012" t="s">
        <v>67</v>
      </c>
      <c r="S1" s="1013"/>
      <c r="T1" s="101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4"/>
      <c r="R2" s="1014"/>
      <c r="S2" s="1014"/>
      <c r="T2" s="1014"/>
      <c r="U2" s="1014"/>
      <c r="V2" s="1014"/>
      <c r="W2" s="101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4"/>
      <c r="Q3" s="1014"/>
      <c r="R3" s="1014"/>
      <c r="S3" s="1014"/>
      <c r="T3" s="1014"/>
      <c r="U3" s="1014"/>
      <c r="V3" s="1014"/>
      <c r="W3" s="101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3" t="s">
        <v>8</v>
      </c>
      <c r="B5" s="993"/>
      <c r="C5" s="993"/>
      <c r="D5" s="1015"/>
      <c r="E5" s="1015"/>
      <c r="F5" s="1016" t="s">
        <v>14</v>
      </c>
      <c r="G5" s="1016"/>
      <c r="H5" s="1015" t="s">
        <v>911</v>
      </c>
      <c r="I5" s="1015"/>
      <c r="J5" s="1015"/>
      <c r="K5" s="1015"/>
      <c r="L5" s="1015"/>
      <c r="M5" s="1015"/>
      <c r="N5" s="72"/>
      <c r="P5" s="27" t="s">
        <v>4</v>
      </c>
      <c r="Q5" s="1017">
        <v>46289</v>
      </c>
      <c r="R5" s="1017"/>
      <c r="T5" s="1018" t="s">
        <v>3</v>
      </c>
      <c r="U5" s="1019"/>
      <c r="V5" s="1020" t="s">
        <v>871</v>
      </c>
      <c r="W5" s="1021"/>
      <c r="AB5" s="59"/>
      <c r="AC5" s="59"/>
      <c r="AD5" s="59"/>
      <c r="AE5" s="59"/>
    </row>
    <row r="6" spans="1:32" s="17" customFormat="1" ht="24" customHeight="1" x14ac:dyDescent="0.2">
      <c r="A6" s="993" t="s">
        <v>1</v>
      </c>
      <c r="B6" s="993"/>
      <c r="C6" s="993"/>
      <c r="D6" s="994" t="s">
        <v>884</v>
      </c>
      <c r="E6" s="994"/>
      <c r="F6" s="994"/>
      <c r="G6" s="994"/>
      <c r="H6" s="994"/>
      <c r="I6" s="994"/>
      <c r="J6" s="994"/>
      <c r="K6" s="994"/>
      <c r="L6" s="994"/>
      <c r="M6" s="994"/>
      <c r="N6" s="73"/>
      <c r="P6" s="27" t="s">
        <v>27</v>
      </c>
      <c r="Q6" s="995" t="str">
        <f>IF(Q5=0," ",CHOOSE(WEEKDAY(Q5,2),"Понедельник","Вторник","Среда","Четверг","Пятница","Суббота","Воскресенье"))</f>
        <v>Четверг</v>
      </c>
      <c r="R6" s="995"/>
      <c r="T6" s="996" t="s">
        <v>5</v>
      </c>
      <c r="U6" s="997"/>
      <c r="V6" s="998" t="s">
        <v>69</v>
      </c>
      <c r="W6" s="99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4" t="str">
        <f>IFERROR(VLOOKUP(DeliveryAddress,Table,3,0),1)</f>
        <v>5</v>
      </c>
      <c r="E7" s="1005"/>
      <c r="F7" s="1005"/>
      <c r="G7" s="1005"/>
      <c r="H7" s="1005"/>
      <c r="I7" s="1005"/>
      <c r="J7" s="1005"/>
      <c r="K7" s="1005"/>
      <c r="L7" s="1005"/>
      <c r="M7" s="1006"/>
      <c r="N7" s="74"/>
      <c r="P7" s="29"/>
      <c r="Q7" s="48"/>
      <c r="R7" s="48"/>
      <c r="T7" s="996"/>
      <c r="U7" s="997"/>
      <c r="V7" s="1000"/>
      <c r="W7" s="1001"/>
      <c r="AB7" s="59"/>
      <c r="AC7" s="59"/>
      <c r="AD7" s="59"/>
      <c r="AE7" s="59"/>
    </row>
    <row r="8" spans="1:32" s="17" customFormat="1" ht="25.5" customHeight="1" x14ac:dyDescent="0.2">
      <c r="A8" s="1007" t="s">
        <v>57</v>
      </c>
      <c r="B8" s="1007"/>
      <c r="C8" s="1007"/>
      <c r="D8" s="1008"/>
      <c r="E8" s="1008"/>
      <c r="F8" s="1008"/>
      <c r="G8" s="1008"/>
      <c r="H8" s="1008"/>
      <c r="I8" s="1008"/>
      <c r="J8" s="1008"/>
      <c r="K8" s="1008"/>
      <c r="L8" s="1008"/>
      <c r="M8" s="1008"/>
      <c r="N8" s="75"/>
      <c r="P8" s="27" t="s">
        <v>11</v>
      </c>
      <c r="Q8" s="991">
        <v>0.45833333333333331</v>
      </c>
      <c r="R8" s="991"/>
      <c r="T8" s="996"/>
      <c r="U8" s="997"/>
      <c r="V8" s="1000"/>
      <c r="W8" s="1001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09" t="str">
        <f>IF(AND($A$9="Тип доверенности/получателя при получении в адресе перегруза:",$D$9="Разовая доверенность"),"Введите ФИО","")</f>
        <v/>
      </c>
      <c r="I9" s="1009"/>
      <c r="J9" s="10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9"/>
      <c r="L9" s="1009"/>
      <c r="M9" s="1009"/>
      <c r="N9" s="70"/>
      <c r="P9" s="31" t="s">
        <v>15</v>
      </c>
      <c r="Q9" s="1010"/>
      <c r="R9" s="1010"/>
      <c r="T9" s="996"/>
      <c r="U9" s="997"/>
      <c r="V9" s="1002"/>
      <c r="W9" s="100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70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69" t="s">
        <v>912</v>
      </c>
      <c r="W11" s="96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8" t="s">
        <v>71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76"/>
      <c r="P12" s="27" t="s">
        <v>30</v>
      </c>
      <c r="Q12" s="991"/>
      <c r="R12" s="991"/>
      <c r="S12" s="28"/>
      <c r="T12"/>
      <c r="U12" s="29" t="s">
        <v>46</v>
      </c>
      <c r="V12" s="992"/>
      <c r="W12" s="992"/>
      <c r="X12"/>
      <c r="AB12" s="59"/>
      <c r="AC12" s="59"/>
      <c r="AD12" s="59"/>
      <c r="AE12" s="59"/>
    </row>
    <row r="13" spans="1:32" s="17" customFormat="1" ht="23.25" customHeight="1" x14ac:dyDescent="0.2">
      <c r="A13" s="968" t="s">
        <v>72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76"/>
      <c r="O13" s="31"/>
      <c r="P13" s="31" t="s">
        <v>31</v>
      </c>
      <c r="Q13" s="969"/>
      <c r="R13" s="96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8" t="s">
        <v>73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0" t="s">
        <v>74</v>
      </c>
      <c r="B15" s="970"/>
      <c r="C15" s="970"/>
      <c r="D15" s="970"/>
      <c r="E15" s="970"/>
      <c r="F15" s="970"/>
      <c r="G15" s="970"/>
      <c r="H15" s="970"/>
      <c r="I15" s="970"/>
      <c r="J15" s="970"/>
      <c r="K15" s="970"/>
      <c r="L15" s="970"/>
      <c r="M15" s="970"/>
      <c r="N15" s="77"/>
      <c r="O15"/>
      <c r="P15" s="971" t="s">
        <v>60</v>
      </c>
      <c r="Q15" s="971"/>
      <c r="R15" s="971"/>
      <c r="S15" s="971"/>
      <c r="T15" s="97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2"/>
      <c r="Q16" s="972"/>
      <c r="R16" s="972"/>
      <c r="S16" s="972"/>
      <c r="T16" s="97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4" t="s">
        <v>58</v>
      </c>
      <c r="B17" s="954" t="s">
        <v>49</v>
      </c>
      <c r="C17" s="975" t="s">
        <v>48</v>
      </c>
      <c r="D17" s="977" t="s">
        <v>50</v>
      </c>
      <c r="E17" s="978"/>
      <c r="F17" s="954" t="s">
        <v>21</v>
      </c>
      <c r="G17" s="954" t="s">
        <v>24</v>
      </c>
      <c r="H17" s="954" t="s">
        <v>22</v>
      </c>
      <c r="I17" s="954" t="s">
        <v>23</v>
      </c>
      <c r="J17" s="954" t="s">
        <v>16</v>
      </c>
      <c r="K17" s="954" t="s">
        <v>65</v>
      </c>
      <c r="L17" s="954" t="s">
        <v>63</v>
      </c>
      <c r="M17" s="954" t="s">
        <v>2</v>
      </c>
      <c r="N17" s="954" t="s">
        <v>62</v>
      </c>
      <c r="O17" s="954" t="s">
        <v>25</v>
      </c>
      <c r="P17" s="977" t="s">
        <v>17</v>
      </c>
      <c r="Q17" s="981"/>
      <c r="R17" s="981"/>
      <c r="S17" s="981"/>
      <c r="T17" s="978"/>
      <c r="U17" s="973" t="s">
        <v>55</v>
      </c>
      <c r="V17" s="974"/>
      <c r="W17" s="954" t="s">
        <v>6</v>
      </c>
      <c r="X17" s="954" t="s">
        <v>41</v>
      </c>
      <c r="Y17" s="956" t="s">
        <v>54</v>
      </c>
      <c r="Z17" s="958" t="s">
        <v>18</v>
      </c>
      <c r="AA17" s="960" t="s">
        <v>59</v>
      </c>
      <c r="AB17" s="960" t="s">
        <v>19</v>
      </c>
      <c r="AC17" s="960" t="s">
        <v>64</v>
      </c>
      <c r="AD17" s="962" t="s">
        <v>56</v>
      </c>
      <c r="AE17" s="963"/>
      <c r="AF17" s="964"/>
      <c r="AG17" s="82"/>
      <c r="BD17" s="81" t="s">
        <v>61</v>
      </c>
    </row>
    <row r="18" spans="1:68" ht="14.25" customHeight="1" x14ac:dyDescent="0.2">
      <c r="A18" s="955"/>
      <c r="B18" s="955"/>
      <c r="C18" s="976"/>
      <c r="D18" s="979"/>
      <c r="E18" s="980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79"/>
      <c r="Q18" s="982"/>
      <c r="R18" s="982"/>
      <c r="S18" s="982"/>
      <c r="T18" s="980"/>
      <c r="U18" s="83" t="s">
        <v>44</v>
      </c>
      <c r="V18" s="83" t="s">
        <v>43</v>
      </c>
      <c r="W18" s="955"/>
      <c r="X18" s="955"/>
      <c r="Y18" s="957"/>
      <c r="Z18" s="959"/>
      <c r="AA18" s="961"/>
      <c r="AB18" s="961"/>
      <c r="AC18" s="961"/>
      <c r="AD18" s="965"/>
      <c r="AE18" s="966"/>
      <c r="AF18" s="967"/>
      <c r="AG18" s="82"/>
      <c r="BD18" s="81"/>
    </row>
    <row r="19" spans="1:68" ht="27.75" hidden="1" customHeight="1" x14ac:dyDescent="0.2">
      <c r="A19" s="676" t="s">
        <v>75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69" t="s">
        <v>75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76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5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9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6" t="s">
        <v>40</v>
      </c>
      <c r="Q24" s="657"/>
      <c r="R24" s="657"/>
      <c r="S24" s="657"/>
      <c r="T24" s="657"/>
      <c r="U24" s="657"/>
      <c r="V24" s="65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6" t="s">
        <v>40</v>
      </c>
      <c r="Q25" s="657"/>
      <c r="R25" s="657"/>
      <c r="S25" s="657"/>
      <c r="T25" s="657"/>
      <c r="U25" s="657"/>
      <c r="V25" s="65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85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6" t="s">
        <v>40</v>
      </c>
      <c r="Q32" s="657"/>
      <c r="R32" s="657"/>
      <c r="S32" s="657"/>
      <c r="T32" s="657"/>
      <c r="U32" s="657"/>
      <c r="V32" s="65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6" t="s">
        <v>40</v>
      </c>
      <c r="Q33" s="657"/>
      <c r="R33" s="657"/>
      <c r="S33" s="657"/>
      <c r="T33" s="657"/>
      <c r="U33" s="657"/>
      <c r="V33" s="65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6" t="s">
        <v>45</v>
      </c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54"/>
      <c r="AB34" s="54"/>
      <c r="AC34" s="54"/>
    </row>
    <row r="35" spans="1:68" ht="16.5" hidden="1" customHeight="1" x14ac:dyDescent="0.25">
      <c r="A35" s="669" t="s">
        <v>103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85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6" t="s">
        <v>40</v>
      </c>
      <c r="Q42" s="657"/>
      <c r="R42" s="657"/>
      <c r="S42" s="657"/>
      <c r="T42" s="657"/>
      <c r="U42" s="657"/>
      <c r="V42" s="65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6" t="s">
        <v>40</v>
      </c>
      <c r="Q43" s="657"/>
      <c r="R43" s="657"/>
      <c r="S43" s="657"/>
      <c r="T43" s="657"/>
      <c r="U43" s="657"/>
      <c r="V43" s="65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6" t="s">
        <v>119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54"/>
      <c r="AB44" s="54"/>
      <c r="AC44" s="54"/>
    </row>
    <row r="45" spans="1:68" ht="16.5" hidden="1" customHeight="1" x14ac:dyDescent="0.25">
      <c r="A45" s="669" t="s">
        <v>120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121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6" t="s">
        <v>40</v>
      </c>
      <c r="Q51" s="657"/>
      <c r="R51" s="657"/>
      <c r="S51" s="657"/>
      <c r="T51" s="657"/>
      <c r="U51" s="657"/>
      <c r="V51" s="65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6" t="s">
        <v>40</v>
      </c>
      <c r="Q52" s="657"/>
      <c r="R52" s="657"/>
      <c r="S52" s="657"/>
      <c r="T52" s="657"/>
      <c r="U52" s="657"/>
      <c r="V52" s="65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136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121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65">
        <v>4680115881426</v>
      </c>
      <c r="E57" s="66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3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65">
        <v>4680115880283</v>
      </c>
      <c r="E58" s="66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65">
        <v>4680115881525</v>
      </c>
      <c r="E59" s="66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65">
        <v>4680115881525</v>
      </c>
      <c r="E60" s="66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65">
        <v>4680115885899</v>
      </c>
      <c r="E61" s="66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7"/>
      <c r="R61" s="667"/>
      <c r="S61" s="667"/>
      <c r="T61" s="66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65">
        <v>4680115881419</v>
      </c>
      <c r="E62" s="66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7"/>
      <c r="R62" s="667"/>
      <c r="S62" s="667"/>
      <c r="T62" s="66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65">
        <v>4680115881419</v>
      </c>
      <c r="E63" s="66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7"/>
      <c r="R63" s="667"/>
      <c r="S63" s="667"/>
      <c r="T63" s="66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6" t="s">
        <v>40</v>
      </c>
      <c r="Q64" s="657"/>
      <c r="R64" s="657"/>
      <c r="S64" s="657"/>
      <c r="T64" s="657"/>
      <c r="U64" s="657"/>
      <c r="V64" s="65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6" t="s">
        <v>40</v>
      </c>
      <c r="Q65" s="657"/>
      <c r="R65" s="657"/>
      <c r="S65" s="657"/>
      <c r="T65" s="657"/>
      <c r="U65" s="657"/>
      <c r="V65" s="65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70" t="s">
        <v>158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65">
        <v>4680115881440</v>
      </c>
      <c r="E67" s="66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66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65">
        <v>4680115881440</v>
      </c>
      <c r="E68" s="66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7"/>
      <c r="R68" s="667"/>
      <c r="S68" s="667"/>
      <c r="T68" s="66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66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65">
        <v>4680115885950</v>
      </c>
      <c r="E69" s="66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7"/>
      <c r="R69" s="667"/>
      <c r="S69" s="667"/>
      <c r="T69" s="66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66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65">
        <v>4680115887688</v>
      </c>
      <c r="E70" s="66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7"/>
      <c r="R70" s="667"/>
      <c r="S70" s="667"/>
      <c r="T70" s="66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66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4301020296</v>
      </c>
      <c r="D71" s="665">
        <v>4680115881433</v>
      </c>
      <c r="E71" s="66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2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161</v>
      </c>
      <c r="AG71" s="78"/>
      <c r="AJ71" s="84" t="s">
        <v>46</v>
      </c>
      <c r="AK71" s="84">
        <v>0</v>
      </c>
      <c r="BB71" s="145" t="s">
        <v>66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169</v>
      </c>
      <c r="B72" s="63" t="s">
        <v>171</v>
      </c>
      <c r="C72" s="36">
        <v>4301020389</v>
      </c>
      <c r="D72" s="665">
        <v>4680115881433</v>
      </c>
      <c r="E72" s="66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90</v>
      </c>
      <c r="L72" s="37" t="s">
        <v>46</v>
      </c>
      <c r="M72" s="38" t="s">
        <v>125</v>
      </c>
      <c r="N72" s="38"/>
      <c r="O72" s="37">
        <v>50</v>
      </c>
      <c r="P72" s="9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163</v>
      </c>
      <c r="AG72" s="78"/>
      <c r="AJ72" s="84" t="s">
        <v>46</v>
      </c>
      <c r="AK72" s="84">
        <v>0</v>
      </c>
      <c r="BB72" s="147" t="s">
        <v>66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hidden="1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6" t="s">
        <v>40</v>
      </c>
      <c r="Q73" s="657"/>
      <c r="R73" s="657"/>
      <c r="S73" s="657"/>
      <c r="T73" s="657"/>
      <c r="U73" s="657"/>
      <c r="V73" s="658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60"/>
      <c r="P74" s="656" t="s">
        <v>40</v>
      </c>
      <c r="Q74" s="657"/>
      <c r="R74" s="657"/>
      <c r="S74" s="657"/>
      <c r="T74" s="657"/>
      <c r="U74" s="657"/>
      <c r="V74" s="658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hidden="1" customHeight="1" x14ac:dyDescent="0.25">
      <c r="A75" s="670" t="s">
        <v>85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hidden="1" customHeight="1" x14ac:dyDescent="0.25">
      <c r="A76" s="63" t="s">
        <v>172</v>
      </c>
      <c r="B76" s="63" t="s">
        <v>173</v>
      </c>
      <c r="C76" s="36">
        <v>4301051837</v>
      </c>
      <c r="D76" s="665">
        <v>4680115884311</v>
      </c>
      <c r="E76" s="66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7"/>
      <c r="R76" s="667"/>
      <c r="S76" s="667"/>
      <c r="T76" s="66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174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175</v>
      </c>
      <c r="B77" s="63" t="s">
        <v>176</v>
      </c>
      <c r="C77" s="36">
        <v>4301052083</v>
      </c>
      <c r="D77" s="665">
        <v>4680115884403</v>
      </c>
      <c r="E77" s="66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1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177</v>
      </c>
      <c r="AG77" s="78"/>
      <c r="AJ77" s="84" t="s">
        <v>46</v>
      </c>
      <c r="AK77" s="84">
        <v>0</v>
      </c>
      <c r="BB77" s="151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6" t="s">
        <v>40</v>
      </c>
      <c r="Q78" s="657"/>
      <c r="R78" s="657"/>
      <c r="S78" s="657"/>
      <c r="T78" s="657"/>
      <c r="U78" s="657"/>
      <c r="V78" s="65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60"/>
      <c r="P79" s="656" t="s">
        <v>40</v>
      </c>
      <c r="Q79" s="657"/>
      <c r="R79" s="657"/>
      <c r="S79" s="657"/>
      <c r="T79" s="657"/>
      <c r="U79" s="657"/>
      <c r="V79" s="65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0" t="s">
        <v>178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hidden="1" customHeight="1" x14ac:dyDescent="0.25">
      <c r="A81" s="63" t="s">
        <v>179</v>
      </c>
      <c r="B81" s="63" t="s">
        <v>180</v>
      </c>
      <c r="C81" s="36">
        <v>4301060455</v>
      </c>
      <c r="D81" s="665">
        <v>4680115881532</v>
      </c>
      <c r="E81" s="66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7"/>
      <c r="R81" s="667"/>
      <c r="S81" s="667"/>
      <c r="T81" s="66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179</v>
      </c>
      <c r="B82" s="63" t="s">
        <v>182</v>
      </c>
      <c r="C82" s="36">
        <v>4301060526</v>
      </c>
      <c r="D82" s="665">
        <v>4680115881532</v>
      </c>
      <c r="E82" s="66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126</v>
      </c>
      <c r="L82" s="37" t="s">
        <v>46</v>
      </c>
      <c r="M82" s="38" t="s">
        <v>96</v>
      </c>
      <c r="N82" s="38"/>
      <c r="O82" s="37">
        <v>30</v>
      </c>
      <c r="P82" s="92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7"/>
      <c r="R82" s="667"/>
      <c r="S82" s="667"/>
      <c r="T82" s="66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181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183</v>
      </c>
      <c r="B83" s="63" t="s">
        <v>184</v>
      </c>
      <c r="C83" s="36">
        <v>4301060527</v>
      </c>
      <c r="D83" s="665">
        <v>4680115881464</v>
      </c>
      <c r="E83" s="66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133</v>
      </c>
      <c r="L83" s="37" t="s">
        <v>46</v>
      </c>
      <c r="M83" s="38" t="s">
        <v>89</v>
      </c>
      <c r="N83" s="38"/>
      <c r="O83" s="37">
        <v>30</v>
      </c>
      <c r="P83" s="91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7"/>
      <c r="R83" s="667"/>
      <c r="S83" s="667"/>
      <c r="T83" s="66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185</v>
      </c>
      <c r="AG83" s="78"/>
      <c r="AJ83" s="84" t="s">
        <v>46</v>
      </c>
      <c r="AK83" s="84">
        <v>0</v>
      </c>
      <c r="BB83" s="157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6" t="s">
        <v>40</v>
      </c>
      <c r="Q84" s="657"/>
      <c r="R84" s="657"/>
      <c r="S84" s="657"/>
      <c r="T84" s="657"/>
      <c r="U84" s="657"/>
      <c r="V84" s="658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60"/>
      <c r="P85" s="656" t="s">
        <v>40</v>
      </c>
      <c r="Q85" s="657"/>
      <c r="R85" s="657"/>
      <c r="S85" s="657"/>
      <c r="T85" s="657"/>
      <c r="U85" s="657"/>
      <c r="V85" s="658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669" t="s">
        <v>186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5"/>
      <c r="AB86" s="65"/>
      <c r="AC86" s="79"/>
    </row>
    <row r="87" spans="1:68" ht="14.25" hidden="1" customHeight="1" x14ac:dyDescent="0.25">
      <c r="A87" s="670" t="s">
        <v>121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6"/>
      <c r="AB87" s="66"/>
      <c r="AC87" s="80"/>
    </row>
    <row r="88" spans="1:68" ht="27" hidden="1" customHeight="1" x14ac:dyDescent="0.25">
      <c r="A88" s="63" t="s">
        <v>187</v>
      </c>
      <c r="B88" s="63" t="s">
        <v>188</v>
      </c>
      <c r="C88" s="36">
        <v>4301011468</v>
      </c>
      <c r="D88" s="665">
        <v>4680115881327</v>
      </c>
      <c r="E88" s="66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96</v>
      </c>
      <c r="N88" s="38"/>
      <c r="O88" s="37">
        <v>50</v>
      </c>
      <c r="P88" s="9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665">
        <v>4680115887732</v>
      </c>
      <c r="E89" s="66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665">
        <v>4680115881518</v>
      </c>
      <c r="E90" s="66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7"/>
      <c r="R90" s="667"/>
      <c r="S90" s="667"/>
      <c r="T90" s="66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665">
        <v>4680115881518</v>
      </c>
      <c r="E91" s="66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7"/>
      <c r="R91" s="667"/>
      <c r="S91" s="667"/>
      <c r="T91" s="66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665">
        <v>4680115881303</v>
      </c>
      <c r="E92" s="66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91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7"/>
      <c r="R92" s="667"/>
      <c r="S92" s="667"/>
      <c r="T92" s="66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idden="1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6" t="s">
        <v>40</v>
      </c>
      <c r="Q93" s="657"/>
      <c r="R93" s="657"/>
      <c r="S93" s="657"/>
      <c r="T93" s="657"/>
      <c r="U93" s="657"/>
      <c r="V93" s="658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60"/>
      <c r="P94" s="656" t="s">
        <v>40</v>
      </c>
      <c r="Q94" s="657"/>
      <c r="R94" s="657"/>
      <c r="S94" s="657"/>
      <c r="T94" s="657"/>
      <c r="U94" s="657"/>
      <c r="V94" s="658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hidden="1" customHeight="1" x14ac:dyDescent="0.25">
      <c r="A95" s="670" t="s">
        <v>85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665">
        <v>4607091386967</v>
      </c>
      <c r="E96" s="66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665">
        <v>4680115884953</v>
      </c>
      <c r="E97" s="66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665">
        <v>4607091385731</v>
      </c>
      <c r="E98" s="66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665">
        <v>4680115880894</v>
      </c>
      <c r="E99" s="66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7"/>
      <c r="R99" s="667"/>
      <c r="S99" s="667"/>
      <c r="T99" s="66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6" t="s">
        <v>40</v>
      </c>
      <c r="Q100" s="657"/>
      <c r="R100" s="657"/>
      <c r="S100" s="657"/>
      <c r="T100" s="657"/>
      <c r="U100" s="657"/>
      <c r="V100" s="65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60"/>
      <c r="P101" s="656" t="s">
        <v>40</v>
      </c>
      <c r="Q101" s="657"/>
      <c r="R101" s="657"/>
      <c r="S101" s="657"/>
      <c r="T101" s="657"/>
      <c r="U101" s="657"/>
      <c r="V101" s="65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209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121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665">
        <v>4680115882133</v>
      </c>
      <c r="E104" s="66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665">
        <v>4680115882133</v>
      </c>
      <c r="E105" s="66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90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665">
        <v>4680115880269</v>
      </c>
      <c r="E108" s="66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665">
        <v>4680115881457</v>
      </c>
      <c r="E111" s="66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89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7"/>
      <c r="R111" s="667"/>
      <c r="S111" s="667"/>
      <c r="T111" s="66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665">
        <v>4680115889477</v>
      </c>
      <c r="E112" s="66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90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7"/>
      <c r="R112" s="667"/>
      <c r="S112" s="667"/>
      <c r="T112" s="66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6" t="s">
        <v>40</v>
      </c>
      <c r="Q113" s="657"/>
      <c r="R113" s="657"/>
      <c r="S113" s="657"/>
      <c r="T113" s="657"/>
      <c r="U113" s="657"/>
      <c r="V113" s="65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60"/>
      <c r="P114" s="656" t="s">
        <v>40</v>
      </c>
      <c r="Q114" s="657"/>
      <c r="R114" s="657"/>
      <c r="S114" s="657"/>
      <c r="T114" s="657"/>
      <c r="U114" s="657"/>
      <c r="V114" s="65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70" t="s">
        <v>158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665">
        <v>4680115881488</v>
      </c>
      <c r="E116" s="66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90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60"/>
      <c r="P119" s="656" t="s">
        <v>40</v>
      </c>
      <c r="Q119" s="657"/>
      <c r="R119" s="657"/>
      <c r="S119" s="657"/>
      <c r="T119" s="657"/>
      <c r="U119" s="657"/>
      <c r="V119" s="65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6" t="s">
        <v>40</v>
      </c>
      <c r="Q120" s="657"/>
      <c r="R120" s="657"/>
      <c r="S120" s="657"/>
      <c r="T120" s="657"/>
      <c r="U120" s="657"/>
      <c r="V120" s="65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0" t="s">
        <v>85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6"/>
      <c r="AB121" s="66"/>
      <c r="AC121" s="80"/>
    </row>
    <row r="122" spans="1:68" ht="27" hidden="1" customHeight="1" x14ac:dyDescent="0.25">
      <c r="A122" s="63" t="s">
        <v>236</v>
      </c>
      <c r="B122" s="63" t="s">
        <v>237</v>
      </c>
      <c r="C122" s="36">
        <v>4301052088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665">
        <v>4607091383256</v>
      </c>
      <c r="E123" s="66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665">
        <v>4607091385748</v>
      </c>
      <c r="E124" s="66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665">
        <v>4680115884533</v>
      </c>
      <c r="E125" s="66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60"/>
      <c r="P126" s="656" t="s">
        <v>40</v>
      </c>
      <c r="Q126" s="657"/>
      <c r="R126" s="657"/>
      <c r="S126" s="657"/>
      <c r="T126" s="657"/>
      <c r="U126" s="657"/>
      <c r="V126" s="65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6" t="s">
        <v>40</v>
      </c>
      <c r="Q127" s="657"/>
      <c r="R127" s="657"/>
      <c r="S127" s="657"/>
      <c r="T127" s="657"/>
      <c r="U127" s="657"/>
      <c r="V127" s="65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0" t="s">
        <v>178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665">
        <v>4680115880238</v>
      </c>
      <c r="E129" s="66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7"/>
      <c r="R129" s="667"/>
      <c r="S129" s="667"/>
      <c r="T129" s="66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60"/>
      <c r="P130" s="656" t="s">
        <v>40</v>
      </c>
      <c r="Q130" s="657"/>
      <c r="R130" s="657"/>
      <c r="S130" s="657"/>
      <c r="T130" s="657"/>
      <c r="U130" s="657"/>
      <c r="V130" s="65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6" t="s">
        <v>40</v>
      </c>
      <c r="Q131" s="657"/>
      <c r="R131" s="657"/>
      <c r="S131" s="657"/>
      <c r="T131" s="657"/>
      <c r="U131" s="657"/>
      <c r="V131" s="65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9" t="s">
        <v>249</v>
      </c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5"/>
      <c r="AB132" s="65"/>
      <c r="AC132" s="79"/>
    </row>
    <row r="133" spans="1:68" ht="14.25" hidden="1" customHeight="1" x14ac:dyDescent="0.25">
      <c r="A133" s="670" t="s">
        <v>121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665">
        <v>4680115882577</v>
      </c>
      <c r="E134" s="66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8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7"/>
      <c r="R134" s="667"/>
      <c r="S134" s="667"/>
      <c r="T134" s="66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665">
        <v>4680115882577</v>
      </c>
      <c r="E135" s="66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7"/>
      <c r="R135" s="667"/>
      <c r="S135" s="667"/>
      <c r="T135" s="66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60"/>
      <c r="P136" s="656" t="s">
        <v>40</v>
      </c>
      <c r="Q136" s="657"/>
      <c r="R136" s="657"/>
      <c r="S136" s="657"/>
      <c r="T136" s="657"/>
      <c r="U136" s="657"/>
      <c r="V136" s="65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6" t="s">
        <v>40</v>
      </c>
      <c r="Q137" s="657"/>
      <c r="R137" s="657"/>
      <c r="S137" s="657"/>
      <c r="T137" s="657"/>
      <c r="U137" s="657"/>
      <c r="V137" s="65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0" t="s">
        <v>76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665">
        <v>4680115883444</v>
      </c>
      <c r="E139" s="66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665">
        <v>4680115883444</v>
      </c>
      <c r="E140" s="66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7"/>
      <c r="R140" s="667"/>
      <c r="S140" s="667"/>
      <c r="T140" s="66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60"/>
      <c r="P141" s="656" t="s">
        <v>40</v>
      </c>
      <c r="Q141" s="657"/>
      <c r="R141" s="657"/>
      <c r="S141" s="657"/>
      <c r="T141" s="657"/>
      <c r="U141" s="657"/>
      <c r="V141" s="65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6" t="s">
        <v>40</v>
      </c>
      <c r="Q142" s="657"/>
      <c r="R142" s="657"/>
      <c r="S142" s="657"/>
      <c r="T142" s="657"/>
      <c r="U142" s="657"/>
      <c r="V142" s="65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0" t="s">
        <v>85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665">
        <v>4680115882584</v>
      </c>
      <c r="E144" s="66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665">
        <v>4680115882584</v>
      </c>
      <c r="E145" s="66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7"/>
      <c r="R145" s="667"/>
      <c r="S145" s="667"/>
      <c r="T145" s="66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60"/>
      <c r="P146" s="656" t="s">
        <v>40</v>
      </c>
      <c r="Q146" s="657"/>
      <c r="R146" s="657"/>
      <c r="S146" s="657"/>
      <c r="T146" s="657"/>
      <c r="U146" s="657"/>
      <c r="V146" s="65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6" t="s">
        <v>40</v>
      </c>
      <c r="Q147" s="657"/>
      <c r="R147" s="657"/>
      <c r="S147" s="657"/>
      <c r="T147" s="657"/>
      <c r="U147" s="657"/>
      <c r="V147" s="65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9" t="s">
        <v>262</v>
      </c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5"/>
      <c r="AB148" s="65"/>
      <c r="AC148" s="79"/>
    </row>
    <row r="149" spans="1:68" ht="14.25" hidden="1" customHeight="1" x14ac:dyDescent="0.25">
      <c r="A149" s="670" t="s">
        <v>85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665">
        <v>4680115888203</v>
      </c>
      <c r="E150" s="66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7"/>
      <c r="R150" s="667"/>
      <c r="S150" s="667"/>
      <c r="T150" s="66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66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665">
        <v>4680115888180</v>
      </c>
      <c r="E151" s="66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7"/>
      <c r="R151" s="667"/>
      <c r="S151" s="667"/>
      <c r="T151" s="66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66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665">
        <v>4680115888180</v>
      </c>
      <c r="E152" s="66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7"/>
      <c r="R152" s="667"/>
      <c r="S152" s="667"/>
      <c r="T152" s="66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66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665">
        <v>4680115888197</v>
      </c>
      <c r="E153" s="66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7"/>
      <c r="R153" s="667"/>
      <c r="S153" s="667"/>
      <c r="T153" s="66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665">
        <v>4680115888210</v>
      </c>
      <c r="E154" s="66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665">
        <v>4680115888210</v>
      </c>
      <c r="E155" s="66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66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60"/>
      <c r="P156" s="656" t="s">
        <v>40</v>
      </c>
      <c r="Q156" s="657"/>
      <c r="R156" s="657"/>
      <c r="S156" s="657"/>
      <c r="T156" s="657"/>
      <c r="U156" s="657"/>
      <c r="V156" s="65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6" t="s">
        <v>40</v>
      </c>
      <c r="Q157" s="657"/>
      <c r="R157" s="657"/>
      <c r="S157" s="657"/>
      <c r="T157" s="657"/>
      <c r="U157" s="657"/>
      <c r="V157" s="65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70" t="s">
        <v>277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665">
        <v>4680115889132</v>
      </c>
      <c r="E159" s="66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60"/>
      <c r="P160" s="656" t="s">
        <v>40</v>
      </c>
      <c r="Q160" s="657"/>
      <c r="R160" s="657"/>
      <c r="S160" s="657"/>
      <c r="T160" s="657"/>
      <c r="U160" s="657"/>
      <c r="V160" s="65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6" t="s">
        <v>40</v>
      </c>
      <c r="Q161" s="657"/>
      <c r="R161" s="657"/>
      <c r="S161" s="657"/>
      <c r="T161" s="657"/>
      <c r="U161" s="657"/>
      <c r="V161" s="65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9" t="s">
        <v>119</v>
      </c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5"/>
      <c r="AB162" s="65"/>
      <c r="AC162" s="79"/>
    </row>
    <row r="163" spans="1:68" ht="14.25" hidden="1" customHeight="1" x14ac:dyDescent="0.25">
      <c r="A163" s="670" t="s">
        <v>121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665">
        <v>4680115887374</v>
      </c>
      <c r="E164" s="66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7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665">
        <v>4607091384604</v>
      </c>
      <c r="E165" s="66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7"/>
      <c r="R165" s="667"/>
      <c r="S165" s="667"/>
      <c r="T165" s="66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665">
        <v>4607091384604</v>
      </c>
      <c r="E166" s="66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7"/>
      <c r="R166" s="667"/>
      <c r="S166" s="667"/>
      <c r="T166" s="66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665">
        <v>4680115888876</v>
      </c>
      <c r="E167" s="66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7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7"/>
      <c r="R167" s="667"/>
      <c r="S167" s="667"/>
      <c r="T167" s="66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60"/>
      <c r="P168" s="656" t="s">
        <v>40</v>
      </c>
      <c r="Q168" s="657"/>
      <c r="R168" s="657"/>
      <c r="S168" s="657"/>
      <c r="T168" s="657"/>
      <c r="U168" s="657"/>
      <c r="V168" s="65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6" t="s">
        <v>40</v>
      </c>
      <c r="Q169" s="657"/>
      <c r="R169" s="657"/>
      <c r="S169" s="657"/>
      <c r="T169" s="657"/>
      <c r="U169" s="657"/>
      <c r="V169" s="65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70" t="s">
        <v>158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665">
        <v>4680115887695</v>
      </c>
      <c r="E171" s="66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665">
        <v>4680115889491</v>
      </c>
      <c r="E172" s="66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7"/>
      <c r="R172" s="667"/>
      <c r="S172" s="667"/>
      <c r="T172" s="66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60"/>
      <c r="P173" s="656" t="s">
        <v>40</v>
      </c>
      <c r="Q173" s="657"/>
      <c r="R173" s="657"/>
      <c r="S173" s="657"/>
      <c r="T173" s="657"/>
      <c r="U173" s="657"/>
      <c r="V173" s="65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6" t="s">
        <v>40</v>
      </c>
      <c r="Q174" s="657"/>
      <c r="R174" s="657"/>
      <c r="S174" s="657"/>
      <c r="T174" s="657"/>
      <c r="U174" s="657"/>
      <c r="V174" s="65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70" t="s">
        <v>76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665">
        <v>4680115887428</v>
      </c>
      <c r="E176" s="66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66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665">
        <v>4680115889170</v>
      </c>
      <c r="E177" s="66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7"/>
      <c r="R177" s="667"/>
      <c r="S177" s="667"/>
      <c r="T177" s="66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665">
        <v>4680115887398</v>
      </c>
      <c r="E178" s="66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6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7"/>
      <c r="R178" s="667"/>
      <c r="S178" s="667"/>
      <c r="T178" s="66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66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665">
        <v>4680115887336</v>
      </c>
      <c r="E179" s="66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6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7"/>
      <c r="R179" s="667"/>
      <c r="S179" s="667"/>
      <c r="T179" s="66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66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665">
        <v>4680115887787</v>
      </c>
      <c r="E180" s="66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66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665">
        <v>4680115887787</v>
      </c>
      <c r="E181" s="66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66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665">
        <v>4680115887503</v>
      </c>
      <c r="E182" s="66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7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66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665">
        <v>4680115887763</v>
      </c>
      <c r="E183" s="66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6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665">
        <v>4680115887480</v>
      </c>
      <c r="E184" s="66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6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66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665">
        <v>4680115888067</v>
      </c>
      <c r="E185" s="66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66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665">
        <v>4680115887435</v>
      </c>
      <c r="E186" s="66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66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60"/>
      <c r="P187" s="656" t="s">
        <v>40</v>
      </c>
      <c r="Q187" s="657"/>
      <c r="R187" s="657"/>
      <c r="S187" s="657"/>
      <c r="T187" s="657"/>
      <c r="U187" s="657"/>
      <c r="V187" s="65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6" t="s">
        <v>40</v>
      </c>
      <c r="Q188" s="657"/>
      <c r="R188" s="657"/>
      <c r="S188" s="657"/>
      <c r="T188" s="657"/>
      <c r="U188" s="657"/>
      <c r="V188" s="65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70" t="s">
        <v>85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665">
        <v>4680115888395</v>
      </c>
      <c r="E190" s="66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665">
        <v>4680115888371</v>
      </c>
      <c r="E191" s="66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665">
        <v>4680115887459</v>
      </c>
      <c r="E192" s="66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7"/>
      <c r="R192" s="667"/>
      <c r="S192" s="667"/>
      <c r="T192" s="66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60"/>
      <c r="P193" s="656" t="s">
        <v>40</v>
      </c>
      <c r="Q193" s="657"/>
      <c r="R193" s="657"/>
      <c r="S193" s="657"/>
      <c r="T193" s="657"/>
      <c r="U193" s="657"/>
      <c r="V193" s="65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6" t="s">
        <v>40</v>
      </c>
      <c r="Q194" s="657"/>
      <c r="R194" s="657"/>
      <c r="S194" s="657"/>
      <c r="T194" s="657"/>
      <c r="U194" s="657"/>
      <c r="V194" s="65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70" t="s">
        <v>277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665">
        <v>4680115889026</v>
      </c>
      <c r="E196" s="66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60"/>
      <c r="P197" s="656" t="s">
        <v>40</v>
      </c>
      <c r="Q197" s="657"/>
      <c r="R197" s="657"/>
      <c r="S197" s="657"/>
      <c r="T197" s="657"/>
      <c r="U197" s="657"/>
      <c r="V197" s="65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6" t="s">
        <v>40</v>
      </c>
      <c r="Q198" s="657"/>
      <c r="R198" s="657"/>
      <c r="S198" s="657"/>
      <c r="T198" s="657"/>
      <c r="U198" s="657"/>
      <c r="V198" s="65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70" t="s">
        <v>341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665">
        <v>4680115889033</v>
      </c>
      <c r="E200" s="66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7"/>
      <c r="R200" s="667"/>
      <c r="S200" s="667"/>
      <c r="T200" s="66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60"/>
      <c r="P201" s="656" t="s">
        <v>40</v>
      </c>
      <c r="Q201" s="657"/>
      <c r="R201" s="657"/>
      <c r="S201" s="657"/>
      <c r="T201" s="657"/>
      <c r="U201" s="657"/>
      <c r="V201" s="65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6" t="s">
        <v>40</v>
      </c>
      <c r="Q202" s="657"/>
      <c r="R202" s="657"/>
      <c r="S202" s="657"/>
      <c r="T202" s="657"/>
      <c r="U202" s="657"/>
      <c r="V202" s="65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76" t="s">
        <v>345</v>
      </c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54"/>
      <c r="AB203" s="54"/>
      <c r="AC203" s="54"/>
    </row>
    <row r="204" spans="1:68" ht="16.5" hidden="1" customHeight="1" x14ac:dyDescent="0.25">
      <c r="A204" s="669" t="s">
        <v>346</v>
      </c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5"/>
      <c r="AB204" s="65"/>
      <c r="AC204" s="79"/>
    </row>
    <row r="205" spans="1:68" ht="14.25" hidden="1" customHeight="1" x14ac:dyDescent="0.25">
      <c r="A205" s="670" t="s">
        <v>121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665">
        <v>4607091383423</v>
      </c>
      <c r="E206" s="66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7"/>
      <c r="R206" s="667"/>
      <c r="S206" s="667"/>
      <c r="T206" s="66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665">
        <v>4680115888760</v>
      </c>
      <c r="E207" s="66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7"/>
      <c r="R207" s="667"/>
      <c r="S207" s="667"/>
      <c r="T207" s="66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66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665">
        <v>4680115888807</v>
      </c>
      <c r="E208" s="66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7"/>
      <c r="R208" s="667"/>
      <c r="S208" s="667"/>
      <c r="T208" s="66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66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665">
        <v>4680115888852</v>
      </c>
      <c r="E209" s="66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7"/>
      <c r="R209" s="667"/>
      <c r="S209" s="667"/>
      <c r="T209" s="66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66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665">
        <v>4680115886957</v>
      </c>
      <c r="E210" s="66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7"/>
      <c r="R210" s="667"/>
      <c r="S210" s="667"/>
      <c r="T210" s="66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66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665">
        <v>4680115885660</v>
      </c>
      <c r="E211" s="66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66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665">
        <v>4680115886773</v>
      </c>
      <c r="E212" s="66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66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60"/>
      <c r="P213" s="656" t="s">
        <v>40</v>
      </c>
      <c r="Q213" s="657"/>
      <c r="R213" s="657"/>
      <c r="S213" s="657"/>
      <c r="T213" s="657"/>
      <c r="U213" s="657"/>
      <c r="V213" s="65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6" t="s">
        <v>40</v>
      </c>
      <c r="Q214" s="657"/>
      <c r="R214" s="657"/>
      <c r="S214" s="657"/>
      <c r="T214" s="657"/>
      <c r="U214" s="657"/>
      <c r="V214" s="65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9" t="s">
        <v>367</v>
      </c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5"/>
      <c r="AB215" s="65"/>
      <c r="AC215" s="79"/>
    </row>
    <row r="216" spans="1:68" ht="14.25" hidden="1" customHeight="1" x14ac:dyDescent="0.25">
      <c r="A216" s="670" t="s">
        <v>158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665">
        <v>4680115886223</v>
      </c>
      <c r="E217" s="66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60"/>
      <c r="P218" s="656" t="s">
        <v>40</v>
      </c>
      <c r="Q218" s="657"/>
      <c r="R218" s="657"/>
      <c r="S218" s="657"/>
      <c r="T218" s="657"/>
      <c r="U218" s="657"/>
      <c r="V218" s="65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6" t="s">
        <v>40</v>
      </c>
      <c r="Q219" s="657"/>
      <c r="R219" s="657"/>
      <c r="S219" s="657"/>
      <c r="T219" s="657"/>
      <c r="U219" s="657"/>
      <c r="V219" s="65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70" t="s">
        <v>76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665">
        <v>4680115880993</v>
      </c>
      <c r="E221" s="66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7"/>
      <c r="R221" s="667"/>
      <c r="S221" s="667"/>
      <c r="T221" s="66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665">
        <v>4680115881761</v>
      </c>
      <c r="E222" s="66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66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665">
        <v>4680115881563</v>
      </c>
      <c r="E223" s="66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7"/>
      <c r="R223" s="667"/>
      <c r="S223" s="667"/>
      <c r="T223" s="66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66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665">
        <v>4680115887565</v>
      </c>
      <c r="E224" s="66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7"/>
      <c r="R224" s="667"/>
      <c r="S224" s="667"/>
      <c r="T224" s="66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66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665">
        <v>4680115880986</v>
      </c>
      <c r="E225" s="66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7"/>
      <c r="R225" s="667"/>
      <c r="S225" s="667"/>
      <c r="T225" s="66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66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665">
        <v>4680115887213</v>
      </c>
      <c r="E226" s="66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665">
        <v>4680115881785</v>
      </c>
      <c r="E227" s="66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66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665">
        <v>4680115888432</v>
      </c>
      <c r="E228" s="66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66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4301031427</v>
      </c>
      <c r="D229" s="665">
        <v>4680115888104</v>
      </c>
      <c r="E229" s="66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66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4301031503</v>
      </c>
      <c r="D230" s="665">
        <v>4680115886537</v>
      </c>
      <c r="E230" s="66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66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4301031279</v>
      </c>
      <c r="D231" s="665">
        <v>4680115887596</v>
      </c>
      <c r="E231" s="66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402</v>
      </c>
      <c r="B232" s="63" t="s">
        <v>403</v>
      </c>
      <c r="C232" s="36">
        <v>4301031530</v>
      </c>
      <c r="D232" s="665">
        <v>4680115881679</v>
      </c>
      <c r="E232" s="66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45</v>
      </c>
      <c r="P232" s="83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66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4301031158</v>
      </c>
      <c r="D233" s="665">
        <v>4680115880191</v>
      </c>
      <c r="E233" s="66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66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406</v>
      </c>
      <c r="C234" s="36">
        <v>4301031531</v>
      </c>
      <c r="D234" s="665">
        <v>4680115880191</v>
      </c>
      <c r="E234" s="66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45</v>
      </c>
      <c r="P234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379</v>
      </c>
      <c r="AG234" s="78"/>
      <c r="AJ234" s="84" t="s">
        <v>46</v>
      </c>
      <c r="AK234" s="84">
        <v>0</v>
      </c>
      <c r="BB234" s="323" t="s">
        <v>66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4301031245</v>
      </c>
      <c r="D235" s="665">
        <v>4680115883963</v>
      </c>
      <c r="E235" s="66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409</v>
      </c>
      <c r="AG235" s="78"/>
      <c r="AJ235" s="84" t="s">
        <v>46</v>
      </c>
      <c r="AK235" s="84">
        <v>0</v>
      </c>
      <c r="BB235" s="325" t="s">
        <v>66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60"/>
      <c r="P236" s="656" t="s">
        <v>40</v>
      </c>
      <c r="Q236" s="657"/>
      <c r="R236" s="657"/>
      <c r="S236" s="657"/>
      <c r="T236" s="657"/>
      <c r="U236" s="657"/>
      <c r="V236" s="658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6" t="s">
        <v>40</v>
      </c>
      <c r="Q237" s="657"/>
      <c r="R237" s="657"/>
      <c r="S237" s="657"/>
      <c r="T237" s="657"/>
      <c r="U237" s="657"/>
      <c r="V237" s="658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70" t="s">
        <v>85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6"/>
      <c r="AB238" s="66"/>
      <c r="AC238" s="80"/>
    </row>
    <row r="239" spans="1:68" ht="16.5" hidden="1" customHeight="1" x14ac:dyDescent="0.25">
      <c r="A239" s="63" t="s">
        <v>410</v>
      </c>
      <c r="B239" s="63" t="s">
        <v>411</v>
      </c>
      <c r="C239" s="36">
        <v>4301052209</v>
      </c>
      <c r="D239" s="665">
        <v>4680115888692</v>
      </c>
      <c r="E239" s="66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412</v>
      </c>
      <c r="AG239" s="78"/>
      <c r="AJ239" s="84" t="s">
        <v>46</v>
      </c>
      <c r="AK239" s="84">
        <v>0</v>
      </c>
      <c r="BB239" s="327" t="s">
        <v>66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410</v>
      </c>
      <c r="B240" s="63" t="s">
        <v>413</v>
      </c>
      <c r="C240" s="36">
        <v>4301052279</v>
      </c>
      <c r="D240" s="665">
        <v>4680115888692</v>
      </c>
      <c r="E240" s="66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7"/>
      <c r="R240" s="667"/>
      <c r="S240" s="667"/>
      <c r="T240" s="66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66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415</v>
      </c>
      <c r="B241" s="63" t="s">
        <v>416</v>
      </c>
      <c r="C241" s="36">
        <v>4301052213</v>
      </c>
      <c r="D241" s="665">
        <v>4680115888722</v>
      </c>
      <c r="E241" s="66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35</v>
      </c>
      <c r="P241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7"/>
      <c r="R241" s="667"/>
      <c r="S241" s="667"/>
      <c r="T241" s="66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417</v>
      </c>
      <c r="AG241" s="78"/>
      <c r="AJ241" s="84" t="s">
        <v>46</v>
      </c>
      <c r="AK241" s="84">
        <v>0</v>
      </c>
      <c r="BB241" s="331" t="s">
        <v>66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415</v>
      </c>
      <c r="B242" s="63" t="s">
        <v>418</v>
      </c>
      <c r="C242" s="36">
        <v>4301052280</v>
      </c>
      <c r="D242" s="665">
        <v>4680115888722</v>
      </c>
      <c r="E242" s="66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40</v>
      </c>
      <c r="P242" s="8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7"/>
      <c r="R242" s="667"/>
      <c r="S242" s="667"/>
      <c r="T242" s="66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66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420</v>
      </c>
      <c r="B243" s="63" t="s">
        <v>421</v>
      </c>
      <c r="C243" s="36">
        <v>4301052177</v>
      </c>
      <c r="D243" s="665">
        <v>4680115888951</v>
      </c>
      <c r="E243" s="66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35</v>
      </c>
      <c r="P243" s="8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422</v>
      </c>
      <c r="AG243" s="78"/>
      <c r="AJ243" s="84" t="s">
        <v>46</v>
      </c>
      <c r="AK243" s="84">
        <v>0</v>
      </c>
      <c r="BB243" s="335" t="s">
        <v>66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420</v>
      </c>
      <c r="B244" s="63" t="s">
        <v>423</v>
      </c>
      <c r="C244" s="36">
        <v>4301052276</v>
      </c>
      <c r="D244" s="665">
        <v>4680115888951</v>
      </c>
      <c r="E244" s="66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40</v>
      </c>
      <c r="P244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414</v>
      </c>
      <c r="AG244" s="78"/>
      <c r="AJ244" s="84" t="s">
        <v>46</v>
      </c>
      <c r="AK244" s="84">
        <v>0</v>
      </c>
      <c r="BB244" s="337" t="s">
        <v>66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4301052178</v>
      </c>
      <c r="D245" s="665">
        <v>4680115888975</v>
      </c>
      <c r="E245" s="66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426</v>
      </c>
      <c r="AG245" s="78"/>
      <c r="AJ245" s="84" t="s">
        <v>46</v>
      </c>
      <c r="AK245" s="84">
        <v>0</v>
      </c>
      <c r="BB245" s="339" t="s">
        <v>66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4301052176</v>
      </c>
      <c r="D246" s="665">
        <v>4680115888982</v>
      </c>
      <c r="E246" s="66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417</v>
      </c>
      <c r="AG246" s="78"/>
      <c r="AJ246" s="84" t="s">
        <v>46</v>
      </c>
      <c r="AK246" s="84">
        <v>0</v>
      </c>
      <c r="BB246" s="341" t="s">
        <v>66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427</v>
      </c>
      <c r="B247" s="63" t="s">
        <v>429</v>
      </c>
      <c r="C247" s="36">
        <v>4301052277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40</v>
      </c>
      <c r="P247" s="82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419</v>
      </c>
      <c r="AG247" s="78"/>
      <c r="AJ247" s="84" t="s">
        <v>46</v>
      </c>
      <c r="AK247" s="84">
        <v>0</v>
      </c>
      <c r="BB247" s="343" t="s">
        <v>66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60"/>
      <c r="P248" s="656" t="s">
        <v>40</v>
      </c>
      <c r="Q248" s="657"/>
      <c r="R248" s="657"/>
      <c r="S248" s="657"/>
      <c r="T248" s="657"/>
      <c r="U248" s="657"/>
      <c r="V248" s="658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6" t="s">
        <v>40</v>
      </c>
      <c r="Q249" s="657"/>
      <c r="R249" s="657"/>
      <c r="S249" s="657"/>
      <c r="T249" s="657"/>
      <c r="U249" s="657"/>
      <c r="V249" s="658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70" t="s">
        <v>277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hidden="1" customHeight="1" x14ac:dyDescent="0.25">
      <c r="A251" s="63" t="s">
        <v>430</v>
      </c>
      <c r="B251" s="63" t="s">
        <v>431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60</v>
      </c>
      <c r="P251" s="8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436</v>
      </c>
      <c r="B253" s="63" t="s">
        <v>437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340</v>
      </c>
      <c r="L253" s="37" t="s">
        <v>46</v>
      </c>
      <c r="M253" s="38" t="s">
        <v>282</v>
      </c>
      <c r="N253" s="38"/>
      <c r="O253" s="37">
        <v>90</v>
      </c>
      <c r="P253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435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60"/>
      <c r="P254" s="656" t="s">
        <v>40</v>
      </c>
      <c r="Q254" s="657"/>
      <c r="R254" s="657"/>
      <c r="S254" s="657"/>
      <c r="T254" s="657"/>
      <c r="U254" s="657"/>
      <c r="V254" s="658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6" t="s">
        <v>40</v>
      </c>
      <c r="Q255" s="657"/>
      <c r="R255" s="657"/>
      <c r="S255" s="657"/>
      <c r="T255" s="657"/>
      <c r="U255" s="657"/>
      <c r="V255" s="658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70" t="s">
        <v>438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6"/>
      <c r="AB256" s="66"/>
      <c r="AC256" s="80"/>
    </row>
    <row r="257" spans="1:68" ht="27" hidden="1" customHeight="1" x14ac:dyDescent="0.25">
      <c r="A257" s="63" t="s">
        <v>439</v>
      </c>
      <c r="B257" s="63" t="s">
        <v>440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340</v>
      </c>
      <c r="L257" s="37" t="s">
        <v>46</v>
      </c>
      <c r="M257" s="38" t="s">
        <v>282</v>
      </c>
      <c r="N257" s="38"/>
      <c r="O257" s="37">
        <v>90</v>
      </c>
      <c r="P257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435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60"/>
      <c r="P258" s="656" t="s">
        <v>40</v>
      </c>
      <c r="Q258" s="657"/>
      <c r="R258" s="657"/>
      <c r="S258" s="657"/>
      <c r="T258" s="657"/>
      <c r="U258" s="657"/>
      <c r="V258" s="658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6" t="s">
        <v>40</v>
      </c>
      <c r="Q259" s="657"/>
      <c r="R259" s="657"/>
      <c r="S259" s="657"/>
      <c r="T259" s="657"/>
      <c r="U259" s="657"/>
      <c r="V259" s="658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9" t="s">
        <v>441</v>
      </c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5"/>
      <c r="AB260" s="65"/>
      <c r="AC260" s="79"/>
    </row>
    <row r="261" spans="1:68" ht="14.25" hidden="1" customHeight="1" x14ac:dyDescent="0.25">
      <c r="A261" s="670" t="s">
        <v>121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27" hidden="1" customHeight="1" x14ac:dyDescent="0.25">
      <c r="A262" s="63" t="s">
        <v>442</v>
      </c>
      <c r="B262" s="63" t="s">
        <v>443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445</v>
      </c>
      <c r="B263" s="63" t="s">
        <v>446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444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60"/>
      <c r="P264" s="656" t="s">
        <v>40</v>
      </c>
      <c r="Q264" s="657"/>
      <c r="R264" s="657"/>
      <c r="S264" s="657"/>
      <c r="T264" s="657"/>
      <c r="U264" s="657"/>
      <c r="V264" s="65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6" t="s">
        <v>40</v>
      </c>
      <c r="Q265" s="657"/>
      <c r="R265" s="657"/>
      <c r="S265" s="657"/>
      <c r="T265" s="657"/>
      <c r="U265" s="657"/>
      <c r="V265" s="65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70" t="s">
        <v>158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6"/>
      <c r="AB266" s="66"/>
      <c r="AC266" s="80"/>
    </row>
    <row r="267" spans="1:68" ht="16.5" hidden="1" customHeight="1" x14ac:dyDescent="0.25">
      <c r="A267" s="63" t="s">
        <v>447</v>
      </c>
      <c r="B267" s="63" t="s">
        <v>448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450</v>
      </c>
      <c r="B268" s="63" t="s">
        <v>451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449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60"/>
      <c r="P269" s="656" t="s">
        <v>40</v>
      </c>
      <c r="Q269" s="657"/>
      <c r="R269" s="657"/>
      <c r="S269" s="657"/>
      <c r="T269" s="657"/>
      <c r="U269" s="657"/>
      <c r="V269" s="658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6" t="s">
        <v>40</v>
      </c>
      <c r="Q270" s="657"/>
      <c r="R270" s="657"/>
      <c r="S270" s="657"/>
      <c r="T270" s="657"/>
      <c r="U270" s="657"/>
      <c r="V270" s="658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70" t="s">
        <v>76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6"/>
      <c r="AB271" s="66"/>
      <c r="AC271" s="80"/>
    </row>
    <row r="272" spans="1:68" ht="27" hidden="1" customHeight="1" x14ac:dyDescent="0.25">
      <c r="A272" s="63" t="s">
        <v>452</v>
      </c>
      <c r="B272" s="63" t="s">
        <v>453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463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464</v>
      </c>
      <c r="B276" s="63" t="s">
        <v>465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463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60"/>
      <c r="P280" s="656" t="s">
        <v>40</v>
      </c>
      <c r="Q280" s="657"/>
      <c r="R280" s="657"/>
      <c r="S280" s="657"/>
      <c r="T280" s="657"/>
      <c r="U280" s="657"/>
      <c r="V280" s="658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6" t="s">
        <v>40</v>
      </c>
      <c r="Q281" s="657"/>
      <c r="R281" s="657"/>
      <c r="S281" s="657"/>
      <c r="T281" s="657"/>
      <c r="U281" s="657"/>
      <c r="V281" s="658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70" t="s">
        <v>85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hidden="1" customHeight="1" x14ac:dyDescent="0.25">
      <c r="A283" s="63" t="s">
        <v>472</v>
      </c>
      <c r="B283" s="63" t="s">
        <v>473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480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481</v>
      </c>
      <c r="B286" s="63" t="s">
        <v>482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474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483</v>
      </c>
      <c r="B287" s="63" t="s">
        <v>484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487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488</v>
      </c>
      <c r="B289" s="63" t="s">
        <v>489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480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490</v>
      </c>
      <c r="B290" s="63" t="s">
        <v>491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487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492</v>
      </c>
      <c r="B291" s="63" t="s">
        <v>493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480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502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60"/>
      <c r="P295" s="656" t="s">
        <v>40</v>
      </c>
      <c r="Q295" s="657"/>
      <c r="R295" s="657"/>
      <c r="S295" s="657"/>
      <c r="T295" s="657"/>
      <c r="U295" s="657"/>
      <c r="V295" s="658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6" t="s">
        <v>40</v>
      </c>
      <c r="Q296" s="657"/>
      <c r="R296" s="657"/>
      <c r="S296" s="657"/>
      <c r="T296" s="657"/>
      <c r="U296" s="657"/>
      <c r="V296" s="658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70" t="s">
        <v>178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6"/>
      <c r="AB297" s="66"/>
      <c r="AC297" s="80"/>
    </row>
    <row r="298" spans="1:68" ht="27" hidden="1" customHeight="1" x14ac:dyDescent="0.25">
      <c r="A298" s="63" t="s">
        <v>503</v>
      </c>
      <c r="B298" s="63" t="s">
        <v>504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508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60"/>
      <c r="P300" s="656" t="s">
        <v>40</v>
      </c>
      <c r="Q300" s="657"/>
      <c r="R300" s="657"/>
      <c r="S300" s="657"/>
      <c r="T300" s="657"/>
      <c r="U300" s="657"/>
      <c r="V300" s="658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6" t="s">
        <v>40</v>
      </c>
      <c r="Q301" s="657"/>
      <c r="R301" s="657"/>
      <c r="S301" s="657"/>
      <c r="T301" s="657"/>
      <c r="U301" s="657"/>
      <c r="V301" s="658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9" t="s">
        <v>509</v>
      </c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5"/>
      <c r="AB302" s="65"/>
      <c r="AC302" s="79"/>
    </row>
    <row r="303" spans="1:68" ht="14.25" hidden="1" customHeight="1" x14ac:dyDescent="0.25">
      <c r="A303" s="670" t="s">
        <v>121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6"/>
      <c r="AB303" s="66"/>
      <c r="AC303" s="80"/>
    </row>
    <row r="304" spans="1:68" ht="27" hidden="1" customHeight="1" x14ac:dyDescent="0.25">
      <c r="A304" s="63" t="s">
        <v>510</v>
      </c>
      <c r="B304" s="63" t="s">
        <v>511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515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516</v>
      </c>
      <c r="B306" s="63" t="s">
        <v>517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363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518</v>
      </c>
      <c r="B307" s="63" t="s">
        <v>519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512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525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526</v>
      </c>
      <c r="B310" s="63" t="s">
        <v>527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363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60"/>
      <c r="P311" s="656" t="s">
        <v>40</v>
      </c>
      <c r="Q311" s="657"/>
      <c r="R311" s="657"/>
      <c r="S311" s="657"/>
      <c r="T311" s="657"/>
      <c r="U311" s="657"/>
      <c r="V311" s="658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6" t="s">
        <v>40</v>
      </c>
      <c r="Q312" s="657"/>
      <c r="R312" s="657"/>
      <c r="S312" s="657"/>
      <c r="T312" s="657"/>
      <c r="U312" s="657"/>
      <c r="V312" s="658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70" t="s">
        <v>158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6"/>
      <c r="AB313" s="66"/>
      <c r="AC313" s="80"/>
    </row>
    <row r="314" spans="1:68" ht="27" hidden="1" customHeight="1" x14ac:dyDescent="0.25">
      <c r="A314" s="63" t="s">
        <v>528</v>
      </c>
      <c r="B314" s="63" t="s">
        <v>529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530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60"/>
      <c r="P315" s="656" t="s">
        <v>40</v>
      </c>
      <c r="Q315" s="657"/>
      <c r="R315" s="657"/>
      <c r="S315" s="657"/>
      <c r="T315" s="657"/>
      <c r="U315" s="657"/>
      <c r="V315" s="658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6" t="s">
        <v>40</v>
      </c>
      <c r="Q316" s="657"/>
      <c r="R316" s="657"/>
      <c r="S316" s="657"/>
      <c r="T316" s="657"/>
      <c r="U316" s="657"/>
      <c r="V316" s="658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531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340</v>
      </c>
      <c r="L318" s="37" t="s">
        <v>46</v>
      </c>
      <c r="M318" s="38" t="s">
        <v>282</v>
      </c>
      <c r="N318" s="38"/>
      <c r="O318" s="37">
        <v>45</v>
      </c>
      <c r="P318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534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60"/>
      <c r="P319" s="656" t="s">
        <v>40</v>
      </c>
      <c r="Q319" s="657"/>
      <c r="R319" s="657"/>
      <c r="S319" s="657"/>
      <c r="T319" s="657"/>
      <c r="U319" s="657"/>
      <c r="V319" s="65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6" t="s">
        <v>40</v>
      </c>
      <c r="Q320" s="657"/>
      <c r="R320" s="657"/>
      <c r="S320" s="657"/>
      <c r="T320" s="657"/>
      <c r="U320" s="657"/>
      <c r="V320" s="65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341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535</v>
      </c>
      <c r="B322" s="63" t="s">
        <v>536</v>
      </c>
      <c r="C322" s="36">
        <v>4301041008</v>
      </c>
      <c r="D322" s="665">
        <v>4680115886681</v>
      </c>
      <c r="E322" s="66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340</v>
      </c>
      <c r="L322" s="37" t="s">
        <v>46</v>
      </c>
      <c r="M322" s="38" t="s">
        <v>282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537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60"/>
      <c r="P323" s="656" t="s">
        <v>40</v>
      </c>
      <c r="Q323" s="657"/>
      <c r="R323" s="657"/>
      <c r="S323" s="657"/>
      <c r="T323" s="657"/>
      <c r="U323" s="657"/>
      <c r="V323" s="65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6" t="s">
        <v>40</v>
      </c>
      <c r="Q324" s="657"/>
      <c r="R324" s="657"/>
      <c r="S324" s="657"/>
      <c r="T324" s="657"/>
      <c r="U324" s="657"/>
      <c r="V324" s="65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669" t="s">
        <v>538</v>
      </c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5"/>
      <c r="AB325" s="65"/>
      <c r="AC325" s="79"/>
    </row>
    <row r="326" spans="1:68" ht="14.25" hidden="1" customHeight="1" x14ac:dyDescent="0.25">
      <c r="A326" s="670" t="s">
        <v>121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6"/>
      <c r="AB326" s="66"/>
      <c r="AC326" s="80"/>
    </row>
    <row r="327" spans="1:68" ht="27" hidden="1" customHeight="1" x14ac:dyDescent="0.25">
      <c r="A327" s="63" t="s">
        <v>539</v>
      </c>
      <c r="B327" s="63" t="s">
        <v>540</v>
      </c>
      <c r="C327" s="36">
        <v>4301012390</v>
      </c>
      <c r="D327" s="665">
        <v>4680115889637</v>
      </c>
      <c r="E327" s="66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126</v>
      </c>
      <c r="L327" s="37" t="s">
        <v>46</v>
      </c>
      <c r="M327" s="38" t="s">
        <v>125</v>
      </c>
      <c r="N327" s="38"/>
      <c r="O327" s="37">
        <v>55</v>
      </c>
      <c r="P327" s="78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7"/>
      <c r="R327" s="667"/>
      <c r="S327" s="667"/>
      <c r="T327" s="66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542</v>
      </c>
      <c r="AC327" s="424" t="s">
        <v>541</v>
      </c>
      <c r="AG327" s="78"/>
      <c r="AJ327" s="84" t="s">
        <v>46</v>
      </c>
      <c r="AK327" s="84">
        <v>0</v>
      </c>
      <c r="BB327" s="425" t="s">
        <v>66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543</v>
      </c>
      <c r="B328" s="63" t="s">
        <v>544</v>
      </c>
      <c r="C328" s="36">
        <v>4301011855</v>
      </c>
      <c r="D328" s="665">
        <v>4680115885837</v>
      </c>
      <c r="E328" s="66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7"/>
      <c r="R328" s="667"/>
      <c r="S328" s="667"/>
      <c r="T328" s="66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545</v>
      </c>
      <c r="AG328" s="78"/>
      <c r="AJ328" s="84" t="s">
        <v>46</v>
      </c>
      <c r="AK328" s="84">
        <v>0</v>
      </c>
      <c r="BB328" s="427" t="s">
        <v>66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546</v>
      </c>
      <c r="B329" s="63" t="s">
        <v>547</v>
      </c>
      <c r="C329" s="36">
        <v>4301012234</v>
      </c>
      <c r="D329" s="665">
        <v>4680115887237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548</v>
      </c>
      <c r="AG329" s="78"/>
      <c r="AJ329" s="84" t="s">
        <v>46</v>
      </c>
      <c r="AK329" s="84">
        <v>0</v>
      </c>
      <c r="BB329" s="429" t="s">
        <v>66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549</v>
      </c>
      <c r="B330" s="63" t="s">
        <v>550</v>
      </c>
      <c r="C330" s="36">
        <v>4301011850</v>
      </c>
      <c r="D330" s="665">
        <v>4680115885806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551</v>
      </c>
      <c r="AG330" s="78"/>
      <c r="AJ330" s="84" t="s">
        <v>46</v>
      </c>
      <c r="AK330" s="84">
        <v>0</v>
      </c>
      <c r="BB330" s="431" t="s">
        <v>66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552</v>
      </c>
      <c r="B331" s="63" t="s">
        <v>553</v>
      </c>
      <c r="C331" s="36">
        <v>4301011852</v>
      </c>
      <c r="D331" s="665">
        <v>4680115885844</v>
      </c>
      <c r="E331" s="66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133</v>
      </c>
      <c r="L331" s="37" t="s">
        <v>46</v>
      </c>
      <c r="M331" s="38" t="s">
        <v>125</v>
      </c>
      <c r="N331" s="38"/>
      <c r="O331" s="37">
        <v>55</v>
      </c>
      <c r="P331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554</v>
      </c>
      <c r="AG331" s="78"/>
      <c r="AJ331" s="84" t="s">
        <v>46</v>
      </c>
      <c r="AK331" s="84">
        <v>0</v>
      </c>
      <c r="BB331" s="433" t="s">
        <v>66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555</v>
      </c>
      <c r="B332" s="63" t="s">
        <v>556</v>
      </c>
      <c r="C332" s="36">
        <v>4301011851</v>
      </c>
      <c r="D332" s="665">
        <v>4680115885820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557</v>
      </c>
      <c r="AG332" s="78"/>
      <c r="AJ332" s="84" t="s">
        <v>46</v>
      </c>
      <c r="AK332" s="84">
        <v>0</v>
      </c>
      <c r="BB332" s="435" t="s">
        <v>66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60"/>
      <c r="P333" s="656" t="s">
        <v>40</v>
      </c>
      <c r="Q333" s="657"/>
      <c r="R333" s="657"/>
      <c r="S333" s="657"/>
      <c r="T333" s="657"/>
      <c r="U333" s="657"/>
      <c r="V333" s="658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6" t="s">
        <v>40</v>
      </c>
      <c r="Q334" s="657"/>
      <c r="R334" s="657"/>
      <c r="S334" s="657"/>
      <c r="T334" s="657"/>
      <c r="U334" s="657"/>
      <c r="V334" s="658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69" t="s">
        <v>558</v>
      </c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5"/>
      <c r="AB335" s="65"/>
      <c r="AC335" s="79"/>
    </row>
    <row r="336" spans="1:68" ht="14.25" hidden="1" customHeight="1" x14ac:dyDescent="0.25">
      <c r="A336" s="670" t="s">
        <v>85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6"/>
      <c r="AB336" s="66"/>
      <c r="AC336" s="80"/>
    </row>
    <row r="337" spans="1:68" ht="27" hidden="1" customHeight="1" x14ac:dyDescent="0.25">
      <c r="A337" s="63" t="s">
        <v>559</v>
      </c>
      <c r="B337" s="63" t="s">
        <v>560</v>
      </c>
      <c r="C337" s="36">
        <v>4301051893</v>
      </c>
      <c r="D337" s="665">
        <v>4680115886186</v>
      </c>
      <c r="E337" s="66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7"/>
      <c r="R337" s="667"/>
      <c r="S337" s="667"/>
      <c r="T337" s="66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561</v>
      </c>
      <c r="AG337" s="78"/>
      <c r="AJ337" s="84" t="s">
        <v>46</v>
      </c>
      <c r="AK337" s="84">
        <v>0</v>
      </c>
      <c r="BB337" s="43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562</v>
      </c>
      <c r="B338" s="63" t="s">
        <v>563</v>
      </c>
      <c r="C338" s="36">
        <v>4301051795</v>
      </c>
      <c r="D338" s="665">
        <v>4680115881228</v>
      </c>
      <c r="E338" s="66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90</v>
      </c>
      <c r="L338" s="37" t="s">
        <v>46</v>
      </c>
      <c r="M338" s="38" t="s">
        <v>96</v>
      </c>
      <c r="N338" s="38"/>
      <c r="O338" s="37">
        <v>40</v>
      </c>
      <c r="P338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564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565</v>
      </c>
      <c r="B339" s="63" t="s">
        <v>566</v>
      </c>
      <c r="C339" s="36">
        <v>4301051388</v>
      </c>
      <c r="D339" s="665">
        <v>4680115881211</v>
      </c>
      <c r="E339" s="66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90</v>
      </c>
      <c r="L339" s="37" t="s">
        <v>46</v>
      </c>
      <c r="M339" s="38" t="s">
        <v>89</v>
      </c>
      <c r="N339" s="38"/>
      <c r="O339" s="37">
        <v>45</v>
      </c>
      <c r="P339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60"/>
      <c r="P340" s="656" t="s">
        <v>40</v>
      </c>
      <c r="Q340" s="657"/>
      <c r="R340" s="657"/>
      <c r="S340" s="657"/>
      <c r="T340" s="657"/>
      <c r="U340" s="657"/>
      <c r="V340" s="658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6" t="s">
        <v>40</v>
      </c>
      <c r="Q341" s="657"/>
      <c r="R341" s="657"/>
      <c r="S341" s="657"/>
      <c r="T341" s="657"/>
      <c r="U341" s="657"/>
      <c r="V341" s="658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669" t="s">
        <v>567</v>
      </c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5"/>
      <c r="AB342" s="65"/>
      <c r="AC342" s="79"/>
    </row>
    <row r="343" spans="1:68" ht="14.25" hidden="1" customHeight="1" x14ac:dyDescent="0.25">
      <c r="A343" s="670" t="s">
        <v>76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6"/>
      <c r="AB343" s="66"/>
      <c r="AC343" s="80"/>
    </row>
    <row r="344" spans="1:68" ht="27" hidden="1" customHeight="1" x14ac:dyDescent="0.25">
      <c r="A344" s="63" t="s">
        <v>568</v>
      </c>
      <c r="B344" s="63" t="s">
        <v>569</v>
      </c>
      <c r="C344" s="36">
        <v>4301031445</v>
      </c>
      <c r="D344" s="665">
        <v>4680115888319</v>
      </c>
      <c r="E344" s="66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45</v>
      </c>
      <c r="P344" s="7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7"/>
      <c r="R344" s="667"/>
      <c r="S344" s="667"/>
      <c r="T344" s="66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395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570</v>
      </c>
      <c r="B345" s="63" t="s">
        <v>571</v>
      </c>
      <c r="C345" s="36">
        <v>4301031502</v>
      </c>
      <c r="D345" s="665">
        <v>4680115884700</v>
      </c>
      <c r="E345" s="66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572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4301031307</v>
      </c>
      <c r="D346" s="665">
        <v>4680115880344</v>
      </c>
      <c r="E346" s="66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4301031501</v>
      </c>
      <c r="D347" s="665">
        <v>4680115886919</v>
      </c>
      <c r="E347" s="66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90</v>
      </c>
      <c r="L347" s="37" t="s">
        <v>46</v>
      </c>
      <c r="M347" s="38" t="s">
        <v>80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578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4301031246</v>
      </c>
      <c r="D348" s="665">
        <v>4680115883970</v>
      </c>
      <c r="E348" s="66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81</v>
      </c>
      <c r="L348" s="37" t="s">
        <v>46</v>
      </c>
      <c r="M348" s="38" t="s">
        <v>80</v>
      </c>
      <c r="N348" s="38"/>
      <c r="O348" s="37">
        <v>40</v>
      </c>
      <c r="P348" s="76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581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60"/>
      <c r="P349" s="656" t="s">
        <v>40</v>
      </c>
      <c r="Q349" s="657"/>
      <c r="R349" s="657"/>
      <c r="S349" s="657"/>
      <c r="T349" s="657"/>
      <c r="U349" s="657"/>
      <c r="V349" s="658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6" t="s">
        <v>40</v>
      </c>
      <c r="Q350" s="657"/>
      <c r="R350" s="657"/>
      <c r="S350" s="657"/>
      <c r="T350" s="657"/>
      <c r="U350" s="657"/>
      <c r="V350" s="658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670" t="s">
        <v>85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6"/>
      <c r="AB351" s="66"/>
      <c r="AC351" s="80"/>
    </row>
    <row r="352" spans="1:68" ht="27" hidden="1" customHeight="1" x14ac:dyDescent="0.25">
      <c r="A352" s="63" t="s">
        <v>582</v>
      </c>
      <c r="B352" s="63" t="s">
        <v>583</v>
      </c>
      <c r="C352" s="36">
        <v>4301051782</v>
      </c>
      <c r="D352" s="665">
        <v>4680115884618</v>
      </c>
      <c r="E352" s="66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133</v>
      </c>
      <c r="L352" s="37" t="s">
        <v>46</v>
      </c>
      <c r="M352" s="38" t="s">
        <v>89</v>
      </c>
      <c r="N352" s="38"/>
      <c r="O352" s="37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7"/>
      <c r="R352" s="667"/>
      <c r="S352" s="667"/>
      <c r="T352" s="66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584</v>
      </c>
      <c r="AG352" s="78"/>
      <c r="AJ352" s="84" t="s">
        <v>46</v>
      </c>
      <c r="AK352" s="84">
        <v>0</v>
      </c>
      <c r="BB352" s="453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585</v>
      </c>
      <c r="B353" s="63" t="s">
        <v>586</v>
      </c>
      <c r="C353" s="36">
        <v>4301052057</v>
      </c>
      <c r="D353" s="665">
        <v>4680115887114</v>
      </c>
      <c r="E353" s="66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587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60"/>
      <c r="P354" s="656" t="s">
        <v>40</v>
      </c>
      <c r="Q354" s="657"/>
      <c r="R354" s="657"/>
      <c r="S354" s="657"/>
      <c r="T354" s="657"/>
      <c r="U354" s="657"/>
      <c r="V354" s="658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6" t="s">
        <v>40</v>
      </c>
      <c r="Q355" s="657"/>
      <c r="R355" s="657"/>
      <c r="S355" s="657"/>
      <c r="T355" s="657"/>
      <c r="U355" s="657"/>
      <c r="V355" s="658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69" t="s">
        <v>588</v>
      </c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5"/>
      <c r="AB356" s="65"/>
      <c r="AC356" s="79"/>
    </row>
    <row r="357" spans="1:68" ht="14.25" hidden="1" customHeight="1" x14ac:dyDescent="0.25">
      <c r="A357" s="670" t="s">
        <v>121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6"/>
      <c r="AB357" s="66"/>
      <c r="AC357" s="80"/>
    </row>
    <row r="358" spans="1:68" ht="27" hidden="1" customHeight="1" x14ac:dyDescent="0.25">
      <c r="A358" s="63" t="s">
        <v>589</v>
      </c>
      <c r="B358" s="63" t="s">
        <v>590</v>
      </c>
      <c r="C358" s="36">
        <v>4301012324</v>
      </c>
      <c r="D358" s="665">
        <v>4680115887947</v>
      </c>
      <c r="E358" s="66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126</v>
      </c>
      <c r="L358" s="37" t="s">
        <v>46</v>
      </c>
      <c r="M358" s="38" t="s">
        <v>89</v>
      </c>
      <c r="N358" s="38"/>
      <c r="O358" s="37">
        <v>60</v>
      </c>
      <c r="P358" s="7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7"/>
      <c r="R358" s="667"/>
      <c r="S358" s="667"/>
      <c r="T358" s="66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354</v>
      </c>
      <c r="AG358" s="78"/>
      <c r="AJ358" s="84" t="s">
        <v>46</v>
      </c>
      <c r="AK358" s="84">
        <v>0</v>
      </c>
      <c r="BB358" s="45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591</v>
      </c>
      <c r="B359" s="63" t="s">
        <v>592</v>
      </c>
      <c r="C359" s="36">
        <v>4301012325</v>
      </c>
      <c r="D359" s="665">
        <v>4680115887978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593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594</v>
      </c>
      <c r="B360" s="63" t="s">
        <v>595</v>
      </c>
      <c r="C360" s="36">
        <v>4301012327</v>
      </c>
      <c r="D360" s="665">
        <v>4680115887992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596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60"/>
      <c r="P361" s="656" t="s">
        <v>40</v>
      </c>
      <c r="Q361" s="657"/>
      <c r="R361" s="657"/>
      <c r="S361" s="657"/>
      <c r="T361" s="657"/>
      <c r="U361" s="657"/>
      <c r="V361" s="65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6" t="s">
        <v>40</v>
      </c>
      <c r="Q362" s="657"/>
      <c r="R362" s="657"/>
      <c r="S362" s="657"/>
      <c r="T362" s="657"/>
      <c r="U362" s="657"/>
      <c r="V362" s="65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hidden="1" customHeight="1" x14ac:dyDescent="0.25">
      <c r="A363" s="669" t="s">
        <v>597</v>
      </c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5"/>
      <c r="AB363" s="65"/>
      <c r="AC363" s="79"/>
    </row>
    <row r="364" spans="1:68" ht="14.25" hidden="1" customHeight="1" x14ac:dyDescent="0.25">
      <c r="A364" s="670" t="s">
        <v>121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6"/>
      <c r="AB364" s="66"/>
      <c r="AC364" s="80"/>
    </row>
    <row r="365" spans="1:68" ht="27" hidden="1" customHeight="1" x14ac:dyDescent="0.25">
      <c r="A365" s="63" t="s">
        <v>598</v>
      </c>
      <c r="B365" s="63" t="s">
        <v>599</v>
      </c>
      <c r="C365" s="36">
        <v>4301012400</v>
      </c>
      <c r="D365" s="665">
        <v>4680115889880</v>
      </c>
      <c r="E365" s="66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126</v>
      </c>
      <c r="L365" s="37" t="s">
        <v>46</v>
      </c>
      <c r="M365" s="38" t="s">
        <v>125</v>
      </c>
      <c r="N365" s="38"/>
      <c r="O365" s="37">
        <v>55</v>
      </c>
      <c r="P365" s="76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7"/>
      <c r="R365" s="667"/>
      <c r="S365" s="667"/>
      <c r="T365" s="66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542</v>
      </c>
      <c r="AC365" s="462" t="s">
        <v>522</v>
      </c>
      <c r="AG365" s="78"/>
      <c r="AJ365" s="84" t="s">
        <v>46</v>
      </c>
      <c r="AK365" s="84">
        <v>0</v>
      </c>
      <c r="BB365" s="463" t="s">
        <v>66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600</v>
      </c>
      <c r="B366" s="63" t="s">
        <v>601</v>
      </c>
      <c r="C366" s="36">
        <v>4301012360</v>
      </c>
      <c r="D366" s="665">
        <v>4680115889293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602</v>
      </c>
      <c r="AG366" s="78"/>
      <c r="AJ366" s="84" t="s">
        <v>46</v>
      </c>
      <c r="AK366" s="84">
        <v>0</v>
      </c>
      <c r="BB366" s="465" t="s">
        <v>66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66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606</v>
      </c>
      <c r="B368" s="63" t="s">
        <v>607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608</v>
      </c>
      <c r="AG368" s="78"/>
      <c r="AJ368" s="84" t="s">
        <v>46</v>
      </c>
      <c r="AK368" s="84">
        <v>0</v>
      </c>
      <c r="BB368" s="469" t="s">
        <v>66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609</v>
      </c>
      <c r="B369" s="63" t="s">
        <v>610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611</v>
      </c>
      <c r="AG369" s="78"/>
      <c r="AJ369" s="84" t="s">
        <v>46</v>
      </c>
      <c r="AK369" s="84">
        <v>0</v>
      </c>
      <c r="BB369" s="471" t="s">
        <v>66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612</v>
      </c>
      <c r="B370" s="63" t="s">
        <v>613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605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614</v>
      </c>
      <c r="B371" s="63" t="s">
        <v>615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616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60"/>
      <c r="P372" s="656" t="s">
        <v>40</v>
      </c>
      <c r="Q372" s="657"/>
      <c r="R372" s="657"/>
      <c r="S372" s="657"/>
      <c r="T372" s="657"/>
      <c r="U372" s="657"/>
      <c r="V372" s="658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6" t="s">
        <v>40</v>
      </c>
      <c r="Q373" s="657"/>
      <c r="R373" s="657"/>
      <c r="S373" s="657"/>
      <c r="T373" s="657"/>
      <c r="U373" s="657"/>
      <c r="V373" s="658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0" t="s">
        <v>76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6"/>
      <c r="AB374" s="66"/>
      <c r="AC374" s="80"/>
    </row>
    <row r="375" spans="1:68" ht="27" hidden="1" customHeight="1" x14ac:dyDescent="0.25">
      <c r="A375" s="63" t="s">
        <v>617</v>
      </c>
      <c r="B375" s="63" t="s">
        <v>618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622</v>
      </c>
      <c r="AG376" s="78"/>
      <c r="AJ376" s="84" t="s">
        <v>46</v>
      </c>
      <c r="AK376" s="84">
        <v>0</v>
      </c>
      <c r="BB376" s="479" t="s">
        <v>66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66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622</v>
      </c>
      <c r="AG378" s="78"/>
      <c r="AJ378" s="84" t="s">
        <v>46</v>
      </c>
      <c r="AK378" s="84">
        <v>0</v>
      </c>
      <c r="BB378" s="483" t="s">
        <v>66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628</v>
      </c>
      <c r="B379" s="63" t="s">
        <v>629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630</v>
      </c>
      <c r="AG379" s="78"/>
      <c r="AJ379" s="84" t="s">
        <v>46</v>
      </c>
      <c r="AK379" s="84">
        <v>0</v>
      </c>
      <c r="BB379" s="485" t="s">
        <v>66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631</v>
      </c>
      <c r="B380" s="63" t="s">
        <v>632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5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625</v>
      </c>
      <c r="AG380" s="78"/>
      <c r="AJ380" s="84" t="s">
        <v>46</v>
      </c>
      <c r="AK380" s="84">
        <v>0</v>
      </c>
      <c r="BB380" s="487" t="s">
        <v>66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633</v>
      </c>
      <c r="B381" s="63" t="s">
        <v>634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66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60"/>
      <c r="P382" s="656" t="s">
        <v>40</v>
      </c>
      <c r="Q382" s="657"/>
      <c r="R382" s="657"/>
      <c r="S382" s="657"/>
      <c r="T382" s="657"/>
      <c r="U382" s="657"/>
      <c r="V382" s="658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6" t="s">
        <v>40</v>
      </c>
      <c r="Q383" s="657"/>
      <c r="R383" s="657"/>
      <c r="S383" s="657"/>
      <c r="T383" s="657"/>
      <c r="U383" s="657"/>
      <c r="V383" s="658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70" t="s">
        <v>85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6"/>
      <c r="AB384" s="66"/>
      <c r="AC384" s="80"/>
    </row>
    <row r="385" spans="1:68" ht="27" hidden="1" customHeight="1" x14ac:dyDescent="0.25">
      <c r="A385" s="63" t="s">
        <v>636</v>
      </c>
      <c r="B385" s="63" t="s">
        <v>637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638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641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644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638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60"/>
      <c r="P389" s="656" t="s">
        <v>40</v>
      </c>
      <c r="Q389" s="657"/>
      <c r="R389" s="657"/>
      <c r="S389" s="657"/>
      <c r="T389" s="657"/>
      <c r="U389" s="657"/>
      <c r="V389" s="658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6" t="s">
        <v>40</v>
      </c>
      <c r="Q390" s="657"/>
      <c r="R390" s="657"/>
      <c r="S390" s="657"/>
      <c r="T390" s="657"/>
      <c r="U390" s="657"/>
      <c r="V390" s="658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70" t="s">
        <v>178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6"/>
      <c r="AB391" s="66"/>
      <c r="AC391" s="80"/>
    </row>
    <row r="392" spans="1:68" ht="27" hidden="1" customHeight="1" x14ac:dyDescent="0.25">
      <c r="A392" s="63" t="s">
        <v>647</v>
      </c>
      <c r="B392" s="63" t="s">
        <v>648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649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652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655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60"/>
      <c r="P395" s="656" t="s">
        <v>40</v>
      </c>
      <c r="Q395" s="657"/>
      <c r="R395" s="657"/>
      <c r="S395" s="657"/>
      <c r="T395" s="657"/>
      <c r="U395" s="657"/>
      <c r="V395" s="658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6" t="s">
        <v>40</v>
      </c>
      <c r="Q396" s="657"/>
      <c r="R396" s="657"/>
      <c r="S396" s="657"/>
      <c r="T396" s="657"/>
      <c r="U396" s="657"/>
      <c r="V396" s="658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70" t="s">
        <v>277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253</v>
      </c>
      <c r="N400" s="38"/>
      <c r="O400" s="37">
        <v>180</v>
      </c>
      <c r="P400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253</v>
      </c>
      <c r="N401" s="38"/>
      <c r="O401" s="37">
        <v>180</v>
      </c>
      <c r="P401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658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60"/>
      <c r="P402" s="656" t="s">
        <v>40</v>
      </c>
      <c r="Q402" s="657"/>
      <c r="R402" s="657"/>
      <c r="S402" s="657"/>
      <c r="T402" s="657"/>
      <c r="U402" s="657"/>
      <c r="V402" s="658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6" t="s">
        <v>40</v>
      </c>
      <c r="Q403" s="657"/>
      <c r="R403" s="657"/>
      <c r="S403" s="657"/>
      <c r="T403" s="657"/>
      <c r="U403" s="657"/>
      <c r="V403" s="658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70" t="s">
        <v>665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6"/>
      <c r="AB404" s="66"/>
      <c r="AC404" s="80"/>
    </row>
    <row r="405" spans="1:68" ht="16.5" hidden="1" customHeight="1" x14ac:dyDescent="0.25">
      <c r="A405" s="63" t="s">
        <v>666</v>
      </c>
      <c r="B405" s="63" t="s">
        <v>667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669</v>
      </c>
      <c r="N405" s="38"/>
      <c r="O405" s="37">
        <v>731</v>
      </c>
      <c r="P405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669</v>
      </c>
      <c r="N406" s="38"/>
      <c r="O406" s="37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669</v>
      </c>
      <c r="N407" s="38"/>
      <c r="O407" s="37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668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60"/>
      <c r="P408" s="656" t="s">
        <v>40</v>
      </c>
      <c r="Q408" s="657"/>
      <c r="R408" s="657"/>
      <c r="S408" s="657"/>
      <c r="T408" s="657"/>
      <c r="U408" s="657"/>
      <c r="V408" s="65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6" t="s">
        <v>40</v>
      </c>
      <c r="Q409" s="657"/>
      <c r="R409" s="657"/>
      <c r="S409" s="657"/>
      <c r="T409" s="657"/>
      <c r="U409" s="657"/>
      <c r="V409" s="65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70" t="s">
        <v>674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6"/>
      <c r="AB410" s="66"/>
      <c r="AC410" s="80"/>
    </row>
    <row r="411" spans="1:68" ht="27" hidden="1" customHeight="1" x14ac:dyDescent="0.25">
      <c r="A411" s="63" t="s">
        <v>675</v>
      </c>
      <c r="B411" s="63" t="s">
        <v>676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669</v>
      </c>
      <c r="N411" s="38"/>
      <c r="O411" s="37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677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669</v>
      </c>
      <c r="N412" s="38"/>
      <c r="O412" s="37">
        <v>1096</v>
      </c>
      <c r="P412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669</v>
      </c>
      <c r="N413" s="38"/>
      <c r="O413" s="37">
        <v>1096</v>
      </c>
      <c r="P413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677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60"/>
      <c r="P414" s="656" t="s">
        <v>40</v>
      </c>
      <c r="Q414" s="657"/>
      <c r="R414" s="657"/>
      <c r="S414" s="657"/>
      <c r="T414" s="657"/>
      <c r="U414" s="657"/>
      <c r="V414" s="658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6" t="s">
        <v>40</v>
      </c>
      <c r="Q415" s="657"/>
      <c r="R415" s="657"/>
      <c r="S415" s="657"/>
      <c r="T415" s="657"/>
      <c r="U415" s="657"/>
      <c r="V415" s="658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9" t="s">
        <v>683</v>
      </c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5"/>
      <c r="AB416" s="65"/>
      <c r="AC416" s="79"/>
    </row>
    <row r="417" spans="1:68" ht="14.25" hidden="1" customHeight="1" x14ac:dyDescent="0.25">
      <c r="A417" s="670" t="s">
        <v>85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6"/>
      <c r="AB417" s="66"/>
      <c r="AC417" s="80"/>
    </row>
    <row r="418" spans="1:68" ht="16.5" hidden="1" customHeight="1" x14ac:dyDescent="0.25">
      <c r="A418" s="63" t="s">
        <v>684</v>
      </c>
      <c r="B418" s="63" t="s">
        <v>685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686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687</v>
      </c>
      <c r="B419" s="63" t="s">
        <v>688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689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60"/>
      <c r="P420" s="656" t="s">
        <v>40</v>
      </c>
      <c r="Q420" s="657"/>
      <c r="R420" s="657"/>
      <c r="S420" s="657"/>
      <c r="T420" s="657"/>
      <c r="U420" s="657"/>
      <c r="V420" s="658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6" t="s">
        <v>40</v>
      </c>
      <c r="Q421" s="657"/>
      <c r="R421" s="657"/>
      <c r="S421" s="657"/>
      <c r="T421" s="657"/>
      <c r="U421" s="657"/>
      <c r="V421" s="658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9" t="s">
        <v>690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5"/>
      <c r="AB422" s="65"/>
      <c r="AC422" s="79"/>
    </row>
    <row r="423" spans="1:68" ht="14.25" hidden="1" customHeight="1" x14ac:dyDescent="0.25">
      <c r="A423" s="670" t="s">
        <v>85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6"/>
      <c r="AB423" s="66"/>
      <c r="AC423" s="80"/>
    </row>
    <row r="424" spans="1:68" ht="27" hidden="1" customHeight="1" x14ac:dyDescent="0.25">
      <c r="A424" s="63" t="s">
        <v>691</v>
      </c>
      <c r="B424" s="63" t="s">
        <v>692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693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694</v>
      </c>
      <c r="B425" s="63" t="s">
        <v>695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696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697</v>
      </c>
      <c r="B426" s="63" t="s">
        <v>698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699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60"/>
      <c r="P427" s="656" t="s">
        <v>40</v>
      </c>
      <c r="Q427" s="657"/>
      <c r="R427" s="657"/>
      <c r="S427" s="657"/>
      <c r="T427" s="657"/>
      <c r="U427" s="657"/>
      <c r="V427" s="658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6" t="s">
        <v>40</v>
      </c>
      <c r="Q428" s="657"/>
      <c r="R428" s="657"/>
      <c r="S428" s="657"/>
      <c r="T428" s="657"/>
      <c r="U428" s="657"/>
      <c r="V428" s="658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6" t="s">
        <v>700</v>
      </c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54"/>
      <c r="AB429" s="54"/>
      <c r="AC429" s="54"/>
    </row>
    <row r="430" spans="1:68" ht="16.5" hidden="1" customHeight="1" x14ac:dyDescent="0.25">
      <c r="A430" s="669" t="s">
        <v>701</v>
      </c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5"/>
      <c r="AB430" s="65"/>
      <c r="AC430" s="79"/>
    </row>
    <row r="431" spans="1:68" ht="14.25" hidden="1" customHeight="1" x14ac:dyDescent="0.25">
      <c r="A431" s="670" t="s">
        <v>121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6"/>
      <c r="AB431" s="66"/>
      <c r="AC431" s="80"/>
    </row>
    <row r="432" spans="1:68" ht="27" hidden="1" customHeight="1" x14ac:dyDescent="0.25">
      <c r="A432" s="63" t="s">
        <v>702</v>
      </c>
      <c r="B432" s="63" t="s">
        <v>703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704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hidden="1" customHeight="1" x14ac:dyDescent="0.25">
      <c r="A433" s="63" t="s">
        <v>705</v>
      </c>
      <c r="B433" s="63" t="s">
        <v>706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66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hidden="1" customHeight="1" x14ac:dyDescent="0.25">
      <c r="A434" s="63" t="s">
        <v>708</v>
      </c>
      <c r="B434" s="63" t="s">
        <v>709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66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711</v>
      </c>
      <c r="B435" s="63" t="s">
        <v>712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66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714</v>
      </c>
      <c r="B436" s="63" t="s">
        <v>715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66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717</v>
      </c>
      <c r="B437" s="63" t="s">
        <v>718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66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722</v>
      </c>
      <c r="AG438" s="78"/>
      <c r="AJ438" s="84" t="s">
        <v>46</v>
      </c>
      <c r="AK438" s="84">
        <v>0</v>
      </c>
      <c r="BB438" s="547" t="s">
        <v>66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723</v>
      </c>
      <c r="B439" s="63" t="s">
        <v>724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725</v>
      </c>
      <c r="AG439" s="78"/>
      <c r="AJ439" s="84" t="s">
        <v>46</v>
      </c>
      <c r="AK439" s="84">
        <v>0</v>
      </c>
      <c r="BB439" s="549" t="s">
        <v>66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idden="1" x14ac:dyDescent="0.2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60"/>
      <c r="P440" s="656" t="s">
        <v>40</v>
      </c>
      <c r="Q440" s="657"/>
      <c r="R440" s="657"/>
      <c r="S440" s="657"/>
      <c r="T440" s="657"/>
      <c r="U440" s="657"/>
      <c r="V440" s="658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6" t="s">
        <v>40</v>
      </c>
      <c r="Q441" s="657"/>
      <c r="R441" s="657"/>
      <c r="S441" s="657"/>
      <c r="T441" s="657"/>
      <c r="U441" s="657"/>
      <c r="V441" s="658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70" t="s">
        <v>158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customHeight="1" x14ac:dyDescent="0.25">
      <c r="A443" s="63" t="s">
        <v>726</v>
      </c>
      <c r="B443" s="63" t="s">
        <v>727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390</v>
      </c>
      <c r="Y443" s="55">
        <f>IFERROR(IF(X443="",0,CEILING((X443/$H443),1)*$H443),"")</f>
        <v>390</v>
      </c>
      <c r="Z443" s="41">
        <f>IFERROR(IF(Y443=0,"",ROUNDUP(Y443/H443,0)*0.02175),"")</f>
        <v>0.5655</v>
      </c>
      <c r="AA443" s="68" t="s">
        <v>46</v>
      </c>
      <c r="AB443" s="69" t="s">
        <v>46</v>
      </c>
      <c r="AC443" s="550" t="s">
        <v>728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402.22</v>
      </c>
      <c r="BN443" s="78">
        <f>IFERROR(Y443*I443/H443,"0")</f>
        <v>402.22</v>
      </c>
      <c r="BO443" s="78">
        <f>IFERROR(1/J443*(X443/H443),"0")</f>
        <v>0.54166666666666663</v>
      </c>
      <c r="BP443" s="78">
        <f>IFERROR(1/J443*(Y443/H443),"0")</f>
        <v>0.54166666666666663</v>
      </c>
    </row>
    <row r="444" spans="1:68" ht="27" hidden="1" customHeight="1" x14ac:dyDescent="0.25">
      <c r="A444" s="63" t="s">
        <v>729</v>
      </c>
      <c r="B444" s="63" t="s">
        <v>730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731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732</v>
      </c>
      <c r="B445" s="63" t="s">
        <v>733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734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60"/>
      <c r="P446" s="656" t="s">
        <v>40</v>
      </c>
      <c r="Q446" s="657"/>
      <c r="R446" s="657"/>
      <c r="S446" s="657"/>
      <c r="T446" s="657"/>
      <c r="U446" s="657"/>
      <c r="V446" s="658"/>
      <c r="W446" s="42" t="s">
        <v>39</v>
      </c>
      <c r="X446" s="43">
        <f>IFERROR(X443/H443,"0")+IFERROR(X444/H444,"0")+IFERROR(X445/H445,"0")</f>
        <v>26</v>
      </c>
      <c r="Y446" s="43">
        <f>IFERROR(Y443/H443,"0")+IFERROR(Y444/H444,"0")+IFERROR(Y445/H445,"0")</f>
        <v>26</v>
      </c>
      <c r="Z446" s="43">
        <f>IFERROR(IF(Z443="",0,Z443),"0")+IFERROR(IF(Z444="",0,Z444),"0")+IFERROR(IF(Z445="",0,Z445),"0")</f>
        <v>0.5655</v>
      </c>
      <c r="AA446" s="67"/>
      <c r="AB446" s="67"/>
      <c r="AC446" s="67"/>
    </row>
    <row r="447" spans="1:68" x14ac:dyDescent="0.2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6" t="s">
        <v>40</v>
      </c>
      <c r="Q447" s="657"/>
      <c r="R447" s="657"/>
      <c r="S447" s="657"/>
      <c r="T447" s="657"/>
      <c r="U447" s="657"/>
      <c r="V447" s="658"/>
      <c r="W447" s="42" t="s">
        <v>0</v>
      </c>
      <c r="X447" s="43">
        <f>IFERROR(SUM(X443:X445),"0")</f>
        <v>390</v>
      </c>
      <c r="Y447" s="43">
        <f>IFERROR(SUM(Y443:Y445),"0")</f>
        <v>390</v>
      </c>
      <c r="Z447" s="42"/>
      <c r="AA447" s="67"/>
      <c r="AB447" s="67"/>
      <c r="AC447" s="67"/>
    </row>
    <row r="448" spans="1:68" ht="14.25" hidden="1" customHeight="1" x14ac:dyDescent="0.25">
      <c r="A448" s="670" t="s">
        <v>85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737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738</v>
      </c>
      <c r="B450" s="63" t="s">
        <v>739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740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741</v>
      </c>
      <c r="B451" s="63" t="s">
        <v>742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743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60"/>
      <c r="P452" s="656" t="s">
        <v>40</v>
      </c>
      <c r="Q452" s="657"/>
      <c r="R452" s="657"/>
      <c r="S452" s="657"/>
      <c r="T452" s="657"/>
      <c r="U452" s="657"/>
      <c r="V452" s="65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6" t="s">
        <v>40</v>
      </c>
      <c r="Q453" s="657"/>
      <c r="R453" s="657"/>
      <c r="S453" s="657"/>
      <c r="T453" s="657"/>
      <c r="U453" s="657"/>
      <c r="V453" s="65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70" t="s">
        <v>178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6"/>
      <c r="AB454" s="66"/>
      <c r="AC454" s="80"/>
    </row>
    <row r="455" spans="1:68" ht="27" hidden="1" customHeight="1" x14ac:dyDescent="0.25">
      <c r="A455" s="63" t="s">
        <v>744</v>
      </c>
      <c r="B455" s="63" t="s">
        <v>745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746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747</v>
      </c>
      <c r="B456" s="63" t="s">
        <v>748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749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60"/>
      <c r="P457" s="656" t="s">
        <v>40</v>
      </c>
      <c r="Q457" s="657"/>
      <c r="R457" s="657"/>
      <c r="S457" s="657"/>
      <c r="T457" s="657"/>
      <c r="U457" s="657"/>
      <c r="V457" s="65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6" t="s">
        <v>40</v>
      </c>
      <c r="Q458" s="657"/>
      <c r="R458" s="657"/>
      <c r="S458" s="657"/>
      <c r="T458" s="657"/>
      <c r="U458" s="657"/>
      <c r="V458" s="65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9" t="s">
        <v>750</v>
      </c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5"/>
      <c r="AB459" s="65"/>
      <c r="AC459" s="79"/>
    </row>
    <row r="460" spans="1:68" ht="14.25" hidden="1" customHeight="1" x14ac:dyDescent="0.25">
      <c r="A460" s="670" t="s">
        <v>121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754</v>
      </c>
      <c r="B462" s="63" t="s">
        <v>755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753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60"/>
      <c r="P463" s="656" t="s">
        <v>40</v>
      </c>
      <c r="Q463" s="657"/>
      <c r="R463" s="657"/>
      <c r="S463" s="657"/>
      <c r="T463" s="657"/>
      <c r="U463" s="657"/>
      <c r="V463" s="65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6" t="s">
        <v>40</v>
      </c>
      <c r="Q464" s="657"/>
      <c r="R464" s="657"/>
      <c r="S464" s="657"/>
      <c r="T464" s="657"/>
      <c r="U464" s="657"/>
      <c r="V464" s="65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0" t="s">
        <v>76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6"/>
      <c r="AB465" s="66"/>
      <c r="AC465" s="80"/>
    </row>
    <row r="466" spans="1:68" ht="27" hidden="1" customHeight="1" x14ac:dyDescent="0.25">
      <c r="A466" s="63" t="s">
        <v>756</v>
      </c>
      <c r="B466" s="63" t="s">
        <v>757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758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60"/>
      <c r="P467" s="656" t="s">
        <v>40</v>
      </c>
      <c r="Q467" s="657"/>
      <c r="R467" s="657"/>
      <c r="S467" s="657"/>
      <c r="T467" s="657"/>
      <c r="U467" s="657"/>
      <c r="V467" s="658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6" t="s">
        <v>40</v>
      </c>
      <c r="Q468" s="657"/>
      <c r="R468" s="657"/>
      <c r="S468" s="657"/>
      <c r="T468" s="657"/>
      <c r="U468" s="657"/>
      <c r="V468" s="658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0" t="s">
        <v>85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hidden="1" customHeight="1" x14ac:dyDescent="0.25">
      <c r="A470" s="63" t="s">
        <v>759</v>
      </c>
      <c r="B470" s="63" t="s">
        <v>760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763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761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762</v>
      </c>
      <c r="B472" s="63" t="s">
        <v>764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60"/>
      <c r="P473" s="656" t="s">
        <v>40</v>
      </c>
      <c r="Q473" s="657"/>
      <c r="R473" s="657"/>
      <c r="S473" s="657"/>
      <c r="T473" s="657"/>
      <c r="U473" s="657"/>
      <c r="V473" s="658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6" t="s">
        <v>40</v>
      </c>
      <c r="Q474" s="657"/>
      <c r="R474" s="657"/>
      <c r="S474" s="657"/>
      <c r="T474" s="657"/>
      <c r="U474" s="657"/>
      <c r="V474" s="658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6" t="s">
        <v>766</v>
      </c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54"/>
      <c r="AB475" s="54"/>
      <c r="AC475" s="54"/>
    </row>
    <row r="476" spans="1:68" ht="16.5" hidden="1" customHeight="1" x14ac:dyDescent="0.25">
      <c r="A476" s="669" t="s">
        <v>767</v>
      </c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5"/>
      <c r="AB476" s="65"/>
      <c r="AC476" s="79"/>
    </row>
    <row r="477" spans="1:68" ht="14.25" hidden="1" customHeight="1" x14ac:dyDescent="0.25">
      <c r="A477" s="670" t="s">
        <v>76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6"/>
      <c r="AB477" s="66"/>
      <c r="AC477" s="80"/>
    </row>
    <row r="478" spans="1:68" ht="27" hidden="1" customHeight="1" x14ac:dyDescent="0.25">
      <c r="A478" s="63" t="s">
        <v>768</v>
      </c>
      <c r="B478" s="63" t="s">
        <v>769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770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771</v>
      </c>
      <c r="B479" s="63" t="s">
        <v>772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66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774</v>
      </c>
      <c r="B480" s="63" t="s">
        <v>775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770</v>
      </c>
      <c r="AG480" s="78"/>
      <c r="AJ480" s="84" t="s">
        <v>46</v>
      </c>
      <c r="AK480" s="84">
        <v>0</v>
      </c>
      <c r="BB480" s="583" t="s">
        <v>66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776</v>
      </c>
      <c r="B481" s="63" t="s">
        <v>777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778</v>
      </c>
      <c r="AG481" s="78"/>
      <c r="AJ481" s="84" t="s">
        <v>46</v>
      </c>
      <c r="AK481" s="84">
        <v>0</v>
      </c>
      <c r="BB481" s="585" t="s">
        <v>66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779</v>
      </c>
      <c r="B482" s="63" t="s">
        <v>780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66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782</v>
      </c>
      <c r="B483" s="63" t="s">
        <v>783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778</v>
      </c>
      <c r="AG483" s="78"/>
      <c r="AJ483" s="84" t="s">
        <v>46</v>
      </c>
      <c r="AK483" s="84">
        <v>0</v>
      </c>
      <c r="BB483" s="589" t="s">
        <v>66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60"/>
      <c r="P484" s="656" t="s">
        <v>40</v>
      </c>
      <c r="Q484" s="657"/>
      <c r="R484" s="657"/>
      <c r="S484" s="657"/>
      <c r="T484" s="657"/>
      <c r="U484" s="657"/>
      <c r="V484" s="658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6" t="s">
        <v>40</v>
      </c>
      <c r="Q485" s="657"/>
      <c r="R485" s="657"/>
      <c r="S485" s="657"/>
      <c r="T485" s="657"/>
      <c r="U485" s="657"/>
      <c r="V485" s="658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70" t="s">
        <v>85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6"/>
      <c r="AB486" s="66"/>
      <c r="AC486" s="80"/>
    </row>
    <row r="487" spans="1:68" ht="27" hidden="1" customHeight="1" x14ac:dyDescent="0.25">
      <c r="A487" s="63" t="s">
        <v>784</v>
      </c>
      <c r="B487" s="63" t="s">
        <v>785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786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789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60"/>
      <c r="P489" s="656" t="s">
        <v>40</v>
      </c>
      <c r="Q489" s="657"/>
      <c r="R489" s="657"/>
      <c r="S489" s="657"/>
      <c r="T489" s="657"/>
      <c r="U489" s="657"/>
      <c r="V489" s="658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6" t="s">
        <v>40</v>
      </c>
      <c r="Q490" s="657"/>
      <c r="R490" s="657"/>
      <c r="S490" s="657"/>
      <c r="T490" s="657"/>
      <c r="U490" s="657"/>
      <c r="V490" s="658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9" t="s">
        <v>790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5"/>
      <c r="AB491" s="65"/>
      <c r="AC491" s="79"/>
    </row>
    <row r="492" spans="1:68" ht="14.25" hidden="1" customHeight="1" x14ac:dyDescent="0.25">
      <c r="A492" s="670" t="s">
        <v>158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793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60"/>
      <c r="P494" s="656" t="s">
        <v>40</v>
      </c>
      <c r="Q494" s="657"/>
      <c r="R494" s="657"/>
      <c r="S494" s="657"/>
      <c r="T494" s="657"/>
      <c r="U494" s="657"/>
      <c r="V494" s="65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6" t="s">
        <v>40</v>
      </c>
      <c r="Q495" s="657"/>
      <c r="R495" s="657"/>
      <c r="S495" s="657"/>
      <c r="T495" s="657"/>
      <c r="U495" s="657"/>
      <c r="V495" s="65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70" t="s">
        <v>76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6"/>
      <c r="AB496" s="66"/>
      <c r="AC496" s="80"/>
    </row>
    <row r="497" spans="1:68" ht="27" hidden="1" customHeight="1" x14ac:dyDescent="0.25">
      <c r="A497" s="63" t="s">
        <v>794</v>
      </c>
      <c r="B497" s="63" t="s">
        <v>795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796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797</v>
      </c>
      <c r="B498" s="63" t="s">
        <v>798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799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60"/>
      <c r="P500" s="656" t="s">
        <v>40</v>
      </c>
      <c r="Q500" s="657"/>
      <c r="R500" s="657"/>
      <c r="S500" s="657"/>
      <c r="T500" s="657"/>
      <c r="U500" s="657"/>
      <c r="V500" s="658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6" t="s">
        <v>40</v>
      </c>
      <c r="Q501" s="657"/>
      <c r="R501" s="657"/>
      <c r="S501" s="657"/>
      <c r="T501" s="657"/>
      <c r="U501" s="657"/>
      <c r="V501" s="658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6" t="s">
        <v>802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54"/>
      <c r="AB502" s="54"/>
      <c r="AC502" s="54"/>
    </row>
    <row r="503" spans="1:68" ht="16.5" hidden="1" customHeight="1" x14ac:dyDescent="0.25">
      <c r="A503" s="669" t="s">
        <v>802</v>
      </c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5"/>
      <c r="AB503" s="65"/>
      <c r="AC503" s="79"/>
    </row>
    <row r="504" spans="1:68" ht="14.25" hidden="1" customHeight="1" x14ac:dyDescent="0.25">
      <c r="A504" s="670" t="s">
        <v>121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6"/>
      <c r="AB504" s="66"/>
      <c r="AC504" s="80"/>
    </row>
    <row r="505" spans="1:68" ht="27" hidden="1" customHeight="1" x14ac:dyDescent="0.25">
      <c r="A505" s="63" t="s">
        <v>803</v>
      </c>
      <c r="B505" s="63" t="s">
        <v>804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805</v>
      </c>
      <c r="B506" s="63" t="s">
        <v>806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807</v>
      </c>
      <c r="AG506" s="78"/>
      <c r="AJ506" s="84" t="s">
        <v>46</v>
      </c>
      <c r="AK506" s="84">
        <v>0</v>
      </c>
      <c r="BB506" s="605" t="s">
        <v>66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808</v>
      </c>
      <c r="B507" s="63" t="s">
        <v>809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66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66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816</v>
      </c>
      <c r="AG509" s="78"/>
      <c r="AJ509" s="84" t="s">
        <v>46</v>
      </c>
      <c r="AK509" s="84">
        <v>0</v>
      </c>
      <c r="BB509" s="611" t="s">
        <v>66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819</v>
      </c>
      <c r="AG510" s="78"/>
      <c r="AJ510" s="84" t="s">
        <v>46</v>
      </c>
      <c r="AK510" s="84">
        <v>0</v>
      </c>
      <c r="BB510" s="613" t="s">
        <v>66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822</v>
      </c>
      <c r="B512" s="63" t="s">
        <v>823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824</v>
      </c>
      <c r="B513" s="63" t="s">
        <v>825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819</v>
      </c>
      <c r="AG513" s="78"/>
      <c r="AJ513" s="84" t="s">
        <v>46</v>
      </c>
      <c r="AK513" s="84">
        <v>0</v>
      </c>
      <c r="BB513" s="619" t="s">
        <v>66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idden="1" x14ac:dyDescent="0.2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60"/>
      <c r="P514" s="656" t="s">
        <v>40</v>
      </c>
      <c r="Q514" s="657"/>
      <c r="R514" s="657"/>
      <c r="S514" s="657"/>
      <c r="T514" s="657"/>
      <c r="U514" s="657"/>
      <c r="V514" s="658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6" t="s">
        <v>40</v>
      </c>
      <c r="Q515" s="657"/>
      <c r="R515" s="657"/>
      <c r="S515" s="657"/>
      <c r="T515" s="657"/>
      <c r="U515" s="657"/>
      <c r="V515" s="658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0" t="s">
        <v>158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16.5" hidden="1" customHeight="1" x14ac:dyDescent="0.25">
      <c r="A517" s="63" t="s">
        <v>826</v>
      </c>
      <c r="B517" s="63" t="s">
        <v>827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829</v>
      </c>
      <c r="B518" s="63" t="s">
        <v>830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831</v>
      </c>
      <c r="B519" s="63" t="s">
        <v>832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828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60"/>
      <c r="P520" s="656" t="s">
        <v>40</v>
      </c>
      <c r="Q520" s="657"/>
      <c r="R520" s="657"/>
      <c r="S520" s="657"/>
      <c r="T520" s="657"/>
      <c r="U520" s="657"/>
      <c r="V520" s="658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6" t="s">
        <v>40</v>
      </c>
      <c r="Q521" s="657"/>
      <c r="R521" s="657"/>
      <c r="S521" s="657"/>
      <c r="T521" s="657"/>
      <c r="U521" s="657"/>
      <c r="V521" s="658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70" t="s">
        <v>76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hidden="1" customHeight="1" x14ac:dyDescent="0.25">
      <c r="A523" s="63" t="s">
        <v>833</v>
      </c>
      <c r="B523" s="63" t="s">
        <v>834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835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hidden="1" customHeight="1" x14ac:dyDescent="0.25">
      <c r="A524" s="63" t="s">
        <v>836</v>
      </c>
      <c r="B524" s="63" t="s">
        <v>837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838</v>
      </c>
      <c r="AG524" s="78"/>
      <c r="AJ524" s="84" t="s">
        <v>46</v>
      </c>
      <c r="AK524" s="84">
        <v>0</v>
      </c>
      <c r="BB524" s="629" t="s">
        <v>66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hidden="1" customHeight="1" x14ac:dyDescent="0.25">
      <c r="A525" s="63" t="s">
        <v>839</v>
      </c>
      <c r="B525" s="63" t="s">
        <v>840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841</v>
      </c>
      <c r="AG525" s="78"/>
      <c r="AJ525" s="84" t="s">
        <v>46</v>
      </c>
      <c r="AK525" s="84">
        <v>0</v>
      </c>
      <c r="BB525" s="631" t="s">
        <v>66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835</v>
      </c>
      <c r="AG526" s="78"/>
      <c r="AJ526" s="84" t="s">
        <v>46</v>
      </c>
      <c r="AK526" s="84">
        <v>0</v>
      </c>
      <c r="BB526" s="633" t="s">
        <v>66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844</v>
      </c>
      <c r="B527" s="63" t="s">
        <v>845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66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844</v>
      </c>
      <c r="B528" s="63" t="s">
        <v>846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838</v>
      </c>
      <c r="AG528" s="78"/>
      <c r="AJ528" s="84" t="s">
        <v>46</v>
      </c>
      <c r="AK528" s="84">
        <v>0</v>
      </c>
      <c r="BB528" s="637" t="s">
        <v>66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847</v>
      </c>
      <c r="B529" s="63" t="s">
        <v>848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841</v>
      </c>
      <c r="AG529" s="78"/>
      <c r="AJ529" s="84" t="s">
        <v>46</v>
      </c>
      <c r="AK529" s="84">
        <v>0</v>
      </c>
      <c r="BB529" s="639" t="s">
        <v>66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idden="1" x14ac:dyDescent="0.2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60"/>
      <c r="P530" s="656" t="s">
        <v>40</v>
      </c>
      <c r="Q530" s="657"/>
      <c r="R530" s="657"/>
      <c r="S530" s="657"/>
      <c r="T530" s="657"/>
      <c r="U530" s="657"/>
      <c r="V530" s="658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6" t="s">
        <v>40</v>
      </c>
      <c r="Q531" s="657"/>
      <c r="R531" s="657"/>
      <c r="S531" s="657"/>
      <c r="T531" s="657"/>
      <c r="U531" s="657"/>
      <c r="V531" s="658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6" t="s">
        <v>849</v>
      </c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54"/>
      <c r="AB532" s="54"/>
      <c r="AC532" s="54"/>
    </row>
    <row r="533" spans="1:68" ht="16.5" hidden="1" customHeight="1" x14ac:dyDescent="0.25">
      <c r="A533" s="669" t="s">
        <v>849</v>
      </c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5"/>
      <c r="AB533" s="65"/>
      <c r="AC533" s="79"/>
    </row>
    <row r="534" spans="1:68" ht="14.25" hidden="1" customHeight="1" x14ac:dyDescent="0.25">
      <c r="A534" s="670" t="s">
        <v>121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6"/>
      <c r="AB534" s="66"/>
      <c r="AC534" s="80"/>
    </row>
    <row r="535" spans="1:68" ht="27" hidden="1" customHeight="1" x14ac:dyDescent="0.25">
      <c r="A535" s="63" t="s">
        <v>850</v>
      </c>
      <c r="B535" s="63" t="s">
        <v>851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852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60"/>
      <c r="P536" s="656" t="s">
        <v>40</v>
      </c>
      <c r="Q536" s="657"/>
      <c r="R536" s="657"/>
      <c r="S536" s="657"/>
      <c r="T536" s="657"/>
      <c r="U536" s="657"/>
      <c r="V536" s="658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6" t="s">
        <v>40</v>
      </c>
      <c r="Q537" s="657"/>
      <c r="R537" s="657"/>
      <c r="S537" s="657"/>
      <c r="T537" s="657"/>
      <c r="U537" s="657"/>
      <c r="V537" s="658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70" t="s">
        <v>76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6"/>
      <c r="AB538" s="66"/>
      <c r="AC538" s="80"/>
    </row>
    <row r="539" spans="1:68" ht="27" hidden="1" customHeight="1" x14ac:dyDescent="0.25">
      <c r="A539" s="63" t="s">
        <v>853</v>
      </c>
      <c r="B539" s="63" t="s">
        <v>854</v>
      </c>
      <c r="C539" s="36">
        <v>4301031500</v>
      </c>
      <c r="D539" s="665">
        <v>4640242180595</v>
      </c>
      <c r="E539" s="665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133</v>
      </c>
      <c r="L539" s="37" t="s">
        <v>46</v>
      </c>
      <c r="M539" s="38" t="s">
        <v>80</v>
      </c>
      <c r="N539" s="38"/>
      <c r="O539" s="37">
        <v>40</v>
      </c>
      <c r="P539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855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60"/>
      <c r="P540" s="656" t="s">
        <v>40</v>
      </c>
      <c r="Q540" s="657"/>
      <c r="R540" s="657"/>
      <c r="S540" s="657"/>
      <c r="T540" s="657"/>
      <c r="U540" s="657"/>
      <c r="V540" s="65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6" t="s">
        <v>40</v>
      </c>
      <c r="Q541" s="657"/>
      <c r="R541" s="657"/>
      <c r="S541" s="657"/>
      <c r="T541" s="657"/>
      <c r="U541" s="657"/>
      <c r="V541" s="65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0" t="s">
        <v>85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6"/>
      <c r="AB542" s="66"/>
      <c r="AC542" s="80"/>
    </row>
    <row r="543" spans="1:68" ht="27" hidden="1" customHeight="1" x14ac:dyDescent="0.25">
      <c r="A543" s="63" t="s">
        <v>856</v>
      </c>
      <c r="B543" s="63" t="s">
        <v>857</v>
      </c>
      <c r="C543" s="36">
        <v>4301052043</v>
      </c>
      <c r="D543" s="665">
        <v>4640242180533</v>
      </c>
      <c r="E543" s="665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126</v>
      </c>
      <c r="L543" s="37" t="s">
        <v>46</v>
      </c>
      <c r="M543" s="38" t="s">
        <v>89</v>
      </c>
      <c r="N543" s="38"/>
      <c r="O543" s="37">
        <v>45</v>
      </c>
      <c r="P543" s="6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858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60"/>
      <c r="P544" s="656" t="s">
        <v>40</v>
      </c>
      <c r="Q544" s="657"/>
      <c r="R544" s="657"/>
      <c r="S544" s="657"/>
      <c r="T544" s="657"/>
      <c r="U544" s="657"/>
      <c r="V544" s="65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6" t="s">
        <v>40</v>
      </c>
      <c r="Q545" s="657"/>
      <c r="R545" s="657"/>
      <c r="S545" s="657"/>
      <c r="T545" s="657"/>
      <c r="U545" s="657"/>
      <c r="V545" s="65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0" t="s">
        <v>178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6"/>
      <c r="AB546" s="66"/>
      <c r="AC546" s="80"/>
    </row>
    <row r="547" spans="1:68" ht="27" hidden="1" customHeight="1" x14ac:dyDescent="0.25">
      <c r="A547" s="63" t="s">
        <v>859</v>
      </c>
      <c r="B547" s="63" t="s">
        <v>860</v>
      </c>
      <c r="C547" s="36">
        <v>4301060535</v>
      </c>
      <c r="D547" s="665">
        <v>4640242180120</v>
      </c>
      <c r="E547" s="66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40</v>
      </c>
      <c r="P547" s="67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861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862</v>
      </c>
      <c r="B548" s="63" t="s">
        <v>863</v>
      </c>
      <c r="C548" s="36">
        <v>4301060536</v>
      </c>
      <c r="D548" s="665">
        <v>4640242180137</v>
      </c>
      <c r="E548" s="665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40</v>
      </c>
      <c r="P548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7"/>
      <c r="R548" s="667"/>
      <c r="S548" s="667"/>
      <c r="T548" s="66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6" t="s">
        <v>40</v>
      </c>
      <c r="Q549" s="657"/>
      <c r="R549" s="657"/>
      <c r="S549" s="657"/>
      <c r="T549" s="657"/>
      <c r="U549" s="657"/>
      <c r="V549" s="658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6" t="s">
        <v>40</v>
      </c>
      <c r="Q550" s="657"/>
      <c r="R550" s="657"/>
      <c r="S550" s="657"/>
      <c r="T550" s="657"/>
      <c r="U550" s="657"/>
      <c r="V550" s="658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669" t="s">
        <v>865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5"/>
      <c r="AB551" s="65"/>
      <c r="AC551" s="79"/>
    </row>
    <row r="552" spans="1:68" ht="14.25" hidden="1" customHeight="1" x14ac:dyDescent="0.25">
      <c r="A552" s="670" t="s">
        <v>158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6"/>
      <c r="AB552" s="66"/>
      <c r="AC552" s="80"/>
    </row>
    <row r="553" spans="1:68" ht="27" hidden="1" customHeight="1" x14ac:dyDescent="0.25">
      <c r="A553" s="63" t="s">
        <v>866</v>
      </c>
      <c r="B553" s="63" t="s">
        <v>867</v>
      </c>
      <c r="C553" s="36">
        <v>4301020441</v>
      </c>
      <c r="D553" s="665">
        <v>4680115889798</v>
      </c>
      <c r="E553" s="665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126</v>
      </c>
      <c r="L553" s="37" t="s">
        <v>46</v>
      </c>
      <c r="M553" s="38" t="s">
        <v>125</v>
      </c>
      <c r="N553" s="38"/>
      <c r="O553" s="37">
        <v>50</v>
      </c>
      <c r="P553" s="67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7"/>
      <c r="R553" s="667"/>
      <c r="S553" s="667"/>
      <c r="T553" s="66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868</v>
      </c>
      <c r="AG553" s="78"/>
      <c r="AJ553" s="84" t="s">
        <v>46</v>
      </c>
      <c r="AK553" s="84">
        <v>0</v>
      </c>
      <c r="BB553" s="651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6" t="s">
        <v>40</v>
      </c>
      <c r="Q554" s="657"/>
      <c r="R554" s="657"/>
      <c r="S554" s="657"/>
      <c r="T554" s="657"/>
      <c r="U554" s="657"/>
      <c r="V554" s="658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6" t="s">
        <v>40</v>
      </c>
      <c r="Q555" s="657"/>
      <c r="R555" s="657"/>
      <c r="S555" s="657"/>
      <c r="T555" s="657"/>
      <c r="U555" s="657"/>
      <c r="V555" s="658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64"/>
      <c r="P556" s="661" t="s">
        <v>33</v>
      </c>
      <c r="Q556" s="662"/>
      <c r="R556" s="662"/>
      <c r="S556" s="662"/>
      <c r="T556" s="662"/>
      <c r="U556" s="662"/>
      <c r="V556" s="663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390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390</v>
      </c>
      <c r="Z556" s="42"/>
      <c r="AA556" s="67"/>
      <c r="AB556" s="67"/>
      <c r="AC556" s="67"/>
    </row>
    <row r="557" spans="1:68" x14ac:dyDescent="0.2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64"/>
      <c r="P557" s="661" t="s">
        <v>34</v>
      </c>
      <c r="Q557" s="662"/>
      <c r="R557" s="662"/>
      <c r="S557" s="662"/>
      <c r="T557" s="662"/>
      <c r="U557" s="662"/>
      <c r="V557" s="663"/>
      <c r="W557" s="42" t="s">
        <v>0</v>
      </c>
      <c r="X557" s="43">
        <f>IFERROR(SUM(BM22:BM553),"0")</f>
        <v>402.22</v>
      </c>
      <c r="Y557" s="43">
        <f>IFERROR(SUM(BN22:BN553),"0")</f>
        <v>402.22</v>
      </c>
      <c r="Z557" s="42"/>
      <c r="AA557" s="67"/>
      <c r="AB557" s="67"/>
      <c r="AC557" s="67"/>
    </row>
    <row r="558" spans="1:68" x14ac:dyDescent="0.2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64"/>
      <c r="P558" s="661" t="s">
        <v>35</v>
      </c>
      <c r="Q558" s="662"/>
      <c r="R558" s="662"/>
      <c r="S558" s="662"/>
      <c r="T558" s="662"/>
      <c r="U558" s="662"/>
      <c r="V558" s="663"/>
      <c r="W558" s="42" t="s">
        <v>20</v>
      </c>
      <c r="X558" s="44">
        <f>ROUNDUP(SUM(BO22:BO553),0)</f>
        <v>1</v>
      </c>
      <c r="Y558" s="44">
        <f>ROUNDUP(SUM(BP22:BP553),0)</f>
        <v>1</v>
      </c>
      <c r="Z558" s="42"/>
      <c r="AA558" s="67"/>
      <c r="AB558" s="67"/>
      <c r="AC558" s="67"/>
    </row>
    <row r="559" spans="1:68" x14ac:dyDescent="0.2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4"/>
      <c r="P559" s="661" t="s">
        <v>36</v>
      </c>
      <c r="Q559" s="662"/>
      <c r="R559" s="662"/>
      <c r="S559" s="662"/>
      <c r="T559" s="662"/>
      <c r="U559" s="662"/>
      <c r="V559" s="663"/>
      <c r="W559" s="42" t="s">
        <v>0</v>
      </c>
      <c r="X559" s="43">
        <f>GrossWeightTotal+PalletQtyTotal*25</f>
        <v>427.22</v>
      </c>
      <c r="Y559" s="43">
        <f>GrossWeightTotalR+PalletQtyTotalR*25</f>
        <v>427.22</v>
      </c>
      <c r="Z559" s="42"/>
      <c r="AA559" s="67"/>
      <c r="AB559" s="67"/>
      <c r="AC559" s="67"/>
    </row>
    <row r="560" spans="1:68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4"/>
      <c r="P560" s="661" t="s">
        <v>37</v>
      </c>
      <c r="Q560" s="662"/>
      <c r="R560" s="662"/>
      <c r="S560" s="662"/>
      <c r="T560" s="662"/>
      <c r="U560" s="662"/>
      <c r="V560" s="663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26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26</v>
      </c>
      <c r="Z560" s="42"/>
      <c r="AA560" s="67"/>
      <c r="AB560" s="67"/>
      <c r="AC560" s="67"/>
    </row>
    <row r="561" spans="1:32" ht="14.25" hidden="1" x14ac:dyDescent="0.2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64"/>
      <c r="P561" s="661" t="s">
        <v>38</v>
      </c>
      <c r="Q561" s="662"/>
      <c r="R561" s="662"/>
      <c r="S561" s="662"/>
      <c r="T561" s="662"/>
      <c r="U561" s="662"/>
      <c r="V561" s="663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0.5655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75</v>
      </c>
      <c r="C563" s="85" t="s">
        <v>45</v>
      </c>
      <c r="D563" s="652" t="s">
        <v>119</v>
      </c>
      <c r="E563" s="652" t="s">
        <v>119</v>
      </c>
      <c r="F563" s="652" t="s">
        <v>119</v>
      </c>
      <c r="G563" s="652" t="s">
        <v>119</v>
      </c>
      <c r="H563" s="652" t="s">
        <v>119</v>
      </c>
      <c r="I563" s="652" t="s">
        <v>119</v>
      </c>
      <c r="J563" s="652" t="s">
        <v>119</v>
      </c>
      <c r="K563" s="652" t="s">
        <v>345</v>
      </c>
      <c r="L563" s="652" t="s">
        <v>345</v>
      </c>
      <c r="M563" s="652" t="s">
        <v>345</v>
      </c>
      <c r="N563" s="653"/>
      <c r="O563" s="652" t="s">
        <v>345</v>
      </c>
      <c r="P563" s="652" t="s">
        <v>345</v>
      </c>
      <c r="Q563" s="652" t="s">
        <v>345</v>
      </c>
      <c r="R563" s="652" t="s">
        <v>345</v>
      </c>
      <c r="S563" s="652" t="s">
        <v>345</v>
      </c>
      <c r="T563" s="652" t="s">
        <v>345</v>
      </c>
      <c r="U563" s="652" t="s">
        <v>345</v>
      </c>
      <c r="V563" s="652" t="s">
        <v>345</v>
      </c>
      <c r="W563" s="652" t="s">
        <v>700</v>
      </c>
      <c r="X563" s="652" t="s">
        <v>700</v>
      </c>
      <c r="Y563" s="652" t="s">
        <v>766</v>
      </c>
      <c r="Z563" s="652" t="s">
        <v>766</v>
      </c>
      <c r="AA563" s="85" t="s">
        <v>802</v>
      </c>
      <c r="AB563" s="652" t="s">
        <v>849</v>
      </c>
      <c r="AC563" s="652" t="s">
        <v>849</v>
      </c>
      <c r="AF563" s="1"/>
    </row>
    <row r="564" spans="1:32" ht="14.25" customHeight="1" thickTop="1" x14ac:dyDescent="0.2">
      <c r="A564" s="654" t="s">
        <v>10</v>
      </c>
      <c r="B564" s="652" t="s">
        <v>75</v>
      </c>
      <c r="C564" s="652" t="s">
        <v>103</v>
      </c>
      <c r="D564" s="652" t="s">
        <v>120</v>
      </c>
      <c r="E564" s="652" t="s">
        <v>136</v>
      </c>
      <c r="F564" s="652" t="s">
        <v>186</v>
      </c>
      <c r="G564" s="652" t="s">
        <v>209</v>
      </c>
      <c r="H564" s="652" t="s">
        <v>249</v>
      </c>
      <c r="I564" s="652" t="s">
        <v>262</v>
      </c>
      <c r="J564" s="652" t="s">
        <v>119</v>
      </c>
      <c r="K564" s="652" t="s">
        <v>346</v>
      </c>
      <c r="L564" s="652" t="s">
        <v>367</v>
      </c>
      <c r="M564" s="652" t="s">
        <v>441</v>
      </c>
      <c r="N564" s="1"/>
      <c r="O564" s="652" t="s">
        <v>509</v>
      </c>
      <c r="P564" s="652" t="s">
        <v>538</v>
      </c>
      <c r="Q564" s="652" t="s">
        <v>558</v>
      </c>
      <c r="R564" s="652" t="s">
        <v>567</v>
      </c>
      <c r="S564" s="652" t="s">
        <v>588</v>
      </c>
      <c r="T564" s="652" t="s">
        <v>597</v>
      </c>
      <c r="U564" s="652" t="s">
        <v>683</v>
      </c>
      <c r="V564" s="652" t="s">
        <v>690</v>
      </c>
      <c r="W564" s="652" t="s">
        <v>701</v>
      </c>
      <c r="X564" s="652" t="s">
        <v>750</v>
      </c>
      <c r="Y564" s="652" t="s">
        <v>767</v>
      </c>
      <c r="Z564" s="652" t="s">
        <v>790</v>
      </c>
      <c r="AA564" s="652" t="s">
        <v>802</v>
      </c>
      <c r="AB564" s="652" t="s">
        <v>849</v>
      </c>
      <c r="AC564" s="652" t="s">
        <v>865</v>
      </c>
      <c r="AF564" s="1"/>
    </row>
    <row r="565" spans="1:32" ht="13.5" thickBot="1" x14ac:dyDescent="0.25">
      <c r="A565" s="655"/>
      <c r="B565" s="652"/>
      <c r="C565" s="652"/>
      <c r="D565" s="652"/>
      <c r="E565" s="652"/>
      <c r="F565" s="652"/>
      <c r="G565" s="652"/>
      <c r="H565" s="652"/>
      <c r="I565" s="652"/>
      <c r="J565" s="652"/>
      <c r="K565" s="652"/>
      <c r="L565" s="652"/>
      <c r="M565" s="652"/>
      <c r="N565" s="1"/>
      <c r="O565" s="652"/>
      <c r="P565" s="652"/>
      <c r="Q565" s="652"/>
      <c r="R565" s="652"/>
      <c r="S565" s="652"/>
      <c r="T565" s="652"/>
      <c r="U565" s="652"/>
      <c r="V565" s="652"/>
      <c r="W565" s="652"/>
      <c r="X565" s="652"/>
      <c r="Y565" s="652"/>
      <c r="Z565" s="652"/>
      <c r="AA565" s="652"/>
      <c r="AB565" s="652"/>
      <c r="AC565" s="652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390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6,00"/>
        <filter val="390,00"/>
        <filter val="402,22"/>
        <filter val="427,22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9" spans="2:8" x14ac:dyDescent="0.2">
      <c r="B9" s="53" t="s">
        <v>881</v>
      </c>
      <c r="C9" s="53" t="s">
        <v>882</v>
      </c>
      <c r="D9" s="53" t="s">
        <v>883</v>
      </c>
      <c r="E9" s="53" t="s">
        <v>46</v>
      </c>
    </row>
    <row r="10" spans="2:8" x14ac:dyDescent="0.2">
      <c r="B10" s="53" t="s">
        <v>884</v>
      </c>
      <c r="C10" s="53" t="s">
        <v>885</v>
      </c>
      <c r="D10" s="53" t="s">
        <v>886</v>
      </c>
      <c r="E10" s="53" t="s">
        <v>46</v>
      </c>
    </row>
    <row r="11" spans="2:8" x14ac:dyDescent="0.2">
      <c r="B11" s="53" t="s">
        <v>887</v>
      </c>
      <c r="C11" s="53" t="s">
        <v>888</v>
      </c>
      <c r="D11" s="53" t="s">
        <v>889</v>
      </c>
      <c r="E11" s="53" t="s">
        <v>46</v>
      </c>
    </row>
    <row r="12" spans="2:8" x14ac:dyDescent="0.2">
      <c r="B12" s="53" t="s">
        <v>890</v>
      </c>
      <c r="C12" s="53" t="s">
        <v>891</v>
      </c>
      <c r="D12" s="53" t="s">
        <v>892</v>
      </c>
      <c r="E12" s="53" t="s">
        <v>46</v>
      </c>
    </row>
    <row r="14" spans="2:8" x14ac:dyDescent="0.2">
      <c r="B14" s="53" t="s">
        <v>893</v>
      </c>
      <c r="C14" s="53" t="s">
        <v>873</v>
      </c>
      <c r="D14" s="53" t="s">
        <v>46</v>
      </c>
      <c r="E14" s="53" t="s">
        <v>46</v>
      </c>
    </row>
    <row r="16" spans="2:8" x14ac:dyDescent="0.2">
      <c r="B16" s="53" t="s">
        <v>894</v>
      </c>
      <c r="C16" s="53" t="s">
        <v>876</v>
      </c>
      <c r="D16" s="53" t="s">
        <v>46</v>
      </c>
      <c r="E16" s="53" t="s">
        <v>46</v>
      </c>
    </row>
    <row r="18" spans="2:5" x14ac:dyDescent="0.2">
      <c r="B18" s="53" t="s">
        <v>895</v>
      </c>
      <c r="C18" s="53" t="s">
        <v>879</v>
      </c>
      <c r="D18" s="53" t="s">
        <v>46</v>
      </c>
      <c r="E18" s="53" t="s">
        <v>46</v>
      </c>
    </row>
    <row r="20" spans="2:5" x14ac:dyDescent="0.2">
      <c r="B20" s="53" t="s">
        <v>896</v>
      </c>
      <c r="C20" s="53" t="s">
        <v>882</v>
      </c>
      <c r="D20" s="53" t="s">
        <v>46</v>
      </c>
      <c r="E20" s="53" t="s">
        <v>46</v>
      </c>
    </row>
    <row r="22" spans="2:5" x14ac:dyDescent="0.2">
      <c r="B22" s="53" t="s">
        <v>897</v>
      </c>
      <c r="C22" s="53" t="s">
        <v>885</v>
      </c>
      <c r="D22" s="53" t="s">
        <v>46</v>
      </c>
      <c r="E22" s="53" t="s">
        <v>46</v>
      </c>
    </row>
    <row r="24" spans="2:5" x14ac:dyDescent="0.2">
      <c r="B24" s="53" t="s">
        <v>898</v>
      </c>
      <c r="C24" s="53" t="s">
        <v>888</v>
      </c>
      <c r="D24" s="53" t="s">
        <v>46</v>
      </c>
      <c r="E24" s="53" t="s">
        <v>46</v>
      </c>
    </row>
    <row r="26" spans="2:5" x14ac:dyDescent="0.2">
      <c r="B26" s="53" t="s">
        <v>899</v>
      </c>
      <c r="C26" s="53" t="s">
        <v>891</v>
      </c>
      <c r="D26" s="53" t="s">
        <v>46</v>
      </c>
      <c r="E26" s="53" t="s">
        <v>46</v>
      </c>
    </row>
    <row r="28" spans="2:5" x14ac:dyDescent="0.2">
      <c r="B28" s="53" t="s">
        <v>900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904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905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906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907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908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909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910</v>
      </c>
      <c r="C38" s="53" t="s">
        <v>46</v>
      </c>
      <c r="D38" s="53" t="s">
        <v>46</v>
      </c>
      <c r="E38" s="53" t="s">
        <v>46</v>
      </c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2026-09-24T06:50:17Z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