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799187-A908-497B-885C-F76BC19694C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N555" i="2" s="1"/>
  <c r="BO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Y542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Y75" i="2" s="1"/>
  <c r="P72" i="2"/>
  <c r="X70" i="2"/>
  <c r="X69" i="2"/>
  <c r="BO68" i="2"/>
  <c r="BM68" i="2"/>
  <c r="Y68" i="2"/>
  <c r="BN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Y323" i="2" l="1"/>
  <c r="Y92" i="2"/>
  <c r="Z68" i="2"/>
  <c r="BP276" i="2"/>
  <c r="Z175" i="2"/>
  <c r="Z27" i="2"/>
  <c r="BN27" i="2"/>
  <c r="BP97" i="2"/>
  <c r="Z227" i="2"/>
  <c r="BN227" i="2"/>
  <c r="BP366" i="2"/>
  <c r="Z48" i="2"/>
  <c r="BP79" i="2"/>
  <c r="Z115" i="2"/>
  <c r="BN115" i="2"/>
  <c r="Z193" i="2"/>
  <c r="Z194" i="2" s="1"/>
  <c r="Z254" i="2"/>
  <c r="Z255" i="2" s="1"/>
  <c r="Z289" i="2"/>
  <c r="BN289" i="2"/>
  <c r="Z397" i="2"/>
  <c r="Z433" i="2"/>
  <c r="BP504" i="2"/>
  <c r="Z59" i="2"/>
  <c r="Y81" i="2"/>
  <c r="Z141" i="2"/>
  <c r="BN141" i="2"/>
  <c r="Y143" i="2"/>
  <c r="Z180" i="2"/>
  <c r="Y195" i="2"/>
  <c r="BP286" i="2"/>
  <c r="Z344" i="2"/>
  <c r="Z390" i="2"/>
  <c r="BN390" i="2"/>
  <c r="Z403" i="2"/>
  <c r="Z421" i="2"/>
  <c r="Z459" i="2"/>
  <c r="BN459" i="2"/>
  <c r="Z507" i="2"/>
  <c r="BN23" i="2"/>
  <c r="BN28" i="2"/>
  <c r="BN40" i="2"/>
  <c r="BN61" i="2"/>
  <c r="BN80" i="2"/>
  <c r="BN96" i="2"/>
  <c r="Z39" i="2"/>
  <c r="Y52" i="2"/>
  <c r="Z72" i="2"/>
  <c r="BN72" i="2"/>
  <c r="BP72" i="2"/>
  <c r="Z85" i="2"/>
  <c r="BN85" i="2"/>
  <c r="BP85" i="2"/>
  <c r="BN86" i="2"/>
  <c r="BP90" i="2"/>
  <c r="Y98" i="2"/>
  <c r="BN94" i="2"/>
  <c r="Z106" i="2"/>
  <c r="BN106" i="2"/>
  <c r="BP147" i="2"/>
  <c r="BN148" i="2"/>
  <c r="Z150" i="2"/>
  <c r="BN150" i="2"/>
  <c r="BN156" i="2"/>
  <c r="Z163" i="2"/>
  <c r="BN163" i="2"/>
  <c r="Z179" i="2"/>
  <c r="Z182" i="2"/>
  <c r="BN182" i="2"/>
  <c r="BN183" i="2"/>
  <c r="BP193" i="2"/>
  <c r="Y198" i="2"/>
  <c r="Z204" i="2"/>
  <c r="BN206" i="2"/>
  <c r="BN214" i="2"/>
  <c r="Z218" i="2"/>
  <c r="BN218" i="2"/>
  <c r="BN220" i="2"/>
  <c r="BN237" i="2"/>
  <c r="BN242" i="2"/>
  <c r="BP254" i="2"/>
  <c r="Y278" i="2"/>
  <c r="BN270" i="2"/>
  <c r="BN282" i="2"/>
  <c r="BN295" i="2"/>
  <c r="Z302" i="2"/>
  <c r="BN306" i="2"/>
  <c r="BN327" i="2"/>
  <c r="BP330" i="2"/>
  <c r="BN373" i="2"/>
  <c r="BN382" i="2"/>
  <c r="BP403" i="2"/>
  <c r="Y411" i="2"/>
  <c r="BP429" i="2"/>
  <c r="BN436" i="2"/>
  <c r="BN453" i="2"/>
  <c r="BN484" i="2"/>
  <c r="BN495" i="2"/>
  <c r="BP507" i="2"/>
  <c r="BN508" i="2"/>
  <c r="Z509" i="2"/>
  <c r="BN521" i="2"/>
  <c r="BP524" i="2"/>
  <c r="BN525" i="2"/>
  <c r="BN554" i="2"/>
  <c r="BP39" i="2"/>
  <c r="BN50" i="2"/>
  <c r="BN189" i="2"/>
  <c r="BN197" i="2"/>
  <c r="BN208" i="2"/>
  <c r="BN224" i="2"/>
  <c r="BN228" i="2"/>
  <c r="BN230" i="2"/>
  <c r="BN239" i="2"/>
  <c r="BN249" i="2"/>
  <c r="BN265" i="2"/>
  <c r="BN271" i="2"/>
  <c r="BN273" i="2"/>
  <c r="BN280" i="2"/>
  <c r="BN287" i="2"/>
  <c r="BN291" i="2"/>
  <c r="BP302" i="2"/>
  <c r="BN303" i="2"/>
  <c r="BN311" i="2"/>
  <c r="BN356" i="2"/>
  <c r="Y360" i="2"/>
  <c r="BN363" i="2"/>
  <c r="BN367" i="2"/>
  <c r="BN375" i="2"/>
  <c r="BN385" i="2"/>
  <c r="BN391" i="2"/>
  <c r="BN409" i="2"/>
  <c r="Y412" i="2"/>
  <c r="BN415" i="2"/>
  <c r="Z429" i="2"/>
  <c r="BN448" i="2"/>
  <c r="BN468" i="2"/>
  <c r="BP479" i="2"/>
  <c r="BN480" i="2"/>
  <c r="BN505" i="2"/>
  <c r="BN532" i="2"/>
  <c r="BN536" i="2"/>
  <c r="BN544" i="2"/>
  <c r="Y546" i="2"/>
  <c r="BN548" i="2"/>
  <c r="Z555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Z143" i="2" s="1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169" i="2" l="1"/>
  <c r="Z164" i="2"/>
  <c r="Z51" i="2"/>
  <c r="Z424" i="2"/>
  <c r="Z486" i="2"/>
  <c r="Z261" i="2"/>
  <c r="Z392" i="2"/>
  <c r="Z556" i="2"/>
  <c r="Z108" i="2"/>
  <c r="Z75" i="2"/>
  <c r="Z98" i="2"/>
  <c r="Z42" i="2"/>
  <c r="Z443" i="2"/>
  <c r="Z460" i="2"/>
  <c r="Z153" i="2"/>
  <c r="Y559" i="2"/>
  <c r="Z133" i="2"/>
  <c r="Z91" i="2"/>
  <c r="Z32" i="2"/>
  <c r="Z449" i="2"/>
  <c r="Z292" i="2"/>
  <c r="Z338" i="2"/>
  <c r="Z352" i="2"/>
  <c r="Y560" i="2"/>
  <c r="Y561" i="2" s="1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Z563" i="2" l="1"/>
</calcChain>
</file>

<file path=xl/sharedStrings.xml><?xml version="1.0" encoding="utf-8"?>
<sst xmlns="http://schemas.openxmlformats.org/spreadsheetml/2006/main" count="4283" uniqueCount="900">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</sst>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="96" zoomScaleNormal="96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899</v>
      </c>
      <c r="I5" s="995"/>
      <c r="J5" s="995"/>
      <c r="K5" s="995"/>
      <c r="L5" s="995"/>
      <c r="M5" s="995"/>
      <c r="N5" s="72"/>
      <c r="P5" s="27" t="s">
        <v>4</v>
      </c>
      <c r="Q5" s="997">
        <v>46281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882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Среда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3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70</v>
      </c>
      <c r="Y56" s="55">
        <f t="shared" si="0"/>
        <v>75.600000000000009</v>
      </c>
      <c r="Z56" s="41">
        <f>IFERROR(IF(Y56=0,"",ROUNDUP(Y56/H56,0)*0.01898),"")</f>
        <v>0.13286000000000001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72.657407407407405</v>
      </c>
      <c r="BN56" s="78">
        <f t="shared" si="2"/>
        <v>78.47</v>
      </c>
      <c r="BO56" s="78">
        <f t="shared" si="3"/>
        <v>0.10127314814814814</v>
      </c>
      <c r="BP56" s="78">
        <f t="shared" si="4"/>
        <v>0.109375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22.5</v>
      </c>
      <c r="Y61" s="55">
        <f t="shared" si="0"/>
        <v>22.5</v>
      </c>
      <c r="Z61" s="41">
        <f>IFERROR(IF(Y61=0,"",ROUNDUP(Y61/H61,0)*0.00902),"")</f>
        <v>4.5100000000000001E-2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23.450000000000003</v>
      </c>
      <c r="BN61" s="78">
        <f t="shared" si="2"/>
        <v>23.450000000000003</v>
      </c>
      <c r="BO61" s="78">
        <f t="shared" si="3"/>
        <v>3.787878787878788E-2</v>
      </c>
      <c r="BP61" s="78">
        <f t="shared" si="4"/>
        <v>3.787878787878788E-2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11.481481481481481</v>
      </c>
      <c r="Y62" s="43">
        <f>IFERROR(Y55/H55,"0")+IFERROR(Y56/H56,"0")+IFERROR(Y57/H57,"0")+IFERROR(Y58/H58,"0")+IFERROR(Y59/H59,"0")+IFERROR(Y60/H60,"0")+IFERROR(Y61/H61,"0")</f>
        <v>12</v>
      </c>
      <c r="Z62" s="43">
        <f>IFERROR(IF(Z55="",0,Z55),"0")+IFERROR(IF(Z56="",0,Z56),"0")+IFERROR(IF(Z57="",0,Z57),"0")+IFERROR(IF(Z58="",0,Z58),"0")+IFERROR(IF(Z59="",0,Z59),"0")+IFERROR(IF(Z60="",0,Z60),"0")+IFERROR(IF(Z61="",0,Z61),"0")</f>
        <v>0.17796000000000001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92.5</v>
      </c>
      <c r="Y63" s="43">
        <f>IFERROR(SUM(Y55:Y61),"0")</f>
        <v>98.100000000000009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30</v>
      </c>
      <c r="Y65" s="55">
        <f>IFERROR(IF(X65="",0,CEILING((X65/$H65),1)*$H65),"")</f>
        <v>32.400000000000006</v>
      </c>
      <c r="Z65" s="41">
        <f>IFERROR(IF(Y65=0,"",ROUNDUP(Y65/H65,0)*0.01898),"")</f>
        <v>5.6940000000000004E-2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31.138888888888889</v>
      </c>
      <c r="BN65" s="78">
        <f>IFERROR(Y65*I65/H65,"0")</f>
        <v>33.630000000000003</v>
      </c>
      <c r="BO65" s="78">
        <f>IFERROR(1/J65*(X65/H65),"0")</f>
        <v>4.3402777777777776E-2</v>
      </c>
      <c r="BP65" s="78">
        <f>IFERROR(1/J65*(Y65/H65),"0")</f>
        <v>4.6875000000000007E-2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13.5</v>
      </c>
      <c r="Y68" s="55">
        <f>IFERROR(IF(X68="",0,CEILING((X68/$H68),1)*$H68),"")</f>
        <v>13.5</v>
      </c>
      <c r="Z68" s="41">
        <f>IFERROR(IF(Y68=0,"",ROUNDUP(Y68/H68,0)*0.00651),"")</f>
        <v>3.2550000000000003E-2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14.399999999999997</v>
      </c>
      <c r="BN68" s="78">
        <f>IFERROR(Y68*I68/H68,"0")</f>
        <v>14.399999999999997</v>
      </c>
      <c r="BO68" s="78">
        <f>IFERROR(1/J68*(X68/H68),"0")</f>
        <v>2.7472527472527476E-2</v>
      </c>
      <c r="BP68" s="78">
        <f>IFERROR(1/J68*(Y68/H68),"0")</f>
        <v>2.7472527472527476E-2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7.7777777777777777</v>
      </c>
      <c r="Y69" s="43">
        <f>IFERROR(Y65/H65,"0")+IFERROR(Y66/H66,"0")+IFERROR(Y67/H67,"0")+IFERROR(Y68/H68,"0")</f>
        <v>8</v>
      </c>
      <c r="Z69" s="43">
        <f>IFERROR(IF(Z65="",0,Z65),"0")+IFERROR(IF(Z66="",0,Z66),"0")+IFERROR(IF(Z67="",0,Z67),"0")+IFERROR(IF(Z68="",0,Z68),"0")</f>
        <v>8.9490000000000014E-2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43.5</v>
      </c>
      <c r="Y70" s="43">
        <f>IFERROR(SUM(Y65:Y68),"0")</f>
        <v>45.900000000000006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50</v>
      </c>
      <c r="Y78" s="55">
        <f>IFERROR(IF(X78="",0,CEILING((X78/$H78),1)*$H78),"")</f>
        <v>54.6</v>
      </c>
      <c r="Z78" s="41">
        <f>IFERROR(IF(Y78=0,"",ROUNDUP(Y78/H78,0)*0.01898),"")</f>
        <v>0.13286000000000001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52.628205128205138</v>
      </c>
      <c r="BN78" s="78">
        <f>IFERROR(Y78*I78/H78,"0")</f>
        <v>57.470000000000013</v>
      </c>
      <c r="BO78" s="78">
        <f>IFERROR(1/J78*(X78/H78),"0")</f>
        <v>0.10016025641025642</v>
      </c>
      <c r="BP78" s="78">
        <f>IFERROR(1/J78*(Y78/H78),"0")</f>
        <v>0.109375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6.4102564102564106</v>
      </c>
      <c r="Y81" s="43">
        <f>IFERROR(Y78/H78,"0")+IFERROR(Y79/H79,"0")+IFERROR(Y80/H80,"0")</f>
        <v>7</v>
      </c>
      <c r="Z81" s="43">
        <f>IFERROR(IF(Z78="",0,Z78),"0")+IFERROR(IF(Z79="",0,Z79),"0")+IFERROR(IF(Z80="",0,Z80),"0")</f>
        <v>0.13286000000000001</v>
      </c>
      <c r="AA81" s="67"/>
      <c r="AB81" s="67"/>
      <c r="AC81" s="67"/>
    </row>
    <row r="82" spans="1:68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50</v>
      </c>
      <c r="Y82" s="43">
        <f>IFERROR(SUM(Y78:Y80),"0")</f>
        <v>54.6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70</v>
      </c>
      <c r="Y85" s="55">
        <f t="shared" ref="Y85:Y90" si="5">IFERROR(IF(X85="",0,CEILING((X85/$H85),1)*$H85),"")</f>
        <v>75.600000000000009</v>
      </c>
      <c r="Z85" s="41">
        <f>IFERROR(IF(Y85=0,"",ROUNDUP(Y85/H85,0)*0.01898),"")</f>
        <v>0.13286000000000001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72.657407407407405</v>
      </c>
      <c r="BN85" s="78">
        <f t="shared" ref="BN85:BN90" si="7">IFERROR(Y85*I85/H85,"0")</f>
        <v>78.47</v>
      </c>
      <c r="BO85" s="78">
        <f t="shared" ref="BO85:BO90" si="8">IFERROR(1/J85*(X85/H85),"0")</f>
        <v>0.10127314814814814</v>
      </c>
      <c r="BP85" s="78">
        <f t="shared" ref="BP85:BP90" si="9">IFERROR(1/J85*(Y85/H85),"0")</f>
        <v>0.109375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22.5</v>
      </c>
      <c r="Y89" s="55">
        <f t="shared" si="5"/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23.450000000000003</v>
      </c>
      <c r="BN89" s="78">
        <f t="shared" si="7"/>
        <v>23.450000000000003</v>
      </c>
      <c r="BO89" s="78">
        <f t="shared" si="8"/>
        <v>3.787878787878788E-2</v>
      </c>
      <c r="BP89" s="78">
        <f t="shared" si="9"/>
        <v>3.787878787878788E-2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11.481481481481481</v>
      </c>
      <c r="Y91" s="43">
        <f>IFERROR(Y85/H85,"0")+IFERROR(Y86/H86,"0")+IFERROR(Y87/H87,"0")+IFERROR(Y88/H88,"0")+IFERROR(Y89/H89,"0")+IFERROR(Y90/H90,"0")</f>
        <v>12</v>
      </c>
      <c r="Z91" s="43">
        <f>IFERROR(IF(Z85="",0,Z85),"0")+IFERROR(IF(Z86="",0,Z86),"0")+IFERROR(IF(Z87="",0,Z87),"0")+IFERROR(IF(Z88="",0,Z88),"0")+IFERROR(IF(Z89="",0,Z89),"0")+IFERROR(IF(Z90="",0,Z90),"0")</f>
        <v>0.17796000000000001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92.5</v>
      </c>
      <c r="Y92" s="43">
        <f>IFERROR(SUM(Y85:Y90),"0")</f>
        <v>98.100000000000009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19.8</v>
      </c>
      <c r="Y97" s="55">
        <f>IFERROR(IF(X97="",0,CEILING((X97/$H97),1)*$H97),"")</f>
        <v>19.8</v>
      </c>
      <c r="Z97" s="41">
        <f>IFERROR(IF(Y97=0,"",ROUNDUP(Y97/H97,0)*0.00651),"")</f>
        <v>6.5100000000000005E-2</v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22.380000000000003</v>
      </c>
      <c r="BN97" s="78">
        <f>IFERROR(Y97*I97/H97,"0")</f>
        <v>22.380000000000003</v>
      </c>
      <c r="BO97" s="78">
        <f>IFERROR(1/J97*(X97/H97),"0")</f>
        <v>5.4945054945054951E-2</v>
      </c>
      <c r="BP97" s="78">
        <f>IFERROR(1/J97*(Y97/H97),"0")</f>
        <v>5.4945054945054951E-2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10</v>
      </c>
      <c r="Y98" s="43">
        <f>IFERROR(Y94/H94,"0")+IFERROR(Y95/H95,"0")+IFERROR(Y96/H96,"0")+IFERROR(Y97/H97,"0")</f>
        <v>10</v>
      </c>
      <c r="Z98" s="43">
        <f>IFERROR(IF(Z94="",0,Z94),"0")+IFERROR(IF(Z95="",0,Z95),"0")+IFERROR(IF(Z96="",0,Z96),"0")+IFERROR(IF(Z97="",0,Z97),"0")</f>
        <v>6.5100000000000005E-2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19.8</v>
      </c>
      <c r="Y99" s="43">
        <f>IFERROR(SUM(Y94:Y97),"0")</f>
        <v>19.8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26.25</v>
      </c>
      <c r="Y104" s="55">
        <f t="shared" si="10"/>
        <v>26.25</v>
      </c>
      <c r="Z104" s="41">
        <f>IFERROR(IF(Y104=0,"",ROUNDUP(Y104/H104,0)*0.00902),"")</f>
        <v>6.3140000000000002E-2</v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27.58</v>
      </c>
      <c r="BN104" s="78">
        <f t="shared" si="12"/>
        <v>27.58</v>
      </c>
      <c r="BO104" s="78">
        <f t="shared" si="13"/>
        <v>5.3030303030303032E-2</v>
      </c>
      <c r="BP104" s="78">
        <f t="shared" si="14"/>
        <v>5.3030303030303032E-2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7</v>
      </c>
      <c r="Y108" s="43">
        <f>IFERROR(Y102/H102,"0")+IFERROR(Y103/H103,"0")+IFERROR(Y104/H104,"0")+IFERROR(Y105/H105,"0")+IFERROR(Y106/H106,"0")+IFERROR(Y107/H107,"0")</f>
        <v>7</v>
      </c>
      <c r="Z108" s="43">
        <f>IFERROR(IF(Z102="",0,Z102),"0")+IFERROR(IF(Z103="",0,Z103),"0")+IFERROR(IF(Z104="",0,Z104),"0")+IFERROR(IF(Z105="",0,Z105),"0")+IFERROR(IF(Z106="",0,Z106),"0")+IFERROR(IF(Z107="",0,Z107),"0")</f>
        <v>6.3140000000000002E-2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26.25</v>
      </c>
      <c r="Y109" s="43">
        <f>IFERROR(SUM(Y102:Y107),"0")</f>
        <v>26.25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121.5</v>
      </c>
      <c r="Y119" s="55">
        <f>IFERROR(IF(X119="",0,CEILING((X119/$H119),1)*$H119),"")</f>
        <v>121.5</v>
      </c>
      <c r="Z119" s="41">
        <f>IFERROR(IF(Y119=0,"",ROUNDUP(Y119/H119,0)*0.01898),"")</f>
        <v>0.28470000000000001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128.82</v>
      </c>
      <c r="BN119" s="78">
        <f>IFERROR(Y119*I119/H119,"0")</f>
        <v>128.82</v>
      </c>
      <c r="BO119" s="78">
        <f>IFERROR(1/J119*(X119/H119),"0")</f>
        <v>0.234375</v>
      </c>
      <c r="BP119" s="78">
        <f>IFERROR(1/J119*(Y119/H119),"0")</f>
        <v>0.234375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19.8</v>
      </c>
      <c r="Y120" s="55">
        <f>IFERROR(IF(X120="",0,CEILING((X120/$H120),1)*$H120),"")</f>
        <v>19.8</v>
      </c>
      <c r="Z120" s="41">
        <f>IFERROR(IF(Y120=0,"",ROUNDUP(Y120/H120,0)*0.00651),"")</f>
        <v>6.5100000000000005E-2</v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22.26</v>
      </c>
      <c r="BN120" s="78">
        <f>IFERROR(Y120*I120/H120,"0")</f>
        <v>22.26</v>
      </c>
      <c r="BO120" s="78">
        <f>IFERROR(1/J120*(X120/H120),"0")</f>
        <v>5.4945054945054951E-2</v>
      </c>
      <c r="BP120" s="78">
        <f>IFERROR(1/J120*(Y120/H120),"0")</f>
        <v>5.4945054945054951E-2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25</v>
      </c>
      <c r="Y123" s="43">
        <f>IFERROR(Y119/H119,"0")+IFERROR(Y120/H120,"0")+IFERROR(Y121/H121,"0")+IFERROR(Y122/H122,"0")</f>
        <v>25</v>
      </c>
      <c r="Z123" s="43">
        <f>IFERROR(IF(Z119="",0,Z119),"0")+IFERROR(IF(Z120="",0,Z120),"0")+IFERROR(IF(Z121="",0,Z121),"0")+IFERROR(IF(Z122="",0,Z122),"0")</f>
        <v>0.3498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141.30000000000001</v>
      </c>
      <c r="Y124" s="43">
        <f>IFERROR(SUM(Y119:Y122),"0")</f>
        <v>141.30000000000001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40</v>
      </c>
      <c r="Y174" s="55">
        <f t="shared" si="21"/>
        <v>42</v>
      </c>
      <c r="Z174" s="41">
        <f>IFERROR(IF(Y174=0,"",ROUNDUP(Y174/H174,0)*0.00902),"")</f>
        <v>0.10824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42.171428571428571</v>
      </c>
      <c r="BN174" s="78">
        <f t="shared" si="23"/>
        <v>44.279999999999994</v>
      </c>
      <c r="BO174" s="78">
        <f t="shared" si="24"/>
        <v>8.658008658008659E-2</v>
      </c>
      <c r="BP174" s="78">
        <f t="shared" si="25"/>
        <v>9.0909090909090912E-2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40</v>
      </c>
      <c r="Y176" s="55">
        <f t="shared" si="21"/>
        <v>42</v>
      </c>
      <c r="Z176" s="41">
        <f>IFERROR(IF(Y176=0,"",ROUNDUP(Y176/H176,0)*0.00902),"")</f>
        <v>0.10824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42.171428571428571</v>
      </c>
      <c r="BN176" s="78">
        <f t="shared" si="23"/>
        <v>44.279999999999994</v>
      </c>
      <c r="BO176" s="78">
        <f t="shared" si="24"/>
        <v>8.658008658008659E-2</v>
      </c>
      <c r="BP176" s="78">
        <f t="shared" si="25"/>
        <v>9.0909090909090912E-2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22.857142857142858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24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0.21648000000000001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80</v>
      </c>
      <c r="Y185" s="43">
        <f>IFERROR(SUM(Y172:Y183),"0")</f>
        <v>84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50</v>
      </c>
      <c r="Y209" s="55">
        <f t="shared" si="26"/>
        <v>54</v>
      </c>
      <c r="Z209" s="41">
        <f t="shared" si="27"/>
        <v>0.11388000000000001</v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52.833333333333336</v>
      </c>
      <c r="BN209" s="78">
        <f t="shared" si="29"/>
        <v>57.059999999999995</v>
      </c>
      <c r="BO209" s="78">
        <f t="shared" si="30"/>
        <v>8.6805555555555552E-2</v>
      </c>
      <c r="BP209" s="78">
        <f t="shared" si="31"/>
        <v>9.375E-2</v>
      </c>
    </row>
    <row r="210" spans="1:68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5.5555555555555554</v>
      </c>
      <c r="Y210" s="43">
        <f>IFERROR(Y203/H203,"0")+IFERROR(Y204/H204,"0")+IFERROR(Y205/H205,"0")+IFERROR(Y206/H206,"0")+IFERROR(Y207/H207,"0")+IFERROR(Y208/H208,"0")+IFERROR(Y209/H209,"0")</f>
        <v>6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0.11388000000000001</v>
      </c>
      <c r="AA210" s="67"/>
      <c r="AB210" s="67"/>
      <c r="AC210" s="67"/>
    </row>
    <row r="211" spans="1:68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50</v>
      </c>
      <c r="Y211" s="43">
        <f>IFERROR(SUM(Y203:Y209),"0")</f>
        <v>54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530</v>
      </c>
      <c r="Y218" s="55">
        <f t="shared" ref="Y218:Y232" si="32">IFERROR(IF(X218="",0,CEILING((X218/$H218),1)*$H218),"")</f>
        <v>533.4</v>
      </c>
      <c r="Z218" s="41">
        <f>IFERROR(IF(Y218=0,"",ROUNDUP(Y218/H218,0)*0.00902),"")</f>
        <v>1.14554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561.54761904761904</v>
      </c>
      <c r="BN218" s="78">
        <f t="shared" ref="BN218:BN232" si="34">IFERROR(Y218*I218/H218,"0")</f>
        <v>565.15</v>
      </c>
      <c r="BO218" s="78">
        <f t="shared" ref="BO218:BO232" si="35">IFERROR(1/J218*(X218/H218),"0")</f>
        <v>0.95598845598845605</v>
      </c>
      <c r="BP218" s="78">
        <f t="shared" ref="BP218:BP232" si="36">IFERROR(1/J218*(Y218/H218),"0")</f>
        <v>0.96212121212121204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80</v>
      </c>
      <c r="Y220" s="55">
        <f t="shared" si="32"/>
        <v>84</v>
      </c>
      <c r="Z220" s="41">
        <f>IFERROR(IF(Y220=0,"",ROUNDUP(Y220/H220,0)*0.00902),"")</f>
        <v>0.1804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83.619047619047606</v>
      </c>
      <c r="BN220" s="78">
        <f t="shared" si="34"/>
        <v>87.8</v>
      </c>
      <c r="BO220" s="78">
        <f t="shared" si="35"/>
        <v>0.14430014430014429</v>
      </c>
      <c r="BP220" s="78">
        <f t="shared" si="36"/>
        <v>0.15151515151515152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4</v>
      </c>
      <c r="Y221" s="55">
        <f t="shared" si="32"/>
        <v>4</v>
      </c>
      <c r="Z221" s="41">
        <f>IFERROR(IF(Y221=0,"",ROUNDUP(Y221/H221,0)*0.00556),"")</f>
        <v>2.7799999999999998E-2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4.6500000000000004</v>
      </c>
      <c r="BN221" s="78">
        <f t="shared" si="34"/>
        <v>4.6500000000000004</v>
      </c>
      <c r="BO221" s="78">
        <f t="shared" si="35"/>
        <v>1.984126984126984E-2</v>
      </c>
      <c r="BP221" s="78">
        <f t="shared" si="36"/>
        <v>1.984126984126984E-2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4</v>
      </c>
      <c r="Y228" s="55">
        <f t="shared" si="32"/>
        <v>4</v>
      </c>
      <c r="Z228" s="41">
        <f>IFERROR(IF(Y228=0,"",ROUNDUP(Y228/H228,0)*0.00417),"")</f>
        <v>2.085E-2</v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5.05</v>
      </c>
      <c r="BN228" s="78">
        <f t="shared" si="34"/>
        <v>5.05</v>
      </c>
      <c r="BO228" s="78">
        <f t="shared" si="35"/>
        <v>1.488095238095238E-2</v>
      </c>
      <c r="BP228" s="78">
        <f t="shared" si="36"/>
        <v>1.488095238095238E-2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155.23809523809524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157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1.3745900000000002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618</v>
      </c>
      <c r="Y234" s="43">
        <f>IFERROR(SUM(Y218:Y232),"0")</f>
        <v>625.4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6.3</v>
      </c>
      <c r="Y248" s="55">
        <f>IFERROR(IF(X248="",0,CEILING((X248/$H248),1)*$H248),"")</f>
        <v>6.3</v>
      </c>
      <c r="Z248" s="41">
        <f>IFERROR(IF(Y248=0,"",ROUNDUP(Y248/H248,0)*0.0059),"")</f>
        <v>2.9499999999999998E-2</v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7.25</v>
      </c>
      <c r="BN248" s="78">
        <f>IFERROR(Y248*I248/H248,"0")</f>
        <v>7.25</v>
      </c>
      <c r="BO248" s="78">
        <f>IFERROR(1/J248*(X248/H248),"0")</f>
        <v>2.3148148148148147E-2</v>
      </c>
      <c r="BP248" s="78">
        <f>IFERROR(1/J248*(Y248/H248),"0")</f>
        <v>2.3148148148148147E-2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6.3</v>
      </c>
      <c r="Y249" s="55">
        <f>IFERROR(IF(X249="",0,CEILING((X249/$H249),1)*$H249),"")</f>
        <v>6.3</v>
      </c>
      <c r="Z249" s="41">
        <f>IFERROR(IF(Y249=0,"",ROUNDUP(Y249/H249,0)*0.0059),"")</f>
        <v>2.9499999999999998E-2</v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7.25</v>
      </c>
      <c r="BN249" s="78">
        <f>IFERROR(Y249*I249/H249,"0")</f>
        <v>7.25</v>
      </c>
      <c r="BO249" s="78">
        <f>IFERROR(1/J249*(X249/H249),"0")</f>
        <v>2.3148148148148147E-2</v>
      </c>
      <c r="BP249" s="78">
        <f>IFERROR(1/J249*(Y249/H249),"0")</f>
        <v>2.3148148148148147E-2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10</v>
      </c>
      <c r="Y251" s="43">
        <f>IFERROR(Y248/H248,"0")+IFERROR(Y249/H249,"0")+IFERROR(Y250/H250,"0")</f>
        <v>10</v>
      </c>
      <c r="Z251" s="43">
        <f>IFERROR(IF(Z248="",0,Z248),"0")+IFERROR(IF(Z249="",0,Z249),"0")+IFERROR(IF(Z250="",0,Z250),"0")</f>
        <v>5.8999999999999997E-2</v>
      </c>
      <c r="AA251" s="67"/>
      <c r="AB251" s="67"/>
      <c r="AC251" s="67"/>
    </row>
    <row r="252" spans="1:68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12.6</v>
      </c>
      <c r="Y252" s="43">
        <f>IFERROR(SUM(Y248:Y250),"0")</f>
        <v>12.6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ref="Y269:Y276" si="43">IFERROR(IF(X269="",0,CEILING((X269/$H269),1)*$H269),"")</f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31.05555555555555</v>
      </c>
      <c r="BN269" s="78">
        <f t="shared" ref="BN269:BN276" si="45">IFERROR(Y269*I269/H269,"0")</f>
        <v>33.54</v>
      </c>
      <c r="BO269" s="78">
        <f t="shared" ref="BO269:BO276" si="46">IFERROR(1/J269*(X269/H269),"0")</f>
        <v>4.208754208754209E-2</v>
      </c>
      <c r="BP269" s="78">
        <f t="shared" ref="BP269:BP276" si="47">IFERROR(1/J269*(Y269/H269),"0")</f>
        <v>4.5454545454545463E-2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30</v>
      </c>
      <c r="Y270" s="55">
        <f t="shared" si="43"/>
        <v>32.400000000000006</v>
      </c>
      <c r="Z270" s="41">
        <f>IFERROR(IF(Y270=0,"",ROUNDUP(Y270/H270,0)*0.00902),"")</f>
        <v>5.4120000000000001E-2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31.05555555555555</v>
      </c>
      <c r="BN270" s="78">
        <f t="shared" si="45"/>
        <v>33.54</v>
      </c>
      <c r="BO270" s="78">
        <f t="shared" si="46"/>
        <v>4.208754208754209E-2</v>
      </c>
      <c r="BP270" s="78">
        <f t="shared" si="47"/>
        <v>4.5454545454545463E-2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43"/>
        <v>32.400000000000006</v>
      </c>
      <c r="Z271" s="41">
        <f>IFERROR(IF(Y271=0,"",ROUNDUP(Y271/H271,0)*0.00902),"")</f>
        <v>5.4120000000000001E-2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31.05555555555555</v>
      </c>
      <c r="BN271" s="78">
        <f t="shared" si="45"/>
        <v>33.54</v>
      </c>
      <c r="BO271" s="78">
        <f t="shared" si="46"/>
        <v>4.208754208754209E-2</v>
      </c>
      <c r="BP271" s="78">
        <f t="shared" si="47"/>
        <v>4.5454545454545463E-2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16.666666666666664</v>
      </c>
      <c r="Y277" s="43">
        <f>IFERROR(Y269/H269,"0")+IFERROR(Y270/H270,"0")+IFERROR(Y271/H271,"0")+IFERROR(Y272/H272,"0")+IFERROR(Y273/H273,"0")+IFERROR(Y274/H274,"0")+IFERROR(Y275/H275,"0")+IFERROR(Y276/H276,"0")</f>
        <v>18.000000000000004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0.16236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90</v>
      </c>
      <c r="Y278" s="43">
        <f>IFERROR(SUM(Y269:Y276),"0")</f>
        <v>97.200000000000017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30</v>
      </c>
      <c r="Y282" s="55">
        <f t="shared" si="48"/>
        <v>34.799999999999997</v>
      </c>
      <c r="Z282" s="41">
        <f>IFERROR(IF(Y282=0,"",ROUNDUP(Y282/H282,0)*0.01898),"")</f>
        <v>7.5920000000000001E-2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31.703448275862076</v>
      </c>
      <c r="BN282" s="78">
        <f t="shared" si="50"/>
        <v>36.776000000000003</v>
      </c>
      <c r="BO282" s="78">
        <f t="shared" si="51"/>
        <v>5.387931034482759E-2</v>
      </c>
      <c r="BP282" s="78">
        <f t="shared" si="52"/>
        <v>6.25E-2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24</v>
      </c>
      <c r="Y283" s="55">
        <f t="shared" si="48"/>
        <v>24</v>
      </c>
      <c r="Z283" s="41">
        <f>IFERROR(IF(Y283=0,"",ROUNDUP(Y283/H283,0)*0.00651),"")</f>
        <v>6.5100000000000005E-2</v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26.7</v>
      </c>
      <c r="BN283" s="78">
        <f t="shared" si="50"/>
        <v>26.7</v>
      </c>
      <c r="BO283" s="78">
        <f t="shared" si="51"/>
        <v>5.4945054945054951E-2</v>
      </c>
      <c r="BP283" s="78">
        <f t="shared" si="52"/>
        <v>5.4945054945054951E-2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13.448275862068966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14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0.14102000000000001</v>
      </c>
      <c r="AA292" s="67"/>
      <c r="AB292" s="67"/>
      <c r="AC292" s="67"/>
    </row>
    <row r="293" spans="1:68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54</v>
      </c>
      <c r="Y293" s="43">
        <f>IFERROR(SUM(Y280:Y291),"0")</f>
        <v>58.8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30</v>
      </c>
      <c r="Y302" s="55">
        <f t="shared" si="53"/>
        <v>34.799999999999997</v>
      </c>
      <c r="Z302" s="41">
        <f>IFERROR(IF(Y302=0,"",ROUNDUP(Y302/H302,0)*0.01898),"")</f>
        <v>5.6940000000000004E-2</v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31.06034482758621</v>
      </c>
      <c r="BN302" s="78">
        <f t="shared" si="55"/>
        <v>36.03</v>
      </c>
      <c r="BO302" s="78">
        <f t="shared" si="56"/>
        <v>4.0409482758620691E-2</v>
      </c>
      <c r="BP302" s="78">
        <f t="shared" si="57"/>
        <v>4.6875E-2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2.5862068965517242</v>
      </c>
      <c r="Y308" s="43">
        <f>IFERROR(Y301/H301,"0")+IFERROR(Y302/H302,"0")+IFERROR(Y303/H303,"0")+IFERROR(Y304/H304,"0")+IFERROR(Y305/H305,"0")+IFERROR(Y306/H306,"0")+IFERROR(Y307/H307,"0")</f>
        <v>3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5.6940000000000004E-2</v>
      </c>
      <c r="AA308" s="67"/>
      <c r="AB308" s="67"/>
      <c r="AC308" s="67"/>
    </row>
    <row r="309" spans="1:68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30</v>
      </c>
      <c r="Y309" s="43">
        <f>IFERROR(SUM(Y301:Y307),"0")</f>
        <v>34.799999999999997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9.9</v>
      </c>
      <c r="Y311" s="55">
        <f>IFERROR(IF(X311="",0,CEILING((X311/$H311),1)*$H311),"")</f>
        <v>9.9</v>
      </c>
      <c r="Z311" s="41">
        <f>IFERROR(IF(Y311=0,"",ROUNDUP(Y311/H311,0)*0.00502),"")</f>
        <v>2.5100000000000001E-2</v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10.400000000000002</v>
      </c>
      <c r="BN311" s="78">
        <f>IFERROR(Y311*I311/H311,"0")</f>
        <v>10.400000000000002</v>
      </c>
      <c r="BO311" s="78">
        <f>IFERROR(1/J311*(X311/H311),"0")</f>
        <v>2.1367521367521368E-2</v>
      </c>
      <c r="BP311" s="78">
        <f>IFERROR(1/J311*(Y311/H311),"0")</f>
        <v>2.1367521367521368E-2</v>
      </c>
    </row>
    <row r="312" spans="1:68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5</v>
      </c>
      <c r="Y312" s="43">
        <f>IFERROR(Y311/H311,"0")</f>
        <v>5</v>
      </c>
      <c r="Z312" s="43">
        <f>IFERROR(IF(Z311="",0,Z311),"0")</f>
        <v>2.5100000000000001E-2</v>
      </c>
      <c r="AA312" s="67"/>
      <c r="AB312" s="67"/>
      <c r="AC312" s="67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9.9</v>
      </c>
      <c r="Y313" s="43">
        <f>IFERROR(SUM(Y311:Y311),"0")</f>
        <v>9.9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9</v>
      </c>
      <c r="Y315" s="55">
        <f>IFERROR(IF(X315="",0,CEILING((X315/$H315),1)*$H315),"")</f>
        <v>9</v>
      </c>
      <c r="Z315" s="41">
        <f>IFERROR(IF(Y315=0,"",ROUNDUP(Y315/H315,0)*0.0059),"")</f>
        <v>2.9499999999999998E-2</v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9.8750000000000018</v>
      </c>
      <c r="BN315" s="78">
        <f>IFERROR(Y315*I315/H315,"0")</f>
        <v>9.8750000000000018</v>
      </c>
      <c r="BO315" s="78">
        <f>IFERROR(1/J315*(X315/H315),"0")</f>
        <v>2.3148148148148147E-2</v>
      </c>
      <c r="BP315" s="78">
        <f>IFERROR(1/J315*(Y315/H315),"0")</f>
        <v>2.3148148148148147E-2</v>
      </c>
    </row>
    <row r="316" spans="1:68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5</v>
      </c>
      <c r="Y316" s="43">
        <f>IFERROR(Y315/H315,"0")</f>
        <v>5</v>
      </c>
      <c r="Z316" s="43">
        <f>IFERROR(IF(Z315="",0,Z315),"0")</f>
        <v>2.9499999999999998E-2</v>
      </c>
      <c r="AA316" s="67"/>
      <c r="AB316" s="67"/>
      <c r="AC316" s="67"/>
    </row>
    <row r="317" spans="1:68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9</v>
      </c>
      <c r="Y317" s="43">
        <f>IFERROR(SUM(Y315:Y315),"0")</f>
        <v>9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9</v>
      </c>
      <c r="Y320" s="55">
        <f>IFERROR(IF(X320="",0,CEILING((X320/$H320),1)*$H320),"")</f>
        <v>9</v>
      </c>
      <c r="Z320" s="41">
        <f>IFERROR(IF(Y320=0,"",ROUNDUP(Y320/H320,0)*0.0059),"")</f>
        <v>2.9499999999999998E-2</v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9.8750000000000018</v>
      </c>
      <c r="BN320" s="78">
        <f>IFERROR(Y320*I320/H320,"0")</f>
        <v>9.8750000000000018</v>
      </c>
      <c r="BO320" s="78">
        <f>IFERROR(1/J320*(X320/H320),"0")</f>
        <v>2.3148148148148147E-2</v>
      </c>
      <c r="BP320" s="78">
        <f>IFERROR(1/J320*(Y320/H320),"0")</f>
        <v>2.3148148148148147E-2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4.5</v>
      </c>
      <c r="Y321" s="55">
        <f>IFERROR(IF(X321="",0,CEILING((X321/$H321),1)*$H321),"")</f>
        <v>4.5</v>
      </c>
      <c r="Z321" s="41">
        <f>IFERROR(IF(Y321=0,"",ROUNDUP(Y321/H321,0)*0.0059),"")</f>
        <v>2.9499999999999998E-2</v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5.45</v>
      </c>
      <c r="BN321" s="78">
        <f>IFERROR(Y321*I321/H321,"0")</f>
        <v>5.45</v>
      </c>
      <c r="BO321" s="78">
        <f>IFERROR(1/J321*(X321/H321),"0")</f>
        <v>2.3148148148148147E-2</v>
      </c>
      <c r="BP321" s="78">
        <f>IFERROR(1/J321*(Y321/H321),"0")</f>
        <v>2.3148148148148147E-2</v>
      </c>
    </row>
    <row r="322" spans="1:68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10</v>
      </c>
      <c r="Y322" s="43">
        <f>IFERROR(Y319/H319,"0")+IFERROR(Y320/H320,"0")+IFERROR(Y321/H321,"0")</f>
        <v>10</v>
      </c>
      <c r="Z322" s="43">
        <f>IFERROR(IF(Z319="",0,Z319),"0")+IFERROR(IF(Z320="",0,Z320),"0")+IFERROR(IF(Z321="",0,Z321),"0")</f>
        <v>5.8999999999999997E-2</v>
      </c>
      <c r="AA322" s="67"/>
      <c r="AB322" s="67"/>
      <c r="AC322" s="67"/>
    </row>
    <row r="323" spans="1:68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13.5</v>
      </c>
      <c r="Y323" s="43">
        <f>IFERROR(SUM(Y319:Y321),"0")</f>
        <v>13.5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30</v>
      </c>
      <c r="Y328" s="55">
        <f>IFERROR(IF(X328="",0,CEILING((X328/$H328),1)*$H328),"")</f>
        <v>32.400000000000006</v>
      </c>
      <c r="Z328" s="41">
        <f>IFERROR(IF(Y328=0,"",ROUNDUP(Y328/H328,0)*0.01898),"")</f>
        <v>5.6940000000000004E-2</v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31.138888888888889</v>
      </c>
      <c r="BN328" s="78">
        <f>IFERROR(Y328*I328/H328,"0")</f>
        <v>33.630000000000003</v>
      </c>
      <c r="BO328" s="78">
        <f>IFERROR(1/J328*(X328/H328),"0")</f>
        <v>4.3402777777777776E-2</v>
      </c>
      <c r="BP328" s="78">
        <f>IFERROR(1/J328*(Y328/H328),"0")</f>
        <v>4.6875000000000007E-2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2.7777777777777777</v>
      </c>
      <c r="Y331" s="43">
        <f>IFERROR(Y326/H326,"0")+IFERROR(Y327/H327,"0")+IFERROR(Y328/H328,"0")+IFERROR(Y329/H329,"0")+IFERROR(Y330/H330,"0")</f>
        <v>3.0000000000000004</v>
      </c>
      <c r="Z331" s="43">
        <f>IFERROR(IF(Z326="",0,Z326),"0")+IFERROR(IF(Z327="",0,Z327),"0")+IFERROR(IF(Z328="",0,Z328),"0")+IFERROR(IF(Z329="",0,Z329),"0")+IFERROR(IF(Z330="",0,Z330),"0")</f>
        <v>5.6940000000000004E-2</v>
      </c>
      <c r="AA331" s="67"/>
      <c r="AB331" s="67"/>
      <c r="AC331" s="67"/>
    </row>
    <row r="332" spans="1:68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30</v>
      </c>
      <c r="Y332" s="43">
        <f>IFERROR(SUM(Y326:Y330),"0")</f>
        <v>32.400000000000006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300</v>
      </c>
      <c r="Y363" s="55">
        <f t="shared" ref="Y363:Y368" si="58">IFERROR(IF(X363="",0,CEILING((X363/$H363),1)*$H363),"")</f>
        <v>302.40000000000003</v>
      </c>
      <c r="Z363" s="41">
        <f>IFERROR(IF(Y363=0,"",ROUNDUP(Y363/H363,0)*0.01898),"")</f>
        <v>0.53144000000000002</v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311.38888888888891</v>
      </c>
      <c r="BN363" s="78">
        <f t="shared" ref="BN363:BN368" si="60">IFERROR(Y363*I363/H363,"0")</f>
        <v>313.88</v>
      </c>
      <c r="BO363" s="78">
        <f t="shared" ref="BO363:BO368" si="61">IFERROR(1/J363*(X363/H363),"0")</f>
        <v>0.43402777777777773</v>
      </c>
      <c r="BP363" s="78">
        <f t="shared" ref="BP363:BP368" si="62">IFERROR(1/J363*(Y363/H363),"0")</f>
        <v>0.4375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40</v>
      </c>
      <c r="Y364" s="55">
        <f t="shared" si="58"/>
        <v>43.2</v>
      </c>
      <c r="Z364" s="41">
        <f>IFERROR(IF(Y364=0,"",ROUNDUP(Y364/H364,0)*0.01898),"")</f>
        <v>7.5920000000000001E-2</v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41.518518518518519</v>
      </c>
      <c r="BN364" s="78">
        <f t="shared" si="60"/>
        <v>44.84</v>
      </c>
      <c r="BO364" s="78">
        <f t="shared" si="61"/>
        <v>5.7870370370370364E-2</v>
      </c>
      <c r="BP364" s="78">
        <f t="shared" si="62"/>
        <v>6.25E-2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31.481481481481477</v>
      </c>
      <c r="Y369" s="43">
        <f>IFERROR(Y363/H363,"0")+IFERROR(Y364/H364,"0")+IFERROR(Y365/H365,"0")+IFERROR(Y366/H366,"0")+IFERROR(Y367/H367,"0")+IFERROR(Y368/H368,"0")</f>
        <v>32</v>
      </c>
      <c r="Z369" s="43">
        <f>IFERROR(IF(Z363="",0,Z363),"0")+IFERROR(IF(Z364="",0,Z364),"0")+IFERROR(IF(Z365="",0,Z365),"0")+IFERROR(IF(Z366="",0,Z366),"0")+IFERROR(IF(Z367="",0,Z367),"0")+IFERROR(IF(Z368="",0,Z368),"0")</f>
        <v>0.60736000000000001</v>
      </c>
      <c r="AA369" s="67"/>
      <c r="AB369" s="67"/>
      <c r="AC369" s="67"/>
    </row>
    <row r="370" spans="1:68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340</v>
      </c>
      <c r="Y370" s="43">
        <f>IFERROR(SUM(Y363:Y368),"0")</f>
        <v>345.6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30</v>
      </c>
      <c r="Y390" s="55">
        <f>IFERROR(IF(X390="",0,CEILING((X390/$H390),1)*$H390),"")</f>
        <v>31.2</v>
      </c>
      <c r="Z390" s="41">
        <f>IFERROR(IF(Y390=0,"",ROUNDUP(Y390/H390,0)*0.01898),"")</f>
        <v>7.5920000000000001E-2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31.900000000000002</v>
      </c>
      <c r="BN390" s="78">
        <f>IFERROR(Y390*I390/H390,"0")</f>
        <v>33.176000000000002</v>
      </c>
      <c r="BO390" s="78">
        <f>IFERROR(1/J390*(X390/H390),"0")</f>
        <v>6.0096153846153848E-2</v>
      </c>
      <c r="BP390" s="78">
        <f>IFERROR(1/J390*(Y390/H390),"0")</f>
        <v>6.25E-2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30</v>
      </c>
      <c r="Y391" s="55">
        <f>IFERROR(IF(X391="",0,CEILING((X391/$H391),1)*$H391),"")</f>
        <v>33.6</v>
      </c>
      <c r="Z391" s="41">
        <f>IFERROR(IF(Y391=0,"",ROUNDUP(Y391/H391,0)*0.01898),"")</f>
        <v>7.5920000000000001E-2</v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31.764285714285712</v>
      </c>
      <c r="BN391" s="78">
        <f>IFERROR(Y391*I391/H391,"0")</f>
        <v>35.576000000000001</v>
      </c>
      <c r="BO391" s="78">
        <f>IFERROR(1/J391*(X391/H391),"0")</f>
        <v>5.5803571428571425E-2</v>
      </c>
      <c r="BP391" s="78">
        <f>IFERROR(1/J391*(Y391/H391),"0")</f>
        <v>6.25E-2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7.4175824175824179</v>
      </c>
      <c r="Y392" s="43">
        <f>IFERROR(Y389/H389,"0")+IFERROR(Y390/H390,"0")+IFERROR(Y391/H391,"0")</f>
        <v>8</v>
      </c>
      <c r="Z392" s="43">
        <f>IFERROR(IF(Z389="",0,Z389),"0")+IFERROR(IF(Z390="",0,Z390),"0")+IFERROR(IF(Z391="",0,Z391),"0")</f>
        <v>0.15184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60</v>
      </c>
      <c r="Y393" s="43">
        <f>IFERROR(SUM(Y389:Y391),"0")</f>
        <v>64.8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7.65</v>
      </c>
      <c r="Y397" s="55">
        <f>IFERROR(IF(X397="",0,CEILING((X397/$H397),1)*$H397),"")</f>
        <v>7.6499999999999995</v>
      </c>
      <c r="Z397" s="41">
        <f>IFERROR(IF(Y397=0,"",ROUNDUP(Y397/H397,0)*0.00651),"")</f>
        <v>1.9529999999999999E-2</v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8.8650000000000002</v>
      </c>
      <c r="BN397" s="78">
        <f>IFERROR(Y397*I397/H397,"0")</f>
        <v>8.8650000000000002</v>
      </c>
      <c r="BO397" s="78">
        <f>IFERROR(1/J397*(X397/H397),"0")</f>
        <v>1.6483516483516487E-2</v>
      </c>
      <c r="BP397" s="78">
        <f>IFERROR(1/J397*(Y397/H397),"0")</f>
        <v>1.6483516483516484E-2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12.75</v>
      </c>
      <c r="Y398" s="55">
        <f>IFERROR(IF(X398="",0,CEILING((X398/$H398),1)*$H398),"")</f>
        <v>12.75</v>
      </c>
      <c r="Z398" s="41">
        <f>IFERROR(IF(Y398=0,"",ROUNDUP(Y398/H398,0)*0.00651),"")</f>
        <v>3.2550000000000003E-2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14.4</v>
      </c>
      <c r="BN398" s="78">
        <f>IFERROR(Y398*I398/H398,"0")</f>
        <v>14.4</v>
      </c>
      <c r="BO398" s="78">
        <f>IFERROR(1/J398*(X398/H398),"0")</f>
        <v>2.7472527472527476E-2</v>
      </c>
      <c r="BP398" s="78">
        <f>IFERROR(1/J398*(Y398/H398),"0")</f>
        <v>2.7472527472527476E-2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5.2080000000000001E-2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20.399999999999999</v>
      </c>
      <c r="Y400" s="43">
        <f>IFERROR(SUM(Y395:Y398),"0")</f>
        <v>20.399999999999999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21</v>
      </c>
      <c r="Y422" s="55">
        <f>IFERROR(IF(X422="",0,CEILING((X422/$H422),1)*$H422),"")</f>
        <v>21</v>
      </c>
      <c r="Z422" s="41">
        <f>IFERROR(IF(Y422=0,"",ROUNDUP(Y422/H422,0)*0.00651),"")</f>
        <v>6.5100000000000005E-2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23.519999999999996</v>
      </c>
      <c r="BN422" s="78">
        <f>IFERROR(Y422*I422/H422,"0")</f>
        <v>23.519999999999996</v>
      </c>
      <c r="BO422" s="78">
        <f>IFERROR(1/J422*(X422/H422),"0")</f>
        <v>5.4945054945054951E-2</v>
      </c>
      <c r="BP422" s="78">
        <f>IFERROR(1/J422*(Y422/H422),"0")</f>
        <v>5.4945054945054951E-2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21</v>
      </c>
      <c r="Y423" s="55">
        <f>IFERROR(IF(X423="",0,CEILING((X423/$H423),1)*$H423),"")</f>
        <v>21</v>
      </c>
      <c r="Z423" s="41">
        <f>IFERROR(IF(Y423=0,"",ROUNDUP(Y423/H423,0)*0.00651),"")</f>
        <v>6.5100000000000005E-2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23.4</v>
      </c>
      <c r="BN423" s="78">
        <f>IFERROR(Y423*I423/H423,"0")</f>
        <v>23.4</v>
      </c>
      <c r="BO423" s="78">
        <f>IFERROR(1/J423*(X423/H423),"0")</f>
        <v>5.4945054945054951E-2</v>
      </c>
      <c r="BP423" s="78">
        <f>IFERROR(1/J423*(Y423/H423),"0")</f>
        <v>5.4945054945054951E-2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20</v>
      </c>
      <c r="Y424" s="43">
        <f>IFERROR(Y421/H421,"0")+IFERROR(Y422/H422,"0")+IFERROR(Y423/H423,"0")</f>
        <v>20</v>
      </c>
      <c r="Z424" s="43">
        <f>IFERROR(IF(Z421="",0,Z421),"0")+IFERROR(IF(Z422="",0,Z422),"0")+IFERROR(IF(Z423="",0,Z423),"0")</f>
        <v>0.13020000000000001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42</v>
      </c>
      <c r="Y425" s="43">
        <f>IFERROR(SUM(Y421:Y423),"0")</f>
        <v>42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50</v>
      </c>
      <c r="Y429" s="55">
        <f t="shared" ref="Y429:Y436" si="68">IFERROR(IF(X429="",0,CEILING((X429/$H429),1)*$H429),"")</f>
        <v>60</v>
      </c>
      <c r="Z429" s="41">
        <f>IFERROR(IF(Y429=0,"",ROUNDUP(Y429/H429,0)*0.02175),"")</f>
        <v>8.6999999999999994E-2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51.56666666666667</v>
      </c>
      <c r="BN429" s="78">
        <f t="shared" ref="BN429:BN436" si="70">IFERROR(Y429*I429/H429,"0")</f>
        <v>61.88</v>
      </c>
      <c r="BO429" s="78">
        <f t="shared" ref="BO429:BO436" si="71">IFERROR(1/J429*(X429/H429),"0")</f>
        <v>6.9444444444444448E-2</v>
      </c>
      <c r="BP429" s="78">
        <f t="shared" ref="BP429:BP436" si="72">IFERROR(1/J429*(Y429/H429),"0")</f>
        <v>8.3333333333333329E-2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250</v>
      </c>
      <c r="Y430" s="55">
        <f t="shared" si="68"/>
        <v>255</v>
      </c>
      <c r="Z430" s="41">
        <f>IFERROR(IF(Y430=0,"",ROUNDUP(Y430/H430,0)*0.02175),"")</f>
        <v>0.36974999999999997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257.83333333333331</v>
      </c>
      <c r="BN430" s="78">
        <f t="shared" si="70"/>
        <v>262.99</v>
      </c>
      <c r="BO430" s="78">
        <f t="shared" si="71"/>
        <v>0.34722222222222221</v>
      </c>
      <c r="BP430" s="78">
        <f t="shared" si="72"/>
        <v>0.35416666666666663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30</v>
      </c>
      <c r="Y431" s="55">
        <f t="shared" si="68"/>
        <v>30</v>
      </c>
      <c r="Z431" s="41">
        <f>IFERROR(IF(Y431=0,"",ROUNDUP(Y431/H431,0)*0.02175),"")</f>
        <v>4.3499999999999997E-2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30.94</v>
      </c>
      <c r="BN431" s="78">
        <f t="shared" si="70"/>
        <v>30.94</v>
      </c>
      <c r="BO431" s="78">
        <f t="shared" si="71"/>
        <v>4.1666666666666664E-2</v>
      </c>
      <c r="BP431" s="78">
        <f t="shared" si="72"/>
        <v>4.1666666666666664E-2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500</v>
      </c>
      <c r="Y433" s="55">
        <f t="shared" si="68"/>
        <v>510</v>
      </c>
      <c r="Z433" s="41">
        <f>IFERROR(IF(Y433=0,"",ROUNDUP(Y433/H433,0)*0.02175),"")</f>
        <v>0.73949999999999994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515.66666666666663</v>
      </c>
      <c r="BN433" s="78">
        <f t="shared" si="70"/>
        <v>525.98</v>
      </c>
      <c r="BO433" s="78">
        <f t="shared" si="71"/>
        <v>0.69444444444444442</v>
      </c>
      <c r="BP433" s="78">
        <f t="shared" si="72"/>
        <v>0.70833333333333326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125</v>
      </c>
      <c r="Y435" s="55">
        <f t="shared" si="68"/>
        <v>125</v>
      </c>
      <c r="Z435" s="41">
        <f>IFERROR(IF(Y435=0,"",ROUNDUP(Y435/H435,0)*0.00902),"")</f>
        <v>0.22550000000000001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129.75</v>
      </c>
      <c r="BN435" s="78">
        <f t="shared" si="70"/>
        <v>129.75</v>
      </c>
      <c r="BO435" s="78">
        <f t="shared" si="71"/>
        <v>0.18939393939393939</v>
      </c>
      <c r="BP435" s="78">
        <f t="shared" si="72"/>
        <v>0.18939393939393939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25</v>
      </c>
      <c r="Y436" s="55">
        <f t="shared" si="68"/>
        <v>25</v>
      </c>
      <c r="Z436" s="41">
        <f>IFERROR(IF(Y436=0,"",ROUNDUP(Y436/H436,0)*0.00902),"")</f>
        <v>4.5100000000000001E-2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25.95</v>
      </c>
      <c r="BN436" s="78">
        <f t="shared" si="70"/>
        <v>25.95</v>
      </c>
      <c r="BO436" s="78">
        <f t="shared" si="71"/>
        <v>3.787878787878788E-2</v>
      </c>
      <c r="BP436" s="78">
        <f t="shared" si="72"/>
        <v>3.787878787878788E-2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85.333333333333343</v>
      </c>
      <c r="Y437" s="43">
        <f>IFERROR(Y429/H429,"0")+IFERROR(Y430/H430,"0")+IFERROR(Y431/H431,"0")+IFERROR(Y432/H432,"0")+IFERROR(Y433/H433,"0")+IFERROR(Y434/H434,"0")+IFERROR(Y435/H435,"0")+IFERROR(Y436/H436,"0")</f>
        <v>87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1.5103499999999999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980</v>
      </c>
      <c r="Y438" s="43">
        <f>IFERROR(SUM(Y429:Y436),"0")</f>
        <v>1005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750</v>
      </c>
      <c r="Y440" s="55">
        <f>IFERROR(IF(X440="",0,CEILING((X440/$H440),1)*$H440),"")</f>
        <v>750</v>
      </c>
      <c r="Z440" s="41">
        <f>IFERROR(IF(Y440=0,"",ROUNDUP(Y440/H440,0)*0.02175),"")</f>
        <v>1.0874999999999999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773.5</v>
      </c>
      <c r="BN440" s="78">
        <f>IFERROR(Y440*I440/H440,"0")</f>
        <v>773.5</v>
      </c>
      <c r="BO440" s="78">
        <f>IFERROR(1/J440*(X440/H440),"0")</f>
        <v>1.0416666666666665</v>
      </c>
      <c r="BP440" s="78">
        <f>IFERROR(1/J440*(Y440/H440),"0")</f>
        <v>1.0416666666666665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30</v>
      </c>
      <c r="Y441" s="55">
        <f>IFERROR(IF(X441="",0,CEILING((X441/$H441),1)*$H441),"")</f>
        <v>30</v>
      </c>
      <c r="Z441" s="41">
        <f>IFERROR(IF(Y441=0,"",ROUNDUP(Y441/H441,0)*0.02175),"")</f>
        <v>4.3499999999999997E-2</v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30.94</v>
      </c>
      <c r="BN441" s="78">
        <f>IFERROR(Y441*I441/H441,"0")</f>
        <v>30.94</v>
      </c>
      <c r="BO441" s="78">
        <f>IFERROR(1/J441*(X441/H441),"0")</f>
        <v>4.1666666666666664E-2</v>
      </c>
      <c r="BP441" s="78">
        <f>IFERROR(1/J441*(Y441/H441),"0")</f>
        <v>4.1666666666666664E-2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52</v>
      </c>
      <c r="Y443" s="43">
        <f>IFERROR(Y440/H440,"0")+IFERROR(Y441/H441,"0")+IFERROR(Y442/H442,"0")</f>
        <v>52</v>
      </c>
      <c r="Z443" s="43">
        <f>IFERROR(IF(Z440="",0,Z440),"0")+IFERROR(IF(Z441="",0,Z441),"0")+IFERROR(IF(Z442="",0,Z442),"0")</f>
        <v>1.131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780</v>
      </c>
      <c r="Y444" s="43">
        <f>IFERROR(SUM(Y440:Y442),"0")</f>
        <v>780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70</v>
      </c>
      <c r="Y447" s="55">
        <f>IFERROR(IF(X447="",0,CEILING((X447/$H447),1)*$H447),"")</f>
        <v>72</v>
      </c>
      <c r="Z447" s="41">
        <f>IFERROR(IF(Y447=0,"",ROUNDUP(Y447/H447,0)*0.01898),"")</f>
        <v>0.15184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73.842222222222219</v>
      </c>
      <c r="BN447" s="78">
        <f>IFERROR(Y447*I447/H447,"0")</f>
        <v>75.951999999999998</v>
      </c>
      <c r="BO447" s="78">
        <f>IFERROR(1/J447*(X447/H447),"0")</f>
        <v>0.12152777777777778</v>
      </c>
      <c r="BP447" s="78">
        <f>IFERROR(1/J447*(Y447/H447),"0")</f>
        <v>0.125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7.7777777777777777</v>
      </c>
      <c r="Y449" s="43">
        <f>IFERROR(Y446/H446,"0")+IFERROR(Y447/H447,"0")+IFERROR(Y448/H448,"0")</f>
        <v>8</v>
      </c>
      <c r="Z449" s="43">
        <f>IFERROR(IF(Z446="",0,Z446),"0")+IFERROR(IF(Z447="",0,Z447),"0")+IFERROR(IF(Z448="",0,Z448),"0")</f>
        <v>0.15184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70</v>
      </c>
      <c r="Y450" s="43">
        <f>IFERROR(SUM(Y446:Y448),"0")</f>
        <v>72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30</v>
      </c>
      <c r="Y463" s="55">
        <f>IFERROR(IF(X463="",0,CEILING((X463/$H463),1)*$H463),"")</f>
        <v>33.6</v>
      </c>
      <c r="Z463" s="41">
        <f>IFERROR(IF(Y463=0,"",ROUNDUP(Y463/H463,0)*0.00902),"")</f>
        <v>7.2160000000000002E-2</v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31.785714285714285</v>
      </c>
      <c r="BN463" s="78">
        <f>IFERROR(Y463*I463/H463,"0")</f>
        <v>35.6</v>
      </c>
      <c r="BO463" s="78">
        <f>IFERROR(1/J463*(X463/H463),"0")</f>
        <v>5.4112554112554112E-2</v>
      </c>
      <c r="BP463" s="78">
        <f>IFERROR(1/J463*(Y463/H463),"0")</f>
        <v>6.0606060606060608E-2</v>
      </c>
    </row>
    <row r="464" spans="1:68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7.1428571428571423</v>
      </c>
      <c r="Y464" s="43">
        <f>IFERROR(Y463/H463,"0")</f>
        <v>8</v>
      </c>
      <c r="Z464" s="43">
        <f>IFERROR(IF(Z463="",0,Z463),"0")</f>
        <v>7.2160000000000002E-2</v>
      </c>
      <c r="AA464" s="67"/>
      <c r="AB464" s="67"/>
      <c r="AC464" s="67"/>
    </row>
    <row r="465" spans="1:68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30</v>
      </c>
      <c r="Y465" s="43">
        <f>IFERROR(SUM(Y463:Y463),"0")</f>
        <v>33.6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30</v>
      </c>
      <c r="Y502" s="55">
        <f t="shared" ref="Y502:Y510" si="78">IFERROR(IF(X502="",0,CEILING((X502/$H502),1)*$H502),"")</f>
        <v>31.68</v>
      </c>
      <c r="Z502" s="41">
        <f t="shared" ref="Z502:Z507" si="79">IFERROR(IF(Y502=0,"",ROUNDUP(Y502/H502,0)*0.01196),"")</f>
        <v>7.1760000000000004E-2</v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31.988636363636363</v>
      </c>
      <c r="BN502" s="78">
        <f t="shared" ref="BN502:BN510" si="81">IFERROR(Y502*I502/H502,"0")</f>
        <v>33.779999999999994</v>
      </c>
      <c r="BO502" s="78">
        <f t="shared" ref="BO502:BO510" si="82">IFERROR(1/J502*(X502/H502),"0")</f>
        <v>5.4632867132867136E-2</v>
      </c>
      <c r="BP502" s="78">
        <f t="shared" ref="BP502:BP510" si="83">IFERROR(1/J502*(Y502/H502),"0")</f>
        <v>5.7692307692307696E-2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40</v>
      </c>
      <c r="Y505" s="55">
        <f t="shared" si="78"/>
        <v>42.24</v>
      </c>
      <c r="Z505" s="41">
        <f t="shared" si="79"/>
        <v>9.5680000000000001E-2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42.651515151515149</v>
      </c>
      <c r="BN505" s="78">
        <f t="shared" si="81"/>
        <v>45.04</v>
      </c>
      <c r="BO505" s="78">
        <f t="shared" si="82"/>
        <v>7.2843822843822847E-2</v>
      </c>
      <c r="BP505" s="78">
        <f t="shared" si="83"/>
        <v>7.6923076923076927E-2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30</v>
      </c>
      <c r="Y507" s="55">
        <f t="shared" si="78"/>
        <v>31.68</v>
      </c>
      <c r="Z507" s="41">
        <f t="shared" si="79"/>
        <v>7.1760000000000004E-2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31.988636363636363</v>
      </c>
      <c r="BN507" s="78">
        <f t="shared" si="81"/>
        <v>33.779999999999994</v>
      </c>
      <c r="BO507" s="78">
        <f t="shared" si="82"/>
        <v>5.4632867132867136E-2</v>
      </c>
      <c r="BP507" s="78">
        <f t="shared" si="83"/>
        <v>5.7692307692307696E-2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18.939393939393938</v>
      </c>
      <c r="Y511" s="43">
        <f>IFERROR(Y502/H502,"0")+IFERROR(Y503/H503,"0")+IFERROR(Y504/H504,"0")+IFERROR(Y505/H505,"0")+IFERROR(Y506/H506,"0")+IFERROR(Y507/H507,"0")+IFERROR(Y508/H508,"0")+IFERROR(Y509/H509,"0")+IFERROR(Y510/H510,"0")</f>
        <v>20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0.23920000000000002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100</v>
      </c>
      <c r="Y512" s="43">
        <f>IFERROR(SUM(Y502:Y510),"0")</f>
        <v>105.6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30</v>
      </c>
      <c r="Y514" s="55">
        <f>IFERROR(IF(X514="",0,CEILING((X514/$H514),1)*$H514),"")</f>
        <v>31.68</v>
      </c>
      <c r="Z514" s="41">
        <f>IFERROR(IF(Y514=0,"",ROUNDUP(Y514/H514,0)*0.01196),"")</f>
        <v>7.1760000000000004E-2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31.988636363636363</v>
      </c>
      <c r="BN514" s="78">
        <f>IFERROR(Y514*I514/H514,"0")</f>
        <v>33.779999999999994</v>
      </c>
      <c r="BO514" s="78">
        <f>IFERROR(1/J514*(X514/H514),"0")</f>
        <v>5.4632867132867136E-2</v>
      </c>
      <c r="BP514" s="78">
        <f>IFERROR(1/J514*(Y514/H514),"0")</f>
        <v>5.7692307692307696E-2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5.6818181818181817</v>
      </c>
      <c r="Y517" s="43">
        <f>IFERROR(Y514/H514,"0")+IFERROR(Y515/H515,"0")+IFERROR(Y516/H516,"0")</f>
        <v>6</v>
      </c>
      <c r="Z517" s="43">
        <f>IFERROR(IF(Z514="",0,Z514),"0")+IFERROR(IF(Z515="",0,Z515),"0")+IFERROR(IF(Z516="",0,Z516),"0")</f>
        <v>7.1760000000000004E-2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30</v>
      </c>
      <c r="Y518" s="43">
        <f>IFERROR(SUM(Y514:Y516),"0")</f>
        <v>31.68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60</v>
      </c>
      <c r="Y520" s="55">
        <f t="shared" ref="Y520:Y526" si="84">IFERROR(IF(X520="",0,CEILING((X520/$H520),1)*$H520),"")</f>
        <v>63.36</v>
      </c>
      <c r="Z520" s="41">
        <f>IFERROR(IF(Y520=0,"",ROUNDUP(Y520/H520,0)*0.01196),"")</f>
        <v>0.14352000000000001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63.977272727272727</v>
      </c>
      <c r="BN520" s="78">
        <f t="shared" ref="BN520:BN526" si="86">IFERROR(Y520*I520/H520,"0")</f>
        <v>67.559999999999988</v>
      </c>
      <c r="BO520" s="78">
        <f t="shared" ref="BO520:BO526" si="87">IFERROR(1/J520*(X520/H520),"0")</f>
        <v>0.10926573426573427</v>
      </c>
      <c r="BP520" s="78">
        <f t="shared" ref="BP520:BP526" si="88">IFERROR(1/J520*(Y520/H520),"0")</f>
        <v>0.11538461538461539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30</v>
      </c>
      <c r="Y521" s="55">
        <f t="shared" si="84"/>
        <v>31.68</v>
      </c>
      <c r="Z521" s="41">
        <f>IFERROR(IF(Y521=0,"",ROUNDUP(Y521/H521,0)*0.01196),"")</f>
        <v>7.1760000000000004E-2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31.988636363636363</v>
      </c>
      <c r="BN521" s="78">
        <f t="shared" si="86"/>
        <v>33.779999999999994</v>
      </c>
      <c r="BO521" s="78">
        <f t="shared" si="87"/>
        <v>5.4632867132867136E-2</v>
      </c>
      <c r="BP521" s="78">
        <f t="shared" si="88"/>
        <v>5.7692307692307696E-2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50</v>
      </c>
      <c r="Y522" s="55">
        <f t="shared" si="84"/>
        <v>52.800000000000004</v>
      </c>
      <c r="Z522" s="41">
        <f>IFERROR(IF(Y522=0,"",ROUNDUP(Y522/H522,0)*0.01196),"")</f>
        <v>0.1196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53.314393939393938</v>
      </c>
      <c r="BN522" s="78">
        <f t="shared" si="86"/>
        <v>56.3</v>
      </c>
      <c r="BO522" s="78">
        <f t="shared" si="87"/>
        <v>9.1054778554778545E-2</v>
      </c>
      <c r="BP522" s="78">
        <f t="shared" si="88"/>
        <v>9.6153846153846159E-2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26.515151515151516</v>
      </c>
      <c r="Y527" s="43">
        <f>IFERROR(Y520/H520,"0")+IFERROR(Y521/H521,"0")+IFERROR(Y522/H522,"0")+IFERROR(Y523/H523,"0")+IFERROR(Y524/H524,"0")+IFERROR(Y525/H525,"0")+IFERROR(Y526/H526,"0")</f>
        <v>28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0.33488000000000001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140</v>
      </c>
      <c r="Y528" s="43">
        <f>IFERROR(SUM(Y520:Y526),"0")</f>
        <v>147.84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30</v>
      </c>
      <c r="Y540" s="55">
        <f>IFERROR(IF(X540="",0,CEILING((X540/$H540),1)*$H540),"")</f>
        <v>33.6</v>
      </c>
      <c r="Z540" s="41">
        <f>IFERROR(IF(Y540=0,"",ROUNDUP(Y540/H540,0)*0.00902),"")</f>
        <v>7.2160000000000002E-2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31.785714285714285</v>
      </c>
      <c r="BN540" s="78">
        <f>IFERROR(Y540*I540/H540,"0")</f>
        <v>35.6</v>
      </c>
      <c r="BO540" s="78">
        <f>IFERROR(1/J540*(X540/H540),"0")</f>
        <v>5.4112554112554112E-2</v>
      </c>
      <c r="BP540" s="78">
        <f>IFERROR(1/J540*(Y540/H540),"0")</f>
        <v>6.0606060606060608E-2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7.1428571428571423</v>
      </c>
      <c r="Y541" s="43">
        <f>IFERROR(Y540/H540,"0")</f>
        <v>8</v>
      </c>
      <c r="Z541" s="43">
        <f>IFERROR(IF(Z540="",0,Z540),"0")</f>
        <v>7.2160000000000002E-2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30</v>
      </c>
      <c r="Y542" s="43">
        <f>IFERROR(SUM(Y540:Y540),"0")</f>
        <v>33.6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4085.25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4197.7699999999995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4275.5488524885086</v>
      </c>
      <c r="Y559" s="43">
        <f>IFERROR(SUM(BN22:BN555),"0")</f>
        <v>4393.2650000000003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7</v>
      </c>
      <c r="Y560" s="44">
        <f>ROUNDUP(SUM(BP22:BP555),0)</f>
        <v>7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4450.5488524885086</v>
      </c>
      <c r="Y561" s="43">
        <f>GrossWeightTotalR+PalletQtyTotalR*25</f>
        <v>4568.2650000000003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605.71297093710871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621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7.8759500000000022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198.6</v>
      </c>
      <c r="F568" s="52">
        <f>IFERROR(Y85*1,"0")+IFERROR(Y86*1,"0")+IFERROR(Y87*1,"0")+IFERROR(Y88*1,"0")+IFERROR(Y89*1,"0")+IFERROR(Y90*1,"0")+IFERROR(Y94*1,"0")+IFERROR(Y95*1,"0")+IFERROR(Y96*1,"0")+IFERROR(Y97*1,"0")</f>
        <v>117.9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167.55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84</v>
      </c>
      <c r="K568" s="52">
        <f>IFERROR(Y203*1,"0")+IFERROR(Y204*1,"0")+IFERROR(Y205*1,"0")+IFERROR(Y206*1,"0")+IFERROR(Y207*1,"0")+IFERROR(Y208*1,"0")+IFERROR(Y209*1,"0")</f>
        <v>54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637.99999999999989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156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67.199999999999989</v>
      </c>
      <c r="P568" s="52">
        <f>IFERROR(Y326*1,"0")+IFERROR(Y327*1,"0")+IFERROR(Y328*1,"0")+IFERROR(Y329*1,"0")+IFERROR(Y330*1,"0")</f>
        <v>32.400000000000006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430.8</v>
      </c>
      <c r="U568" s="52">
        <f>IFERROR(Y415*1,"0")+IFERROR(Y416*1,"0")</f>
        <v>0</v>
      </c>
      <c r="V568" s="52">
        <f>IFERROR(Y421*1,"0")+IFERROR(Y422*1,"0")+IFERROR(Y423*1,"0")</f>
        <v>42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1857</v>
      </c>
      <c r="X568" s="52">
        <f>IFERROR(Y458*1,"0")+IFERROR(Y459*1,"0")+IFERROR(Y463*1,"0")+IFERROR(Y467*1,"0")+IFERROR(Y468*1,"0")+IFERROR(Y469*1,"0")</f>
        <v>33.6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285.12</v>
      </c>
      <c r="AB568" s="52">
        <f>IFERROR(Y532*1,"0")+IFERROR(Y536*1,"0")+IFERROR(Y540*1,"0")+IFERROR(Y544*1,"0")+IFERROR(Y548*1,"0")+IFERROR(Y549*1,"0")</f>
        <v>33.6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1,48"/>
        <filter val="12,60"/>
        <filter val="12,75"/>
        <filter val="121,50"/>
        <filter val="125,00"/>
        <filter val="13,45"/>
        <filter val="13,50"/>
        <filter val="140,00"/>
        <filter val="141,30"/>
        <filter val="155,24"/>
        <filter val="16,67"/>
        <filter val="18,94"/>
        <filter val="19,80"/>
        <filter val="2,59"/>
        <filter val="2,78"/>
        <filter val="20,00"/>
        <filter val="20,40"/>
        <filter val="21,00"/>
        <filter val="22,50"/>
        <filter val="22,86"/>
        <filter val="24,00"/>
        <filter val="25,00"/>
        <filter val="250,00"/>
        <filter val="26,25"/>
        <filter val="26,52"/>
        <filter val="30,00"/>
        <filter val="300,00"/>
        <filter val="31,48"/>
        <filter val="340,00"/>
        <filter val="4 085,25"/>
        <filter val="4 275,55"/>
        <filter val="4 450,55"/>
        <filter val="4,00"/>
        <filter val="4,50"/>
        <filter val="40,00"/>
        <filter val="42,00"/>
        <filter val="43,50"/>
        <filter val="5,00"/>
        <filter val="5,56"/>
        <filter val="5,68"/>
        <filter val="50,00"/>
        <filter val="500,00"/>
        <filter val="52,00"/>
        <filter val="530,00"/>
        <filter val="54,00"/>
        <filter val="6,30"/>
        <filter val="6,41"/>
        <filter val="60,00"/>
        <filter val="605,71"/>
        <filter val="618,00"/>
        <filter val="7"/>
        <filter val="7,00"/>
        <filter val="7,14"/>
        <filter val="7,42"/>
        <filter val="7,65"/>
        <filter val="7,78"/>
        <filter val="70,00"/>
        <filter val="750,00"/>
        <filter val="780,00"/>
        <filter val="8,00"/>
        <filter val="80,00"/>
        <filter val="85,33"/>
        <filter val="9,00"/>
        <filter val="9,90"/>
        <filter val="90,00"/>
        <filter val="92,50"/>
        <filter val="98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