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2F1EBFB-B2A1-4CEE-83DB-FA9A01C8076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O554" i="2"/>
  <c r="BM554" i="2"/>
  <c r="Y554" i="2"/>
  <c r="P554" i="2"/>
  <c r="X551" i="2"/>
  <c r="X550" i="2"/>
  <c r="BO549" i="2"/>
  <c r="BM549" i="2"/>
  <c r="Y549" i="2"/>
  <c r="BN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5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BO502" i="2"/>
  <c r="BM502" i="2"/>
  <c r="Y502" i="2"/>
  <c r="Z502" i="2" s="1"/>
  <c r="P502" i="2"/>
  <c r="X498" i="2"/>
  <c r="X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P478" i="2"/>
  <c r="BO477" i="2"/>
  <c r="BM477" i="2"/>
  <c r="Y477" i="2"/>
  <c r="Z477" i="2" s="1"/>
  <c r="P477" i="2"/>
  <c r="BO476" i="2"/>
  <c r="BM476" i="2"/>
  <c r="Y476" i="2"/>
  <c r="Z476" i="2" s="1"/>
  <c r="P476" i="2"/>
  <c r="BO475" i="2"/>
  <c r="BM475" i="2"/>
  <c r="Y475" i="2"/>
  <c r="BN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Y465" i="2" s="1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X425" i="2"/>
  <c r="X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P395" i="2"/>
  <c r="X393" i="2"/>
  <c r="X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BP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BN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BN335" i="2" s="1"/>
  <c r="P335" i="2"/>
  <c r="X332" i="2"/>
  <c r="X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BO288" i="2"/>
  <c r="BM288" i="2"/>
  <c r="Y288" i="2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Z282" i="2" s="1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Z249" i="2" s="1"/>
  <c r="P249" i="2"/>
  <c r="BO248" i="2"/>
  <c r="BM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BN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P97" i="2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Y81" i="2" s="1"/>
  <c r="P78" i="2"/>
  <c r="X76" i="2"/>
  <c r="X75" i="2"/>
  <c r="BO74" i="2"/>
  <c r="BM74" i="2"/>
  <c r="Y74" i="2"/>
  <c r="BN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Z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Y52" i="2" s="1"/>
  <c r="P47" i="2"/>
  <c r="X43" i="2"/>
  <c r="X42" i="2"/>
  <c r="BO41" i="2"/>
  <c r="BM41" i="2"/>
  <c r="Y41" i="2"/>
  <c r="BN41" i="2" s="1"/>
  <c r="P41" i="2"/>
  <c r="BO40" i="2"/>
  <c r="BM40" i="2"/>
  <c r="Y40" i="2"/>
  <c r="Z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9" i="2" s="1"/>
  <c r="D7" i="2"/>
  <c r="Q6" i="2"/>
  <c r="P2" i="2"/>
  <c r="BP524" i="2" l="1"/>
  <c r="AC568" i="2"/>
  <c r="Y278" i="2"/>
  <c r="Z182" i="2"/>
  <c r="BN182" i="2"/>
  <c r="BP90" i="2"/>
  <c r="Y98" i="2"/>
  <c r="Z150" i="2"/>
  <c r="BN150" i="2"/>
  <c r="Z302" i="2"/>
  <c r="Z72" i="2"/>
  <c r="BN72" i="2"/>
  <c r="Z218" i="2"/>
  <c r="BN218" i="2"/>
  <c r="Z459" i="2"/>
  <c r="BN459" i="2"/>
  <c r="Z39" i="2"/>
  <c r="Z85" i="2"/>
  <c r="BN85" i="2"/>
  <c r="Z106" i="2"/>
  <c r="BN106" i="2"/>
  <c r="BP147" i="2"/>
  <c r="Z163" i="2"/>
  <c r="BN163" i="2"/>
  <c r="Z179" i="2"/>
  <c r="Y198" i="2"/>
  <c r="Z204" i="2"/>
  <c r="BP330" i="2"/>
  <c r="Z421" i="2"/>
  <c r="Z433" i="2"/>
  <c r="Z509" i="2"/>
  <c r="BN79" i="2"/>
  <c r="BP79" i="2"/>
  <c r="BN86" i="2"/>
  <c r="BN94" i="2"/>
  <c r="BP115" i="2"/>
  <c r="BN115" i="2"/>
  <c r="Z115" i="2"/>
  <c r="BN148" i="2"/>
  <c r="BN156" i="2"/>
  <c r="BN175" i="2"/>
  <c r="Z175" i="2"/>
  <c r="BN183" i="2"/>
  <c r="BN206" i="2"/>
  <c r="BP227" i="2"/>
  <c r="BN227" i="2"/>
  <c r="Z227" i="2"/>
  <c r="BN237" i="2"/>
  <c r="Y256" i="2"/>
  <c r="Z254" i="2"/>
  <c r="Z255" i="2" s="1"/>
  <c r="BN270" i="2"/>
  <c r="BN327" i="2"/>
  <c r="BN382" i="2"/>
  <c r="Y411" i="2"/>
  <c r="Y412" i="2"/>
  <c r="BP408" i="2"/>
  <c r="BN436" i="2"/>
  <c r="BN508" i="2"/>
  <c r="BN521" i="2"/>
  <c r="BN525" i="2"/>
  <c r="BN23" i="2"/>
  <c r="Z27" i="2"/>
  <c r="BN27" i="2"/>
  <c r="BN28" i="2"/>
  <c r="BP39" i="2"/>
  <c r="BN40" i="2"/>
  <c r="Z48" i="2"/>
  <c r="BN50" i="2"/>
  <c r="Z59" i="2"/>
  <c r="BP61" i="2"/>
  <c r="BN61" i="2"/>
  <c r="BN68" i="2"/>
  <c r="Z68" i="2"/>
  <c r="BN97" i="2"/>
  <c r="BP97" i="2"/>
  <c r="BP141" i="2"/>
  <c r="BN141" i="2"/>
  <c r="Z141" i="2"/>
  <c r="BP180" i="2"/>
  <c r="Z180" i="2"/>
  <c r="Y194" i="2"/>
  <c r="Y195" i="2"/>
  <c r="Z193" i="2"/>
  <c r="Z194" i="2" s="1"/>
  <c r="BN214" i="2"/>
  <c r="BN220" i="2"/>
  <c r="BN242" i="2"/>
  <c r="BP254" i="2"/>
  <c r="BN276" i="2"/>
  <c r="BP276" i="2"/>
  <c r="BN282" i="2"/>
  <c r="BN286" i="2"/>
  <c r="BP286" i="2"/>
  <c r="BP289" i="2"/>
  <c r="BN289" i="2"/>
  <c r="Z289" i="2"/>
  <c r="BN295" i="2"/>
  <c r="BN306" i="2"/>
  <c r="BP344" i="2"/>
  <c r="Z344" i="2"/>
  <c r="BN366" i="2"/>
  <c r="BP366" i="2"/>
  <c r="BN373" i="2"/>
  <c r="BP390" i="2"/>
  <c r="BN390" i="2"/>
  <c r="Z390" i="2"/>
  <c r="BN397" i="2"/>
  <c r="Z397" i="2"/>
  <c r="BN403" i="2"/>
  <c r="Z403" i="2"/>
  <c r="BN429" i="2"/>
  <c r="Z429" i="2"/>
  <c r="BN453" i="2"/>
  <c r="BN479" i="2"/>
  <c r="BP479" i="2"/>
  <c r="BN484" i="2"/>
  <c r="BN495" i="2"/>
  <c r="BN504" i="2"/>
  <c r="BP504" i="2"/>
  <c r="BN507" i="2"/>
  <c r="Z507" i="2"/>
  <c r="Y541" i="2"/>
  <c r="Y542" i="2"/>
  <c r="BN554" i="2"/>
  <c r="BN555" i="2"/>
  <c r="Z555" i="2"/>
  <c r="Y75" i="2"/>
  <c r="BN80" i="2"/>
  <c r="Y92" i="2"/>
  <c r="BN96" i="2"/>
  <c r="Y143" i="2"/>
  <c r="BN189" i="2"/>
  <c r="BN197" i="2"/>
  <c r="BN208" i="2"/>
  <c r="BN224" i="2"/>
  <c r="BN228" i="2"/>
  <c r="BN230" i="2"/>
  <c r="BN239" i="2"/>
  <c r="BN249" i="2"/>
  <c r="BN265" i="2"/>
  <c r="BN271" i="2"/>
  <c r="BN273" i="2"/>
  <c r="BN280" i="2"/>
  <c r="BN287" i="2"/>
  <c r="BN291" i="2"/>
  <c r="BP302" i="2"/>
  <c r="BN303" i="2"/>
  <c r="BN311" i="2"/>
  <c r="BN356" i="2"/>
  <c r="Y360" i="2"/>
  <c r="BN363" i="2"/>
  <c r="BN367" i="2"/>
  <c r="BN375" i="2"/>
  <c r="BN385" i="2"/>
  <c r="BN391" i="2"/>
  <c r="BN409" i="2"/>
  <c r="BN415" i="2"/>
  <c r="BN448" i="2"/>
  <c r="BN468" i="2"/>
  <c r="BN480" i="2"/>
  <c r="BN505" i="2"/>
  <c r="BN532" i="2"/>
  <c r="BN536" i="2"/>
  <c r="BN544" i="2"/>
  <c r="Y546" i="2"/>
  <c r="BN548" i="2"/>
  <c r="J9" i="2"/>
  <c r="BP22" i="2"/>
  <c r="BP47" i="2"/>
  <c r="BP58" i="2"/>
  <c r="BN243" i="2"/>
  <c r="BP243" i="2"/>
  <c r="A10" i="2"/>
  <c r="BP28" i="2"/>
  <c r="Z38" i="2"/>
  <c r="BP38" i="2"/>
  <c r="Y42" i="2"/>
  <c r="Z47" i="2"/>
  <c r="BN48" i="2"/>
  <c r="Z58" i="2"/>
  <c r="BN59" i="2"/>
  <c r="BN73" i="2"/>
  <c r="Z74" i="2"/>
  <c r="BP74" i="2"/>
  <c r="Z95" i="2"/>
  <c r="BP95" i="2"/>
  <c r="Z103" i="2"/>
  <c r="BN105" i="2"/>
  <c r="Z112" i="2"/>
  <c r="BN113" i="2"/>
  <c r="Z114" i="2"/>
  <c r="BN126" i="2"/>
  <c r="Y127" i="2"/>
  <c r="Z136" i="2"/>
  <c r="Z138" i="2" s="1"/>
  <c r="BN152" i="2"/>
  <c r="BN162" i="2"/>
  <c r="Z173" i="2"/>
  <c r="BP173" i="2"/>
  <c r="BP225" i="2"/>
  <c r="BN225" i="2"/>
  <c r="Z225" i="2"/>
  <c r="Z229" i="2"/>
  <c r="BN229" i="2"/>
  <c r="BN259" i="2"/>
  <c r="BP259" i="2"/>
  <c r="Z259" i="2"/>
  <c r="Z272" i="2"/>
  <c r="BN272" i="2"/>
  <c r="BP285" i="2"/>
  <c r="BN285" i="2"/>
  <c r="BP320" i="2"/>
  <c r="BN320" i="2"/>
  <c r="BN336" i="2"/>
  <c r="BP336" i="2"/>
  <c r="Z336" i="2"/>
  <c r="BN346" i="2"/>
  <c r="BP346" i="2"/>
  <c r="Z346" i="2"/>
  <c r="BP446" i="2"/>
  <c r="Y450" i="2"/>
  <c r="BN447" i="2"/>
  <c r="BP447" i="2"/>
  <c r="Z447" i="2"/>
  <c r="Y486" i="2"/>
  <c r="BN485" i="2"/>
  <c r="BP522" i="2"/>
  <c r="Z522" i="2"/>
  <c r="Y99" i="2"/>
  <c r="BP107" i="2"/>
  <c r="BP112" i="2"/>
  <c r="BN301" i="2"/>
  <c r="BP301" i="2"/>
  <c r="Z301" i="2"/>
  <c r="BP478" i="2"/>
  <c r="BN478" i="2"/>
  <c r="BN22" i="2"/>
  <c r="BP40" i="2"/>
  <c r="Z50" i="2"/>
  <c r="Z61" i="2"/>
  <c r="BP86" i="2"/>
  <c r="Z94" i="2"/>
  <c r="BP94" i="2"/>
  <c r="BP102" i="2"/>
  <c r="BN107" i="2"/>
  <c r="BP122" i="2"/>
  <c r="BP137" i="2"/>
  <c r="Y153" i="2"/>
  <c r="BN181" i="2"/>
  <c r="Z181" i="2"/>
  <c r="BN207" i="2"/>
  <c r="BP207" i="2"/>
  <c r="Z207" i="2"/>
  <c r="BN238" i="2"/>
  <c r="BP238" i="2"/>
  <c r="Z238" i="2"/>
  <c r="Y251" i="2"/>
  <c r="BN248" i="2"/>
  <c r="Y252" i="2"/>
  <c r="BP248" i="2"/>
  <c r="Z248" i="2"/>
  <c r="Z251" i="2" s="1"/>
  <c r="BN296" i="2"/>
  <c r="BP296" i="2"/>
  <c r="BN358" i="2"/>
  <c r="BP358" i="2"/>
  <c r="Z358" i="2"/>
  <c r="BP365" i="2"/>
  <c r="BN365" i="2"/>
  <c r="Z416" i="2"/>
  <c r="Z417" i="2" s="1"/>
  <c r="BN416" i="2"/>
  <c r="Y418" i="2"/>
  <c r="BP503" i="2"/>
  <c r="BN503" i="2"/>
  <c r="Y511" i="2"/>
  <c r="Y517" i="2"/>
  <c r="Y518" i="2"/>
  <c r="BP514" i="2"/>
  <c r="BN203" i="2"/>
  <c r="BP203" i="2"/>
  <c r="Z203" i="2"/>
  <c r="BP377" i="2"/>
  <c r="BN377" i="2"/>
  <c r="BP469" i="2"/>
  <c r="Y471" i="2"/>
  <c r="Y24" i="2"/>
  <c r="BP41" i="2"/>
  <c r="BP49" i="2"/>
  <c r="BP60" i="2"/>
  <c r="BP68" i="2"/>
  <c r="BP87" i="2"/>
  <c r="BP96" i="2"/>
  <c r="BN103" i="2"/>
  <c r="Z105" i="2"/>
  <c r="Z113" i="2"/>
  <c r="Z122" i="2"/>
  <c r="Z126" i="2"/>
  <c r="Z127" i="2" s="1"/>
  <c r="BP126" i="2"/>
  <c r="BN136" i="2"/>
  <c r="Y144" i="2"/>
  <c r="Z152" i="2"/>
  <c r="Z162" i="2"/>
  <c r="BP175" i="2"/>
  <c r="BP179" i="2"/>
  <c r="BP275" i="2"/>
  <c r="BN275" i="2"/>
  <c r="BN281" i="2"/>
  <c r="BP281" i="2"/>
  <c r="Z281" i="2"/>
  <c r="Z304" i="2"/>
  <c r="BN304" i="2"/>
  <c r="Z326" i="2"/>
  <c r="BN326" i="2"/>
  <c r="BP496" i="2"/>
  <c r="BN496" i="2"/>
  <c r="Y210" i="2"/>
  <c r="BP209" i="2"/>
  <c r="BP240" i="2"/>
  <c r="BP250" i="2"/>
  <c r="BP283" i="2"/>
  <c r="Q568" i="2"/>
  <c r="BP343" i="2"/>
  <c r="BP372" i="2"/>
  <c r="BP383" i="2"/>
  <c r="BP476" i="2"/>
  <c r="BP490" i="2"/>
  <c r="Y498" i="2"/>
  <c r="Y527" i="2"/>
  <c r="BP520" i="2"/>
  <c r="BP549" i="2"/>
  <c r="BN180" i="2"/>
  <c r="Z183" i="2"/>
  <c r="BN193" i="2"/>
  <c r="BP197" i="2"/>
  <c r="Y199" i="2"/>
  <c r="BN204" i="2"/>
  <c r="Z206" i="2"/>
  <c r="Z214" i="2"/>
  <c r="Z215" i="2" s="1"/>
  <c r="BP214" i="2"/>
  <c r="Z220" i="2"/>
  <c r="Z224" i="2"/>
  <c r="Z228" i="2"/>
  <c r="BP230" i="2"/>
  <c r="Z237" i="2"/>
  <c r="BN254" i="2"/>
  <c r="Z271" i="2"/>
  <c r="BP273" i="2"/>
  <c r="Z280" i="2"/>
  <c r="Y292" i="2"/>
  <c r="Y298" i="2"/>
  <c r="BP303" i="2"/>
  <c r="Y309" i="2"/>
  <c r="BP307" i="2"/>
  <c r="Y313" i="2"/>
  <c r="BP319" i="2"/>
  <c r="BP327" i="2"/>
  <c r="Z335" i="2"/>
  <c r="BP335" i="2"/>
  <c r="Y339" i="2"/>
  <c r="Z343" i="2"/>
  <c r="BP376" i="2"/>
  <c r="Z391" i="2"/>
  <c r="BP397" i="2"/>
  <c r="Y406" i="2"/>
  <c r="Y405" i="2"/>
  <c r="BP415" i="2"/>
  <c r="Y417" i="2"/>
  <c r="Z436" i="2"/>
  <c r="Y470" i="2"/>
  <c r="Z484" i="2"/>
  <c r="BP484" i="2"/>
  <c r="Z495" i="2"/>
  <c r="AB568" i="2"/>
  <c r="BP532" i="2"/>
  <c r="BP544" i="2"/>
  <c r="Z549" i="2"/>
  <c r="Z550" i="2" s="1"/>
  <c r="Z554" i="2"/>
  <c r="BP554" i="2"/>
  <c r="S568" i="2"/>
  <c r="Z189" i="2"/>
  <c r="BP208" i="2"/>
  <c r="BN209" i="2"/>
  <c r="BN232" i="2"/>
  <c r="BP239" i="2"/>
  <c r="BN240" i="2"/>
  <c r="BN244" i="2"/>
  <c r="BP249" i="2"/>
  <c r="BN250" i="2"/>
  <c r="Z270" i="2"/>
  <c r="BP282" i="2"/>
  <c r="BN283" i="2"/>
  <c r="Z291" i="2"/>
  <c r="Z311" i="2"/>
  <c r="Z312" i="2" s="1"/>
  <c r="BP311" i="2"/>
  <c r="Y322" i="2"/>
  <c r="BN329" i="2"/>
  <c r="Y338" i="2"/>
  <c r="BP337" i="2"/>
  <c r="BP373" i="2"/>
  <c r="BN383" i="2"/>
  <c r="BP433" i="2"/>
  <c r="Y464" i="2"/>
  <c r="Y568" i="2"/>
  <c r="BP475" i="2"/>
  <c r="BN476" i="2"/>
  <c r="Y481" i="2"/>
  <c r="BN490" i="2"/>
  <c r="AA568" i="2"/>
  <c r="BP509" i="2"/>
  <c r="BN515" i="2"/>
  <c r="BN520" i="2"/>
  <c r="BN523" i="2"/>
  <c r="BP536" i="2"/>
  <c r="BP548" i="2"/>
  <c r="BP555" i="2"/>
  <c r="U568" i="2"/>
  <c r="BP177" i="2"/>
  <c r="BN177" i="2"/>
  <c r="Y234" i="2"/>
  <c r="Y246" i="2"/>
  <c r="BN236" i="2"/>
  <c r="Y332" i="2"/>
  <c r="BP328" i="2"/>
  <c r="Y331" i="2"/>
  <c r="BN328" i="2"/>
  <c r="BP350" i="2"/>
  <c r="BN350" i="2"/>
  <c r="Z350" i="2"/>
  <c r="Y425" i="2"/>
  <c r="V568" i="2"/>
  <c r="BP423" i="2"/>
  <c r="Z423" i="2"/>
  <c r="BN423" i="2"/>
  <c r="BP431" i="2"/>
  <c r="Z431" i="2"/>
  <c r="BN431" i="2"/>
  <c r="Z111" i="2"/>
  <c r="Y116" i="2"/>
  <c r="BP111" i="2"/>
  <c r="Y133" i="2"/>
  <c r="BP132" i="2"/>
  <c r="BN132" i="2"/>
  <c r="Z168" i="2"/>
  <c r="BP168" i="2"/>
  <c r="BP221" i="2"/>
  <c r="BN221" i="2"/>
  <c r="Z221" i="2"/>
  <c r="BP364" i="2"/>
  <c r="BN364" i="2"/>
  <c r="BP435" i="2"/>
  <c r="Z435" i="2"/>
  <c r="BN435" i="2"/>
  <c r="Z132" i="2"/>
  <c r="BP174" i="2"/>
  <c r="Z174" i="2"/>
  <c r="BP345" i="2"/>
  <c r="BN345" i="2"/>
  <c r="Z364" i="2"/>
  <c r="Y393" i="2"/>
  <c r="BP389" i="2"/>
  <c r="Y392" i="2"/>
  <c r="BN389" i="2"/>
  <c r="Z389" i="2"/>
  <c r="BP441" i="2"/>
  <c r="Z441" i="2"/>
  <c r="BN441" i="2"/>
  <c r="Z67" i="2"/>
  <c r="BP67" i="2"/>
  <c r="F568" i="2"/>
  <c r="BN111" i="2"/>
  <c r="BP120" i="2"/>
  <c r="BN120" i="2"/>
  <c r="BN168" i="2"/>
  <c r="BP274" i="2"/>
  <c r="BN274" i="2"/>
  <c r="Y293" i="2"/>
  <c r="Z345" i="2"/>
  <c r="Y62" i="2"/>
  <c r="E568" i="2"/>
  <c r="BN55" i="2"/>
  <c r="Z55" i="2"/>
  <c r="BP88" i="2"/>
  <c r="Y91" i="2"/>
  <c r="BN88" i="2"/>
  <c r="Z88" i="2"/>
  <c r="BP114" i="2"/>
  <c r="Z120" i="2"/>
  <c r="BN174" i="2"/>
  <c r="BP236" i="2"/>
  <c r="Z274" i="2"/>
  <c r="Z342" i="2"/>
  <c r="Y347" i="2"/>
  <c r="R568" i="2"/>
  <c r="BP342" i="2"/>
  <c r="BP351" i="2"/>
  <c r="Z351" i="2"/>
  <c r="BN351" i="2"/>
  <c r="BP395" i="2"/>
  <c r="Z395" i="2"/>
  <c r="BN395" i="2"/>
  <c r="Y400" i="2"/>
  <c r="Z432" i="2"/>
  <c r="BP432" i="2"/>
  <c r="Y82" i="2"/>
  <c r="BP78" i="2"/>
  <c r="Z78" i="2"/>
  <c r="X559" i="2"/>
  <c r="BP31" i="2"/>
  <c r="Z31" i="2"/>
  <c r="Z49" i="2"/>
  <c r="Z51" i="2" s="1"/>
  <c r="BN67" i="2"/>
  <c r="BP73" i="2"/>
  <c r="Y76" i="2"/>
  <c r="BN78" i="2"/>
  <c r="Z178" i="2"/>
  <c r="BP178" i="2"/>
  <c r="BP222" i="2"/>
  <c r="BN222" i="2"/>
  <c r="Y261" i="2"/>
  <c r="BP260" i="2"/>
  <c r="Z260" i="2"/>
  <c r="M568" i="2"/>
  <c r="BP374" i="2"/>
  <c r="Y380" i="2"/>
  <c r="BN374" i="2"/>
  <c r="Y399" i="2"/>
  <c r="X560" i="2"/>
  <c r="BP151" i="2"/>
  <c r="Z151" i="2"/>
  <c r="BP231" i="2"/>
  <c r="BN231" i="2"/>
  <c r="BP290" i="2"/>
  <c r="Z290" i="2"/>
  <c r="BP305" i="2"/>
  <c r="BN305" i="2"/>
  <c r="O568" i="2"/>
  <c r="Y308" i="2"/>
  <c r="Z442" i="2"/>
  <c r="BP442" i="2"/>
  <c r="Y233" i="2"/>
  <c r="BP219" i="2"/>
  <c r="Z219" i="2"/>
  <c r="L568" i="2"/>
  <c r="BN269" i="2"/>
  <c r="Y277" i="2"/>
  <c r="Z305" i="2"/>
  <c r="Y437" i="2"/>
  <c r="Z269" i="2"/>
  <c r="BN290" i="2"/>
  <c r="Y352" i="2"/>
  <c r="Y386" i="2"/>
  <c r="BP384" i="2"/>
  <c r="BN384" i="2"/>
  <c r="Z396" i="2"/>
  <c r="BP396" i="2"/>
  <c r="Y424" i="2"/>
  <c r="BN442" i="2"/>
  <c r="Y460" i="2"/>
  <c r="X568" i="2"/>
  <c r="BP458" i="2"/>
  <c r="BN458" i="2"/>
  <c r="Z458" i="2"/>
  <c r="Z460" i="2" s="1"/>
  <c r="Y461" i="2"/>
  <c r="Y109" i="2"/>
  <c r="Y108" i="2"/>
  <c r="BN104" i="2"/>
  <c r="BP172" i="2"/>
  <c r="BN172" i="2"/>
  <c r="Z172" i="2"/>
  <c r="Y185" i="2"/>
  <c r="Y184" i="2"/>
  <c r="BP181" i="2"/>
  <c r="Y191" i="2"/>
  <c r="BP187" i="2"/>
  <c r="Y190" i="2"/>
  <c r="BN187" i="2"/>
  <c r="Y211" i="2"/>
  <c r="BN205" i="2"/>
  <c r="K568" i="2"/>
  <c r="BN219" i="2"/>
  <c r="Y370" i="2"/>
  <c r="Z384" i="2"/>
  <c r="Y134" i="2"/>
  <c r="Y51" i="2"/>
  <c r="Z104" i="2"/>
  <c r="J568" i="2"/>
  <c r="Y165" i="2"/>
  <c r="Y164" i="2"/>
  <c r="BN161" i="2"/>
  <c r="Z187" i="2"/>
  <c r="Z205" i="2"/>
  <c r="Z223" i="2"/>
  <c r="BP223" i="2"/>
  <c r="Y353" i="2"/>
  <c r="BN396" i="2"/>
  <c r="Y70" i="2"/>
  <c r="Y69" i="2"/>
  <c r="BN65" i="2"/>
  <c r="Z65" i="2"/>
  <c r="Z161" i="2"/>
  <c r="Z226" i="2"/>
  <c r="Y262" i="2"/>
  <c r="BP269" i="2"/>
  <c r="BP284" i="2"/>
  <c r="BN284" i="2"/>
  <c r="Y379" i="2"/>
  <c r="BN151" i="2"/>
  <c r="Y32" i="2"/>
  <c r="BN223" i="2"/>
  <c r="Y63" i="2"/>
  <c r="X562" i="2"/>
  <c r="Z57" i="2"/>
  <c r="BP57" i="2"/>
  <c r="Z60" i="2"/>
  <c r="BP104" i="2"/>
  <c r="BP142" i="2"/>
  <c r="BN142" i="2"/>
  <c r="Z142" i="2"/>
  <c r="BP149" i="2"/>
  <c r="BN149" i="2"/>
  <c r="Z149" i="2"/>
  <c r="BP205" i="2"/>
  <c r="Y267" i="2"/>
  <c r="Y266" i="2"/>
  <c r="BP264" i="2"/>
  <c r="BN264" i="2"/>
  <c r="BP288" i="2"/>
  <c r="BN288" i="2"/>
  <c r="Z288" i="2"/>
  <c r="Y369" i="2"/>
  <c r="BP56" i="2"/>
  <c r="BN56" i="2"/>
  <c r="Z121" i="2"/>
  <c r="BP121" i="2"/>
  <c r="H568" i="2"/>
  <c r="BP161" i="2"/>
  <c r="BP167" i="2"/>
  <c r="BN167" i="2"/>
  <c r="Y170" i="2"/>
  <c r="Y169" i="2"/>
  <c r="BP176" i="2"/>
  <c r="BN176" i="2"/>
  <c r="Z176" i="2"/>
  <c r="Z188" i="2"/>
  <c r="BP188" i="2"/>
  <c r="BP226" i="2"/>
  <c r="BP241" i="2"/>
  <c r="BN241" i="2"/>
  <c r="Y387" i="2"/>
  <c r="Y438" i="2"/>
  <c r="Y455" i="2"/>
  <c r="Y454" i="2"/>
  <c r="BP452" i="2"/>
  <c r="BN452" i="2"/>
  <c r="BP89" i="2"/>
  <c r="Z89" i="2"/>
  <c r="C568" i="2"/>
  <c r="BN37" i="2"/>
  <c r="Y43" i="2"/>
  <c r="F10" i="2"/>
  <c r="H9" i="2"/>
  <c r="X558" i="2"/>
  <c r="BP37" i="2"/>
  <c r="BN57" i="2"/>
  <c r="G568" i="2"/>
  <c r="Y117" i="2"/>
  <c r="Y139" i="2"/>
  <c r="Y138" i="2"/>
  <c r="BN137" i="2"/>
  <c r="Z167" i="2"/>
  <c r="Z241" i="2"/>
  <c r="Z452" i="2"/>
  <c r="BP66" i="2"/>
  <c r="BN66" i="2"/>
  <c r="BN188" i="2"/>
  <c r="Y245" i="2"/>
  <c r="Y348" i="2"/>
  <c r="Y444" i="2"/>
  <c r="Y33" i="2"/>
  <c r="BP30" i="2"/>
  <c r="BN30" i="2"/>
  <c r="Z66" i="2"/>
  <c r="Y124" i="2"/>
  <c r="Y123" i="2"/>
  <c r="BP119" i="2"/>
  <c r="BN119" i="2"/>
  <c r="Z119" i="2"/>
  <c r="Y317" i="2"/>
  <c r="BP315" i="2"/>
  <c r="BN315" i="2"/>
  <c r="Z315" i="2"/>
  <c r="Z316" i="2" s="1"/>
  <c r="Y528" i="2"/>
  <c r="Y297" i="2"/>
  <c r="Z404" i="2"/>
  <c r="Z430" i="2"/>
  <c r="Z440" i="2"/>
  <c r="Z463" i="2"/>
  <c r="Z464" i="2" s="1"/>
  <c r="BN477" i="2"/>
  <c r="BN502" i="2"/>
  <c r="Z510" i="2"/>
  <c r="BN522" i="2"/>
  <c r="Z23" i="2"/>
  <c r="Z24" i="2" s="1"/>
  <c r="Z80" i="2"/>
  <c r="Z148" i="2"/>
  <c r="Z244" i="2"/>
  <c r="Z287" i="2"/>
  <c r="Z320" i="2"/>
  <c r="Z356" i="2"/>
  <c r="Z367" i="2"/>
  <c r="Z377" i="2"/>
  <c r="Z409" i="2"/>
  <c r="Z468" i="2"/>
  <c r="Z480" i="2"/>
  <c r="Z505" i="2"/>
  <c r="Z515" i="2"/>
  <c r="Z525" i="2"/>
  <c r="P568" i="2"/>
  <c r="Y154" i="2"/>
  <c r="Z337" i="2"/>
  <c r="Z372" i="2"/>
  <c r="Z382" i="2"/>
  <c r="BN404" i="2"/>
  <c r="BN430" i="2"/>
  <c r="BN440" i="2"/>
  <c r="Y443" i="2"/>
  <c r="BN463" i="2"/>
  <c r="Z475" i="2"/>
  <c r="BP477" i="2"/>
  <c r="Z485" i="2"/>
  <c r="Y491" i="2"/>
  <c r="BP502" i="2"/>
  <c r="BN510" i="2"/>
  <c r="Z520" i="2"/>
  <c r="Z532" i="2"/>
  <c r="Z533" i="2" s="1"/>
  <c r="Y537" i="2"/>
  <c r="Z544" i="2"/>
  <c r="Z545" i="2" s="1"/>
  <c r="Y359" i="2"/>
  <c r="Z402" i="2"/>
  <c r="BP440" i="2"/>
  <c r="Z448" i="2"/>
  <c r="BP463" i="2"/>
  <c r="Z496" i="2"/>
  <c r="Z508" i="2"/>
  <c r="BN47" i="2"/>
  <c r="BN102" i="2"/>
  <c r="Z156" i="2"/>
  <c r="Z157" i="2" s="1"/>
  <c r="Z232" i="2"/>
  <c r="Z242" i="2"/>
  <c r="Z265" i="2"/>
  <c r="Z266" i="2" s="1"/>
  <c r="Z275" i="2"/>
  <c r="Z285" i="2"/>
  <c r="Z295" i="2"/>
  <c r="Z306" i="2"/>
  <c r="Z329" i="2"/>
  <c r="Z365" i="2"/>
  <c r="Z375" i="2"/>
  <c r="Z385" i="2"/>
  <c r="BN421" i="2"/>
  <c r="Z453" i="2"/>
  <c r="Z478" i="2"/>
  <c r="Y492" i="2"/>
  <c r="Z503" i="2"/>
  <c r="Z523" i="2"/>
  <c r="Y538" i="2"/>
  <c r="T568" i="2"/>
  <c r="B568" i="2"/>
  <c r="Z321" i="2"/>
  <c r="Z357" i="2"/>
  <c r="Z368" i="2"/>
  <c r="Z378" i="2"/>
  <c r="BP402" i="2"/>
  <c r="Z410" i="2"/>
  <c r="Z446" i="2"/>
  <c r="Z469" i="2"/>
  <c r="Z494" i="2"/>
  <c r="Z506" i="2"/>
  <c r="Z516" i="2"/>
  <c r="Z526" i="2"/>
  <c r="Y533" i="2"/>
  <c r="Z540" i="2"/>
  <c r="Z541" i="2" s="1"/>
  <c r="D568" i="2"/>
  <c r="W568" i="2"/>
  <c r="Z29" i="2"/>
  <c r="Z41" i="2"/>
  <c r="Z87" i="2"/>
  <c r="Z97" i="2"/>
  <c r="Z131" i="2"/>
  <c r="BP156" i="2"/>
  <c r="Y215" i="2"/>
  <c r="Y255" i="2"/>
  <c r="Z363" i="2"/>
  <c r="Y512" i="2"/>
  <c r="Z521" i="2"/>
  <c r="Y550" i="2"/>
  <c r="Y556" i="2"/>
  <c r="Y25" i="2"/>
  <c r="BN321" i="2"/>
  <c r="BN357" i="2"/>
  <c r="BN368" i="2"/>
  <c r="BN378" i="2"/>
  <c r="Z398" i="2"/>
  <c r="BN410" i="2"/>
  <c r="Z422" i="2"/>
  <c r="Z434" i="2"/>
  <c r="BN446" i="2"/>
  <c r="Y449" i="2"/>
  <c r="BN469" i="2"/>
  <c r="Y482" i="2"/>
  <c r="BN494" i="2"/>
  <c r="Y497" i="2"/>
  <c r="BN506" i="2"/>
  <c r="BN516" i="2"/>
  <c r="BN526" i="2"/>
  <c r="BN540" i="2"/>
  <c r="BN29" i="2"/>
  <c r="BN131" i="2"/>
  <c r="Y157" i="2"/>
  <c r="Z568" i="2"/>
  <c r="Z79" i="2"/>
  <c r="Z90" i="2"/>
  <c r="Z147" i="2"/>
  <c r="Z243" i="2"/>
  <c r="Z276" i="2"/>
  <c r="Z286" i="2"/>
  <c r="Z296" i="2"/>
  <c r="Z307" i="2"/>
  <c r="Z319" i="2"/>
  <c r="Z322" i="2" s="1"/>
  <c r="Z330" i="2"/>
  <c r="BN344" i="2"/>
  <c r="Z366" i="2"/>
  <c r="Z376" i="2"/>
  <c r="BN398" i="2"/>
  <c r="Z408" i="2"/>
  <c r="BN422" i="2"/>
  <c r="BN434" i="2"/>
  <c r="Z467" i="2"/>
  <c r="Z479" i="2"/>
  <c r="BP494" i="2"/>
  <c r="Z504" i="2"/>
  <c r="Z514" i="2"/>
  <c r="Z524" i="2"/>
  <c r="BP540" i="2"/>
  <c r="Y551" i="2"/>
  <c r="Y557" i="2"/>
  <c r="I568" i="2"/>
  <c r="BN319" i="2"/>
  <c r="BN408" i="2"/>
  <c r="BN467" i="2"/>
  <c r="BN514" i="2"/>
  <c r="Z108" i="2" l="1"/>
  <c r="Z424" i="2"/>
  <c r="Z75" i="2"/>
  <c r="Z153" i="2"/>
  <c r="Z133" i="2"/>
  <c r="Z91" i="2"/>
  <c r="Z32" i="2"/>
  <c r="Z449" i="2"/>
  <c r="Z292" i="2"/>
  <c r="Z338" i="2"/>
  <c r="Z98" i="2"/>
  <c r="Z42" i="2"/>
  <c r="Z169" i="2"/>
  <c r="Z143" i="2"/>
  <c r="Z486" i="2"/>
  <c r="Y559" i="2"/>
  <c r="Z352" i="2"/>
  <c r="Z443" i="2"/>
  <c r="Z164" i="2"/>
  <c r="Z261" i="2"/>
  <c r="Z392" i="2"/>
  <c r="Z556" i="2"/>
  <c r="Y560" i="2"/>
  <c r="Z511" i="2"/>
  <c r="Z331" i="2"/>
  <c r="Z308" i="2"/>
  <c r="Z233" i="2"/>
  <c r="Z245" i="2"/>
  <c r="Y562" i="2"/>
  <c r="Z210" i="2"/>
  <c r="Z116" i="2"/>
  <c r="Z277" i="2"/>
  <c r="Z69" i="2"/>
  <c r="Z347" i="2"/>
  <c r="X561" i="2"/>
  <c r="Z81" i="2"/>
  <c r="Z369" i="2"/>
  <c r="Z527" i="2"/>
  <c r="Z190" i="2"/>
  <c r="Z411" i="2"/>
  <c r="Z517" i="2"/>
  <c r="Z297" i="2"/>
  <c r="Y558" i="2"/>
  <c r="Z399" i="2"/>
  <c r="Z481" i="2"/>
  <c r="Z184" i="2"/>
  <c r="Z470" i="2"/>
  <c r="Z359" i="2"/>
  <c r="Z386" i="2"/>
  <c r="Z123" i="2"/>
  <c r="Z62" i="2"/>
  <c r="Z437" i="2"/>
  <c r="Z497" i="2"/>
  <c r="Z454" i="2"/>
  <c r="Z405" i="2"/>
  <c r="Z379" i="2"/>
  <c r="Y561" i="2" l="1"/>
  <c r="Z563" i="2"/>
</calcChain>
</file>

<file path=xl/sharedStrings.xml><?xml version="1.0" encoding="utf-8"?>
<sst xmlns="http://schemas.openxmlformats.org/spreadsheetml/2006/main" count="4283" uniqueCount="900">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</sst>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 t="s">
        <v>899</v>
      </c>
      <c r="I5" s="655"/>
      <c r="J5" s="655"/>
      <c r="K5" s="655"/>
      <c r="L5" s="655"/>
      <c r="M5" s="655"/>
      <c r="N5" s="72"/>
      <c r="P5" s="27" t="s">
        <v>4</v>
      </c>
      <c r="Q5" s="657">
        <v>46281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882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Среда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3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0.41666666666666669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45</v>
      </c>
      <c r="Y61" s="55">
        <f t="shared" si="0"/>
        <v>45</v>
      </c>
      <c r="Z61" s="41">
        <f>IFERROR(IF(Y61=0,"",ROUNDUP(Y61/H61,0)*0.00902),"")</f>
        <v>9.0200000000000002E-2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46.900000000000006</v>
      </c>
      <c r="BN61" s="78">
        <f t="shared" si="2"/>
        <v>46.900000000000006</v>
      </c>
      <c r="BO61" s="78">
        <f t="shared" si="3"/>
        <v>7.575757575757576E-2</v>
      </c>
      <c r="BP61" s="78">
        <f t="shared" si="4"/>
        <v>7.575757575757576E-2</v>
      </c>
    </row>
    <row r="62" spans="1:68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19.25925925925926</v>
      </c>
      <c r="Y62" s="43">
        <f>IFERROR(Y55/H55,"0")+IFERROR(Y56/H56,"0")+IFERROR(Y57/H57,"0")+IFERROR(Y58/H58,"0")+IFERROR(Y59/H59,"0")+IFERROR(Y60/H60,"0")+IFERROR(Y61/H61,"0")</f>
        <v>20</v>
      </c>
      <c r="Z62" s="43">
        <f>IFERROR(IF(Z55="",0,Z55),"0")+IFERROR(IF(Z56="",0,Z56),"0")+IFERROR(IF(Z57="",0,Z57),"0")+IFERROR(IF(Z58="",0,Z58),"0")+IFERROR(IF(Z59="",0,Z59),"0")+IFERROR(IF(Z60="",0,Z60),"0")+IFERROR(IF(Z61="",0,Z61),"0")</f>
        <v>0.28000000000000003</v>
      </c>
      <c r="AA62" s="67"/>
      <c r="AB62" s="67"/>
      <c r="AC62" s="67"/>
    </row>
    <row r="63" spans="1:68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145</v>
      </c>
      <c r="Y63" s="43">
        <f>IFERROR(SUM(Y55:Y61),"0")</f>
        <v>153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45</v>
      </c>
      <c r="Y89" s="55">
        <f t="shared" si="5"/>
        <v>45</v>
      </c>
      <c r="Z89" s="41">
        <f>IFERROR(IF(Y89=0,"",ROUNDUP(Y89/H89,0)*0.00902),"")</f>
        <v>9.0200000000000002E-2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46.900000000000006</v>
      </c>
      <c r="BN89" s="78">
        <f t="shared" si="7"/>
        <v>46.900000000000006</v>
      </c>
      <c r="BO89" s="78">
        <f t="shared" si="8"/>
        <v>7.575757575757576E-2</v>
      </c>
      <c r="BP89" s="78">
        <f t="shared" si="9"/>
        <v>7.575757575757576E-2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19.25925925925926</v>
      </c>
      <c r="Y91" s="43">
        <f>IFERROR(Y85/H85,"0")+IFERROR(Y86/H86,"0")+IFERROR(Y87/H87,"0")+IFERROR(Y88/H88,"0")+IFERROR(Y89/H89,"0")+IFERROR(Y90/H90,"0")</f>
        <v>20</v>
      </c>
      <c r="Z91" s="43">
        <f>IFERROR(IF(Z85="",0,Z85),"0")+IFERROR(IF(Z86="",0,Z86),"0")+IFERROR(IF(Z87="",0,Z87),"0")+IFERROR(IF(Z88="",0,Z88),"0")+IFERROR(IF(Z89="",0,Z89),"0")+IFERROR(IF(Z90="",0,Z90),"0")</f>
        <v>0.28000000000000003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145</v>
      </c>
      <c r="Y92" s="43">
        <f>IFERROR(SUM(Y85:Y90),"0")</f>
        <v>153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39.6</v>
      </c>
      <c r="Y97" s="55">
        <f>IFERROR(IF(X97="",0,CEILING((X97/$H97),1)*$H97),"")</f>
        <v>39.6</v>
      </c>
      <c r="Z97" s="41">
        <f>IFERROR(IF(Y97=0,"",ROUNDUP(Y97/H97,0)*0.00651),"")</f>
        <v>0.13020000000000001</v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44.760000000000005</v>
      </c>
      <c r="BN97" s="78">
        <f>IFERROR(Y97*I97/H97,"0")</f>
        <v>44.760000000000005</v>
      </c>
      <c r="BO97" s="78">
        <f>IFERROR(1/J97*(X97/H97),"0")</f>
        <v>0.1098901098901099</v>
      </c>
      <c r="BP97" s="78">
        <f>IFERROR(1/J97*(Y97/H97),"0")</f>
        <v>0.1098901098901099</v>
      </c>
    </row>
    <row r="98" spans="1:68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20</v>
      </c>
      <c r="Y98" s="43">
        <f>IFERROR(Y94/H94,"0")+IFERROR(Y95/H95,"0")+IFERROR(Y96/H96,"0")+IFERROR(Y97/H97,"0")</f>
        <v>20</v>
      </c>
      <c r="Z98" s="43">
        <f>IFERROR(IF(Z94="",0,Z94),"0")+IFERROR(IF(Z95="",0,Z95),"0")+IFERROR(IF(Z96="",0,Z96),"0")+IFERROR(IF(Z97="",0,Z97),"0")</f>
        <v>0.13020000000000001</v>
      </c>
      <c r="AA98" s="67"/>
      <c r="AB98" s="67"/>
      <c r="AC98" s="67"/>
    </row>
    <row r="99" spans="1:68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39.6</v>
      </c>
      <c r="Y99" s="43">
        <f>IFERROR(SUM(Y94:Y97),"0")</f>
        <v>39.6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37.5</v>
      </c>
      <c r="Y104" s="55">
        <f t="shared" si="10"/>
        <v>37.5</v>
      </c>
      <c r="Z104" s="41">
        <f>IFERROR(IF(Y104=0,"",ROUNDUP(Y104/H104,0)*0.00902),"")</f>
        <v>9.0200000000000002E-2</v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39.4</v>
      </c>
      <c r="BN104" s="78">
        <f t="shared" si="12"/>
        <v>39.4</v>
      </c>
      <c r="BO104" s="78">
        <f t="shared" si="13"/>
        <v>7.575757575757576E-2</v>
      </c>
      <c r="BP104" s="78">
        <f t="shared" si="14"/>
        <v>7.575757575757576E-2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10</v>
      </c>
      <c r="Y108" s="43">
        <f>IFERROR(Y102/H102,"0")+IFERROR(Y103/H103,"0")+IFERROR(Y104/H104,"0")+IFERROR(Y105/H105,"0")+IFERROR(Y106/H106,"0")+IFERROR(Y107/H107,"0")</f>
        <v>10</v>
      </c>
      <c r="Z108" s="43">
        <f>IFERROR(IF(Z102="",0,Z102),"0")+IFERROR(IF(Z103="",0,Z103),"0")+IFERROR(IF(Z104="",0,Z104),"0")+IFERROR(IF(Z105="",0,Z105),"0")+IFERROR(IF(Z106="",0,Z106),"0")+IFERROR(IF(Z107="",0,Z107),"0")</f>
        <v>9.0200000000000002E-2</v>
      </c>
      <c r="AA108" s="67"/>
      <c r="AB108" s="67"/>
      <c r="AC108" s="67"/>
    </row>
    <row r="109" spans="1:68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37.5</v>
      </c>
      <c r="Y109" s="43">
        <f>IFERROR(SUM(Y102:Y107),"0")</f>
        <v>37.5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hidden="1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39.6</v>
      </c>
      <c r="Y120" s="55">
        <f>IFERROR(IF(X120="",0,CEILING((X120/$H120),1)*$H120),"")</f>
        <v>39.6</v>
      </c>
      <c r="Z120" s="41">
        <f>IFERROR(IF(Y120=0,"",ROUNDUP(Y120/H120,0)*0.00651),"")</f>
        <v>0.13020000000000001</v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44.52</v>
      </c>
      <c r="BN120" s="78">
        <f>IFERROR(Y120*I120/H120,"0")</f>
        <v>44.52</v>
      </c>
      <c r="BO120" s="78">
        <f>IFERROR(1/J120*(X120/H120),"0")</f>
        <v>0.1098901098901099</v>
      </c>
      <c r="BP120" s="78">
        <f>IFERROR(1/J120*(Y120/H120),"0")</f>
        <v>0.1098901098901099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20</v>
      </c>
      <c r="Y123" s="43">
        <f>IFERROR(Y119/H119,"0")+IFERROR(Y120/H120,"0")+IFERROR(Y121/H121,"0")+IFERROR(Y122/H122,"0")</f>
        <v>20</v>
      </c>
      <c r="Z123" s="43">
        <f>IFERROR(IF(Z119="",0,Z119),"0")+IFERROR(IF(Z120="",0,Z120),"0")+IFERROR(IF(Z121="",0,Z121),"0")+IFERROR(IF(Z122="",0,Z122),"0")</f>
        <v>0.13020000000000001</v>
      </c>
      <c r="AA123" s="67"/>
      <c r="AB123" s="67"/>
      <c r="AC123" s="67"/>
    </row>
    <row r="124" spans="1:68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39.6</v>
      </c>
      <c r="Y124" s="43">
        <f>IFERROR(SUM(Y119:Y122),"0")</f>
        <v>39.6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50</v>
      </c>
      <c r="Y174" s="55">
        <f t="shared" si="21"/>
        <v>52.5</v>
      </c>
      <c r="Z174" s="41">
        <f>IFERROR(IF(Y174=0,"",ROUNDUP(Y174/H174,0)*0.00902),"")</f>
        <v>0.1353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52.714285714285715</v>
      </c>
      <c r="BN174" s="78">
        <f t="shared" si="23"/>
        <v>55.35</v>
      </c>
      <c r="BO174" s="78">
        <f t="shared" si="24"/>
        <v>0.10822510822510824</v>
      </c>
      <c r="BP174" s="78">
        <f t="shared" si="25"/>
        <v>0.11363636363636365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50</v>
      </c>
      <c r="Y176" s="55">
        <f t="shared" si="21"/>
        <v>52.5</v>
      </c>
      <c r="Z176" s="41">
        <f>IFERROR(IF(Y176=0,"",ROUNDUP(Y176/H176,0)*0.00902),"")</f>
        <v>0.1353</v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52.714285714285715</v>
      </c>
      <c r="BN176" s="78">
        <f t="shared" si="23"/>
        <v>55.35</v>
      </c>
      <c r="BO176" s="78">
        <f t="shared" si="24"/>
        <v>0.10822510822510824</v>
      </c>
      <c r="BP176" s="78">
        <f t="shared" si="25"/>
        <v>0.11363636363636365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28.571428571428573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30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0.27060000000000001</v>
      </c>
      <c r="AA184" s="67"/>
      <c r="AB184" s="67"/>
      <c r="AC184" s="67"/>
    </row>
    <row r="185" spans="1:68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100</v>
      </c>
      <c r="Y185" s="43">
        <f>IFERROR(SUM(Y172:Y183),"0")</f>
        <v>105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100</v>
      </c>
      <c r="Y209" s="55">
        <f t="shared" si="26"/>
        <v>108</v>
      </c>
      <c r="Z209" s="41">
        <f t="shared" si="27"/>
        <v>0.22776000000000002</v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105.66666666666667</v>
      </c>
      <c r="BN209" s="78">
        <f t="shared" si="29"/>
        <v>114.11999999999999</v>
      </c>
      <c r="BO209" s="78">
        <f t="shared" si="30"/>
        <v>0.1736111111111111</v>
      </c>
      <c r="BP209" s="78">
        <f t="shared" si="31"/>
        <v>0.1875</v>
      </c>
    </row>
    <row r="210" spans="1:68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11.111111111111111</v>
      </c>
      <c r="Y210" s="43">
        <f>IFERROR(Y203/H203,"0")+IFERROR(Y204/H204,"0")+IFERROR(Y205/H205,"0")+IFERROR(Y206/H206,"0")+IFERROR(Y207/H207,"0")+IFERROR(Y208/H208,"0")+IFERROR(Y209/H209,"0")</f>
        <v>12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0.22776000000000002</v>
      </c>
      <c r="AA210" s="67"/>
      <c r="AB210" s="67"/>
      <c r="AC210" s="67"/>
    </row>
    <row r="211" spans="1:68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100</v>
      </c>
      <c r="Y211" s="43">
        <f>IFERROR(SUM(Y203:Y209),"0")</f>
        <v>108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50</v>
      </c>
      <c r="Y271" s="55">
        <f t="shared" si="43"/>
        <v>54</v>
      </c>
      <c r="Z271" s="41">
        <f>IFERROR(IF(Y271=0,"",ROUNDUP(Y271/H271,0)*0.00902),"")</f>
        <v>9.0200000000000002E-2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51.759259259259252</v>
      </c>
      <c r="BN271" s="78">
        <f t="shared" si="45"/>
        <v>55.9</v>
      </c>
      <c r="BO271" s="78">
        <f t="shared" si="46"/>
        <v>7.0145903479236812E-2</v>
      </c>
      <c r="BP271" s="78">
        <f t="shared" si="47"/>
        <v>7.575757575757576E-2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9.2592592592592595</v>
      </c>
      <c r="Y277" s="43">
        <f>IFERROR(Y269/H269,"0")+IFERROR(Y270/H270,"0")+IFERROR(Y271/H271,"0")+IFERROR(Y272/H272,"0")+IFERROR(Y273/H273,"0")+IFERROR(Y274/H274,"0")+IFERROR(Y275/H275,"0")+IFERROR(Y276/H276,"0")</f>
        <v>10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9.0200000000000002E-2</v>
      </c>
      <c r="AA277" s="67"/>
      <c r="AB277" s="67"/>
      <c r="AC277" s="67"/>
    </row>
    <row r="278" spans="1:68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50</v>
      </c>
      <c r="Y278" s="43">
        <f>IFERROR(SUM(Y269:Y276),"0")</f>
        <v>54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50</v>
      </c>
      <c r="Y282" s="55">
        <f t="shared" si="48"/>
        <v>52.199999999999996</v>
      </c>
      <c r="Z282" s="41">
        <f>IFERROR(IF(Y282=0,"",ROUNDUP(Y282/H282,0)*0.01898),"")</f>
        <v>0.11388000000000001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52.839080459770123</v>
      </c>
      <c r="BN282" s="78">
        <f t="shared" si="50"/>
        <v>55.164000000000009</v>
      </c>
      <c r="BO282" s="78">
        <f t="shared" si="51"/>
        <v>8.9798850574712652E-2</v>
      </c>
      <c r="BP282" s="78">
        <f t="shared" si="52"/>
        <v>9.375E-2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24</v>
      </c>
      <c r="Y283" s="55">
        <f t="shared" si="48"/>
        <v>24</v>
      </c>
      <c r="Z283" s="41">
        <f>IFERROR(IF(Y283=0,"",ROUNDUP(Y283/H283,0)*0.00651),"")</f>
        <v>6.5100000000000005E-2</v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26.7</v>
      </c>
      <c r="BN283" s="78">
        <f t="shared" si="50"/>
        <v>26.7</v>
      </c>
      <c r="BO283" s="78">
        <f t="shared" si="51"/>
        <v>5.4945054945054951E-2</v>
      </c>
      <c r="BP283" s="78">
        <f t="shared" si="52"/>
        <v>5.4945054945054951E-2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15.74712643678161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16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0.17898000000000003</v>
      </c>
      <c r="AA292" s="67"/>
      <c r="AB292" s="67"/>
      <c r="AC292" s="67"/>
    </row>
    <row r="293" spans="1:68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74</v>
      </c>
      <c r="Y293" s="43">
        <f>IFERROR(SUM(Y280:Y291),"0")</f>
        <v>76.199999999999989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50</v>
      </c>
      <c r="Y328" s="55">
        <f>IFERROR(IF(X328="",0,CEILING((X328/$H328),1)*$H328),"")</f>
        <v>54</v>
      </c>
      <c r="Z328" s="41">
        <f>IFERROR(IF(Y328=0,"",ROUNDUP(Y328/H328,0)*0.01898),"")</f>
        <v>9.4899999999999998E-2</v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51.898148148148145</v>
      </c>
      <c r="BN328" s="78">
        <f>IFERROR(Y328*I328/H328,"0")</f>
        <v>56.05</v>
      </c>
      <c r="BO328" s="78">
        <f>IFERROR(1/J328*(X328/H328),"0")</f>
        <v>7.2337962962962965E-2</v>
      </c>
      <c r="BP328" s="78">
        <f>IFERROR(1/J328*(Y328/H328),"0")</f>
        <v>7.8125E-2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4.6296296296296298</v>
      </c>
      <c r="Y331" s="43">
        <f>IFERROR(Y326/H326,"0")+IFERROR(Y327/H327,"0")+IFERROR(Y328/H328,"0")+IFERROR(Y329/H329,"0")+IFERROR(Y330/H330,"0")</f>
        <v>5</v>
      </c>
      <c r="Z331" s="43">
        <f>IFERROR(IF(Z326="",0,Z326),"0")+IFERROR(IF(Z327="",0,Z327),"0")+IFERROR(IF(Z328="",0,Z328),"0")+IFERROR(IF(Z329="",0,Z329),"0")+IFERROR(IF(Z330="",0,Z330),"0")</f>
        <v>9.4899999999999998E-2</v>
      </c>
      <c r="AA331" s="67"/>
      <c r="AB331" s="67"/>
      <c r="AC331" s="67"/>
    </row>
    <row r="332" spans="1:68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50</v>
      </c>
      <c r="Y332" s="43">
        <f>IFERROR(SUM(Y326:Y330),"0")</f>
        <v>54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50</v>
      </c>
      <c r="Y364" s="55">
        <f t="shared" si="58"/>
        <v>54</v>
      </c>
      <c r="Z364" s="41">
        <f>IFERROR(IF(Y364=0,"",ROUNDUP(Y364/H364,0)*0.01898),"")</f>
        <v>9.4899999999999998E-2</v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51.898148148148145</v>
      </c>
      <c r="BN364" s="78">
        <f t="shared" si="60"/>
        <v>56.05</v>
      </c>
      <c r="BO364" s="78">
        <f t="shared" si="61"/>
        <v>7.2337962962962965E-2</v>
      </c>
      <c r="BP364" s="78">
        <f t="shared" si="62"/>
        <v>7.8125E-2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40</v>
      </c>
      <c r="Y367" s="55">
        <f t="shared" si="58"/>
        <v>40</v>
      </c>
      <c r="Z367" s="41">
        <f>IFERROR(IF(Y367=0,"",ROUNDUP(Y367/H367,0)*0.00902),"")</f>
        <v>9.0200000000000002E-2</v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41.900000000000006</v>
      </c>
      <c r="BN367" s="78">
        <f t="shared" si="60"/>
        <v>41.900000000000006</v>
      </c>
      <c r="BO367" s="78">
        <f t="shared" si="61"/>
        <v>7.575757575757576E-2</v>
      </c>
      <c r="BP367" s="78">
        <f t="shared" si="62"/>
        <v>7.575757575757576E-2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14.62962962962963</v>
      </c>
      <c r="Y369" s="43">
        <f>IFERROR(Y363/H363,"0")+IFERROR(Y364/H364,"0")+IFERROR(Y365/H365,"0")+IFERROR(Y366/H366,"0")+IFERROR(Y367/H367,"0")+IFERROR(Y368/H368,"0")</f>
        <v>15</v>
      </c>
      <c r="Z369" s="43">
        <f>IFERROR(IF(Z363="",0,Z363),"0")+IFERROR(IF(Z364="",0,Z364),"0")+IFERROR(IF(Z365="",0,Z365),"0")+IFERROR(IF(Z366="",0,Z366),"0")+IFERROR(IF(Z367="",0,Z367),"0")+IFERROR(IF(Z368="",0,Z368),"0")</f>
        <v>0.18509999999999999</v>
      </c>
      <c r="AA369" s="67"/>
      <c r="AB369" s="67"/>
      <c r="AC369" s="67"/>
    </row>
    <row r="370" spans="1:68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90</v>
      </c>
      <c r="Y370" s="43">
        <f>IFERROR(SUM(Y363:Y368),"0")</f>
        <v>94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57.6</v>
      </c>
      <c r="Y398" s="55">
        <f>IFERROR(IF(X398="",0,CEILING((X398/$H398),1)*$H398),"")</f>
        <v>58.65</v>
      </c>
      <c r="Z398" s="41">
        <f>IFERROR(IF(Y398=0,"",ROUNDUP(Y398/H398,0)*0.00651),"")</f>
        <v>0.14973</v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65.054117647058831</v>
      </c>
      <c r="BN398" s="78">
        <f>IFERROR(Y398*I398/H398,"0")</f>
        <v>66.239999999999995</v>
      </c>
      <c r="BO398" s="78">
        <f>IFERROR(1/J398*(X398/H398),"0")</f>
        <v>0.12411118293471236</v>
      </c>
      <c r="BP398" s="78">
        <f>IFERROR(1/J398*(Y398/H398),"0")</f>
        <v>0.1263736263736264</v>
      </c>
    </row>
    <row r="399" spans="1:68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22.588235294117649</v>
      </c>
      <c r="Y399" s="43">
        <f>IFERROR(Y395/H395,"0")+IFERROR(Y396/H396,"0")+IFERROR(Y397/H397,"0")+IFERROR(Y398/H398,"0")</f>
        <v>23</v>
      </c>
      <c r="Z399" s="43">
        <f>IFERROR(IF(Z395="",0,Z395),"0")+IFERROR(IF(Z396="",0,Z396),"0")+IFERROR(IF(Z397="",0,Z397),"0")+IFERROR(IF(Z398="",0,Z398),"0")</f>
        <v>0.14973</v>
      </c>
      <c r="AA399" s="67"/>
      <c r="AB399" s="67"/>
      <c r="AC399" s="67"/>
    </row>
    <row r="400" spans="1:68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57.6</v>
      </c>
      <c r="Y400" s="43">
        <f>IFERROR(SUM(Y395:Y398),"0")</f>
        <v>58.65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63</v>
      </c>
      <c r="Y422" s="55">
        <f>IFERROR(IF(X422="",0,CEILING((X422/$H422),1)*$H422),"")</f>
        <v>63</v>
      </c>
      <c r="Z422" s="41">
        <f>IFERROR(IF(Y422=0,"",ROUNDUP(Y422/H422,0)*0.00651),"")</f>
        <v>0.1953</v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70.559999999999988</v>
      </c>
      <c r="BN422" s="78">
        <f>IFERROR(Y422*I422/H422,"0")</f>
        <v>70.559999999999988</v>
      </c>
      <c r="BO422" s="78">
        <f>IFERROR(1/J422*(X422/H422),"0")</f>
        <v>0.16483516483516486</v>
      </c>
      <c r="BP422" s="78">
        <f>IFERROR(1/J422*(Y422/H422),"0")</f>
        <v>0.16483516483516486</v>
      </c>
    </row>
    <row r="423" spans="1:68" ht="27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63</v>
      </c>
      <c r="Y423" s="55">
        <f>IFERROR(IF(X423="",0,CEILING((X423/$H423),1)*$H423),"")</f>
        <v>63</v>
      </c>
      <c r="Z423" s="41">
        <f>IFERROR(IF(Y423=0,"",ROUNDUP(Y423/H423,0)*0.00651),"")</f>
        <v>0.1953</v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70.199999999999989</v>
      </c>
      <c r="BN423" s="78">
        <f>IFERROR(Y423*I423/H423,"0")</f>
        <v>70.199999999999989</v>
      </c>
      <c r="BO423" s="78">
        <f>IFERROR(1/J423*(X423/H423),"0")</f>
        <v>0.16483516483516486</v>
      </c>
      <c r="BP423" s="78">
        <f>IFERROR(1/J423*(Y423/H423),"0")</f>
        <v>0.16483516483516486</v>
      </c>
    </row>
    <row r="424" spans="1:68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60</v>
      </c>
      <c r="Y424" s="43">
        <f>IFERROR(Y421/H421,"0")+IFERROR(Y422/H422,"0")+IFERROR(Y423/H423,"0")</f>
        <v>60</v>
      </c>
      <c r="Z424" s="43">
        <f>IFERROR(IF(Z421="",0,Z421),"0")+IFERROR(IF(Z422="",0,Z422),"0")+IFERROR(IF(Z423="",0,Z423),"0")</f>
        <v>0.3906</v>
      </c>
      <c r="AA424" s="67"/>
      <c r="AB424" s="67"/>
      <c r="AC424" s="67"/>
    </row>
    <row r="425" spans="1:68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126</v>
      </c>
      <c r="Y425" s="43">
        <f>IFERROR(SUM(Y421:Y423),"0")</f>
        <v>126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300</v>
      </c>
      <c r="Y430" s="55">
        <f t="shared" si="68"/>
        <v>300</v>
      </c>
      <c r="Z430" s="41">
        <f>IFERROR(IF(Y430=0,"",ROUNDUP(Y430/H430,0)*0.02175),"")</f>
        <v>0.43499999999999994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309.39999999999998</v>
      </c>
      <c r="BN430" s="78">
        <f t="shared" si="70"/>
        <v>309.39999999999998</v>
      </c>
      <c r="BO430" s="78">
        <f t="shared" si="71"/>
        <v>0.41666666666666663</v>
      </c>
      <c r="BP430" s="78">
        <f t="shared" si="72"/>
        <v>0.41666666666666663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300</v>
      </c>
      <c r="Y433" s="55">
        <f t="shared" si="68"/>
        <v>300</v>
      </c>
      <c r="Z433" s="41">
        <f>IFERROR(IF(Y433=0,"",ROUNDUP(Y433/H433,0)*0.02175),"")</f>
        <v>0.43499999999999994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309.39999999999998</v>
      </c>
      <c r="BN433" s="78">
        <f t="shared" si="70"/>
        <v>309.39999999999998</v>
      </c>
      <c r="BO433" s="78">
        <f t="shared" si="71"/>
        <v>0.41666666666666663</v>
      </c>
      <c r="BP433" s="78">
        <f t="shared" si="72"/>
        <v>0.41666666666666663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50</v>
      </c>
      <c r="Y435" s="55">
        <f t="shared" si="68"/>
        <v>50</v>
      </c>
      <c r="Z435" s="41">
        <f>IFERROR(IF(Y435=0,"",ROUNDUP(Y435/H435,0)*0.00902),"")</f>
        <v>9.0200000000000002E-2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51.9</v>
      </c>
      <c r="BN435" s="78">
        <f t="shared" si="70"/>
        <v>51.9</v>
      </c>
      <c r="BO435" s="78">
        <f t="shared" si="71"/>
        <v>7.575757575757576E-2</v>
      </c>
      <c r="BP435" s="78">
        <f t="shared" si="72"/>
        <v>7.575757575757576E-2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50</v>
      </c>
      <c r="Y437" s="43">
        <f>IFERROR(Y429/H429,"0")+IFERROR(Y430/H430,"0")+IFERROR(Y431/H431,"0")+IFERROR(Y432/H432,"0")+IFERROR(Y433/H433,"0")+IFERROR(Y434/H434,"0")+IFERROR(Y435/H435,"0")+IFERROR(Y436/H436,"0")</f>
        <v>50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0.96019999999999994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650</v>
      </c>
      <c r="Y438" s="43">
        <f>IFERROR(SUM(Y429:Y436),"0")</f>
        <v>650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100</v>
      </c>
      <c r="Y440" s="55">
        <f>IFERROR(IF(X440="",0,CEILING((X440/$H440),1)*$H440),"")</f>
        <v>105</v>
      </c>
      <c r="Z440" s="41">
        <f>IFERROR(IF(Y440=0,"",ROUNDUP(Y440/H440,0)*0.02175),"")</f>
        <v>0.15225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103.13333333333334</v>
      </c>
      <c r="BN440" s="78">
        <f>IFERROR(Y440*I440/H440,"0")</f>
        <v>108.29</v>
      </c>
      <c r="BO440" s="78">
        <f>IFERROR(1/J440*(X440/H440),"0")</f>
        <v>0.1388888888888889</v>
      </c>
      <c r="BP440" s="78">
        <f>IFERROR(1/J440*(Y440/H440),"0")</f>
        <v>0.14583333333333331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6.666666666666667</v>
      </c>
      <c r="Y443" s="43">
        <f>IFERROR(Y440/H440,"0")+IFERROR(Y441/H441,"0")+IFERROR(Y442/H442,"0")</f>
        <v>7</v>
      </c>
      <c r="Z443" s="43">
        <f>IFERROR(IF(Z440="",0,Z440),"0")+IFERROR(IF(Z441="",0,Z441),"0")+IFERROR(IF(Z442="",0,Z442),"0")</f>
        <v>0.15225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100</v>
      </c>
      <c r="Y444" s="43">
        <f>IFERROR(SUM(Y440:Y442),"0")</f>
        <v>105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100</v>
      </c>
      <c r="Y447" s="55">
        <f>IFERROR(IF(X447="",0,CEILING((X447/$H447),1)*$H447),"")</f>
        <v>108</v>
      </c>
      <c r="Z447" s="41">
        <f>IFERROR(IF(Y447=0,"",ROUNDUP(Y447/H447,0)*0.01898),"")</f>
        <v>0.22776000000000002</v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105.48888888888888</v>
      </c>
      <c r="BN447" s="78">
        <f>IFERROR(Y447*I447/H447,"0")</f>
        <v>113.92799999999998</v>
      </c>
      <c r="BO447" s="78">
        <f>IFERROR(1/J447*(X447/H447),"0")</f>
        <v>0.1736111111111111</v>
      </c>
      <c r="BP447" s="78">
        <f>IFERROR(1/J447*(Y447/H447),"0")</f>
        <v>0.1875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11.111111111111111</v>
      </c>
      <c r="Y449" s="43">
        <f>IFERROR(Y446/H446,"0")+IFERROR(Y447/H447,"0")+IFERROR(Y448/H448,"0")</f>
        <v>12</v>
      </c>
      <c r="Z449" s="43">
        <f>IFERROR(IF(Z446="",0,Z446),"0")+IFERROR(IF(Z447="",0,Z447),"0")+IFERROR(IF(Z448="",0,Z448),"0")</f>
        <v>0.22776000000000002</v>
      </c>
      <c r="AA449" s="67"/>
      <c r="AB449" s="67"/>
      <c r="AC449" s="67"/>
    </row>
    <row r="450" spans="1:68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100</v>
      </c>
      <c r="Y450" s="43">
        <f>IFERROR(SUM(Y446:Y448),"0")</f>
        <v>108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100</v>
      </c>
      <c r="Y505" s="55">
        <f t="shared" si="78"/>
        <v>100.32000000000001</v>
      </c>
      <c r="Z505" s="41">
        <f t="shared" si="79"/>
        <v>0.22724</v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106.62878787878788</v>
      </c>
      <c r="BN505" s="78">
        <f t="shared" si="81"/>
        <v>106.97</v>
      </c>
      <c r="BO505" s="78">
        <f t="shared" si="82"/>
        <v>0.18210955710955709</v>
      </c>
      <c r="BP505" s="78">
        <f t="shared" si="83"/>
        <v>0.18269230769230771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50</v>
      </c>
      <c r="Y507" s="55">
        <f t="shared" si="78"/>
        <v>52.800000000000004</v>
      </c>
      <c r="Z507" s="41">
        <f t="shared" si="79"/>
        <v>0.1196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53.314393939393938</v>
      </c>
      <c r="BN507" s="78">
        <f t="shared" si="81"/>
        <v>56.3</v>
      </c>
      <c r="BO507" s="78">
        <f t="shared" si="82"/>
        <v>9.1054778554778545E-2</v>
      </c>
      <c r="BP507" s="78">
        <f t="shared" si="83"/>
        <v>9.6153846153846159E-2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28.409090909090907</v>
      </c>
      <c r="Y511" s="43">
        <f>IFERROR(Y502/H502,"0")+IFERROR(Y503/H503,"0")+IFERROR(Y504/H504,"0")+IFERROR(Y505/H505,"0")+IFERROR(Y506/H506,"0")+IFERROR(Y507/H507,"0")+IFERROR(Y508/H508,"0")+IFERROR(Y509/H509,"0")+IFERROR(Y510/H510,"0")</f>
        <v>29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0.34683999999999998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150</v>
      </c>
      <c r="Y512" s="43">
        <f>IFERROR(SUM(Y502:Y510),"0")</f>
        <v>153.12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50</v>
      </c>
      <c r="Y514" s="55">
        <f>IFERROR(IF(X514="",0,CEILING((X514/$H514),1)*$H514),"")</f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53.314393939393938</v>
      </c>
      <c r="BN514" s="78">
        <f>IFERROR(Y514*I514/H514,"0")</f>
        <v>56.3</v>
      </c>
      <c r="BO514" s="78">
        <f>IFERROR(1/J514*(X514/H514),"0")</f>
        <v>9.1054778554778545E-2</v>
      </c>
      <c r="BP514" s="78">
        <f>IFERROR(1/J514*(Y514/H514),"0")</f>
        <v>9.6153846153846159E-2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9.4696969696969688</v>
      </c>
      <c r="Y517" s="43">
        <f>IFERROR(Y514/H514,"0")+IFERROR(Y515/H515,"0")+IFERROR(Y516/H516,"0")</f>
        <v>10</v>
      </c>
      <c r="Z517" s="43">
        <f>IFERROR(IF(Z514="",0,Z514),"0")+IFERROR(IF(Z515="",0,Z515),"0")+IFERROR(IF(Z516="",0,Z516),"0")</f>
        <v>0.1196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50</v>
      </c>
      <c r="Y518" s="43">
        <f>IFERROR(SUM(Y514:Y516),"0")</f>
        <v>52.800000000000004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2104.3000000000002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2167.4700000000003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2216.5563823300135</v>
      </c>
      <c r="Y559" s="43">
        <f>IFERROR(SUM(BN22:BN555),"0")</f>
        <v>2282.752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4</v>
      </c>
      <c r="Y560" s="44">
        <f>ROUNDUP(SUM(BP22:BP555),0)</f>
        <v>4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2316.5563823300135</v>
      </c>
      <c r="Y561" s="43">
        <f>GrossWeightTotalR+PalletQtyTotalR*25</f>
        <v>2382.752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360.71150410704161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369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4.3051200000000005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153</v>
      </c>
      <c r="F568" s="52">
        <f>IFERROR(Y85*1,"0")+IFERROR(Y86*1,"0")+IFERROR(Y87*1,"0")+IFERROR(Y88*1,"0")+IFERROR(Y89*1,"0")+IFERROR(Y90*1,"0")+IFERROR(Y94*1,"0")+IFERROR(Y95*1,"0")+IFERROR(Y96*1,"0")+IFERROR(Y97*1,"0")</f>
        <v>192.6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77.099999999999994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105</v>
      </c>
      <c r="K568" s="52">
        <f>IFERROR(Y203*1,"0")+IFERROR(Y204*1,"0")+IFERROR(Y205*1,"0")+IFERROR(Y206*1,"0")+IFERROR(Y207*1,"0")+IFERROR(Y208*1,"0")+IFERROR(Y209*1,"0")</f>
        <v>108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130.19999999999999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54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152.65</v>
      </c>
      <c r="U568" s="52">
        <f>IFERROR(Y415*1,"0")+IFERROR(Y416*1,"0")</f>
        <v>0</v>
      </c>
      <c r="V568" s="52">
        <f>IFERROR(Y421*1,"0")+IFERROR(Y422*1,"0")+IFERROR(Y423*1,"0")</f>
        <v>126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863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205.92000000000002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wBCMApqsjMlwwSppTiXbbAyqDEKGgahPqJOJwzQYtLi6V+FuWlSznwumpUC/AQKcUu/S1N+s4561lKq6+a6Snw==" saltValue="6w9IpDUZLvOvK+YESxa8Z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1,11"/>
        <filter val="126,00"/>
        <filter val="14,63"/>
        <filter val="145,00"/>
        <filter val="15,75"/>
        <filter val="150,00"/>
        <filter val="19,26"/>
        <filter val="2 104,30"/>
        <filter val="2 216,56"/>
        <filter val="2 316,56"/>
        <filter val="20,00"/>
        <filter val="22,59"/>
        <filter val="24,00"/>
        <filter val="28,41"/>
        <filter val="28,57"/>
        <filter val="300,00"/>
        <filter val="360,71"/>
        <filter val="37,50"/>
        <filter val="39,60"/>
        <filter val="4"/>
        <filter val="4,63"/>
        <filter val="40,00"/>
        <filter val="45,00"/>
        <filter val="50,00"/>
        <filter val="57,60"/>
        <filter val="6,67"/>
        <filter val="60,00"/>
        <filter val="63,00"/>
        <filter val="650,00"/>
        <filter val="74,00"/>
        <filter val="9,26"/>
        <filter val="9,47"/>
        <filter val="90,00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Qx25jajWNY+dH4V0aKMae6nFzFxcd8ChuTBJFc76d6VQNDvht1+zM9so6oJ/gsQ0OP0bQJnMuDE4LhBq6D/7ow==" saltValue="fasmiMp4nBeLSBFZhMiMd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1173</vt:i4>
      </vt:variant>
    </vt:vector>
  </HeadingPairs>
  <TitlesOfParts>
    <vt:vector size="11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2026-09-14T12:00:12Z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