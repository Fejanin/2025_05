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4AB4EC5-2C56-4557-A893-8E01C967BF6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P492" i="2"/>
  <c r="BO492" i="2"/>
  <c r="BM492" i="2"/>
  <c r="Y492" i="2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P428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Z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31" i="2" l="1"/>
  <c r="BP86" i="2"/>
  <c r="BN107" i="2"/>
  <c r="BN185" i="2"/>
  <c r="BN159" i="2"/>
  <c r="BN233" i="2"/>
  <c r="BN298" i="2"/>
  <c r="BN384" i="2"/>
  <c r="BN416" i="2"/>
  <c r="BN474" i="2"/>
  <c r="BN486" i="2"/>
  <c r="Z86" i="2"/>
  <c r="BP98" i="2"/>
  <c r="BP115" i="2"/>
  <c r="BN118" i="2"/>
  <c r="BP161" i="2"/>
  <c r="BN191" i="2"/>
  <c r="Z205" i="2"/>
  <c r="Z206" i="2" s="1"/>
  <c r="BN292" i="2"/>
  <c r="Z349" i="2"/>
  <c r="Z354" i="2" s="1"/>
  <c r="BN372" i="2"/>
  <c r="BN397" i="2"/>
  <c r="Z404" i="2"/>
  <c r="BN410" i="2"/>
  <c r="BN41" i="2"/>
  <c r="Y366" i="2"/>
  <c r="BP436" i="2"/>
  <c r="Z436" i="2"/>
  <c r="BN240" i="2"/>
  <c r="Z327" i="2"/>
  <c r="Z329" i="2" s="1"/>
  <c r="BN443" i="2"/>
  <c r="BN512" i="2"/>
  <c r="BN516" i="2"/>
  <c r="Z293" i="2"/>
  <c r="Y399" i="2"/>
  <c r="Z396" i="2"/>
  <c r="BN521" i="2"/>
  <c r="Z127" i="2"/>
  <c r="BP93" i="2"/>
  <c r="Z93" i="2"/>
  <c r="Z532" i="2"/>
  <c r="BN530" i="2"/>
  <c r="Z521" i="2"/>
  <c r="BN515" i="2"/>
  <c r="Z512" i="2"/>
  <c r="BN510" i="2"/>
  <c r="BN503" i="2"/>
  <c r="BN502" i="2"/>
  <c r="Z486" i="2"/>
  <c r="Z474" i="2"/>
  <c r="BN466" i="2"/>
  <c r="Y467" i="2"/>
  <c r="Z465" i="2"/>
  <c r="Z467" i="2" s="1"/>
  <c r="BP465" i="2"/>
  <c r="BN460" i="2"/>
  <c r="Y462" i="2"/>
  <c r="BN455" i="2"/>
  <c r="BN454" i="2"/>
  <c r="Y451" i="2"/>
  <c r="Z442" i="2"/>
  <c r="BN442" i="2"/>
  <c r="Z440" i="2"/>
  <c r="BN429" i="2"/>
  <c r="Y432" i="2"/>
  <c r="BP422" i="2"/>
  <c r="Z417" i="2"/>
  <c r="Z415" i="2"/>
  <c r="Z397" i="2"/>
  <c r="BP396" i="2"/>
  <c r="BN392" i="2"/>
  <c r="BP389" i="2"/>
  <c r="Y394" i="2"/>
  <c r="BN382" i="2"/>
  <c r="Y387" i="2"/>
  <c r="BP379" i="2"/>
  <c r="Z374" i="2"/>
  <c r="BN374" i="2"/>
  <c r="Z363" i="2"/>
  <c r="Z353" i="2"/>
  <c r="BN351" i="2"/>
  <c r="BN343" i="2"/>
  <c r="Z337" i="2"/>
  <c r="BN336" i="2"/>
  <c r="BP333" i="2"/>
  <c r="Z328" i="2"/>
  <c r="BN327" i="2"/>
  <c r="Z326" i="2"/>
  <c r="BN326" i="2"/>
  <c r="BN313" i="2"/>
  <c r="Z295" i="2"/>
  <c r="BN293" i="2"/>
  <c r="Y299" i="2"/>
  <c r="Z277" i="2"/>
  <c r="BN266" i="2"/>
  <c r="Z261" i="2"/>
  <c r="Z262" i="2" s="1"/>
  <c r="Z251" i="2"/>
  <c r="Y252" i="2"/>
  <c r="BN250" i="2"/>
  <c r="Z242" i="2"/>
  <c r="Z240" i="2"/>
  <c r="Z233" i="2"/>
  <c r="Z231" i="2"/>
  <c r="Z230" i="2"/>
  <c r="Z219" i="2"/>
  <c r="BN218" i="2"/>
  <c r="BN199" i="2"/>
  <c r="BN194" i="2"/>
  <c r="BN192" i="2"/>
  <c r="Z191" i="2"/>
  <c r="Z190" i="2"/>
  <c r="BN187" i="2"/>
  <c r="Z185" i="2"/>
  <c r="BP184" i="2"/>
  <c r="Z184" i="2"/>
  <c r="Y179" i="2"/>
  <c r="BP173" i="2"/>
  <c r="Y148" i="2"/>
  <c r="BN145" i="2"/>
  <c r="Y136" i="2"/>
  <c r="Z107" i="2"/>
  <c r="BN106" i="2"/>
  <c r="Y112" i="2"/>
  <c r="Z104" i="2"/>
  <c r="Y100" i="2"/>
  <c r="BP80" i="2"/>
  <c r="Z77" i="2"/>
  <c r="BP77" i="2"/>
  <c r="BN77" i="2"/>
  <c r="BP50" i="2"/>
  <c r="Z48" i="2"/>
  <c r="Z31" i="2"/>
  <c r="X568" i="2"/>
  <c r="Y33" i="2"/>
  <c r="X565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Z366" i="2" s="1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45" i="2" l="1"/>
  <c r="Z399" i="2"/>
  <c r="Z477" i="2"/>
  <c r="Z406" i="2"/>
  <c r="Z131" i="2"/>
  <c r="Z557" i="2"/>
  <c r="Z456" i="2"/>
  <c r="Z444" i="2"/>
  <c r="Z386" i="2"/>
  <c r="Z338" i="2"/>
  <c r="Z174" i="2"/>
  <c r="Z147" i="2"/>
  <c r="Z142" i="2"/>
  <c r="Z120" i="2"/>
  <c r="Z90" i="2"/>
  <c r="X567" i="2"/>
  <c r="Z32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<sst xmlns="http://schemas.openxmlformats.org/spreadsheetml/2006/main" count="4366" uniqueCount="910">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</sst>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46278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4.1666666666666664E-2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17</v>
      </c>
      <c r="Z42" s="43">
        <f>IFERROR(IF(Z37="",0,Z37),"0")+IFERROR(IF(Z38="",0,Z38),"0")+IFERROR(IF(Z39="",0,Z39),"0")+IFERROR(IF(Z40="",0,Z40),"0")+IFERROR(IF(Z41="",0,Z41),"0")</f>
        <v>0.11067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32</v>
      </c>
      <c r="Y43" s="43">
        <f>IFERROR(SUM(Y37:Y41),"0")</f>
        <v>32.64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280</v>
      </c>
      <c r="Y49" s="55">
        <f>IFERROR(IF(X49="",0,CEILING((X49/$H49),1)*$H49),"")</f>
        <v>280</v>
      </c>
      <c r="Z49" s="41">
        <f>IFERROR(IF(Y49=0,"",ROUNDUP(Y49/H49,0)*0.00902),"")</f>
        <v>0.63139999999999996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293.3</v>
      </c>
      <c r="BN49" s="78">
        <f>IFERROR(Y49*I49/H49,"0")</f>
        <v>293.3</v>
      </c>
      <c r="BO49" s="78">
        <f>IFERROR(1/J49*(X49/H49),"0")</f>
        <v>0.53030303030303028</v>
      </c>
      <c r="BP49" s="78">
        <f>IFERROR(1/J49*(Y49/H49),"0")</f>
        <v>0.53030303030303028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70</v>
      </c>
      <c r="Y51" s="43">
        <f>IFERROR(Y47/H47,"0")+IFERROR(Y48/H48,"0")+IFERROR(Y49/H49,"0")+IFERROR(Y50/H50,"0")</f>
        <v>70</v>
      </c>
      <c r="Z51" s="43">
        <f>IFERROR(IF(Z47="",0,Z47),"0")+IFERROR(IF(Z48="",0,Z48),"0")+IFERROR(IF(Z49="",0,Z49),"0")+IFERROR(IF(Z50="",0,Z50),"0")</f>
        <v>0.63139999999999996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280</v>
      </c>
      <c r="Y52" s="43">
        <f>IFERROR(SUM(Y47:Y50),"0")</f>
        <v>280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350</v>
      </c>
      <c r="Y56" s="55">
        <f t="shared" si="0"/>
        <v>356.40000000000003</v>
      </c>
      <c r="Z56" s="41">
        <f>IFERROR(IF(Y56=0,"",ROUNDUP(Y56/H56,0)*0.01898),"")</f>
        <v>0.62634000000000001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363.28703703703707</v>
      </c>
      <c r="BN56" s="78">
        <f t="shared" si="2"/>
        <v>369.93</v>
      </c>
      <c r="BO56" s="78">
        <f t="shared" si="3"/>
        <v>0.5063657407407407</v>
      </c>
      <c r="BP56" s="78">
        <f t="shared" si="4"/>
        <v>0.515625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450</v>
      </c>
      <c r="Y60" s="55">
        <f t="shared" si="0"/>
        <v>450</v>
      </c>
      <c r="Z60" s="41">
        <f>IFERROR(IF(Y60=0,"",ROUNDUP(Y60/H60,0)*0.00902),"")</f>
        <v>0.90200000000000002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469</v>
      </c>
      <c r="BN60" s="78">
        <f t="shared" si="2"/>
        <v>469</v>
      </c>
      <c r="BO60" s="78">
        <f t="shared" si="3"/>
        <v>0.75757575757575757</v>
      </c>
      <c r="BP60" s="78">
        <f t="shared" si="4"/>
        <v>0.75757575757575757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132.40740740740739</v>
      </c>
      <c r="Y61" s="43">
        <f>IFERROR(Y55/H55,"0")+IFERROR(Y56/H56,"0")+IFERROR(Y57/H57,"0")+IFERROR(Y58/H58,"0")+IFERROR(Y59/H59,"0")+IFERROR(Y60/H60,"0")</f>
        <v>133</v>
      </c>
      <c r="Z61" s="43">
        <f>IFERROR(IF(Z55="",0,Z55),"0")+IFERROR(IF(Z56="",0,Z56),"0")+IFERROR(IF(Z57="",0,Z57),"0")+IFERROR(IF(Z58="",0,Z58),"0")+IFERROR(IF(Z59="",0,Z59),"0")+IFERROR(IF(Z60="",0,Z60),"0")</f>
        <v>1.52834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800</v>
      </c>
      <c r="Y62" s="43">
        <f>IFERROR(SUM(Y55:Y60),"0")</f>
        <v>806.40000000000009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300</v>
      </c>
      <c r="Y64" s="55">
        <f>IFERROR(IF(X64="",0,CEILING((X64/$H64),1)*$H64),"")</f>
        <v>302.40000000000003</v>
      </c>
      <c r="Z64" s="41">
        <f>IFERROR(IF(Y64=0,"",ROUNDUP(Y64/H64,0)*0.01898),"")</f>
        <v>0.53144000000000002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311.38888888888891</v>
      </c>
      <c r="BN64" s="78">
        <f>IFERROR(Y64*I64/H64,"0")</f>
        <v>313.88</v>
      </c>
      <c r="BO64" s="78">
        <f>IFERROR(1/J64*(X64/H64),"0")</f>
        <v>0.43402777777777773</v>
      </c>
      <c r="BP64" s="78">
        <f>IFERROR(1/J64*(Y64/H64),"0")</f>
        <v>0.4375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135</v>
      </c>
      <c r="Y67" s="55">
        <f>IFERROR(IF(X67="",0,CEILING((X67/$H67),1)*$H67),"")</f>
        <v>135</v>
      </c>
      <c r="Z67" s="41">
        <f>IFERROR(IF(Y67=0,"",ROUNDUP(Y67/H67,0)*0.00651),"")</f>
        <v>0.32550000000000001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144</v>
      </c>
      <c r="BN67" s="78">
        <f>IFERROR(Y67*I67/H67,"0")</f>
        <v>144</v>
      </c>
      <c r="BO67" s="78">
        <f>IFERROR(1/J67*(X67/H67),"0")</f>
        <v>0.27472527472527475</v>
      </c>
      <c r="BP67" s="78">
        <f>IFERROR(1/J67*(Y67/H67),"0")</f>
        <v>0.27472527472527475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77.777777777777771</v>
      </c>
      <c r="Y68" s="43">
        <f>IFERROR(Y64/H64,"0")+IFERROR(Y65/H65,"0")+IFERROR(Y66/H66,"0")+IFERROR(Y67/H67,"0")</f>
        <v>78</v>
      </c>
      <c r="Z68" s="43">
        <f>IFERROR(IF(Z64="",0,Z64),"0")+IFERROR(IF(Z65="",0,Z65),"0")+IFERROR(IF(Z66="",0,Z66),"0")+IFERROR(IF(Z67="",0,Z67),"0")</f>
        <v>0.85694000000000004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435</v>
      </c>
      <c r="Y69" s="43">
        <f>IFERROR(SUM(Y64:Y67),"0")</f>
        <v>437.40000000000003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20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21.051282051282055</v>
      </c>
      <c r="BN77" s="78">
        <f>IFERROR(Y77*I77/H77,"0")</f>
        <v>24.630000000000003</v>
      </c>
      <c r="BO77" s="78">
        <f>IFERROR(1/J77*(X77/H77),"0")</f>
        <v>4.0064102564102567E-2</v>
      </c>
      <c r="BP77" s="78">
        <f>IFERROR(1/J77*(Y77/H77),"0")</f>
        <v>4.6875E-2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2.5641025641025643</v>
      </c>
      <c r="Y81" s="43">
        <f>IFERROR(Y77/H77,"0")+IFERROR(Y78/H78,"0")+IFERROR(Y79/H79,"0")+IFERROR(Y80/H80,"0")</f>
        <v>3</v>
      </c>
      <c r="Z81" s="43">
        <f>IFERROR(IF(Z77="",0,Z77),"0")+IFERROR(IF(Z78="",0,Z78),"0")+IFERROR(IF(Z79="",0,Z79),"0")+IFERROR(IF(Z80="",0,Z80),"0")</f>
        <v>5.6940000000000004E-2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20</v>
      </c>
      <c r="Y82" s="43">
        <f>IFERROR(SUM(Y77:Y80),"0")</f>
        <v>23.4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100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103.79629629629629</v>
      </c>
      <c r="BN85" s="78">
        <f>IFERROR(Y85*I85/H85,"0")</f>
        <v>112.1</v>
      </c>
      <c r="BO85" s="78">
        <f>IFERROR(1/J85*(X85/H85),"0")</f>
        <v>0.14467592592592593</v>
      </c>
      <c r="BP85" s="78">
        <f>IFERROR(1/J85*(Y85/H85),"0")</f>
        <v>0.15625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315</v>
      </c>
      <c r="Y89" s="55">
        <f>IFERROR(IF(X89="",0,CEILING((X89/$H89),1)*$H89),"")</f>
        <v>315</v>
      </c>
      <c r="Z89" s="41">
        <f>IFERROR(IF(Y89=0,"",ROUNDUP(Y89/H89,0)*0.00902),"")</f>
        <v>0.63139999999999996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328.3</v>
      </c>
      <c r="BN89" s="78">
        <f>IFERROR(Y89*I89/H89,"0")</f>
        <v>328.3</v>
      </c>
      <c r="BO89" s="78">
        <f>IFERROR(1/J89*(X89/H89),"0")</f>
        <v>0.53030303030303028</v>
      </c>
      <c r="BP89" s="78">
        <f>IFERROR(1/J89*(Y89/H89),"0")</f>
        <v>0.53030303030303028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79.259259259259267</v>
      </c>
      <c r="Y90" s="43">
        <f>IFERROR(Y85/H85,"0")+IFERROR(Y86/H86,"0")+IFERROR(Y87/H87,"0")+IFERROR(Y88/H88,"0")+IFERROR(Y89/H89,"0")</f>
        <v>80</v>
      </c>
      <c r="Z90" s="43">
        <f>IFERROR(IF(Z85="",0,Z85),"0")+IFERROR(IF(Z86="",0,Z86),"0")+IFERROR(IF(Z87="",0,Z87),"0")+IFERROR(IF(Z88="",0,Z88),"0")+IFERROR(IF(Z89="",0,Z89),"0")</f>
        <v>0.82119999999999993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415</v>
      </c>
      <c r="Y91" s="43">
        <f>IFERROR(SUM(Y85:Y89),"0")</f>
        <v>423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300</v>
      </c>
      <c r="Y93" s="55">
        <f t="shared" ref="Y93:Y99" si="5"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318.2962962962963</v>
      </c>
      <c r="BN93" s="78">
        <f t="shared" ref="BN93:BN99" si="7">IFERROR(Y93*I93/H93,"0")</f>
        <v>326.572</v>
      </c>
      <c r="BO93" s="78">
        <f t="shared" ref="BO93:BO99" si="8">IFERROR(1/J93*(X93/H93),"0")</f>
        <v>0.57870370370370372</v>
      </c>
      <c r="BP93" s="78">
        <f t="shared" ref="BP93:BP99" si="9">IFERROR(1/J93*(Y93/H93),"0")</f>
        <v>0.59375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585</v>
      </c>
      <c r="Y97" s="55">
        <f t="shared" si="5"/>
        <v>585.90000000000009</v>
      </c>
      <c r="Z97" s="41">
        <f>IFERROR(IF(Y97=0,"",ROUNDUP(Y97/H97,0)*0.00651),"")</f>
        <v>1.4126700000000001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639.6</v>
      </c>
      <c r="BN97" s="78">
        <f t="shared" si="7"/>
        <v>640.58400000000006</v>
      </c>
      <c r="BO97" s="78">
        <f t="shared" si="8"/>
        <v>1.1904761904761905</v>
      </c>
      <c r="BP97" s="78">
        <f t="shared" si="9"/>
        <v>1.1923076923076925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253.7037037037037</v>
      </c>
      <c r="Y100" s="43">
        <f>IFERROR(Y93/H93,"0")+IFERROR(Y94/H94,"0")+IFERROR(Y95/H95,"0")+IFERROR(Y96/H96,"0")+IFERROR(Y97/H97,"0")+IFERROR(Y98/H98,"0")+IFERROR(Y99/H99,"0")</f>
        <v>255.00000000000003</v>
      </c>
      <c r="Z100" s="43">
        <f>IFERROR(IF(Z93="",0,Z93),"0")+IFERROR(IF(Z94="",0,Z94),"0")+IFERROR(IF(Z95="",0,Z95),"0")+IFERROR(IF(Z96="",0,Z96),"0")+IFERROR(IF(Z97="",0,Z97),"0")+IFERROR(IF(Z98="",0,Z98),"0")+IFERROR(IF(Z99="",0,Z99),"0")</f>
        <v>2.1339100000000002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885</v>
      </c>
      <c r="Y101" s="43">
        <f>IFERROR(SUM(Y93:Y99),"0")</f>
        <v>893.7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360</v>
      </c>
      <c r="Y109" s="55">
        <f t="shared" si="10"/>
        <v>360</v>
      </c>
      <c r="Z109" s="41">
        <f>IFERROR(IF(Y109=0,"",ROUNDUP(Y109/H109,0)*0.00902),"")</f>
        <v>0.72160000000000002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375.20000000000005</v>
      </c>
      <c r="BN109" s="78">
        <f t="shared" si="12"/>
        <v>375.20000000000005</v>
      </c>
      <c r="BO109" s="78">
        <f t="shared" si="13"/>
        <v>0.60606060606060608</v>
      </c>
      <c r="BP109" s="78">
        <f t="shared" si="14"/>
        <v>0.60606060606060608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80</v>
      </c>
      <c r="Y112" s="43">
        <f>IFERROR(Y104/H104,"0")+IFERROR(Y105/H105,"0")+IFERROR(Y106/H106,"0")+IFERROR(Y107/H107,"0")+IFERROR(Y108/H108,"0")+IFERROR(Y109/H109,"0")+IFERROR(Y110/H110,"0")+IFERROR(Y111/H111,"0")</f>
        <v>80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0.72160000000000002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360</v>
      </c>
      <c r="Y113" s="43">
        <f>IFERROR(SUM(Y104:Y111),"0")</f>
        <v>360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250</v>
      </c>
      <c r="Y123" s="55">
        <f t="shared" ref="Y123:Y130" si="15">IFERROR(IF(X123="",0,CEILING((X123/$H123),1)*$H123),"")</f>
        <v>251.1</v>
      </c>
      <c r="Z123" s="41">
        <f>IFERROR(IF(Y123=0,"",ROUNDUP(Y123/H123,0)*0.01898),"")</f>
        <v>0.58838000000000001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265.06172839506172</v>
      </c>
      <c r="BN123" s="78">
        <f t="shared" ref="BN123:BN130" si="17">IFERROR(Y123*I123/H123,"0")</f>
        <v>266.22799999999995</v>
      </c>
      <c r="BO123" s="78">
        <f t="shared" ref="BO123:BO130" si="18">IFERROR(1/J123*(X123/H123),"0")</f>
        <v>0.48225308641975312</v>
      </c>
      <c r="BP123" s="78">
        <f t="shared" ref="BP123:BP130" si="19">IFERROR(1/J123*(Y123/H123),"0")</f>
        <v>0.484375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810</v>
      </c>
      <c r="Y127" s="55">
        <f t="shared" si="15"/>
        <v>810</v>
      </c>
      <c r="Z127" s="41">
        <f t="shared" si="20"/>
        <v>1.9530000000000001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885.59999999999991</v>
      </c>
      <c r="BN127" s="78">
        <f t="shared" si="17"/>
        <v>885.59999999999991</v>
      </c>
      <c r="BO127" s="78">
        <f t="shared" si="18"/>
        <v>1.6483516483516485</v>
      </c>
      <c r="BP127" s="78">
        <f t="shared" si="19"/>
        <v>1.6483516483516485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330.8641975308642</v>
      </c>
      <c r="Y131" s="43">
        <f>IFERROR(Y123/H123,"0")+IFERROR(Y124/H124,"0")+IFERROR(Y125/H125,"0")+IFERROR(Y126/H126,"0")+IFERROR(Y127/H127,"0")+IFERROR(Y128/H128,"0")+IFERROR(Y129/H129,"0")+IFERROR(Y130/H130,"0")</f>
        <v>331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2.5413800000000002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1060</v>
      </c>
      <c r="Y132" s="43">
        <f>IFERROR(SUM(Y123:Y130),"0")</f>
        <v>1061.0999999999999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99</v>
      </c>
      <c r="Y134" s="55">
        <f>IFERROR(IF(X134="",0,CEILING((X134/$H134),1)*$H134),"")</f>
        <v>99</v>
      </c>
      <c r="Z134" s="41">
        <f>IFERROR(IF(Y134=0,"",ROUNDUP(Y134/H134,0)*0.00651),"")</f>
        <v>0.32550000000000001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111.9</v>
      </c>
      <c r="BN134" s="78">
        <f>IFERROR(Y134*I134/H134,"0")</f>
        <v>111.9</v>
      </c>
      <c r="BO134" s="78">
        <f>IFERROR(1/J134*(X134/H134),"0")</f>
        <v>0.27472527472527475</v>
      </c>
      <c r="BP134" s="78">
        <f>IFERROR(1/J134*(Y134/H134),"0")</f>
        <v>0.27472527472527475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50</v>
      </c>
      <c r="Y136" s="43">
        <f>IFERROR(Y134/H134,"0")+IFERROR(Y135/H135,"0")</f>
        <v>50</v>
      </c>
      <c r="Z136" s="43">
        <f>IFERROR(IF(Z134="",0,Z134),"0")+IFERROR(IF(Z135="",0,Z135),"0")</f>
        <v>0.32550000000000001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99</v>
      </c>
      <c r="Y137" s="43">
        <f>IFERROR(SUM(Y134:Y135),"0")</f>
        <v>99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80</v>
      </c>
      <c r="Y141" s="55">
        <f>IFERROR(IF(X141="",0,CEILING((X141/$H141),1)*$H141),"")</f>
        <v>80</v>
      </c>
      <c r="Z141" s="41">
        <f>IFERROR(IF(Y141=0,"",ROUNDUP(Y141/H141,0)*0.00651),"")</f>
        <v>0.16275000000000001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84.499999999999986</v>
      </c>
      <c r="BN141" s="78">
        <f>IFERROR(Y141*I141/H141,"0")</f>
        <v>84.499999999999986</v>
      </c>
      <c r="BO141" s="78">
        <f>IFERROR(1/J141*(X141/H141),"0")</f>
        <v>0.13736263736263737</v>
      </c>
      <c r="BP141" s="78">
        <f>IFERROR(1/J141*(Y141/H141),"0")</f>
        <v>0.13736263736263737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25</v>
      </c>
      <c r="Y142" s="43">
        <f>IFERROR(Y140/H140,"0")+IFERROR(Y141/H141,"0")</f>
        <v>25</v>
      </c>
      <c r="Z142" s="43">
        <f>IFERROR(IF(Z140="",0,Z140),"0")+IFERROR(IF(Z141="",0,Z141),"0")</f>
        <v>0.16275000000000001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80</v>
      </c>
      <c r="Y143" s="43">
        <f>IFERROR(SUM(Y140:Y141),"0")</f>
        <v>80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87.5</v>
      </c>
      <c r="Y145" s="55">
        <f>IFERROR(IF(X145="",0,CEILING((X145/$H145),1)*$H145),"")</f>
        <v>89.6</v>
      </c>
      <c r="Z145" s="41">
        <f>IFERROR(IF(Y145=0,"",ROUNDUP(Y145/H145,0)*0.00651),"")</f>
        <v>0.20832000000000001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95.875</v>
      </c>
      <c r="BN145" s="78">
        <f>IFERROR(Y145*I145/H145,"0")</f>
        <v>98.175999999999988</v>
      </c>
      <c r="BO145" s="78">
        <f>IFERROR(1/J145*(X145/H145),"0")</f>
        <v>0.17170329670329673</v>
      </c>
      <c r="BP145" s="78">
        <f>IFERROR(1/J145*(Y145/H145),"0")</f>
        <v>0.17582417582417584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31.250000000000004</v>
      </c>
      <c r="Y147" s="43">
        <f>IFERROR(Y145/H145,"0")+IFERROR(Y146/H146,"0")</f>
        <v>32</v>
      </c>
      <c r="Z147" s="43">
        <f>IFERROR(IF(Z145="",0,Z145),"0")+IFERROR(IF(Z146="",0,Z146),"0")</f>
        <v>0.20832000000000001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87.5</v>
      </c>
      <c r="Y148" s="43">
        <f>IFERROR(SUM(Y145:Y146),"0")</f>
        <v>89.6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115.5</v>
      </c>
      <c r="Y150" s="55">
        <f>IFERROR(IF(X150="",0,CEILING((X150/$H150),1)*$H150),"")</f>
        <v>116.16000000000001</v>
      </c>
      <c r="Z150" s="41">
        <f>IFERROR(IF(Y150=0,"",ROUNDUP(Y150/H150,0)*0.00651),"")</f>
        <v>0.28644000000000003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127.22499999999998</v>
      </c>
      <c r="BN150" s="78">
        <f>IFERROR(Y150*I150/H150,"0")</f>
        <v>127.95200000000001</v>
      </c>
      <c r="BO150" s="78">
        <f>IFERROR(1/J150*(X150/H150),"0")</f>
        <v>0.24038461538461539</v>
      </c>
      <c r="BP150" s="78">
        <f>IFERROR(1/J150*(Y150/H150),"0")</f>
        <v>0.24175824175824179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43.75</v>
      </c>
      <c r="Y152" s="43">
        <f>IFERROR(Y150/H150,"0")+IFERROR(Y151/H151,"0")</f>
        <v>44</v>
      </c>
      <c r="Z152" s="43">
        <f>IFERROR(IF(Z150="",0,Z150),"0")+IFERROR(IF(Z151="",0,Z151),"0")</f>
        <v>0.28644000000000003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115.5</v>
      </c>
      <c r="Y153" s="43">
        <f>IFERROR(SUM(Y150:Y151),"0")</f>
        <v>116.16000000000001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200</v>
      </c>
      <c r="Y182" s="55">
        <f t="shared" ref="Y182:Y195" si="27">IFERROR(IF(X182="",0,CEILING((X182/$H182),1)*$H182),"")</f>
        <v>203</v>
      </c>
      <c r="Z182" s="41">
        <f t="shared" ref="Z182:Z187" si="28">IFERROR(IF(Y182=0,"",ROUNDUP(Y182/H182,0)*0.00902),"")</f>
        <v>0.52316000000000007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210.85714285714286</v>
      </c>
      <c r="BN182" s="78">
        <f t="shared" ref="BN182:BN195" si="30">IFERROR(Y182*I182/H182,"0")</f>
        <v>214.01999999999998</v>
      </c>
      <c r="BO182" s="78">
        <f t="shared" ref="BO182:BO195" si="31">IFERROR(1/J182*(X182/H182),"0")</f>
        <v>0.43290043290043295</v>
      </c>
      <c r="BP182" s="78">
        <f t="shared" ref="BP182:BP195" si="32">IFERROR(1/J182*(Y182/H182),"0")</f>
        <v>0.43939393939393939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300</v>
      </c>
      <c r="Y184" s="55">
        <f t="shared" si="27"/>
        <v>301</v>
      </c>
      <c r="Z184" s="41">
        <f t="shared" si="28"/>
        <v>0.77571999999999997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316.28571428571428</v>
      </c>
      <c r="BN184" s="78">
        <f t="shared" si="30"/>
        <v>317.34000000000003</v>
      </c>
      <c r="BO184" s="78">
        <f t="shared" si="31"/>
        <v>0.64935064935064934</v>
      </c>
      <c r="BP184" s="78">
        <f t="shared" si="32"/>
        <v>0.65151515151515149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300</v>
      </c>
      <c r="Y186" s="55">
        <f t="shared" si="27"/>
        <v>301</v>
      </c>
      <c r="Z186" s="41">
        <f t="shared" si="28"/>
        <v>0.77571999999999997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316.28571428571428</v>
      </c>
      <c r="BN186" s="78">
        <f t="shared" si="30"/>
        <v>317.34000000000003</v>
      </c>
      <c r="BO186" s="78">
        <f t="shared" si="31"/>
        <v>0.64935064935064934</v>
      </c>
      <c r="BP186" s="78">
        <f t="shared" si="32"/>
        <v>0.65151515151515149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140</v>
      </c>
      <c r="Y190" s="55">
        <f t="shared" si="27"/>
        <v>141.12</v>
      </c>
      <c r="Z190" s="41">
        <f>IFERROR(IF(Y190=0,"",ROUNDUP(Y190/H190,0)*0.00502),"")</f>
        <v>0.42168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148.33333333333334</v>
      </c>
      <c r="BN190" s="78">
        <f t="shared" si="30"/>
        <v>149.52000000000001</v>
      </c>
      <c r="BO190" s="78">
        <f t="shared" si="31"/>
        <v>0.35612535612535623</v>
      </c>
      <c r="BP190" s="78">
        <f t="shared" si="32"/>
        <v>0.35897435897435903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140</v>
      </c>
      <c r="Y192" s="55">
        <f t="shared" si="27"/>
        <v>141.12</v>
      </c>
      <c r="Z192" s="41">
        <f>IFERROR(IF(Y192=0,"",ROUNDUP(Y192/H192,0)*0.00502),"")</f>
        <v>0.42168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148.33333333333334</v>
      </c>
      <c r="BN192" s="78">
        <f t="shared" si="30"/>
        <v>149.52000000000001</v>
      </c>
      <c r="BO192" s="78">
        <f t="shared" si="31"/>
        <v>0.35612535612535623</v>
      </c>
      <c r="BP192" s="78">
        <f t="shared" si="32"/>
        <v>0.35897435897435903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140</v>
      </c>
      <c r="Y195" s="55">
        <f t="shared" si="27"/>
        <v>141.12</v>
      </c>
      <c r="Z195" s="41">
        <f>IFERROR(IF(Y195=0,"",ROUNDUP(Y195/H195,0)*0.00502),"")</f>
        <v>0.42168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148.33333333333334</v>
      </c>
      <c r="BN195" s="78">
        <f t="shared" si="30"/>
        <v>149.52000000000001</v>
      </c>
      <c r="BO195" s="78">
        <f t="shared" si="31"/>
        <v>0.35612535612535623</v>
      </c>
      <c r="BP195" s="78">
        <f t="shared" si="32"/>
        <v>0.35897435897435903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478.57142857142867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482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3.3396399999999997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1220</v>
      </c>
      <c r="Y197" s="43">
        <f>IFERROR(SUM(Y182:Y195),"0")</f>
        <v>1228.3600000000001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150</v>
      </c>
      <c r="Y230" s="55">
        <f t="shared" ref="Y230:Y243" si="39">IFERROR(IF(X230="",0,CEILING((X230/$H230),1)*$H230),"")</f>
        <v>151.20000000000002</v>
      </c>
      <c r="Z230" s="41">
        <f>IFERROR(IF(Y230=0,"",ROUNDUP(Y230/H230,0)*0.00902),"")</f>
        <v>0.32472000000000001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158.92857142857142</v>
      </c>
      <c r="BN230" s="78">
        <f t="shared" ref="BN230:BN243" si="41">IFERROR(Y230*I230/H230,"0")</f>
        <v>160.20000000000002</v>
      </c>
      <c r="BO230" s="78">
        <f t="shared" ref="BO230:BO243" si="42">IFERROR(1/J230*(X230/H230),"0")</f>
        <v>0.27056277056277056</v>
      </c>
      <c r="BP230" s="78">
        <f t="shared" ref="BP230:BP243" si="43">IFERROR(1/J230*(Y230/H230),"0")</f>
        <v>0.27272727272727271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150</v>
      </c>
      <c r="Y232" s="55">
        <f t="shared" si="39"/>
        <v>151.20000000000002</v>
      </c>
      <c r="Z232" s="41">
        <f>IFERROR(IF(Y232=0,"",ROUNDUP(Y232/H232,0)*0.00902),"")</f>
        <v>0.32472000000000001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156.78571428571428</v>
      </c>
      <c r="BN232" s="78">
        <f t="shared" si="41"/>
        <v>158.04</v>
      </c>
      <c r="BO232" s="78">
        <f t="shared" si="42"/>
        <v>0.27056277056277056</v>
      </c>
      <c r="BP232" s="78">
        <f t="shared" si="43"/>
        <v>0.27272727272727271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8</v>
      </c>
      <c r="Y233" s="55">
        <f t="shared" si="39"/>
        <v>8</v>
      </c>
      <c r="Z233" s="41">
        <f>IFERROR(IF(Y233=0,"",ROUNDUP(Y233/H233,0)*0.00556),"")</f>
        <v>5.5599999999999997E-2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9.3000000000000007</v>
      </c>
      <c r="BN233" s="78">
        <f t="shared" si="41"/>
        <v>9.3000000000000007</v>
      </c>
      <c r="BO233" s="78">
        <f t="shared" si="42"/>
        <v>3.968253968253968E-2</v>
      </c>
      <c r="BP233" s="78">
        <f t="shared" si="43"/>
        <v>3.968253968253968E-2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8</v>
      </c>
      <c r="Y240" s="55">
        <f t="shared" si="39"/>
        <v>8</v>
      </c>
      <c r="Z240" s="41">
        <f>IFERROR(IF(Y240=0,"",ROUNDUP(Y240/H240,0)*0.00417),"")</f>
        <v>4.1700000000000001E-2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10.1</v>
      </c>
      <c r="BN240" s="78">
        <f t="shared" si="41"/>
        <v>10.1</v>
      </c>
      <c r="BO240" s="78">
        <f t="shared" si="42"/>
        <v>2.976190476190476E-2</v>
      </c>
      <c r="BP240" s="78">
        <f t="shared" si="43"/>
        <v>2.976190476190476E-2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91.428571428571431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92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0.74673999999999996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316</v>
      </c>
      <c r="Y245" s="43">
        <f>IFERROR(SUM(Y230:Y243),"0")</f>
        <v>318.40000000000003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7.0000000000000009</v>
      </c>
      <c r="Y255" s="55">
        <f>IFERROR(IF(X255="",0,CEILING((X255/$H255),1)*$H255),"")</f>
        <v>7.5600000000000005</v>
      </c>
      <c r="Z255" s="41">
        <f>IFERROR(IF(Y255=0,"",ROUNDUP(Y255/H255,0)*0.0059),"")</f>
        <v>3.5400000000000001E-2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8.0555555555555554</v>
      </c>
      <c r="BN255" s="78">
        <f>IFERROR(Y255*I255/H255,"0")</f>
        <v>8.6999999999999993</v>
      </c>
      <c r="BO255" s="78">
        <f>IFERROR(1/J255*(X255/H255),"0")</f>
        <v>2.5720164609053499E-2</v>
      </c>
      <c r="BP255" s="78">
        <f>IFERROR(1/J255*(Y255/H255),"0")</f>
        <v>2.7777777777777776E-2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14.000000000000002</v>
      </c>
      <c r="Y256" s="55">
        <f>IFERROR(IF(X256="",0,CEILING((X256/$H256),1)*$H256),"")</f>
        <v>15.120000000000001</v>
      </c>
      <c r="Z256" s="41">
        <f>IFERROR(IF(Y256=0,"",ROUNDUP(Y256/H256,0)*0.0059),"")</f>
        <v>7.0800000000000002E-2</v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16.111111111111111</v>
      </c>
      <c r="BN256" s="78">
        <f>IFERROR(Y256*I256/H256,"0")</f>
        <v>17.399999999999999</v>
      </c>
      <c r="BO256" s="78">
        <f>IFERROR(1/J256*(X256/H256),"0")</f>
        <v>5.1440329218106998E-2</v>
      </c>
      <c r="BP256" s="78">
        <f>IFERROR(1/J256*(Y256/H256),"0")</f>
        <v>5.5555555555555552E-2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14.000000000000002</v>
      </c>
      <c r="Y257" s="55">
        <f>IFERROR(IF(X257="",0,CEILING((X257/$H257),1)*$H257),"")</f>
        <v>15.120000000000001</v>
      </c>
      <c r="Z257" s="41">
        <f>IFERROR(IF(Y257=0,"",ROUNDUP(Y257/H257,0)*0.0059),"")</f>
        <v>7.0800000000000002E-2</v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16.111111111111111</v>
      </c>
      <c r="BN257" s="78">
        <f>IFERROR(Y257*I257/H257,"0")</f>
        <v>17.399999999999999</v>
      </c>
      <c r="BO257" s="78">
        <f>IFERROR(1/J257*(X257/H257),"0")</f>
        <v>5.1440329218106998E-2</v>
      </c>
      <c r="BP257" s="78">
        <f>IFERROR(1/J257*(Y257/H257),"0")</f>
        <v>5.5555555555555552E-2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27.777777777777779</v>
      </c>
      <c r="Y258" s="43">
        <f>IFERROR(Y255/H255,"0")+IFERROR(Y256/H256,"0")+IFERROR(Y257/H257,"0")</f>
        <v>30</v>
      </c>
      <c r="Z258" s="43">
        <f>IFERROR(IF(Z255="",0,Z255),"0")+IFERROR(IF(Z256="",0,Z256),"0")+IFERROR(IF(Z257="",0,Z257),"0")</f>
        <v>0.17699999999999999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35.000000000000007</v>
      </c>
      <c r="Y259" s="43">
        <f>IFERROR(SUM(Y255:Y257),"0")</f>
        <v>37.799999999999997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7.0000000000000009</v>
      </c>
      <c r="Y261" s="55">
        <f>IFERROR(IF(X261="",0,CEILING((X261/$H261),1)*$H261),"")</f>
        <v>7.5600000000000005</v>
      </c>
      <c r="Z261" s="41">
        <f>IFERROR(IF(Y261=0,"",ROUNDUP(Y261/H261,0)*0.0059),"")</f>
        <v>3.5400000000000001E-2</v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8.0555555555555554</v>
      </c>
      <c r="BN261" s="78">
        <f>IFERROR(Y261*I261/H261,"0")</f>
        <v>8.6999999999999993</v>
      </c>
      <c r="BO261" s="78">
        <f>IFERROR(1/J261*(X261/H261),"0")</f>
        <v>2.5720164609053499E-2</v>
      </c>
      <c r="BP261" s="78">
        <f>IFERROR(1/J261*(Y261/H261),"0")</f>
        <v>2.7777777777777776E-2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5.5555555555555562</v>
      </c>
      <c r="Y262" s="43">
        <f>IFERROR(Y261/H261,"0")</f>
        <v>6</v>
      </c>
      <c r="Z262" s="43">
        <f>IFERROR(IF(Z261="",0,Z261),"0")</f>
        <v>3.5400000000000001E-2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7.0000000000000009</v>
      </c>
      <c r="Y263" s="43">
        <f>IFERROR(SUM(Y261:Y261),"0")</f>
        <v>7.5600000000000005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650</v>
      </c>
      <c r="Y276" s="55">
        <f t="shared" ref="Y276:Y283" si="45">IFERROR(IF(X276="",0,CEILING((X276/$H276),1)*$H276),"")</f>
        <v>653.40000000000009</v>
      </c>
      <c r="Z276" s="41">
        <f>IFERROR(IF(Y276=0,"",ROUNDUP(Y276/H276,0)*0.00902),"")</f>
        <v>1.0914200000000001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672.87037037037032</v>
      </c>
      <c r="BN276" s="78">
        <f t="shared" ref="BN276:BN283" si="47">IFERROR(Y276*I276/H276,"0")</f>
        <v>676.39</v>
      </c>
      <c r="BO276" s="78">
        <f t="shared" ref="BO276:BO283" si="48">IFERROR(1/J276*(X276/H276),"0")</f>
        <v>0.91189674523007858</v>
      </c>
      <c r="BP276" s="78">
        <f t="shared" ref="BP276:BP283" si="49">IFERROR(1/J276*(Y276/H276),"0")</f>
        <v>0.91666666666666685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50</v>
      </c>
      <c r="Y277" s="55">
        <f t="shared" si="45"/>
        <v>54</v>
      </c>
      <c r="Z277" s="41">
        <f>IFERROR(IF(Y277=0,"",ROUNDUP(Y277/H277,0)*0.00902),"")</f>
        <v>9.0200000000000002E-2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51.759259259259252</v>
      </c>
      <c r="BN277" s="78">
        <f t="shared" si="47"/>
        <v>55.9</v>
      </c>
      <c r="BO277" s="78">
        <f t="shared" si="48"/>
        <v>7.0145903479236812E-2</v>
      </c>
      <c r="BP277" s="78">
        <f t="shared" si="49"/>
        <v>7.575757575757576E-2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250</v>
      </c>
      <c r="Y278" s="55">
        <f t="shared" si="45"/>
        <v>253.8</v>
      </c>
      <c r="Z278" s="41">
        <f>IFERROR(IF(Y278=0,"",ROUNDUP(Y278/H278,0)*0.00902),"")</f>
        <v>0.42393999999999998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258.7962962962963</v>
      </c>
      <c r="BN278" s="78">
        <f t="shared" si="47"/>
        <v>262.72999999999996</v>
      </c>
      <c r="BO278" s="78">
        <f t="shared" si="48"/>
        <v>0.35072951739618402</v>
      </c>
      <c r="BP278" s="78">
        <f t="shared" si="49"/>
        <v>0.35606060606060608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45"/>
        <v>205.20000000000002</v>
      </c>
      <c r="Z279" s="41">
        <f>IFERROR(IF(Y279=0,"",ROUNDUP(Y279/H279,0)*0.00902),"")</f>
        <v>0.34276000000000001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207.03703703703701</v>
      </c>
      <c r="BN279" s="78">
        <f t="shared" si="47"/>
        <v>212.42</v>
      </c>
      <c r="BO279" s="78">
        <f t="shared" si="48"/>
        <v>0.28058361391694725</v>
      </c>
      <c r="BP279" s="78">
        <f t="shared" si="49"/>
        <v>0.2878787878787879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212.96296296296296</v>
      </c>
      <c r="Y284" s="43">
        <f>IFERROR(Y276/H276,"0")+IFERROR(Y277/H277,"0")+IFERROR(Y278/H278,"0")+IFERROR(Y279/H279,"0")+IFERROR(Y280/H280,"0")+IFERROR(Y281/H281,"0")+IFERROR(Y282/H282,"0")+IFERROR(Y283/H283,"0")</f>
        <v>216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1.9483200000000001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1150</v>
      </c>
      <c r="Y285" s="43">
        <f>IFERROR(SUM(Y276:Y283),"0")</f>
        <v>1166.4000000000001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350</v>
      </c>
      <c r="Y287" s="55">
        <f t="shared" ref="Y287:Y298" si="50">IFERROR(IF(X287="",0,CEILING((X287/$H287),1)*$H287),"")</f>
        <v>356.4</v>
      </c>
      <c r="Z287" s="41">
        <f>IFERROR(IF(Y287=0,"",ROUNDUP(Y287/H287,0)*0.01898),"")</f>
        <v>0.83511999999999997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371.34567901234567</v>
      </c>
      <c r="BN287" s="78">
        <f t="shared" ref="BN287:BN298" si="52">IFERROR(Y287*I287/H287,"0")</f>
        <v>378.13599999999997</v>
      </c>
      <c r="BO287" s="78">
        <f t="shared" ref="BO287:BO298" si="53">IFERROR(1/J287*(X287/H287),"0")</f>
        <v>0.67515432098765438</v>
      </c>
      <c r="BP287" s="78">
        <f t="shared" ref="BP287:BP298" si="54">IFERROR(1/J287*(Y287/H287),"0")</f>
        <v>0.6875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900</v>
      </c>
      <c r="Y288" s="55">
        <f t="shared" si="50"/>
        <v>907.19999999999993</v>
      </c>
      <c r="Z288" s="41">
        <f>IFERROR(IF(Y288=0,"",ROUNDUP(Y288/H288,0)*0.01898),"")</f>
        <v>2.1257600000000001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952.88888888888903</v>
      </c>
      <c r="BN288" s="78">
        <f t="shared" si="52"/>
        <v>960.51199999999994</v>
      </c>
      <c r="BO288" s="78">
        <f t="shared" si="53"/>
        <v>1.7361111111111112</v>
      </c>
      <c r="BP288" s="78">
        <f t="shared" si="54"/>
        <v>1.75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680</v>
      </c>
      <c r="Y293" s="55">
        <f t="shared" si="50"/>
        <v>681.6</v>
      </c>
      <c r="Z293" s="41">
        <f>IFERROR(IF(Y293=0,"",ROUNDUP(Y293/H293,0)*0.00651),"")</f>
        <v>1.84884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751.40000000000009</v>
      </c>
      <c r="BN293" s="78">
        <f t="shared" si="52"/>
        <v>753.16800000000012</v>
      </c>
      <c r="BO293" s="78">
        <f t="shared" si="53"/>
        <v>1.556776556776557</v>
      </c>
      <c r="BP293" s="78">
        <f t="shared" si="54"/>
        <v>1.5604395604395607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360</v>
      </c>
      <c r="Y297" s="55">
        <f t="shared" si="50"/>
        <v>360</v>
      </c>
      <c r="Z297" s="41">
        <f>IFERROR(IF(Y297=0,"",ROUNDUP(Y297/H297,0)*0.00651),"")</f>
        <v>0.97650000000000003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398.7</v>
      </c>
      <c r="BN297" s="78">
        <f t="shared" si="52"/>
        <v>398.7</v>
      </c>
      <c r="BO297" s="78">
        <f t="shared" si="53"/>
        <v>0.82417582417582425</v>
      </c>
      <c r="BP297" s="78">
        <f t="shared" si="54"/>
        <v>0.82417582417582425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587.65432098765439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590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5.7862200000000001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2290</v>
      </c>
      <c r="Y300" s="43">
        <f>IFERROR(SUM(Y287:Y298),"0")</f>
        <v>2305.1999999999998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30</v>
      </c>
      <c r="Y310" s="55">
        <f t="shared" si="55"/>
        <v>34.799999999999997</v>
      </c>
      <c r="Z310" s="41">
        <f>IFERROR(IF(Y310=0,"",ROUNDUP(Y310/H310,0)*0.01898),"")</f>
        <v>5.6940000000000004E-2</v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31.06034482758621</v>
      </c>
      <c r="BN310" s="78">
        <f t="shared" si="57"/>
        <v>36.03</v>
      </c>
      <c r="BO310" s="78">
        <f t="shared" si="58"/>
        <v>4.0409482758620691E-2</v>
      </c>
      <c r="BP310" s="78">
        <f t="shared" si="59"/>
        <v>4.6875E-2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24</v>
      </c>
      <c r="Y311" s="55">
        <f t="shared" si="55"/>
        <v>24</v>
      </c>
      <c r="Z311" s="41">
        <f>IFERROR(IF(Y311=0,"",ROUNDUP(Y311/H311,0)*0.00902),"")</f>
        <v>5.4120000000000001E-2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25.14</v>
      </c>
      <c r="BN311" s="78">
        <f t="shared" si="57"/>
        <v>25.14</v>
      </c>
      <c r="BO311" s="78">
        <f t="shared" si="58"/>
        <v>4.5454545454545456E-2</v>
      </c>
      <c r="BP311" s="78">
        <f t="shared" si="59"/>
        <v>4.5454545454545456E-2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40</v>
      </c>
      <c r="Y314" s="55">
        <f t="shared" si="55"/>
        <v>40</v>
      </c>
      <c r="Z314" s="41">
        <f>IFERROR(IF(Y314=0,"",ROUNDUP(Y314/H314,0)*0.00902),"")</f>
        <v>9.0200000000000002E-2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41.900000000000006</v>
      </c>
      <c r="BN314" s="78">
        <f t="shared" si="57"/>
        <v>41.900000000000006</v>
      </c>
      <c r="BO314" s="78">
        <f t="shared" si="58"/>
        <v>7.575757575757576E-2</v>
      </c>
      <c r="BP314" s="78">
        <f t="shared" si="59"/>
        <v>7.575757575757576E-2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18.586206896551722</v>
      </c>
      <c r="Y315" s="43">
        <f>IFERROR(Y308/H308,"0")+IFERROR(Y309/H309,"0")+IFERROR(Y310/H310,"0")+IFERROR(Y311/H311,"0")+IFERROR(Y312/H312,"0")+IFERROR(Y313/H313,"0")+IFERROR(Y314/H314,"0")</f>
        <v>19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0.20125999999999999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94</v>
      </c>
      <c r="Y316" s="43">
        <f>IFERROR(SUM(Y308:Y314),"0")</f>
        <v>98.8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18</v>
      </c>
      <c r="Y322" s="55">
        <f>IFERROR(IF(X322="",0,CEILING((X322/$H322),1)*$H322),"")</f>
        <v>18</v>
      </c>
      <c r="Z322" s="41">
        <f>IFERROR(IF(Y322=0,"",ROUNDUP(Y322/H322,0)*0.0059),"")</f>
        <v>5.8999999999999997E-2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19.750000000000004</v>
      </c>
      <c r="BN322" s="78">
        <f>IFERROR(Y322*I322/H322,"0")</f>
        <v>19.750000000000004</v>
      </c>
      <c r="BO322" s="78">
        <f>IFERROR(1/J322*(X322/H322),"0")</f>
        <v>4.6296296296296294E-2</v>
      </c>
      <c r="BP322" s="78">
        <f>IFERROR(1/J322*(Y322/H322),"0")</f>
        <v>4.6296296296296294E-2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10</v>
      </c>
      <c r="Y323" s="43">
        <f>IFERROR(Y322/H322,"0")</f>
        <v>10</v>
      </c>
      <c r="Z323" s="43">
        <f>IFERROR(IF(Z322="",0,Z322),"0")</f>
        <v>5.8999999999999997E-2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18</v>
      </c>
      <c r="Y324" s="43">
        <f>IFERROR(SUM(Y322:Y322),"0")</f>
        <v>18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18</v>
      </c>
      <c r="Y327" s="55">
        <f>IFERROR(IF(X327="",0,CEILING((X327/$H327),1)*$H327),"")</f>
        <v>18</v>
      </c>
      <c r="Z327" s="41">
        <f>IFERROR(IF(Y327=0,"",ROUNDUP(Y327/H327,0)*0.0059),"")</f>
        <v>5.8999999999999997E-2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19.750000000000004</v>
      </c>
      <c r="BN327" s="78">
        <f>IFERROR(Y327*I327/H327,"0")</f>
        <v>19.750000000000004</v>
      </c>
      <c r="BO327" s="78">
        <f>IFERROR(1/J327*(X327/H327),"0")</f>
        <v>4.6296296296296294E-2</v>
      </c>
      <c r="BP327" s="78">
        <f>IFERROR(1/J327*(Y327/H327),"0")</f>
        <v>4.6296296296296294E-2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5</v>
      </c>
      <c r="Y328" s="55">
        <f>IFERROR(IF(X328="",0,CEILING((X328/$H328),1)*$H328),"")</f>
        <v>5.4</v>
      </c>
      <c r="Z328" s="41">
        <f>IFERROR(IF(Y328=0,"",ROUNDUP(Y328/H328,0)*0.0059),"")</f>
        <v>3.5400000000000001E-2</v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6.0555555555555554</v>
      </c>
      <c r="BN328" s="78">
        <f>IFERROR(Y328*I328/H328,"0")</f>
        <v>6.5400000000000009</v>
      </c>
      <c r="BO328" s="78">
        <f>IFERROR(1/J328*(X328/H328),"0")</f>
        <v>2.5720164609053495E-2</v>
      </c>
      <c r="BP328" s="78">
        <f>IFERROR(1/J328*(Y328/H328),"0")</f>
        <v>2.7777777777777776E-2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15.555555555555555</v>
      </c>
      <c r="Y329" s="43">
        <f>IFERROR(Y326/H326,"0")+IFERROR(Y327/H327,"0")+IFERROR(Y328/H328,"0")</f>
        <v>16</v>
      </c>
      <c r="Z329" s="43">
        <f>IFERROR(IF(Z326="",0,Z326),"0")+IFERROR(IF(Z327="",0,Z327),"0")+IFERROR(IF(Z328="",0,Z328),"0")</f>
        <v>9.4399999999999998E-2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23</v>
      </c>
      <c r="Y330" s="43">
        <f>IFERROR(SUM(Y326:Y328),"0")</f>
        <v>23.4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120</v>
      </c>
      <c r="Y343" s="55">
        <f>IFERROR(IF(X343="",0,CEILING((X343/$H343),1)*$H343),"")</f>
        <v>120</v>
      </c>
      <c r="Z343" s="41">
        <f>IFERROR(IF(Y343=0,"",ROUNDUP(Y343/H343,0)*0.00651),"")</f>
        <v>0.32550000000000001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132.60000000000002</v>
      </c>
      <c r="BN343" s="78">
        <f>IFERROR(Y343*I343/H343,"0")</f>
        <v>132.60000000000002</v>
      </c>
      <c r="BO343" s="78">
        <f>IFERROR(1/J343*(X343/H343),"0")</f>
        <v>0.27472527472527475</v>
      </c>
      <c r="BP343" s="78">
        <f>IFERROR(1/J343*(Y343/H343),"0")</f>
        <v>0.27472527472527475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720</v>
      </c>
      <c r="Y344" s="55">
        <f>IFERROR(IF(X344="",0,CEILING((X344/$H344),1)*$H344),"")</f>
        <v>720</v>
      </c>
      <c r="Z344" s="41">
        <f>IFERROR(IF(Y344=0,"",ROUNDUP(Y344/H344,0)*0.00651),"")</f>
        <v>1.9530000000000001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774.00000000000011</v>
      </c>
      <c r="BN344" s="78">
        <f>IFERROR(Y344*I344/H344,"0")</f>
        <v>774.00000000000011</v>
      </c>
      <c r="BO344" s="78">
        <f>IFERROR(1/J344*(X344/H344),"0")</f>
        <v>1.6483516483516485</v>
      </c>
      <c r="BP344" s="78">
        <f>IFERROR(1/J344*(Y344/H344),"0")</f>
        <v>1.6483516483516485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350</v>
      </c>
      <c r="Y345" s="43">
        <f>IFERROR(Y342/H342,"0")+IFERROR(Y343/H343,"0")+IFERROR(Y344/H344,"0")</f>
        <v>350</v>
      </c>
      <c r="Z345" s="43">
        <f>IFERROR(IF(Z342="",0,Z342),"0")+IFERROR(IF(Z343="",0,Z343),"0")+IFERROR(IF(Z344="",0,Z344),"0")</f>
        <v>2.2785000000000002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840</v>
      </c>
      <c r="Y346" s="43">
        <f>IFERROR(SUM(Y342:Y344),"0")</f>
        <v>840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200</v>
      </c>
      <c r="Y363" s="55">
        <f>IFERROR(IF(X363="",0,CEILING((X363/$H363),1)*$H363),"")</f>
        <v>202.79999999999998</v>
      </c>
      <c r="Z363" s="41">
        <f>IFERROR(IF(Y363=0,"",ROUNDUP(Y363/H363,0)*0.01898),"")</f>
        <v>0.49348000000000003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210.51282051282055</v>
      </c>
      <c r="BN363" s="78">
        <f>IFERROR(Y363*I363/H363,"0")</f>
        <v>213.46</v>
      </c>
      <c r="BO363" s="78">
        <f>IFERROR(1/J363*(X363/H363),"0")</f>
        <v>0.40064102564102566</v>
      </c>
      <c r="BP363" s="78">
        <f>IFERROR(1/J363*(Y363/H363),"0")</f>
        <v>0.40625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250</v>
      </c>
      <c r="Y364" s="55">
        <f>IFERROR(IF(X364="",0,CEILING((X364/$H364),1)*$H364),"")</f>
        <v>257.39999999999998</v>
      </c>
      <c r="Z364" s="41">
        <f>IFERROR(IF(Y364=0,"",ROUNDUP(Y364/H364,0)*0.01898),"")</f>
        <v>0.62634000000000001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263.14102564102564</v>
      </c>
      <c r="BN364" s="78">
        <f>IFERROR(Y364*I364/H364,"0")</f>
        <v>270.93</v>
      </c>
      <c r="BO364" s="78">
        <f>IFERROR(1/J364*(X364/H364),"0")</f>
        <v>0.50080128205128205</v>
      </c>
      <c r="BP364" s="78">
        <f>IFERROR(1/J364*(Y364/H364),"0")</f>
        <v>0.515625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100</v>
      </c>
      <c r="Y365" s="55">
        <f>IFERROR(IF(X365="",0,CEILING((X365/$H365),1)*$H365),"")</f>
        <v>101.39999999999999</v>
      </c>
      <c r="Z365" s="41">
        <f>IFERROR(IF(Y365=0,"",ROUNDUP(Y365/H365,0)*0.01898),"")</f>
        <v>0.24674000000000001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105.25641025641028</v>
      </c>
      <c r="BN365" s="78">
        <f>IFERROR(Y365*I365/H365,"0")</f>
        <v>106.73</v>
      </c>
      <c r="BO365" s="78">
        <f>IFERROR(1/J365*(X365/H365),"0")</f>
        <v>0.20032051282051283</v>
      </c>
      <c r="BP365" s="78">
        <f>IFERROR(1/J365*(Y365/H365),"0")</f>
        <v>0.203125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70.512820512820511</v>
      </c>
      <c r="Y366" s="43">
        <f>IFERROR(Y363/H363,"0")+IFERROR(Y364/H364,"0")+IFERROR(Y365/H365,"0")</f>
        <v>72</v>
      </c>
      <c r="Z366" s="43">
        <f>IFERROR(IF(Z363="",0,Z363),"0")+IFERROR(IF(Z364="",0,Z364),"0")+IFERROR(IF(Z365="",0,Z365),"0")</f>
        <v>1.36656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550</v>
      </c>
      <c r="Y367" s="43">
        <f>IFERROR(SUM(Y363:Y365),"0")</f>
        <v>561.59999999999991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300</v>
      </c>
      <c r="Y396" s="55">
        <f>IFERROR(IF(X396="",0,CEILING((X396/$H396),1)*$H396),"")</f>
        <v>302.40000000000003</v>
      </c>
      <c r="Z396" s="41">
        <f>IFERROR(IF(Y396=0,"",ROUNDUP(Y396/H396,0)*0.01898),"")</f>
        <v>0.68328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317.64285714285711</v>
      </c>
      <c r="BN396" s="78">
        <f>IFERROR(Y396*I396/H396,"0")</f>
        <v>320.18400000000003</v>
      </c>
      <c r="BO396" s="78">
        <f>IFERROR(1/J396*(X396/H396),"0")</f>
        <v>0.5580357142857143</v>
      </c>
      <c r="BP396" s="78">
        <f>IFERROR(1/J396*(Y396/H396),"0")</f>
        <v>0.5625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300</v>
      </c>
      <c r="Y397" s="55">
        <f>IFERROR(IF(X397="",0,CEILING((X397/$H397),1)*$H397),"")</f>
        <v>304.2</v>
      </c>
      <c r="Z397" s="41">
        <f>IFERROR(IF(Y397=0,"",ROUNDUP(Y397/H397,0)*0.01898),"")</f>
        <v>0.74021999999999999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319.00000000000006</v>
      </c>
      <c r="BN397" s="78">
        <f>IFERROR(Y397*I397/H397,"0")</f>
        <v>323.46600000000001</v>
      </c>
      <c r="BO397" s="78">
        <f>IFERROR(1/J397*(X397/H397),"0")</f>
        <v>0.60096153846153844</v>
      </c>
      <c r="BP397" s="78">
        <f>IFERROR(1/J397*(Y397/H397),"0")</f>
        <v>0.609375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80</v>
      </c>
      <c r="Y398" s="55">
        <f>IFERROR(IF(X398="",0,CEILING((X398/$H398),1)*$H398),"")</f>
        <v>84</v>
      </c>
      <c r="Z398" s="41">
        <f>IFERROR(IF(Y398=0,"",ROUNDUP(Y398/H398,0)*0.01898),"")</f>
        <v>0.1898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84.704761904761895</v>
      </c>
      <c r="BN398" s="78">
        <f>IFERROR(Y398*I398/H398,"0")</f>
        <v>88.94</v>
      </c>
      <c r="BO398" s="78">
        <f>IFERROR(1/J398*(X398/H398),"0")</f>
        <v>0.14880952380952381</v>
      </c>
      <c r="BP398" s="78">
        <f>IFERROR(1/J398*(Y398/H398),"0")</f>
        <v>0.15625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83.699633699633694</v>
      </c>
      <c r="Y399" s="43">
        <f>IFERROR(Y396/H396,"0")+IFERROR(Y397/H397,"0")+IFERROR(Y398/H398,"0")</f>
        <v>85</v>
      </c>
      <c r="Z399" s="43">
        <f>IFERROR(IF(Z396="",0,Z396),"0")+IFERROR(IF(Z397="",0,Z397),"0")+IFERROR(IF(Z398="",0,Z398),"0")</f>
        <v>1.6133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680</v>
      </c>
      <c r="Y400" s="43">
        <f>IFERROR(SUM(Y396:Y398),"0")</f>
        <v>690.6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ref="Y436:Y443" si="70">IFERROR(IF(X436="",0,CEILING((X436/$H436),1)*$H436),"")</f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103.13333333333334</v>
      </c>
      <c r="BN436" s="78">
        <f t="shared" ref="BN436:BN443" si="72">IFERROR(Y436*I436/H436,"0")</f>
        <v>108.29</v>
      </c>
      <c r="BO436" s="78">
        <f t="shared" ref="BO436:BO443" si="73">IFERROR(1/J436*(X436/H436),"0")</f>
        <v>0.1388888888888889</v>
      </c>
      <c r="BP436" s="78">
        <f t="shared" ref="BP436:BP443" si="74">IFERROR(1/J436*(Y436/H436),"0")</f>
        <v>0.14583333333333331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1100</v>
      </c>
      <c r="Y437" s="55">
        <f t="shared" si="70"/>
        <v>1110</v>
      </c>
      <c r="Z437" s="41">
        <f>IFERROR(IF(Y437=0,"",ROUNDUP(Y437/H437,0)*0.02175),"")</f>
        <v>1.6094999999999999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1134.4666666666667</v>
      </c>
      <c r="BN437" s="78">
        <f t="shared" si="72"/>
        <v>1144.78</v>
      </c>
      <c r="BO437" s="78">
        <f t="shared" si="73"/>
        <v>1.5277777777777777</v>
      </c>
      <c r="BP437" s="78">
        <f t="shared" si="74"/>
        <v>1.5416666666666665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700</v>
      </c>
      <c r="Y438" s="55">
        <f t="shared" si="70"/>
        <v>705</v>
      </c>
      <c r="Z438" s="41">
        <f>IFERROR(IF(Y438=0,"",ROUNDUP(Y438/H438,0)*0.02175),"")</f>
        <v>1.0222499999999999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721.93333333333328</v>
      </c>
      <c r="BN438" s="78">
        <f t="shared" si="72"/>
        <v>727.09</v>
      </c>
      <c r="BO438" s="78">
        <f t="shared" si="73"/>
        <v>0.9722222222222221</v>
      </c>
      <c r="BP438" s="78">
        <f t="shared" si="74"/>
        <v>0.97916666666666663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800</v>
      </c>
      <c r="Y439" s="55">
        <f t="shared" si="70"/>
        <v>810</v>
      </c>
      <c r="Z439" s="41">
        <f>IFERROR(IF(Y439=0,"",ROUNDUP(Y439/H439,0)*0.02175),"")</f>
        <v>1.1744999999999999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825.06666666666672</v>
      </c>
      <c r="BN439" s="78">
        <f t="shared" si="72"/>
        <v>835.38</v>
      </c>
      <c r="BO439" s="78">
        <f t="shared" si="73"/>
        <v>1.1111111111111112</v>
      </c>
      <c r="BP439" s="78">
        <f t="shared" si="74"/>
        <v>1.125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300</v>
      </c>
      <c r="Y440" s="55">
        <f t="shared" si="70"/>
        <v>300</v>
      </c>
      <c r="Z440" s="41">
        <f>IFERROR(IF(Y440=0,"",ROUNDUP(Y440/H440,0)*0.02175),"")</f>
        <v>0.43499999999999994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309.39999999999998</v>
      </c>
      <c r="BN440" s="78">
        <f t="shared" si="72"/>
        <v>309.39999999999998</v>
      </c>
      <c r="BO440" s="78">
        <f t="shared" si="73"/>
        <v>0.41666666666666663</v>
      </c>
      <c r="BP440" s="78">
        <f t="shared" si="74"/>
        <v>0.41666666666666663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25</v>
      </c>
      <c r="Y443" s="55">
        <f t="shared" si="70"/>
        <v>25</v>
      </c>
      <c r="Z443" s="41">
        <f>IFERROR(IF(Y443=0,"",ROUNDUP(Y443/H443,0)*0.00902),"")</f>
        <v>4.5100000000000001E-2</v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25.95</v>
      </c>
      <c r="BN443" s="78">
        <f t="shared" si="72"/>
        <v>25.95</v>
      </c>
      <c r="BO443" s="78">
        <f t="shared" si="73"/>
        <v>3.787878787878788E-2</v>
      </c>
      <c r="BP443" s="78">
        <f t="shared" si="74"/>
        <v>3.787878787878788E-2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205</v>
      </c>
      <c r="Y444" s="43">
        <f>IFERROR(Y436/H436,"0")+IFERROR(Y437/H437,"0")+IFERROR(Y438/H438,"0")+IFERROR(Y439/H439,"0")+IFERROR(Y440/H440,"0")+IFERROR(Y441/H441,"0")+IFERROR(Y442/H442,"0")+IFERROR(Y443/H443,"0")</f>
        <v>207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4.4385999999999992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3025</v>
      </c>
      <c r="Y445" s="43">
        <f>IFERROR(SUM(Y436:Y443),"0")</f>
        <v>3055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50</v>
      </c>
      <c r="Y465" s="55">
        <f>IFERROR(IF(X465="",0,CEILING((X465/$H465),1)*$H465),"")</f>
        <v>60</v>
      </c>
      <c r="Z465" s="41">
        <f>IFERROR(IF(Y465=0,"",ROUNDUP(Y465/H465,0)*0.01898),"")</f>
        <v>9.4899999999999998E-2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51.708333333333336</v>
      </c>
      <c r="BN465" s="78">
        <f>IFERROR(Y465*I465/H465,"0")</f>
        <v>62.050000000000004</v>
      </c>
      <c r="BO465" s="78">
        <f>IFERROR(1/J465*(X465/H465),"0")</f>
        <v>6.5104166666666671E-2</v>
      </c>
      <c r="BP465" s="78">
        <f>IFERROR(1/J465*(Y465/H465),"0")</f>
        <v>7.8125E-2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4.166666666666667</v>
      </c>
      <c r="Y467" s="43">
        <f>IFERROR(Y465/H465,"0")+IFERROR(Y466/H466,"0")</f>
        <v>5</v>
      </c>
      <c r="Z467" s="43">
        <f>IFERROR(IF(Z465="",0,Z465),"0")+IFERROR(IF(Z466="",0,Z466),"0")</f>
        <v>9.4899999999999998E-2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50</v>
      </c>
      <c r="Y468" s="43">
        <f>IFERROR(SUM(Y465:Y466),"0")</f>
        <v>60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ref="Y509:Y517" si="80">IFERROR(IF(X509="",0,CEILING((X509/$H509),1)*$H509),"")</f>
        <v>100.32000000000001</v>
      </c>
      <c r="Z509" s="41">
        <f t="shared" ref="Z509:Z514" si="81">IFERROR(IF(Y509=0,"",ROUNDUP(Y509/H509,0)*0.01196),"")</f>
        <v>0.22724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106.62878787878788</v>
      </c>
      <c r="BN509" s="78">
        <f t="shared" ref="BN509:BN517" si="83">IFERROR(Y509*I509/H509,"0")</f>
        <v>106.97</v>
      </c>
      <c r="BO509" s="78">
        <f t="shared" ref="BO509:BO517" si="84">IFERROR(1/J509*(X509/H509),"0")</f>
        <v>0.18210955710955709</v>
      </c>
      <c r="BP509" s="78">
        <f t="shared" ref="BP509:BP517" si="85">IFERROR(1/J509*(Y509/H509),"0")</f>
        <v>0.18269230769230771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120</v>
      </c>
      <c r="Y512" s="55">
        <f t="shared" si="80"/>
        <v>121.44000000000001</v>
      </c>
      <c r="Z512" s="41">
        <f t="shared" si="81"/>
        <v>0.27507999999999999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127.95454545454545</v>
      </c>
      <c r="BN512" s="78">
        <f t="shared" si="83"/>
        <v>129.49</v>
      </c>
      <c r="BO512" s="78">
        <f t="shared" si="84"/>
        <v>0.21853146853146854</v>
      </c>
      <c r="BP512" s="78">
        <f t="shared" si="85"/>
        <v>0.22115384615384617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400</v>
      </c>
      <c r="Y514" s="55">
        <f t="shared" si="80"/>
        <v>401.28000000000003</v>
      </c>
      <c r="Z514" s="41">
        <f t="shared" si="81"/>
        <v>0.90895999999999999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426.5151515151515</v>
      </c>
      <c r="BN514" s="78">
        <f t="shared" si="83"/>
        <v>427.88</v>
      </c>
      <c r="BO514" s="78">
        <f t="shared" si="84"/>
        <v>0.72843822843822836</v>
      </c>
      <c r="BP514" s="78">
        <f t="shared" si="85"/>
        <v>0.73076923076923084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150</v>
      </c>
      <c r="Y516" s="55">
        <f t="shared" si="80"/>
        <v>153.6</v>
      </c>
      <c r="Z516" s="41">
        <f>IFERROR(IF(Y516=0,"",ROUNDUP(Y516/H516,0)*0.00902),"")</f>
        <v>0.28864000000000001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215.9375</v>
      </c>
      <c r="BN516" s="78">
        <f t="shared" si="83"/>
        <v>221.12</v>
      </c>
      <c r="BO516" s="78">
        <f t="shared" si="84"/>
        <v>0.23674242424242425</v>
      </c>
      <c r="BP516" s="78">
        <f t="shared" si="85"/>
        <v>0.24242424242424243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540</v>
      </c>
      <c r="Y517" s="55">
        <f t="shared" si="80"/>
        <v>542.4</v>
      </c>
      <c r="Z517" s="41">
        <f>IFERROR(IF(Y517=0,"",ROUNDUP(Y517/H517,0)*0.00902),"")</f>
        <v>1.0192600000000001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777.375</v>
      </c>
      <c r="BN517" s="78">
        <f t="shared" si="83"/>
        <v>780.83</v>
      </c>
      <c r="BO517" s="78">
        <f t="shared" si="84"/>
        <v>0.85227272727272729</v>
      </c>
      <c r="BP517" s="78">
        <f t="shared" si="85"/>
        <v>0.85606060606060608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261.17424242424238</v>
      </c>
      <c r="Y518" s="43">
        <f>IFERROR(Y509/H509,"0")+IFERROR(Y510/H510,"0")+IFERROR(Y511/H511,"0")+IFERROR(Y512/H512,"0")+IFERROR(Y513/H513,"0")+IFERROR(Y514/H514,"0")+IFERROR(Y515/H515,"0")+IFERROR(Y516/H516,"0")+IFERROR(Y517/H517,"0")</f>
        <v>263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2.7191800000000002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1310</v>
      </c>
      <c r="Y519" s="43">
        <f>IFERROR(SUM(Y509:Y517),"0")</f>
        <v>1319.04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350</v>
      </c>
      <c r="Y521" s="55">
        <f>IFERROR(IF(X521="",0,CEILING((X521/$H521),1)*$H521),"")</f>
        <v>353.76</v>
      </c>
      <c r="Z521" s="41">
        <f>IFERROR(IF(Y521=0,"",ROUNDUP(Y521/H521,0)*0.01196),"")</f>
        <v>0.80132000000000003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373.20075757575756</v>
      </c>
      <c r="BN521" s="78">
        <f>IFERROR(Y521*I521/H521,"0")</f>
        <v>377.21</v>
      </c>
      <c r="BO521" s="78">
        <f>IFERROR(1/J521*(X521/H521),"0")</f>
        <v>0.63738344988344986</v>
      </c>
      <c r="BP521" s="78">
        <f>IFERROR(1/J521*(Y521/H521),"0")</f>
        <v>0.64423076923076927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150</v>
      </c>
      <c r="Y523" s="55">
        <f>IFERROR(IF(X523="",0,CEILING((X523/$H523),1)*$H523),"")</f>
        <v>153.6</v>
      </c>
      <c r="Z523" s="41">
        <f>IFERROR(IF(Y523=0,"",ROUNDUP(Y523/H523,0)*0.00902),"")</f>
        <v>0.28864000000000001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215.9375</v>
      </c>
      <c r="BN523" s="78">
        <f>IFERROR(Y523*I523/H523,"0")</f>
        <v>221.12</v>
      </c>
      <c r="BO523" s="78">
        <f>IFERROR(1/J523*(X523/H523),"0")</f>
        <v>0.23674242424242425</v>
      </c>
      <c r="BP523" s="78">
        <f>IFERROR(1/J523*(Y523/H523),"0")</f>
        <v>0.24242424242424243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97.537878787878782</v>
      </c>
      <c r="Y524" s="43">
        <f>IFERROR(Y521/H521,"0")+IFERROR(Y522/H522,"0")+IFERROR(Y523/H523,"0")</f>
        <v>99</v>
      </c>
      <c r="Z524" s="43">
        <f>IFERROR(IF(Z521="",0,Z521),"0")+IFERROR(IF(Z522="",0,Z522),"0")+IFERROR(IF(Z523="",0,Z523),"0")</f>
        <v>1.08996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500</v>
      </c>
      <c r="Y525" s="43">
        <f>IFERROR(SUM(Y521:Y523),"0")</f>
        <v>507.36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100</v>
      </c>
      <c r="Y527" s="55">
        <f t="shared" ref="Y527:Y533" si="86">IFERROR(IF(X527="",0,CEILING((X527/$H527),1)*$H527),"")</f>
        <v>100.32000000000001</v>
      </c>
      <c r="Z527" s="41">
        <f>IFERROR(IF(Y527=0,"",ROUNDUP(Y527/H527,0)*0.01196),"")</f>
        <v>0.22724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106.62878787878788</v>
      </c>
      <c r="BN527" s="78">
        <f t="shared" ref="BN527:BN533" si="88">IFERROR(Y527*I527/H527,"0")</f>
        <v>106.97</v>
      </c>
      <c r="BO527" s="78">
        <f t="shared" ref="BO527:BO533" si="89">IFERROR(1/J527*(X527/H527),"0")</f>
        <v>0.18210955710955709</v>
      </c>
      <c r="BP527" s="78">
        <f t="shared" ref="BP527:BP533" si="90">IFERROR(1/J527*(Y527/H527),"0")</f>
        <v>0.18269230769230771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8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63.977272727272727</v>
      </c>
      <c r="BN528" s="78">
        <f t="shared" si="88"/>
        <v>67.559999999999988</v>
      </c>
      <c r="BO528" s="78">
        <f t="shared" si="89"/>
        <v>0.10926573426573427</v>
      </c>
      <c r="BP528" s="78">
        <f t="shared" si="90"/>
        <v>0.11538461538461539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200</v>
      </c>
      <c r="Y529" s="55">
        <f t="shared" si="86"/>
        <v>200.64000000000001</v>
      </c>
      <c r="Z529" s="41">
        <f>IFERROR(IF(Y529=0,"",ROUNDUP(Y529/H529,0)*0.01196),"")</f>
        <v>0.45448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213.25757575757575</v>
      </c>
      <c r="BN529" s="78">
        <f t="shared" si="88"/>
        <v>213.94</v>
      </c>
      <c r="BO529" s="78">
        <f t="shared" si="89"/>
        <v>0.36421911421911418</v>
      </c>
      <c r="BP529" s="78">
        <f t="shared" si="90"/>
        <v>0.36538461538461542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90</v>
      </c>
      <c r="Y530" s="55">
        <f t="shared" si="86"/>
        <v>91.2</v>
      </c>
      <c r="Z530" s="41">
        <f>IFERROR(IF(Y530=0,"",ROUNDUP(Y530/H530,0)*0.00902),"")</f>
        <v>0.17138</v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129.5625</v>
      </c>
      <c r="BN530" s="78">
        <f t="shared" si="88"/>
        <v>131.29000000000002</v>
      </c>
      <c r="BO530" s="78">
        <f t="shared" si="89"/>
        <v>0.14204545454545456</v>
      </c>
      <c r="BP530" s="78">
        <f t="shared" si="90"/>
        <v>0.14393939393939395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30</v>
      </c>
      <c r="Y532" s="55">
        <f t="shared" si="86"/>
        <v>33.6</v>
      </c>
      <c r="Z532" s="41">
        <f>IFERROR(IF(Y532=0,"",ROUNDUP(Y532/H532,0)*0.00902),"")</f>
        <v>6.3140000000000002E-2</v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41.6875</v>
      </c>
      <c r="BN532" s="78">
        <f t="shared" si="88"/>
        <v>46.69</v>
      </c>
      <c r="BO532" s="78">
        <f t="shared" si="89"/>
        <v>4.7348484848484848E-2</v>
      </c>
      <c r="BP532" s="78">
        <f t="shared" si="90"/>
        <v>5.3030303030303039E-2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150</v>
      </c>
      <c r="Y533" s="55">
        <f t="shared" si="86"/>
        <v>153.6</v>
      </c>
      <c r="Z533" s="41">
        <f>IFERROR(IF(Y533=0,"",ROUNDUP(Y533/H533,0)*0.00902),"")</f>
        <v>0.28864000000000001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208.4375</v>
      </c>
      <c r="BN533" s="78">
        <f t="shared" si="88"/>
        <v>213.44</v>
      </c>
      <c r="BO533" s="78">
        <f t="shared" si="89"/>
        <v>0.23674242424242425</v>
      </c>
      <c r="BP533" s="78">
        <f t="shared" si="90"/>
        <v>0.24242424242424243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124.43181818181817</v>
      </c>
      <c r="Y534" s="43">
        <f>IFERROR(Y527/H527,"0")+IFERROR(Y528/H528,"0")+IFERROR(Y529/H529,"0")+IFERROR(Y530/H530,"0")+IFERROR(Y531/H531,"0")+IFERROR(Y532/H532,"0")+IFERROR(Y533/H533,"0")</f>
        <v>127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1.3484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630</v>
      </c>
      <c r="Y535" s="43">
        <f>IFERROR(SUM(Y527:Y533),"0")</f>
        <v>642.72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17407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17582.64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18838.327738267482</v>
      </c>
      <c r="Y565" s="43">
        <f>IFERROR(SUM(BN22:BN561),"0")</f>
        <v>19029.477999999999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32</v>
      </c>
      <c r="Y566" s="44">
        <f>ROUNDUP(SUM(BP22:BP561),0)</f>
        <v>32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19638.327738267482</v>
      </c>
      <c r="Y567" s="43">
        <f>GrossWeightTotalR+PalletQtyTotalR*25</f>
        <v>19829.477999999999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3837.8585549188997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3867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37.722770000000004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32.64</v>
      </c>
      <c r="D574" s="52">
        <f>IFERROR(Y47*1,"0")+IFERROR(Y48*1,"0")+IFERROR(Y49*1,"0")+IFERROR(Y50*1,"0")</f>
        <v>280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1267.2000000000003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1316.7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1520.1</v>
      </c>
      <c r="H574" s="52">
        <f>IFERROR(Y140*1,"0")+IFERROR(Y141*1,"0")+IFERROR(Y145*1,"0")+IFERROR(Y146*1,"0")+IFERROR(Y150*1,"0")+IFERROR(Y151*1,"0")</f>
        <v>285.76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1228.3600000000001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363.76000000000005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3471.6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140.20000000000002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840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561.59999999999991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690.6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3055</v>
      </c>
      <c r="X574" s="52">
        <f>IFERROR(Y465*1,"0")+IFERROR(Y466*1,"0")+IFERROR(Y470*1,"0")+IFERROR(Y474*1,"0")+IFERROR(Y475*1,"0")+IFERROR(Y476*1,"0")</f>
        <v>60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2469.1199999999994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00"/>
        <filter val="1 100,00"/>
        <filter val="1 150,00"/>
        <filter val="1 220,00"/>
        <filter val="1 310,00"/>
        <filter val="10,00"/>
        <filter val="100,00"/>
        <filter val="115,50"/>
        <filter val="120,00"/>
        <filter val="124,43"/>
        <filter val="132,41"/>
        <filter val="135,00"/>
        <filter val="14,00"/>
        <filter val="140,00"/>
        <filter val="15,56"/>
        <filter val="150,00"/>
        <filter val="16,67"/>
        <filter val="17 407,00"/>
        <filter val="18 838,33"/>
        <filter val="18,00"/>
        <filter val="18,59"/>
        <filter val="19 638,33"/>
        <filter val="2 290,00"/>
        <filter val="2,56"/>
        <filter val="20,00"/>
        <filter val="200,00"/>
        <filter val="205,00"/>
        <filter val="212,96"/>
        <filter val="23,00"/>
        <filter val="24,00"/>
        <filter val="25,00"/>
        <filter val="250,00"/>
        <filter val="253,70"/>
        <filter val="261,17"/>
        <filter val="27,78"/>
        <filter val="280,00"/>
        <filter val="3 025,00"/>
        <filter val="3 837,86"/>
        <filter val="30,00"/>
        <filter val="300,00"/>
        <filter val="31,25"/>
        <filter val="315,00"/>
        <filter val="316,00"/>
        <filter val="32"/>
        <filter val="32,00"/>
        <filter val="330,86"/>
        <filter val="35,00"/>
        <filter val="350,00"/>
        <filter val="360,00"/>
        <filter val="4,17"/>
        <filter val="40,00"/>
        <filter val="400,00"/>
        <filter val="415,00"/>
        <filter val="43,75"/>
        <filter val="435,00"/>
        <filter val="450,00"/>
        <filter val="478,57"/>
        <filter val="5,00"/>
        <filter val="5,56"/>
        <filter val="50,00"/>
        <filter val="500,00"/>
        <filter val="540,00"/>
        <filter val="550,00"/>
        <filter val="585,00"/>
        <filter val="587,65"/>
        <filter val="60,00"/>
        <filter val="630,00"/>
        <filter val="650,00"/>
        <filter val="680,00"/>
        <filter val="7,00"/>
        <filter val="70,00"/>
        <filter val="70,51"/>
        <filter val="700,00"/>
        <filter val="720,00"/>
        <filter val="77,78"/>
        <filter val="79,26"/>
        <filter val="8,00"/>
        <filter val="80,00"/>
        <filter val="800,00"/>
        <filter val="810,00"/>
        <filter val="83,70"/>
        <filter val="840,00"/>
        <filter val="87,50"/>
        <filter val="885,00"/>
        <filter val="90,00"/>
        <filter val="900,00"/>
        <filter val="91,43"/>
        <filter val="94,00"/>
        <filter val="97,54"/>
        <filter val="99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