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8407C24-8107-4760-8597-58DC445412E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64" i="2" l="1"/>
  <c r="BN157" i="2"/>
  <c r="BN277" i="2"/>
  <c r="BN299" i="2"/>
  <c r="BN306" i="2"/>
  <c r="BN393" i="2"/>
  <c r="Z58" i="2"/>
  <c r="BN60" i="2"/>
  <c r="BN80" i="2"/>
  <c r="BP85" i="2"/>
  <c r="BN86" i="2"/>
  <c r="BN106" i="2"/>
  <c r="Z195" i="2"/>
  <c r="BN232" i="2"/>
  <c r="Z236" i="2"/>
  <c r="BN285" i="2"/>
  <c r="Y300" i="2"/>
  <c r="BN347" i="2"/>
  <c r="Z349" i="2"/>
  <c r="BN349" i="2"/>
  <c r="BN360" i="2"/>
  <c r="BP385" i="2"/>
  <c r="BN387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218" i="2"/>
  <c r="Z553" i="2"/>
  <c r="Z484" i="2"/>
  <c r="Z99" i="2"/>
  <c r="Z32" i="2"/>
  <c r="Z414" i="2"/>
  <c r="Z325" i="2"/>
  <c r="Z452" i="2"/>
  <c r="Z177" i="2"/>
  <c r="Z198" i="2"/>
  <c r="Z51" i="2"/>
  <c r="Z134" i="2"/>
  <c r="Z61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<sst xmlns="http://schemas.openxmlformats.org/spreadsheetml/2006/main" count="4310" uniqueCount="900">
  <si>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</si>
  <si>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</si>
  <si>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</si>
  <si>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</si>
  <si>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</si>
  <si>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</si>
  <si>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</si>
  <si>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</si>
  <si>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</si>
  <si>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</si>
  <si>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</si>
  <si>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</si>
  <si>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</si>
  <si>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</si>
  <si>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</si>
  <si>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</si>
  <si>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</si>
  <si>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</si>
  <si>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</si>
  <si>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</si>
  <si>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</si>
  <si>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</si>
  <si>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</si>
  <si>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</si>
  <si>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</si>
  <si>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</si>
  <si>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</si>
  <si>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</si>
  <si>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</si>
  <si>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</si>
  <si>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</si>
  <si>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</si>
  <si>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</si>
  <si>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</si>
  <si>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</si>
  <si>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</si>
  <si>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</si>
  <si>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</si>
  <si>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</si>
  <si>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</si>
  <si>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</si>
  <si>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</si>
  <si>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</si>
  <si>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</si>
  <si>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</si>
  <si>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</si>
  <si>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</si>
  <si>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</si>
  <si>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</si>
  <si>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</si>
  <si>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</si>
  <si>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</si>
  <si>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</si>
  <si>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</si>
  <si>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</si>
  <si>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</si>
  <si>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</si>
  <si>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</si>
  <si>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</si>
  <si>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</si>
  <si>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</si>
  <si>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</si>
  <si>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</si>
  <si>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</si>
  <si>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</si>
  <si>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</si>
  <si>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</si>
  <si>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</si>
  <si>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</si>
  <si>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</si>
  <si>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</si>
  <si>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</si>
  <si>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</si>
  <si>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</si>
  <si>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</si>
  <si>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</si>
  <si>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</si>
  <si>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</si>
  <si>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</si>
  <si>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</si>
  <si>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</si>
  <si>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</si>
  <si>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</si>
  <si>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</si>
  <si>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</si>
  <si>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</si>
  <si>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</si>
  <si>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</si>
  <si>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</si>
  <si>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</si>
  <si>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</si>
  <si>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</si>
  <si>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</si>
  <si>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</si>
  <si>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</si>
  <si>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</si>
  <si>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</si>
  <si>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</si>
  <si>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</si>
  <si>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</si>
  <si>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</si>
  <si>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</si>
  <si>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</si>
  <si>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</si>
  <si>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</si>
  <si>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</si>
  <si>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</si>
  <si>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</si>
  <si>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</si>
  <si>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</si>
  <si>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</si>
  <si>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</si>
  <si>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</si>
  <si>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</si>
  <si>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</si>
  <si>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</si>
  <si>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</si>
  <si>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</si>
  <si>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</si>
  <si>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</si>
  <si>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</si>
  <si>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</si>
  <si>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</si>
  <si>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</si>
  <si>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</si>
  <si>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</si>
  <si>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</si>
  <si>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</si>
  <si>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</si>
  <si>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</si>
  <si>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</si>
  <si>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</si>
  <si>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</si>
  <si>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</si>
  <si>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</si>
  <si>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</si>
  <si>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</si>
  <si>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</si>
  <si>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</si>
  <si>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</si>
  <si>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</si>
  <si>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</si>
  <si>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</si>
  <si>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</si>
  <si>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</si>
  <si>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</si>
  <si>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</si>
  <si>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</si>
  <si>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</si>
  <si>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</si>
  <si>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</si>
  <si>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</si>
  <si>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</si>
  <si>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</si>
  <si>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</si>
  <si>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</si>
  <si>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</si>
  <si>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</si>
  <si>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</si>
  <si>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</si>
  <si>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</si>
  <si>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</si>
  <si>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</si>
  <si>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</si>
  <si>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</si>
  <si>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</si>
  <si>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</si>
  <si>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</si>
  <si>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</si>
  <si>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</si>
  <si>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</si>
  <si>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</si>
  <si>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</si>
  <si>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</si>
  <si>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</si>
  <si>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</si>
  <si>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</si>
  <si>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</si>
  <si>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</si>
  <si>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</si>
  <si>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</si>
  <si>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</si>
  <si>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</si>
  <si>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</si>
  <si>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</si>
  <si>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</si>
  <si>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</si>
  <si>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</si>
  <si>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</si>
  <si>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</si>
  <si>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</si>
  <si>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</si>
  <si>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</si>
  <si>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</si>
  <si>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</si>
  <si>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</si>
  <si>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</si>
  <si>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</si>
  <si>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</si>
  <si>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</si>
  <si>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</si>
  <si>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</si>
  <si>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</si>
  <si>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</si>
  <si>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</si>
  <si>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</si>
  <si>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</si>
  <si>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</si>
  <si>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</si>
  <si>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</si>
  <si>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</si>
  <si>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</si>
  <si>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</si>
  <si>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</si>
  <si>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</si>
  <si>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</si>
  <si>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</si>
  <si>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</si>
  <si>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</si>
  <si>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</si>
  <si>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</si>
  <si>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</si>
  <si>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</si>
  <si>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</si>
  <si>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</si>
  <si>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</si>
  <si>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</si>
  <si>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</si>
  <si>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</si>
  <si>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</si>
  <si>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</si>
  <si>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</si>
  <si>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</si>
  <si>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</si>
  <si>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</si>
  <si>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</si>
  <si>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</si>
  <si>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</si>
  <si>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</si>
  <si>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</si>
  <si>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</si>
  <si>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</si>
  <si>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</si>
  <si>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</si>
  <si>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</si>
  <si>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</si>
  <si>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</si>
  <si>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</si>
  <si>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</si>
  <si>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</si>
  <si>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</si>
  <si>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</si>
  <si>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</si>
  <si>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</si>
  <si>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</si>
  <si>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</si>
  <si>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</si>
  <si>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</si>
  <si>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</si>
  <si>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</si>
  <si>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</si>
  <si>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</si>
  <si>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</si>
  <si>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</si>
  <si>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</si>
  <si>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</si>
  <si>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</si>
  <si>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</si>
  <si>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</si>
  <si>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</si>
  <si>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</si>
  <si>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</si>
  <si>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</si>
  <si>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</si>
  <si>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</si>
  <si>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</si>
  <si>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</si>
  <si>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</si>
  <si>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</si>
  <si>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</si>
  <si>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</si>
  <si>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</si>
  <si>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</si>
  <si>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</si>
  <si>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</si>
  <si>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</si>
  <si>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</si>
  <si>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</si>
  <si>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</si>
  <si>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</si>
  <si>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</si>
  <si>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</si>
  <si>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</si>
  <si>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</si>
  <si>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</si>
  <si>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</si>
  <si>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</si>
  <si>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</si>
  <si>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</si>
  <si>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</si>
  <si>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</si>
  <si>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</si>
  <si>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</si>
  <si>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</si>
  <si>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</si>
  <si>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</si>
  <si>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</si>
  <si>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</si>
  <si>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</si>
  <si>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</si>
  <si>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</si>
  <si>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</si>
  <si>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</si>
  <si>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</si>
  <si>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</si>
  <si>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</si>
  <si>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</si>
  <si>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</si>
  <si>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</si>
  <si>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</si>
  <si>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</si>
  <si>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</si>
  <si>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</si>
  <si>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</si>
  <si>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</si>
  <si>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</si>
  <si>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</si>
  <si>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</si>
  <si>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</si>
  <si>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</si>
  <si>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</si>
  <si>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</si>
  <si>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</si>
  <si>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</si>
  <si>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</si>
  <si>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</si>
  <si>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</si>
  <si>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</si>
  <si>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</si>
  <si>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</si>
  <si>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</si>
  <si>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</si>
  <si>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</si>
  <si>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</si>
  <si>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</si>
  <si>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</si>
  <si>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</si>
  <si>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</si>
  <si>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</si>
  <si>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</si>
  <si>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</si>
  <si>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</si>
  <si>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</si>
  <si>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</si>
  <si>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</si>
  <si>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</si>
  <si>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</si>
  <si>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</si>
  <si>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</si>
  <si>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</si>
  <si>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</si>
  <si>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</si>
  <si>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</si>
  <si>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</si>
  <si>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</si>
  <si>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</si>
  <si>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</si>
  <si>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</si>
  <si>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</si>
  <si>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</si>
  <si>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</si>
  <si>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</si>
  <si>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</si>
  <si>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</si>
  <si>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</si>
  <si>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</si>
  <si>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</si>
  <si>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</si>
  <si>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</si>
  <si>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</si>
  <si>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</si>
  <si>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</si>
  <si>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</si>
  <si>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</si>
  <si>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</si>
  <si>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</si>
  <si>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</si>
  <si>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</si>
  <si>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</si>
  <si>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</si>
  <si>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</si>
  <si>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</si>
  <si>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</si>
  <si>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</si>
  <si>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</si>
  <si>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</si>
  <si>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</si>
  <si>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</si>
  <si>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</si>
  <si>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</si>
  <si>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</si>
  <si>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</si>
  <si>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</si>
  <si>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</si>
  <si>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</si>
  <si>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</si>
  <si>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</si>
  <si>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</si>
  <si>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</si>
  <si>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</si>
  <si>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</si>
  <si>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</si>
  <si>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</si>
  <si>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</si>
  <si>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</si>
  <si>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</si>
  <si>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</si>
  <si>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</si>
  <si>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</si>
  <si>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</si>
  <si>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</si>
  <si>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</si>
  <si>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</si>
  <si>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</si>
  <si>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</si>
  <si>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</si>
  <si>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</si>
  <si>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</si>
  <si>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</si>
  <si>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</si>
  <si>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</si>
  <si>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</si>
  <si>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</si>
  <si>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</si>
  <si>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</si>
  <si>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</si>
  <si>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</si>
  <si>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</si>
  <si>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</si>
  <si>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</si>
  <si>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</si>
  <si>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</si>
  <si>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</si>
  <si>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</si>
  <si>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</si>
  <si>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</si>
  <si>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</si>
  <si>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</si>
  <si>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</si>
  <si>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</si>
  <si>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</si>
  <si>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</si>
  <si>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</si>
  <si>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</si>
  <si>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</si>
  <si>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</si>
  <si>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</si>
  <si>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</si>
  <si>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</si>
  <si>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</si>
  <si>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</si>
  <si>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</si>
  <si>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</si>
  <si>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</si>
  <si>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</si>
  <si>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</si>
  <si>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</si>
  <si>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</si>
  <si>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</si>
  <si>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</si>
  <si>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</si>
  <si>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</si>
  <si>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</si>
  <si>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</si>
  <si>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</si>
  <si>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</si>
  <si>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</si>
  <si>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</si>
  <si>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</si>
  <si>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</si>
  <si>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</si>
  <si>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</si>
  <si>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</si>
  <si>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</si>
  <si>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</si>
  <si>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</si>
  <si>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</si>
  <si>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</si>
  <si>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</si>
  <si>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</si>
  <si>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</si>
  <si>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</si>
  <si>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</si>
  <si>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</si>
  <si>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</si>
  <si>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</si>
  <si>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</si>
  <si>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</si>
  <si>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</si>
  <si>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</si>
  <si>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</si>
  <si>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</si>
  <si>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</si>
  <si>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</si>
  <si>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</si>
  <si>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</si>
  <si>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</si>
  <si>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</si>
  <si>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</si>
  <si>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</si>
  <si>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</si>
  <si>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</si>
  <si>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</si>
  <si>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</si>
  <si>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</si>
  <si>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</si>
  <si>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</si>
  <si>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</si>
  <si>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</si>
  <si>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</si>
  <si>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</si>
  <si>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</si>
  <si>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</si>
  <si>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</si>
  <si>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</si>
  <si>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</si>
  <si>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</si>
  <si>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</si>
  <si>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</si>
  <si>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</si>
  <si>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</si>
  <si>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</si>
  <si>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</si>
  <si>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</si>
  <si>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</si>
  <si>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</si>
  <si>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</si>
  <si>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</si>
  <si>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</si>
  <si>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</si>
  <si>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</si>
  <si>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</si>
  <si>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</si>
  <si>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</si>
  <si>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</si>
  <si>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</si>
  <si>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</si>
  <si>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</si>
  <si>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</si>
  <si>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</si>
  <si>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</si>
  <si>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</si>
  <si>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</si>
  <si>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</si>
  <si>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</si>
  <si>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</si>
  <si>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</si>
  <si>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</si>
  <si>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</si>
  <si>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</si>
  <si>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</si>
  <si>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</si>
  <si>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</si>
  <si>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</si>
  <si>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</si>
  <si>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</si>
  <si>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</si>
  <si>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</si>
  <si>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</si>
  <si>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</si>
  <si>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</si>
  <si>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</si>
  <si>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</si>
  <si>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</si>
  <si>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</si>
  <si>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</si>
  <si>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</si>
  <si>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</si>
  <si>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</si>
  <si>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</si>
  <si>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</si>
  <si>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</si>
  <si>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</si>
  <si>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</si>
  <si>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</si>
  <si>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</si>
  <si>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</si>
  <si>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</si>
  <si>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</si>
  <si>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</si>
  <si>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</si>
  <si>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</si>
  <si>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</si>
  <si>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</si>
  <si>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</si>
  <si>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</si>
  <si>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</si>
  <si>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</si>
  <si>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</si>
  <si>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</si>
  <si>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</si>
  <si>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</si>
  <si>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</si>
  <si>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</si>
  <si>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</si>
  <si>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</si>
  <si>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</si>
  <si>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</si>
  <si>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</si>
  <si>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</si>
  <si>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</si>
  <si>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</si>
  <si>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</si>
  <si>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</si>
  <si>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</si>
  <si>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</si>
  <si>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</si>
  <si>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</si>
  <si>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</si>
  <si>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</si>
  <si>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</si>
  <si>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</si>
  <si>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</si>
  <si>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</si>
  <si>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</si>
  <si>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</si>
  <si>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</si>
  <si>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</si>
  <si>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</si>
  <si>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</si>
  <si>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</si>
  <si>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</si>
  <si>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</si>
  <si>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</si>
  <si>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</si>
  <si>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</si>
  <si>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</si>
  <si>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</si>
  <si>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</si>
  <si>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</si>
  <si>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</si>
  <si>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</si>
  <si>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</si>
  <si>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</si>
  <si>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</si>
  <si>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</si>
  <si>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</si>
  <si>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</si>
  <si>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</si>
  <si>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</si>
  <si>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</si>
  <si>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</si>
  <si>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</si>
  <si>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</si>
  <si>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</si>
  <si>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</si>
  <si>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</si>
  <si>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</si>
  <si>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</si>
  <si>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</si>
  <si>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</si>
  <si>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</si>
  <si>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</si>
  <si>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</si>
  <si>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</si>
  <si>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</si>
  <si>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</si>
  <si>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</si>
  <si>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</si>
  <si>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</si>
  <si>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</si>
  <si>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</si>
  <si>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</si>
  <si>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</si>
  <si>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</si>
  <si>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</si>
  <si>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</si>
  <si>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</si>
  <si>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</si>
  <si>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</si>
  <si>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</si>
  <si>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</si>
  <si>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</si>
  <si>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</si>
  <si>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</si>
  <si>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</si>
  <si>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</si>
  <si>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</si>
  <si>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</si>
  <si>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</si>
  <si>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</si>
  <si>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</si>
  <si>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</si>
  <si>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</si>
  <si>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</si>
  <si>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</si>
  <si>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</si>
  <si>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</si>
  <si>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</si>
  <si>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</si>
  <si>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</si>
  <si>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</si>
  <si>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</si>
  <si>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</si>
  <si>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</si>
  <si>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</si>
  <si>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</si>
  <si>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</si>
  <si>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</si>
  <si>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</si>
  <si>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</si>
  <si>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</si>
  <si>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</si>
  <si>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</si>
  <si>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</si>
  <si>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</si>
  <si>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</si>
  <si>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</si>
  <si>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</si>
  <si>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</si>
  <si>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</si>
  <si>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</si>
  <si>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</si>
  <si>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</si>
  <si>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</si>
  <si>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</si>
  <si>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</si>
  <si>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</si>
  <si>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</si>
  <si>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</si>
  <si>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</si>
  <si>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</si>
  <si>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</si>
  <si>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</si>
  <si>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</si>
  <si>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</si>
  <si>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</si>
  <si>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</si>
  <si>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</si>
  <si>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</si>
  <si>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</si>
  <si>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</si>
  <si>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</si>
  <si>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</si>
  <si>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</si>
  <si>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</si>
  <si>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</si>
  <si>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</si>
  <si>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</si>
  <si>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</si>
  <si>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</si>
  <si>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</si>
  <si>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</si>
  <si>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</si>
  <si>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</si>
  <si>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</si>
  <si>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</si>
  <si>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</si>
  <si>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</si>
  <si>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</si>
  <si>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</si>
  <si>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</si>
  <si>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</si>
  <si>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</si>
  <si>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</si>
  <si>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</si>
  <si>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</si>
  <si>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</si>
  <si>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</si>
  <si>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</si>
  <si>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</si>
  <si>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</si>
  <si>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</si>
  <si>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</si>
  <si>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</si>
  <si>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</si>
  <si>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</si>
  <si>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</si>
  <si>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</si>
  <si>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</si>
  <si>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</si>
  <si>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</si>
  <si>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</si>
  <si>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</si>
  <si>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</si>
  <si>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</si>
  <si>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</si>
  <si>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</si>
  <si>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</si>
  <si>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</si>
  <si>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</si>
  <si>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</si>
  <si>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</si>
  <si>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</si>
  <si>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</si>
  <si>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</si>
  <si>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</si>
  <si>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</si>
  <si>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</si>
  <si>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</si>
  <si>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</si>
  <si>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</si>
  <si>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</si>
  <si>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</si>
  <si>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</si>
  <si>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</si>
  <si>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</si>
  <si>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</si>
  <si>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</si>
  <si>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</si>
  <si>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</si>
  <si>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</si>
  <si>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</si>
  <si>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</si>
  <si>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</si>
  <si>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</si>
  <si>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</si>
  <si>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</si>
  <si>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</si>
  <si>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</si>
  <si>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</si>
  <si>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</si>
  <si>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</si>
  <si>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</si>
  <si>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</si>
  <si>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</si>
  <si>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</si>
  <si>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</si>
  <si>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</si>
  <si>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</si>
  <si>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</si>
  <si>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</si>
  <si>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</si>
  <si>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</si>
  <si>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</si>
  <si>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</si>
  <si>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</si>
  <si>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</si>
  <si>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</si>
  <si>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</si>
  <si>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</si>
  <si>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</si>
  <si>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</si>
  <si>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</si>
  <si>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</si>
  <si>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</si>
  <si>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</si>
  <si>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</si>
  <si>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</si>
  <si>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</si>
  <si>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</si>
  <si>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</si>
  <si>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</si>
  <si>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</si>
  <si>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</si>
  <si>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</si>
  <si>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</si>
  <si>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</si>
  <si>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</si>
  <si>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</si>
  <si>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</si>
  <si>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</si>
  <si>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</si>
  <si>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</si>
  <si>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</si>
  <si>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</si>
  <si>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</si>
  <si>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</si>
  <si>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</si>
  <si>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</si>
  <si>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</si>
  <si>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</si>
  <si>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</si>
  <si>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</si>
  <si>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</si>
  <si>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</si>
  <si>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</si>
  <si>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</si>
  <si>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</si>
  <si>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</si>
  <si>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</si>
  <si>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</si>
  <si>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</si>
  <si>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</si>
  <si>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</si>
  <si>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</si>
  <si>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</si>
  <si>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</si>
  <si>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</si>
  <si>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</si>
  <si>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</si>
  <si>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</si>
  <si>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</si>
  <si>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</si>
  <si>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</si>
  <si>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</si>
  <si>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</si>
  <si>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</si>
  <si>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</si>
  <si>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от 13,09 на 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</si>
</sst>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46279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Понедельник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0.66666666666666663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500</v>
      </c>
      <c r="Y433" s="55">
        <f t="shared" si="68"/>
        <v>510</v>
      </c>
      <c r="Z433" s="41">
        <f>IFERROR(IF(Y433=0,"",ROUNDUP(Y433/H433,0)*0.02175),"")</f>
        <v>0.73949999999999994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515.66666666666663</v>
      </c>
      <c r="BN433" s="78">
        <f t="shared" si="70"/>
        <v>525.98</v>
      </c>
      <c r="BO433" s="78">
        <f t="shared" si="71"/>
        <v>0.69444444444444442</v>
      </c>
      <c r="BP433" s="78">
        <f t="shared" si="72"/>
        <v>0.70833333333333326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400</v>
      </c>
      <c r="Y434" s="55">
        <f t="shared" si="68"/>
        <v>405</v>
      </c>
      <c r="Z434" s="41">
        <f>IFERROR(IF(Y434=0,"",ROUNDUP(Y434/H434,0)*0.02175),"")</f>
        <v>0.58724999999999994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412.53333333333336</v>
      </c>
      <c r="BN434" s="78">
        <f t="shared" si="70"/>
        <v>417.69</v>
      </c>
      <c r="BO434" s="78">
        <f t="shared" si="71"/>
        <v>0.55555555555555558</v>
      </c>
      <c r="BP434" s="78">
        <f t="shared" si="72"/>
        <v>0.5625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500</v>
      </c>
      <c r="Y435" s="55">
        <f t="shared" si="68"/>
        <v>510</v>
      </c>
      <c r="Z435" s="41">
        <f>IFERROR(IF(Y435=0,"",ROUNDUP(Y435/H435,0)*0.02175),"")</f>
        <v>0.73949999999999994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515.66666666666663</v>
      </c>
      <c r="BN435" s="78">
        <f t="shared" si="70"/>
        <v>525.98</v>
      </c>
      <c r="BO435" s="78">
        <f t="shared" si="71"/>
        <v>0.69444444444444442</v>
      </c>
      <c r="BP435" s="78">
        <f t="shared" si="72"/>
        <v>0.70833333333333326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300</v>
      </c>
      <c r="Y436" s="55">
        <f t="shared" si="68"/>
        <v>300</v>
      </c>
      <c r="Z436" s="41">
        <f>IFERROR(IF(Y436=0,"",ROUNDUP(Y436/H436,0)*0.02175),"")</f>
        <v>0.43499999999999994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309.39999999999998</v>
      </c>
      <c r="BN436" s="78">
        <f t="shared" si="70"/>
        <v>309.39999999999998</v>
      </c>
      <c r="BO436" s="78">
        <f t="shared" si="71"/>
        <v>0.41666666666666663</v>
      </c>
      <c r="BP436" s="78">
        <f t="shared" si="72"/>
        <v>0.41666666666666663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113.33333333333334</v>
      </c>
      <c r="Y440" s="43">
        <f>IFERROR(Y432/H432,"0")+IFERROR(Y433/H433,"0")+IFERROR(Y434/H434,"0")+IFERROR(Y435/H435,"0")+IFERROR(Y436/H436,"0")+IFERROR(Y437/H437,"0")+IFERROR(Y438/H438,"0")+IFERROR(Y439/H439,"0")</f>
        <v>115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2.5012499999999998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1700</v>
      </c>
      <c r="Y441" s="43">
        <f>IFERROR(SUM(Y432:Y439),"0")</f>
        <v>1725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400</v>
      </c>
      <c r="Y443" s="55">
        <f>IFERROR(IF(X443="",0,CEILING((X443/$H443),1)*$H443),"")</f>
        <v>405</v>
      </c>
      <c r="Z443" s="41">
        <f>IFERROR(IF(Y443=0,"",ROUNDUP(Y443/H443,0)*0.02175),"")</f>
        <v>0.58724999999999994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412.53333333333336</v>
      </c>
      <c r="BN443" s="78">
        <f>IFERROR(Y443*I443/H443,"0")</f>
        <v>417.69</v>
      </c>
      <c r="BO443" s="78">
        <f>IFERROR(1/J443*(X443/H443),"0")</f>
        <v>0.55555555555555558</v>
      </c>
      <c r="BP443" s="78">
        <f>IFERROR(1/J443*(Y443/H443),"0")</f>
        <v>0.5625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26.666666666666668</v>
      </c>
      <c r="Y446" s="43">
        <f>IFERROR(Y443/H443,"0")+IFERROR(Y444/H444,"0")+IFERROR(Y445/H445,"0")</f>
        <v>27</v>
      </c>
      <c r="Z446" s="43">
        <f>IFERROR(IF(Z443="",0,Z443),"0")+IFERROR(IF(Z444="",0,Z444),"0")+IFERROR(IF(Z445="",0,Z445),"0")</f>
        <v>0.58724999999999994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400</v>
      </c>
      <c r="Y447" s="43">
        <f>IFERROR(SUM(Y443:Y445),"0")</f>
        <v>405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2100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2130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2165.8000000000002</v>
      </c>
      <c r="Y561" s="43">
        <f>IFERROR(SUM(BN22:BN557),"0")</f>
        <v>2196.7400000000002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3</v>
      </c>
      <c r="Y562" s="44">
        <f>ROUNDUP(SUM(BP22:BP557),0)</f>
        <v>3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2240.8000000000002</v>
      </c>
      <c r="Y563" s="43">
        <f>GrossWeightTotalR+PalletQtyTotalR*25</f>
        <v>2271.7400000000002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140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142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3.0884999999999998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2130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113,33"/>
        <filter val="140,00"/>
        <filter val="2 100,00"/>
        <filter val="2 165,80"/>
        <filter val="2 240,80"/>
        <filter val="26,67"/>
        <filter val="3"/>
        <filter val="300,00"/>
        <filter val="400,00"/>
        <filter val="5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2026-09-14T13:21:39Z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